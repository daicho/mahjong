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09023071-1FBE-40A0-96BE-D9A2CDD9D365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913" r:id="rId6"/>
    <sheet name="たかの" sheetId="5915" r:id="rId7"/>
    <sheet name="だいち" sheetId="5917" r:id="rId8"/>
    <sheet name="ただ" sheetId="5919" r:id="rId9"/>
    <sheet name="りくと" sheetId="5921" r:id="rId10"/>
    <sheet name="れんたろう" sheetId="5923" r:id="rId11"/>
    <sheet name="まっつん" sheetId="5925" r:id="rId12"/>
    <sheet name="のり" sheetId="5927" r:id="rId13"/>
    <sheet name="ぱぱ" sheetId="5929" r:id="rId14"/>
    <sheet name="ほたに" sheetId="5931" r:id="rId15"/>
    <sheet name="いっしー" sheetId="5933" r:id="rId16"/>
    <sheet name="いっしー2" sheetId="5934" state="hidden" r:id="rId17"/>
    <sheet name="ほたに2" sheetId="5932" state="hidden" r:id="rId18"/>
    <sheet name="ぱぱ2" sheetId="5930" state="hidden" r:id="rId19"/>
    <sheet name="のり2" sheetId="5928" state="hidden" r:id="rId20"/>
    <sheet name="まっつん2" sheetId="5926" state="hidden" r:id="rId21"/>
    <sheet name="れんたろう2" sheetId="5924" state="hidden" r:id="rId22"/>
    <sheet name="りくと2" sheetId="5922" state="hidden" r:id="rId23"/>
    <sheet name="ただ2" sheetId="5920" state="hidden" r:id="rId24"/>
    <sheet name="だいち2" sheetId="5918" state="hidden" r:id="rId25"/>
    <sheet name="たかの2" sheetId="5916" state="hidden" r:id="rId26"/>
    <sheet name="全体2" sheetId="5914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925" l="1"/>
  <c r="O17" i="5933"/>
  <c r="O22" i="5917"/>
  <c r="O16" i="5933"/>
  <c r="O15" i="5933"/>
  <c r="C29" i="5933"/>
  <c r="B26" i="5933"/>
  <c r="B25" i="5933"/>
  <c r="C20" i="5933"/>
  <c r="B17" i="5933"/>
  <c r="H50" i="5933" s="1"/>
  <c r="C16" i="5933"/>
  <c r="C15" i="5933"/>
  <c r="C14" i="5933"/>
  <c r="C13" i="5933"/>
  <c r="O12" i="5933"/>
  <c r="C12" i="5933"/>
  <c r="O11" i="5933"/>
  <c r="C11" i="5933"/>
  <c r="O10" i="5933"/>
  <c r="C10" i="5933"/>
  <c r="C9" i="5933"/>
  <c r="C8" i="5933"/>
  <c r="O7" i="5933"/>
  <c r="C7" i="5933"/>
  <c r="O6" i="5933"/>
  <c r="B6" i="5933"/>
  <c r="O5" i="5933"/>
  <c r="B5" i="5933"/>
  <c r="O4" i="5933"/>
  <c r="O3" i="5933"/>
  <c r="O2" i="5933"/>
  <c r="O17" i="5927"/>
  <c r="O24" i="5913"/>
  <c r="H6" i="5933" l="1"/>
  <c r="H9" i="5933"/>
  <c r="H3" i="5933"/>
  <c r="H2" i="5933"/>
  <c r="C17" i="5933"/>
  <c r="H21" i="5933"/>
  <c r="H23" i="5933"/>
  <c r="H25" i="5933"/>
  <c r="H27" i="5933"/>
  <c r="H29" i="5933"/>
  <c r="C31" i="5933"/>
  <c r="C33" i="5933"/>
  <c r="C35" i="5933"/>
  <c r="C37" i="5933"/>
  <c r="C39" i="5933"/>
  <c r="C41" i="5933"/>
  <c r="C43" i="5933"/>
  <c r="H47" i="5933"/>
  <c r="H51" i="5933"/>
  <c r="H13" i="5933"/>
  <c r="H16" i="5933"/>
  <c r="H18" i="5933"/>
  <c r="C19" i="5933"/>
  <c r="H8" i="5933"/>
  <c r="B24" i="5933"/>
  <c r="H32" i="5933"/>
  <c r="H34" i="5933"/>
  <c r="H36" i="5933"/>
  <c r="H38" i="5933"/>
  <c r="H40" i="5933"/>
  <c r="H42" i="5933"/>
  <c r="H44" i="5933"/>
  <c r="H48" i="5933"/>
  <c r="H11" i="5933"/>
  <c r="H12" i="5933"/>
  <c r="H7" i="5933"/>
  <c r="H10" i="5933"/>
  <c r="H15" i="5933"/>
  <c r="H20" i="5933"/>
  <c r="H22" i="5933"/>
  <c r="H24" i="5933"/>
  <c r="H26" i="5933"/>
  <c r="H28" i="5933"/>
  <c r="H30" i="5933"/>
  <c r="C32" i="5933"/>
  <c r="C34" i="5933"/>
  <c r="C36" i="5933"/>
  <c r="C38" i="5933"/>
  <c r="C40" i="5933"/>
  <c r="C42" i="5933"/>
  <c r="H45" i="5933"/>
  <c r="H49" i="5933"/>
  <c r="H52" i="5933"/>
  <c r="H4" i="5933"/>
  <c r="H14" i="5933"/>
  <c r="H17" i="5933"/>
  <c r="H19" i="5933"/>
  <c r="C18" i="5933"/>
  <c r="B23" i="5933"/>
  <c r="H5" i="5933"/>
  <c r="H31" i="5933"/>
  <c r="H33" i="5933"/>
  <c r="H35" i="5933"/>
  <c r="H37" i="5933"/>
  <c r="H39" i="5933"/>
  <c r="H41" i="5933"/>
  <c r="H43" i="5933"/>
  <c r="H46" i="5933"/>
  <c r="O21" i="5915" l="1"/>
  <c r="O16" i="5923"/>
  <c r="O15" i="5923" l="1"/>
  <c r="O19" i="5931"/>
  <c r="O15" i="5921" l="1"/>
  <c r="O20" i="5927"/>
  <c r="O16" i="5931" l="1"/>
  <c r="O22" i="5921"/>
  <c r="O20" i="5915" l="1"/>
  <c r="O16" i="5917"/>
  <c r="O15" i="5927"/>
  <c r="O21" i="5927"/>
  <c r="O19" i="5925" l="1"/>
  <c r="O18" i="5929"/>
  <c r="O16" i="5919" l="1"/>
  <c r="O17" i="5925"/>
  <c r="O19" i="5927"/>
  <c r="O18" i="5927"/>
  <c r="O15" i="5915" l="1"/>
  <c r="O17" i="5929"/>
  <c r="O19" i="5929"/>
  <c r="O18" i="5921"/>
  <c r="O19" i="5919" l="1"/>
  <c r="O21" i="5923"/>
  <c r="O19" i="5923" l="1"/>
  <c r="O21" i="5917"/>
  <c r="O23" i="5927"/>
  <c r="O17" i="5931"/>
  <c r="O15" i="5931"/>
  <c r="O21" i="5929"/>
  <c r="O15" i="5919" l="1"/>
  <c r="O21" i="5919"/>
  <c r="O18" i="5931"/>
  <c r="O20" i="5931"/>
  <c r="C29" i="5931"/>
  <c r="B26" i="5931"/>
  <c r="B25" i="5931"/>
  <c r="C20" i="5931"/>
  <c r="B17" i="5931"/>
  <c r="H50" i="5931" s="1"/>
  <c r="C16" i="5931"/>
  <c r="C15" i="5931"/>
  <c r="C14" i="5931"/>
  <c r="C13" i="5931"/>
  <c r="O12" i="5931"/>
  <c r="C12" i="5931"/>
  <c r="O11" i="5931"/>
  <c r="C11" i="5931"/>
  <c r="O10" i="5931"/>
  <c r="C10" i="5931"/>
  <c r="C9" i="5931"/>
  <c r="C8" i="5931"/>
  <c r="O7" i="5931"/>
  <c r="C7" i="5931"/>
  <c r="O6" i="5931"/>
  <c r="B6" i="5931"/>
  <c r="O5" i="5931"/>
  <c r="B5" i="5931"/>
  <c r="O4" i="5931"/>
  <c r="O3" i="5931"/>
  <c r="O2" i="5931"/>
  <c r="O21" i="5925"/>
  <c r="O15" i="5925"/>
  <c r="O16" i="5913"/>
  <c r="H2" i="5931" l="1"/>
  <c r="H5" i="5931"/>
  <c r="H3" i="5931"/>
  <c r="H11" i="5931"/>
  <c r="C17" i="5931"/>
  <c r="H22" i="5931"/>
  <c r="H24" i="5931"/>
  <c r="H26" i="5931"/>
  <c r="H27" i="5931"/>
  <c r="H29" i="5931"/>
  <c r="C31" i="5931"/>
  <c r="C33" i="5931"/>
  <c r="C35" i="5931"/>
  <c r="C37" i="5931"/>
  <c r="C39" i="5931"/>
  <c r="C41" i="5931"/>
  <c r="C43" i="5931"/>
  <c r="H47" i="5931"/>
  <c r="H51" i="5931"/>
  <c r="H10" i="5931"/>
  <c r="H18" i="5931"/>
  <c r="H20" i="5931"/>
  <c r="C19" i="5931"/>
  <c r="H14" i="5931"/>
  <c r="B24" i="5931"/>
  <c r="H32" i="5931"/>
  <c r="H34" i="5931"/>
  <c r="H36" i="5931"/>
  <c r="H38" i="5931"/>
  <c r="H40" i="5931"/>
  <c r="H42" i="5931"/>
  <c r="H44" i="5931"/>
  <c r="H48" i="5931"/>
  <c r="H6" i="5931"/>
  <c r="H7" i="5931"/>
  <c r="H8" i="5931"/>
  <c r="H12" i="5931"/>
  <c r="H17" i="5931"/>
  <c r="H13" i="5931"/>
  <c r="H23" i="5931"/>
  <c r="H25" i="5931"/>
  <c r="H15" i="5931"/>
  <c r="H28" i="5931"/>
  <c r="H30" i="5931"/>
  <c r="C32" i="5931"/>
  <c r="C34" i="5931"/>
  <c r="C36" i="5931"/>
  <c r="C38" i="5931"/>
  <c r="C40" i="5931"/>
  <c r="C42" i="5931"/>
  <c r="H45" i="5931"/>
  <c r="H49" i="5931"/>
  <c r="H52" i="5931"/>
  <c r="H4" i="5931"/>
  <c r="H16" i="5931"/>
  <c r="H19" i="5931"/>
  <c r="H21" i="5931"/>
  <c r="C18" i="5931"/>
  <c r="B23" i="5931"/>
  <c r="H9" i="5931"/>
  <c r="H31" i="5931"/>
  <c r="H33" i="5931"/>
  <c r="H35" i="5931"/>
  <c r="H37" i="5931"/>
  <c r="H39" i="5931"/>
  <c r="H41" i="5931"/>
  <c r="H43" i="5931"/>
  <c r="H46" i="5931"/>
  <c r="O18" i="5917" l="1"/>
  <c r="O21" i="5921"/>
  <c r="O17" i="5917" l="1"/>
  <c r="O20" i="5925"/>
  <c r="O23" i="5925"/>
  <c r="O16" i="5915"/>
  <c r="O17" i="5919"/>
  <c r="O16" i="5921"/>
  <c r="O20" i="5921"/>
  <c r="O19" i="5915"/>
  <c r="O18" i="5919"/>
  <c r="O15" i="5917"/>
  <c r="O20" i="5929"/>
  <c r="O22" i="5929"/>
  <c r="O22" i="5923" l="1"/>
  <c r="O17" i="5923"/>
  <c r="O15" i="5929"/>
  <c r="O16" i="5929"/>
  <c r="C29" i="5929"/>
  <c r="B26" i="5929"/>
  <c r="B25" i="5929"/>
  <c r="C20" i="5929"/>
  <c r="B17" i="5929"/>
  <c r="H51" i="5929" s="1"/>
  <c r="C16" i="5929"/>
  <c r="C15" i="5929"/>
  <c r="C14" i="5929"/>
  <c r="C13" i="5929"/>
  <c r="O12" i="5929"/>
  <c r="C12" i="5929"/>
  <c r="O11" i="5929"/>
  <c r="C11" i="5929"/>
  <c r="O10" i="5929"/>
  <c r="C10" i="5929"/>
  <c r="C9" i="5929"/>
  <c r="C8" i="5929"/>
  <c r="O7" i="5929"/>
  <c r="C7" i="5929"/>
  <c r="O6" i="5929"/>
  <c r="B6" i="5929"/>
  <c r="O5" i="5929"/>
  <c r="B5" i="5929"/>
  <c r="O4" i="5929"/>
  <c r="O3" i="5929"/>
  <c r="O2" i="5929"/>
  <c r="H3" i="5929"/>
  <c r="O15" i="5913"/>
  <c r="O16" i="5927"/>
  <c r="O22" i="5927"/>
  <c r="C29" i="5927"/>
  <c r="B26" i="5927"/>
  <c r="B25" i="5927"/>
  <c r="C20" i="5927"/>
  <c r="B17" i="5927"/>
  <c r="H50" i="5927" s="1"/>
  <c r="C16" i="5927"/>
  <c r="C15" i="5927"/>
  <c r="C14" i="5927"/>
  <c r="C13" i="5927"/>
  <c r="O12" i="5927"/>
  <c r="C12" i="5927"/>
  <c r="O11" i="5927"/>
  <c r="C11" i="5927"/>
  <c r="O10" i="5927"/>
  <c r="C10" i="5927"/>
  <c r="C9" i="5927"/>
  <c r="C8" i="5927"/>
  <c r="O7" i="5927"/>
  <c r="C7" i="5927"/>
  <c r="O6" i="5927"/>
  <c r="B6" i="5927"/>
  <c r="O5" i="5927"/>
  <c r="B5" i="5927"/>
  <c r="O4" i="5927"/>
  <c r="O3" i="5927"/>
  <c r="O2" i="5927"/>
  <c r="O20" i="5913"/>
  <c r="H26" i="5927" l="1"/>
  <c r="H18" i="5929"/>
  <c r="C17" i="5929"/>
  <c r="H10" i="5929"/>
  <c r="H2" i="5929"/>
  <c r="H6" i="5929"/>
  <c r="H26" i="5929"/>
  <c r="H27" i="5929"/>
  <c r="H19" i="5929"/>
  <c r="H30" i="5929"/>
  <c r="C31" i="5929"/>
  <c r="C33" i="5929"/>
  <c r="C35" i="5929"/>
  <c r="C37" i="5929"/>
  <c r="C39" i="5929"/>
  <c r="C41" i="5929"/>
  <c r="C43" i="5929"/>
  <c r="H48" i="5929"/>
  <c r="H20" i="5929"/>
  <c r="H8" i="5929"/>
  <c r="H16" i="5929"/>
  <c r="H24" i="5929"/>
  <c r="C19" i="5929"/>
  <c r="H15" i="5929"/>
  <c r="B24" i="5929"/>
  <c r="H33" i="5929"/>
  <c r="H35" i="5929"/>
  <c r="H37" i="5929"/>
  <c r="H39" i="5929"/>
  <c r="H41" i="5929"/>
  <c r="H43" i="5929"/>
  <c r="H45" i="5929"/>
  <c r="H49" i="5929"/>
  <c r="H5" i="5929"/>
  <c r="H9" i="5929"/>
  <c r="H4" i="5929"/>
  <c r="H11" i="5929"/>
  <c r="H22" i="5929"/>
  <c r="H25" i="5929"/>
  <c r="H17" i="5929"/>
  <c r="H28" i="5929"/>
  <c r="H14" i="5929"/>
  <c r="H29" i="5929"/>
  <c r="H31" i="5929"/>
  <c r="C32" i="5929"/>
  <c r="C34" i="5929"/>
  <c r="C36" i="5929"/>
  <c r="C38" i="5929"/>
  <c r="C40" i="5929"/>
  <c r="C42" i="5929"/>
  <c r="H46" i="5929"/>
  <c r="H50" i="5929"/>
  <c r="H52" i="5929"/>
  <c r="H7" i="5929"/>
  <c r="H21" i="5929"/>
  <c r="H23" i="5929"/>
  <c r="H13" i="5929"/>
  <c r="C18" i="5929"/>
  <c r="B23" i="5929"/>
  <c r="H12" i="5929"/>
  <c r="H32" i="5929"/>
  <c r="H34" i="5929"/>
  <c r="H36" i="5929"/>
  <c r="H38" i="5929"/>
  <c r="H40" i="5929"/>
  <c r="H42" i="5929"/>
  <c r="H44" i="5929"/>
  <c r="H47" i="5929"/>
  <c r="H9" i="5927"/>
  <c r="H4" i="5927"/>
  <c r="C17" i="5927"/>
  <c r="H2" i="5927"/>
  <c r="H3" i="5927"/>
  <c r="H25" i="5927"/>
  <c r="H28" i="5927"/>
  <c r="H29" i="5927"/>
  <c r="H31" i="5927"/>
  <c r="C31" i="5927"/>
  <c r="C33" i="5927"/>
  <c r="C35" i="5927"/>
  <c r="C37" i="5927"/>
  <c r="C39" i="5927"/>
  <c r="C41" i="5927"/>
  <c r="C43" i="5927"/>
  <c r="H47" i="5927"/>
  <c r="H51" i="5927"/>
  <c r="H12" i="5927"/>
  <c r="H21" i="5927"/>
  <c r="H23" i="5927"/>
  <c r="C19" i="5927"/>
  <c r="H13" i="5927"/>
  <c r="B24" i="5927"/>
  <c r="H33" i="5927"/>
  <c r="H19" i="5927"/>
  <c r="H36" i="5927"/>
  <c r="H38" i="5927"/>
  <c r="H40" i="5927"/>
  <c r="H42" i="5927"/>
  <c r="H44" i="5927"/>
  <c r="H48" i="5927"/>
  <c r="H5" i="5927"/>
  <c r="H10" i="5927"/>
  <c r="H6" i="5927"/>
  <c r="H11" i="5927"/>
  <c r="H16" i="5927"/>
  <c r="H24" i="5927"/>
  <c r="H15" i="5927"/>
  <c r="H27" i="5927"/>
  <c r="H14" i="5927"/>
  <c r="H30" i="5927"/>
  <c r="H18" i="5927"/>
  <c r="C32" i="5927"/>
  <c r="C34" i="5927"/>
  <c r="C36" i="5927"/>
  <c r="C38" i="5927"/>
  <c r="C40" i="5927"/>
  <c r="C42" i="5927"/>
  <c r="H45" i="5927"/>
  <c r="H49" i="5927"/>
  <c r="H52" i="5927"/>
  <c r="H7" i="5927"/>
  <c r="H20" i="5927"/>
  <c r="H22" i="5927"/>
  <c r="H17" i="5927"/>
  <c r="C18" i="5927"/>
  <c r="B23" i="5927"/>
  <c r="H8" i="5927"/>
  <c r="H32" i="5927"/>
  <c r="H34" i="5927"/>
  <c r="H35" i="5927"/>
  <c r="H37" i="5927"/>
  <c r="H39" i="5927"/>
  <c r="H41" i="5927"/>
  <c r="H43" i="5927"/>
  <c r="H46" i="5927"/>
  <c r="O22" i="5925" l="1"/>
  <c r="O18" i="5925"/>
  <c r="C29" i="5925"/>
  <c r="B26" i="5925"/>
  <c r="B25" i="5925"/>
  <c r="C20" i="5925"/>
  <c r="B17" i="5925"/>
  <c r="H51" i="5925" s="1"/>
  <c r="C16" i="5925"/>
  <c r="C15" i="5925"/>
  <c r="C14" i="5925"/>
  <c r="C13" i="5925"/>
  <c r="O12" i="5925"/>
  <c r="C12" i="5925"/>
  <c r="O11" i="5925"/>
  <c r="C11" i="5925"/>
  <c r="O10" i="5925"/>
  <c r="C10" i="5925"/>
  <c r="C9" i="5925"/>
  <c r="C8" i="5925"/>
  <c r="O7" i="5925"/>
  <c r="C7" i="5925"/>
  <c r="O6" i="5925"/>
  <c r="B6" i="5925"/>
  <c r="O5" i="5925"/>
  <c r="B5" i="5925"/>
  <c r="O4" i="5925"/>
  <c r="O3" i="5925"/>
  <c r="O2" i="5925"/>
  <c r="O20" i="5923"/>
  <c r="O18" i="5923"/>
  <c r="C29" i="5923"/>
  <c r="B26" i="5923"/>
  <c r="B25" i="5923"/>
  <c r="C20" i="5923"/>
  <c r="B17" i="5923"/>
  <c r="H51" i="5923" s="1"/>
  <c r="C16" i="5923"/>
  <c r="C15" i="5923"/>
  <c r="C14" i="5923"/>
  <c r="C13" i="5923"/>
  <c r="O12" i="5923"/>
  <c r="C12" i="5923"/>
  <c r="O11" i="5923"/>
  <c r="C11" i="5923"/>
  <c r="O10" i="5923"/>
  <c r="C10" i="5923"/>
  <c r="C9" i="5923"/>
  <c r="C8" i="5923"/>
  <c r="O7" i="5923"/>
  <c r="C7" i="5923"/>
  <c r="O6" i="5923"/>
  <c r="B6" i="5923"/>
  <c r="O5" i="5923"/>
  <c r="B5" i="5923"/>
  <c r="O4" i="5923"/>
  <c r="O3" i="5923"/>
  <c r="O2" i="5923"/>
  <c r="O17" i="5913"/>
  <c r="O19" i="5921"/>
  <c r="O17" i="5921"/>
  <c r="C29" i="5921"/>
  <c r="B26" i="5921"/>
  <c r="B25" i="5921"/>
  <c r="C20" i="5921"/>
  <c r="B17" i="5921"/>
  <c r="H51" i="5921" s="1"/>
  <c r="C16" i="5921"/>
  <c r="C15" i="5921"/>
  <c r="C14" i="5921"/>
  <c r="C13" i="5921"/>
  <c r="O12" i="5921"/>
  <c r="C12" i="5921"/>
  <c r="O11" i="5921"/>
  <c r="C11" i="5921"/>
  <c r="O10" i="5921"/>
  <c r="C10" i="5921"/>
  <c r="C9" i="5921"/>
  <c r="C8" i="5921"/>
  <c r="O7" i="5921"/>
  <c r="C7" i="5921"/>
  <c r="O6" i="5921"/>
  <c r="B6" i="5921"/>
  <c r="O5" i="5921"/>
  <c r="B5" i="5921"/>
  <c r="O4" i="5921"/>
  <c r="O3" i="5921"/>
  <c r="O2" i="5921"/>
  <c r="O19" i="5913"/>
  <c r="O22" i="5913"/>
  <c r="H4" i="5925" l="1"/>
  <c r="H11" i="5925"/>
  <c r="H2" i="5925"/>
  <c r="H3" i="5925"/>
  <c r="H2" i="5921"/>
  <c r="H4" i="5921"/>
  <c r="H3" i="5921"/>
  <c r="H8" i="5921"/>
  <c r="C17" i="5925"/>
  <c r="H30" i="5925"/>
  <c r="H31" i="5925"/>
  <c r="H23" i="5925"/>
  <c r="H24" i="5925"/>
  <c r="H33" i="5925"/>
  <c r="C31" i="5925"/>
  <c r="C33" i="5925"/>
  <c r="C35" i="5925"/>
  <c r="C37" i="5925"/>
  <c r="C39" i="5925"/>
  <c r="C41" i="5925"/>
  <c r="C43" i="5925"/>
  <c r="H48" i="5925"/>
  <c r="H16" i="5925"/>
  <c r="H8" i="5925"/>
  <c r="H22" i="5925"/>
  <c r="H29" i="5925"/>
  <c r="C19" i="5925"/>
  <c r="H14" i="5925"/>
  <c r="B24" i="5925"/>
  <c r="H26" i="5925"/>
  <c r="H36" i="5925"/>
  <c r="H38" i="5925"/>
  <c r="H40" i="5925"/>
  <c r="H27" i="5925"/>
  <c r="H43" i="5925"/>
  <c r="H45" i="5925"/>
  <c r="H49" i="5925"/>
  <c r="H5" i="5925"/>
  <c r="H12" i="5925"/>
  <c r="H7" i="5925"/>
  <c r="H10" i="5925"/>
  <c r="H21" i="5925"/>
  <c r="H15" i="5925"/>
  <c r="H19" i="5925"/>
  <c r="H32" i="5925"/>
  <c r="H13" i="5925"/>
  <c r="H25" i="5925"/>
  <c r="H20" i="5925"/>
  <c r="C32" i="5925"/>
  <c r="C34" i="5925"/>
  <c r="C36" i="5925"/>
  <c r="C38" i="5925"/>
  <c r="C40" i="5925"/>
  <c r="C42" i="5925"/>
  <c r="H46" i="5925"/>
  <c r="H50" i="5925"/>
  <c r="H52" i="5925"/>
  <c r="H6" i="5925"/>
  <c r="H17" i="5925"/>
  <c r="H28" i="5925"/>
  <c r="H18" i="5925"/>
  <c r="C18" i="5925"/>
  <c r="B23" i="5925"/>
  <c r="H9" i="5925"/>
  <c r="H34" i="5925"/>
  <c r="H35" i="5925"/>
  <c r="H37" i="5925"/>
  <c r="H39" i="5925"/>
  <c r="H41" i="5925"/>
  <c r="H42" i="5925"/>
  <c r="H44" i="5925"/>
  <c r="H47" i="5925"/>
  <c r="H2" i="5923"/>
  <c r="H3" i="5923"/>
  <c r="H4" i="5923"/>
  <c r="H11" i="5923"/>
  <c r="C17" i="5923"/>
  <c r="H30" i="5923"/>
  <c r="H31" i="5923"/>
  <c r="H23" i="5923"/>
  <c r="H33" i="5923"/>
  <c r="H24" i="5923"/>
  <c r="C31" i="5923"/>
  <c r="C33" i="5923"/>
  <c r="C35" i="5923"/>
  <c r="C37" i="5923"/>
  <c r="C39" i="5923"/>
  <c r="C41" i="5923"/>
  <c r="C43" i="5923"/>
  <c r="H48" i="5923"/>
  <c r="H12" i="5923"/>
  <c r="H9" i="5923"/>
  <c r="H20" i="5923"/>
  <c r="H29" i="5923"/>
  <c r="C19" i="5923"/>
  <c r="H14" i="5923"/>
  <c r="B24" i="5923"/>
  <c r="H25" i="5923"/>
  <c r="H36" i="5923"/>
  <c r="H26" i="5923"/>
  <c r="H39" i="5923"/>
  <c r="H41" i="5923"/>
  <c r="H43" i="5923"/>
  <c r="H45" i="5923"/>
  <c r="H49" i="5923"/>
  <c r="H6" i="5923"/>
  <c r="H10" i="5923"/>
  <c r="H7" i="5923"/>
  <c r="H13" i="5923"/>
  <c r="H27" i="5923"/>
  <c r="H22" i="5923"/>
  <c r="H16" i="5923"/>
  <c r="H32" i="5923"/>
  <c r="H15" i="5923"/>
  <c r="H34" i="5923"/>
  <c r="H18" i="5923"/>
  <c r="C32" i="5923"/>
  <c r="C34" i="5923"/>
  <c r="C36" i="5923"/>
  <c r="C38" i="5923"/>
  <c r="C40" i="5923"/>
  <c r="C42" i="5923"/>
  <c r="H46" i="5923"/>
  <c r="H50" i="5923"/>
  <c r="H52" i="5923"/>
  <c r="H5" i="5923"/>
  <c r="H19" i="5923"/>
  <c r="H28" i="5923"/>
  <c r="H21" i="5923"/>
  <c r="C18" i="5923"/>
  <c r="B23" i="5923"/>
  <c r="H8" i="5923"/>
  <c r="H17" i="5923"/>
  <c r="H35" i="5923"/>
  <c r="H37" i="5923"/>
  <c r="H38" i="5923"/>
  <c r="H40" i="5923"/>
  <c r="H42" i="5923"/>
  <c r="H44" i="5923"/>
  <c r="H47" i="5923"/>
  <c r="C17" i="5921"/>
  <c r="H25" i="5921"/>
  <c r="H26" i="5921"/>
  <c r="H28" i="5921"/>
  <c r="H29" i="5921"/>
  <c r="H31" i="5921"/>
  <c r="C31" i="5921"/>
  <c r="C33" i="5921"/>
  <c r="C35" i="5921"/>
  <c r="C37" i="5921"/>
  <c r="C39" i="5921"/>
  <c r="C41" i="5921"/>
  <c r="C43" i="5921"/>
  <c r="H48" i="5921"/>
  <c r="H17" i="5921"/>
  <c r="H9" i="5921"/>
  <c r="H18" i="5921"/>
  <c r="H24" i="5921"/>
  <c r="C19" i="5921"/>
  <c r="H12" i="5921"/>
  <c r="B24" i="5921"/>
  <c r="H33" i="5921"/>
  <c r="H35" i="5921"/>
  <c r="H37" i="5921"/>
  <c r="H39" i="5921"/>
  <c r="H41" i="5921"/>
  <c r="H43" i="5921"/>
  <c r="H45" i="5921"/>
  <c r="H49" i="5921"/>
  <c r="H5" i="5921"/>
  <c r="H10" i="5921"/>
  <c r="H6" i="5921"/>
  <c r="H13" i="5921"/>
  <c r="H22" i="5921"/>
  <c r="H19" i="5921"/>
  <c r="H16" i="5921"/>
  <c r="H27" i="5921"/>
  <c r="H15" i="5921"/>
  <c r="H30" i="5921"/>
  <c r="H20" i="5921"/>
  <c r="C32" i="5921"/>
  <c r="C34" i="5921"/>
  <c r="C36" i="5921"/>
  <c r="C38" i="5921"/>
  <c r="C40" i="5921"/>
  <c r="C42" i="5921"/>
  <c r="H46" i="5921"/>
  <c r="H50" i="5921"/>
  <c r="H52" i="5921"/>
  <c r="H7" i="5921"/>
  <c r="H21" i="5921"/>
  <c r="H23" i="5921"/>
  <c r="H14" i="5921"/>
  <c r="C18" i="5921"/>
  <c r="B23" i="5921"/>
  <c r="H11" i="5921"/>
  <c r="H32" i="5921"/>
  <c r="H34" i="5921"/>
  <c r="H36" i="5921"/>
  <c r="H38" i="5921"/>
  <c r="H40" i="5921"/>
  <c r="H42" i="5921"/>
  <c r="H44" i="5921"/>
  <c r="H47" i="5921"/>
  <c r="O22" i="5919" l="1"/>
  <c r="O20" i="5919"/>
  <c r="C29" i="5919"/>
  <c r="B26" i="5919"/>
  <c r="B25" i="5919"/>
  <c r="C20" i="5919"/>
  <c r="B17" i="5919"/>
  <c r="H51" i="5919" s="1"/>
  <c r="C16" i="5919"/>
  <c r="C15" i="5919"/>
  <c r="C14" i="5919"/>
  <c r="C13" i="5919"/>
  <c r="O12" i="5919"/>
  <c r="C12" i="5919"/>
  <c r="O11" i="5919"/>
  <c r="C11" i="5919"/>
  <c r="O10" i="5919"/>
  <c r="C10" i="5919"/>
  <c r="C9" i="5919"/>
  <c r="C8" i="5919"/>
  <c r="O7" i="5919"/>
  <c r="C7" i="5919"/>
  <c r="O6" i="5919"/>
  <c r="B6" i="5919"/>
  <c r="O5" i="5919"/>
  <c r="B5" i="5919"/>
  <c r="O4" i="5919"/>
  <c r="O3" i="5919"/>
  <c r="O2" i="5919"/>
  <c r="O20" i="5917"/>
  <c r="O19" i="5917"/>
  <c r="C29" i="5917"/>
  <c r="B26" i="5917"/>
  <c r="B25" i="5917"/>
  <c r="C20" i="5917"/>
  <c r="B17" i="5917"/>
  <c r="H16" i="5917" s="1"/>
  <c r="C16" i="5917"/>
  <c r="C15" i="5917"/>
  <c r="C14" i="5917"/>
  <c r="C13" i="5917"/>
  <c r="O12" i="5917"/>
  <c r="C12" i="5917"/>
  <c r="O11" i="5917"/>
  <c r="C11" i="5917"/>
  <c r="O10" i="5917"/>
  <c r="C10" i="5917"/>
  <c r="C9" i="5917"/>
  <c r="C8" i="5917"/>
  <c r="O7" i="5917"/>
  <c r="C7" i="5917"/>
  <c r="O6" i="5917"/>
  <c r="B6" i="5917"/>
  <c r="O5" i="5917"/>
  <c r="B5" i="5917"/>
  <c r="O4" i="5917"/>
  <c r="O3" i="5917"/>
  <c r="O2" i="5917"/>
  <c r="O18" i="5913"/>
  <c r="O18" i="5915"/>
  <c r="O17" i="5915"/>
  <c r="C29" i="5915"/>
  <c r="B26" i="5915"/>
  <c r="B25" i="5915"/>
  <c r="C20" i="5915"/>
  <c r="B17" i="5915"/>
  <c r="H52" i="5915" s="1"/>
  <c r="C16" i="5915"/>
  <c r="C15" i="5915"/>
  <c r="C14" i="5915"/>
  <c r="C13" i="5915"/>
  <c r="O12" i="5915"/>
  <c r="C12" i="5915"/>
  <c r="O11" i="5915"/>
  <c r="C11" i="5915"/>
  <c r="O10" i="5915"/>
  <c r="C10" i="5915"/>
  <c r="C9" i="5915"/>
  <c r="C8" i="5915"/>
  <c r="O7" i="5915"/>
  <c r="C7" i="5915"/>
  <c r="O6" i="5915"/>
  <c r="B6" i="5915"/>
  <c r="O5" i="5915"/>
  <c r="B5" i="5915"/>
  <c r="O4" i="5915"/>
  <c r="O3" i="5915"/>
  <c r="O2" i="5915"/>
  <c r="O21" i="5913"/>
  <c r="O23" i="5913"/>
  <c r="C29" i="5913"/>
  <c r="B26" i="5913"/>
  <c r="B25" i="5913"/>
  <c r="C20" i="5913"/>
  <c r="B17" i="5913"/>
  <c r="H15" i="5913" s="1"/>
  <c r="C16" i="5913"/>
  <c r="C15" i="5913"/>
  <c r="C14" i="5913"/>
  <c r="C13" i="5913"/>
  <c r="O12" i="5913"/>
  <c r="C12" i="5913"/>
  <c r="O11" i="5913"/>
  <c r="C11" i="5913"/>
  <c r="O10" i="5913"/>
  <c r="C10" i="5913"/>
  <c r="C9" i="5913"/>
  <c r="C8" i="5913"/>
  <c r="O7" i="5913"/>
  <c r="C7" i="5913"/>
  <c r="O6" i="5913"/>
  <c r="B6" i="5913"/>
  <c r="O5" i="5913"/>
  <c r="B5" i="5913"/>
  <c r="O4" i="5913"/>
  <c r="O3" i="5913"/>
  <c r="O2" i="5913"/>
  <c r="H5" i="5915" l="1"/>
  <c r="H3" i="5915"/>
  <c r="H2" i="5915"/>
  <c r="H9" i="5915"/>
  <c r="H7" i="5917"/>
  <c r="H5" i="5919"/>
  <c r="H12" i="5919"/>
  <c r="C17" i="5919"/>
  <c r="H2" i="5919"/>
  <c r="H3" i="5919"/>
  <c r="C41" i="5919"/>
  <c r="H28" i="5919"/>
  <c r="H29" i="5919"/>
  <c r="H30" i="5919"/>
  <c r="H31" i="5919"/>
  <c r="H33" i="5919"/>
  <c r="C31" i="5919"/>
  <c r="C33" i="5919"/>
  <c r="C35" i="5919"/>
  <c r="C37" i="5919"/>
  <c r="C39" i="5919"/>
  <c r="C43" i="5919"/>
  <c r="H48" i="5919"/>
  <c r="H20" i="5919"/>
  <c r="H9" i="5919"/>
  <c r="H22" i="5919"/>
  <c r="H24" i="5919"/>
  <c r="C19" i="5919"/>
  <c r="H14" i="5919"/>
  <c r="B24" i="5919"/>
  <c r="H34" i="5919"/>
  <c r="H26" i="5919"/>
  <c r="H37" i="5919"/>
  <c r="H39" i="5919"/>
  <c r="H41" i="5919"/>
  <c r="H43" i="5919"/>
  <c r="H45" i="5919"/>
  <c r="H49" i="5919"/>
  <c r="H4" i="5919"/>
  <c r="H11" i="5919"/>
  <c r="H6" i="5919"/>
  <c r="H10" i="5919"/>
  <c r="H21" i="5919"/>
  <c r="H18" i="5919"/>
  <c r="H17" i="5919"/>
  <c r="H25" i="5919"/>
  <c r="H13" i="5919"/>
  <c r="H32" i="5919"/>
  <c r="H16" i="5919"/>
  <c r="C32" i="5919"/>
  <c r="C34" i="5919"/>
  <c r="C36" i="5919"/>
  <c r="C38" i="5919"/>
  <c r="C40" i="5919"/>
  <c r="C42" i="5919"/>
  <c r="H46" i="5919"/>
  <c r="H50" i="5919"/>
  <c r="H52" i="5919"/>
  <c r="H7" i="5919"/>
  <c r="H23" i="5919"/>
  <c r="H27" i="5919"/>
  <c r="H15" i="5919"/>
  <c r="C18" i="5919"/>
  <c r="B23" i="5919"/>
  <c r="H8" i="5919"/>
  <c r="H19" i="5919"/>
  <c r="H35" i="5919"/>
  <c r="H36" i="5919"/>
  <c r="H38" i="5919"/>
  <c r="H40" i="5919"/>
  <c r="H42" i="5919"/>
  <c r="H44" i="5919"/>
  <c r="H47" i="5919"/>
  <c r="H35" i="5917"/>
  <c r="H31" i="5917"/>
  <c r="C18" i="5917"/>
  <c r="H13" i="5917"/>
  <c r="C42" i="5917"/>
  <c r="H12" i="5917"/>
  <c r="H42" i="5917"/>
  <c r="H30" i="5917"/>
  <c r="C34" i="5917"/>
  <c r="H47" i="5917"/>
  <c r="H2" i="5917"/>
  <c r="H4" i="5917"/>
  <c r="H3" i="5917"/>
  <c r="H15" i="5917"/>
  <c r="H14" i="5917"/>
  <c r="H9" i="5917"/>
  <c r="H39" i="5917"/>
  <c r="H5" i="5917"/>
  <c r="C19" i="5917"/>
  <c r="H18" i="5917"/>
  <c r="C32" i="5917"/>
  <c r="H37" i="5917"/>
  <c r="H40" i="5917"/>
  <c r="C40" i="5917"/>
  <c r="H45" i="5917"/>
  <c r="H49" i="5917"/>
  <c r="H52" i="5917"/>
  <c r="H8" i="5917"/>
  <c r="H20" i="5917"/>
  <c r="H17" i="5917"/>
  <c r="C17" i="5917"/>
  <c r="H22" i="5917"/>
  <c r="B23" i="5917"/>
  <c r="H25" i="5917"/>
  <c r="H36" i="5917"/>
  <c r="H38" i="5917"/>
  <c r="C38" i="5917"/>
  <c r="H43" i="5917"/>
  <c r="H46" i="5917"/>
  <c r="H50" i="5917"/>
  <c r="H10" i="5917"/>
  <c r="H6" i="5917"/>
  <c r="H11" i="5917"/>
  <c r="H26" i="5917"/>
  <c r="H21" i="5917"/>
  <c r="B24" i="5917"/>
  <c r="H24" i="5917"/>
  <c r="H19" i="5917"/>
  <c r="H28" i="5917"/>
  <c r="C36" i="5917"/>
  <c r="H41" i="5917"/>
  <c r="H44" i="5917"/>
  <c r="H29" i="5917"/>
  <c r="H51" i="5917"/>
  <c r="H32" i="5917"/>
  <c r="H33" i="5917"/>
  <c r="H23" i="5917"/>
  <c r="H34" i="5917"/>
  <c r="H27" i="5917"/>
  <c r="C31" i="5917"/>
  <c r="C33" i="5917"/>
  <c r="C35" i="5917"/>
  <c r="C37" i="5917"/>
  <c r="C39" i="5917"/>
  <c r="C41" i="5917"/>
  <c r="C43" i="5917"/>
  <c r="H48" i="5917"/>
  <c r="H33" i="5913"/>
  <c r="H43" i="5913"/>
  <c r="H35" i="5913"/>
  <c r="B23" i="5913"/>
  <c r="H2" i="5913"/>
  <c r="H12" i="5913"/>
  <c r="C18" i="5913"/>
  <c r="H29" i="5913"/>
  <c r="H7" i="5913"/>
  <c r="H23" i="5913"/>
  <c r="H18" i="5913"/>
  <c r="H4" i="5913"/>
  <c r="H22" i="5913"/>
  <c r="H19" i="5913"/>
  <c r="H38" i="5913"/>
  <c r="H10" i="5913"/>
  <c r="H6" i="5913"/>
  <c r="H16" i="5913"/>
  <c r="H40" i="5913"/>
  <c r="C17" i="5915"/>
  <c r="H30" i="5915"/>
  <c r="C43" i="5915"/>
  <c r="H8" i="5915"/>
  <c r="H23" i="5915"/>
  <c r="H24" i="5915"/>
  <c r="H25" i="5915"/>
  <c r="C18" i="5915"/>
  <c r="B23" i="5915"/>
  <c r="H13" i="5915"/>
  <c r="H32" i="5915"/>
  <c r="H33" i="5915"/>
  <c r="H35" i="5915"/>
  <c r="H37" i="5915"/>
  <c r="H39" i="5915"/>
  <c r="H41" i="5915"/>
  <c r="H43" i="5915"/>
  <c r="H46" i="5915"/>
  <c r="H50" i="5915"/>
  <c r="H26" i="5915"/>
  <c r="H29" i="5915"/>
  <c r="H31" i="5915"/>
  <c r="C33" i="5915"/>
  <c r="C37" i="5915"/>
  <c r="C41" i="5915"/>
  <c r="H47" i="5915"/>
  <c r="H7" i="5915"/>
  <c r="H19" i="5915"/>
  <c r="H20" i="5915"/>
  <c r="C19" i="5915"/>
  <c r="H11" i="5915"/>
  <c r="B24" i="5915"/>
  <c r="H22" i="5915"/>
  <c r="H34" i="5915"/>
  <c r="H36" i="5915"/>
  <c r="H38" i="5915"/>
  <c r="H40" i="5915"/>
  <c r="H42" i="5915"/>
  <c r="H44" i="5915"/>
  <c r="H48" i="5915"/>
  <c r="H4" i="5915"/>
  <c r="H27" i="5915"/>
  <c r="C31" i="5915"/>
  <c r="C35" i="5915"/>
  <c r="C39" i="5915"/>
  <c r="H51" i="5915"/>
  <c r="H12" i="5915"/>
  <c r="H6" i="5915"/>
  <c r="H10" i="5915"/>
  <c r="H18" i="5915"/>
  <c r="H21" i="5915"/>
  <c r="H14" i="5915"/>
  <c r="H28" i="5915"/>
  <c r="H15" i="5915"/>
  <c r="H17" i="5915"/>
  <c r="H16" i="5915"/>
  <c r="C32" i="5915"/>
  <c r="C34" i="5915"/>
  <c r="C36" i="5915"/>
  <c r="C38" i="5915"/>
  <c r="C40" i="5915"/>
  <c r="C42" i="5915"/>
  <c r="H45" i="5915"/>
  <c r="H49" i="5915"/>
  <c r="H13" i="5913"/>
  <c r="C36" i="5913"/>
  <c r="H46" i="5913"/>
  <c r="H34" i="5913"/>
  <c r="H17" i="5913"/>
  <c r="B24" i="5913"/>
  <c r="H26" i="5913"/>
  <c r="H21" i="5913"/>
  <c r="C34" i="5913"/>
  <c r="C38" i="5913"/>
  <c r="H44" i="5913"/>
  <c r="H47" i="5913"/>
  <c r="H11" i="5913"/>
  <c r="H3" i="5913"/>
  <c r="H8" i="5913"/>
  <c r="H20" i="5913"/>
  <c r="H24" i="5913"/>
  <c r="C17" i="5913"/>
  <c r="H14" i="5913"/>
  <c r="H9" i="5913"/>
  <c r="H28" i="5913"/>
  <c r="H32" i="5913"/>
  <c r="H42" i="5913"/>
  <c r="C42" i="5913"/>
  <c r="H5" i="5913"/>
  <c r="H50" i="5913"/>
  <c r="H51" i="5913"/>
  <c r="C19" i="5913"/>
  <c r="H27" i="5913"/>
  <c r="C32" i="5913"/>
  <c r="H39" i="5913"/>
  <c r="H41" i="5913"/>
  <c r="C40" i="5913"/>
  <c r="H45" i="5913"/>
  <c r="H49" i="5913"/>
  <c r="H52" i="5913"/>
  <c r="H36" i="5913"/>
  <c r="H37" i="5913"/>
  <c r="H25" i="5913"/>
  <c r="H30" i="5913"/>
  <c r="H31" i="5913"/>
  <c r="C31" i="5913"/>
  <c r="C33" i="5913"/>
  <c r="C35" i="5913"/>
  <c r="C37" i="5913"/>
  <c r="C39" i="5913"/>
  <c r="C41" i="5913"/>
  <c r="C43" i="5913"/>
  <c r="H48" i="5913"/>
  <c r="C33" i="2228" l="1"/>
  <c r="C43" i="2228" l="1"/>
  <c r="C42" i="2228"/>
  <c r="C41" i="2228"/>
  <c r="C40" i="2228"/>
  <c r="C39" i="2228"/>
  <c r="C38" i="2228"/>
  <c r="C37" i="2228"/>
  <c r="C36" i="2228"/>
  <c r="C35" i="2228"/>
  <c r="C34" i="2228"/>
  <c r="C32" i="2228"/>
  <c r="C31" i="2228"/>
  <c r="C18" i="2228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<sst xmlns="http://schemas.openxmlformats.org/spreadsheetml/2006/main" count="3032" uniqueCount="266">
  <si>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</si>
  <si>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</si>
  <si>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</si>
  <si>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</si>
  <si>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</si>
  <si>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</si>
  <si>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</si>
  <si>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</si>
  <si>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</si>
  <si>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</si>
  <si>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</si>
  <si>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</si>
  <si>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</si>
  <si>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</si>
  <si>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</si>
  <si>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</si>
  <si>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</si>
  <si>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</si>
  <si>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</si>
  <si>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</si>
  <si>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</si>
  <si>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</si>
  <si>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</si>
  <si>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</si>
  <si>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</si>
  <si>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</si>
  <si>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</si>
  <si>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</si>
  <si>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</si>
  <si>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</si>
  <si>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</si>
  <si>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</si>
  <si>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</si>
  <si>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</si>
  <si>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</si>
  <si>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</si>
  <si>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</si>
  <si>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</si>
  <si>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</si>
  <si>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</si>
  <si>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</si>
  <si>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</si>
  <si>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</si>
  <si>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</si>
  <si>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</si>
  <si>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</si>
  <si>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</si>
  <si>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</si>
  <si>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</si>
  <si>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</si>
  <si>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</si>
  <si>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</si>
  <si>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</si>
  <si>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</si>
  <si>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</si>
  <si>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</si>
  <si>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</si>
  <si>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</si>
  <si>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</si>
  <si>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</si>
  <si>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</si>
  <si>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</si>
  <si>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</si>
  <si>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</si>
  <si>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</si>
  <si>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</si>
  <si>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</si>
  <si>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</si>
  <si>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</si>
  <si>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</si>
  <si>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</si>
  <si>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</si>
  <si>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</si>
  <si>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</si>
  <si>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</si>
  <si>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</si>
  <si>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</si>
  <si>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</si>
  <si>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</si>
  <si>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</si>
  <si>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</si>
  <si>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</si>
  <si>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</si>
  <si>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</si>
  <si>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</si>
  <si>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</si>
  <si>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</si>
  <si>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</si>
  <si>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</si>
  <si>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</si>
  <si>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</si>
  <si>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</si>
  <si>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</si>
  <si>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</si>
  <si>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</si>
  <si>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</si>
  <si>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</si>
  <si>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</si>
  <si>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</si>
  <si>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</si>
  <si>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</si>
  <si>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</si>
  <si>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</si>
  <si>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</si>
  <si>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</si>
  <si>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</si>
  <si>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</si>
  <si>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</si>
  <si>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</si>
  <si>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</si>
  <si>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</si>
  <si>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</si>
  <si>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</si>
  <si>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</si>
  <si>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</si>
  <si>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</si>
  <si>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</si>
  <si>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</si>
  <si>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</si>
  <si>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</si>
  <si>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</si>
  <si>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</si>
  <si>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</si>
  <si>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</si>
  <si>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</si>
  <si>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</si>
  <si>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</si>
  <si>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</si>
  <si>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</si>
  <si>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</si>
  <si>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</si>
  <si>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</si>
  <si>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</si>
  <si>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</si>
  <si>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</si>
  <si>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</si>
  <si>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</si>
  <si>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</si>
  <si>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</si>
  <si>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</si>
  <si>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</si>
  <si>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</si>
  <si>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</si>
  <si>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</si>
  <si>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</si>
  <si>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</si>
  <si>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</si>
  <si>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</si>
  <si>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</si>
  <si>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</si>
  <si>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</si>
  <si>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</si>
  <si>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</si>
  <si>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</si>
  <si>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</si>
  <si>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</si>
  <si>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</si>
  <si>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</si>
  <si>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</si>
  <si>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</si>
  <si>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</si>
  <si>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</si>
  <si>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</si>
  <si>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</si>
  <si>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</si>
  <si>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</si>
  <si>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</si>
  <si>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</si>
  <si>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</si>
  <si>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</si>
  <si>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</si>
  <si>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</si>
  <si>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</si>
  <si>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</si>
  <si>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</si>
  <si>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</si>
  <si>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</si>
  <si>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</si>
  <si>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</si>
  <si>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</si>
  <si>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</si>
  <si>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</si>
  <si>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</si>
  <si>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</si>
  <si>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</si>
  <si>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</si>
  <si>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</si>
  <si>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</si>
  <si>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</si>
  <si>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</si>
  <si>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</si>
  <si>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</si>
  <si>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</si>
  <si>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</si>
  <si>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</si>
  <si>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</si>
  <si>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</si>
  <si>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</si>
  <si>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</si>
  <si>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</si>
  <si>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</si>
  <si>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</si>
  <si>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</si>
  <si>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</si>
  <si>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</si>
  <si>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</si>
  <si>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</si>
  <si>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</si>
  <si>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</si>
  <si>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</si>
  <si>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</si>
  <si>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</si>
  <si>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</si>
  <si>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</si>
  <si>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</si>
  <si>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</si>
  <si>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</si>
  <si>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</si>
  <si>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</si>
  <si>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</si>
  <si>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</si>
  <si>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</si>
  <si>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</si>
  <si>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</si>
  <si>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</si>
  <si>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</si>
  <si>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</si>
  <si>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</si>
  <si>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</si>
  <si>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</si>
  <si>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</si>
  <si>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</si>
  <si>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</si>
  <si>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</si>
  <si>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</si>
  <si>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</si>
  <si>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</si>
  <si>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</si>
  <si>
    <t>2019-11-01@2.xlsm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</si>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</sst>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Template1!$B$31:$B$43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全体!$K$2:$K$620</c:f>
              <c:numCache>
                <c:formatCode>General</c:formatCode>
                <c:ptCount val="6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</c:numCache>
            </c:numRef>
          </c:xVal>
          <c:yVal>
            <c:numRef>
              <c:f>全体!$L$2:$L$620</c:f>
              <c:numCache>
                <c:formatCode>\+0.0;\-0.0;\±0</c:formatCode>
                <c:ptCount val="619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BD-434F-A706-B50A6CA37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-24.390243902439025</c:v>
                </c:pt>
                <c:pt idx="1">
                  <c:v>11.608623548922056</c:v>
                </c:pt>
                <c:pt idx="2">
                  <c:v>-15.789473684210526</c:v>
                </c:pt>
                <c:pt idx="3">
                  <c:v>11.173184357541899</c:v>
                </c:pt>
                <c:pt idx="4">
                  <c:v>10.040160642570282</c:v>
                </c:pt>
                <c:pt idx="5">
                  <c:v>14.492753623188406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CC-4820-A77A-9DD8A927A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全体!$B$31:$B$43</c:f>
              <c:numCache>
                <c:formatCode>0\ "回"</c:formatCode>
                <c:ptCount val="13"/>
                <c:pt idx="0">
                  <c:v>111</c:v>
                </c:pt>
                <c:pt idx="1">
                  <c:v>251</c:v>
                </c:pt>
                <c:pt idx="2">
                  <c:v>315</c:v>
                </c:pt>
                <c:pt idx="3">
                  <c:v>269</c:v>
                </c:pt>
                <c:pt idx="4">
                  <c:v>242</c:v>
                </c:pt>
                <c:pt idx="5">
                  <c:v>154</c:v>
                </c:pt>
                <c:pt idx="6">
                  <c:v>82</c:v>
                </c:pt>
                <c:pt idx="7">
                  <c:v>42</c:v>
                </c:pt>
                <c:pt idx="8">
                  <c:v>18</c:v>
                </c:pt>
                <c:pt idx="9">
                  <c:v>7</c:v>
                </c:pt>
                <c:pt idx="10">
                  <c:v>5</c:v>
                </c:pt>
                <c:pt idx="11">
                  <c:v>5</c:v>
                </c:pt>
                <c:pt idx="1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6-4897-8789-F1D9E7E15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たかの!$L$2:$L$58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4C-4E68-A082-EDC9B1166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1325</c:v>
                </c:pt>
                <c:pt idx="1">
                  <c:v>-881.81818181818187</c:v>
                </c:pt>
                <c:pt idx="2">
                  <c:v>-1754.7169811320755</c:v>
                </c:pt>
                <c:pt idx="3">
                  <c:v>-1473.0769230769231</c:v>
                </c:pt>
                <c:pt idx="4">
                  <c:v>25.490196078431371</c:v>
                </c:pt>
                <c:pt idx="5">
                  <c:v>-1881.8181818181818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E-47A2-B415-C7A89443B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たかの!$B$31:$B$43</c:f>
              <c:numCache>
                <c:formatCode>0\ "回"</c:formatCode>
                <c:ptCount val="13"/>
                <c:pt idx="0">
                  <c:v>18</c:v>
                </c:pt>
                <c:pt idx="1">
                  <c:v>26</c:v>
                </c:pt>
                <c:pt idx="2">
                  <c:v>31</c:v>
                </c:pt>
                <c:pt idx="3">
                  <c:v>19</c:v>
                </c:pt>
                <c:pt idx="4">
                  <c:v>15</c:v>
                </c:pt>
                <c:pt idx="5">
                  <c:v>10</c:v>
                </c:pt>
                <c:pt idx="6">
                  <c:v>8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86-41A4-9383-13AAE2ED2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だいち!$K$2:$K$128</c:f>
              <c:numCache>
                <c:formatCode>General</c:formatCode>
                <c:ptCount val="1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</c:numCache>
            </c:numRef>
          </c:xVal>
          <c:yVal>
            <c:numRef>
              <c:f>だいち!$L$2:$L$128</c:f>
              <c:numCache>
                <c:formatCode>\+0.0;\-0.0;\±0</c:formatCode>
                <c:ptCount val="12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36-40DD-B7A6-9D6A7C38C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1171.2</c:v>
                </c:pt>
                <c:pt idx="1">
                  <c:v>909.01639344262298</c:v>
                </c:pt>
                <c:pt idx="2">
                  <c:v>1058.4745762711864</c:v>
                </c:pt>
                <c:pt idx="3">
                  <c:v>237.61467889908258</c:v>
                </c:pt>
                <c:pt idx="4">
                  <c:v>2217.4757281553398</c:v>
                </c:pt>
                <c:pt idx="5">
                  <c:v>2300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E3-4633-9EDB-6C2CB0A4D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だいち!$B$31:$B$43</c:f>
              <c:numCache>
                <c:formatCode>0\ "回"</c:formatCode>
                <c:ptCount val="13"/>
                <c:pt idx="0">
                  <c:v>28</c:v>
                </c:pt>
                <c:pt idx="1">
                  <c:v>63</c:v>
                </c:pt>
                <c:pt idx="2">
                  <c:v>77</c:v>
                </c:pt>
                <c:pt idx="3">
                  <c:v>67</c:v>
                </c:pt>
                <c:pt idx="4">
                  <c:v>50</c:v>
                </c:pt>
                <c:pt idx="5">
                  <c:v>34</c:v>
                </c:pt>
                <c:pt idx="6">
                  <c:v>16</c:v>
                </c:pt>
                <c:pt idx="7">
                  <c:v>4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37-42CC-9F66-6FB5589B8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ただ!$L$2:$L$117</c:f>
              <c:numCache>
                <c:formatCode>\+0.0;\-0.0;\±0</c:formatCode>
                <c:ptCount val="116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DA-4333-9441-727747DD4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-1521.9298245614036</c:v>
                </c:pt>
                <c:pt idx="1">
                  <c:v>1868.75</c:v>
                </c:pt>
                <c:pt idx="2">
                  <c:v>-81.730769230769226</c:v>
                </c:pt>
                <c:pt idx="3">
                  <c:v>768.36734693877554</c:v>
                </c:pt>
                <c:pt idx="4">
                  <c:v>-1232.967032967033</c:v>
                </c:pt>
                <c:pt idx="5">
                  <c:v>1503.8961038961038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EB-4CFE-85B8-25022E712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ただ!$B$31:$B$43</c:f>
              <c:numCache>
                <c:formatCode>0\ "回"</c:formatCode>
                <c:ptCount val="13"/>
                <c:pt idx="0">
                  <c:v>20</c:v>
                </c:pt>
                <c:pt idx="1">
                  <c:v>44</c:v>
                </c:pt>
                <c:pt idx="2">
                  <c:v>67</c:v>
                </c:pt>
                <c:pt idx="3">
                  <c:v>60</c:v>
                </c:pt>
                <c:pt idx="4">
                  <c:v>45</c:v>
                </c:pt>
                <c:pt idx="5">
                  <c:v>31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F-4640-BCF0-DA71A8FE2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りくと!$L$2:$L$73</c:f>
              <c:numCache>
                <c:formatCode>\+0.0;\-0.0;\±0</c:formatCode>
                <c:ptCount val="7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9A-4A48-ACBC-6B14BC3D9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-70</c:v>
                </c:pt>
                <c:pt idx="1">
                  <c:v>-1265.7142857142858</c:v>
                </c:pt>
                <c:pt idx="2">
                  <c:v>865.625</c:v>
                </c:pt>
                <c:pt idx="3">
                  <c:v>-1303.1746031746031</c:v>
                </c:pt>
                <c:pt idx="4">
                  <c:v>-2995</c:v>
                </c:pt>
                <c:pt idx="5">
                  <c:v>-1538.4615384615386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58-4691-AFEB-C940FF767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りくと!$B$31:$B$43</c:f>
              <c:numCache>
                <c:formatCode>0\ "回"</c:formatCode>
                <c:ptCount val="13"/>
                <c:pt idx="0">
                  <c:v>12</c:v>
                </c:pt>
                <c:pt idx="1">
                  <c:v>28</c:v>
                </c:pt>
                <c:pt idx="2">
                  <c:v>38</c:v>
                </c:pt>
                <c:pt idx="3">
                  <c:v>27</c:v>
                </c:pt>
                <c:pt idx="4">
                  <c:v>27</c:v>
                </c:pt>
                <c:pt idx="5">
                  <c:v>18</c:v>
                </c:pt>
                <c:pt idx="6">
                  <c:v>11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1F-47DA-A205-D70F47343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91-422B-A4FD-644EAB07BD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1264.4736842105262</c:v>
                </c:pt>
                <c:pt idx="1">
                  <c:v>-2967.5675675675675</c:v>
                </c:pt>
                <c:pt idx="2">
                  <c:v>639.70588235294122</c:v>
                </c:pt>
                <c:pt idx="3">
                  <c:v>3420.3125</c:v>
                </c:pt>
                <c:pt idx="4">
                  <c:v>825.86206896551721</c:v>
                </c:pt>
                <c:pt idx="5">
                  <c:v>153.33333333333334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C1-43AA-B601-D6E6A298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れんたろう!$B$31:$B$43</c:f>
              <c:numCache>
                <c:formatCode>0\ "回"</c:formatCode>
                <c:ptCount val="13"/>
                <c:pt idx="0">
                  <c:v>4</c:v>
                </c:pt>
                <c:pt idx="1">
                  <c:v>16</c:v>
                </c:pt>
                <c:pt idx="2">
                  <c:v>22</c:v>
                </c:pt>
                <c:pt idx="3">
                  <c:v>34</c:v>
                </c:pt>
                <c:pt idx="4">
                  <c:v>45</c:v>
                </c:pt>
                <c:pt idx="5">
                  <c:v>16</c:v>
                </c:pt>
                <c:pt idx="6">
                  <c:v>15</c:v>
                </c:pt>
                <c:pt idx="7">
                  <c:v>9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E-4DA1-AFD6-EC4261E4F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まっつん!$L$2:$L$102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7A-47A1-A674-D5F3F0CB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746</c:v>
                </c:pt>
                <c:pt idx="1">
                  <c:v>863.91752577319585</c:v>
                </c:pt>
                <c:pt idx="2">
                  <c:v>-596.7032967032967</c:v>
                </c:pt>
                <c:pt idx="3">
                  <c:v>13.253012048192771</c:v>
                </c:pt>
                <c:pt idx="4">
                  <c:v>-977.02702702702697</c:v>
                </c:pt>
                <c:pt idx="5">
                  <c:v>-763.49206349206349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94-4C4A-8CFD-612102567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まっつん!$B$31:$B$43</c:f>
              <c:numCache>
                <c:formatCode>0\ "回"</c:formatCode>
                <c:ptCount val="13"/>
                <c:pt idx="0">
                  <c:v>13</c:v>
                </c:pt>
                <c:pt idx="1">
                  <c:v>43</c:v>
                </c:pt>
                <c:pt idx="2">
                  <c:v>48</c:v>
                </c:pt>
                <c:pt idx="3">
                  <c:v>38</c:v>
                </c:pt>
                <c:pt idx="4">
                  <c:v>36</c:v>
                </c:pt>
                <c:pt idx="5">
                  <c:v>25</c:v>
                </c:pt>
                <c:pt idx="6">
                  <c:v>11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9A-46C4-84F2-75EA3ED73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58-40BA-BA10-43ED16650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-2853.6585365853657</c:v>
                </c:pt>
                <c:pt idx="1">
                  <c:v>-182.92682926829269</c:v>
                </c:pt>
                <c:pt idx="2">
                  <c:v>-1695.1219512195121</c:v>
                </c:pt>
                <c:pt idx="3">
                  <c:v>-2732.4324324324325</c:v>
                </c:pt>
                <c:pt idx="4">
                  <c:v>-1362.8571428571429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94-4AE8-8AB2-64FAEFFD4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のり!$B$31:$B$43</c:f>
              <c:numCache>
                <c:formatCode>0\ "回"</c:formatCode>
                <c:ptCount val="13"/>
                <c:pt idx="0">
                  <c:v>7</c:v>
                </c:pt>
                <c:pt idx="1">
                  <c:v>18</c:v>
                </c:pt>
                <c:pt idx="2">
                  <c:v>19</c:v>
                </c:pt>
                <c:pt idx="3">
                  <c:v>12</c:v>
                </c:pt>
                <c:pt idx="4">
                  <c:v>10</c:v>
                </c:pt>
                <c:pt idx="5">
                  <c:v>5</c:v>
                </c:pt>
                <c:pt idx="6">
                  <c:v>6</c:v>
                </c:pt>
                <c:pt idx="7">
                  <c:v>4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3-4F54-BA49-8C166D586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A-4C6D-9FB8-4BD3F073C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1223.5294117647059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0D-4A46-B5FD-7BAD0C1A0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ぱぱ!$B$31:$B$43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F6-4DC9-9D0F-96A26339C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2C-4876-BEAF-C61BFAE75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8-49BF-8B7E-F494FAB4D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ほたに!$B$31:$B$43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A6-49CC-8F9E-1A0C7E097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0F-4ABC-B241-9347FB0FE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41-4C0B-B80E-88674BBE1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いっしー!$B$31:$B$43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B09-BE5D-DA1ED5975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6185277824406512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いっしー2!$C$3:$C$5</c:f>
              <c:numCache>
                <c:formatCode>\+0.0;\-0.0;\±0</c:formatCode>
                <c:ptCount val="3"/>
                <c:pt idx="1">
                  <c:v>27.8</c:v>
                </c:pt>
                <c:pt idx="2">
                  <c:v>13.1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473345926279370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いっしー2!$D$3:$D$5</c:f>
              <c:numCache>
                <c:formatCode>0.00\ "位"</c:formatCode>
                <c:ptCount val="3"/>
                <c:pt idx="1">
                  <c:v>1</c:v>
                </c:pt>
                <c:pt idx="2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いっしー2!$E$3:$E$5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いっしー2!$F$3:$F$5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いっしー2!$G$3:$G$5</c:f>
              <c:numCache>
                <c:formatCode>0.0%</c:formatCode>
                <c:ptCount val="3"/>
                <c:pt idx="1">
                  <c:v>0.5</c:v>
                </c:pt>
                <c:pt idx="2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4324586977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いっしー2!$H$3:$H$5</c:f>
              <c:numCache>
                <c:formatCode>0.0%</c:formatCode>
                <c:ptCount val="3"/>
                <c:pt idx="1">
                  <c:v>0</c:v>
                </c:pt>
                <c:pt idx="2">
                  <c:v>6.6666666666666666E-2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848396501457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いっしー2!$I$3:$I$5</c:f>
              <c:numCache>
                <c:formatCode>0</c:formatCode>
                <c:ptCount val="3"/>
                <c:pt idx="1">
                  <c:v>7950</c:v>
                </c:pt>
                <c:pt idx="2">
                  <c:v>7385.7142857142853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33.42105263157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いっしー2!$J$3:$J$5</c:f>
              <c:numCache>
                <c:formatCode>0</c:formatCode>
                <c:ptCount val="3"/>
                <c:pt idx="1">
                  <c:v>0</c:v>
                </c:pt>
                <c:pt idx="2">
                  <c:v>-8000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48.87307236061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46925566343042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いっしー2!$L$3:$L$5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46925566343042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いっしー2!$M$3:$M$5</c:f>
              <c:numCache>
                <c:formatCode>0.0%</c:formatCode>
                <c:ptCount val="3"/>
                <c:pt idx="1">
                  <c:v>0</c:v>
                </c:pt>
                <c:pt idx="2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06122448979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いっしー2!$N$3:$N$5</c:f>
              <c:numCache>
                <c:formatCode>0.0%</c:formatCode>
                <c:ptCount val="3"/>
                <c:pt idx="1">
                  <c:v>0.5</c:v>
                </c:pt>
                <c:pt idx="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069970845481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いっしー2!$O$3:$O$5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4531490015360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いっしー2!$P$3:$P$5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5410385259631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いっしー2!$Q$1:$Q$2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いっしー2!$Q$3:$Q$5</c:f>
              <c:numCache>
                <c:formatCode>0.0%</c:formatCode>
                <c:ptCount val="3"/>
                <c:pt idx="1">
                  <c:v>0</c:v>
                </c:pt>
                <c:pt idx="2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0131578947368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2"/>
      <c r="C1" s="153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8">
        <v>0</v>
      </c>
      <c r="C27" s="149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6">
        <v>-1000000</v>
      </c>
      <c r="C28" s="147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A31" s="86" t="s">
        <v>257</v>
      </c>
      <c r="B31" s="138">
        <v>0</v>
      </c>
      <c r="C31" s="145">
        <f>IF(B$17=0,0,B31/B$17)</f>
        <v>0</v>
      </c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A32" s="51" t="s">
        <v>253</v>
      </c>
      <c r="B32" s="44">
        <v>0</v>
      </c>
      <c r="C32" s="37">
        <f t="shared" ref="C32:C43" si="3">IF(B$17=0,0,B32/B$17)</f>
        <v>0</v>
      </c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1:9" x14ac:dyDescent="0.4">
      <c r="A33" s="51" t="s">
        <v>254</v>
      </c>
      <c r="B33" s="139">
        <v>0</v>
      </c>
      <c r="C33" s="37">
        <f>IF(B$17=0,0,B33/B$17)</f>
        <v>0</v>
      </c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1:9" x14ac:dyDescent="0.4">
      <c r="A34" s="51" t="s">
        <v>255</v>
      </c>
      <c r="B34" s="139">
        <v>0</v>
      </c>
      <c r="C34" s="37">
        <f t="shared" si="3"/>
        <v>0</v>
      </c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1:9" x14ac:dyDescent="0.4">
      <c r="A35" s="51" t="s">
        <v>256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1:9" x14ac:dyDescent="0.4">
      <c r="A36" s="51" t="s">
        <v>258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1:9" x14ac:dyDescent="0.4">
      <c r="A37" s="51" t="s">
        <v>259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1:9" x14ac:dyDescent="0.4">
      <c r="A38" s="51" t="s">
        <v>260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1:9" x14ac:dyDescent="0.4">
      <c r="A39" s="51" t="s">
        <v>261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1:9" x14ac:dyDescent="0.4">
      <c r="A40" s="51" t="s">
        <v>262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1:9" x14ac:dyDescent="0.4">
      <c r="A41" s="51" t="s">
        <v>263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1:9" x14ac:dyDescent="0.4">
      <c r="A42" s="51" t="s">
        <v>264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1:9" x14ac:dyDescent="0.4">
      <c r="A43" s="53" t="s">
        <v>265</v>
      </c>
      <c r="B43" s="144">
        <v>0</v>
      </c>
      <c r="C43" s="40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1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1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1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61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43735.329375000001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43735.329293981478</v>
      </c>
      <c r="C3" s="28" t="s">
        <v>128</v>
      </c>
    </row>
    <row r="4" spans="1:12" x14ac:dyDescent="0.4">
      <c r="A4" s="28" t="s">
        <v>180</v>
      </c>
      <c r="B4" s="29">
        <v>43735.329201388886</v>
      </c>
      <c r="C4" s="28" t="s">
        <v>128</v>
      </c>
    </row>
    <row r="5" spans="1:12" x14ac:dyDescent="0.4">
      <c r="A5" s="28" t="s">
        <v>183</v>
      </c>
      <c r="B5" s="29">
        <v>43737.872604166667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43737.872604166667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43737.873645833337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43739.760312500002</v>
      </c>
      <c r="C8" s="28" t="s">
        <v>128</v>
      </c>
    </row>
    <row r="9" spans="1:12" x14ac:dyDescent="0.4">
      <c r="A9" s="28" t="s">
        <v>194</v>
      </c>
      <c r="B9" s="29">
        <v>43739.760069444441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43742.090381944443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43742.090381944443</v>
      </c>
      <c r="C11" s="28" t="s">
        <v>128</v>
      </c>
    </row>
    <row r="12" spans="1:12" x14ac:dyDescent="0.4">
      <c r="A12" s="28" t="s">
        <v>199</v>
      </c>
      <c r="B12" s="29">
        <v>43742.090381944443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43742.090381944443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43745.602835648147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43745.024594907409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43745.602847222224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43745.602847222224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43745.024594907409</v>
      </c>
      <c r="C18" s="28" t="s">
        <v>128</v>
      </c>
    </row>
    <row r="19" spans="1:12" x14ac:dyDescent="0.4">
      <c r="A19" s="28" t="s">
        <v>206</v>
      </c>
      <c r="B19" s="29">
        <v>43748.026620370372</v>
      </c>
      <c r="C19" s="28" t="s">
        <v>128</v>
      </c>
    </row>
    <row r="20" spans="1:12" x14ac:dyDescent="0.4">
      <c r="A20" s="28" t="s">
        <v>207</v>
      </c>
      <c r="B20" s="29">
        <v>43748.026620370372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43748.026620370372</v>
      </c>
      <c r="C21" s="28" t="s">
        <v>128</v>
      </c>
    </row>
    <row r="22" spans="1:12" x14ac:dyDescent="0.4">
      <c r="A22" s="28" t="s">
        <v>209</v>
      </c>
      <c r="B22" s="29">
        <v>43748.026620370372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43748.026620370372</v>
      </c>
      <c r="C23" s="28" t="s">
        <v>128</v>
      </c>
    </row>
    <row r="24" spans="1:12" x14ac:dyDescent="0.4">
      <c r="A24" s="28" t="s">
        <v>211</v>
      </c>
      <c r="B24" s="29">
        <v>43751.127928240741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43751.127928240741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43752.484606481485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43753.081296296295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43755.626284722224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43755.626284722224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43756.406157407408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43758.084374999999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43758.955601851849</v>
      </c>
      <c r="C32" s="28" t="s">
        <v>128</v>
      </c>
      <c r="D32" s="28" t="s">
        <v>129</v>
      </c>
      <c r="E32" s="28" t="s">
        <v>184</v>
      </c>
    </row>
    <row r="33" spans="1:9" x14ac:dyDescent="0.4">
      <c r="A33" s="28" t="s">
        <v>224</v>
      </c>
      <c r="B33" s="29">
        <v>43758.955601851849</v>
      </c>
      <c r="C33" s="28" t="s">
        <v>128</v>
      </c>
      <c r="D33" s="28" t="s">
        <v>129</v>
      </c>
      <c r="E33" s="28" t="s">
        <v>184</v>
      </c>
    </row>
    <row r="34" spans="1:9" x14ac:dyDescent="0.4">
      <c r="A34" s="28" t="s">
        <v>225</v>
      </c>
      <c r="B34" s="29">
        <v>43763.053819444445</v>
      </c>
      <c r="C34" s="28" t="s">
        <v>128</v>
      </c>
      <c r="D34" s="28" t="s">
        <v>129</v>
      </c>
      <c r="E34" s="28" t="s">
        <v>184</v>
      </c>
    </row>
    <row r="35" spans="1:9" x14ac:dyDescent="0.4">
      <c r="A35" s="28" t="s">
        <v>226</v>
      </c>
      <c r="B35" s="29">
        <v>43763.053819444445</v>
      </c>
      <c r="C35" s="28" t="s">
        <v>128</v>
      </c>
      <c r="D35" s="28" t="s">
        <v>129</v>
      </c>
      <c r="E35" s="28" t="s">
        <v>184</v>
      </c>
    </row>
    <row r="36" spans="1:9" x14ac:dyDescent="0.4">
      <c r="A36" s="28" t="s">
        <v>227</v>
      </c>
      <c r="B36" s="29">
        <v>43763.053819444445</v>
      </c>
      <c r="C36" s="28" t="s">
        <v>128</v>
      </c>
      <c r="D36" s="28" t="s">
        <v>129</v>
      </c>
    </row>
    <row r="37" spans="1:9" x14ac:dyDescent="0.4">
      <c r="A37" s="28" t="s">
        <v>228</v>
      </c>
      <c r="B37" s="29">
        <v>43763.053819444445</v>
      </c>
      <c r="C37" s="28" t="s">
        <v>128</v>
      </c>
      <c r="D37" s="28" t="s">
        <v>129</v>
      </c>
      <c r="E37" s="28" t="s">
        <v>184</v>
      </c>
    </row>
    <row r="38" spans="1:9" x14ac:dyDescent="0.4">
      <c r="A38" s="28" t="s">
        <v>229</v>
      </c>
      <c r="B38" s="29">
        <v>43764.184340277781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9" x14ac:dyDescent="0.4">
      <c r="A39" s="28" t="s">
        <v>230</v>
      </c>
      <c r="B39" s="29">
        <v>43765.985891203702</v>
      </c>
      <c r="C39" s="28" t="s">
        <v>128</v>
      </c>
      <c r="D39" s="28" t="s">
        <v>129</v>
      </c>
      <c r="E39" s="28" t="s">
        <v>184</v>
      </c>
    </row>
    <row r="40" spans="1:9" x14ac:dyDescent="0.4">
      <c r="A40" s="28" t="s">
        <v>231</v>
      </c>
      <c r="B40" s="29">
        <v>43765.985891203702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9" x14ac:dyDescent="0.4">
      <c r="A41" s="28" t="s">
        <v>232</v>
      </c>
      <c r="B41" s="29">
        <v>43771.434791666667</v>
      </c>
      <c r="C41" s="28" t="s">
        <v>128</v>
      </c>
    </row>
    <row r="42" spans="1:9" x14ac:dyDescent="0.4">
      <c r="A42" s="28" t="s">
        <v>233</v>
      </c>
      <c r="B42" s="29">
        <v>43771.434791666667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9" x14ac:dyDescent="0.4">
      <c r="A43" s="28" t="s">
        <v>234</v>
      </c>
      <c r="B43" s="29">
        <v>43771.434791666667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9" x14ac:dyDescent="0.4">
      <c r="A44" s="28" t="s">
        <v>235</v>
      </c>
      <c r="B44" s="29">
        <v>43771.434791666667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9" x14ac:dyDescent="0.4">
      <c r="A45" s="28" t="s">
        <v>236</v>
      </c>
      <c r="B45" s="29">
        <v>43771.434791666667</v>
      </c>
      <c r="C45" s="28" t="s">
        <v>128</v>
      </c>
      <c r="D45" s="28" t="s">
        <v>129</v>
      </c>
    </row>
    <row r="46" spans="1:9" x14ac:dyDescent="0.4">
      <c r="A46" s="28" t="s">
        <v>238</v>
      </c>
      <c r="B46" s="29">
        <v>43771.434791666667</v>
      </c>
      <c r="C46" s="28" t="s">
        <v>128</v>
      </c>
      <c r="D46" s="28" t="s">
        <v>129</v>
      </c>
    </row>
    <row r="47" spans="1:9" x14ac:dyDescent="0.4">
      <c r="A47" s="28" t="s">
        <v>237</v>
      </c>
      <c r="B47" s="29">
        <v>43771.434791666667</v>
      </c>
      <c r="C47" s="28" t="s">
        <v>128</v>
      </c>
    </row>
    <row r="48" spans="1:9" x14ac:dyDescent="0.4">
      <c r="A48" s="28" t="s">
        <v>239</v>
      </c>
      <c r="B48" s="29">
        <v>43771.757430555554</v>
      </c>
      <c r="C48" s="28" t="s">
        <v>128</v>
      </c>
      <c r="D48" s="28" t="s">
        <v>129</v>
      </c>
      <c r="E48" s="28" t="s">
        <v>184</v>
      </c>
      <c r="F48" s="28" t="s">
        <v>185</v>
      </c>
      <c r="G48" s="28" t="s">
        <v>186</v>
      </c>
      <c r="H48" s="28" t="s">
        <v>187</v>
      </c>
      <c r="I48" s="28" t="s">
        <v>190</v>
      </c>
    </row>
    <row r="49" spans="1:9" x14ac:dyDescent="0.4">
      <c r="A49" s="28" t="s">
        <v>240</v>
      </c>
      <c r="B49" s="29">
        <v>43773.988738425927</v>
      </c>
      <c r="C49" s="28" t="s">
        <v>128</v>
      </c>
      <c r="D49" s="28" t="s">
        <v>129</v>
      </c>
    </row>
    <row r="50" spans="1:9" x14ac:dyDescent="0.4">
      <c r="A50" s="28" t="s">
        <v>241</v>
      </c>
      <c r="B50" s="29">
        <v>43773.988738425927</v>
      </c>
      <c r="C50" s="28" t="s">
        <v>128</v>
      </c>
    </row>
    <row r="51" spans="1:9" x14ac:dyDescent="0.4">
      <c r="A51" s="28" t="s">
        <v>242</v>
      </c>
      <c r="B51" s="29">
        <v>43775.353136574071</v>
      </c>
      <c r="C51" s="28" t="s">
        <v>128</v>
      </c>
      <c r="D51" s="28" t="s">
        <v>129</v>
      </c>
      <c r="E51" s="28" t="s">
        <v>184</v>
      </c>
      <c r="F51" s="28" t="s">
        <v>185</v>
      </c>
      <c r="G51" s="28" t="s">
        <v>186</v>
      </c>
    </row>
    <row r="52" spans="1:9" x14ac:dyDescent="0.4">
      <c r="A52" s="28" t="s">
        <v>243</v>
      </c>
      <c r="B52" s="29">
        <v>43786.930289351854</v>
      </c>
      <c r="C52" s="28" t="s">
        <v>128</v>
      </c>
      <c r="D52" s="28" t="s">
        <v>129</v>
      </c>
    </row>
    <row r="53" spans="1:9" x14ac:dyDescent="0.4">
      <c r="A53" s="28" t="s">
        <v>244</v>
      </c>
      <c r="B53" s="29">
        <v>43786.930289351854</v>
      </c>
      <c r="C53" s="28" t="s">
        <v>128</v>
      </c>
    </row>
    <row r="54" spans="1:9" x14ac:dyDescent="0.4">
      <c r="A54" s="28" t="s">
        <v>245</v>
      </c>
      <c r="B54" s="29">
        <v>43786.930289351854</v>
      </c>
      <c r="C54" s="28" t="s">
        <v>128</v>
      </c>
      <c r="D54" s="28" t="s">
        <v>129</v>
      </c>
    </row>
    <row r="55" spans="1:9" x14ac:dyDescent="0.4">
      <c r="A55" s="28" t="s">
        <v>246</v>
      </c>
      <c r="B55" s="29">
        <v>43786.930289351854</v>
      </c>
      <c r="C55" s="28" t="s">
        <v>128</v>
      </c>
      <c r="D55" s="28" t="s">
        <v>129</v>
      </c>
      <c r="E55" s="28" t="s">
        <v>184</v>
      </c>
      <c r="F55" s="28" t="s">
        <v>185</v>
      </c>
      <c r="G55" s="28" t="s">
        <v>186</v>
      </c>
    </row>
    <row r="56" spans="1:9" x14ac:dyDescent="0.4">
      <c r="A56" s="28" t="s">
        <v>247</v>
      </c>
      <c r="B56" s="29">
        <v>43786.930289351854</v>
      </c>
      <c r="C56" s="28" t="s">
        <v>128</v>
      </c>
    </row>
    <row r="57" spans="1:9" x14ac:dyDescent="0.4">
      <c r="A57" s="28" t="s">
        <v>248</v>
      </c>
      <c r="B57" s="29">
        <v>43786.930289351854</v>
      </c>
      <c r="C57" s="28" t="s">
        <v>128</v>
      </c>
    </row>
    <row r="58" spans="1:9" x14ac:dyDescent="0.4">
      <c r="A58" s="28" t="s">
        <v>249</v>
      </c>
      <c r="B58" s="29">
        <v>43786.930289351854</v>
      </c>
      <c r="C58" s="28" t="s">
        <v>128</v>
      </c>
      <c r="D58" s="28" t="s">
        <v>129</v>
      </c>
    </row>
    <row r="59" spans="1:9" x14ac:dyDescent="0.4">
      <c r="A59" s="28" t="s">
        <v>250</v>
      </c>
      <c r="B59" s="29">
        <v>43786.930289351854</v>
      </c>
      <c r="C59" s="28" t="s">
        <v>128</v>
      </c>
      <c r="D59" s="28" t="s">
        <v>129</v>
      </c>
      <c r="E59" s="28" t="s">
        <v>184</v>
      </c>
      <c r="F59" s="28" t="s">
        <v>185</v>
      </c>
      <c r="G59" s="28" t="s">
        <v>186</v>
      </c>
      <c r="H59" s="28" t="s">
        <v>187</v>
      </c>
      <c r="I59" s="28" t="s">
        <v>190</v>
      </c>
    </row>
    <row r="60" spans="1:9" x14ac:dyDescent="0.4">
      <c r="A60" s="28" t="s">
        <v>251</v>
      </c>
      <c r="B60" s="29">
        <v>43788.870613425926</v>
      </c>
      <c r="C60" s="28" t="s">
        <v>128</v>
      </c>
    </row>
    <row r="61" spans="1:9" x14ac:dyDescent="0.4">
      <c r="A61" s="28" t="s">
        <v>252</v>
      </c>
      <c r="B61" s="29">
        <v>43789.063784722224</v>
      </c>
      <c r="C61" s="28" t="s">
        <v>128</v>
      </c>
      <c r="D61" s="28" t="s">
        <v>129</v>
      </c>
      <c r="E61" s="28" t="s">
        <v>184</v>
      </c>
      <c r="F61" s="28" t="s">
        <v>185</v>
      </c>
      <c r="G61" s="28" t="s">
        <v>186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618</v>
      </c>
    </row>
    <row r="2" spans="1:2" x14ac:dyDescent="0.4">
      <c r="A2" t="s">
        <v>166</v>
      </c>
      <c r="B2">
        <v>56</v>
      </c>
    </row>
    <row r="3" spans="1:2" x14ac:dyDescent="0.4">
      <c r="A3" t="s">
        <v>126</v>
      </c>
      <c r="B3">
        <v>126</v>
      </c>
    </row>
    <row r="4" spans="1:2" x14ac:dyDescent="0.4">
      <c r="A4" t="s">
        <v>127</v>
      </c>
      <c r="B4">
        <v>115</v>
      </c>
    </row>
    <row r="5" spans="1:2" x14ac:dyDescent="0.4">
      <c r="A5" t="s">
        <v>179</v>
      </c>
      <c r="B5">
        <v>71</v>
      </c>
    </row>
    <row r="6" spans="1:2" x14ac:dyDescent="0.4">
      <c r="A6" t="s">
        <v>177</v>
      </c>
      <c r="B6">
        <v>76</v>
      </c>
    </row>
    <row r="7" spans="1:2" x14ac:dyDescent="0.4">
      <c r="A7" t="s">
        <v>178</v>
      </c>
      <c r="B7">
        <v>100</v>
      </c>
    </row>
    <row r="8" spans="1:2" x14ac:dyDescent="0.4">
      <c r="A8" t="s">
        <v>182</v>
      </c>
      <c r="B8">
        <v>41</v>
      </c>
    </row>
    <row r="9" spans="1:2" x14ac:dyDescent="0.4">
      <c r="A9" t="s">
        <v>181</v>
      </c>
      <c r="B9">
        <v>24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160</v>
      </c>
      <c r="K1" s="163"/>
      <c r="L1" s="162" t="s">
        <v>147</v>
      </c>
      <c r="M1" s="163"/>
      <c r="N1" s="162" t="s">
        <v>148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139</v>
      </c>
      <c r="W1" s="163"/>
      <c r="X1" s="162" t="s">
        <v>122</v>
      </c>
      <c r="Y1" s="163"/>
      <c r="Z1" s="162" t="s">
        <v>119</v>
      </c>
      <c r="AA1" s="163"/>
      <c r="AB1" s="162" t="s">
        <v>125</v>
      </c>
      <c r="AC1" s="163"/>
      <c r="AD1" s="162" t="s">
        <v>149</v>
      </c>
      <c r="AE1" s="163"/>
      <c r="AF1" s="162" t="s">
        <v>142</v>
      </c>
      <c r="AG1" s="163"/>
      <c r="AH1" s="162" t="s">
        <v>151</v>
      </c>
      <c r="AI1" s="163"/>
    </row>
    <row r="2" spans="1:35" x14ac:dyDescent="0.4">
      <c r="A2" s="68" t="s">
        <v>159</v>
      </c>
      <c r="B2" s="164"/>
      <c r="C2" s="165"/>
      <c r="D2" s="164"/>
      <c r="E2" s="165"/>
      <c r="F2" s="166">
        <v>0.99201628484111548</v>
      </c>
      <c r="G2" s="167"/>
      <c r="H2" s="166">
        <v>0.89063939267701664</v>
      </c>
      <c r="I2" s="167"/>
      <c r="J2" s="166">
        <v>0.93227282216027441</v>
      </c>
      <c r="K2" s="167"/>
      <c r="L2" s="166">
        <v>0.8400439397688072</v>
      </c>
      <c r="M2" s="167"/>
      <c r="N2" s="166">
        <v>0.53522947723068137</v>
      </c>
      <c r="O2" s="167"/>
      <c r="P2" s="166">
        <v>0.52968121912498023</v>
      </c>
      <c r="Q2" s="167"/>
      <c r="R2" s="166">
        <v>0.17484890712720819</v>
      </c>
      <c r="S2" s="167"/>
      <c r="T2" s="166">
        <v>0.58712277691415438</v>
      </c>
      <c r="U2" s="167"/>
      <c r="V2" s="166">
        <v>0.82592740267696418</v>
      </c>
      <c r="W2" s="167"/>
      <c r="X2" s="166">
        <v>0.5504940316166177</v>
      </c>
      <c r="Y2" s="167"/>
      <c r="Z2" s="166">
        <v>6.214032784023815E-3</v>
      </c>
      <c r="AA2" s="167"/>
      <c r="AB2" s="166">
        <v>0.46150326974191819</v>
      </c>
      <c r="AC2" s="167"/>
      <c r="AD2" s="166">
        <v>0.28409456817050566</v>
      </c>
      <c r="AE2" s="167"/>
      <c r="AF2" s="166">
        <v>-8.1941179428270006E-2</v>
      </c>
      <c r="AG2" s="167"/>
      <c r="AH2" s="166">
        <v>0.76918775121563376</v>
      </c>
      <c r="AI2" s="167"/>
    </row>
    <row r="3" spans="1:35" x14ac:dyDescent="0.4">
      <c r="A3" s="70">
        <v>1</v>
      </c>
      <c r="B3" s="71" t="s">
        <v>126</v>
      </c>
      <c r="C3" s="72">
        <v>1116.5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10798.275862068966</v>
      </c>
      <c r="R3" s="73" t="s">
        <v>181</v>
      </c>
      <c r="S3" s="77">
        <v>-6836.8421052631575</v>
      </c>
      <c r="T3" s="73" t="s">
        <v>222</v>
      </c>
      <c r="U3" s="75">
        <v>0</v>
      </c>
      <c r="V3" s="73" t="s">
        <v>177</v>
      </c>
      <c r="W3" s="75">
        <v>0.18421052631578946</v>
      </c>
      <c r="X3" s="73" t="s">
        <v>177</v>
      </c>
      <c r="Y3" s="76">
        <v>0.315359477124183</v>
      </c>
      <c r="Z3" s="73" t="s">
        <v>195</v>
      </c>
      <c r="AA3" s="76">
        <v>0.35483870967741937</v>
      </c>
      <c r="AB3" s="73" t="s">
        <v>126</v>
      </c>
      <c r="AC3" s="76">
        <v>0.6028880866425993</v>
      </c>
      <c r="AD3" s="73" t="s">
        <v>222</v>
      </c>
      <c r="AE3" s="76">
        <v>1</v>
      </c>
      <c r="AF3" s="73" t="s">
        <v>181</v>
      </c>
      <c r="AG3" s="76">
        <v>0.56451612903225812</v>
      </c>
      <c r="AH3" s="73" t="s">
        <v>126</v>
      </c>
      <c r="AI3" s="87">
        <v>149100</v>
      </c>
    </row>
    <row r="4" spans="1:35" x14ac:dyDescent="0.4">
      <c r="A4" s="78">
        <v>2</v>
      </c>
      <c r="B4" s="79" t="s">
        <v>177</v>
      </c>
      <c r="C4" s="80">
        <v>325.7000000000001</v>
      </c>
      <c r="D4" s="81" t="s">
        <v>126</v>
      </c>
      <c r="E4" s="93">
        <v>8.8611111111111107</v>
      </c>
      <c r="F4" s="81" t="s">
        <v>126</v>
      </c>
      <c r="G4" s="82">
        <v>1.7777777777777777</v>
      </c>
      <c r="H4" s="81" t="s">
        <v>126</v>
      </c>
      <c r="I4" s="83">
        <v>0.46031746031746029</v>
      </c>
      <c r="J4" s="81" t="s">
        <v>126</v>
      </c>
      <c r="K4" s="83">
        <v>0.23809523809523808</v>
      </c>
      <c r="L4" s="81" t="s">
        <v>126</v>
      </c>
      <c r="M4" s="84">
        <v>0.34274586173320348</v>
      </c>
      <c r="N4" s="81" t="s">
        <v>126</v>
      </c>
      <c r="O4" s="84">
        <v>0.12950340798442064</v>
      </c>
      <c r="P4" s="81" t="s">
        <v>127</v>
      </c>
      <c r="Q4" s="85">
        <v>8493.2659932659935</v>
      </c>
      <c r="R4" s="81" t="s">
        <v>166</v>
      </c>
      <c r="S4" s="85">
        <v>-7600</v>
      </c>
      <c r="T4" s="81" t="s">
        <v>166</v>
      </c>
      <c r="U4" s="83">
        <v>3.5714285714285712E-2</v>
      </c>
      <c r="V4" s="81" t="s">
        <v>195</v>
      </c>
      <c r="W4" s="83">
        <v>0.14285714285714285</v>
      </c>
      <c r="X4" s="81" t="s">
        <v>179</v>
      </c>
      <c r="Y4" s="84">
        <v>0.28524046434494194</v>
      </c>
      <c r="Z4" s="81" t="s">
        <v>222</v>
      </c>
      <c r="AA4" s="84">
        <v>0.33333333333333331</v>
      </c>
      <c r="AB4" s="81" t="s">
        <v>181</v>
      </c>
      <c r="AC4" s="84">
        <v>0.5901639344262295</v>
      </c>
      <c r="AD4" s="81" t="s">
        <v>126</v>
      </c>
      <c r="AE4" s="84">
        <v>0.47457627118644069</v>
      </c>
      <c r="AF4" s="81" t="s">
        <v>177</v>
      </c>
      <c r="AG4" s="84">
        <v>0.48275862068965519</v>
      </c>
      <c r="AH4" s="81" t="s">
        <v>143</v>
      </c>
      <c r="AI4" s="88">
        <v>149100</v>
      </c>
    </row>
    <row r="5" spans="1:35" x14ac:dyDescent="0.4">
      <c r="A5" s="78">
        <v>3</v>
      </c>
      <c r="B5" s="79" t="s">
        <v>127</v>
      </c>
      <c r="C5" s="80">
        <v>138.89999999999978</v>
      </c>
      <c r="D5" s="81" t="s">
        <v>177</v>
      </c>
      <c r="E5" s="93">
        <v>4.2855263157894754</v>
      </c>
      <c r="F5" s="81" t="s">
        <v>177</v>
      </c>
      <c r="G5" s="82">
        <v>1.9210526315789473</v>
      </c>
      <c r="H5" s="81" t="s">
        <v>195</v>
      </c>
      <c r="I5" s="83">
        <v>0.42857142857142855</v>
      </c>
      <c r="J5" s="81" t="s">
        <v>178</v>
      </c>
      <c r="K5" s="83">
        <v>0.28000000000000003</v>
      </c>
      <c r="L5" s="81" t="s">
        <v>127</v>
      </c>
      <c r="M5" s="84">
        <v>0.30809128630705396</v>
      </c>
      <c r="N5" s="81" t="s">
        <v>178</v>
      </c>
      <c r="O5" s="84">
        <v>0.13732833957553059</v>
      </c>
      <c r="P5" s="81" t="s">
        <v>181</v>
      </c>
      <c r="Q5" s="85">
        <v>8456.4516129032254</v>
      </c>
      <c r="R5" s="81" t="s">
        <v>179</v>
      </c>
      <c r="S5" s="85">
        <v>-7622.1311475409839</v>
      </c>
      <c r="T5" s="81" t="s">
        <v>126</v>
      </c>
      <c r="U5" s="83">
        <v>3.968253968253968E-2</v>
      </c>
      <c r="V5" s="81" t="s">
        <v>181</v>
      </c>
      <c r="W5" s="83">
        <v>0.125</v>
      </c>
      <c r="X5" s="81" t="s">
        <v>126</v>
      </c>
      <c r="Y5" s="84">
        <v>0.26971762414800388</v>
      </c>
      <c r="Z5" s="81" t="s">
        <v>127</v>
      </c>
      <c r="AA5" s="84">
        <v>0.31120331950207469</v>
      </c>
      <c r="AB5" s="81" t="s">
        <v>179</v>
      </c>
      <c r="AC5" s="84">
        <v>0.57558139534883723</v>
      </c>
      <c r="AD5" s="81" t="s">
        <v>178</v>
      </c>
      <c r="AE5" s="84">
        <v>0.42372881355932202</v>
      </c>
      <c r="AF5" s="81" t="s">
        <v>182</v>
      </c>
      <c r="AG5" s="84">
        <v>0.48192771084337349</v>
      </c>
      <c r="AH5" s="81" t="s">
        <v>177</v>
      </c>
      <c r="AI5" s="88">
        <v>122100</v>
      </c>
    </row>
    <row r="6" spans="1:35" x14ac:dyDescent="0.4">
      <c r="A6" s="78">
        <v>4</v>
      </c>
      <c r="B6" s="79" t="s">
        <v>222</v>
      </c>
      <c r="C6" s="80">
        <v>26.2</v>
      </c>
      <c r="D6" s="81" t="s">
        <v>127</v>
      </c>
      <c r="E6" s="93">
        <v>1.2078260869565198</v>
      </c>
      <c r="F6" s="81" t="s">
        <v>127</v>
      </c>
      <c r="G6" s="82">
        <v>1.9391304347826086</v>
      </c>
      <c r="H6" s="81" t="s">
        <v>177</v>
      </c>
      <c r="I6" s="83">
        <v>0.39473684210526316</v>
      </c>
      <c r="J6" s="81" t="s">
        <v>127</v>
      </c>
      <c r="K6" s="83">
        <v>0.29565217391304349</v>
      </c>
      <c r="L6" s="81" t="s">
        <v>143</v>
      </c>
      <c r="M6" s="84">
        <v>0.2954324586977648</v>
      </c>
      <c r="N6" s="81" t="s">
        <v>166</v>
      </c>
      <c r="O6" s="84">
        <v>0.15060240963855423</v>
      </c>
      <c r="P6" s="81" t="s">
        <v>143</v>
      </c>
      <c r="Q6" s="85">
        <v>8433.4210526315783</v>
      </c>
      <c r="R6" s="81" t="s">
        <v>178</v>
      </c>
      <c r="S6" s="85">
        <v>-7714.545454545455</v>
      </c>
      <c r="T6" s="81" t="s">
        <v>178</v>
      </c>
      <c r="U6" s="83">
        <v>0.08</v>
      </c>
      <c r="V6" s="81" t="s">
        <v>126</v>
      </c>
      <c r="W6" s="83">
        <v>0.11904761904761904</v>
      </c>
      <c r="X6" s="81" t="s">
        <v>178</v>
      </c>
      <c r="Y6" s="84">
        <v>0.26716604244694131</v>
      </c>
      <c r="Z6" s="81" t="s">
        <v>166</v>
      </c>
      <c r="AA6" s="84">
        <v>0.24096385542168675</v>
      </c>
      <c r="AB6" s="81" t="s">
        <v>178</v>
      </c>
      <c r="AC6" s="84">
        <v>0.57009345794392519</v>
      </c>
      <c r="AD6" s="81" t="s">
        <v>177</v>
      </c>
      <c r="AE6" s="84">
        <v>0.42201834862385323</v>
      </c>
      <c r="AF6" s="81" t="s">
        <v>179</v>
      </c>
      <c r="AG6" s="84">
        <v>0.4642857142857143</v>
      </c>
      <c r="AH6" s="81" t="s">
        <v>181</v>
      </c>
      <c r="AI6" s="88">
        <v>95200</v>
      </c>
    </row>
    <row r="7" spans="1:35" x14ac:dyDescent="0.4">
      <c r="A7" s="78">
        <v>5</v>
      </c>
      <c r="B7" s="79" t="s">
        <v>181</v>
      </c>
      <c r="C7" s="80">
        <v>2.1999999999999957</v>
      </c>
      <c r="D7" s="81" t="s">
        <v>181</v>
      </c>
      <c r="E7" s="93">
        <v>9.1666666666666494E-2</v>
      </c>
      <c r="F7" s="81" t="s">
        <v>181</v>
      </c>
      <c r="G7" s="82">
        <v>2</v>
      </c>
      <c r="H7" s="81" t="s">
        <v>181</v>
      </c>
      <c r="I7" s="83">
        <v>0.375</v>
      </c>
      <c r="J7" s="81" t="s">
        <v>177</v>
      </c>
      <c r="K7" s="83">
        <v>0.31578947368421051</v>
      </c>
      <c r="L7" s="81" t="s">
        <v>178</v>
      </c>
      <c r="M7" s="84">
        <v>0.28714107365792757</v>
      </c>
      <c r="N7" s="81" t="s">
        <v>143</v>
      </c>
      <c r="O7" s="84">
        <v>0.16384839650145772</v>
      </c>
      <c r="P7" s="81" t="s">
        <v>178</v>
      </c>
      <c r="Q7" s="85">
        <v>8340.8695652173919</v>
      </c>
      <c r="R7" s="81" t="s">
        <v>126</v>
      </c>
      <c r="S7" s="85">
        <v>-7803.7593984962405</v>
      </c>
      <c r="T7" s="81" t="s">
        <v>181</v>
      </c>
      <c r="U7" s="83">
        <v>8.3333333333333329E-2</v>
      </c>
      <c r="V7" s="81" t="s">
        <v>127</v>
      </c>
      <c r="W7" s="83">
        <v>0.10434782608695652</v>
      </c>
      <c r="X7" s="81" t="s">
        <v>222</v>
      </c>
      <c r="Y7" s="84">
        <v>0.26666666666666666</v>
      </c>
      <c r="Z7" s="81" t="s">
        <v>143</v>
      </c>
      <c r="AA7" s="84">
        <v>0.23206997084548106</v>
      </c>
      <c r="AB7" s="81" t="s">
        <v>143</v>
      </c>
      <c r="AC7" s="84">
        <v>0.55453149001536095</v>
      </c>
      <c r="AD7" s="81" t="s">
        <v>182</v>
      </c>
      <c r="AE7" s="84">
        <v>0.41891891891891891</v>
      </c>
      <c r="AF7" s="81" t="s">
        <v>178</v>
      </c>
      <c r="AG7" s="84">
        <v>0.45217391304347826</v>
      </c>
      <c r="AH7" s="81" t="s">
        <v>127</v>
      </c>
      <c r="AI7" s="88">
        <v>91800</v>
      </c>
    </row>
    <row r="8" spans="1:35" x14ac:dyDescent="0.4">
      <c r="A8" s="78">
        <v>6</v>
      </c>
      <c r="B8" s="79" t="s">
        <v>143</v>
      </c>
      <c r="C8" s="80">
        <v>-4.6185277824406512E-14</v>
      </c>
      <c r="D8" s="81" t="s">
        <v>143</v>
      </c>
      <c r="E8" s="93">
        <v>-7.4733459262793709E-17</v>
      </c>
      <c r="F8" s="81" t="s">
        <v>143</v>
      </c>
      <c r="G8" s="82">
        <v>2</v>
      </c>
      <c r="H8" s="81" t="s">
        <v>127</v>
      </c>
      <c r="I8" s="83">
        <v>0.35652173913043478</v>
      </c>
      <c r="J8" s="81" t="s">
        <v>143</v>
      </c>
      <c r="K8" s="83">
        <v>0.33333333333333331</v>
      </c>
      <c r="L8" s="81" t="s">
        <v>177</v>
      </c>
      <c r="M8" s="84">
        <v>0.28431372549019607</v>
      </c>
      <c r="N8" s="81" t="s">
        <v>181</v>
      </c>
      <c r="O8" s="84">
        <v>0.16593886462882096</v>
      </c>
      <c r="P8" s="81" t="s">
        <v>126</v>
      </c>
      <c r="Q8" s="85">
        <v>8219.318181818182</v>
      </c>
      <c r="R8" s="81" t="s">
        <v>143</v>
      </c>
      <c r="S8" s="85">
        <v>-7848.8730723606168</v>
      </c>
      <c r="T8" s="81" t="s">
        <v>179</v>
      </c>
      <c r="U8" s="83">
        <v>8.4507042253521125E-2</v>
      </c>
      <c r="V8" s="81" t="s">
        <v>143</v>
      </c>
      <c r="W8" s="83">
        <v>9.5469255663430425E-2</v>
      </c>
      <c r="X8" s="81" t="s">
        <v>181</v>
      </c>
      <c r="Y8" s="84">
        <v>0.26637554585152839</v>
      </c>
      <c r="Z8" s="81" t="s">
        <v>126</v>
      </c>
      <c r="AA8" s="84">
        <v>0.22979552093476144</v>
      </c>
      <c r="AB8" s="81" t="s">
        <v>177</v>
      </c>
      <c r="AC8" s="84">
        <v>0.54922279792746109</v>
      </c>
      <c r="AD8" s="81" t="s">
        <v>143</v>
      </c>
      <c r="AE8" s="84">
        <v>0.41541038525963148</v>
      </c>
      <c r="AF8" s="81" t="s">
        <v>143</v>
      </c>
      <c r="AG8" s="84">
        <v>0.44013157894736843</v>
      </c>
      <c r="AH8" s="81" t="s">
        <v>178</v>
      </c>
      <c r="AI8" s="88">
        <v>87000</v>
      </c>
    </row>
    <row r="9" spans="1:35" x14ac:dyDescent="0.4">
      <c r="A9" s="78">
        <v>7</v>
      </c>
      <c r="B9" s="79" t="s">
        <v>178</v>
      </c>
      <c r="C9" s="80">
        <v>-25.600000000000009</v>
      </c>
      <c r="D9" s="81" t="s">
        <v>178</v>
      </c>
      <c r="E9" s="93">
        <v>-0.25600000000000006</v>
      </c>
      <c r="F9" s="81" t="s">
        <v>178</v>
      </c>
      <c r="G9" s="82">
        <v>2.04</v>
      </c>
      <c r="H9" s="81" t="s">
        <v>143</v>
      </c>
      <c r="I9" s="83">
        <v>0.33333333333333331</v>
      </c>
      <c r="J9" s="81" t="s">
        <v>181</v>
      </c>
      <c r="K9" s="83">
        <v>0.375</v>
      </c>
      <c r="L9" s="81" t="s">
        <v>179</v>
      </c>
      <c r="M9" s="84">
        <v>0.27860696517412936</v>
      </c>
      <c r="N9" s="81" t="s">
        <v>177</v>
      </c>
      <c r="O9" s="84">
        <v>0.16993464052287582</v>
      </c>
      <c r="P9" s="81" t="s">
        <v>179</v>
      </c>
      <c r="Q9" s="85">
        <v>8067.8571428571431</v>
      </c>
      <c r="R9" s="81" t="s">
        <v>222</v>
      </c>
      <c r="S9" s="85">
        <v>-8000</v>
      </c>
      <c r="T9" s="81" t="s">
        <v>143</v>
      </c>
      <c r="U9" s="83">
        <v>9.5469255663430425E-2</v>
      </c>
      <c r="V9" s="81" t="s">
        <v>178</v>
      </c>
      <c r="W9" s="83">
        <v>0.09</v>
      </c>
      <c r="X9" s="81" t="s">
        <v>143</v>
      </c>
      <c r="Y9" s="84">
        <v>0.2530612244897959</v>
      </c>
      <c r="Z9" s="81" t="s">
        <v>182</v>
      </c>
      <c r="AA9" s="84">
        <v>0.22155688622754491</v>
      </c>
      <c r="AB9" s="81" t="s">
        <v>195</v>
      </c>
      <c r="AC9" s="84">
        <v>0.53333333333333333</v>
      </c>
      <c r="AD9" s="81" t="s">
        <v>179</v>
      </c>
      <c r="AE9" s="84">
        <v>0.40517241379310343</v>
      </c>
      <c r="AF9" s="81" t="s">
        <v>126</v>
      </c>
      <c r="AG9" s="84">
        <v>0.42329545454545453</v>
      </c>
      <c r="AH9" s="81" t="s">
        <v>166</v>
      </c>
      <c r="AI9" s="88">
        <v>86900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-6.5982142857142874</v>
      </c>
      <c r="F10" s="81" t="s">
        <v>166</v>
      </c>
      <c r="G10" s="82">
        <v>2.1428571428571428</v>
      </c>
      <c r="H10" s="81" t="s">
        <v>166</v>
      </c>
      <c r="I10" s="83">
        <v>0.32142857142857145</v>
      </c>
      <c r="J10" s="81" t="s">
        <v>179</v>
      </c>
      <c r="K10" s="83">
        <v>0.39436619718309857</v>
      </c>
      <c r="L10" s="81" t="s">
        <v>181</v>
      </c>
      <c r="M10" s="84">
        <v>0.27074235807860264</v>
      </c>
      <c r="N10" s="81" t="s">
        <v>182</v>
      </c>
      <c r="O10" s="84">
        <v>0.18862275449101795</v>
      </c>
      <c r="P10" s="81" t="s">
        <v>182</v>
      </c>
      <c r="Q10" s="85">
        <v>7730.1204819277109</v>
      </c>
      <c r="R10" s="81" t="s">
        <v>127</v>
      </c>
      <c r="S10" s="85">
        <v>-8007.0270270270266</v>
      </c>
      <c r="T10" s="81" t="s">
        <v>177</v>
      </c>
      <c r="U10" s="83">
        <v>0.10526315789473684</v>
      </c>
      <c r="V10" s="81" t="s">
        <v>166</v>
      </c>
      <c r="W10" s="83">
        <v>3.5714285714285712E-2</v>
      </c>
      <c r="X10" s="81" t="s">
        <v>195</v>
      </c>
      <c r="Y10" s="84">
        <v>0.24193548387096775</v>
      </c>
      <c r="Z10" s="81" t="s">
        <v>178</v>
      </c>
      <c r="AA10" s="84">
        <v>0.22097378277153559</v>
      </c>
      <c r="AB10" s="81" t="s">
        <v>182</v>
      </c>
      <c r="AC10" s="84">
        <v>0.52173913043478259</v>
      </c>
      <c r="AD10" s="81" t="s">
        <v>166</v>
      </c>
      <c r="AE10" s="84">
        <v>0.39166666666666666</v>
      </c>
      <c r="AF10" s="81" t="s">
        <v>127</v>
      </c>
      <c r="AG10" s="84">
        <v>0.40404040404040403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-369.50000000000011</v>
      </c>
      <c r="D11" s="81" t="s">
        <v>179</v>
      </c>
      <c r="E11" s="93">
        <v>-6.8281690140845068</v>
      </c>
      <c r="F11" s="81" t="s">
        <v>195</v>
      </c>
      <c r="G11" s="82">
        <v>2.1428571428571428</v>
      </c>
      <c r="H11" s="81" t="s">
        <v>178</v>
      </c>
      <c r="I11" s="83">
        <v>0.24</v>
      </c>
      <c r="J11" s="81" t="s">
        <v>166</v>
      </c>
      <c r="K11" s="83">
        <v>0.4642857142857143</v>
      </c>
      <c r="L11" s="81" t="s">
        <v>166</v>
      </c>
      <c r="M11" s="84">
        <v>0.26506024096385544</v>
      </c>
      <c r="N11" s="81" t="s">
        <v>127</v>
      </c>
      <c r="O11" s="84">
        <v>0.19190871369294607</v>
      </c>
      <c r="P11" s="81" t="s">
        <v>195</v>
      </c>
      <c r="Q11" s="85">
        <v>7473.333333333333</v>
      </c>
      <c r="R11" s="81" t="s">
        <v>177</v>
      </c>
      <c r="S11" s="85">
        <v>-8158.6538461538457</v>
      </c>
      <c r="T11" s="81" t="s">
        <v>127</v>
      </c>
      <c r="U11" s="83">
        <v>0.13043478260869565</v>
      </c>
      <c r="V11" s="81" t="s">
        <v>179</v>
      </c>
      <c r="W11" s="83">
        <v>2.8169014084507043E-2</v>
      </c>
      <c r="X11" s="81" t="s">
        <v>127</v>
      </c>
      <c r="Y11" s="84">
        <v>0.22821576763485477</v>
      </c>
      <c r="Z11" s="81" t="s">
        <v>179</v>
      </c>
      <c r="AA11" s="84">
        <v>0.19237147595356552</v>
      </c>
      <c r="AB11" s="81" t="s">
        <v>222</v>
      </c>
      <c r="AC11" s="84">
        <v>0.5</v>
      </c>
      <c r="AD11" s="81" t="s">
        <v>127</v>
      </c>
      <c r="AE11" s="84">
        <v>0.38333333333333336</v>
      </c>
      <c r="AF11" s="81" t="s">
        <v>166</v>
      </c>
      <c r="AG11" s="84">
        <v>0.39393939393939392</v>
      </c>
      <c r="AH11" s="81" t="s">
        <v>179</v>
      </c>
      <c r="AI11" s="88">
        <v>69500</v>
      </c>
    </row>
    <row r="12" spans="1:35" x14ac:dyDescent="0.4">
      <c r="A12" s="78">
        <v>10</v>
      </c>
      <c r="B12" s="79" t="s">
        <v>179</v>
      </c>
      <c r="C12" s="80">
        <v>-484.8</v>
      </c>
      <c r="D12" s="81" t="s">
        <v>195</v>
      </c>
      <c r="E12" s="93">
        <v>-14.971428571428573</v>
      </c>
      <c r="F12" s="81" t="s">
        <v>179</v>
      </c>
      <c r="G12" s="82">
        <v>2.1690140845070425</v>
      </c>
      <c r="H12" s="81" t="s">
        <v>179</v>
      </c>
      <c r="I12" s="83">
        <v>0.22535211267605634</v>
      </c>
      <c r="J12" s="81" t="s">
        <v>182</v>
      </c>
      <c r="K12" s="83">
        <v>0.56097560975609762</v>
      </c>
      <c r="L12" s="81" t="s">
        <v>182</v>
      </c>
      <c r="M12" s="84">
        <v>0.24850299401197604</v>
      </c>
      <c r="N12" s="81" t="s">
        <v>195</v>
      </c>
      <c r="O12" s="84">
        <v>0.19354838709677419</v>
      </c>
      <c r="P12" s="81" t="s">
        <v>222</v>
      </c>
      <c r="Q12" s="85">
        <v>7385.7142857142853</v>
      </c>
      <c r="R12" s="81" t="s">
        <v>182</v>
      </c>
      <c r="S12" s="85">
        <v>-8312.6984126984134</v>
      </c>
      <c r="T12" s="81" t="s">
        <v>182</v>
      </c>
      <c r="U12" s="83">
        <v>0.21951219512195122</v>
      </c>
      <c r="V12" s="81" t="s">
        <v>182</v>
      </c>
      <c r="W12" s="83">
        <v>2.4390243902439025E-2</v>
      </c>
      <c r="X12" s="81" t="s">
        <v>182</v>
      </c>
      <c r="Y12" s="84">
        <v>0.20658682634730538</v>
      </c>
      <c r="Z12" s="81" t="s">
        <v>177</v>
      </c>
      <c r="AA12" s="84">
        <v>0.1781045751633987</v>
      </c>
      <c r="AB12" s="81" t="s">
        <v>127</v>
      </c>
      <c r="AC12" s="84">
        <v>0.49545454545454548</v>
      </c>
      <c r="AD12" s="81" t="s">
        <v>181</v>
      </c>
      <c r="AE12" s="84">
        <v>0.34285714285714286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-624.80000000000007</v>
      </c>
      <c r="D13" s="81" t="s">
        <v>182</v>
      </c>
      <c r="E13" s="93">
        <v>-15.239024390243904</v>
      </c>
      <c r="F13" s="81" t="s">
        <v>182</v>
      </c>
      <c r="G13" s="82">
        <v>2.4146341463414633</v>
      </c>
      <c r="H13" s="81" t="s">
        <v>182</v>
      </c>
      <c r="I13" s="83">
        <v>0.14634146341463414</v>
      </c>
      <c r="J13" s="81" t="s">
        <v>195</v>
      </c>
      <c r="K13" s="83">
        <v>0.5714285714285714</v>
      </c>
      <c r="L13" s="81" t="s">
        <v>195</v>
      </c>
      <c r="M13" s="84">
        <v>0.24193548387096775</v>
      </c>
      <c r="N13" s="81" t="s">
        <v>179</v>
      </c>
      <c r="O13" s="84">
        <v>0.20232172470978441</v>
      </c>
      <c r="P13" s="81" t="s">
        <v>166</v>
      </c>
      <c r="Q13" s="85">
        <v>6975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0.15461847389558234</v>
      </c>
      <c r="Z13" s="81" t="s">
        <v>181</v>
      </c>
      <c r="AA13" s="84">
        <v>0.15283842794759825</v>
      </c>
      <c r="AB13" s="81" t="s">
        <v>166</v>
      </c>
      <c r="AC13" s="84">
        <v>0.48051948051948051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64836-BC07-491E-89A8-33BCE5BF4CE6}">
  <sheetPr codeName="Sheet4"/>
  <dimension ref="A1:Q62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143</v>
      </c>
      <c r="C1" s="153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4">
        <v>618</v>
      </c>
      <c r="C2" s="155"/>
      <c r="E2" s="58" t="s">
        <v>66</v>
      </c>
      <c r="F2" s="55" t="s">
        <v>22</v>
      </c>
      <c r="G2" s="43">
        <v>1164</v>
      </c>
      <c r="H2" s="128">
        <f t="shared" ref="H2:H33" si="0">IF(B$17=0,0,G2/B$17)</f>
        <v>0.76578947368421058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-24.390243902439025</v>
      </c>
      <c r="P2" s="114">
        <v>615</v>
      </c>
      <c r="Q2" s="98">
        <v>-15000</v>
      </c>
    </row>
    <row r="3" spans="1:17" x14ac:dyDescent="0.4">
      <c r="A3" s="51" t="s">
        <v>8</v>
      </c>
      <c r="B3" s="156">
        <v>5145</v>
      </c>
      <c r="C3" s="157"/>
      <c r="E3" s="59" t="s">
        <v>72</v>
      </c>
      <c r="F3" s="56" t="s">
        <v>27</v>
      </c>
      <c r="G3" s="44">
        <v>815</v>
      </c>
      <c r="H3" s="129">
        <f t="shared" si="0"/>
        <v>0.53618421052631582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1"/>
        <v>11.608623548922056</v>
      </c>
      <c r="P3" s="115">
        <v>603</v>
      </c>
      <c r="Q3" s="99">
        <v>7000</v>
      </c>
    </row>
    <row r="4" spans="1:17" x14ac:dyDescent="0.4">
      <c r="A4" s="51" t="s">
        <v>6</v>
      </c>
      <c r="B4" s="158">
        <v>-4.6185277824406512E-14</v>
      </c>
      <c r="C4" s="159"/>
      <c r="E4" s="59" t="s">
        <v>64</v>
      </c>
      <c r="F4" s="56" t="s">
        <v>20</v>
      </c>
      <c r="G4" s="44">
        <v>691</v>
      </c>
      <c r="H4" s="129">
        <f t="shared" si="0"/>
        <v>0.45460526315789473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1"/>
        <v>-15.789473684210526</v>
      </c>
      <c r="P4" s="115">
        <v>570</v>
      </c>
      <c r="Q4" s="99">
        <v>-9000</v>
      </c>
    </row>
    <row r="5" spans="1:17" x14ac:dyDescent="0.4">
      <c r="A5" s="51" t="s">
        <v>7</v>
      </c>
      <c r="B5" s="160">
        <f>IF(B$2=0,0,B$4/B$2)</f>
        <v>-7.4733459262793709E-17</v>
      </c>
      <c r="C5" s="161"/>
      <c r="E5" s="59" t="s">
        <v>171</v>
      </c>
      <c r="F5" s="56" t="s">
        <v>172</v>
      </c>
      <c r="G5" s="44">
        <v>603</v>
      </c>
      <c r="H5" s="129">
        <f t="shared" si="0"/>
        <v>0.39671052631578946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1"/>
        <v>11.173184357541899</v>
      </c>
      <c r="P5" s="115">
        <v>537</v>
      </c>
      <c r="Q5" s="99">
        <v>6000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469</v>
      </c>
      <c r="H6" s="129">
        <f t="shared" si="0"/>
        <v>0.30855263157894736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1"/>
        <v>10.040160642570282</v>
      </c>
      <c r="P6" s="115">
        <v>498</v>
      </c>
      <c r="Q6" s="99">
        <v>5000</v>
      </c>
    </row>
    <row r="7" spans="1:17" x14ac:dyDescent="0.4">
      <c r="A7" s="51" t="s">
        <v>2</v>
      </c>
      <c r="B7" s="44">
        <v>206</v>
      </c>
      <c r="C7" s="37">
        <f t="shared" ref="C7:C12" si="2">IF(B$2=0,0,B7/B$2)</f>
        <v>0.33333333333333331</v>
      </c>
      <c r="E7" s="59" t="s">
        <v>67</v>
      </c>
      <c r="F7" s="56" t="s">
        <v>23</v>
      </c>
      <c r="G7" s="44">
        <v>429</v>
      </c>
      <c r="H7" s="129">
        <f t="shared" si="0"/>
        <v>0.28223684210526317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1"/>
        <v>14.492753623188406</v>
      </c>
      <c r="P7" s="116">
        <v>414</v>
      </c>
      <c r="Q7" s="100">
        <v>6000</v>
      </c>
    </row>
    <row r="8" spans="1:17" x14ac:dyDescent="0.4">
      <c r="A8" s="51" t="s">
        <v>3</v>
      </c>
      <c r="B8" s="44">
        <v>206</v>
      </c>
      <c r="C8" s="37">
        <f t="shared" si="2"/>
        <v>0.33333333333333331</v>
      </c>
      <c r="E8" s="59" t="s">
        <v>69</v>
      </c>
      <c r="F8" s="56" t="s">
        <v>24</v>
      </c>
      <c r="G8" s="44">
        <v>225</v>
      </c>
      <c r="H8" s="129">
        <f t="shared" si="0"/>
        <v>0.14802631578947367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206</v>
      </c>
      <c r="C9" s="38">
        <f t="shared" si="2"/>
        <v>0.33333333333333331</v>
      </c>
      <c r="E9" s="59" t="s">
        <v>89</v>
      </c>
      <c r="F9" s="56" t="s">
        <v>44</v>
      </c>
      <c r="G9" s="44">
        <v>205</v>
      </c>
      <c r="H9" s="129">
        <f t="shared" si="0"/>
        <v>0.13486842105263158</v>
      </c>
      <c r="I9" s="90">
        <v>5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59</v>
      </c>
      <c r="C10" s="38">
        <f t="shared" si="2"/>
        <v>9.5469255663430425E-2</v>
      </c>
      <c r="E10" s="59" t="s">
        <v>65</v>
      </c>
      <c r="F10" s="56" t="s">
        <v>21</v>
      </c>
      <c r="G10" s="44">
        <v>160</v>
      </c>
      <c r="H10" s="129">
        <f t="shared" si="0"/>
        <v>0.10526315789473684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-2.1101941747572819</v>
      </c>
      <c r="P10" s="114">
        <v>206</v>
      </c>
      <c r="Q10" s="102">
        <v>-434.7000000000001</v>
      </c>
    </row>
    <row r="11" spans="1:17" x14ac:dyDescent="0.4">
      <c r="A11" s="52" t="s">
        <v>138</v>
      </c>
      <c r="B11" s="45">
        <v>59</v>
      </c>
      <c r="C11" s="38">
        <f t="shared" si="2"/>
        <v>9.5469255663430425E-2</v>
      </c>
      <c r="E11" s="59" t="s">
        <v>70</v>
      </c>
      <c r="F11" s="56" t="s">
        <v>25</v>
      </c>
      <c r="G11" s="44">
        <v>144</v>
      </c>
      <c r="H11" s="129">
        <f t="shared" si="0"/>
        <v>9.4736842105263161E-2</v>
      </c>
      <c r="I11" s="90">
        <v>7</v>
      </c>
      <c r="K11" s="36">
        <v>9</v>
      </c>
      <c r="L11" s="95">
        <v>0</v>
      </c>
      <c r="N11" s="111" t="s">
        <v>163</v>
      </c>
      <c r="O11" s="121">
        <f>IF(P11=0,0,Q11/P11)</f>
        <v>1.9757281553398052</v>
      </c>
      <c r="P11" s="115">
        <v>206</v>
      </c>
      <c r="Q11" s="103">
        <v>406.99999999999989</v>
      </c>
    </row>
    <row r="12" spans="1:17" x14ac:dyDescent="0.4">
      <c r="A12" s="53" t="s">
        <v>158</v>
      </c>
      <c r="B12" s="46">
        <v>62</v>
      </c>
      <c r="C12" s="40">
        <f t="shared" si="2"/>
        <v>0.10032362459546926</v>
      </c>
      <c r="E12" s="59" t="s">
        <v>71</v>
      </c>
      <c r="F12" s="56" t="s">
        <v>26</v>
      </c>
      <c r="G12" s="44">
        <v>119</v>
      </c>
      <c r="H12" s="129">
        <f t="shared" si="0"/>
        <v>7.828947368421052E-2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0.13446601941747507</v>
      </c>
      <c r="P12" s="116">
        <v>206</v>
      </c>
      <c r="Q12" s="104">
        <v>27.699999999999864</v>
      </c>
    </row>
    <row r="13" spans="1:17" x14ac:dyDescent="0.4">
      <c r="A13" s="54" t="s">
        <v>121</v>
      </c>
      <c r="B13" s="47">
        <v>1302</v>
      </c>
      <c r="C13" s="42">
        <f>IF(B$3=0,0,B13/B$3)</f>
        <v>0.2530612244897959</v>
      </c>
      <c r="E13" s="59" t="s">
        <v>83</v>
      </c>
      <c r="F13" s="56" t="s">
        <v>38</v>
      </c>
      <c r="G13" s="44">
        <v>83</v>
      </c>
      <c r="H13" s="129">
        <f t="shared" si="0"/>
        <v>5.460526315789474E-2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1194</v>
      </c>
      <c r="C14" s="37">
        <f>IF(B$3=0,0,B14/B$3)</f>
        <v>0.23206997084548106</v>
      </c>
      <c r="E14" s="59" t="s">
        <v>86</v>
      </c>
      <c r="F14" s="56" t="s">
        <v>41</v>
      </c>
      <c r="G14" s="44">
        <v>76</v>
      </c>
      <c r="H14" s="129">
        <f t="shared" si="0"/>
        <v>0.05</v>
      </c>
      <c r="I14" s="90">
        <v>6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722</v>
      </c>
      <c r="C15" s="35">
        <f>IF(B$13=0,0,B15/B$13)</f>
        <v>0.55453149001536095</v>
      </c>
      <c r="E15" s="59" t="s">
        <v>167</v>
      </c>
      <c r="F15" s="56" t="s">
        <v>168</v>
      </c>
      <c r="G15" s="44">
        <v>39</v>
      </c>
      <c r="H15" s="129">
        <f t="shared" si="0"/>
        <v>2.5657894736842105E-2</v>
      </c>
      <c r="I15" s="90">
        <v>4</v>
      </c>
      <c r="K15" s="36">
        <v>13</v>
      </c>
      <c r="L15" s="95">
        <v>-1.7</v>
      </c>
      <c r="N15" s="110" t="s">
        <v>182</v>
      </c>
      <c r="O15" s="120">
        <f t="shared" ref="O15:O24" si="3">IF(P15=0,0,Q15/P15)</f>
        <v>22.858536585365837</v>
      </c>
      <c r="P15" s="114">
        <v>82</v>
      </c>
      <c r="Q15" s="102">
        <v>1874.3999999999985</v>
      </c>
    </row>
    <row r="16" spans="1:17" x14ac:dyDescent="0.4">
      <c r="A16" s="50" t="s">
        <v>124</v>
      </c>
      <c r="B16" s="43">
        <v>496</v>
      </c>
      <c r="C16" s="35">
        <f>IF(B$14=0,0,B16/B$14)</f>
        <v>0.41541038525963148</v>
      </c>
      <c r="E16" s="59" t="s">
        <v>78</v>
      </c>
      <c r="F16" s="56" t="s">
        <v>33</v>
      </c>
      <c r="G16" s="44">
        <v>37</v>
      </c>
      <c r="H16" s="129">
        <f t="shared" si="0"/>
        <v>2.4342105263157894E-2</v>
      </c>
      <c r="I16" s="90">
        <v>5</v>
      </c>
      <c r="K16" s="36">
        <v>14</v>
      </c>
      <c r="L16" s="95">
        <v>24.3</v>
      </c>
      <c r="N16" s="111" t="s">
        <v>195</v>
      </c>
      <c r="O16" s="121">
        <f t="shared" si="3"/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1520</v>
      </c>
      <c r="C17" s="35">
        <f>IF(B$3=0,0,B17/B$3)</f>
        <v>0.2954324586977648</v>
      </c>
      <c r="E17" s="59" t="s">
        <v>81</v>
      </c>
      <c r="F17" s="56" t="s">
        <v>36</v>
      </c>
      <c r="G17" s="44">
        <v>27</v>
      </c>
      <c r="H17" s="129">
        <f t="shared" si="0"/>
        <v>1.7763157894736842E-2</v>
      </c>
      <c r="I17" s="90">
        <v>6</v>
      </c>
      <c r="K17" s="36">
        <v>15</v>
      </c>
      <c r="L17" s="95">
        <v>0</v>
      </c>
      <c r="N17" s="111" t="s">
        <v>179</v>
      </c>
      <c r="O17" s="121">
        <f t="shared" si="3"/>
        <v>10.242253521126759</v>
      </c>
      <c r="P17" s="115">
        <v>142</v>
      </c>
      <c r="Q17" s="103">
        <v>1454.3999999999999</v>
      </c>
    </row>
    <row r="18" spans="1:17" x14ac:dyDescent="0.4">
      <c r="A18" s="51" t="s">
        <v>12</v>
      </c>
      <c r="B18" s="44">
        <v>669</v>
      </c>
      <c r="C18" s="37">
        <f>IF(B$17=0,0,B18/B$17)</f>
        <v>0.44013157894736843</v>
      </c>
      <c r="E18" s="59" t="s">
        <v>91</v>
      </c>
      <c r="F18" s="56" t="s">
        <v>46</v>
      </c>
      <c r="G18" s="44">
        <v>21</v>
      </c>
      <c r="H18" s="129">
        <f t="shared" si="0"/>
        <v>1.381578947368421E-2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 t="shared" si="3"/>
        <v>9.897321428571427</v>
      </c>
      <c r="P18" s="115">
        <v>112</v>
      </c>
      <c r="Q18" s="103">
        <v>1108.4999999999998</v>
      </c>
    </row>
    <row r="19" spans="1:17" x14ac:dyDescent="0.4">
      <c r="A19" s="51" t="s">
        <v>11</v>
      </c>
      <c r="B19" s="44">
        <v>851</v>
      </c>
      <c r="C19" s="37">
        <f>IF(B$17=0,0,B19/B$17)</f>
        <v>0.55986842105263157</v>
      </c>
      <c r="E19" s="59" t="s">
        <v>79</v>
      </c>
      <c r="F19" s="56" t="s">
        <v>34</v>
      </c>
      <c r="G19" s="44">
        <v>18</v>
      </c>
      <c r="H19" s="129">
        <f t="shared" si="0"/>
        <v>1.1842105263157895E-2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 t="shared" si="3"/>
        <v>0.3839999999999989</v>
      </c>
      <c r="P19" s="115">
        <v>200</v>
      </c>
      <c r="Q19" s="103">
        <v>76.799999999999784</v>
      </c>
    </row>
    <row r="20" spans="1:17" x14ac:dyDescent="0.4">
      <c r="A20" s="51" t="s">
        <v>13</v>
      </c>
      <c r="B20" s="44">
        <v>843</v>
      </c>
      <c r="C20" s="37">
        <f>IF(B$3=0,0,B20/B$3)</f>
        <v>0.16384839650145772</v>
      </c>
      <c r="E20" s="59" t="s">
        <v>75</v>
      </c>
      <c r="F20" s="56" t="s">
        <v>30</v>
      </c>
      <c r="G20" s="44">
        <v>10</v>
      </c>
      <c r="H20" s="129">
        <f t="shared" si="0"/>
        <v>6.5789473684210523E-3</v>
      </c>
      <c r="I20" s="90">
        <v>5</v>
      </c>
      <c r="K20" s="36">
        <v>18</v>
      </c>
      <c r="L20" s="95">
        <v>0</v>
      </c>
      <c r="N20" s="111" t="s">
        <v>181</v>
      </c>
      <c r="O20" s="121">
        <f t="shared" si="3"/>
        <v>-0.13750000000000018</v>
      </c>
      <c r="P20" s="115">
        <v>48</v>
      </c>
      <c r="Q20" s="103">
        <v>-6.6000000000000085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10</v>
      </c>
      <c r="H21" s="129">
        <f t="shared" si="0"/>
        <v>6.5789473684210523E-3</v>
      </c>
      <c r="I21" s="90">
        <v>4</v>
      </c>
      <c r="K21" s="36">
        <v>19</v>
      </c>
      <c r="L21" s="95">
        <v>-22.4</v>
      </c>
      <c r="N21" s="111" t="s">
        <v>127</v>
      </c>
      <c r="O21" s="121">
        <f t="shared" si="3"/>
        <v>-1.8117391304347881</v>
      </c>
      <c r="P21" s="115">
        <v>230</v>
      </c>
      <c r="Q21" s="103">
        <v>-416.70000000000124</v>
      </c>
    </row>
    <row r="22" spans="1:17" x14ac:dyDescent="0.4">
      <c r="A22" s="51" t="s">
        <v>170</v>
      </c>
      <c r="B22" s="44">
        <v>31</v>
      </c>
      <c r="C22" s="131">
        <v>0</v>
      </c>
      <c r="E22" s="59" t="s">
        <v>73</v>
      </c>
      <c r="F22" s="56" t="s">
        <v>28</v>
      </c>
      <c r="G22" s="44">
        <v>6</v>
      </c>
      <c r="H22" s="129">
        <f t="shared" si="0"/>
        <v>3.9473684210526317E-3</v>
      </c>
      <c r="I22" s="90">
        <v>3</v>
      </c>
      <c r="K22" s="36">
        <v>20</v>
      </c>
      <c r="L22" s="95">
        <v>-61.199999999999996</v>
      </c>
      <c r="N22" s="111" t="s">
        <v>177</v>
      </c>
      <c r="O22" s="121">
        <f t="shared" si="3"/>
        <v>-6.428289473684206</v>
      </c>
      <c r="P22" s="115">
        <v>152</v>
      </c>
      <c r="Q22" s="103">
        <v>-977.09999999999934</v>
      </c>
    </row>
    <row r="23" spans="1:17" x14ac:dyDescent="0.4">
      <c r="A23" s="51" t="s">
        <v>5</v>
      </c>
      <c r="B23" s="48">
        <f>IF(B$17=0,0,C23/B$17)</f>
        <v>8433.4210526315783</v>
      </c>
      <c r="C23" s="39">
        <v>12818800</v>
      </c>
      <c r="E23" s="59" t="s">
        <v>74</v>
      </c>
      <c r="F23" s="56" t="s">
        <v>29</v>
      </c>
      <c r="G23" s="44">
        <v>6</v>
      </c>
      <c r="H23" s="129">
        <f t="shared" si="0"/>
        <v>3.9473684210526317E-3</v>
      </c>
      <c r="I23" s="90">
        <v>5</v>
      </c>
      <c r="K23" s="36">
        <v>21</v>
      </c>
      <c r="L23" s="95">
        <v>7.1054273576010019E-15</v>
      </c>
      <c r="N23" s="111" t="s">
        <v>126</v>
      </c>
      <c r="O23" s="121">
        <f t="shared" si="3"/>
        <v>-13.291666666666666</v>
      </c>
      <c r="P23" s="115">
        <v>252</v>
      </c>
      <c r="Q23" s="103">
        <v>-3349.5</v>
      </c>
    </row>
    <row r="24" spans="1:17" x14ac:dyDescent="0.4">
      <c r="A24" s="52" t="s">
        <v>216</v>
      </c>
      <c r="B24" s="136">
        <f>IF($B$17-B$16=0,0,C24/($B$17-B$16))</f>
        <v>9031.54296875</v>
      </c>
      <c r="C24" s="137">
        <v>9248300</v>
      </c>
      <c r="E24" s="59" t="s">
        <v>77</v>
      </c>
      <c r="F24" s="56" t="s">
        <v>32</v>
      </c>
      <c r="G24" s="44">
        <v>5</v>
      </c>
      <c r="H24" s="129">
        <f t="shared" si="0"/>
        <v>3.2894736842105261E-3</v>
      </c>
      <c r="I24" s="90">
        <v>4</v>
      </c>
      <c r="K24" s="36">
        <v>22</v>
      </c>
      <c r="L24" s="95">
        <v>-25.099999999999994</v>
      </c>
      <c r="N24" s="111" t="s">
        <v>222</v>
      </c>
      <c r="O24" s="121">
        <f t="shared" si="3"/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7198.5887096774195</v>
      </c>
      <c r="C25" s="137">
        <v>3570500</v>
      </c>
      <c r="E25" s="59" t="s">
        <v>85</v>
      </c>
      <c r="F25" s="56" t="s">
        <v>40</v>
      </c>
      <c r="G25" s="44">
        <v>5</v>
      </c>
      <c r="H25" s="129">
        <f t="shared" si="0"/>
        <v>3.2894736842105261E-3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-7848.8730723606168</v>
      </c>
      <c r="C26" s="137">
        <v>-6616600</v>
      </c>
      <c r="E26" s="59" t="s">
        <v>88</v>
      </c>
      <c r="F26" s="56" t="s">
        <v>43</v>
      </c>
      <c r="G26" s="44">
        <v>5</v>
      </c>
      <c r="H26" s="129">
        <f t="shared" si="0"/>
        <v>3.2894736842105261E-3</v>
      </c>
      <c r="I26" s="90">
        <v>4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8">
        <v>8</v>
      </c>
      <c r="C27" s="149"/>
      <c r="E27" s="59" t="s">
        <v>84</v>
      </c>
      <c r="F27" s="56" t="s">
        <v>39</v>
      </c>
      <c r="G27" s="44">
        <v>4</v>
      </c>
      <c r="H27" s="129">
        <f t="shared" si="0"/>
        <v>2.631578947368421E-3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6">
        <v>149100</v>
      </c>
      <c r="C28" s="147"/>
      <c r="E28" s="59" t="s">
        <v>93</v>
      </c>
      <c r="F28" s="56" t="s">
        <v>48</v>
      </c>
      <c r="G28" s="44">
        <v>3</v>
      </c>
      <c r="H28" s="129">
        <f t="shared" si="0"/>
        <v>1.9736842105263159E-3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14</v>
      </c>
      <c r="C29" s="40">
        <f>IF(B$3=0,0,B29/B$3)</f>
        <v>2.7210884353741495E-3</v>
      </c>
      <c r="E29" s="59" t="s">
        <v>95</v>
      </c>
      <c r="F29" s="56" t="s">
        <v>50</v>
      </c>
      <c r="G29" s="44">
        <v>3</v>
      </c>
      <c r="H29" s="129">
        <f t="shared" si="0"/>
        <v>1.9736842105263159E-3</v>
      </c>
      <c r="I29" s="90">
        <v>4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2</v>
      </c>
      <c r="H30" s="129">
        <f t="shared" si="0"/>
        <v>1.3157894736842105E-3</v>
      </c>
      <c r="I30" s="90">
        <v>3</v>
      </c>
      <c r="K30" s="36">
        <v>28</v>
      </c>
      <c r="L30" s="95">
        <v>-30.199999999999992</v>
      </c>
    </row>
    <row r="31" spans="1:17" x14ac:dyDescent="0.4">
      <c r="A31" s="86" t="s">
        <v>257</v>
      </c>
      <c r="B31" s="142">
        <v>111</v>
      </c>
      <c r="C31" s="145">
        <f>IF(B$17=0,0,B31/B$17)</f>
        <v>7.3026315789473689E-2</v>
      </c>
      <c r="E31" s="59" t="s">
        <v>90</v>
      </c>
      <c r="F31" s="56" t="s">
        <v>45</v>
      </c>
      <c r="G31" s="44">
        <v>2</v>
      </c>
      <c r="H31" s="129">
        <f t="shared" si="0"/>
        <v>1.3157894736842105E-3</v>
      </c>
      <c r="I31" s="90">
        <v>3</v>
      </c>
      <c r="K31" s="36">
        <v>29</v>
      </c>
      <c r="L31" s="95">
        <v>-2.3999999999999915</v>
      </c>
    </row>
    <row r="32" spans="1:17" x14ac:dyDescent="0.4">
      <c r="A32" s="51" t="s">
        <v>253</v>
      </c>
      <c r="B32" s="44">
        <v>251</v>
      </c>
      <c r="C32" s="37">
        <f t="shared" ref="C32:C43" si="4">IF(B$17=0,0,B32/B$17)</f>
        <v>0.16513157894736843</v>
      </c>
      <c r="E32" s="59" t="s">
        <v>97</v>
      </c>
      <c r="F32" s="56" t="s">
        <v>52</v>
      </c>
      <c r="G32" s="44">
        <v>1</v>
      </c>
      <c r="H32" s="129">
        <f t="shared" si="0"/>
        <v>6.5789473684210525E-4</v>
      </c>
      <c r="I32" s="90">
        <v>2</v>
      </c>
      <c r="K32" s="36">
        <v>30</v>
      </c>
      <c r="L32" s="95">
        <v>8.4376949871511897E-15</v>
      </c>
    </row>
    <row r="33" spans="1:12" x14ac:dyDescent="0.4">
      <c r="A33" s="51" t="s">
        <v>254</v>
      </c>
      <c r="B33" s="143">
        <v>315</v>
      </c>
      <c r="C33" s="37">
        <f>IF(B$17=0,0,B33/B$17)</f>
        <v>0.20723684210526316</v>
      </c>
      <c r="E33" s="59" t="s">
        <v>101</v>
      </c>
      <c r="F33" s="56" t="s">
        <v>56</v>
      </c>
      <c r="G33" s="44">
        <v>1</v>
      </c>
      <c r="H33" s="129">
        <f t="shared" si="0"/>
        <v>6.5789473684210525E-4</v>
      </c>
      <c r="I33" s="90">
        <v>2</v>
      </c>
      <c r="K33" s="36">
        <v>31</v>
      </c>
      <c r="L33" s="95">
        <v>12.500000000000009</v>
      </c>
    </row>
    <row r="34" spans="1:12" x14ac:dyDescent="0.4">
      <c r="A34" s="51" t="s">
        <v>255</v>
      </c>
      <c r="B34" s="143">
        <v>269</v>
      </c>
      <c r="C34" s="37">
        <f t="shared" si="4"/>
        <v>0.17697368421052631</v>
      </c>
      <c r="E34" s="59" t="s">
        <v>106</v>
      </c>
      <c r="F34" s="56" t="s">
        <v>113</v>
      </c>
      <c r="G34" s="44">
        <v>1</v>
      </c>
      <c r="H34" s="129">
        <f t="shared" ref="H34:H65" si="5">IF(B$17=0,0,G34/B$17)</f>
        <v>6.5789473684210525E-4</v>
      </c>
      <c r="I34" s="90">
        <v>2</v>
      </c>
      <c r="K34" s="36">
        <v>32</v>
      </c>
      <c r="L34" s="95">
        <v>47.300000000000004</v>
      </c>
    </row>
    <row r="35" spans="1:12" x14ac:dyDescent="0.4">
      <c r="A35" s="51" t="s">
        <v>256</v>
      </c>
      <c r="B35" s="143">
        <v>242</v>
      </c>
      <c r="C35" s="37">
        <f t="shared" si="4"/>
        <v>0.15921052631578947</v>
      </c>
      <c r="E35" s="59" t="s">
        <v>76</v>
      </c>
      <c r="F35" s="56" t="s">
        <v>31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7.1054273576010019E-15</v>
      </c>
    </row>
    <row r="36" spans="1:12" x14ac:dyDescent="0.4">
      <c r="A36" s="51" t="s">
        <v>258</v>
      </c>
      <c r="B36" s="143">
        <v>154</v>
      </c>
      <c r="C36" s="37">
        <f t="shared" si="4"/>
        <v>0.10131578947368421</v>
      </c>
      <c r="E36" s="59" t="s">
        <v>80</v>
      </c>
      <c r="F36" s="56" t="s">
        <v>35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-5.8999999999999932</v>
      </c>
    </row>
    <row r="37" spans="1:12" x14ac:dyDescent="0.4">
      <c r="A37" s="51" t="s">
        <v>259</v>
      </c>
      <c r="B37" s="143">
        <v>82</v>
      </c>
      <c r="C37" s="37">
        <f t="shared" si="4"/>
        <v>5.3947368421052633E-2</v>
      </c>
      <c r="E37" s="59" t="s">
        <v>82</v>
      </c>
      <c r="F37" s="56" t="s">
        <v>37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26.900000000000006</v>
      </c>
    </row>
    <row r="38" spans="1:12" x14ac:dyDescent="0.4">
      <c r="A38" s="51" t="s">
        <v>260</v>
      </c>
      <c r="B38" s="143">
        <v>42</v>
      </c>
      <c r="C38" s="37">
        <f t="shared" si="4"/>
        <v>2.763157894736842E-2</v>
      </c>
      <c r="E38" s="59" t="s">
        <v>94</v>
      </c>
      <c r="F38" s="56" t="s">
        <v>49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261</v>
      </c>
      <c r="B39" s="143">
        <v>18</v>
      </c>
      <c r="C39" s="37">
        <f t="shared" si="4"/>
        <v>1.1842105263157895E-2</v>
      </c>
      <c r="E39" s="59" t="s">
        <v>96</v>
      </c>
      <c r="F39" s="56" t="s">
        <v>51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17.400000000000006</v>
      </c>
    </row>
    <row r="40" spans="1:12" x14ac:dyDescent="0.4">
      <c r="A40" s="51" t="s">
        <v>262</v>
      </c>
      <c r="B40" s="143">
        <v>7</v>
      </c>
      <c r="C40" s="37">
        <f t="shared" si="4"/>
        <v>4.6052631578947364E-3</v>
      </c>
      <c r="E40" s="59" t="s">
        <v>98</v>
      </c>
      <c r="F40" s="56" t="s">
        <v>53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-5.2999999999999936</v>
      </c>
    </row>
    <row r="41" spans="1:12" x14ac:dyDescent="0.4">
      <c r="A41" s="51" t="s">
        <v>263</v>
      </c>
      <c r="B41" s="143">
        <v>5</v>
      </c>
      <c r="C41" s="37">
        <f t="shared" si="4"/>
        <v>3.2894736842105261E-3</v>
      </c>
      <c r="E41" s="59" t="s">
        <v>99</v>
      </c>
      <c r="F41" s="56" t="s">
        <v>54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6.2172489379008766E-15</v>
      </c>
    </row>
    <row r="42" spans="1:12" x14ac:dyDescent="0.4">
      <c r="A42" s="51" t="s">
        <v>264</v>
      </c>
      <c r="B42" s="143">
        <v>5</v>
      </c>
      <c r="C42" s="37">
        <f t="shared" si="4"/>
        <v>3.2894736842105261E-3</v>
      </c>
      <c r="E42" s="59" t="s">
        <v>100</v>
      </c>
      <c r="F42" s="56" t="s">
        <v>55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10.300000000000008</v>
      </c>
    </row>
    <row r="43" spans="1:12" x14ac:dyDescent="0.4">
      <c r="A43" s="53" t="s">
        <v>265</v>
      </c>
      <c r="B43" s="144">
        <v>19</v>
      </c>
      <c r="C43" s="40">
        <f t="shared" si="4"/>
        <v>1.2500000000000001E-2</v>
      </c>
      <c r="E43" s="59" t="s">
        <v>102</v>
      </c>
      <c r="F43" s="56" t="s">
        <v>57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-26.999999999999989</v>
      </c>
    </row>
    <row r="44" spans="1:12" x14ac:dyDescent="0.4">
      <c r="E44" s="59" t="s">
        <v>103</v>
      </c>
      <c r="F44" s="56" t="s">
        <v>58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1.0658141036401503E-14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-20.899999999999988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 t="shared" si="5"/>
        <v>0</v>
      </c>
      <c r="I46" s="90">
        <v>1</v>
      </c>
      <c r="K46" s="36">
        <v>44</v>
      </c>
      <c r="L46" s="95">
        <v>0.30000000000001137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1.1379786002407855E-14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  <row r="570" spans="11:12" x14ac:dyDescent="0.4">
      <c r="K570" s="36">
        <v>568</v>
      </c>
      <c r="L570" s="95">
        <v>1.0999999999999646</v>
      </c>
    </row>
    <row r="571" spans="11:12" x14ac:dyDescent="0.4">
      <c r="K571" s="36">
        <v>569</v>
      </c>
      <c r="L571" s="95">
        <v>25.099999999999966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-0.10000000000003553</v>
      </c>
    </row>
    <row r="574" spans="11:12" x14ac:dyDescent="0.4">
      <c r="K574" s="36">
        <v>572</v>
      </c>
      <c r="L574" s="95">
        <v>-35.80000000000004</v>
      </c>
    </row>
    <row r="575" spans="11:12" x14ac:dyDescent="0.4">
      <c r="K575" s="36">
        <v>573</v>
      </c>
      <c r="L575" s="95">
        <v>-4.2632564145606011E-14</v>
      </c>
    </row>
    <row r="576" spans="11:12" x14ac:dyDescent="0.4">
      <c r="K576" s="36">
        <v>574</v>
      </c>
      <c r="L576" s="95">
        <v>-22.500000000000043</v>
      </c>
    </row>
    <row r="577" spans="11:12" x14ac:dyDescent="0.4">
      <c r="K577" s="36">
        <v>575</v>
      </c>
      <c r="L577" s="95">
        <v>-30.400000000000041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-87.400000000000048</v>
      </c>
    </row>
    <row r="580" spans="11:12" x14ac:dyDescent="0.4">
      <c r="K580" s="36">
        <v>578</v>
      </c>
      <c r="L580" s="95">
        <v>9.699999999999946</v>
      </c>
    </row>
    <row r="581" spans="11:12" x14ac:dyDescent="0.4">
      <c r="K581" s="36">
        <v>579</v>
      </c>
      <c r="L581" s="95">
        <v>-5.3290705182007514E-14</v>
      </c>
    </row>
    <row r="582" spans="11:12" x14ac:dyDescent="0.4">
      <c r="K582" s="36">
        <v>580</v>
      </c>
      <c r="L582" s="95">
        <v>25.899999999999945</v>
      </c>
    </row>
    <row r="583" spans="11:12" x14ac:dyDescent="0.4">
      <c r="K583" s="36">
        <v>581</v>
      </c>
      <c r="L583" s="95">
        <v>2.7999999999999439</v>
      </c>
    </row>
    <row r="584" spans="11:12" x14ac:dyDescent="0.4">
      <c r="K584" s="36">
        <v>582</v>
      </c>
      <c r="L584" s="95">
        <v>-5.595524044110789E-14</v>
      </c>
    </row>
    <row r="585" spans="11:12" x14ac:dyDescent="0.4">
      <c r="K585" s="36">
        <v>583</v>
      </c>
      <c r="L585" s="95">
        <v>-12.900000000000055</v>
      </c>
    </row>
    <row r="586" spans="11:12" x14ac:dyDescent="0.4">
      <c r="K586" s="36">
        <v>584</v>
      </c>
      <c r="L586" s="95">
        <v>32.299999999999947</v>
      </c>
    </row>
    <row r="587" spans="11:12" x14ac:dyDescent="0.4">
      <c r="K587" s="36">
        <v>585</v>
      </c>
      <c r="L587" s="95">
        <v>-4.9737991503207013E-14</v>
      </c>
    </row>
    <row r="588" spans="11:12" x14ac:dyDescent="0.4">
      <c r="K588" s="36">
        <v>586</v>
      </c>
      <c r="L588" s="95">
        <v>35.99999999999995</v>
      </c>
    </row>
    <row r="589" spans="11:12" x14ac:dyDescent="0.4">
      <c r="K589" s="36">
        <v>587</v>
      </c>
      <c r="L589" s="95">
        <v>-12.800000000000047</v>
      </c>
    </row>
    <row r="590" spans="11:12" x14ac:dyDescent="0.4">
      <c r="K590" s="36">
        <v>588</v>
      </c>
      <c r="L590" s="95">
        <v>-4.6185277824406512E-14</v>
      </c>
    </row>
    <row r="591" spans="11:12" x14ac:dyDescent="0.4">
      <c r="K591" s="36">
        <v>589</v>
      </c>
      <c r="L591" s="95">
        <v>20.399999999999952</v>
      </c>
    </row>
    <row r="592" spans="11:12" x14ac:dyDescent="0.4">
      <c r="K592" s="36">
        <v>590</v>
      </c>
      <c r="L592" s="95">
        <v>-30.700000000000049</v>
      </c>
    </row>
    <row r="593" spans="11:12" x14ac:dyDescent="0.4">
      <c r="K593" s="36">
        <v>591</v>
      </c>
      <c r="L593" s="95">
        <v>-4.9737991503207013E-14</v>
      </c>
    </row>
    <row r="594" spans="11:12" x14ac:dyDescent="0.4">
      <c r="K594" s="36">
        <v>592</v>
      </c>
      <c r="L594" s="95">
        <v>-60.300000000000047</v>
      </c>
    </row>
    <row r="595" spans="11:12" x14ac:dyDescent="0.4">
      <c r="K595" s="36">
        <v>593</v>
      </c>
      <c r="L595" s="95">
        <v>-0.3000000000000469</v>
      </c>
    </row>
    <row r="596" spans="11:12" x14ac:dyDescent="0.4">
      <c r="K596" s="36">
        <v>594</v>
      </c>
      <c r="L596" s="95">
        <v>-4.6906922790412864E-14</v>
      </c>
    </row>
    <row r="597" spans="11:12" x14ac:dyDescent="0.4">
      <c r="K597" s="36">
        <v>595</v>
      </c>
      <c r="L597" s="95">
        <v>-45.600000000000051</v>
      </c>
    </row>
    <row r="598" spans="11:12" x14ac:dyDescent="0.4">
      <c r="K598" s="36">
        <v>596</v>
      </c>
      <c r="L598" s="95">
        <v>9.5999999999999517</v>
      </c>
    </row>
    <row r="599" spans="11:12" x14ac:dyDescent="0.4">
      <c r="K599" s="36">
        <v>597</v>
      </c>
      <c r="L599" s="95">
        <v>-4.7961634663806763E-14</v>
      </c>
    </row>
    <row r="600" spans="11:12" x14ac:dyDescent="0.4">
      <c r="K600" s="36">
        <v>598</v>
      </c>
      <c r="L600" s="95">
        <v>28.899999999999949</v>
      </c>
    </row>
    <row r="601" spans="11:12" x14ac:dyDescent="0.4">
      <c r="K601" s="36">
        <v>599</v>
      </c>
      <c r="L601" s="95">
        <v>27.899999999999949</v>
      </c>
    </row>
    <row r="602" spans="11:12" x14ac:dyDescent="0.4">
      <c r="K602" s="36">
        <v>600</v>
      </c>
      <c r="L602" s="95">
        <v>-4.9737991503207013E-14</v>
      </c>
    </row>
    <row r="603" spans="11:12" x14ac:dyDescent="0.4">
      <c r="K603" s="36">
        <v>601</v>
      </c>
      <c r="L603" s="95">
        <v>-31.50000000000005</v>
      </c>
    </row>
    <row r="604" spans="11:12" x14ac:dyDescent="0.4">
      <c r="K604" s="36">
        <v>602</v>
      </c>
      <c r="L604" s="95">
        <v>-38.400000000000048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33.49999999999995</v>
      </c>
    </row>
    <row r="607" spans="11:12" x14ac:dyDescent="0.4">
      <c r="K607" s="36">
        <v>605</v>
      </c>
      <c r="L607" s="95">
        <v>0.6999999999999531</v>
      </c>
    </row>
    <row r="608" spans="11:12" x14ac:dyDescent="0.4">
      <c r="K608" s="36">
        <v>606</v>
      </c>
      <c r="L608" s="95">
        <v>-4.6851411639181606E-14</v>
      </c>
    </row>
    <row r="609" spans="11:12" x14ac:dyDescent="0.4">
      <c r="K609" s="36">
        <v>607</v>
      </c>
      <c r="L609" s="95">
        <v>11.999999999999954</v>
      </c>
    </row>
    <row r="610" spans="11:12" x14ac:dyDescent="0.4">
      <c r="K610" s="36">
        <v>608</v>
      </c>
      <c r="L610" s="95">
        <v>38.299999999999955</v>
      </c>
    </row>
    <row r="611" spans="11:12" x14ac:dyDescent="0.4">
      <c r="K611" s="36">
        <v>609</v>
      </c>
      <c r="L611" s="95">
        <v>-4.2632564145606011E-14</v>
      </c>
    </row>
    <row r="612" spans="11:12" x14ac:dyDescent="0.4">
      <c r="K612" s="36">
        <v>610</v>
      </c>
      <c r="L612" s="95">
        <v>7.3999999999999577</v>
      </c>
    </row>
    <row r="613" spans="11:12" x14ac:dyDescent="0.4">
      <c r="K613" s="36">
        <v>611</v>
      </c>
      <c r="L613" s="95">
        <v>26.799999999999955</v>
      </c>
    </row>
    <row r="614" spans="11:12" x14ac:dyDescent="0.4">
      <c r="K614" s="36">
        <v>612</v>
      </c>
      <c r="L614" s="95">
        <v>-4.6185277824406512E-14</v>
      </c>
    </row>
    <row r="615" spans="11:12" x14ac:dyDescent="0.4">
      <c r="K615" s="36">
        <v>613</v>
      </c>
      <c r="L615" s="95">
        <v>-26.800000000000047</v>
      </c>
    </row>
    <row r="616" spans="11:12" x14ac:dyDescent="0.4">
      <c r="K616" s="36">
        <v>614</v>
      </c>
      <c r="L616" s="95">
        <v>-5.3000000000000469</v>
      </c>
    </row>
    <row r="617" spans="11:12" x14ac:dyDescent="0.4">
      <c r="K617" s="36">
        <v>615</v>
      </c>
      <c r="L617" s="95">
        <v>-4.7073456244106637E-14</v>
      </c>
    </row>
    <row r="618" spans="11:12" x14ac:dyDescent="0.4">
      <c r="K618" s="36">
        <v>616</v>
      </c>
      <c r="L618" s="95">
        <v>-20.200000000000045</v>
      </c>
    </row>
    <row r="619" spans="11:12" x14ac:dyDescent="0.4">
      <c r="K619" s="36">
        <v>617</v>
      </c>
      <c r="L619" s="95">
        <v>-28.900000000000045</v>
      </c>
    </row>
    <row r="620" spans="11:12" x14ac:dyDescent="0.4">
      <c r="K620" s="36">
        <v>618</v>
      </c>
      <c r="L620" s="95">
        <v>-4.6185277824406512E-14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DBF8D-54C7-4D73-8DB2-299AD1624C09}">
  <sheetPr codeName="Sheet7"/>
  <dimension ref="A1:Q5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166</v>
      </c>
      <c r="C1" s="153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4">
        <v>56</v>
      </c>
      <c r="C2" s="155"/>
      <c r="E2" s="58" t="s">
        <v>66</v>
      </c>
      <c r="F2" s="55" t="s">
        <v>22</v>
      </c>
      <c r="G2" s="43">
        <v>95</v>
      </c>
      <c r="H2" s="128">
        <f t="shared" ref="H2:H33" si="0">IF(B$17=0,0,G2/B$17)</f>
        <v>0.71969696969696972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1">IF(P2=0,0,Q2/P2)</f>
        <v>1325</v>
      </c>
      <c r="P2" s="114">
        <v>56</v>
      </c>
      <c r="Q2" s="98">
        <v>74200</v>
      </c>
    </row>
    <row r="3" spans="1:17" x14ac:dyDescent="0.4">
      <c r="A3" s="51" t="s">
        <v>8</v>
      </c>
      <c r="B3" s="156">
        <v>498</v>
      </c>
      <c r="C3" s="157"/>
      <c r="E3" s="59" t="s">
        <v>72</v>
      </c>
      <c r="F3" s="56" t="s">
        <v>27</v>
      </c>
      <c r="G3" s="44">
        <v>72</v>
      </c>
      <c r="H3" s="129">
        <f t="shared" si="0"/>
        <v>0.54545454545454541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1"/>
        <v>-881.81818181818187</v>
      </c>
      <c r="P3" s="115">
        <v>55</v>
      </c>
      <c r="Q3" s="99">
        <v>-48500</v>
      </c>
    </row>
    <row r="4" spans="1:17" x14ac:dyDescent="0.4">
      <c r="A4" s="51" t="s">
        <v>6</v>
      </c>
      <c r="B4" s="158">
        <v>-369.50000000000011</v>
      </c>
      <c r="C4" s="159"/>
      <c r="E4" s="59" t="s">
        <v>171</v>
      </c>
      <c r="F4" s="56" t="s">
        <v>172</v>
      </c>
      <c r="G4" s="44">
        <v>51</v>
      </c>
      <c r="H4" s="129">
        <f t="shared" si="0"/>
        <v>0.38636363636363635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1"/>
        <v>-1754.7169811320755</v>
      </c>
      <c r="P4" s="115">
        <v>53</v>
      </c>
      <c r="Q4" s="99">
        <v>-93000</v>
      </c>
    </row>
    <row r="5" spans="1:17" x14ac:dyDescent="0.4">
      <c r="A5" s="51" t="s">
        <v>7</v>
      </c>
      <c r="B5" s="160">
        <f>IF(B$2=0,0,B$4/B$2)</f>
        <v>-6.5982142857142874</v>
      </c>
      <c r="C5" s="161"/>
      <c r="E5" s="59" t="s">
        <v>64</v>
      </c>
      <c r="F5" s="56" t="s">
        <v>20</v>
      </c>
      <c r="G5" s="44">
        <v>36</v>
      </c>
      <c r="H5" s="129">
        <f t="shared" si="0"/>
        <v>0.27272727272727271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1"/>
        <v>-1473.0769230769231</v>
      </c>
      <c r="P5" s="115">
        <v>52</v>
      </c>
      <c r="Q5" s="99">
        <v>-76600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68</v>
      </c>
      <c r="F6" s="56" t="s">
        <v>12</v>
      </c>
      <c r="G6" s="44">
        <v>34</v>
      </c>
      <c r="H6" s="129">
        <f t="shared" si="0"/>
        <v>0.25757575757575757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1"/>
        <v>25.490196078431371</v>
      </c>
      <c r="P6" s="115">
        <v>51</v>
      </c>
      <c r="Q6" s="99">
        <v>1300</v>
      </c>
    </row>
    <row r="7" spans="1:17" x14ac:dyDescent="0.4">
      <c r="A7" s="51" t="s">
        <v>2</v>
      </c>
      <c r="B7" s="44">
        <v>18</v>
      </c>
      <c r="C7" s="37">
        <f t="shared" ref="C7:C12" si="2">IF(B$2=0,0,B7/B$2)</f>
        <v>0.32142857142857145</v>
      </c>
      <c r="E7" s="59" t="s">
        <v>69</v>
      </c>
      <c r="F7" s="56" t="s">
        <v>24</v>
      </c>
      <c r="G7" s="44">
        <v>26</v>
      </c>
      <c r="H7" s="129">
        <f t="shared" si="0"/>
        <v>0.19696969696969696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1"/>
        <v>-1881.8181818181818</v>
      </c>
      <c r="P7" s="116">
        <v>44</v>
      </c>
      <c r="Q7" s="100">
        <v>-82800</v>
      </c>
    </row>
    <row r="8" spans="1:17" x14ac:dyDescent="0.4">
      <c r="A8" s="51" t="s">
        <v>3</v>
      </c>
      <c r="B8" s="44">
        <v>12</v>
      </c>
      <c r="C8" s="37">
        <f t="shared" si="2"/>
        <v>0.21428571428571427</v>
      </c>
      <c r="E8" s="59" t="s">
        <v>67</v>
      </c>
      <c r="F8" s="56" t="s">
        <v>23</v>
      </c>
      <c r="G8" s="44">
        <v>19</v>
      </c>
      <c r="H8" s="129">
        <f t="shared" si="0"/>
        <v>0.14393939393939395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2"/>
        <v>0.4642857142857143</v>
      </c>
      <c r="E9" s="59" t="s">
        <v>70</v>
      </c>
      <c r="F9" s="56" t="s">
        <v>25</v>
      </c>
      <c r="G9" s="44">
        <v>18</v>
      </c>
      <c r="H9" s="129">
        <f t="shared" si="0"/>
        <v>0.13636363636363635</v>
      </c>
      <c r="I9" s="90">
        <v>3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2"/>
        <v>3.5714285714285712E-2</v>
      </c>
      <c r="E10" s="59" t="s">
        <v>71</v>
      </c>
      <c r="F10" s="56" t="s">
        <v>26</v>
      </c>
      <c r="G10" s="44">
        <v>13</v>
      </c>
      <c r="H10" s="129">
        <f t="shared" si="0"/>
        <v>9.8484848484848481E-2</v>
      </c>
      <c r="I10" s="90">
        <v>2</v>
      </c>
      <c r="K10" s="36">
        <v>8</v>
      </c>
      <c r="L10" s="95">
        <v>-76.900000000000006</v>
      </c>
      <c r="N10" s="110" t="s">
        <v>162</v>
      </c>
      <c r="O10" s="120">
        <f>IF(P10=0,0,Q10/P10)</f>
        <v>-12.329999999999998</v>
      </c>
      <c r="P10" s="114">
        <v>20</v>
      </c>
      <c r="Q10" s="102">
        <v>-246.59999999999997</v>
      </c>
    </row>
    <row r="11" spans="1:17" x14ac:dyDescent="0.4">
      <c r="A11" s="52" t="s">
        <v>138</v>
      </c>
      <c r="B11" s="45">
        <v>2</v>
      </c>
      <c r="C11" s="38">
        <f t="shared" si="2"/>
        <v>3.5714285714285712E-2</v>
      </c>
      <c r="E11" s="59" t="s">
        <v>83</v>
      </c>
      <c r="F11" s="56" t="s">
        <v>38</v>
      </c>
      <c r="G11" s="44">
        <v>12</v>
      </c>
      <c r="H11" s="129">
        <f t="shared" si="0"/>
        <v>9.0909090909090912E-2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-2.399999999999999</v>
      </c>
      <c r="P11" s="115">
        <v>16</v>
      </c>
      <c r="Q11" s="103">
        <v>-38.399999999999984</v>
      </c>
    </row>
    <row r="12" spans="1:17" x14ac:dyDescent="0.4">
      <c r="A12" s="53" t="s">
        <v>158</v>
      </c>
      <c r="B12" s="46">
        <v>8</v>
      </c>
      <c r="C12" s="40">
        <f t="shared" si="2"/>
        <v>0.14285714285714285</v>
      </c>
      <c r="E12" s="59" t="s">
        <v>65</v>
      </c>
      <c r="F12" s="56" t="s">
        <v>21</v>
      </c>
      <c r="G12" s="44">
        <v>9</v>
      </c>
      <c r="H12" s="129">
        <f t="shared" si="0"/>
        <v>6.8181818181818177E-2</v>
      </c>
      <c r="I12" s="90">
        <v>10</v>
      </c>
      <c r="K12" s="36">
        <v>10</v>
      </c>
      <c r="L12" s="95">
        <v>-32.700000000000003</v>
      </c>
      <c r="N12" s="112" t="s">
        <v>164</v>
      </c>
      <c r="O12" s="122">
        <f>IF(P12=0,0,Q12/P12)</f>
        <v>-4.2249999999999996</v>
      </c>
      <c r="P12" s="116">
        <v>20</v>
      </c>
      <c r="Q12" s="104">
        <v>-84.499999999999986</v>
      </c>
    </row>
    <row r="13" spans="1:17" x14ac:dyDescent="0.4">
      <c r="A13" s="54" t="s">
        <v>121</v>
      </c>
      <c r="B13" s="47">
        <v>77</v>
      </c>
      <c r="C13" s="42">
        <f>IF(B$3=0,0,B13/B$3)</f>
        <v>0.15461847389558234</v>
      </c>
      <c r="E13" s="59" t="s">
        <v>89</v>
      </c>
      <c r="F13" s="56" t="s">
        <v>44</v>
      </c>
      <c r="G13" s="44">
        <v>9</v>
      </c>
      <c r="H13" s="129">
        <f t="shared" si="0"/>
        <v>6.8181818181818177E-2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120</v>
      </c>
      <c r="C14" s="37">
        <f>IF(B$3=0,0,B14/B$3)</f>
        <v>0.24096385542168675</v>
      </c>
      <c r="E14" s="59" t="s">
        <v>81</v>
      </c>
      <c r="F14" s="56" t="s">
        <v>36</v>
      </c>
      <c r="G14" s="44">
        <v>4</v>
      </c>
      <c r="H14" s="129">
        <f t="shared" si="0"/>
        <v>3.0303030303030304E-2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37</v>
      </c>
      <c r="C15" s="35">
        <f>IF(B$13=0,0,B15/B$13)</f>
        <v>0.48051948051948051</v>
      </c>
      <c r="E15" s="59" t="s">
        <v>86</v>
      </c>
      <c r="F15" s="56" t="s">
        <v>41</v>
      </c>
      <c r="G15" s="44">
        <v>4</v>
      </c>
      <c r="H15" s="129">
        <f t="shared" si="0"/>
        <v>3.0303030303030304E-2</v>
      </c>
      <c r="I15" s="90">
        <v>8</v>
      </c>
      <c r="K15" s="36">
        <v>13</v>
      </c>
      <c r="L15" s="95">
        <v>-66.2</v>
      </c>
      <c r="N15" s="110" t="s">
        <v>181</v>
      </c>
      <c r="O15" s="120">
        <f t="shared" ref="O15:O21" si="3"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47</v>
      </c>
      <c r="C16" s="35">
        <f>IF(B$14=0,0,B16/B$14)</f>
        <v>0.39166666666666666</v>
      </c>
      <c r="E16" s="59" t="s">
        <v>91</v>
      </c>
      <c r="F16" s="56" t="s">
        <v>46</v>
      </c>
      <c r="G16" s="44">
        <v>3</v>
      </c>
      <c r="H16" s="129">
        <f t="shared" si="0"/>
        <v>2.2727272727272728E-2</v>
      </c>
      <c r="I16" s="90">
        <v>2</v>
      </c>
      <c r="K16" s="36">
        <v>14</v>
      </c>
      <c r="L16" s="95">
        <v>-51.1</v>
      </c>
      <c r="N16" s="111" t="s">
        <v>178</v>
      </c>
      <c r="O16" s="121">
        <f t="shared" si="3"/>
        <v>-1.683333333333334</v>
      </c>
      <c r="P16" s="115">
        <v>18</v>
      </c>
      <c r="Q16" s="103">
        <v>-30.300000000000011</v>
      </c>
    </row>
    <row r="17" spans="1:17" x14ac:dyDescent="0.4">
      <c r="A17" s="50" t="s">
        <v>10</v>
      </c>
      <c r="B17" s="43">
        <f>B19+B18</f>
        <v>132</v>
      </c>
      <c r="C17" s="35">
        <f>IF(B$3=0,0,B17/B$3)</f>
        <v>0.26506024096385544</v>
      </c>
      <c r="E17" s="59" t="s">
        <v>88</v>
      </c>
      <c r="F17" s="56" t="s">
        <v>43</v>
      </c>
      <c r="G17" s="44">
        <v>2</v>
      </c>
      <c r="H17" s="129">
        <f t="shared" si="0"/>
        <v>1.5151515151515152E-2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 t="shared" si="3"/>
        <v>-5.3548387096774208</v>
      </c>
      <c r="P17" s="115">
        <v>31</v>
      </c>
      <c r="Q17" s="103">
        <v>-166.00000000000006</v>
      </c>
    </row>
    <row r="18" spans="1:17" x14ac:dyDescent="0.4">
      <c r="A18" s="51" t="s">
        <v>12</v>
      </c>
      <c r="B18" s="44">
        <v>52</v>
      </c>
      <c r="C18" s="37">
        <f>IF(B$17=0,0,B18/B$17)</f>
        <v>0.39393939393939392</v>
      </c>
      <c r="E18" s="59" t="s">
        <v>74</v>
      </c>
      <c r="F18" s="56" t="s">
        <v>29</v>
      </c>
      <c r="G18" s="44">
        <v>1</v>
      </c>
      <c r="H18" s="129">
        <f t="shared" si="0"/>
        <v>7.575757575757576E-3</v>
      </c>
      <c r="I18" s="90">
        <v>2</v>
      </c>
      <c r="K18" s="36">
        <v>16</v>
      </c>
      <c r="L18" s="95">
        <v>-70.600000000000009</v>
      </c>
      <c r="N18" s="111" t="s">
        <v>127</v>
      </c>
      <c r="O18" s="121">
        <f t="shared" si="3"/>
        <v>-6.1160000000000014</v>
      </c>
      <c r="P18" s="115">
        <v>25</v>
      </c>
      <c r="Q18" s="103">
        <v>-152.90000000000003</v>
      </c>
    </row>
    <row r="19" spans="1:17" x14ac:dyDescent="0.4">
      <c r="A19" s="51" t="s">
        <v>11</v>
      </c>
      <c r="B19" s="44">
        <v>80</v>
      </c>
      <c r="C19" s="37">
        <f>IF(B$17=0,0,B19/B$17)</f>
        <v>0.60606060606060608</v>
      </c>
      <c r="E19" s="59" t="s">
        <v>75</v>
      </c>
      <c r="F19" s="56" t="s">
        <v>30</v>
      </c>
      <c r="G19" s="44">
        <v>1</v>
      </c>
      <c r="H19" s="129">
        <f t="shared" si="0"/>
        <v>7.575757575757576E-3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 t="shared" si="3"/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13</v>
      </c>
      <c r="B20" s="44">
        <v>75</v>
      </c>
      <c r="C20" s="37">
        <f>IF(B$3=0,0,B20/B$3)</f>
        <v>0.15060240963855423</v>
      </c>
      <c r="E20" s="59" t="s">
        <v>77</v>
      </c>
      <c r="F20" s="56" t="s">
        <v>32</v>
      </c>
      <c r="G20" s="44">
        <v>1</v>
      </c>
      <c r="H20" s="129">
        <f t="shared" si="0"/>
        <v>7.575757575757576E-3</v>
      </c>
      <c r="I20" s="90">
        <v>2</v>
      </c>
      <c r="K20" s="36">
        <v>18</v>
      </c>
      <c r="L20" s="95">
        <v>-80.2</v>
      </c>
      <c r="N20" s="111" t="s">
        <v>182</v>
      </c>
      <c r="O20" s="121">
        <f t="shared" si="3"/>
        <v>-27.433333333333326</v>
      </c>
      <c r="P20" s="115">
        <v>6</v>
      </c>
      <c r="Q20" s="103">
        <v>-164.59999999999997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79</v>
      </c>
      <c r="F21" s="56" t="s">
        <v>34</v>
      </c>
      <c r="G21" s="44">
        <v>1</v>
      </c>
      <c r="H21" s="129">
        <f t="shared" si="0"/>
        <v>7.575757575757576E-3</v>
      </c>
      <c r="I21" s="90">
        <v>6</v>
      </c>
      <c r="K21" s="36">
        <v>19</v>
      </c>
      <c r="L21" s="95">
        <v>-115.1</v>
      </c>
      <c r="N21" s="111" t="s">
        <v>177</v>
      </c>
      <c r="O21" s="121">
        <f t="shared" si="3"/>
        <v>-38.991666666666667</v>
      </c>
      <c r="P21" s="115">
        <v>12</v>
      </c>
      <c r="Q21" s="103">
        <v>-467.9</v>
      </c>
    </row>
    <row r="22" spans="1:17" x14ac:dyDescent="0.4">
      <c r="A22" s="51" t="s">
        <v>170</v>
      </c>
      <c r="B22" s="44">
        <v>32</v>
      </c>
      <c r="C22" s="131">
        <v>2</v>
      </c>
      <c r="E22" s="59" t="s">
        <v>93</v>
      </c>
      <c r="F22" s="56" t="s">
        <v>48</v>
      </c>
      <c r="G22" s="44">
        <v>1</v>
      </c>
      <c r="H22" s="129">
        <f t="shared" si="0"/>
        <v>7.575757575757576E-3</v>
      </c>
      <c r="I22" s="90">
        <v>1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6975</v>
      </c>
      <c r="C23" s="39">
        <v>920700</v>
      </c>
      <c r="E23" s="59" t="s">
        <v>73</v>
      </c>
      <c r="F23" s="56" t="s">
        <v>28</v>
      </c>
      <c r="G23" s="44">
        <v>0</v>
      </c>
      <c r="H23" s="129">
        <f t="shared" si="0"/>
        <v>0</v>
      </c>
      <c r="I23" s="90">
        <v>5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7207.0588235294117</v>
      </c>
      <c r="C24" s="137">
        <v>612600</v>
      </c>
      <c r="E24" s="59" t="s">
        <v>76</v>
      </c>
      <c r="F24" s="56" t="s">
        <v>31</v>
      </c>
      <c r="G24" s="44">
        <v>0</v>
      </c>
      <c r="H24" s="129">
        <f t="shared" si="0"/>
        <v>0</v>
      </c>
      <c r="I24" s="90">
        <v>1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6555.3191489361698</v>
      </c>
      <c r="C25" s="137">
        <v>308100</v>
      </c>
      <c r="E25" s="59" t="s">
        <v>78</v>
      </c>
      <c r="F25" s="56" t="s">
        <v>33</v>
      </c>
      <c r="G25" s="44">
        <v>0</v>
      </c>
      <c r="H25" s="129">
        <f t="shared" si="0"/>
        <v>0</v>
      </c>
      <c r="I25" s="90">
        <v>9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-7600</v>
      </c>
      <c r="C26" s="137">
        <v>-570000</v>
      </c>
      <c r="E26" s="59" t="s">
        <v>80</v>
      </c>
      <c r="F26" s="56" t="s">
        <v>35</v>
      </c>
      <c r="G26" s="44">
        <v>0</v>
      </c>
      <c r="H26" s="129">
        <f t="shared" si="0"/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8">
        <v>6</v>
      </c>
      <c r="C27" s="149"/>
      <c r="E27" s="59" t="s">
        <v>82</v>
      </c>
      <c r="F27" s="56" t="s">
        <v>37</v>
      </c>
      <c r="G27" s="44">
        <v>0</v>
      </c>
      <c r="H27" s="129">
        <f t="shared" si="0"/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6">
        <v>86900</v>
      </c>
      <c r="C28" s="147"/>
      <c r="E28" s="59" t="s">
        <v>84</v>
      </c>
      <c r="F28" s="56" t="s">
        <v>39</v>
      </c>
      <c r="G28" s="44">
        <v>0</v>
      </c>
      <c r="H28" s="129">
        <f t="shared" si="0"/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4.0160642570281121E-3</v>
      </c>
      <c r="E29" s="59" t="s">
        <v>85</v>
      </c>
      <c r="F29" s="56" t="s">
        <v>40</v>
      </c>
      <c r="G29" s="44">
        <v>0</v>
      </c>
      <c r="H29" s="129">
        <f t="shared" si="0"/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 t="shared" si="0"/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A31" s="86" t="s">
        <v>257</v>
      </c>
      <c r="B31" s="142">
        <v>18</v>
      </c>
      <c r="C31" s="145">
        <f>IF(B$17=0,0,B31/B$17)</f>
        <v>0.13636363636363635</v>
      </c>
      <c r="E31" s="59" t="s">
        <v>90</v>
      </c>
      <c r="F31" s="56" t="s">
        <v>45</v>
      </c>
      <c r="G31" s="44">
        <v>0</v>
      </c>
      <c r="H31" s="129">
        <f t="shared" si="0"/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A32" s="51" t="s">
        <v>253</v>
      </c>
      <c r="B32" s="44">
        <v>26</v>
      </c>
      <c r="C32" s="37">
        <f t="shared" ref="C32:C43" si="4">IF(B$17=0,0,B32/B$17)</f>
        <v>0.19696969696969696</v>
      </c>
      <c r="E32" s="59" t="s">
        <v>92</v>
      </c>
      <c r="F32" s="56" t="s">
        <v>47</v>
      </c>
      <c r="G32" s="44">
        <v>0</v>
      </c>
      <c r="H32" s="129">
        <f t="shared" si="0"/>
        <v>0</v>
      </c>
      <c r="I32" s="90">
        <v>5</v>
      </c>
      <c r="K32" s="36">
        <v>30</v>
      </c>
      <c r="L32" s="95">
        <v>-182.90000000000003</v>
      </c>
    </row>
    <row r="33" spans="1:12" x14ac:dyDescent="0.4">
      <c r="A33" s="51" t="s">
        <v>254</v>
      </c>
      <c r="B33" s="143">
        <v>31</v>
      </c>
      <c r="C33" s="37">
        <f>IF(B$17=0,0,B33/B$17)</f>
        <v>0.23484848484848486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  <c r="K33" s="36">
        <v>31</v>
      </c>
      <c r="L33" s="95">
        <v>-203.20000000000005</v>
      </c>
    </row>
    <row r="34" spans="1:12" x14ac:dyDescent="0.4">
      <c r="A34" s="51" t="s">
        <v>255</v>
      </c>
      <c r="B34" s="143">
        <v>19</v>
      </c>
      <c r="C34" s="37">
        <f t="shared" si="4"/>
        <v>0.14393939393939395</v>
      </c>
      <c r="E34" s="59" t="s">
        <v>95</v>
      </c>
      <c r="F34" s="56" t="s">
        <v>50</v>
      </c>
      <c r="G34" s="44">
        <v>0</v>
      </c>
      <c r="H34" s="129">
        <f t="shared" ref="H34:H65" si="5">IF(B$17=0,0,G34/B$17)</f>
        <v>0</v>
      </c>
      <c r="I34" s="90">
        <v>5</v>
      </c>
      <c r="K34" s="36">
        <v>32</v>
      </c>
      <c r="L34" s="95">
        <v>-211.90000000000003</v>
      </c>
    </row>
    <row r="35" spans="1:12" x14ac:dyDescent="0.4">
      <c r="A35" s="51" t="s">
        <v>256</v>
      </c>
      <c r="B35" s="143">
        <v>15</v>
      </c>
      <c r="C35" s="37">
        <f t="shared" si="4"/>
        <v>0.11363636363636363</v>
      </c>
      <c r="E35" s="59" t="s">
        <v>96</v>
      </c>
      <c r="F35" s="56" t="s">
        <v>51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-183.10000000000002</v>
      </c>
    </row>
    <row r="36" spans="1:12" x14ac:dyDescent="0.4">
      <c r="A36" s="51" t="s">
        <v>258</v>
      </c>
      <c r="B36" s="143">
        <v>10</v>
      </c>
      <c r="C36" s="37">
        <f t="shared" si="4"/>
        <v>7.575757575757576E-2</v>
      </c>
      <c r="E36" s="59" t="s">
        <v>97</v>
      </c>
      <c r="F36" s="56" t="s">
        <v>52</v>
      </c>
      <c r="G36" s="44">
        <v>0</v>
      </c>
      <c r="H36" s="129">
        <f t="shared" si="5"/>
        <v>0</v>
      </c>
      <c r="I36" s="90">
        <v>3</v>
      </c>
      <c r="K36" s="36">
        <v>34</v>
      </c>
      <c r="L36" s="95">
        <v>-168.3</v>
      </c>
    </row>
    <row r="37" spans="1:12" x14ac:dyDescent="0.4">
      <c r="A37" s="51" t="s">
        <v>259</v>
      </c>
      <c r="B37" s="143">
        <v>8</v>
      </c>
      <c r="C37" s="37">
        <f t="shared" si="4"/>
        <v>6.0606060606060608E-2</v>
      </c>
      <c r="E37" s="59" t="s">
        <v>98</v>
      </c>
      <c r="F37" s="56" t="s">
        <v>53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-210.60000000000002</v>
      </c>
    </row>
    <row r="38" spans="1:12" x14ac:dyDescent="0.4">
      <c r="A38" s="51" t="s">
        <v>260</v>
      </c>
      <c r="B38" s="143">
        <v>4</v>
      </c>
      <c r="C38" s="37">
        <f t="shared" si="4"/>
        <v>3.0303030303030304E-2</v>
      </c>
      <c r="E38" s="59" t="s">
        <v>99</v>
      </c>
      <c r="F38" s="56" t="s">
        <v>54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-199.20000000000002</v>
      </c>
    </row>
    <row r="39" spans="1:12" x14ac:dyDescent="0.4">
      <c r="A39" s="51" t="s">
        <v>261</v>
      </c>
      <c r="B39" s="143">
        <v>0</v>
      </c>
      <c r="C39" s="37">
        <f t="shared" si="4"/>
        <v>0</v>
      </c>
      <c r="E39" s="59" t="s">
        <v>100</v>
      </c>
      <c r="F39" s="56" t="s">
        <v>55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-177.00000000000003</v>
      </c>
    </row>
    <row r="40" spans="1:12" x14ac:dyDescent="0.4">
      <c r="A40" s="51" t="s">
        <v>262</v>
      </c>
      <c r="B40" s="143">
        <v>0</v>
      </c>
      <c r="C40" s="37">
        <f t="shared" si="4"/>
        <v>0</v>
      </c>
      <c r="E40" s="59" t="s">
        <v>101</v>
      </c>
      <c r="F40" s="56" t="s">
        <v>56</v>
      </c>
      <c r="G40" s="44">
        <v>0</v>
      </c>
      <c r="H40" s="129">
        <f t="shared" si="5"/>
        <v>0</v>
      </c>
      <c r="I40" s="90">
        <v>3</v>
      </c>
      <c r="K40" s="36">
        <v>38</v>
      </c>
      <c r="L40" s="95">
        <v>-213.10000000000002</v>
      </c>
    </row>
    <row r="41" spans="1:12" x14ac:dyDescent="0.4">
      <c r="A41" s="51" t="s">
        <v>263</v>
      </c>
      <c r="B41" s="143">
        <v>0</v>
      </c>
      <c r="C41" s="37">
        <f t="shared" si="4"/>
        <v>0</v>
      </c>
      <c r="E41" s="59" t="s">
        <v>102</v>
      </c>
      <c r="F41" s="56" t="s">
        <v>57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-238.60000000000002</v>
      </c>
    </row>
    <row r="42" spans="1:12" x14ac:dyDescent="0.4">
      <c r="A42" s="51" t="s">
        <v>264</v>
      </c>
      <c r="B42" s="143">
        <v>0</v>
      </c>
      <c r="C42" s="37">
        <f t="shared" si="4"/>
        <v>0</v>
      </c>
      <c r="E42" s="59" t="s">
        <v>103</v>
      </c>
      <c r="F42" s="56" t="s">
        <v>58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-193.60000000000002</v>
      </c>
    </row>
    <row r="43" spans="1:12" x14ac:dyDescent="0.4">
      <c r="A43" s="53" t="s">
        <v>265</v>
      </c>
      <c r="B43" s="144">
        <v>1</v>
      </c>
      <c r="C43" s="40">
        <f t="shared" si="4"/>
        <v>7.575757575757576E-3</v>
      </c>
      <c r="E43" s="59" t="s">
        <v>104</v>
      </c>
      <c r="F43" s="56" t="s">
        <v>59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-170.00000000000003</v>
      </c>
    </row>
    <row r="44" spans="1:12" x14ac:dyDescent="0.4">
      <c r="E44" s="59" t="s">
        <v>105</v>
      </c>
      <c r="F44" s="56" t="s">
        <v>112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-143.30000000000004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 t="shared" si="5"/>
        <v>0</v>
      </c>
      <c r="I45" s="90">
        <v>3</v>
      </c>
      <c r="K45" s="36">
        <v>43</v>
      </c>
      <c r="L45" s="95">
        <v>-172.20000000000005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 t="shared" si="5"/>
        <v>0</v>
      </c>
      <c r="I46" s="90">
        <v>1</v>
      </c>
      <c r="K46" s="36">
        <v>44</v>
      </c>
      <c r="L46" s="95">
        <v>-144.10000000000005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-97.300000000000054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167</v>
      </c>
      <c r="F51" s="133" t="s">
        <v>168</v>
      </c>
      <c r="G51" s="45">
        <v>0</v>
      </c>
      <c r="H51" s="134">
        <f t="shared" si="5"/>
        <v>0</v>
      </c>
      <c r="I51" s="135">
        <v>8</v>
      </c>
      <c r="K51" s="36">
        <v>49</v>
      </c>
      <c r="L51" s="95">
        <v>-256.70000000000005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14B47-50F2-487F-92A1-BA2EC2DA0CB7}">
  <sheetPr codeName="Sheet9"/>
  <dimension ref="A1:Q12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126</v>
      </c>
      <c r="C1" s="153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4">
        <v>126</v>
      </c>
      <c r="C2" s="155"/>
      <c r="E2" s="58" t="s">
        <v>66</v>
      </c>
      <c r="F2" s="55" t="s">
        <v>22</v>
      </c>
      <c r="G2" s="43">
        <v>239</v>
      </c>
      <c r="H2" s="128">
        <f t="shared" ref="H2:H33" si="0">IF(B$17=0,0,G2/B$17)</f>
        <v>0.67897727272727271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1">IF(P2=0,0,Q2/P2)</f>
        <v>1171.2</v>
      </c>
      <c r="P2" s="114">
        <v>125</v>
      </c>
      <c r="Q2" s="98">
        <v>146400</v>
      </c>
    </row>
    <row r="3" spans="1:17" x14ac:dyDescent="0.4">
      <c r="A3" s="51" t="s">
        <v>8</v>
      </c>
      <c r="B3" s="156">
        <v>1027</v>
      </c>
      <c r="C3" s="157"/>
      <c r="E3" s="59" t="s">
        <v>72</v>
      </c>
      <c r="F3" s="56" t="s">
        <v>27</v>
      </c>
      <c r="G3" s="44">
        <v>174</v>
      </c>
      <c r="H3" s="129">
        <f t="shared" si="0"/>
        <v>0.49431818181818182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1"/>
        <v>909.01639344262298</v>
      </c>
      <c r="P3" s="115">
        <v>122</v>
      </c>
      <c r="Q3" s="99">
        <v>110900</v>
      </c>
    </row>
    <row r="4" spans="1:17" x14ac:dyDescent="0.4">
      <c r="A4" s="51" t="s">
        <v>6</v>
      </c>
      <c r="B4" s="158">
        <v>1116.5</v>
      </c>
      <c r="C4" s="159"/>
      <c r="E4" s="59" t="s">
        <v>64</v>
      </c>
      <c r="F4" s="56" t="s">
        <v>20</v>
      </c>
      <c r="G4" s="44">
        <v>157</v>
      </c>
      <c r="H4" s="129">
        <f t="shared" si="0"/>
        <v>0.44602272727272729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1"/>
        <v>1058.4745762711864</v>
      </c>
      <c r="P4" s="115">
        <v>118</v>
      </c>
      <c r="Q4" s="99">
        <v>124900</v>
      </c>
    </row>
    <row r="5" spans="1:17" x14ac:dyDescent="0.4">
      <c r="A5" s="51" t="s">
        <v>7</v>
      </c>
      <c r="B5" s="160">
        <f>IF(B$2=0,0,B$4/B$2)</f>
        <v>8.8611111111111107</v>
      </c>
      <c r="C5" s="161"/>
      <c r="E5" s="59" t="s">
        <v>171</v>
      </c>
      <c r="F5" s="56" t="s">
        <v>172</v>
      </c>
      <c r="G5" s="44">
        <v>129</v>
      </c>
      <c r="H5" s="129">
        <f t="shared" si="0"/>
        <v>0.36647727272727271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1"/>
        <v>237.61467889908258</v>
      </c>
      <c r="P5" s="115">
        <v>109</v>
      </c>
      <c r="Q5" s="99">
        <v>25900</v>
      </c>
    </row>
    <row r="6" spans="1:17" x14ac:dyDescent="0.4">
      <c r="A6" s="51" t="s">
        <v>1</v>
      </c>
      <c r="B6" s="150">
        <f>IF(B$2=0,0,(B$7*1+B$8*2+B$9*3)/B$2)</f>
        <v>1.7777777777777777</v>
      </c>
      <c r="C6" s="151"/>
      <c r="E6" s="59" t="s">
        <v>68</v>
      </c>
      <c r="F6" s="56" t="s">
        <v>12</v>
      </c>
      <c r="G6" s="44">
        <v>102</v>
      </c>
      <c r="H6" s="129">
        <f t="shared" si="0"/>
        <v>0.28977272727272729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1"/>
        <v>2217.4757281553398</v>
      </c>
      <c r="P6" s="115">
        <v>103</v>
      </c>
      <c r="Q6" s="99">
        <v>228400</v>
      </c>
    </row>
    <row r="7" spans="1:17" x14ac:dyDescent="0.4">
      <c r="A7" s="51" t="s">
        <v>2</v>
      </c>
      <c r="B7" s="44">
        <v>58</v>
      </c>
      <c r="C7" s="37">
        <f t="shared" ref="C7:C12" si="2">IF(B$2=0,0,B7/B$2)</f>
        <v>0.46031746031746029</v>
      </c>
      <c r="E7" s="59" t="s">
        <v>67</v>
      </c>
      <c r="F7" s="56" t="s">
        <v>23</v>
      </c>
      <c r="G7" s="44">
        <v>91</v>
      </c>
      <c r="H7" s="129">
        <f t="shared" si="0"/>
        <v>0.25852272727272729</v>
      </c>
      <c r="I7" s="90">
        <v>7</v>
      </c>
      <c r="K7" s="36">
        <v>5</v>
      </c>
      <c r="L7" s="95">
        <v>99.9</v>
      </c>
      <c r="N7" s="112" t="s">
        <v>135</v>
      </c>
      <c r="O7" s="119">
        <f t="shared" si="1"/>
        <v>2300</v>
      </c>
      <c r="P7" s="116">
        <v>83</v>
      </c>
      <c r="Q7" s="100">
        <v>190900</v>
      </c>
    </row>
    <row r="8" spans="1:17" x14ac:dyDescent="0.4">
      <c r="A8" s="51" t="s">
        <v>3</v>
      </c>
      <c r="B8" s="44">
        <v>38</v>
      </c>
      <c r="C8" s="37">
        <f t="shared" si="2"/>
        <v>0.30158730158730157</v>
      </c>
      <c r="E8" s="59" t="s">
        <v>69</v>
      </c>
      <c r="F8" s="56" t="s">
        <v>24</v>
      </c>
      <c r="G8" s="44">
        <v>54</v>
      </c>
      <c r="H8" s="129">
        <f t="shared" si="0"/>
        <v>0.15340909090909091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30</v>
      </c>
      <c r="C9" s="38">
        <f t="shared" si="2"/>
        <v>0.23809523809523808</v>
      </c>
      <c r="E9" s="59" t="s">
        <v>89</v>
      </c>
      <c r="F9" s="56" t="s">
        <v>44</v>
      </c>
      <c r="G9" s="44">
        <v>54</v>
      </c>
      <c r="H9" s="129">
        <f t="shared" si="0"/>
        <v>0.15340909090909091</v>
      </c>
      <c r="I9" s="90">
        <v>3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2"/>
        <v>3.968253968253968E-2</v>
      </c>
      <c r="E10" s="59" t="s">
        <v>65</v>
      </c>
      <c r="F10" s="56" t="s">
        <v>21</v>
      </c>
      <c r="G10" s="44">
        <v>42</v>
      </c>
      <c r="H10" s="129">
        <f t="shared" si="0"/>
        <v>0.11931818181818182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9.7527777777777747</v>
      </c>
      <c r="P10" s="114">
        <v>36</v>
      </c>
      <c r="Q10" s="102">
        <v>351.09999999999991</v>
      </c>
    </row>
    <row r="11" spans="1:17" x14ac:dyDescent="0.4">
      <c r="A11" s="52" t="s">
        <v>138</v>
      </c>
      <c r="B11" s="45">
        <v>15</v>
      </c>
      <c r="C11" s="38">
        <f t="shared" si="2"/>
        <v>0.11904761904761904</v>
      </c>
      <c r="E11" s="59" t="s">
        <v>71</v>
      </c>
      <c r="F11" s="56" t="s">
        <v>26</v>
      </c>
      <c r="G11" s="44">
        <v>24</v>
      </c>
      <c r="H11" s="129">
        <f t="shared" si="0"/>
        <v>6.8181818181818177E-2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4.0704545454545453</v>
      </c>
      <c r="P11" s="115">
        <v>44</v>
      </c>
      <c r="Q11" s="103">
        <v>179.1</v>
      </c>
    </row>
    <row r="12" spans="1:17" x14ac:dyDescent="0.4">
      <c r="A12" s="53" t="s">
        <v>158</v>
      </c>
      <c r="B12" s="46">
        <v>14</v>
      </c>
      <c r="C12" s="40">
        <f t="shared" si="2"/>
        <v>0.1111111111111111</v>
      </c>
      <c r="E12" s="59" t="s">
        <v>86</v>
      </c>
      <c r="F12" s="56" t="s">
        <v>41</v>
      </c>
      <c r="G12" s="44">
        <v>21</v>
      </c>
      <c r="H12" s="129">
        <f t="shared" si="0"/>
        <v>5.9659090909090912E-2</v>
      </c>
      <c r="I12" s="90">
        <v>4</v>
      </c>
      <c r="K12" s="36">
        <v>10</v>
      </c>
      <c r="L12" s="95">
        <v>158.19999999999999</v>
      </c>
      <c r="N12" s="112" t="s">
        <v>164</v>
      </c>
      <c r="O12" s="122">
        <f>IF(P12=0,0,Q12/P12)</f>
        <v>12.74565217391304</v>
      </c>
      <c r="P12" s="116">
        <v>46</v>
      </c>
      <c r="Q12" s="104">
        <v>586.29999999999984</v>
      </c>
    </row>
    <row r="13" spans="1:17" x14ac:dyDescent="0.4">
      <c r="A13" s="54" t="s">
        <v>121</v>
      </c>
      <c r="B13" s="47">
        <v>277</v>
      </c>
      <c r="C13" s="42">
        <f>IF(B$3=0,0,B13/B$3)</f>
        <v>0.26971762414800388</v>
      </c>
      <c r="E13" s="59" t="s">
        <v>70</v>
      </c>
      <c r="F13" s="56" t="s">
        <v>25</v>
      </c>
      <c r="G13" s="44">
        <v>20</v>
      </c>
      <c r="H13" s="129">
        <f t="shared" si="0"/>
        <v>5.6818181818181816E-2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236</v>
      </c>
      <c r="C14" s="37">
        <f>IF(B$3=0,0,B14/B$3)</f>
        <v>0.22979552093476144</v>
      </c>
      <c r="E14" s="59" t="s">
        <v>83</v>
      </c>
      <c r="F14" s="56" t="s">
        <v>38</v>
      </c>
      <c r="G14" s="44">
        <v>16</v>
      </c>
      <c r="H14" s="129">
        <f t="shared" si="0"/>
        <v>4.5454545454545456E-2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167</v>
      </c>
      <c r="C15" s="35">
        <f>IF(B$13=0,0,B15/B$13)</f>
        <v>0.6028880866425993</v>
      </c>
      <c r="E15" s="59" t="s">
        <v>78</v>
      </c>
      <c r="F15" s="56" t="s">
        <v>33</v>
      </c>
      <c r="G15" s="44">
        <v>14</v>
      </c>
      <c r="H15" s="129">
        <f t="shared" si="0"/>
        <v>3.9772727272727272E-2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 t="shared" ref="O15:O22" si="3">IF(P15=0,0,Q15/P15)</f>
        <v>39.662500000000009</v>
      </c>
      <c r="P15" s="114">
        <v>8</v>
      </c>
      <c r="Q15" s="102">
        <v>317.30000000000007</v>
      </c>
    </row>
    <row r="16" spans="1:17" x14ac:dyDescent="0.4">
      <c r="A16" s="50" t="s">
        <v>124</v>
      </c>
      <c r="B16" s="43">
        <v>112</v>
      </c>
      <c r="C16" s="35">
        <f>IF(B$14=0,0,B16/B$14)</f>
        <v>0.47457627118644069</v>
      </c>
      <c r="E16" s="59" t="s">
        <v>167</v>
      </c>
      <c r="F16" s="56" t="s">
        <v>168</v>
      </c>
      <c r="G16" s="44">
        <v>13</v>
      </c>
      <c r="H16" s="129">
        <f t="shared" si="0"/>
        <v>3.6931818181818184E-2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 t="shared" si="3"/>
        <v>26.992307692307691</v>
      </c>
      <c r="P16" s="115">
        <v>13</v>
      </c>
      <c r="Q16" s="103">
        <v>350.9</v>
      </c>
    </row>
    <row r="17" spans="1:17" x14ac:dyDescent="0.4">
      <c r="A17" s="50" t="s">
        <v>10</v>
      </c>
      <c r="B17" s="43">
        <f>B19+B18</f>
        <v>352</v>
      </c>
      <c r="C17" s="35">
        <f>IF(B$3=0,0,B17/B$3)</f>
        <v>0.34274586173320348</v>
      </c>
      <c r="E17" s="59" t="s">
        <v>77</v>
      </c>
      <c r="F17" s="56" t="s">
        <v>32</v>
      </c>
      <c r="G17" s="44">
        <v>3</v>
      </c>
      <c r="H17" s="129">
        <f t="shared" si="0"/>
        <v>8.5227272727272721E-3</v>
      </c>
      <c r="I17" s="90">
        <v>1</v>
      </c>
      <c r="K17" s="36">
        <v>15</v>
      </c>
      <c r="L17" s="95">
        <v>269.49999999999994</v>
      </c>
      <c r="N17" s="111" t="s">
        <v>178</v>
      </c>
      <c r="O17" s="121">
        <f t="shared" si="3"/>
        <v>18.067346938775508</v>
      </c>
      <c r="P17" s="115">
        <v>49</v>
      </c>
      <c r="Q17" s="103">
        <v>885.3</v>
      </c>
    </row>
    <row r="18" spans="1:17" x14ac:dyDescent="0.4">
      <c r="A18" s="51" t="s">
        <v>12</v>
      </c>
      <c r="B18" s="44">
        <v>149</v>
      </c>
      <c r="C18" s="37">
        <f>IF(B$17=0,0,B18/B$17)</f>
        <v>0.42329545454545453</v>
      </c>
      <c r="E18" s="59" t="s">
        <v>84</v>
      </c>
      <c r="F18" s="56" t="s">
        <v>39</v>
      </c>
      <c r="G18" s="44">
        <v>3</v>
      </c>
      <c r="H18" s="129">
        <f t="shared" si="0"/>
        <v>8.5227272727272721E-3</v>
      </c>
      <c r="I18" s="90">
        <v>1</v>
      </c>
      <c r="K18" s="36">
        <v>16</v>
      </c>
      <c r="L18" s="95">
        <v>323.69999999999993</v>
      </c>
      <c r="N18" s="111" t="s">
        <v>179</v>
      </c>
      <c r="O18" s="121">
        <f t="shared" si="3"/>
        <v>17.637777777777782</v>
      </c>
      <c r="P18" s="115">
        <v>45</v>
      </c>
      <c r="Q18" s="103">
        <v>793.70000000000016</v>
      </c>
    </row>
    <row r="19" spans="1:17" x14ac:dyDescent="0.4">
      <c r="A19" s="51" t="s">
        <v>11</v>
      </c>
      <c r="B19" s="44">
        <v>203</v>
      </c>
      <c r="C19" s="37">
        <f>IF(B$17=0,0,B19/B$17)</f>
        <v>0.57670454545454541</v>
      </c>
      <c r="E19" s="59" t="s">
        <v>92</v>
      </c>
      <c r="F19" s="56" t="s">
        <v>47</v>
      </c>
      <c r="G19" s="44">
        <v>3</v>
      </c>
      <c r="H19" s="129">
        <f t="shared" si="0"/>
        <v>8.5227272727272721E-3</v>
      </c>
      <c r="I19" s="90">
        <v>3</v>
      </c>
      <c r="K19" s="36">
        <v>17</v>
      </c>
      <c r="L19" s="95">
        <v>359.09999999999991</v>
      </c>
      <c r="N19" s="111" t="s">
        <v>127</v>
      </c>
      <c r="O19" s="121">
        <f t="shared" si="3"/>
        <v>14.022077922077923</v>
      </c>
      <c r="P19" s="115">
        <v>77</v>
      </c>
      <c r="Q19" s="103">
        <v>1079.7</v>
      </c>
    </row>
    <row r="20" spans="1:17" x14ac:dyDescent="0.4">
      <c r="A20" s="51" t="s">
        <v>13</v>
      </c>
      <c r="B20" s="44">
        <v>133</v>
      </c>
      <c r="C20" s="37">
        <f>IF(B$3=0,0,B20/B$3)</f>
        <v>0.12950340798442064</v>
      </c>
      <c r="E20" s="59" t="s">
        <v>75</v>
      </c>
      <c r="F20" s="56" t="s">
        <v>30</v>
      </c>
      <c r="G20" s="44">
        <v>2</v>
      </c>
      <c r="H20" s="129">
        <f t="shared" si="0"/>
        <v>5.681818181818182E-3</v>
      </c>
      <c r="I20" s="90">
        <v>7</v>
      </c>
      <c r="K20" s="36">
        <v>18</v>
      </c>
      <c r="L20" s="95">
        <v>352.39999999999992</v>
      </c>
      <c r="N20" s="111" t="s">
        <v>166</v>
      </c>
      <c r="O20" s="121">
        <f t="shared" si="3"/>
        <v>5.354838709677419</v>
      </c>
      <c r="P20" s="115">
        <v>31</v>
      </c>
      <c r="Q20" s="103">
        <v>166</v>
      </c>
    </row>
    <row r="21" spans="1:17" x14ac:dyDescent="0.4">
      <c r="A21" s="51" t="s">
        <v>169</v>
      </c>
      <c r="B21" s="44">
        <v>5</v>
      </c>
      <c r="C21" s="131">
        <v>1</v>
      </c>
      <c r="E21" s="59" t="s">
        <v>79</v>
      </c>
      <c r="F21" s="56" t="s">
        <v>34</v>
      </c>
      <c r="G21" s="44">
        <v>2</v>
      </c>
      <c r="H21" s="129">
        <f t="shared" si="0"/>
        <v>5.681818181818182E-3</v>
      </c>
      <c r="I21" s="90">
        <v>8</v>
      </c>
      <c r="K21" s="36">
        <v>19</v>
      </c>
      <c r="L21" s="95">
        <v>383.19999999999993</v>
      </c>
      <c r="N21" s="111" t="s">
        <v>177</v>
      </c>
      <c r="O21" s="121">
        <f t="shared" si="3"/>
        <v>-6.1749999999999989</v>
      </c>
      <c r="P21" s="115">
        <v>28</v>
      </c>
      <c r="Q21" s="103">
        <v>-172.89999999999998</v>
      </c>
    </row>
    <row r="22" spans="1:17" x14ac:dyDescent="0.4">
      <c r="A22" s="51" t="s">
        <v>170</v>
      </c>
      <c r="B22" s="44">
        <v>43</v>
      </c>
      <c r="C22" s="131">
        <v>11</v>
      </c>
      <c r="E22" s="59" t="s">
        <v>81</v>
      </c>
      <c r="F22" s="56" t="s">
        <v>36</v>
      </c>
      <c r="G22" s="44">
        <v>2</v>
      </c>
      <c r="H22" s="129">
        <f t="shared" si="0"/>
        <v>5.681818181818182E-3</v>
      </c>
      <c r="I22" s="90">
        <v>9</v>
      </c>
      <c r="K22" s="36">
        <v>20</v>
      </c>
      <c r="L22" s="95">
        <v>365.49999999999994</v>
      </c>
      <c r="N22" s="111" t="s">
        <v>222</v>
      </c>
      <c r="O22" s="121">
        <f t="shared" si="3"/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8219.318181818182</v>
      </c>
      <c r="C23" s="39">
        <v>2893200</v>
      </c>
      <c r="E23" s="59" t="s">
        <v>85</v>
      </c>
      <c r="F23" s="56" t="s">
        <v>40</v>
      </c>
      <c r="G23" s="44">
        <v>2</v>
      </c>
      <c r="H23" s="129">
        <f t="shared" si="0"/>
        <v>5.681818181818182E-3</v>
      </c>
      <c r="I23" s="90">
        <v>3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8529.5833333333339</v>
      </c>
      <c r="C24" s="137">
        <v>2047100</v>
      </c>
      <c r="E24" s="59" t="s">
        <v>88</v>
      </c>
      <c r="F24" s="56" t="s">
        <v>43</v>
      </c>
      <c r="G24" s="44">
        <v>2</v>
      </c>
      <c r="H24" s="129">
        <f t="shared" si="0"/>
        <v>5.681818181818182E-3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7554.4642857142853</v>
      </c>
      <c r="C25" s="137">
        <v>846100</v>
      </c>
      <c r="E25" s="59" t="s">
        <v>91</v>
      </c>
      <c r="F25" s="56" t="s">
        <v>46</v>
      </c>
      <c r="G25" s="44">
        <v>2</v>
      </c>
      <c r="H25" s="129">
        <f t="shared" si="0"/>
        <v>5.681818181818182E-3</v>
      </c>
      <c r="I25" s="90">
        <v>8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-7803.7593984962405</v>
      </c>
      <c r="C26" s="137">
        <v>-1037900</v>
      </c>
      <c r="E26" s="59" t="s">
        <v>74</v>
      </c>
      <c r="F26" s="56" t="s">
        <v>29</v>
      </c>
      <c r="G26" s="44">
        <v>1</v>
      </c>
      <c r="H26" s="129">
        <f t="shared" si="0"/>
        <v>2.840909090909091E-3</v>
      </c>
      <c r="I26" s="90">
        <v>6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8">
        <v>7</v>
      </c>
      <c r="C27" s="149"/>
      <c r="E27" s="59" t="s">
        <v>90</v>
      </c>
      <c r="F27" s="56" t="s">
        <v>45</v>
      </c>
      <c r="G27" s="44">
        <v>1</v>
      </c>
      <c r="H27" s="129">
        <f t="shared" si="0"/>
        <v>2.840909090909091E-3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6">
        <v>149100</v>
      </c>
      <c r="C28" s="147"/>
      <c r="E28" s="59" t="s">
        <v>95</v>
      </c>
      <c r="F28" s="56" t="s">
        <v>50</v>
      </c>
      <c r="G28" s="44">
        <v>1</v>
      </c>
      <c r="H28" s="129">
        <f t="shared" si="0"/>
        <v>2.840909090909091E-3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9.7370983446932818E-4</v>
      </c>
      <c r="E29" s="59" t="s">
        <v>106</v>
      </c>
      <c r="F29" s="56" t="s">
        <v>113</v>
      </c>
      <c r="G29" s="44">
        <v>1</v>
      </c>
      <c r="H29" s="129">
        <f t="shared" si="0"/>
        <v>2.840909090909091E-3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73</v>
      </c>
      <c r="F30" s="56" t="s">
        <v>28</v>
      </c>
      <c r="G30" s="44">
        <v>0</v>
      </c>
      <c r="H30" s="129">
        <f t="shared" si="0"/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A31" s="86" t="s">
        <v>257</v>
      </c>
      <c r="B31" s="142">
        <v>28</v>
      </c>
      <c r="C31" s="145">
        <f>IF(B$17=0,0,B31/B$17)</f>
        <v>7.9545454545454544E-2</v>
      </c>
      <c r="E31" s="59" t="s">
        <v>76</v>
      </c>
      <c r="F31" s="56" t="s">
        <v>31</v>
      </c>
      <c r="G31" s="44">
        <v>0</v>
      </c>
      <c r="H31" s="129">
        <f t="shared" si="0"/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A32" s="51" t="s">
        <v>253</v>
      </c>
      <c r="B32" s="44">
        <v>63</v>
      </c>
      <c r="C32" s="37">
        <f t="shared" ref="C32:C43" si="4">IF(B$17=0,0,B32/B$17)</f>
        <v>0.17897727272727273</v>
      </c>
      <c r="E32" s="59" t="s">
        <v>80</v>
      </c>
      <c r="F32" s="56" t="s">
        <v>35</v>
      </c>
      <c r="G32" s="44">
        <v>0</v>
      </c>
      <c r="H32" s="129">
        <f t="shared" si="0"/>
        <v>0</v>
      </c>
      <c r="I32" s="90">
        <v>1</v>
      </c>
      <c r="K32" s="36">
        <v>30</v>
      </c>
      <c r="L32" s="95">
        <v>340.79999999999995</v>
      </c>
    </row>
    <row r="33" spans="1:12" x14ac:dyDescent="0.4">
      <c r="A33" s="51" t="s">
        <v>254</v>
      </c>
      <c r="B33" s="143">
        <v>77</v>
      </c>
      <c r="C33" s="37">
        <f>IF(B$17=0,0,B33/B$17)</f>
        <v>0.21875</v>
      </c>
      <c r="E33" s="59" t="s">
        <v>82</v>
      </c>
      <c r="F33" s="56" t="s">
        <v>37</v>
      </c>
      <c r="G33" s="44">
        <v>0</v>
      </c>
      <c r="H33" s="129">
        <f t="shared" si="0"/>
        <v>0</v>
      </c>
      <c r="I33" s="90">
        <v>1</v>
      </c>
      <c r="K33" s="36">
        <v>31</v>
      </c>
      <c r="L33" s="95">
        <v>319.49999999999994</v>
      </c>
    </row>
    <row r="34" spans="1:12" x14ac:dyDescent="0.4">
      <c r="A34" s="51" t="s">
        <v>255</v>
      </c>
      <c r="B34" s="143">
        <v>67</v>
      </c>
      <c r="C34" s="37">
        <f t="shared" si="4"/>
        <v>0.19034090909090909</v>
      </c>
      <c r="E34" s="59" t="s">
        <v>87</v>
      </c>
      <c r="F34" s="56" t="s">
        <v>42</v>
      </c>
      <c r="G34" s="44">
        <v>0</v>
      </c>
      <c r="H34" s="129">
        <f t="shared" ref="H34:H65" si="5">IF(B$17=0,0,G34/B$17)</f>
        <v>0</v>
      </c>
      <c r="I34" s="90">
        <v>4</v>
      </c>
      <c r="K34" s="36">
        <v>32</v>
      </c>
      <c r="L34" s="95">
        <v>349.39999999999992</v>
      </c>
    </row>
    <row r="35" spans="1:12" x14ac:dyDescent="0.4">
      <c r="A35" s="51" t="s">
        <v>256</v>
      </c>
      <c r="B35" s="143">
        <v>50</v>
      </c>
      <c r="C35" s="37">
        <f t="shared" si="4"/>
        <v>0.14204545454545456</v>
      </c>
      <c r="E35" s="59" t="s">
        <v>93</v>
      </c>
      <c r="F35" s="56" t="s">
        <v>48</v>
      </c>
      <c r="G35" s="44">
        <v>0</v>
      </c>
      <c r="H35" s="129">
        <f t="shared" si="5"/>
        <v>0</v>
      </c>
      <c r="I35" s="90">
        <v>5</v>
      </c>
      <c r="K35" s="36">
        <v>33</v>
      </c>
      <c r="L35" s="95">
        <v>349.19999999999993</v>
      </c>
    </row>
    <row r="36" spans="1:12" x14ac:dyDescent="0.4">
      <c r="A36" s="51" t="s">
        <v>258</v>
      </c>
      <c r="B36" s="143">
        <v>34</v>
      </c>
      <c r="C36" s="37">
        <f t="shared" si="4"/>
        <v>9.6590909090909088E-2</v>
      </c>
      <c r="E36" s="59" t="s">
        <v>94</v>
      </c>
      <c r="F36" s="56" t="s">
        <v>49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374.49999999999994</v>
      </c>
    </row>
    <row r="37" spans="1:12" x14ac:dyDescent="0.4">
      <c r="A37" s="51" t="s">
        <v>259</v>
      </c>
      <c r="B37" s="143">
        <v>16</v>
      </c>
      <c r="C37" s="37">
        <f t="shared" si="4"/>
        <v>4.5454545454545456E-2</v>
      </c>
      <c r="E37" s="59" t="s">
        <v>96</v>
      </c>
      <c r="F37" s="56" t="s">
        <v>51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357.89999999999992</v>
      </c>
    </row>
    <row r="38" spans="1:12" x14ac:dyDescent="0.4">
      <c r="A38" s="51" t="s">
        <v>260</v>
      </c>
      <c r="B38" s="143">
        <v>4</v>
      </c>
      <c r="C38" s="37">
        <f t="shared" si="4"/>
        <v>1.1363636363636364E-2</v>
      </c>
      <c r="E38" s="59" t="s">
        <v>97</v>
      </c>
      <c r="F38" s="56" t="s">
        <v>52</v>
      </c>
      <c r="G38" s="44">
        <v>0</v>
      </c>
      <c r="H38" s="129">
        <f t="shared" si="5"/>
        <v>0</v>
      </c>
      <c r="I38" s="90">
        <v>3</v>
      </c>
      <c r="K38" s="36">
        <v>36</v>
      </c>
      <c r="L38" s="95">
        <v>312.09999999999991</v>
      </c>
    </row>
    <row r="39" spans="1:12" x14ac:dyDescent="0.4">
      <c r="A39" s="51" t="s">
        <v>261</v>
      </c>
      <c r="B39" s="143">
        <v>7</v>
      </c>
      <c r="C39" s="37">
        <f t="shared" si="4"/>
        <v>1.9886363636363636E-2</v>
      </c>
      <c r="E39" s="59" t="s">
        <v>98</v>
      </c>
      <c r="F39" s="56" t="s">
        <v>53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325.09999999999991</v>
      </c>
    </row>
    <row r="40" spans="1:12" x14ac:dyDescent="0.4">
      <c r="A40" s="51" t="s">
        <v>262</v>
      </c>
      <c r="B40" s="143">
        <v>0</v>
      </c>
      <c r="C40" s="37">
        <f t="shared" si="4"/>
        <v>0</v>
      </c>
      <c r="E40" s="59" t="s">
        <v>99</v>
      </c>
      <c r="F40" s="56" t="s">
        <v>54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360.49999999999989</v>
      </c>
    </row>
    <row r="41" spans="1:12" x14ac:dyDescent="0.4">
      <c r="A41" s="51" t="s">
        <v>263</v>
      </c>
      <c r="B41" s="143">
        <v>0</v>
      </c>
      <c r="C41" s="37">
        <f t="shared" si="4"/>
        <v>0</v>
      </c>
      <c r="E41" s="59" t="s">
        <v>100</v>
      </c>
      <c r="F41" s="56" t="s">
        <v>55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365.39999999999986</v>
      </c>
    </row>
    <row r="42" spans="1:12" x14ac:dyDescent="0.4">
      <c r="A42" s="51" t="s">
        <v>264</v>
      </c>
      <c r="B42" s="143">
        <v>1</v>
      </c>
      <c r="C42" s="37">
        <f t="shared" si="4"/>
        <v>2.840909090909091E-3</v>
      </c>
      <c r="E42" s="59" t="s">
        <v>101</v>
      </c>
      <c r="F42" s="56" t="s">
        <v>56</v>
      </c>
      <c r="G42" s="44">
        <v>0</v>
      </c>
      <c r="H42" s="129">
        <f t="shared" si="5"/>
        <v>0</v>
      </c>
      <c r="I42" s="90">
        <v>3</v>
      </c>
      <c r="K42" s="36">
        <v>40</v>
      </c>
      <c r="L42" s="95">
        <v>398.79999999999984</v>
      </c>
    </row>
    <row r="43" spans="1:12" x14ac:dyDescent="0.4">
      <c r="A43" s="53" t="s">
        <v>265</v>
      </c>
      <c r="B43" s="144">
        <v>5</v>
      </c>
      <c r="C43" s="40">
        <f t="shared" si="4"/>
        <v>1.4204545454545454E-2</v>
      </c>
      <c r="E43" s="59" t="s">
        <v>102</v>
      </c>
      <c r="F43" s="56" t="s">
        <v>57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399.89999999999986</v>
      </c>
    </row>
    <row r="44" spans="1:12" x14ac:dyDescent="0.4">
      <c r="E44" s="59" t="s">
        <v>103</v>
      </c>
      <c r="F44" s="56" t="s">
        <v>58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419.29999999999984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424.79999999999984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 t="shared" si="5"/>
        <v>0</v>
      </c>
      <c r="I46" s="90">
        <v>1</v>
      </c>
      <c r="K46" s="36">
        <v>44</v>
      </c>
      <c r="L46" s="95">
        <v>424.39999999999986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425.69999999999987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  <row r="123" spans="11:12" x14ac:dyDescent="0.4">
      <c r="K123" s="36">
        <v>121</v>
      </c>
      <c r="L123" s="95">
        <v>1071.8</v>
      </c>
    </row>
    <row r="124" spans="11:12" x14ac:dyDescent="0.4">
      <c r="K124" s="36">
        <v>122</v>
      </c>
      <c r="L124" s="95">
        <v>1110.2</v>
      </c>
    </row>
    <row r="125" spans="11:12" x14ac:dyDescent="0.4">
      <c r="K125" s="36">
        <v>123</v>
      </c>
      <c r="L125" s="95">
        <v>1077.4000000000001</v>
      </c>
    </row>
    <row r="126" spans="11:12" x14ac:dyDescent="0.4">
      <c r="K126" s="36">
        <v>124</v>
      </c>
      <c r="L126" s="95">
        <v>1103.7</v>
      </c>
    </row>
    <row r="127" spans="11:12" x14ac:dyDescent="0.4">
      <c r="K127" s="36">
        <v>125</v>
      </c>
      <c r="L127" s="95">
        <v>1125.2</v>
      </c>
    </row>
    <row r="128" spans="11:12" x14ac:dyDescent="0.4">
      <c r="K128" s="36">
        <v>126</v>
      </c>
      <c r="L128" s="95">
        <v>1116.5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13BF7-4BEC-4AF9-874F-B3679886FEBF}">
  <sheetPr codeName="Sheet11"/>
  <dimension ref="A1:Q11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127</v>
      </c>
      <c r="C1" s="153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4">
        <v>115</v>
      </c>
      <c r="C2" s="155"/>
      <c r="E2" s="58" t="s">
        <v>66</v>
      </c>
      <c r="F2" s="55" t="s">
        <v>22</v>
      </c>
      <c r="G2" s="43">
        <v>252</v>
      </c>
      <c r="H2" s="128">
        <f t="shared" ref="H2:H33" si="0">IF(B$17=0,0,G2/B$17)</f>
        <v>0.84848484848484851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-1521.9298245614036</v>
      </c>
      <c r="P2" s="114">
        <v>114</v>
      </c>
      <c r="Q2" s="98">
        <v>-173500</v>
      </c>
    </row>
    <row r="3" spans="1:17" x14ac:dyDescent="0.4">
      <c r="A3" s="51" t="s">
        <v>8</v>
      </c>
      <c r="B3" s="156">
        <v>964</v>
      </c>
      <c r="C3" s="157"/>
      <c r="E3" s="59" t="s">
        <v>72</v>
      </c>
      <c r="F3" s="56" t="s">
        <v>27</v>
      </c>
      <c r="G3" s="44">
        <v>172</v>
      </c>
      <c r="H3" s="129">
        <f t="shared" si="0"/>
        <v>0.57912457912457915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1"/>
        <v>1868.75</v>
      </c>
      <c r="P3" s="115">
        <v>112</v>
      </c>
      <c r="Q3" s="99">
        <v>209300</v>
      </c>
    </row>
    <row r="4" spans="1:17" x14ac:dyDescent="0.4">
      <c r="A4" s="51" t="s">
        <v>6</v>
      </c>
      <c r="B4" s="158">
        <v>138.89999999999978</v>
      </c>
      <c r="C4" s="159"/>
      <c r="E4" s="59" t="s">
        <v>171</v>
      </c>
      <c r="F4" s="56" t="s">
        <v>172</v>
      </c>
      <c r="G4" s="44">
        <v>119</v>
      </c>
      <c r="H4" s="129">
        <f t="shared" si="0"/>
        <v>0.40067340067340068</v>
      </c>
      <c r="I4" s="90">
        <v>3</v>
      </c>
      <c r="K4" s="36">
        <v>2</v>
      </c>
      <c r="L4" s="95">
        <v>-34.299999999999997</v>
      </c>
      <c r="N4" s="111" t="s">
        <v>132</v>
      </c>
      <c r="O4" s="118">
        <f t="shared" si="1"/>
        <v>-81.730769230769226</v>
      </c>
      <c r="P4" s="115">
        <v>104</v>
      </c>
      <c r="Q4" s="99">
        <v>-8500</v>
      </c>
    </row>
    <row r="5" spans="1:17" x14ac:dyDescent="0.4">
      <c r="A5" s="51" t="s">
        <v>7</v>
      </c>
      <c r="B5" s="160">
        <f>IF(B$2=0,0,B$4/B$2)</f>
        <v>1.2078260869565198</v>
      </c>
      <c r="C5" s="161"/>
      <c r="E5" s="59" t="s">
        <v>64</v>
      </c>
      <c r="F5" s="56" t="s">
        <v>20</v>
      </c>
      <c r="G5" s="44">
        <v>111</v>
      </c>
      <c r="H5" s="129">
        <f t="shared" si="0"/>
        <v>0.37373737373737376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1"/>
        <v>768.36734693877554</v>
      </c>
      <c r="P5" s="115">
        <v>98</v>
      </c>
      <c r="Q5" s="99">
        <v>75300</v>
      </c>
    </row>
    <row r="6" spans="1:17" x14ac:dyDescent="0.4">
      <c r="A6" s="51" t="s">
        <v>1</v>
      </c>
      <c r="B6" s="150">
        <f>IF(B$2=0,0,(B$7*1+B$8*2+B$9*3)/B$2)</f>
        <v>1.9391304347826086</v>
      </c>
      <c r="C6" s="151"/>
      <c r="E6" s="59" t="s">
        <v>68</v>
      </c>
      <c r="F6" s="56" t="s">
        <v>12</v>
      </c>
      <c r="G6" s="44">
        <v>77</v>
      </c>
      <c r="H6" s="129">
        <f t="shared" si="0"/>
        <v>0.25925925925925924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1"/>
        <v>-1232.967032967033</v>
      </c>
      <c r="P6" s="115">
        <v>91</v>
      </c>
      <c r="Q6" s="99">
        <v>-112200</v>
      </c>
    </row>
    <row r="7" spans="1:17" x14ac:dyDescent="0.4">
      <c r="A7" s="51" t="s">
        <v>2</v>
      </c>
      <c r="B7" s="44">
        <v>41</v>
      </c>
      <c r="C7" s="37">
        <f t="shared" ref="C7:C12" si="2">IF(B$2=0,0,B7/B$2)</f>
        <v>0.35652173913043478</v>
      </c>
      <c r="E7" s="59" t="s">
        <v>67</v>
      </c>
      <c r="F7" s="56" t="s">
        <v>23</v>
      </c>
      <c r="G7" s="44">
        <v>61</v>
      </c>
      <c r="H7" s="129">
        <f t="shared" si="0"/>
        <v>0.2053872053872054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1"/>
        <v>1503.8961038961038</v>
      </c>
      <c r="P7" s="116">
        <v>77</v>
      </c>
      <c r="Q7" s="100">
        <v>115800</v>
      </c>
    </row>
    <row r="8" spans="1:17" x14ac:dyDescent="0.4">
      <c r="A8" s="51" t="s">
        <v>3</v>
      </c>
      <c r="B8" s="44">
        <v>40</v>
      </c>
      <c r="C8" s="37">
        <f t="shared" si="2"/>
        <v>0.34782608695652173</v>
      </c>
      <c r="E8" s="59" t="s">
        <v>89</v>
      </c>
      <c r="F8" s="56" t="s">
        <v>44</v>
      </c>
      <c r="G8" s="44">
        <v>37</v>
      </c>
      <c r="H8" s="129">
        <f t="shared" si="0"/>
        <v>0.12457912457912458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2"/>
        <v>0.29565217391304349</v>
      </c>
      <c r="E9" s="59" t="s">
        <v>69</v>
      </c>
      <c r="F9" s="56" t="s">
        <v>24</v>
      </c>
      <c r="G9" s="44">
        <v>34</v>
      </c>
      <c r="H9" s="129">
        <f t="shared" si="0"/>
        <v>0.11447811447811448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15</v>
      </c>
      <c r="C10" s="38">
        <f t="shared" si="2"/>
        <v>0.13043478260869565</v>
      </c>
      <c r="E10" s="59" t="s">
        <v>71</v>
      </c>
      <c r="F10" s="56" t="s">
        <v>26</v>
      </c>
      <c r="G10" s="44">
        <v>28</v>
      </c>
      <c r="H10" s="129">
        <f t="shared" si="0"/>
        <v>9.4276094276094277E-2</v>
      </c>
      <c r="I10" s="90">
        <v>6</v>
      </c>
      <c r="K10" s="36">
        <v>8</v>
      </c>
      <c r="L10" s="95">
        <v>-56.79999999999999</v>
      </c>
      <c r="N10" s="110" t="s">
        <v>162</v>
      </c>
      <c r="O10" s="120">
        <f>IF(P10=0,0,Q10/P10)</f>
        <v>1.3965517241379317</v>
      </c>
      <c r="P10" s="114">
        <v>29</v>
      </c>
      <c r="Q10" s="102">
        <v>40.500000000000021</v>
      </c>
    </row>
    <row r="11" spans="1:17" x14ac:dyDescent="0.4">
      <c r="A11" s="52" t="s">
        <v>138</v>
      </c>
      <c r="B11" s="45">
        <v>12</v>
      </c>
      <c r="C11" s="38">
        <f t="shared" si="2"/>
        <v>0.10434782608695652</v>
      </c>
      <c r="E11" s="59" t="s">
        <v>65</v>
      </c>
      <c r="F11" s="56" t="s">
        <v>21</v>
      </c>
      <c r="G11" s="44">
        <v>26</v>
      </c>
      <c r="H11" s="129">
        <f t="shared" si="0"/>
        <v>8.7542087542087546E-2</v>
      </c>
      <c r="I11" s="90">
        <v>8</v>
      </c>
      <c r="K11" s="36">
        <v>9</v>
      </c>
      <c r="L11" s="95">
        <v>-83.699999999999989</v>
      </c>
      <c r="N11" s="111" t="s">
        <v>163</v>
      </c>
      <c r="O11" s="121">
        <f>IF(P11=0,0,Q11/P11)</f>
        <v>7.9648648648648663</v>
      </c>
      <c r="P11" s="115">
        <v>37</v>
      </c>
      <c r="Q11" s="103">
        <v>294.70000000000005</v>
      </c>
    </row>
    <row r="12" spans="1:17" x14ac:dyDescent="0.4">
      <c r="A12" s="53" t="s">
        <v>158</v>
      </c>
      <c r="B12" s="46">
        <v>20</v>
      </c>
      <c r="C12" s="40">
        <f t="shared" si="2"/>
        <v>0.17391304347826086</v>
      </c>
      <c r="E12" s="59" t="s">
        <v>70</v>
      </c>
      <c r="F12" s="56" t="s">
        <v>25</v>
      </c>
      <c r="G12" s="44">
        <v>25</v>
      </c>
      <c r="H12" s="129">
        <f t="shared" si="0"/>
        <v>8.4175084175084181E-2</v>
      </c>
      <c r="I12" s="90">
        <v>8</v>
      </c>
      <c r="K12" s="36">
        <v>10</v>
      </c>
      <c r="L12" s="95">
        <v>-78.399999999999991</v>
      </c>
      <c r="N12" s="112" t="s">
        <v>164</v>
      </c>
      <c r="O12" s="122">
        <f>IF(P12=0,0,Q12/P12)</f>
        <v>-4.0061224489795926</v>
      </c>
      <c r="P12" s="116">
        <v>49</v>
      </c>
      <c r="Q12" s="104">
        <v>-196.30000000000004</v>
      </c>
    </row>
    <row r="13" spans="1:17" x14ac:dyDescent="0.4">
      <c r="A13" s="54" t="s">
        <v>121</v>
      </c>
      <c r="B13" s="47">
        <v>220</v>
      </c>
      <c r="C13" s="42">
        <f>IF(B$3=0,0,B13/B$3)</f>
        <v>0.22821576763485477</v>
      </c>
      <c r="E13" s="59" t="s">
        <v>86</v>
      </c>
      <c r="F13" s="56" t="s">
        <v>41</v>
      </c>
      <c r="G13" s="44">
        <v>20</v>
      </c>
      <c r="H13" s="129">
        <f t="shared" si="0"/>
        <v>6.7340067340067339E-2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300</v>
      </c>
      <c r="C14" s="37">
        <f>IF(B$3=0,0,B14/B$3)</f>
        <v>0.31120331950207469</v>
      </c>
      <c r="E14" s="59" t="s">
        <v>83</v>
      </c>
      <c r="F14" s="56" t="s">
        <v>38</v>
      </c>
      <c r="G14" s="44">
        <v>19</v>
      </c>
      <c r="H14" s="129">
        <f t="shared" si="0"/>
        <v>6.3973063973063973E-2</v>
      </c>
      <c r="I14" s="90">
        <v>5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109</v>
      </c>
      <c r="C15" s="35">
        <f>IF(B$13=0,0,B15/B$13)</f>
        <v>0.49545454545454548</v>
      </c>
      <c r="E15" s="59" t="s">
        <v>78</v>
      </c>
      <c r="F15" s="56" t="s">
        <v>33</v>
      </c>
      <c r="G15" s="44">
        <v>9</v>
      </c>
      <c r="H15" s="129">
        <f t="shared" si="0"/>
        <v>3.0303030303030304E-2</v>
      </c>
      <c r="I15" s="90">
        <v>4</v>
      </c>
      <c r="K15" s="36">
        <v>13</v>
      </c>
      <c r="L15" s="95">
        <v>-86.8</v>
      </c>
      <c r="N15" s="110" t="s">
        <v>195</v>
      </c>
      <c r="O15" s="120">
        <f t="shared" ref="O15:O22" si="3"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115</v>
      </c>
      <c r="C16" s="35">
        <f>IF(B$14=0,0,B16/B$14)</f>
        <v>0.38333333333333336</v>
      </c>
      <c r="E16" s="59" t="s">
        <v>91</v>
      </c>
      <c r="F16" s="56" t="s">
        <v>46</v>
      </c>
      <c r="G16" s="44">
        <v>9</v>
      </c>
      <c r="H16" s="129">
        <f t="shared" si="0"/>
        <v>3.0303030303030304E-2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 t="shared" si="3"/>
        <v>25.583333333333332</v>
      </c>
      <c r="P16" s="115">
        <v>12</v>
      </c>
      <c r="Q16" s="103">
        <v>307</v>
      </c>
    </row>
    <row r="17" spans="1:17" x14ac:dyDescent="0.4">
      <c r="A17" s="50" t="s">
        <v>10</v>
      </c>
      <c r="B17" s="43">
        <f>B19+B18</f>
        <v>297</v>
      </c>
      <c r="C17" s="35">
        <f>IF(B$3=0,0,B17/B$3)</f>
        <v>0.30809128630705396</v>
      </c>
      <c r="E17" s="59" t="s">
        <v>81</v>
      </c>
      <c r="F17" s="56" t="s">
        <v>36</v>
      </c>
      <c r="G17" s="44">
        <v>8</v>
      </c>
      <c r="H17" s="129">
        <f t="shared" si="0"/>
        <v>2.6936026936026935E-2</v>
      </c>
      <c r="I17" s="90">
        <v>2</v>
      </c>
      <c r="K17" s="36">
        <v>15</v>
      </c>
      <c r="L17" s="95">
        <v>-144.30000000000001</v>
      </c>
      <c r="N17" s="111" t="s">
        <v>179</v>
      </c>
      <c r="O17" s="121">
        <f t="shared" si="3"/>
        <v>15.53513513513513</v>
      </c>
      <c r="P17" s="115">
        <v>37</v>
      </c>
      <c r="Q17" s="103">
        <v>574.79999999999984</v>
      </c>
    </row>
    <row r="18" spans="1:17" x14ac:dyDescent="0.4">
      <c r="A18" s="51" t="s">
        <v>12</v>
      </c>
      <c r="B18" s="44">
        <v>120</v>
      </c>
      <c r="C18" s="37">
        <f>IF(B$17=0,0,B18/B$17)</f>
        <v>0.40404040404040403</v>
      </c>
      <c r="E18" s="59" t="s">
        <v>79</v>
      </c>
      <c r="F18" s="56" t="s">
        <v>34</v>
      </c>
      <c r="G18" s="44">
        <v>5</v>
      </c>
      <c r="H18" s="129">
        <f t="shared" si="0"/>
        <v>1.6835016835016835E-2</v>
      </c>
      <c r="I18" s="90">
        <v>3</v>
      </c>
      <c r="K18" s="36">
        <v>16</v>
      </c>
      <c r="L18" s="95">
        <v>-187.3</v>
      </c>
      <c r="N18" s="111" t="s">
        <v>181</v>
      </c>
      <c r="O18" s="121">
        <f t="shared" si="3"/>
        <v>13.5</v>
      </c>
      <c r="P18" s="115">
        <v>5</v>
      </c>
      <c r="Q18" s="103">
        <v>67.5</v>
      </c>
    </row>
    <row r="19" spans="1:17" x14ac:dyDescent="0.4">
      <c r="A19" s="51" t="s">
        <v>11</v>
      </c>
      <c r="B19" s="44">
        <v>177</v>
      </c>
      <c r="C19" s="37">
        <f>IF(B$17=0,0,B19/B$17)</f>
        <v>0.59595959595959591</v>
      </c>
      <c r="E19" s="59" t="s">
        <v>92</v>
      </c>
      <c r="F19" s="56" t="s">
        <v>47</v>
      </c>
      <c r="G19" s="44">
        <v>3</v>
      </c>
      <c r="H19" s="129">
        <f t="shared" si="0"/>
        <v>1.0101010101010102E-2</v>
      </c>
      <c r="I19" s="90">
        <v>2</v>
      </c>
      <c r="K19" s="36">
        <v>17</v>
      </c>
      <c r="L19" s="95">
        <v>-179.70000000000002</v>
      </c>
      <c r="N19" s="111" t="s">
        <v>177</v>
      </c>
      <c r="O19" s="121">
        <f t="shared" si="3"/>
        <v>8.0312500000000053</v>
      </c>
      <c r="P19" s="115">
        <v>32</v>
      </c>
      <c r="Q19" s="103">
        <v>257.00000000000017</v>
      </c>
    </row>
    <row r="20" spans="1:17" x14ac:dyDescent="0.4">
      <c r="A20" s="51" t="s">
        <v>13</v>
      </c>
      <c r="B20" s="44">
        <v>185</v>
      </c>
      <c r="C20" s="37">
        <f>IF(B$3=0,0,B20/B$3)</f>
        <v>0.19190871369294607</v>
      </c>
      <c r="E20" s="59" t="s">
        <v>167</v>
      </c>
      <c r="F20" s="56" t="s">
        <v>168</v>
      </c>
      <c r="G20" s="44">
        <v>3</v>
      </c>
      <c r="H20" s="129">
        <f t="shared" si="0"/>
        <v>1.0101010101010102E-2</v>
      </c>
      <c r="I20" s="90">
        <v>7</v>
      </c>
      <c r="K20" s="36">
        <v>18</v>
      </c>
      <c r="L20" s="95">
        <v>-112.90000000000002</v>
      </c>
      <c r="N20" s="111" t="s">
        <v>166</v>
      </c>
      <c r="O20" s="121">
        <f t="shared" si="3"/>
        <v>6.1159999999999988</v>
      </c>
      <c r="P20" s="115">
        <v>25</v>
      </c>
      <c r="Q20" s="103">
        <v>152.89999999999998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74</v>
      </c>
      <c r="F21" s="56" t="s">
        <v>29</v>
      </c>
      <c r="G21" s="44">
        <v>2</v>
      </c>
      <c r="H21" s="129">
        <f t="shared" si="0"/>
        <v>6.7340067340067337E-3</v>
      </c>
      <c r="I21" s="90">
        <v>3</v>
      </c>
      <c r="K21" s="36">
        <v>19</v>
      </c>
      <c r="L21" s="95">
        <v>-162.40000000000003</v>
      </c>
      <c r="N21" s="111" t="s">
        <v>178</v>
      </c>
      <c r="O21" s="121">
        <f t="shared" si="3"/>
        <v>-0.33499999999999791</v>
      </c>
      <c r="P21" s="115">
        <v>40</v>
      </c>
      <c r="Q21" s="103">
        <v>-13.399999999999917</v>
      </c>
    </row>
    <row r="22" spans="1:17" x14ac:dyDescent="0.4">
      <c r="A22" s="51" t="s">
        <v>170</v>
      </c>
      <c r="B22" s="44">
        <v>30</v>
      </c>
      <c r="C22" s="131">
        <v>0</v>
      </c>
      <c r="E22" s="59" t="s">
        <v>75</v>
      </c>
      <c r="F22" s="56" t="s">
        <v>30</v>
      </c>
      <c r="G22" s="44">
        <v>2</v>
      </c>
      <c r="H22" s="129">
        <f t="shared" si="0"/>
        <v>6.7340067340067337E-3</v>
      </c>
      <c r="I22" s="90">
        <v>4</v>
      </c>
      <c r="K22" s="36">
        <v>20</v>
      </c>
      <c r="L22" s="95">
        <v>-96.000000000000028</v>
      </c>
      <c r="N22" s="111" t="s">
        <v>126</v>
      </c>
      <c r="O22" s="121">
        <f t="shared" si="3"/>
        <v>-14.022077922077923</v>
      </c>
      <c r="P22" s="115">
        <v>77</v>
      </c>
      <c r="Q22" s="103">
        <v>-1079.7</v>
      </c>
    </row>
    <row r="23" spans="1:17" x14ac:dyDescent="0.4">
      <c r="A23" s="51" t="s">
        <v>5</v>
      </c>
      <c r="B23" s="48">
        <f>IF(B$17=0,0,C23/B$17)</f>
        <v>8493.2659932659935</v>
      </c>
      <c r="C23" s="39">
        <v>2522500</v>
      </c>
      <c r="E23" s="59" t="s">
        <v>73</v>
      </c>
      <c r="F23" s="56" t="s">
        <v>28</v>
      </c>
      <c r="G23" s="44">
        <v>1</v>
      </c>
      <c r="H23" s="129">
        <f t="shared" si="0"/>
        <v>3.3670033670033669E-3</v>
      </c>
      <c r="I23" s="90">
        <v>4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9075.2747252747249</v>
      </c>
      <c r="C24" s="137">
        <v>1651700</v>
      </c>
      <c r="E24" s="59" t="s">
        <v>77</v>
      </c>
      <c r="F24" s="56" t="s">
        <v>32</v>
      </c>
      <c r="G24" s="44">
        <v>1</v>
      </c>
      <c r="H24" s="129">
        <f t="shared" si="0"/>
        <v>3.3670033670033669E-3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7572.173913043478</v>
      </c>
      <c r="C25" s="137">
        <v>870800</v>
      </c>
      <c r="E25" s="59" t="s">
        <v>84</v>
      </c>
      <c r="F25" s="56" t="s">
        <v>39</v>
      </c>
      <c r="G25" s="44">
        <v>1</v>
      </c>
      <c r="H25" s="129">
        <f t="shared" si="0"/>
        <v>3.3670033670033669E-3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-8007.0270270270266</v>
      </c>
      <c r="C26" s="137">
        <v>-1481300</v>
      </c>
      <c r="E26" s="59" t="s">
        <v>95</v>
      </c>
      <c r="F26" s="56" t="s">
        <v>50</v>
      </c>
      <c r="G26" s="44">
        <v>1</v>
      </c>
      <c r="H26" s="129">
        <f t="shared" si="0"/>
        <v>3.3670033670033669E-3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8">
        <v>8</v>
      </c>
      <c r="C27" s="149"/>
      <c r="E27" s="59" t="s">
        <v>76</v>
      </c>
      <c r="F27" s="56" t="s">
        <v>31</v>
      </c>
      <c r="G27" s="44">
        <v>0</v>
      </c>
      <c r="H27" s="129">
        <f t="shared" si="0"/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6">
        <v>91800</v>
      </c>
      <c r="C28" s="147"/>
      <c r="E28" s="59" t="s">
        <v>80</v>
      </c>
      <c r="F28" s="56" t="s">
        <v>35</v>
      </c>
      <c r="G28" s="44">
        <v>0</v>
      </c>
      <c r="H28" s="129">
        <f t="shared" si="0"/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3.1120331950207467E-3</v>
      </c>
      <c r="E29" s="59" t="s">
        <v>82</v>
      </c>
      <c r="F29" s="56" t="s">
        <v>37</v>
      </c>
      <c r="G29" s="44">
        <v>0</v>
      </c>
      <c r="H29" s="129">
        <f t="shared" si="0"/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 t="shared" si="0"/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A31" s="86" t="s">
        <v>257</v>
      </c>
      <c r="B31" s="142">
        <v>20</v>
      </c>
      <c r="C31" s="145">
        <f>IF(B$17=0,0,B31/B$17)</f>
        <v>6.7340067340067339E-2</v>
      </c>
      <c r="E31" s="59" t="s">
        <v>87</v>
      </c>
      <c r="F31" s="56" t="s">
        <v>42</v>
      </c>
      <c r="G31" s="44">
        <v>0</v>
      </c>
      <c r="H31" s="129">
        <f t="shared" si="0"/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A32" s="51" t="s">
        <v>253</v>
      </c>
      <c r="B32" s="44">
        <v>44</v>
      </c>
      <c r="C32" s="37">
        <f t="shared" ref="C32:C43" si="4">IF(B$17=0,0,B32/B$17)</f>
        <v>0.14814814814814814</v>
      </c>
      <c r="E32" s="59" t="s">
        <v>88</v>
      </c>
      <c r="F32" s="56" t="s">
        <v>43</v>
      </c>
      <c r="G32" s="44">
        <v>0</v>
      </c>
      <c r="H32" s="129">
        <f t="shared" si="0"/>
        <v>0</v>
      </c>
      <c r="I32" s="90">
        <v>5</v>
      </c>
      <c r="K32" s="36">
        <v>30</v>
      </c>
      <c r="L32" s="95">
        <v>63.499999999999957</v>
      </c>
    </row>
    <row r="33" spans="1:12" x14ac:dyDescent="0.4">
      <c r="A33" s="51" t="s">
        <v>254</v>
      </c>
      <c r="B33" s="143">
        <v>67</v>
      </c>
      <c r="C33" s="37">
        <f>IF(B$17=0,0,B33/B$17)</f>
        <v>0.22558922558922559</v>
      </c>
      <c r="E33" s="59" t="s">
        <v>90</v>
      </c>
      <c r="F33" s="56" t="s">
        <v>45</v>
      </c>
      <c r="G33" s="44">
        <v>0</v>
      </c>
      <c r="H33" s="129">
        <f t="shared" si="0"/>
        <v>0</v>
      </c>
      <c r="I33" s="90">
        <v>4</v>
      </c>
      <c r="K33" s="36">
        <v>31</v>
      </c>
      <c r="L33" s="95">
        <v>94.299999999999955</v>
      </c>
    </row>
    <row r="34" spans="1:12" x14ac:dyDescent="0.4">
      <c r="A34" s="51" t="s">
        <v>255</v>
      </c>
      <c r="B34" s="143">
        <v>60</v>
      </c>
      <c r="C34" s="37">
        <f t="shared" si="4"/>
        <v>0.20202020202020202</v>
      </c>
      <c r="E34" s="59" t="s">
        <v>93</v>
      </c>
      <c r="F34" s="56" t="s">
        <v>48</v>
      </c>
      <c r="G34" s="44">
        <v>0</v>
      </c>
      <c r="H34" s="129">
        <f t="shared" ref="H34:H65" si="5">IF(B$17=0,0,G34/B$17)</f>
        <v>0</v>
      </c>
      <c r="I34" s="90">
        <v>5</v>
      </c>
      <c r="K34" s="36">
        <v>32</v>
      </c>
      <c r="L34" s="95">
        <v>144.79999999999995</v>
      </c>
    </row>
    <row r="35" spans="1:12" x14ac:dyDescent="0.4">
      <c r="A35" s="51" t="s">
        <v>256</v>
      </c>
      <c r="B35" s="143">
        <v>45</v>
      </c>
      <c r="C35" s="37">
        <f t="shared" si="4"/>
        <v>0.15151515151515152</v>
      </c>
      <c r="E35" s="59" t="s">
        <v>94</v>
      </c>
      <c r="F35" s="56" t="s">
        <v>49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153.39999999999995</v>
      </c>
    </row>
    <row r="36" spans="1:12" x14ac:dyDescent="0.4">
      <c r="A36" s="51" t="s">
        <v>258</v>
      </c>
      <c r="B36" s="143">
        <v>31</v>
      </c>
      <c r="C36" s="37">
        <f t="shared" si="4"/>
        <v>0.10437710437710437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178.09999999999994</v>
      </c>
    </row>
    <row r="37" spans="1:12" x14ac:dyDescent="0.4">
      <c r="A37" s="51" t="s">
        <v>259</v>
      </c>
      <c r="B37" s="143">
        <v>10</v>
      </c>
      <c r="C37" s="37">
        <f t="shared" si="4"/>
        <v>3.3670033670033669E-2</v>
      </c>
      <c r="E37" s="59" t="s">
        <v>97</v>
      </c>
      <c r="F37" s="56" t="s">
        <v>52</v>
      </c>
      <c r="G37" s="44">
        <v>0</v>
      </c>
      <c r="H37" s="129">
        <f t="shared" si="5"/>
        <v>0</v>
      </c>
      <c r="I37" s="90">
        <v>3</v>
      </c>
      <c r="K37" s="36">
        <v>35</v>
      </c>
      <c r="L37" s="95">
        <v>171.89999999999995</v>
      </c>
    </row>
    <row r="38" spans="1:12" x14ac:dyDescent="0.4">
      <c r="A38" s="51" t="s">
        <v>260</v>
      </c>
      <c r="B38" s="143">
        <v>8</v>
      </c>
      <c r="C38" s="37">
        <f t="shared" si="4"/>
        <v>2.6936026936026935E-2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164.59999999999994</v>
      </c>
    </row>
    <row r="39" spans="1:12" x14ac:dyDescent="0.4">
      <c r="A39" s="51" t="s">
        <v>261</v>
      </c>
      <c r="B39" s="143">
        <v>5</v>
      </c>
      <c r="C39" s="37">
        <f t="shared" si="4"/>
        <v>1.6835016835016835E-2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156.59999999999994</v>
      </c>
    </row>
    <row r="40" spans="1:12" x14ac:dyDescent="0.4">
      <c r="A40" s="51" t="s">
        <v>262</v>
      </c>
      <c r="B40" s="143">
        <v>1</v>
      </c>
      <c r="C40" s="37">
        <f t="shared" si="4"/>
        <v>3.3670033670033669E-3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110.89999999999993</v>
      </c>
    </row>
    <row r="41" spans="1:12" x14ac:dyDescent="0.4">
      <c r="A41" s="51" t="s">
        <v>263</v>
      </c>
      <c r="B41" s="143">
        <v>2</v>
      </c>
      <c r="C41" s="37">
        <f t="shared" si="4"/>
        <v>6.7340067340067337E-3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  <c r="K41" s="36">
        <v>39</v>
      </c>
      <c r="L41" s="95">
        <v>158.79999999999993</v>
      </c>
    </row>
    <row r="42" spans="1:12" x14ac:dyDescent="0.4">
      <c r="A42" s="51" t="s">
        <v>264</v>
      </c>
      <c r="B42" s="143">
        <v>0</v>
      </c>
      <c r="C42" s="37">
        <f t="shared" si="4"/>
        <v>0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109.59999999999992</v>
      </c>
    </row>
    <row r="43" spans="1:12" x14ac:dyDescent="0.4">
      <c r="A43" s="53" t="s">
        <v>265</v>
      </c>
      <c r="B43" s="144">
        <v>4</v>
      </c>
      <c r="C43" s="40">
        <f t="shared" si="4"/>
        <v>1.3468013468013467E-2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131.59999999999991</v>
      </c>
    </row>
    <row r="44" spans="1:12" x14ac:dyDescent="0.4"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183.6999999999999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211.89999999999989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232.7999999999999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214.39999999999989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  <row r="115" spans="11:12" x14ac:dyDescent="0.4">
      <c r="K115" s="36">
        <v>113</v>
      </c>
      <c r="L115" s="95">
        <v>104.69999999999979</v>
      </c>
    </row>
    <row r="116" spans="11:12" x14ac:dyDescent="0.4">
      <c r="K116" s="36">
        <v>114</v>
      </c>
      <c r="L116" s="95">
        <v>109.99999999999979</v>
      </c>
    </row>
    <row r="117" spans="11:12" x14ac:dyDescent="0.4">
      <c r="K117" s="36">
        <v>115</v>
      </c>
      <c r="L117" s="95">
        <v>138.89999999999978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BFC57-CA90-4871-81AD-2164B24EDE01}">
  <sheetPr codeName="Sheet13"/>
  <dimension ref="A1:Q7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179</v>
      </c>
      <c r="C1" s="153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4">
        <v>71</v>
      </c>
      <c r="C2" s="155"/>
      <c r="E2" s="58" t="s">
        <v>66</v>
      </c>
      <c r="F2" s="55" t="s">
        <v>22</v>
      </c>
      <c r="G2" s="43">
        <v>131</v>
      </c>
      <c r="H2" s="128">
        <f t="shared" ref="H2:H33" si="0">IF(B$17=0,0,G2/B$17)</f>
        <v>0.77976190476190477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-70</v>
      </c>
      <c r="P2" s="114">
        <v>70</v>
      </c>
      <c r="Q2" s="98">
        <v>-4900</v>
      </c>
    </row>
    <row r="3" spans="1:17" x14ac:dyDescent="0.4">
      <c r="A3" s="51" t="s">
        <v>8</v>
      </c>
      <c r="B3" s="156">
        <v>603</v>
      </c>
      <c r="C3" s="157"/>
      <c r="E3" s="59" t="s">
        <v>64</v>
      </c>
      <c r="F3" s="56" t="s">
        <v>20</v>
      </c>
      <c r="G3" s="44">
        <v>98</v>
      </c>
      <c r="H3" s="129">
        <f t="shared" si="0"/>
        <v>0.58333333333333337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1"/>
        <v>-1265.7142857142858</v>
      </c>
      <c r="P3" s="115">
        <v>70</v>
      </c>
      <c r="Q3" s="99">
        <v>-88600</v>
      </c>
    </row>
    <row r="4" spans="1:17" x14ac:dyDescent="0.4">
      <c r="A4" s="51" t="s">
        <v>6</v>
      </c>
      <c r="B4" s="158">
        <v>-484.8</v>
      </c>
      <c r="C4" s="159"/>
      <c r="E4" s="59" t="s">
        <v>72</v>
      </c>
      <c r="F4" s="56" t="s">
        <v>27</v>
      </c>
      <c r="G4" s="44">
        <v>85</v>
      </c>
      <c r="H4" s="129">
        <f t="shared" si="0"/>
        <v>0.50595238095238093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1"/>
        <v>865.625</v>
      </c>
      <c r="P4" s="115">
        <v>64</v>
      </c>
      <c r="Q4" s="99">
        <v>55400</v>
      </c>
    </row>
    <row r="5" spans="1:17" x14ac:dyDescent="0.4">
      <c r="A5" s="51" t="s">
        <v>7</v>
      </c>
      <c r="B5" s="160">
        <f>IF(B$2=0,0,B$4/B$2)</f>
        <v>-6.8281690140845068</v>
      </c>
      <c r="C5" s="161"/>
      <c r="E5" s="59" t="s">
        <v>171</v>
      </c>
      <c r="F5" s="56" t="s">
        <v>172</v>
      </c>
      <c r="G5" s="44">
        <v>71</v>
      </c>
      <c r="H5" s="129">
        <f t="shared" si="0"/>
        <v>0.42261904761904762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1"/>
        <v>-1303.1746031746031</v>
      </c>
      <c r="P5" s="115">
        <v>63</v>
      </c>
      <c r="Q5" s="99">
        <v>-82100</v>
      </c>
    </row>
    <row r="6" spans="1:17" x14ac:dyDescent="0.4">
      <c r="A6" s="51" t="s">
        <v>1</v>
      </c>
      <c r="B6" s="150">
        <f>IF(B$2=0,0,(B$7*1+B$8*2+B$9*3)/B$2)</f>
        <v>2.1690140845070425</v>
      </c>
      <c r="C6" s="151"/>
      <c r="E6" s="59" t="s">
        <v>68</v>
      </c>
      <c r="F6" s="56" t="s">
        <v>12</v>
      </c>
      <c r="G6" s="44">
        <v>60</v>
      </c>
      <c r="H6" s="129">
        <f t="shared" si="0"/>
        <v>0.35714285714285715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1"/>
        <v>-2995</v>
      </c>
      <c r="P6" s="115">
        <v>60</v>
      </c>
      <c r="Q6" s="99">
        <v>-179700</v>
      </c>
    </row>
    <row r="7" spans="1:17" x14ac:dyDescent="0.4">
      <c r="A7" s="51" t="s">
        <v>2</v>
      </c>
      <c r="B7" s="44">
        <v>16</v>
      </c>
      <c r="C7" s="37">
        <f t="shared" ref="C7:C12" si="2">IF(B$2=0,0,B7/B$2)</f>
        <v>0.22535211267605634</v>
      </c>
      <c r="E7" s="59" t="s">
        <v>67</v>
      </c>
      <c r="F7" s="56" t="s">
        <v>23</v>
      </c>
      <c r="G7" s="44">
        <v>49</v>
      </c>
      <c r="H7" s="129">
        <f t="shared" si="0"/>
        <v>0.29166666666666669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1"/>
        <v>-1538.4615384615386</v>
      </c>
      <c r="P7" s="116">
        <v>52</v>
      </c>
      <c r="Q7" s="100">
        <v>-80000</v>
      </c>
    </row>
    <row r="8" spans="1:17" x14ac:dyDescent="0.4">
      <c r="A8" s="51" t="s">
        <v>3</v>
      </c>
      <c r="B8" s="44">
        <v>27</v>
      </c>
      <c r="C8" s="37">
        <f t="shared" si="2"/>
        <v>0.38028169014084506</v>
      </c>
      <c r="E8" s="59" t="s">
        <v>70</v>
      </c>
      <c r="F8" s="56" t="s">
        <v>25</v>
      </c>
      <c r="G8" s="44">
        <v>25</v>
      </c>
      <c r="H8" s="129">
        <f t="shared" si="0"/>
        <v>0.14880952380952381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2"/>
        <v>0.39436619718309857</v>
      </c>
      <c r="E9" s="59" t="s">
        <v>69</v>
      </c>
      <c r="F9" s="56" t="s">
        <v>24</v>
      </c>
      <c r="G9" s="44">
        <v>24</v>
      </c>
      <c r="H9" s="129">
        <f t="shared" si="0"/>
        <v>0.14285714285714285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2"/>
        <v>8.4507042253521125E-2</v>
      </c>
      <c r="E10" s="59" t="s">
        <v>65</v>
      </c>
      <c r="F10" s="56" t="s">
        <v>21</v>
      </c>
      <c r="G10" s="44">
        <v>20</v>
      </c>
      <c r="H10" s="129">
        <f t="shared" si="0"/>
        <v>0.11904761904761904</v>
      </c>
      <c r="I10" s="90">
        <v>5</v>
      </c>
      <c r="K10" s="36">
        <v>8</v>
      </c>
      <c r="L10" s="95">
        <v>-62.999999999999993</v>
      </c>
      <c r="N10" s="110" t="s">
        <v>162</v>
      </c>
      <c r="O10" s="120">
        <f>IF(P10=0,0,Q10/P10)</f>
        <v>-3.7925925925925932</v>
      </c>
      <c r="P10" s="114">
        <v>27</v>
      </c>
      <c r="Q10" s="102">
        <v>-102.40000000000002</v>
      </c>
    </row>
    <row r="11" spans="1:17" x14ac:dyDescent="0.4">
      <c r="A11" s="52" t="s">
        <v>138</v>
      </c>
      <c r="B11" s="45">
        <v>2</v>
      </c>
      <c r="C11" s="38">
        <f t="shared" si="2"/>
        <v>2.8169014084507043E-2</v>
      </c>
      <c r="E11" s="59" t="s">
        <v>89</v>
      </c>
      <c r="F11" s="56" t="s">
        <v>44</v>
      </c>
      <c r="G11" s="44">
        <v>20</v>
      </c>
      <c r="H11" s="129">
        <f t="shared" si="0"/>
        <v>0.11904761904761904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-8.6476190476190489</v>
      </c>
      <c r="P11" s="115">
        <v>21</v>
      </c>
      <c r="Q11" s="103">
        <v>-181.60000000000002</v>
      </c>
    </row>
    <row r="12" spans="1:17" x14ac:dyDescent="0.4">
      <c r="A12" s="53" t="s">
        <v>158</v>
      </c>
      <c r="B12" s="46">
        <v>5</v>
      </c>
      <c r="C12" s="40">
        <f t="shared" si="2"/>
        <v>7.0422535211267609E-2</v>
      </c>
      <c r="E12" s="59" t="s">
        <v>83</v>
      </c>
      <c r="F12" s="56" t="s">
        <v>38</v>
      </c>
      <c r="G12" s="44">
        <v>10</v>
      </c>
      <c r="H12" s="129">
        <f t="shared" si="0"/>
        <v>5.9523809523809521E-2</v>
      </c>
      <c r="I12" s="90">
        <v>6</v>
      </c>
      <c r="K12" s="36">
        <v>10</v>
      </c>
      <c r="L12" s="95">
        <v>-117.19999999999999</v>
      </c>
      <c r="N12" s="112" t="s">
        <v>164</v>
      </c>
      <c r="O12" s="122">
        <f>IF(P12=0,0,Q12/P12)</f>
        <v>-8.7304347826086932</v>
      </c>
      <c r="P12" s="116">
        <v>23</v>
      </c>
      <c r="Q12" s="104">
        <v>-200.79999999999995</v>
      </c>
    </row>
    <row r="13" spans="1:17" x14ac:dyDescent="0.4">
      <c r="A13" s="54" t="s">
        <v>121</v>
      </c>
      <c r="B13" s="47">
        <v>172</v>
      </c>
      <c r="C13" s="42">
        <f>IF(B$3=0,0,B13/B$3)</f>
        <v>0.28524046434494194</v>
      </c>
      <c r="E13" s="59" t="s">
        <v>71</v>
      </c>
      <c r="F13" s="56" t="s">
        <v>26</v>
      </c>
      <c r="G13" s="44">
        <v>7</v>
      </c>
      <c r="H13" s="129">
        <f t="shared" si="0"/>
        <v>4.1666666666666664E-2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116</v>
      </c>
      <c r="C14" s="37">
        <f>IF(B$3=0,0,B14/B$3)</f>
        <v>0.19237147595356552</v>
      </c>
      <c r="E14" s="59" t="s">
        <v>78</v>
      </c>
      <c r="F14" s="56" t="s">
        <v>33</v>
      </c>
      <c r="G14" s="44">
        <v>6</v>
      </c>
      <c r="H14" s="129">
        <f t="shared" si="0"/>
        <v>3.5714285714285712E-2</v>
      </c>
      <c r="I14" s="90">
        <v>3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99</v>
      </c>
      <c r="C15" s="35">
        <f>IF(B$13=0,0,B15/B$13)</f>
        <v>0.57558139534883723</v>
      </c>
      <c r="E15" s="59" t="s">
        <v>86</v>
      </c>
      <c r="F15" s="56" t="s">
        <v>41</v>
      </c>
      <c r="G15" s="44">
        <v>4</v>
      </c>
      <c r="H15" s="129">
        <f t="shared" si="0"/>
        <v>2.3809523809523808E-2</v>
      </c>
      <c r="I15" s="90">
        <v>10</v>
      </c>
      <c r="K15" s="36">
        <v>13</v>
      </c>
      <c r="L15" s="95">
        <v>-207.3</v>
      </c>
      <c r="N15" s="110" t="s">
        <v>182</v>
      </c>
      <c r="O15" s="120">
        <f t="shared" ref="O15:O22" si="3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47</v>
      </c>
      <c r="C16" s="35">
        <f>IF(B$14=0,0,B16/B$14)</f>
        <v>0.40517241379310343</v>
      </c>
      <c r="E16" s="59" t="s">
        <v>81</v>
      </c>
      <c r="F16" s="56" t="s">
        <v>36</v>
      </c>
      <c r="G16" s="44">
        <v>3</v>
      </c>
      <c r="H16" s="129">
        <f t="shared" si="0"/>
        <v>1.7857142857142856E-2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 t="shared" si="3"/>
        <v>12.242857142857146</v>
      </c>
      <c r="P16" s="115">
        <v>14</v>
      </c>
      <c r="Q16" s="103">
        <v>171.40000000000003</v>
      </c>
    </row>
    <row r="17" spans="1:17" x14ac:dyDescent="0.4">
      <c r="A17" s="50" t="s">
        <v>10</v>
      </c>
      <c r="B17" s="43">
        <f>B19+B18</f>
        <v>168</v>
      </c>
      <c r="C17" s="35">
        <f>IF(B$3=0,0,B17/B$3)</f>
        <v>0.27860696517412936</v>
      </c>
      <c r="E17" s="59" t="s">
        <v>167</v>
      </c>
      <c r="F17" s="56" t="s">
        <v>168</v>
      </c>
      <c r="G17" s="44">
        <v>3</v>
      </c>
      <c r="H17" s="129">
        <f t="shared" si="0"/>
        <v>1.7857142857142856E-2</v>
      </c>
      <c r="I17" s="90">
        <v>5</v>
      </c>
      <c r="K17" s="36">
        <v>15</v>
      </c>
      <c r="L17" s="95">
        <v>-221.5</v>
      </c>
      <c r="N17" s="111" t="s">
        <v>177</v>
      </c>
      <c r="O17" s="121">
        <f t="shared" si="3"/>
        <v>3.6714285714285717</v>
      </c>
      <c r="P17" s="115">
        <v>14</v>
      </c>
      <c r="Q17" s="103">
        <v>51.400000000000006</v>
      </c>
    </row>
    <row r="18" spans="1:17" x14ac:dyDescent="0.4">
      <c r="A18" s="51" t="s">
        <v>12</v>
      </c>
      <c r="B18" s="44">
        <v>78</v>
      </c>
      <c r="C18" s="37">
        <f>IF(B$17=0,0,B18/B$17)</f>
        <v>0.4642857142857143</v>
      </c>
      <c r="E18" s="59" t="s">
        <v>75</v>
      </c>
      <c r="F18" s="56" t="s">
        <v>30</v>
      </c>
      <c r="G18" s="44">
        <v>2</v>
      </c>
      <c r="H18" s="129">
        <f t="shared" si="0"/>
        <v>1.1904761904761904E-2</v>
      </c>
      <c r="I18" s="90">
        <v>2</v>
      </c>
      <c r="K18" s="36">
        <v>16</v>
      </c>
      <c r="L18" s="95">
        <v>-224.3</v>
      </c>
      <c r="N18" s="111" t="s">
        <v>181</v>
      </c>
      <c r="O18" s="121">
        <f t="shared" si="3"/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11</v>
      </c>
      <c r="B19" s="44">
        <v>90</v>
      </c>
      <c r="C19" s="37">
        <f>IF(B$17=0,0,B19/B$17)</f>
        <v>0.5357142857142857</v>
      </c>
      <c r="E19" s="59" t="s">
        <v>79</v>
      </c>
      <c r="F19" s="56" t="s">
        <v>34</v>
      </c>
      <c r="G19" s="44">
        <v>2</v>
      </c>
      <c r="H19" s="129">
        <f t="shared" si="0"/>
        <v>1.1904761904761904E-2</v>
      </c>
      <c r="I19" s="90">
        <v>4</v>
      </c>
      <c r="K19" s="36">
        <v>17</v>
      </c>
      <c r="L19" s="95">
        <v>-251.4</v>
      </c>
      <c r="N19" s="111" t="s">
        <v>178</v>
      </c>
      <c r="O19" s="121">
        <f t="shared" si="3"/>
        <v>-13.965</v>
      </c>
      <c r="P19" s="115">
        <v>20</v>
      </c>
      <c r="Q19" s="103">
        <v>-279.3</v>
      </c>
    </row>
    <row r="20" spans="1:17" x14ac:dyDescent="0.4">
      <c r="A20" s="51" t="s">
        <v>13</v>
      </c>
      <c r="B20" s="44">
        <v>122</v>
      </c>
      <c r="C20" s="37">
        <f>IF(B$3=0,0,B20/B$3)</f>
        <v>0.20232172470978441</v>
      </c>
      <c r="E20" s="59" t="s">
        <v>91</v>
      </c>
      <c r="F20" s="56" t="s">
        <v>46</v>
      </c>
      <c r="G20" s="44">
        <v>1</v>
      </c>
      <c r="H20" s="129">
        <f t="shared" si="0"/>
        <v>5.9523809523809521E-3</v>
      </c>
      <c r="I20" s="90">
        <v>7</v>
      </c>
      <c r="K20" s="36">
        <v>18</v>
      </c>
      <c r="L20" s="95">
        <v>-240</v>
      </c>
      <c r="N20" s="111" t="s">
        <v>127</v>
      </c>
      <c r="O20" s="121">
        <f t="shared" si="3"/>
        <v>-15.53513513513513</v>
      </c>
      <c r="P20" s="115">
        <v>37</v>
      </c>
      <c r="Q20" s="103">
        <v>-574.79999999999984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 t="shared" si="0"/>
        <v>0</v>
      </c>
      <c r="I21" s="90">
        <v>5</v>
      </c>
      <c r="K21" s="36">
        <v>19</v>
      </c>
      <c r="L21" s="95">
        <v>-218</v>
      </c>
      <c r="N21" s="111" t="s">
        <v>126</v>
      </c>
      <c r="O21" s="121">
        <f t="shared" si="3"/>
        <v>-17.637777777777785</v>
      </c>
      <c r="P21" s="115">
        <v>45</v>
      </c>
      <c r="Q21" s="103">
        <v>-793.70000000000027</v>
      </c>
    </row>
    <row r="22" spans="1:17" x14ac:dyDescent="0.4">
      <c r="A22" s="51" t="s">
        <v>170</v>
      </c>
      <c r="B22" s="44">
        <v>21</v>
      </c>
      <c r="C22" s="131">
        <v>5</v>
      </c>
      <c r="E22" s="59" t="s">
        <v>74</v>
      </c>
      <c r="F22" s="56" t="s">
        <v>29</v>
      </c>
      <c r="G22" s="44">
        <v>0</v>
      </c>
      <c r="H22" s="129">
        <f t="shared" si="0"/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 t="shared" si="3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8067.8571428571431</v>
      </c>
      <c r="C23" s="39">
        <v>1355400</v>
      </c>
      <c r="E23" s="59" t="s">
        <v>76</v>
      </c>
      <c r="F23" s="56" t="s">
        <v>31</v>
      </c>
      <c r="G23" s="44">
        <v>0</v>
      </c>
      <c r="H23" s="129">
        <f t="shared" si="0"/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8647.1074380165282</v>
      </c>
      <c r="C24" s="137">
        <v>1046300</v>
      </c>
      <c r="E24" s="59" t="s">
        <v>77</v>
      </c>
      <c r="F24" s="56" t="s">
        <v>32</v>
      </c>
      <c r="G24" s="44">
        <v>0</v>
      </c>
      <c r="H24" s="129">
        <f t="shared" si="0"/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6576.5957446808507</v>
      </c>
      <c r="C25" s="137">
        <v>309100</v>
      </c>
      <c r="E25" s="59" t="s">
        <v>80</v>
      </c>
      <c r="F25" s="56" t="s">
        <v>35</v>
      </c>
      <c r="G25" s="44">
        <v>0</v>
      </c>
      <c r="H25" s="129">
        <f t="shared" si="0"/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-7622.1311475409839</v>
      </c>
      <c r="C26" s="137">
        <v>-929900</v>
      </c>
      <c r="E26" s="59" t="s">
        <v>82</v>
      </c>
      <c r="F26" s="56" t="s">
        <v>37</v>
      </c>
      <c r="G26" s="44">
        <v>0</v>
      </c>
      <c r="H26" s="129">
        <f t="shared" si="0"/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8">
        <v>8</v>
      </c>
      <c r="C27" s="149"/>
      <c r="E27" s="59" t="s">
        <v>84</v>
      </c>
      <c r="F27" s="56" t="s">
        <v>39</v>
      </c>
      <c r="G27" s="44">
        <v>0</v>
      </c>
      <c r="H27" s="129">
        <f t="shared" si="0"/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6">
        <v>69500</v>
      </c>
      <c r="C28" s="147"/>
      <c r="E28" s="59" t="s">
        <v>85</v>
      </c>
      <c r="F28" s="56" t="s">
        <v>40</v>
      </c>
      <c r="G28" s="44">
        <v>0</v>
      </c>
      <c r="H28" s="129">
        <f t="shared" si="0"/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3</v>
      </c>
      <c r="C29" s="40">
        <f>IF(B$3=0,0,B29/B$3)</f>
        <v>4.9751243781094526E-3</v>
      </c>
      <c r="E29" s="59" t="s">
        <v>87</v>
      </c>
      <c r="F29" s="56" t="s">
        <v>42</v>
      </c>
      <c r="G29" s="44">
        <v>0</v>
      </c>
      <c r="H29" s="129">
        <f t="shared" si="0"/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 t="shared" si="0"/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A31" s="86" t="s">
        <v>257</v>
      </c>
      <c r="B31" s="142">
        <v>12</v>
      </c>
      <c r="C31" s="145">
        <f>IF(B$17=0,0,B31/B$17)</f>
        <v>7.1428571428571425E-2</v>
      </c>
      <c r="E31" s="59" t="s">
        <v>90</v>
      </c>
      <c r="F31" s="56" t="s">
        <v>45</v>
      </c>
      <c r="G31" s="44">
        <v>0</v>
      </c>
      <c r="H31" s="129">
        <f t="shared" si="0"/>
        <v>0</v>
      </c>
      <c r="I31" s="90">
        <v>4</v>
      </c>
      <c r="K31" s="36">
        <v>29</v>
      </c>
      <c r="L31" s="95">
        <v>-159.9</v>
      </c>
    </row>
    <row r="32" spans="1:17" x14ac:dyDescent="0.4">
      <c r="A32" s="51" t="s">
        <v>253</v>
      </c>
      <c r="B32" s="44">
        <v>28</v>
      </c>
      <c r="C32" s="37">
        <f t="shared" ref="C32:C43" si="4">IF(B$17=0,0,B32/B$17)</f>
        <v>0.16666666666666666</v>
      </c>
      <c r="E32" s="59" t="s">
        <v>92</v>
      </c>
      <c r="F32" s="56" t="s">
        <v>47</v>
      </c>
      <c r="G32" s="44">
        <v>0</v>
      </c>
      <c r="H32" s="129">
        <f t="shared" si="0"/>
        <v>0</v>
      </c>
      <c r="I32" s="90">
        <v>5</v>
      </c>
      <c r="K32" s="36">
        <v>30</v>
      </c>
      <c r="L32" s="95">
        <v>-175.6</v>
      </c>
    </row>
    <row r="33" spans="1:12" x14ac:dyDescent="0.4">
      <c r="A33" s="51" t="s">
        <v>254</v>
      </c>
      <c r="B33" s="143">
        <v>38</v>
      </c>
      <c r="C33" s="37">
        <f>IF(B$17=0,0,B33/B$17)</f>
        <v>0.22619047619047619</v>
      </c>
      <c r="E33" s="59" t="s">
        <v>93</v>
      </c>
      <c r="F33" s="56" t="s">
        <v>48</v>
      </c>
      <c r="G33" s="44">
        <v>0</v>
      </c>
      <c r="H33" s="129">
        <f t="shared" si="0"/>
        <v>0</v>
      </c>
      <c r="I33" s="90">
        <v>5</v>
      </c>
      <c r="K33" s="36">
        <v>31</v>
      </c>
      <c r="L33" s="95">
        <v>-212.6</v>
      </c>
    </row>
    <row r="34" spans="1:12" x14ac:dyDescent="0.4">
      <c r="A34" s="51" t="s">
        <v>255</v>
      </c>
      <c r="B34" s="143">
        <v>27</v>
      </c>
      <c r="C34" s="37">
        <f t="shared" si="4"/>
        <v>0.16071428571428573</v>
      </c>
      <c r="E34" s="59" t="s">
        <v>94</v>
      </c>
      <c r="F34" s="56" t="s">
        <v>49</v>
      </c>
      <c r="G34" s="44">
        <v>0</v>
      </c>
      <c r="H34" s="129">
        <f t="shared" ref="H34:H65" si="5">IF(B$17=0,0,G34/B$17)</f>
        <v>0</v>
      </c>
      <c r="I34" s="90">
        <v>1</v>
      </c>
      <c r="K34" s="36">
        <v>32</v>
      </c>
      <c r="L34" s="95">
        <v>-244.8</v>
      </c>
    </row>
    <row r="35" spans="1:12" x14ac:dyDescent="0.4">
      <c r="A35" s="51" t="s">
        <v>256</v>
      </c>
      <c r="B35" s="143">
        <v>27</v>
      </c>
      <c r="C35" s="37">
        <f t="shared" si="4"/>
        <v>0.16071428571428573</v>
      </c>
      <c r="E35" s="59" t="s">
        <v>95</v>
      </c>
      <c r="F35" s="56" t="s">
        <v>50</v>
      </c>
      <c r="G35" s="44">
        <v>0</v>
      </c>
      <c r="H35" s="129">
        <f t="shared" si="5"/>
        <v>0</v>
      </c>
      <c r="I35" s="90">
        <v>5</v>
      </c>
      <c r="K35" s="36">
        <v>33</v>
      </c>
      <c r="L35" s="95">
        <v>-261.3</v>
      </c>
    </row>
    <row r="36" spans="1:12" x14ac:dyDescent="0.4">
      <c r="A36" s="51" t="s">
        <v>258</v>
      </c>
      <c r="B36" s="143">
        <v>18</v>
      </c>
      <c r="C36" s="37">
        <f t="shared" si="4"/>
        <v>0.10714285714285714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-236.8</v>
      </c>
    </row>
    <row r="37" spans="1:12" x14ac:dyDescent="0.4">
      <c r="A37" s="51" t="s">
        <v>259</v>
      </c>
      <c r="B37" s="143">
        <v>11</v>
      </c>
      <c r="C37" s="37">
        <f t="shared" si="4"/>
        <v>6.5476190476190479E-2</v>
      </c>
      <c r="E37" s="59" t="s">
        <v>97</v>
      </c>
      <c r="F37" s="56" t="s">
        <v>52</v>
      </c>
      <c r="G37" s="44">
        <v>0</v>
      </c>
      <c r="H37" s="129">
        <f t="shared" si="5"/>
        <v>0</v>
      </c>
      <c r="I37" s="90">
        <v>3</v>
      </c>
      <c r="K37" s="36">
        <v>35</v>
      </c>
      <c r="L37" s="95">
        <v>-264.60000000000002</v>
      </c>
    </row>
    <row r="38" spans="1:12" x14ac:dyDescent="0.4">
      <c r="A38" s="51" t="s">
        <v>260</v>
      </c>
      <c r="B38" s="143">
        <v>4</v>
      </c>
      <c r="C38" s="37">
        <f t="shared" si="4"/>
        <v>2.3809523809523808E-2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-252.20000000000002</v>
      </c>
    </row>
    <row r="39" spans="1:12" x14ac:dyDescent="0.4">
      <c r="A39" s="51" t="s">
        <v>261</v>
      </c>
      <c r="B39" s="143">
        <v>0</v>
      </c>
      <c r="C39" s="37">
        <f t="shared" si="4"/>
        <v>0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-261</v>
      </c>
    </row>
    <row r="40" spans="1:12" x14ac:dyDescent="0.4">
      <c r="A40" s="51" t="s">
        <v>262</v>
      </c>
      <c r="B40" s="143">
        <v>0</v>
      </c>
      <c r="C40" s="37">
        <f t="shared" si="4"/>
        <v>0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-245.4</v>
      </c>
    </row>
    <row r="41" spans="1:12" x14ac:dyDescent="0.4">
      <c r="A41" s="51" t="s">
        <v>263</v>
      </c>
      <c r="B41" s="143">
        <v>1</v>
      </c>
      <c r="C41" s="37">
        <f t="shared" si="4"/>
        <v>5.9523809523809521E-3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  <c r="K41" s="36">
        <v>39</v>
      </c>
      <c r="L41" s="95">
        <v>-227</v>
      </c>
    </row>
    <row r="42" spans="1:12" x14ac:dyDescent="0.4">
      <c r="A42" s="51" t="s">
        <v>264</v>
      </c>
      <c r="B42" s="143">
        <v>2</v>
      </c>
      <c r="C42" s="37">
        <f t="shared" si="4"/>
        <v>1.1904761904761904E-2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-268.39999999999998</v>
      </c>
    </row>
    <row r="43" spans="1:12" x14ac:dyDescent="0.4">
      <c r="A43" s="53" t="s">
        <v>265</v>
      </c>
      <c r="B43" s="144">
        <v>0</v>
      </c>
      <c r="C43" s="40">
        <f t="shared" si="4"/>
        <v>0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-264.39999999999998</v>
      </c>
    </row>
    <row r="44" spans="1:12" x14ac:dyDescent="0.4"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-268.89999999999998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-299.39999999999998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-330.7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-353.09999999999997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  <row r="68" spans="11:12" x14ac:dyDescent="0.4">
      <c r="K68" s="36">
        <v>66</v>
      </c>
      <c r="L68" s="95">
        <v>-441.9</v>
      </c>
    </row>
    <row r="69" spans="11:12" x14ac:dyDescent="0.4">
      <c r="K69" s="36">
        <v>67</v>
      </c>
      <c r="L69" s="95">
        <v>-477.59999999999997</v>
      </c>
    </row>
    <row r="70" spans="11:12" x14ac:dyDescent="0.4">
      <c r="K70" s="36">
        <v>68</v>
      </c>
      <c r="L70" s="95">
        <v>-477.29999999999995</v>
      </c>
    </row>
    <row r="71" spans="11:12" x14ac:dyDescent="0.4">
      <c r="K71" s="36">
        <v>69</v>
      </c>
      <c r="L71" s="95">
        <v>-486.9</v>
      </c>
    </row>
    <row r="72" spans="11:12" x14ac:dyDescent="0.4">
      <c r="K72" s="36">
        <v>70</v>
      </c>
      <c r="L72" s="95">
        <v>-458</v>
      </c>
    </row>
    <row r="73" spans="11:12" x14ac:dyDescent="0.4">
      <c r="K73" s="36">
        <v>71</v>
      </c>
      <c r="L73" s="95">
        <v>-484.8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DD257-F656-4874-8E7B-7C94FDC884BA}">
  <sheetPr codeName="Sheet15"/>
  <dimension ref="A1:Q7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177</v>
      </c>
      <c r="C1" s="153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4">
        <v>76</v>
      </c>
      <c r="C2" s="155"/>
      <c r="E2" s="58" t="s">
        <v>66</v>
      </c>
      <c r="F2" s="55" t="s">
        <v>22</v>
      </c>
      <c r="G2" s="43">
        <v>144</v>
      </c>
      <c r="H2" s="128">
        <f t="shared" ref="H2:H33" si="0">IF(B$17=0,0,G2/B$17)</f>
        <v>0.82758620689655171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1">IF(P2=0,0,Q2/P2)</f>
        <v>1264.4736842105262</v>
      </c>
      <c r="P2" s="114">
        <v>76</v>
      </c>
      <c r="Q2" s="98">
        <v>96100</v>
      </c>
    </row>
    <row r="3" spans="1:17" x14ac:dyDescent="0.4">
      <c r="A3" s="51" t="s">
        <v>8</v>
      </c>
      <c r="B3" s="156">
        <v>612</v>
      </c>
      <c r="C3" s="157"/>
      <c r="E3" s="59" t="s">
        <v>72</v>
      </c>
      <c r="F3" s="56" t="s">
        <v>27</v>
      </c>
      <c r="G3" s="44">
        <v>98</v>
      </c>
      <c r="H3" s="129">
        <f t="shared" si="0"/>
        <v>0.56321839080459768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1"/>
        <v>-2967.5675675675675</v>
      </c>
      <c r="P3" s="115">
        <v>74</v>
      </c>
      <c r="Q3" s="99">
        <v>-219600</v>
      </c>
    </row>
    <row r="4" spans="1:17" x14ac:dyDescent="0.4">
      <c r="A4" s="51" t="s">
        <v>6</v>
      </c>
      <c r="B4" s="158">
        <v>325.7000000000001</v>
      </c>
      <c r="C4" s="159"/>
      <c r="E4" s="59" t="s">
        <v>64</v>
      </c>
      <c r="F4" s="56" t="s">
        <v>20</v>
      </c>
      <c r="G4" s="44">
        <v>93</v>
      </c>
      <c r="H4" s="129">
        <f t="shared" si="0"/>
        <v>0.53448275862068961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1"/>
        <v>639.70588235294122</v>
      </c>
      <c r="P4" s="115">
        <v>68</v>
      </c>
      <c r="Q4" s="99">
        <v>43500</v>
      </c>
    </row>
    <row r="5" spans="1:17" x14ac:dyDescent="0.4">
      <c r="A5" s="51" t="s">
        <v>7</v>
      </c>
      <c r="B5" s="160">
        <f>IF(B$2=0,0,B$4/B$2)</f>
        <v>4.2855263157894754</v>
      </c>
      <c r="C5" s="161"/>
      <c r="E5" s="59" t="s">
        <v>67</v>
      </c>
      <c r="F5" s="56" t="s">
        <v>23</v>
      </c>
      <c r="G5" s="44">
        <v>72</v>
      </c>
      <c r="H5" s="129">
        <f t="shared" si="0"/>
        <v>0.41379310344827586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1"/>
        <v>3420.3125</v>
      </c>
      <c r="P5" s="115">
        <v>64</v>
      </c>
      <c r="Q5" s="99">
        <v>218900</v>
      </c>
    </row>
    <row r="6" spans="1:17" x14ac:dyDescent="0.4">
      <c r="A6" s="51" t="s">
        <v>1</v>
      </c>
      <c r="B6" s="150">
        <f>IF(B$2=0,0,(B$7*1+B$8*2+B$9*3)/B$2)</f>
        <v>1.9210526315789473</v>
      </c>
      <c r="C6" s="151"/>
      <c r="E6" s="59" t="s">
        <v>171</v>
      </c>
      <c r="F6" s="56" t="s">
        <v>172</v>
      </c>
      <c r="G6" s="44">
        <v>66</v>
      </c>
      <c r="H6" s="129">
        <f t="shared" si="0"/>
        <v>0.37931034482758619</v>
      </c>
      <c r="I6" s="90">
        <v>7</v>
      </c>
      <c r="K6" s="36">
        <v>4</v>
      </c>
      <c r="L6" s="95">
        <v>-74.599999999999994</v>
      </c>
      <c r="N6" s="111" t="s">
        <v>134</v>
      </c>
      <c r="O6" s="118">
        <f t="shared" si="1"/>
        <v>825.86206896551721</v>
      </c>
      <c r="P6" s="115">
        <v>58</v>
      </c>
      <c r="Q6" s="99">
        <v>47900</v>
      </c>
    </row>
    <row r="7" spans="1:17" x14ac:dyDescent="0.4">
      <c r="A7" s="51" t="s">
        <v>2</v>
      </c>
      <c r="B7" s="44">
        <v>30</v>
      </c>
      <c r="C7" s="37">
        <f t="shared" ref="C7:C12" si="2">IF(B$2=0,0,B7/B$2)</f>
        <v>0.39473684210526316</v>
      </c>
      <c r="E7" s="59" t="s">
        <v>68</v>
      </c>
      <c r="F7" s="56" t="s">
        <v>12</v>
      </c>
      <c r="G7" s="44">
        <v>64</v>
      </c>
      <c r="H7" s="129">
        <f t="shared" si="0"/>
        <v>0.36781609195402298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1"/>
        <v>153.33333333333334</v>
      </c>
      <c r="P7" s="116">
        <v>45</v>
      </c>
      <c r="Q7" s="100">
        <v>6900</v>
      </c>
    </row>
    <row r="8" spans="1:17" x14ac:dyDescent="0.4">
      <c r="A8" s="51" t="s">
        <v>3</v>
      </c>
      <c r="B8" s="44">
        <v>22</v>
      </c>
      <c r="C8" s="37">
        <f t="shared" si="2"/>
        <v>0.28947368421052633</v>
      </c>
      <c r="E8" s="59" t="s">
        <v>89</v>
      </c>
      <c r="F8" s="56" t="s">
        <v>44</v>
      </c>
      <c r="G8" s="44">
        <v>40</v>
      </c>
      <c r="H8" s="129">
        <f t="shared" si="0"/>
        <v>0.22988505747126436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2"/>
        <v>0.31578947368421051</v>
      </c>
      <c r="E9" s="59" t="s">
        <v>69</v>
      </c>
      <c r="F9" s="56" t="s">
        <v>24</v>
      </c>
      <c r="G9" s="44">
        <v>35</v>
      </c>
      <c r="H9" s="129">
        <f t="shared" si="0"/>
        <v>0.20114942528735633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2"/>
        <v>0.10526315789473684</v>
      </c>
      <c r="E10" s="59" t="s">
        <v>65</v>
      </c>
      <c r="F10" s="56" t="s">
        <v>21</v>
      </c>
      <c r="G10" s="44">
        <v>25</v>
      </c>
      <c r="H10" s="129">
        <f t="shared" si="0"/>
        <v>0.14367816091954022</v>
      </c>
      <c r="I10" s="90">
        <v>3</v>
      </c>
      <c r="K10" s="36">
        <v>8</v>
      </c>
      <c r="L10" s="95">
        <v>-110.19999999999999</v>
      </c>
      <c r="N10" s="110" t="s">
        <v>162</v>
      </c>
      <c r="O10" s="120">
        <f>IF(P10=0,0,Q10/P10)</f>
        <v>2.3304347826086955</v>
      </c>
      <c r="P10" s="114">
        <v>23</v>
      </c>
      <c r="Q10" s="102">
        <v>53.6</v>
      </c>
    </row>
    <row r="11" spans="1:17" x14ac:dyDescent="0.4">
      <c r="A11" s="52" t="s">
        <v>138</v>
      </c>
      <c r="B11" s="45">
        <v>14</v>
      </c>
      <c r="C11" s="38">
        <f t="shared" si="2"/>
        <v>0.18421052631578946</v>
      </c>
      <c r="E11" s="59" t="s">
        <v>70</v>
      </c>
      <c r="F11" s="56" t="s">
        <v>25</v>
      </c>
      <c r="G11" s="44">
        <v>20</v>
      </c>
      <c r="H11" s="129">
        <f t="shared" si="0"/>
        <v>0.11494252873563218</v>
      </c>
      <c r="I11" s="90">
        <v>5</v>
      </c>
      <c r="K11" s="36">
        <v>9</v>
      </c>
      <c r="L11" s="95">
        <v>-120.99999999999999</v>
      </c>
      <c r="N11" s="111" t="s">
        <v>163</v>
      </c>
      <c r="O11" s="121">
        <f>IF(P11=0,0,Q11/P11)</f>
        <v>6.3617647058823517</v>
      </c>
      <c r="P11" s="115">
        <v>34</v>
      </c>
      <c r="Q11" s="103">
        <v>216.29999999999995</v>
      </c>
    </row>
    <row r="12" spans="1:17" x14ac:dyDescent="0.4">
      <c r="A12" s="53" t="s">
        <v>158</v>
      </c>
      <c r="B12" s="46">
        <v>8</v>
      </c>
      <c r="C12" s="40">
        <f t="shared" si="2"/>
        <v>0.10526315789473684</v>
      </c>
      <c r="E12" s="59" t="s">
        <v>167</v>
      </c>
      <c r="F12" s="56" t="s">
        <v>168</v>
      </c>
      <c r="G12" s="44">
        <v>13</v>
      </c>
      <c r="H12" s="129">
        <f t="shared" si="0"/>
        <v>7.4712643678160925E-2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2.9368421052631586</v>
      </c>
      <c r="P12" s="116">
        <v>19</v>
      </c>
      <c r="Q12" s="104">
        <v>55.800000000000011</v>
      </c>
    </row>
    <row r="13" spans="1:17" x14ac:dyDescent="0.4">
      <c r="A13" s="54" t="s">
        <v>121</v>
      </c>
      <c r="B13" s="47">
        <v>193</v>
      </c>
      <c r="C13" s="42">
        <f>IF(B$3=0,0,B13/B$3)</f>
        <v>0.315359477124183</v>
      </c>
      <c r="E13" s="59" t="s">
        <v>71</v>
      </c>
      <c r="F13" s="56" t="s">
        <v>26</v>
      </c>
      <c r="G13" s="44">
        <v>9</v>
      </c>
      <c r="H13" s="129">
        <f t="shared" si="0"/>
        <v>5.1724137931034482E-2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109</v>
      </c>
      <c r="C14" s="37">
        <f>IF(B$3=0,0,B14/B$3)</f>
        <v>0.1781045751633987</v>
      </c>
      <c r="E14" s="59" t="s">
        <v>83</v>
      </c>
      <c r="F14" s="56" t="s">
        <v>38</v>
      </c>
      <c r="G14" s="44">
        <v>7</v>
      </c>
      <c r="H14" s="129">
        <f t="shared" si="0"/>
        <v>4.0229885057471264E-2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106</v>
      </c>
      <c r="C15" s="35">
        <f>IF(B$13=0,0,B15/B$13)</f>
        <v>0.54922279792746109</v>
      </c>
      <c r="E15" s="59" t="s">
        <v>86</v>
      </c>
      <c r="F15" s="56" t="s">
        <v>41</v>
      </c>
      <c r="G15" s="44">
        <v>5</v>
      </c>
      <c r="H15" s="129">
        <f t="shared" si="0"/>
        <v>2.8735632183908046E-2</v>
      </c>
      <c r="I15" s="90">
        <v>9</v>
      </c>
      <c r="K15" s="36">
        <v>13</v>
      </c>
      <c r="L15" s="95">
        <v>-132.39999999999998</v>
      </c>
      <c r="N15" s="110" t="s">
        <v>195</v>
      </c>
      <c r="O15" s="120">
        <f t="shared" ref="O15:O22" si="3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46</v>
      </c>
      <c r="C16" s="35">
        <f>IF(B$14=0,0,B16/B$14)</f>
        <v>0.42201834862385323</v>
      </c>
      <c r="E16" s="59" t="s">
        <v>81</v>
      </c>
      <c r="F16" s="56" t="s">
        <v>36</v>
      </c>
      <c r="G16" s="44">
        <v>4</v>
      </c>
      <c r="H16" s="129">
        <f t="shared" si="0"/>
        <v>2.2988505747126436E-2</v>
      </c>
      <c r="I16" s="90">
        <v>4</v>
      </c>
      <c r="K16" s="36">
        <v>14</v>
      </c>
      <c r="L16" s="95">
        <v>-86.499999999999972</v>
      </c>
      <c r="N16" s="111" t="s">
        <v>166</v>
      </c>
      <c r="O16" s="121">
        <f t="shared" si="3"/>
        <v>38.991666666666667</v>
      </c>
      <c r="P16" s="115">
        <v>12</v>
      </c>
      <c r="Q16" s="103">
        <v>467.9</v>
      </c>
    </row>
    <row r="17" spans="1:17" x14ac:dyDescent="0.4">
      <c r="A17" s="50" t="s">
        <v>10</v>
      </c>
      <c r="B17" s="43">
        <f>B19+B18</f>
        <v>174</v>
      </c>
      <c r="C17" s="35">
        <f>IF(B$3=0,0,B17/B$3)</f>
        <v>0.28431372549019607</v>
      </c>
      <c r="E17" s="59" t="s">
        <v>92</v>
      </c>
      <c r="F17" s="56" t="s">
        <v>47</v>
      </c>
      <c r="G17" s="44">
        <v>4</v>
      </c>
      <c r="H17" s="129">
        <f t="shared" si="0"/>
        <v>2.2988505747126436E-2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 t="shared" si="3"/>
        <v>17.12777777777778</v>
      </c>
      <c r="P17" s="115">
        <v>18</v>
      </c>
      <c r="Q17" s="103">
        <v>308.3</v>
      </c>
    </row>
    <row r="18" spans="1:17" x14ac:dyDescent="0.4">
      <c r="A18" s="51" t="s">
        <v>12</v>
      </c>
      <c r="B18" s="44">
        <v>84</v>
      </c>
      <c r="C18" s="37">
        <f>IF(B$17=0,0,B18/B$17)</f>
        <v>0.48275862068965519</v>
      </c>
      <c r="E18" s="59" t="s">
        <v>91</v>
      </c>
      <c r="F18" s="56" t="s">
        <v>46</v>
      </c>
      <c r="G18" s="44">
        <v>3</v>
      </c>
      <c r="H18" s="129">
        <f t="shared" si="0"/>
        <v>1.7241379310344827E-2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 t="shared" si="3"/>
        <v>10.6025641025641</v>
      </c>
      <c r="P18" s="115">
        <v>39</v>
      </c>
      <c r="Q18" s="103">
        <v>413.49999999999994</v>
      </c>
    </row>
    <row r="19" spans="1:17" x14ac:dyDescent="0.4">
      <c r="A19" s="51" t="s">
        <v>11</v>
      </c>
      <c r="B19" s="44">
        <v>90</v>
      </c>
      <c r="C19" s="37">
        <f>IF(B$17=0,0,B19/B$17)</f>
        <v>0.51724137931034486</v>
      </c>
      <c r="E19" s="59" t="s">
        <v>73</v>
      </c>
      <c r="F19" s="56" t="s">
        <v>28</v>
      </c>
      <c r="G19" s="44">
        <v>1</v>
      </c>
      <c r="H19" s="129">
        <f t="shared" si="0"/>
        <v>5.7471264367816091E-3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 t="shared" si="3"/>
        <v>6.1749999999999972</v>
      </c>
      <c r="P19" s="115">
        <v>28</v>
      </c>
      <c r="Q19" s="103">
        <v>172.89999999999992</v>
      </c>
    </row>
    <row r="20" spans="1:17" x14ac:dyDescent="0.4">
      <c r="A20" s="51" t="s">
        <v>13</v>
      </c>
      <c r="B20" s="44">
        <v>104</v>
      </c>
      <c r="C20" s="37">
        <f>IF(B$3=0,0,B20/B$3)</f>
        <v>0.16993464052287582</v>
      </c>
      <c r="E20" s="59" t="s">
        <v>75</v>
      </c>
      <c r="F20" s="56" t="s">
        <v>30</v>
      </c>
      <c r="G20" s="44">
        <v>1</v>
      </c>
      <c r="H20" s="129">
        <f t="shared" si="0"/>
        <v>5.7471264367816091E-3</v>
      </c>
      <c r="I20" s="90">
        <v>6</v>
      </c>
      <c r="K20" s="36">
        <v>18</v>
      </c>
      <c r="L20" s="95">
        <v>-24.999999999999968</v>
      </c>
      <c r="N20" s="111" t="s">
        <v>179</v>
      </c>
      <c r="O20" s="121">
        <f t="shared" si="3"/>
        <v>-3.6714285714285717</v>
      </c>
      <c r="P20" s="115">
        <v>14</v>
      </c>
      <c r="Q20" s="103">
        <v>-51.400000000000006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78</v>
      </c>
      <c r="F21" s="56" t="s">
        <v>33</v>
      </c>
      <c r="G21" s="44">
        <v>1</v>
      </c>
      <c r="H21" s="129">
        <f t="shared" si="0"/>
        <v>5.7471264367816091E-3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 t="shared" si="3"/>
        <v>-8.0312500000000018</v>
      </c>
      <c r="P21" s="115">
        <v>32</v>
      </c>
      <c r="Q21" s="103">
        <v>-257.00000000000006</v>
      </c>
    </row>
    <row r="22" spans="1:17" x14ac:dyDescent="0.4">
      <c r="A22" s="51" t="s">
        <v>170</v>
      </c>
      <c r="B22" s="44">
        <v>25</v>
      </c>
      <c r="C22" s="131">
        <v>0</v>
      </c>
      <c r="E22" s="59" t="s">
        <v>79</v>
      </c>
      <c r="F22" s="56" t="s">
        <v>34</v>
      </c>
      <c r="G22" s="44">
        <v>1</v>
      </c>
      <c r="H22" s="129">
        <f t="shared" si="0"/>
        <v>5.7471264367816091E-3</v>
      </c>
      <c r="I22" s="90">
        <v>7</v>
      </c>
      <c r="K22" s="36">
        <v>20</v>
      </c>
      <c r="L22" s="95">
        <v>-50.39999999999997</v>
      </c>
      <c r="N22" s="111" t="s">
        <v>181</v>
      </c>
      <c r="O22" s="121">
        <f t="shared" si="3"/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10798.275862068966</v>
      </c>
      <c r="C23" s="39">
        <v>1878900</v>
      </c>
      <c r="E23" s="59" t="s">
        <v>85</v>
      </c>
      <c r="F23" s="56" t="s">
        <v>40</v>
      </c>
      <c r="G23" s="44">
        <v>1</v>
      </c>
      <c r="H23" s="129">
        <f t="shared" si="0"/>
        <v>5.7471264367816091E-3</v>
      </c>
      <c r="I23" s="90">
        <v>2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11707.8125</v>
      </c>
      <c r="C24" s="137">
        <v>1498600</v>
      </c>
      <c r="E24" s="59" t="s">
        <v>90</v>
      </c>
      <c r="F24" s="56" t="s">
        <v>45</v>
      </c>
      <c r="G24" s="44">
        <v>1</v>
      </c>
      <c r="H24" s="129">
        <f t="shared" si="0"/>
        <v>5.7471264367816091E-3</v>
      </c>
      <c r="I24" s="90">
        <v>1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8267.391304347826</v>
      </c>
      <c r="C25" s="137">
        <v>380300</v>
      </c>
      <c r="E25" s="59" t="s">
        <v>93</v>
      </c>
      <c r="F25" s="56" t="s">
        <v>48</v>
      </c>
      <c r="G25" s="44">
        <v>1</v>
      </c>
      <c r="H25" s="129">
        <f t="shared" si="0"/>
        <v>5.7471264367816091E-3</v>
      </c>
      <c r="I25" s="90">
        <v>2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-8158.6538461538457</v>
      </c>
      <c r="C26" s="137">
        <v>-848500</v>
      </c>
      <c r="E26" s="59" t="s">
        <v>97</v>
      </c>
      <c r="F26" s="56" t="s">
        <v>52</v>
      </c>
      <c r="G26" s="44">
        <v>1</v>
      </c>
      <c r="H26" s="129">
        <f t="shared" si="0"/>
        <v>5.7471264367816091E-3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8">
        <v>8</v>
      </c>
      <c r="C27" s="149"/>
      <c r="E27" s="59" t="s">
        <v>74</v>
      </c>
      <c r="F27" s="56" t="s">
        <v>29</v>
      </c>
      <c r="G27" s="44">
        <v>0</v>
      </c>
      <c r="H27" s="129">
        <f t="shared" si="0"/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6">
        <v>122100</v>
      </c>
      <c r="C28" s="147"/>
      <c r="E28" s="59" t="s">
        <v>76</v>
      </c>
      <c r="F28" s="56" t="s">
        <v>31</v>
      </c>
      <c r="G28" s="44">
        <v>0</v>
      </c>
      <c r="H28" s="129">
        <f t="shared" si="0"/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77</v>
      </c>
      <c r="F29" s="56" t="s">
        <v>32</v>
      </c>
      <c r="G29" s="44">
        <v>0</v>
      </c>
      <c r="H29" s="129">
        <f t="shared" si="0"/>
        <v>0</v>
      </c>
      <c r="I29" s="90">
        <v>5</v>
      </c>
      <c r="K29" s="36">
        <v>27</v>
      </c>
      <c r="L29" s="95">
        <v>-31.499999999999972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 t="shared" si="0"/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A31" s="86" t="s">
        <v>257</v>
      </c>
      <c r="B31" s="142">
        <v>4</v>
      </c>
      <c r="C31" s="145">
        <f>IF(B$17=0,0,B31/B$17)</f>
        <v>2.2988505747126436E-2</v>
      </c>
      <c r="E31" s="59" t="s">
        <v>82</v>
      </c>
      <c r="F31" s="56" t="s">
        <v>37</v>
      </c>
      <c r="G31" s="44">
        <v>0</v>
      </c>
      <c r="H31" s="129">
        <f t="shared" si="0"/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A32" s="51" t="s">
        <v>253</v>
      </c>
      <c r="B32" s="44">
        <v>16</v>
      </c>
      <c r="C32" s="37">
        <f t="shared" ref="C32:C43" si="4">IF(B$17=0,0,B32/B$17)</f>
        <v>9.1954022988505746E-2</v>
      </c>
      <c r="E32" s="59" t="s">
        <v>84</v>
      </c>
      <c r="F32" s="56" t="s">
        <v>39</v>
      </c>
      <c r="G32" s="44">
        <v>0</v>
      </c>
      <c r="H32" s="129">
        <f t="shared" si="0"/>
        <v>0</v>
      </c>
      <c r="I32" s="90">
        <v>4</v>
      </c>
      <c r="K32" s="36">
        <v>30</v>
      </c>
      <c r="L32" s="95">
        <v>30.900000000000027</v>
      </c>
    </row>
    <row r="33" spans="1:12" x14ac:dyDescent="0.4">
      <c r="A33" s="51" t="s">
        <v>254</v>
      </c>
      <c r="B33" s="143">
        <v>22</v>
      </c>
      <c r="C33" s="37">
        <f>IF(B$17=0,0,B33/B$17)</f>
        <v>0.12643678160919541</v>
      </c>
      <c r="E33" s="59" t="s">
        <v>87</v>
      </c>
      <c r="F33" s="56" t="s">
        <v>42</v>
      </c>
      <c r="G33" s="44">
        <v>0</v>
      </c>
      <c r="H33" s="129">
        <f t="shared" si="0"/>
        <v>0</v>
      </c>
      <c r="I33" s="90">
        <v>4</v>
      </c>
      <c r="K33" s="36">
        <v>31</v>
      </c>
      <c r="L33" s="95">
        <v>73.900000000000034</v>
      </c>
    </row>
    <row r="34" spans="1:12" x14ac:dyDescent="0.4">
      <c r="A34" s="51" t="s">
        <v>255</v>
      </c>
      <c r="B34" s="143">
        <v>34</v>
      </c>
      <c r="C34" s="37">
        <f t="shared" si="4"/>
        <v>0.19540229885057472</v>
      </c>
      <c r="E34" s="59" t="s">
        <v>88</v>
      </c>
      <c r="F34" s="56" t="s">
        <v>43</v>
      </c>
      <c r="G34" s="44">
        <v>0</v>
      </c>
      <c r="H34" s="129">
        <f t="shared" ref="H34:H65" si="5">IF(B$17=0,0,G34/B$17)</f>
        <v>0</v>
      </c>
      <c r="I34" s="90">
        <v>5</v>
      </c>
      <c r="K34" s="36">
        <v>32</v>
      </c>
      <c r="L34" s="95">
        <v>96.100000000000037</v>
      </c>
    </row>
    <row r="35" spans="1:12" x14ac:dyDescent="0.4">
      <c r="A35" s="51" t="s">
        <v>256</v>
      </c>
      <c r="B35" s="143">
        <v>45</v>
      </c>
      <c r="C35" s="37">
        <f t="shared" si="4"/>
        <v>0.25862068965517243</v>
      </c>
      <c r="E35" s="59" t="s">
        <v>94</v>
      </c>
      <c r="F35" s="56" t="s">
        <v>49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112.00000000000004</v>
      </c>
    </row>
    <row r="36" spans="1:12" x14ac:dyDescent="0.4">
      <c r="A36" s="51" t="s">
        <v>258</v>
      </c>
      <c r="B36" s="143">
        <v>16</v>
      </c>
      <c r="C36" s="37">
        <f t="shared" si="4"/>
        <v>9.1954022988505746E-2</v>
      </c>
      <c r="E36" s="59" t="s">
        <v>95</v>
      </c>
      <c r="F36" s="56" t="s">
        <v>50</v>
      </c>
      <c r="G36" s="44">
        <v>0</v>
      </c>
      <c r="H36" s="129">
        <f t="shared" si="5"/>
        <v>0</v>
      </c>
      <c r="I36" s="90">
        <v>5</v>
      </c>
      <c r="K36" s="36">
        <v>34</v>
      </c>
      <c r="L36" s="95">
        <v>110.00000000000004</v>
      </c>
    </row>
    <row r="37" spans="1:12" x14ac:dyDescent="0.4">
      <c r="A37" s="51" t="s">
        <v>259</v>
      </c>
      <c r="B37" s="143">
        <v>15</v>
      </c>
      <c r="C37" s="37">
        <f t="shared" si="4"/>
        <v>8.6206896551724144E-2</v>
      </c>
      <c r="E37" s="59" t="s">
        <v>96</v>
      </c>
      <c r="F37" s="56" t="s">
        <v>51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140.50000000000006</v>
      </c>
    </row>
    <row r="38" spans="1:12" x14ac:dyDescent="0.4">
      <c r="A38" s="51" t="s">
        <v>260</v>
      </c>
      <c r="B38" s="143">
        <v>9</v>
      </c>
      <c r="C38" s="37">
        <f t="shared" si="4"/>
        <v>5.1724137931034482E-2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105.40000000000006</v>
      </c>
    </row>
    <row r="39" spans="1:12" x14ac:dyDescent="0.4">
      <c r="A39" s="51" t="s">
        <v>261</v>
      </c>
      <c r="B39" s="143">
        <v>3</v>
      </c>
      <c r="C39" s="37">
        <f t="shared" si="4"/>
        <v>1.7241379310344827E-2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146.30000000000007</v>
      </c>
    </row>
    <row r="40" spans="1:12" x14ac:dyDescent="0.4">
      <c r="A40" s="51" t="s">
        <v>262</v>
      </c>
      <c r="B40" s="143">
        <v>2</v>
      </c>
      <c r="C40" s="37">
        <f t="shared" si="4"/>
        <v>1.1494252873563218E-2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129.30000000000007</v>
      </c>
    </row>
    <row r="41" spans="1:12" x14ac:dyDescent="0.4">
      <c r="A41" s="51" t="s">
        <v>263</v>
      </c>
      <c r="B41" s="143">
        <v>1</v>
      </c>
      <c r="C41" s="37">
        <f t="shared" si="4"/>
        <v>5.7471264367816091E-3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  <c r="K41" s="36">
        <v>39</v>
      </c>
      <c r="L41" s="95">
        <v>101.20000000000007</v>
      </c>
    </row>
    <row r="42" spans="1:12" x14ac:dyDescent="0.4">
      <c r="A42" s="51" t="s">
        <v>264</v>
      </c>
      <c r="B42" s="143">
        <v>1</v>
      </c>
      <c r="C42" s="37">
        <f t="shared" si="4"/>
        <v>5.7471264367816091E-3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71.200000000000074</v>
      </c>
    </row>
    <row r="43" spans="1:12" x14ac:dyDescent="0.4">
      <c r="A43" s="53" t="s">
        <v>265</v>
      </c>
      <c r="B43" s="144">
        <v>6</v>
      </c>
      <c r="C43" s="40">
        <f t="shared" si="4"/>
        <v>3.4482758620689655E-2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67.900000000000077</v>
      </c>
    </row>
    <row r="44" spans="1:12" x14ac:dyDescent="0.4"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109.90000000000008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78.300000000000068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107.10000000000007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85.800000000000068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2EAA9-7470-4F8E-AFD4-920ABD2E7727}">
  <sheetPr codeName="Sheet17"/>
  <dimension ref="A1:Q10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178</v>
      </c>
      <c r="C1" s="153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4">
        <v>100</v>
      </c>
      <c r="C2" s="155"/>
      <c r="E2" s="58" t="s">
        <v>66</v>
      </c>
      <c r="F2" s="55" t="s">
        <v>22</v>
      </c>
      <c r="G2" s="43">
        <v>172</v>
      </c>
      <c r="H2" s="128">
        <f t="shared" ref="H2:H33" si="0">IF(B$17=0,0,G2/B$17)</f>
        <v>0.74782608695652175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1">IF(P2=0,0,Q2/P2)</f>
        <v>746</v>
      </c>
      <c r="P2" s="114">
        <v>100</v>
      </c>
      <c r="Q2" s="98">
        <v>74600</v>
      </c>
    </row>
    <row r="3" spans="1:17" x14ac:dyDescent="0.4">
      <c r="A3" s="51" t="s">
        <v>8</v>
      </c>
      <c r="B3" s="156">
        <v>801</v>
      </c>
      <c r="C3" s="157"/>
      <c r="E3" s="59" t="s">
        <v>72</v>
      </c>
      <c r="F3" s="56" t="s">
        <v>27</v>
      </c>
      <c r="G3" s="44">
        <v>129</v>
      </c>
      <c r="H3" s="129">
        <f t="shared" si="0"/>
        <v>0.56086956521739129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1"/>
        <v>863.91752577319585</v>
      </c>
      <c r="P3" s="115">
        <v>97</v>
      </c>
      <c r="Q3" s="99">
        <v>83800</v>
      </c>
    </row>
    <row r="4" spans="1:17" x14ac:dyDescent="0.4">
      <c r="A4" s="51" t="s">
        <v>6</v>
      </c>
      <c r="B4" s="158">
        <v>-25.600000000000009</v>
      </c>
      <c r="C4" s="159"/>
      <c r="E4" s="59" t="s">
        <v>64</v>
      </c>
      <c r="F4" s="56" t="s">
        <v>20</v>
      </c>
      <c r="G4" s="44">
        <v>115</v>
      </c>
      <c r="H4" s="129">
        <f t="shared" si="0"/>
        <v>0.5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1"/>
        <v>-596.7032967032967</v>
      </c>
      <c r="P4" s="115">
        <v>91</v>
      </c>
      <c r="Q4" s="99">
        <v>-54300</v>
      </c>
    </row>
    <row r="5" spans="1:17" x14ac:dyDescent="0.4">
      <c r="A5" s="51" t="s">
        <v>7</v>
      </c>
      <c r="B5" s="160">
        <f>IF(B$2=0,0,B$4/B$2)</f>
        <v>-0.25600000000000006</v>
      </c>
      <c r="C5" s="161"/>
      <c r="E5" s="59" t="s">
        <v>171</v>
      </c>
      <c r="F5" s="56" t="s">
        <v>172</v>
      </c>
      <c r="G5" s="44">
        <v>107</v>
      </c>
      <c r="H5" s="129">
        <f t="shared" si="0"/>
        <v>0.4652173913043478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1"/>
        <v>13.253012048192771</v>
      </c>
      <c r="P5" s="115">
        <v>83</v>
      </c>
      <c r="Q5" s="99">
        <v>1100</v>
      </c>
    </row>
    <row r="6" spans="1:17" x14ac:dyDescent="0.4">
      <c r="A6" s="51" t="s">
        <v>1</v>
      </c>
      <c r="B6" s="150">
        <f>IF(B$2=0,0,(B$7*1+B$8*2+B$9*3)/B$2)</f>
        <v>2.04</v>
      </c>
      <c r="C6" s="151"/>
      <c r="E6" s="59" t="s">
        <v>67</v>
      </c>
      <c r="F6" s="56" t="s">
        <v>23</v>
      </c>
      <c r="G6" s="44">
        <v>90</v>
      </c>
      <c r="H6" s="129">
        <f t="shared" si="0"/>
        <v>0.39130434782608697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1"/>
        <v>-977.02702702702697</v>
      </c>
      <c r="P6" s="115">
        <v>74</v>
      </c>
      <c r="Q6" s="99">
        <v>-72300</v>
      </c>
    </row>
    <row r="7" spans="1:17" x14ac:dyDescent="0.4">
      <c r="A7" s="51" t="s">
        <v>2</v>
      </c>
      <c r="B7" s="44">
        <v>24</v>
      </c>
      <c r="C7" s="37">
        <f t="shared" ref="C7:C12" si="2">IF(B$2=0,0,B7/B$2)</f>
        <v>0.24</v>
      </c>
      <c r="E7" s="59" t="s">
        <v>68</v>
      </c>
      <c r="F7" s="56" t="s">
        <v>12</v>
      </c>
      <c r="G7" s="44">
        <v>76</v>
      </c>
      <c r="H7" s="129">
        <f t="shared" si="0"/>
        <v>0.33043478260869563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1"/>
        <v>-763.49206349206349</v>
      </c>
      <c r="P7" s="116">
        <v>63</v>
      </c>
      <c r="Q7" s="100">
        <v>-48100</v>
      </c>
    </row>
    <row r="8" spans="1:17" x14ac:dyDescent="0.4">
      <c r="A8" s="51" t="s">
        <v>3</v>
      </c>
      <c r="B8" s="44">
        <v>48</v>
      </c>
      <c r="C8" s="37">
        <f t="shared" si="2"/>
        <v>0.48</v>
      </c>
      <c r="E8" s="59" t="s">
        <v>69</v>
      </c>
      <c r="F8" s="56" t="s">
        <v>24</v>
      </c>
      <c r="G8" s="44">
        <v>32</v>
      </c>
      <c r="H8" s="129">
        <f t="shared" si="0"/>
        <v>0.1391304347826087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2"/>
        <v>0.28000000000000003</v>
      </c>
      <c r="E9" s="59" t="s">
        <v>89</v>
      </c>
      <c r="F9" s="56" t="s">
        <v>44</v>
      </c>
      <c r="G9" s="44">
        <v>23</v>
      </c>
      <c r="H9" s="129">
        <f t="shared" si="0"/>
        <v>0.1</v>
      </c>
      <c r="I9" s="90">
        <v>9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2"/>
        <v>0.08</v>
      </c>
      <c r="E10" s="59" t="s">
        <v>71</v>
      </c>
      <c r="F10" s="56" t="s">
        <v>26</v>
      </c>
      <c r="G10" s="44">
        <v>22</v>
      </c>
      <c r="H10" s="129">
        <f t="shared" si="0"/>
        <v>9.5652173913043481E-2</v>
      </c>
      <c r="I10" s="90">
        <v>5</v>
      </c>
      <c r="K10" s="36">
        <v>8</v>
      </c>
      <c r="L10" s="95">
        <v>-46.7</v>
      </c>
      <c r="N10" s="110" t="s">
        <v>162</v>
      </c>
      <c r="O10" s="120">
        <f>IF(P10=0,0,Q10/P10)</f>
        <v>-0.1857142857142858</v>
      </c>
      <c r="P10" s="114">
        <v>42</v>
      </c>
      <c r="Q10" s="102">
        <v>-7.8000000000000043</v>
      </c>
    </row>
    <row r="11" spans="1:17" x14ac:dyDescent="0.4">
      <c r="A11" s="52" t="s">
        <v>138</v>
      </c>
      <c r="B11" s="45">
        <v>9</v>
      </c>
      <c r="C11" s="38">
        <f t="shared" si="2"/>
        <v>0.09</v>
      </c>
      <c r="E11" s="59" t="s">
        <v>70</v>
      </c>
      <c r="F11" s="56" t="s">
        <v>25</v>
      </c>
      <c r="G11" s="44">
        <v>18</v>
      </c>
      <c r="H11" s="129">
        <f t="shared" si="0"/>
        <v>7.8260869565217397E-2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2.2903225806451619</v>
      </c>
      <c r="P11" s="115">
        <v>31</v>
      </c>
      <c r="Q11" s="103">
        <v>71.000000000000014</v>
      </c>
    </row>
    <row r="12" spans="1:17" x14ac:dyDescent="0.4">
      <c r="A12" s="53" t="s">
        <v>158</v>
      </c>
      <c r="B12" s="46">
        <v>5</v>
      </c>
      <c r="C12" s="40">
        <f t="shared" si="2"/>
        <v>0.05</v>
      </c>
      <c r="E12" s="59" t="s">
        <v>65</v>
      </c>
      <c r="F12" s="56" t="s">
        <v>21</v>
      </c>
      <c r="G12" s="44">
        <v>17</v>
      </c>
      <c r="H12" s="129">
        <f t="shared" si="0"/>
        <v>7.3913043478260873E-2</v>
      </c>
      <c r="I12" s="90">
        <v>9</v>
      </c>
      <c r="K12" s="36">
        <v>10</v>
      </c>
      <c r="L12" s="95">
        <v>-146.69999999999999</v>
      </c>
      <c r="N12" s="112" t="s">
        <v>164</v>
      </c>
      <c r="O12" s="122">
        <f>IF(P12=0,0,Q12/P12)</f>
        <v>-3.2888888888888892</v>
      </c>
      <c r="P12" s="116">
        <v>27</v>
      </c>
      <c r="Q12" s="104">
        <v>-88.800000000000011</v>
      </c>
    </row>
    <row r="13" spans="1:17" x14ac:dyDescent="0.4">
      <c r="A13" s="54" t="s">
        <v>121</v>
      </c>
      <c r="B13" s="47">
        <v>214</v>
      </c>
      <c r="C13" s="42">
        <f>IF(B$3=0,0,B13/B$3)</f>
        <v>0.26716604244694131</v>
      </c>
      <c r="E13" s="59" t="s">
        <v>86</v>
      </c>
      <c r="F13" s="56" t="s">
        <v>41</v>
      </c>
      <c r="G13" s="44">
        <v>13</v>
      </c>
      <c r="H13" s="129">
        <f t="shared" si="0"/>
        <v>5.6521739130434782E-2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177</v>
      </c>
      <c r="C14" s="37">
        <f>IF(B$3=0,0,B14/B$3)</f>
        <v>0.22097378277153559</v>
      </c>
      <c r="E14" s="59" t="s">
        <v>83</v>
      </c>
      <c r="F14" s="56" t="s">
        <v>38</v>
      </c>
      <c r="G14" s="44">
        <v>8</v>
      </c>
      <c r="H14" s="129">
        <f t="shared" si="0"/>
        <v>3.4782608695652174E-2</v>
      </c>
      <c r="I14" s="90">
        <v>10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122</v>
      </c>
      <c r="C15" s="35">
        <f>IF(B$13=0,0,B15/B$13)</f>
        <v>0.57009345794392519</v>
      </c>
      <c r="E15" s="59" t="s">
        <v>79</v>
      </c>
      <c r="F15" s="56" t="s">
        <v>34</v>
      </c>
      <c r="G15" s="44">
        <v>6</v>
      </c>
      <c r="H15" s="129">
        <f t="shared" si="0"/>
        <v>2.6086956521739129E-2</v>
      </c>
      <c r="I15" s="90">
        <v>2</v>
      </c>
      <c r="K15" s="36">
        <v>13</v>
      </c>
      <c r="L15" s="95">
        <v>-68.399999999999991</v>
      </c>
      <c r="N15" s="110" t="s">
        <v>195</v>
      </c>
      <c r="O15" s="120">
        <f t="shared" ref="O15:O23" si="3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75</v>
      </c>
      <c r="C16" s="35">
        <f>IF(B$14=0,0,B16/B$14)</f>
        <v>0.42372881355932202</v>
      </c>
      <c r="E16" s="59" t="s">
        <v>167</v>
      </c>
      <c r="F16" s="56" t="s">
        <v>168</v>
      </c>
      <c r="G16" s="44">
        <v>6</v>
      </c>
      <c r="H16" s="129">
        <f t="shared" si="0"/>
        <v>2.6086956521739129E-2</v>
      </c>
      <c r="I16" s="90">
        <v>3</v>
      </c>
      <c r="K16" s="36">
        <v>14</v>
      </c>
      <c r="L16" s="95">
        <v>-25.79999999999999</v>
      </c>
      <c r="N16" s="111" t="s">
        <v>222</v>
      </c>
      <c r="O16" s="121">
        <f t="shared" si="3"/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230</v>
      </c>
      <c r="C17" s="35">
        <f>IF(B$3=0,0,B17/B$3)</f>
        <v>0.28714107365792757</v>
      </c>
      <c r="E17" s="59" t="s">
        <v>73</v>
      </c>
      <c r="F17" s="56" t="s">
        <v>28</v>
      </c>
      <c r="G17" s="44">
        <v>4</v>
      </c>
      <c r="H17" s="129">
        <f t="shared" si="0"/>
        <v>1.7391304347826087E-2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 t="shared" si="3"/>
        <v>25.104347826086954</v>
      </c>
      <c r="P17" s="115">
        <v>23</v>
      </c>
      <c r="Q17" s="103">
        <v>577.4</v>
      </c>
    </row>
    <row r="18" spans="1:17" x14ac:dyDescent="0.4">
      <c r="A18" s="51" t="s">
        <v>12</v>
      </c>
      <c r="B18" s="44">
        <v>104</v>
      </c>
      <c r="C18" s="37">
        <f>IF(B$17=0,0,B18/B$17)</f>
        <v>0.45217391304347826</v>
      </c>
      <c r="E18" s="59" t="s">
        <v>78</v>
      </c>
      <c r="F18" s="56" t="s">
        <v>33</v>
      </c>
      <c r="G18" s="44">
        <v>3</v>
      </c>
      <c r="H18" s="129">
        <f t="shared" si="0"/>
        <v>1.3043478260869565E-2</v>
      </c>
      <c r="I18" s="90">
        <v>6</v>
      </c>
      <c r="K18" s="36">
        <v>16</v>
      </c>
      <c r="L18" s="95">
        <v>-35.599999999999987</v>
      </c>
      <c r="N18" s="111" t="s">
        <v>179</v>
      </c>
      <c r="O18" s="121">
        <f t="shared" si="3"/>
        <v>13.965000000000003</v>
      </c>
      <c r="P18" s="115">
        <v>20</v>
      </c>
      <c r="Q18" s="103">
        <v>279.30000000000007</v>
      </c>
    </row>
    <row r="19" spans="1:17" x14ac:dyDescent="0.4">
      <c r="A19" s="51" t="s">
        <v>11</v>
      </c>
      <c r="B19" s="44">
        <v>126</v>
      </c>
      <c r="C19" s="37">
        <f>IF(B$17=0,0,B19/B$17)</f>
        <v>0.54782608695652169</v>
      </c>
      <c r="E19" s="59" t="s">
        <v>81</v>
      </c>
      <c r="F19" s="56" t="s">
        <v>36</v>
      </c>
      <c r="G19" s="44">
        <v>3</v>
      </c>
      <c r="H19" s="129">
        <f t="shared" si="0"/>
        <v>1.3043478260869565E-2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 t="shared" si="3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110</v>
      </c>
      <c r="C20" s="37">
        <f>IF(B$3=0,0,B20/B$3)</f>
        <v>0.13732833957553059</v>
      </c>
      <c r="E20" s="59" t="s">
        <v>91</v>
      </c>
      <c r="F20" s="56" t="s">
        <v>46</v>
      </c>
      <c r="G20" s="44">
        <v>2</v>
      </c>
      <c r="H20" s="129">
        <f t="shared" si="0"/>
        <v>8.6956521739130436E-3</v>
      </c>
      <c r="I20" s="90">
        <v>6</v>
      </c>
      <c r="K20" s="36">
        <v>18</v>
      </c>
      <c r="L20" s="95">
        <v>-62.399999999999991</v>
      </c>
      <c r="N20" s="111" t="s">
        <v>166</v>
      </c>
      <c r="O20" s="121">
        <f t="shared" si="3"/>
        <v>1.6833333333333331</v>
      </c>
      <c r="P20" s="115">
        <v>18</v>
      </c>
      <c r="Q20" s="103">
        <v>30.299999999999997</v>
      </c>
    </row>
    <row r="21" spans="1:17" x14ac:dyDescent="0.4">
      <c r="A21" s="51" t="s">
        <v>169</v>
      </c>
      <c r="B21" s="44">
        <v>6</v>
      </c>
      <c r="C21" s="131">
        <v>0</v>
      </c>
      <c r="E21" s="59" t="s">
        <v>74</v>
      </c>
      <c r="F21" s="56" t="s">
        <v>29</v>
      </c>
      <c r="G21" s="44">
        <v>1</v>
      </c>
      <c r="H21" s="129">
        <f t="shared" si="0"/>
        <v>4.3478260869565218E-3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 t="shared" si="3"/>
        <v>0.33500000000000069</v>
      </c>
      <c r="P21" s="115">
        <v>40</v>
      </c>
      <c r="Q21" s="103">
        <v>13.400000000000027</v>
      </c>
    </row>
    <row r="22" spans="1:17" x14ac:dyDescent="0.4">
      <c r="A22" s="51" t="s">
        <v>170</v>
      </c>
      <c r="B22" s="44">
        <v>44</v>
      </c>
      <c r="C22" s="131">
        <v>3</v>
      </c>
      <c r="E22" s="59" t="s">
        <v>75</v>
      </c>
      <c r="F22" s="56" t="s">
        <v>30</v>
      </c>
      <c r="G22" s="44">
        <v>1</v>
      </c>
      <c r="H22" s="129">
        <f t="shared" si="0"/>
        <v>4.3478260869565218E-3</v>
      </c>
      <c r="I22" s="90">
        <v>8</v>
      </c>
      <c r="K22" s="36">
        <v>20</v>
      </c>
      <c r="L22" s="95">
        <v>-93.199999999999989</v>
      </c>
      <c r="N22" s="111" t="s">
        <v>177</v>
      </c>
      <c r="O22" s="121">
        <f t="shared" si="3"/>
        <v>-10.602564102564102</v>
      </c>
      <c r="P22" s="115">
        <v>39</v>
      </c>
      <c r="Q22" s="103">
        <v>-413.5</v>
      </c>
    </row>
    <row r="23" spans="1:17" x14ac:dyDescent="0.4">
      <c r="A23" s="51" t="s">
        <v>5</v>
      </c>
      <c r="B23" s="48">
        <f>IF(B$17=0,0,C23/B$17)</f>
        <v>8340.8695652173919</v>
      </c>
      <c r="C23" s="39">
        <v>1918400</v>
      </c>
      <c r="E23" s="59" t="s">
        <v>85</v>
      </c>
      <c r="F23" s="56" t="s">
        <v>40</v>
      </c>
      <c r="G23" s="44">
        <v>1</v>
      </c>
      <c r="H23" s="129">
        <f t="shared" si="0"/>
        <v>4.3478260869565218E-3</v>
      </c>
      <c r="I23" s="90">
        <v>4</v>
      </c>
      <c r="K23" s="36">
        <v>21</v>
      </c>
      <c r="L23" s="95">
        <v>-123.69999999999999</v>
      </c>
      <c r="N23" s="111" t="s">
        <v>126</v>
      </c>
      <c r="O23" s="121">
        <f t="shared" si="3"/>
        <v>-18.067346938775508</v>
      </c>
      <c r="P23" s="115">
        <v>49</v>
      </c>
      <c r="Q23" s="103">
        <v>-885.3</v>
      </c>
    </row>
    <row r="24" spans="1:17" x14ac:dyDescent="0.4">
      <c r="A24" s="52" t="s">
        <v>216</v>
      </c>
      <c r="B24" s="136">
        <f>IF($B$17-B$16=0,0,C24/($B$17-B$16))</f>
        <v>9310.322580645161</v>
      </c>
      <c r="C24" s="137">
        <v>1443100</v>
      </c>
      <c r="E24" s="59" t="s">
        <v>87</v>
      </c>
      <c r="F24" s="56" t="s">
        <v>42</v>
      </c>
      <c r="G24" s="44">
        <v>1</v>
      </c>
      <c r="H24" s="129">
        <f t="shared" si="0"/>
        <v>4.3478260869565218E-3</v>
      </c>
      <c r="I24" s="90">
        <v>2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6337.333333333333</v>
      </c>
      <c r="C25" s="137">
        <v>475300</v>
      </c>
      <c r="E25" s="59" t="s">
        <v>88</v>
      </c>
      <c r="F25" s="56" t="s">
        <v>43</v>
      </c>
      <c r="G25" s="44">
        <v>1</v>
      </c>
      <c r="H25" s="129">
        <f t="shared" si="0"/>
        <v>4.3478260869565218E-3</v>
      </c>
      <c r="I25" s="90">
        <v>3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-7714.545454545455</v>
      </c>
      <c r="C26" s="137">
        <v>-848600</v>
      </c>
      <c r="E26" s="59" t="s">
        <v>93</v>
      </c>
      <c r="F26" s="56" t="s">
        <v>48</v>
      </c>
      <c r="G26" s="44">
        <v>1</v>
      </c>
      <c r="H26" s="129">
        <f t="shared" si="0"/>
        <v>4.3478260869565218E-3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8">
        <v>8</v>
      </c>
      <c r="C27" s="149"/>
      <c r="E27" s="59" t="s">
        <v>101</v>
      </c>
      <c r="F27" s="56" t="s">
        <v>56</v>
      </c>
      <c r="G27" s="44">
        <v>1</v>
      </c>
      <c r="H27" s="129">
        <f t="shared" si="0"/>
        <v>4.3478260869565218E-3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6">
        <v>87000</v>
      </c>
      <c r="C28" s="147"/>
      <c r="E28" s="59" t="s">
        <v>76</v>
      </c>
      <c r="F28" s="56" t="s">
        <v>31</v>
      </c>
      <c r="G28" s="44">
        <v>0</v>
      </c>
      <c r="H28" s="129">
        <f t="shared" si="0"/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2.4968789013732834E-3</v>
      </c>
      <c r="E29" s="59" t="s">
        <v>77</v>
      </c>
      <c r="F29" s="56" t="s">
        <v>32</v>
      </c>
      <c r="G29" s="44">
        <v>0</v>
      </c>
      <c r="H29" s="129">
        <f t="shared" si="0"/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 t="shared" si="0"/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A31" s="86" t="s">
        <v>257</v>
      </c>
      <c r="B31" s="142">
        <v>13</v>
      </c>
      <c r="C31" s="145">
        <f>IF(B$17=0,0,B31/B$17)</f>
        <v>5.6521739130434782E-2</v>
      </c>
      <c r="E31" s="59" t="s">
        <v>82</v>
      </c>
      <c r="F31" s="56" t="s">
        <v>37</v>
      </c>
      <c r="G31" s="44">
        <v>0</v>
      </c>
      <c r="H31" s="129">
        <f t="shared" si="0"/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A32" s="51" t="s">
        <v>253</v>
      </c>
      <c r="B32" s="44">
        <v>43</v>
      </c>
      <c r="C32" s="37">
        <f t="shared" ref="C32:C43" si="4">IF(B$17=0,0,B32/B$17)</f>
        <v>0.18695652173913044</v>
      </c>
      <c r="E32" s="59" t="s">
        <v>84</v>
      </c>
      <c r="F32" s="56" t="s">
        <v>39</v>
      </c>
      <c r="G32" s="44">
        <v>0</v>
      </c>
      <c r="H32" s="129">
        <f t="shared" si="0"/>
        <v>0</v>
      </c>
      <c r="I32" s="90">
        <v>4</v>
      </c>
      <c r="K32" s="36">
        <v>30</v>
      </c>
      <c r="L32" s="95">
        <v>-107.29999999999998</v>
      </c>
    </row>
    <row r="33" spans="1:12" x14ac:dyDescent="0.4">
      <c r="A33" s="51" t="s">
        <v>254</v>
      </c>
      <c r="B33" s="143">
        <v>48</v>
      </c>
      <c r="C33" s="37">
        <f>IF(B$17=0,0,B33/B$17)</f>
        <v>0.20869565217391303</v>
      </c>
      <c r="E33" s="59" t="s">
        <v>90</v>
      </c>
      <c r="F33" s="56" t="s">
        <v>45</v>
      </c>
      <c r="G33" s="44">
        <v>0</v>
      </c>
      <c r="H33" s="129">
        <f t="shared" si="0"/>
        <v>0</v>
      </c>
      <c r="I33" s="90">
        <v>4</v>
      </c>
      <c r="K33" s="36">
        <v>31</v>
      </c>
      <c r="L33" s="95">
        <v>-96.799999999999983</v>
      </c>
    </row>
    <row r="34" spans="1:12" x14ac:dyDescent="0.4">
      <c r="A34" s="51" t="s">
        <v>255</v>
      </c>
      <c r="B34" s="143">
        <v>38</v>
      </c>
      <c r="C34" s="37">
        <f t="shared" si="4"/>
        <v>0.16521739130434782</v>
      </c>
      <c r="E34" s="59" t="s">
        <v>92</v>
      </c>
      <c r="F34" s="56" t="s">
        <v>47</v>
      </c>
      <c r="G34" s="44">
        <v>0</v>
      </c>
      <c r="H34" s="129">
        <f t="shared" ref="H34:H65" si="5">IF(B$17=0,0,G34/B$17)</f>
        <v>0</v>
      </c>
      <c r="I34" s="90">
        <v>5</v>
      </c>
      <c r="K34" s="36">
        <v>32</v>
      </c>
      <c r="L34" s="95">
        <v>-54.09999999999998</v>
      </c>
    </row>
    <row r="35" spans="1:12" x14ac:dyDescent="0.4">
      <c r="A35" s="51" t="s">
        <v>256</v>
      </c>
      <c r="B35" s="143">
        <v>36</v>
      </c>
      <c r="C35" s="37">
        <f t="shared" si="4"/>
        <v>0.15652173913043479</v>
      </c>
      <c r="E35" s="59" t="s">
        <v>94</v>
      </c>
      <c r="F35" s="56" t="s">
        <v>49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-48.899999999999977</v>
      </c>
    </row>
    <row r="36" spans="1:12" x14ac:dyDescent="0.4">
      <c r="A36" s="51" t="s">
        <v>258</v>
      </c>
      <c r="B36" s="143">
        <v>25</v>
      </c>
      <c r="C36" s="37">
        <f t="shared" si="4"/>
        <v>0.10869565217391304</v>
      </c>
      <c r="E36" s="59" t="s">
        <v>95</v>
      </c>
      <c r="F36" s="56" t="s">
        <v>50</v>
      </c>
      <c r="G36" s="44">
        <v>0</v>
      </c>
      <c r="H36" s="129">
        <f t="shared" si="5"/>
        <v>0</v>
      </c>
      <c r="I36" s="90">
        <v>5</v>
      </c>
      <c r="K36" s="36">
        <v>34</v>
      </c>
      <c r="L36" s="95">
        <v>-63.999999999999979</v>
      </c>
    </row>
    <row r="37" spans="1:12" x14ac:dyDescent="0.4">
      <c r="A37" s="51" t="s">
        <v>259</v>
      </c>
      <c r="B37" s="143">
        <v>11</v>
      </c>
      <c r="C37" s="37">
        <f t="shared" si="4"/>
        <v>4.7826086956521741E-2</v>
      </c>
      <c r="E37" s="59" t="s">
        <v>96</v>
      </c>
      <c r="F37" s="56" t="s">
        <v>51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-72.399999999999977</v>
      </c>
    </row>
    <row r="38" spans="1:12" x14ac:dyDescent="0.4">
      <c r="A38" s="51" t="s">
        <v>260</v>
      </c>
      <c r="B38" s="143">
        <v>7</v>
      </c>
      <c r="C38" s="37">
        <f t="shared" si="4"/>
        <v>3.0434782608695653E-2</v>
      </c>
      <c r="E38" s="59" t="s">
        <v>97</v>
      </c>
      <c r="F38" s="56" t="s">
        <v>52</v>
      </c>
      <c r="G38" s="44">
        <v>0</v>
      </c>
      <c r="H38" s="129">
        <f t="shared" si="5"/>
        <v>0</v>
      </c>
      <c r="I38" s="90">
        <v>3</v>
      </c>
      <c r="K38" s="36">
        <v>36</v>
      </c>
      <c r="L38" s="95">
        <v>-65.399999999999977</v>
      </c>
    </row>
    <row r="39" spans="1:12" x14ac:dyDescent="0.4">
      <c r="A39" s="51" t="s">
        <v>261</v>
      </c>
      <c r="B39" s="143">
        <v>3</v>
      </c>
      <c r="C39" s="37">
        <f t="shared" si="4"/>
        <v>1.3043478260869565E-2</v>
      </c>
      <c r="E39" s="59" t="s">
        <v>98</v>
      </c>
      <c r="F39" s="56" t="s">
        <v>53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-58.59999999999998</v>
      </c>
    </row>
    <row r="40" spans="1:12" x14ac:dyDescent="0.4">
      <c r="A40" s="51" t="s">
        <v>262</v>
      </c>
      <c r="B40" s="143">
        <v>2</v>
      </c>
      <c r="C40" s="37">
        <f t="shared" si="4"/>
        <v>8.6956521739130436E-3</v>
      </c>
      <c r="E40" s="59" t="s">
        <v>99</v>
      </c>
      <c r="F40" s="56" t="s">
        <v>54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-51.799999999999983</v>
      </c>
    </row>
    <row r="41" spans="1:12" x14ac:dyDescent="0.4">
      <c r="A41" s="51" t="s">
        <v>263</v>
      </c>
      <c r="B41" s="143">
        <v>1</v>
      </c>
      <c r="C41" s="37">
        <f t="shared" si="4"/>
        <v>4.3478260869565218E-3</v>
      </c>
      <c r="E41" s="59" t="s">
        <v>100</v>
      </c>
      <c r="F41" s="56" t="s">
        <v>55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-67.899999999999977</v>
      </c>
    </row>
    <row r="42" spans="1:12" x14ac:dyDescent="0.4">
      <c r="A42" s="51" t="s">
        <v>264</v>
      </c>
      <c r="B42" s="143">
        <v>1</v>
      </c>
      <c r="C42" s="37">
        <f t="shared" si="4"/>
        <v>4.3478260869565218E-3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-61.299999999999976</v>
      </c>
    </row>
    <row r="43" spans="1:12" x14ac:dyDescent="0.4">
      <c r="A43" s="53" t="s">
        <v>265</v>
      </c>
      <c r="B43" s="144">
        <v>2</v>
      </c>
      <c r="C43" s="40">
        <f t="shared" si="4"/>
        <v>8.6956521739130436E-3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-56.899999999999977</v>
      </c>
    </row>
    <row r="44" spans="1:12" x14ac:dyDescent="0.4"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-58.499999999999979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-49.899999999999977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11.600000000000023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-23.299999999999976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  <row r="95" spans="11:12" x14ac:dyDescent="0.4">
      <c r="K95" s="36">
        <v>93</v>
      </c>
      <c r="L95" s="95">
        <v>8.7999999999999901</v>
      </c>
    </row>
    <row r="96" spans="11:12" x14ac:dyDescent="0.4">
      <c r="K96" s="36">
        <v>94</v>
      </c>
      <c r="L96" s="95">
        <v>-4.1000000000000103</v>
      </c>
    </row>
    <row r="97" spans="11:12" x14ac:dyDescent="0.4">
      <c r="K97" s="36">
        <v>95</v>
      </c>
      <c r="L97" s="95">
        <v>31.899999999999991</v>
      </c>
    </row>
    <row r="98" spans="11:12" x14ac:dyDescent="0.4">
      <c r="K98" s="36">
        <v>96</v>
      </c>
      <c r="L98" s="95">
        <v>52.29999999999999</v>
      </c>
    </row>
    <row r="99" spans="11:12" x14ac:dyDescent="0.4">
      <c r="K99" s="36">
        <v>97</v>
      </c>
      <c r="L99" s="95">
        <v>13.999999999999993</v>
      </c>
    </row>
    <row r="100" spans="11:12" x14ac:dyDescent="0.4">
      <c r="K100" s="36">
        <v>98</v>
      </c>
      <c r="L100" s="95">
        <v>21.399999999999991</v>
      </c>
    </row>
    <row r="101" spans="11:12" x14ac:dyDescent="0.4">
      <c r="K101" s="36">
        <v>99</v>
      </c>
      <c r="L101" s="95">
        <v>-5.4000000000000092</v>
      </c>
    </row>
    <row r="102" spans="11:12" x14ac:dyDescent="0.4">
      <c r="K102" s="36">
        <v>100</v>
      </c>
      <c r="L102" s="95">
        <v>-25.600000000000009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555ED-CC7C-4C4C-8A52-1AB8B01E818E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182</v>
      </c>
      <c r="C1" s="153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4">
        <v>41</v>
      </c>
      <c r="C2" s="155"/>
      <c r="E2" s="58" t="s">
        <v>66</v>
      </c>
      <c r="F2" s="55" t="s">
        <v>22</v>
      </c>
      <c r="G2" s="43">
        <v>54</v>
      </c>
      <c r="H2" s="128">
        <f t="shared" ref="H2:H33" si="0">IF(B$17=0,0,G2/B$17)</f>
        <v>0.6506024096385542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-2853.6585365853657</v>
      </c>
      <c r="P2" s="114">
        <v>41</v>
      </c>
      <c r="Q2" s="98">
        <v>-117000</v>
      </c>
    </row>
    <row r="3" spans="1:17" x14ac:dyDescent="0.4">
      <c r="A3" s="51" t="s">
        <v>8</v>
      </c>
      <c r="B3" s="156">
        <v>334</v>
      </c>
      <c r="C3" s="157"/>
      <c r="E3" s="59" t="s">
        <v>72</v>
      </c>
      <c r="F3" s="56" t="s">
        <v>27</v>
      </c>
      <c r="G3" s="44">
        <v>50</v>
      </c>
      <c r="H3" s="129">
        <f t="shared" si="0"/>
        <v>0.60240963855421692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1"/>
        <v>-182.92682926829269</v>
      </c>
      <c r="P3" s="115">
        <v>41</v>
      </c>
      <c r="Q3" s="99">
        <v>-7500</v>
      </c>
    </row>
    <row r="4" spans="1:17" x14ac:dyDescent="0.4">
      <c r="A4" s="51" t="s">
        <v>6</v>
      </c>
      <c r="B4" s="158">
        <v>-624.80000000000007</v>
      </c>
      <c r="C4" s="159"/>
      <c r="E4" s="59" t="s">
        <v>64</v>
      </c>
      <c r="F4" s="56" t="s">
        <v>20</v>
      </c>
      <c r="G4" s="44">
        <v>35</v>
      </c>
      <c r="H4" s="129">
        <f t="shared" si="0"/>
        <v>0.42168674698795183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1"/>
        <v>-1695.1219512195121</v>
      </c>
      <c r="P4" s="115">
        <v>41</v>
      </c>
      <c r="Q4" s="99">
        <v>-69500</v>
      </c>
    </row>
    <row r="5" spans="1:17" x14ac:dyDescent="0.4">
      <c r="A5" s="51" t="s">
        <v>7</v>
      </c>
      <c r="B5" s="160">
        <f>IF(B$2=0,0,B$4/B$2)</f>
        <v>-15.239024390243904</v>
      </c>
      <c r="C5" s="161"/>
      <c r="E5" s="59" t="s">
        <v>171</v>
      </c>
      <c r="F5" s="56" t="s">
        <v>172</v>
      </c>
      <c r="G5" s="44">
        <v>30</v>
      </c>
      <c r="H5" s="129">
        <f t="shared" si="0"/>
        <v>0.36144578313253012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1"/>
        <v>-2732.4324324324325</v>
      </c>
      <c r="P5" s="115">
        <v>37</v>
      </c>
      <c r="Q5" s="99">
        <v>-101100</v>
      </c>
    </row>
    <row r="6" spans="1:17" x14ac:dyDescent="0.4">
      <c r="A6" s="51" t="s">
        <v>1</v>
      </c>
      <c r="B6" s="150">
        <f>IF(B$2=0,0,(B$7*1+B$8*2+B$9*3)/B$2)</f>
        <v>2.4146341463414633</v>
      </c>
      <c r="C6" s="151"/>
      <c r="E6" s="59" t="s">
        <v>68</v>
      </c>
      <c r="F6" s="56" t="s">
        <v>12</v>
      </c>
      <c r="G6" s="44">
        <v>24</v>
      </c>
      <c r="H6" s="129">
        <f t="shared" si="0"/>
        <v>0.28915662650602408</v>
      </c>
      <c r="I6" s="90">
        <v>7</v>
      </c>
      <c r="K6" s="36">
        <v>4</v>
      </c>
      <c r="L6" s="95">
        <v>-80.5</v>
      </c>
      <c r="N6" s="111" t="s">
        <v>134</v>
      </c>
      <c r="O6" s="118">
        <f t="shared" si="1"/>
        <v>-1362.8571428571429</v>
      </c>
      <c r="P6" s="115">
        <v>35</v>
      </c>
      <c r="Q6" s="99">
        <v>-47700</v>
      </c>
    </row>
    <row r="7" spans="1:17" x14ac:dyDescent="0.4">
      <c r="A7" s="51" t="s">
        <v>2</v>
      </c>
      <c r="B7" s="44">
        <v>6</v>
      </c>
      <c r="C7" s="37">
        <f t="shared" ref="C7:C12" si="2">IF(B$2=0,0,B7/B$2)</f>
        <v>0.14634146341463414</v>
      </c>
      <c r="E7" s="59" t="s">
        <v>67</v>
      </c>
      <c r="F7" s="56" t="s">
        <v>23</v>
      </c>
      <c r="G7" s="44">
        <v>21</v>
      </c>
      <c r="H7" s="129">
        <f t="shared" si="0"/>
        <v>0.25301204819277107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1"/>
        <v>-3566.6666666666665</v>
      </c>
      <c r="P7" s="116">
        <v>30</v>
      </c>
      <c r="Q7" s="100">
        <v>-107000</v>
      </c>
    </row>
    <row r="8" spans="1:17" x14ac:dyDescent="0.4">
      <c r="A8" s="51" t="s">
        <v>3</v>
      </c>
      <c r="B8" s="44">
        <v>12</v>
      </c>
      <c r="C8" s="37">
        <f t="shared" si="2"/>
        <v>0.29268292682926828</v>
      </c>
      <c r="E8" s="59" t="s">
        <v>89</v>
      </c>
      <c r="F8" s="56" t="s">
        <v>44</v>
      </c>
      <c r="G8" s="44">
        <v>12</v>
      </c>
      <c r="H8" s="129">
        <f t="shared" si="0"/>
        <v>0.14457831325301204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2"/>
        <v>0.56097560975609762</v>
      </c>
      <c r="E9" s="59" t="s">
        <v>70</v>
      </c>
      <c r="F9" s="56" t="s">
        <v>25</v>
      </c>
      <c r="G9" s="44">
        <v>10</v>
      </c>
      <c r="H9" s="129">
        <f t="shared" si="0"/>
        <v>0.12048192771084337</v>
      </c>
      <c r="I9" s="90">
        <v>4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9</v>
      </c>
      <c r="C10" s="38">
        <f t="shared" si="2"/>
        <v>0.21951219512195122</v>
      </c>
      <c r="E10" s="59" t="s">
        <v>65</v>
      </c>
      <c r="F10" s="56" t="s">
        <v>21</v>
      </c>
      <c r="G10" s="44">
        <v>9</v>
      </c>
      <c r="H10" s="129">
        <f t="shared" si="0"/>
        <v>0.10843373493975904</v>
      </c>
      <c r="I10" s="90">
        <v>6</v>
      </c>
      <c r="K10" s="36">
        <v>8</v>
      </c>
      <c r="L10" s="95">
        <v>-152.6</v>
      </c>
      <c r="N10" s="110" t="s">
        <v>162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2" t="s">
        <v>138</v>
      </c>
      <c r="B11" s="45">
        <v>1</v>
      </c>
      <c r="C11" s="38">
        <f t="shared" si="2"/>
        <v>2.4390243902439025E-2</v>
      </c>
      <c r="E11" s="59" t="s">
        <v>71</v>
      </c>
      <c r="F11" s="56" t="s">
        <v>26</v>
      </c>
      <c r="G11" s="44">
        <v>8</v>
      </c>
      <c r="H11" s="129">
        <f t="shared" si="0"/>
        <v>9.6385542168674704E-2</v>
      </c>
      <c r="I11" s="90">
        <v>4</v>
      </c>
      <c r="K11" s="36">
        <v>9</v>
      </c>
      <c r="L11" s="95">
        <v>-150.6</v>
      </c>
      <c r="N11" s="111" t="s">
        <v>163</v>
      </c>
      <c r="O11" s="121">
        <f>IF(P11=0,0,Q11/P11)</f>
        <v>-10.381818181818181</v>
      </c>
      <c r="P11" s="115">
        <v>11</v>
      </c>
      <c r="Q11" s="103">
        <v>-114.19999999999999</v>
      </c>
    </row>
    <row r="12" spans="1:17" x14ac:dyDescent="0.4">
      <c r="A12" s="53" t="s">
        <v>158</v>
      </c>
      <c r="B12" s="46">
        <v>1</v>
      </c>
      <c r="C12" s="40">
        <f t="shared" si="2"/>
        <v>2.4390243902439025E-2</v>
      </c>
      <c r="E12" s="59" t="s">
        <v>69</v>
      </c>
      <c r="F12" s="56" t="s">
        <v>24</v>
      </c>
      <c r="G12" s="44">
        <v>6</v>
      </c>
      <c r="H12" s="129">
        <f t="shared" si="0"/>
        <v>7.2289156626506021E-2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-7.3166666666666664</v>
      </c>
      <c r="P12" s="116">
        <v>12</v>
      </c>
      <c r="Q12" s="104">
        <v>-87.8</v>
      </c>
    </row>
    <row r="13" spans="1:17" x14ac:dyDescent="0.4">
      <c r="A13" s="54" t="s">
        <v>121</v>
      </c>
      <c r="B13" s="47">
        <v>69</v>
      </c>
      <c r="C13" s="42">
        <f>IF(B$3=0,0,B13/B$3)</f>
        <v>0.20658682634730538</v>
      </c>
      <c r="E13" s="59" t="s">
        <v>83</v>
      </c>
      <c r="F13" s="56" t="s">
        <v>38</v>
      </c>
      <c r="G13" s="44">
        <v>6</v>
      </c>
      <c r="H13" s="129">
        <f t="shared" si="0"/>
        <v>7.2289156626506021E-2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74</v>
      </c>
      <c r="C14" s="37">
        <f>IF(B$3=0,0,B14/B$3)</f>
        <v>0.22155688622754491</v>
      </c>
      <c r="E14" s="59" t="s">
        <v>86</v>
      </c>
      <c r="F14" s="56" t="s">
        <v>41</v>
      </c>
      <c r="G14" s="44">
        <v>5</v>
      </c>
      <c r="H14" s="129">
        <f t="shared" si="0"/>
        <v>6.0240963855421686E-2</v>
      </c>
      <c r="I14" s="90">
        <v>3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36</v>
      </c>
      <c r="C15" s="35">
        <f>IF(B$13=0,0,B15/B$13)</f>
        <v>0.52173913043478259</v>
      </c>
      <c r="E15" s="59" t="s">
        <v>81</v>
      </c>
      <c r="F15" s="56" t="s">
        <v>36</v>
      </c>
      <c r="G15" s="44">
        <v>2</v>
      </c>
      <c r="H15" s="129">
        <f t="shared" si="0"/>
        <v>2.4096385542168676E-2</v>
      </c>
      <c r="I15" s="90">
        <v>3</v>
      </c>
      <c r="K15" s="36">
        <v>13</v>
      </c>
      <c r="L15" s="95">
        <v>-217.60000000000002</v>
      </c>
      <c r="N15" s="110" t="s">
        <v>166</v>
      </c>
      <c r="O15" s="120">
        <f t="shared" ref="O15:O23" si="3">IF(P15=0,0,Q15/P15)</f>
        <v>27.433333333333334</v>
      </c>
      <c r="P15" s="114">
        <v>6</v>
      </c>
      <c r="Q15" s="102">
        <v>164.6</v>
      </c>
    </row>
    <row r="16" spans="1:17" x14ac:dyDescent="0.4">
      <c r="A16" s="50" t="s">
        <v>124</v>
      </c>
      <c r="B16" s="43">
        <v>31</v>
      </c>
      <c r="C16" s="35">
        <f>IF(B$14=0,0,B16/B$14)</f>
        <v>0.41891891891891891</v>
      </c>
      <c r="E16" s="59" t="s">
        <v>74</v>
      </c>
      <c r="F16" s="56" t="s">
        <v>29</v>
      </c>
      <c r="G16" s="44">
        <v>1</v>
      </c>
      <c r="H16" s="129">
        <f t="shared" si="0"/>
        <v>1.2048192771084338E-2</v>
      </c>
      <c r="I16" s="90">
        <v>1</v>
      </c>
      <c r="K16" s="36">
        <v>14</v>
      </c>
      <c r="L16" s="95">
        <v>-266.90000000000003</v>
      </c>
      <c r="N16" s="111" t="s">
        <v>177</v>
      </c>
      <c r="O16" s="121">
        <f t="shared" si="3"/>
        <v>-17.12777777777778</v>
      </c>
      <c r="P16" s="115">
        <v>18</v>
      </c>
      <c r="Q16" s="103">
        <v>-308.3</v>
      </c>
    </row>
    <row r="17" spans="1:17" x14ac:dyDescent="0.4">
      <c r="A17" s="50" t="s">
        <v>10</v>
      </c>
      <c r="B17" s="43">
        <f>B19+B18</f>
        <v>83</v>
      </c>
      <c r="C17" s="35">
        <f>IF(B$3=0,0,B17/B$3)</f>
        <v>0.24850299401197604</v>
      </c>
      <c r="E17" s="59" t="s">
        <v>78</v>
      </c>
      <c r="F17" s="56" t="s">
        <v>33</v>
      </c>
      <c r="G17" s="44">
        <v>1</v>
      </c>
      <c r="H17" s="129">
        <f t="shared" si="0"/>
        <v>1.2048192771084338E-2</v>
      </c>
      <c r="I17" s="90">
        <v>7</v>
      </c>
      <c r="K17" s="36">
        <v>15</v>
      </c>
      <c r="L17" s="95">
        <v>-272.50000000000006</v>
      </c>
      <c r="N17" s="111" t="s">
        <v>222</v>
      </c>
      <c r="O17" s="121">
        <f t="shared" si="3"/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12</v>
      </c>
      <c r="B18" s="44">
        <v>40</v>
      </c>
      <c r="C18" s="37">
        <f>IF(B$17=0,0,B18/B$17)</f>
        <v>0.48192771084337349</v>
      </c>
      <c r="E18" s="59" t="s">
        <v>91</v>
      </c>
      <c r="F18" s="56" t="s">
        <v>46</v>
      </c>
      <c r="G18" s="44">
        <v>1</v>
      </c>
      <c r="H18" s="129">
        <f t="shared" si="0"/>
        <v>1.2048192771084338E-2</v>
      </c>
      <c r="I18" s="90">
        <v>5</v>
      </c>
      <c r="K18" s="36">
        <v>16</v>
      </c>
      <c r="L18" s="95">
        <v>-320.30000000000007</v>
      </c>
      <c r="N18" s="111" t="s">
        <v>178</v>
      </c>
      <c r="O18" s="121">
        <f t="shared" si="3"/>
        <v>-25.104347826086954</v>
      </c>
      <c r="P18" s="115">
        <v>23</v>
      </c>
      <c r="Q18" s="103">
        <v>-577.4</v>
      </c>
    </row>
    <row r="19" spans="1:17" x14ac:dyDescent="0.4">
      <c r="A19" s="51" t="s">
        <v>11</v>
      </c>
      <c r="B19" s="44">
        <v>43</v>
      </c>
      <c r="C19" s="37">
        <f>IF(B$17=0,0,B19/B$17)</f>
        <v>0.51807228915662651</v>
      </c>
      <c r="E19" s="59" t="s">
        <v>95</v>
      </c>
      <c r="F19" s="56" t="s">
        <v>50</v>
      </c>
      <c r="G19" s="44">
        <v>1</v>
      </c>
      <c r="H19" s="129">
        <f t="shared" si="0"/>
        <v>1.2048192771084338E-2</v>
      </c>
      <c r="I19" s="90">
        <v>1</v>
      </c>
      <c r="K19" s="36">
        <v>17</v>
      </c>
      <c r="L19" s="95">
        <v>-352.60000000000008</v>
      </c>
      <c r="N19" s="111" t="s">
        <v>127</v>
      </c>
      <c r="O19" s="121">
        <f t="shared" si="3"/>
        <v>-25.583333333333332</v>
      </c>
      <c r="P19" s="115">
        <v>12</v>
      </c>
      <c r="Q19" s="103">
        <v>-307</v>
      </c>
    </row>
    <row r="20" spans="1:17" x14ac:dyDescent="0.4">
      <c r="A20" s="51" t="s">
        <v>13</v>
      </c>
      <c r="B20" s="44">
        <v>63</v>
      </c>
      <c r="C20" s="37">
        <f>IF(B$3=0,0,B20/B$3)</f>
        <v>0.18862275449101795</v>
      </c>
      <c r="E20" s="59" t="s">
        <v>73</v>
      </c>
      <c r="F20" s="56" t="s">
        <v>28</v>
      </c>
      <c r="G20" s="44">
        <v>0</v>
      </c>
      <c r="H20" s="129">
        <f t="shared" si="0"/>
        <v>0</v>
      </c>
      <c r="I20" s="90">
        <v>5</v>
      </c>
      <c r="K20" s="36">
        <v>18</v>
      </c>
      <c r="L20" s="95">
        <v>-355.50000000000006</v>
      </c>
      <c r="N20" s="111" t="s">
        <v>179</v>
      </c>
      <c r="O20" s="121">
        <f t="shared" si="3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75</v>
      </c>
      <c r="F21" s="56" t="s">
        <v>30</v>
      </c>
      <c r="G21" s="44">
        <v>0</v>
      </c>
      <c r="H21" s="129">
        <f t="shared" si="0"/>
        <v>0</v>
      </c>
      <c r="I21" s="90">
        <v>9</v>
      </c>
      <c r="K21" s="36">
        <v>19</v>
      </c>
      <c r="L21" s="95">
        <v>-400.60000000000008</v>
      </c>
      <c r="N21" s="111" t="s">
        <v>126</v>
      </c>
      <c r="O21" s="121">
        <f t="shared" si="3"/>
        <v>-26.992307692307694</v>
      </c>
      <c r="P21" s="115">
        <v>13</v>
      </c>
      <c r="Q21" s="103">
        <v>-350.90000000000003</v>
      </c>
    </row>
    <row r="22" spans="1:17" x14ac:dyDescent="0.4">
      <c r="A22" s="51" t="s">
        <v>170</v>
      </c>
      <c r="B22" s="44">
        <v>19</v>
      </c>
      <c r="C22" s="131">
        <v>1</v>
      </c>
      <c r="E22" s="59" t="s">
        <v>76</v>
      </c>
      <c r="F22" s="56" t="s">
        <v>31</v>
      </c>
      <c r="G22" s="44">
        <v>0</v>
      </c>
      <c r="H22" s="129">
        <f t="shared" si="0"/>
        <v>0</v>
      </c>
      <c r="I22" s="90">
        <v>1</v>
      </c>
      <c r="K22" s="36">
        <v>20</v>
      </c>
      <c r="L22" s="95">
        <v>-428.10000000000008</v>
      </c>
      <c r="N22" s="111" t="s">
        <v>181</v>
      </c>
      <c r="O22" s="121">
        <f t="shared" si="3"/>
        <v>-60.640000000000008</v>
      </c>
      <c r="P22" s="115">
        <v>5</v>
      </c>
      <c r="Q22" s="103">
        <v>-303.20000000000005</v>
      </c>
    </row>
    <row r="23" spans="1:17" x14ac:dyDescent="0.4">
      <c r="A23" s="51" t="s">
        <v>5</v>
      </c>
      <c r="B23" s="48">
        <f>IF(B$17=0,0,C23/B$17)</f>
        <v>7730.1204819277109</v>
      </c>
      <c r="C23" s="39">
        <v>641600</v>
      </c>
      <c r="E23" s="59" t="s">
        <v>77</v>
      </c>
      <c r="F23" s="56" t="s">
        <v>32</v>
      </c>
      <c r="G23" s="44">
        <v>0</v>
      </c>
      <c r="H23" s="129">
        <f t="shared" si="0"/>
        <v>0</v>
      </c>
      <c r="I23" s="90">
        <v>5</v>
      </c>
      <c r="K23" s="36">
        <v>21</v>
      </c>
      <c r="L23" s="95">
        <v>-423.7000000000001</v>
      </c>
      <c r="N23" s="111" t="s">
        <v>195</v>
      </c>
      <c r="O23" s="121">
        <f t="shared" si="3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8138.4615384615381</v>
      </c>
      <c r="C24" s="137">
        <v>423200</v>
      </c>
      <c r="E24" s="59" t="s">
        <v>79</v>
      </c>
      <c r="F24" s="56" t="s">
        <v>34</v>
      </c>
      <c r="G24" s="44">
        <v>0</v>
      </c>
      <c r="H24" s="129">
        <f t="shared" si="0"/>
        <v>0</v>
      </c>
      <c r="I24" s="90">
        <v>9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7045.1612903225805</v>
      </c>
      <c r="C25" s="137">
        <v>218400</v>
      </c>
      <c r="E25" s="59" t="s">
        <v>80</v>
      </c>
      <c r="F25" s="56" t="s">
        <v>35</v>
      </c>
      <c r="G25" s="44">
        <v>0</v>
      </c>
      <c r="H25" s="129">
        <f t="shared" si="0"/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-8312.6984126984134</v>
      </c>
      <c r="C26" s="137">
        <v>-523700</v>
      </c>
      <c r="E26" s="59" t="s">
        <v>82</v>
      </c>
      <c r="F26" s="56" t="s">
        <v>37</v>
      </c>
      <c r="G26" s="44">
        <v>0</v>
      </c>
      <c r="H26" s="129">
        <f t="shared" si="0"/>
        <v>0</v>
      </c>
      <c r="I26" s="90">
        <v>1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8">
        <v>6</v>
      </c>
      <c r="C27" s="149"/>
      <c r="E27" s="59" t="s">
        <v>84</v>
      </c>
      <c r="F27" s="56" t="s">
        <v>39</v>
      </c>
      <c r="G27" s="44">
        <v>0</v>
      </c>
      <c r="H27" s="129">
        <f t="shared" si="0"/>
        <v>0</v>
      </c>
      <c r="I27" s="90">
        <v>4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6">
        <v>85100</v>
      </c>
      <c r="C28" s="147"/>
      <c r="E28" s="59" t="s">
        <v>85</v>
      </c>
      <c r="F28" s="56" t="s">
        <v>40</v>
      </c>
      <c r="G28" s="44">
        <v>0</v>
      </c>
      <c r="H28" s="129">
        <f t="shared" si="0"/>
        <v>0</v>
      </c>
      <c r="I28" s="90">
        <v>6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2.9940119760479044E-3</v>
      </c>
      <c r="E29" s="59" t="s">
        <v>87</v>
      </c>
      <c r="F29" s="56" t="s">
        <v>42</v>
      </c>
      <c r="G29" s="44">
        <v>0</v>
      </c>
      <c r="H29" s="129">
        <f t="shared" si="0"/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 t="shared" si="0"/>
        <v>0</v>
      </c>
      <c r="I30" s="90">
        <v>5</v>
      </c>
      <c r="K30" s="36">
        <v>28</v>
      </c>
      <c r="L30" s="95">
        <v>-447.30000000000013</v>
      </c>
    </row>
    <row r="31" spans="1:17" x14ac:dyDescent="0.4">
      <c r="A31" s="86" t="s">
        <v>257</v>
      </c>
      <c r="B31" s="142">
        <v>7</v>
      </c>
      <c r="C31" s="145">
        <f>IF(B$17=0,0,B31/B$17)</f>
        <v>8.4337349397590355E-2</v>
      </c>
      <c r="E31" s="59" t="s">
        <v>90</v>
      </c>
      <c r="F31" s="56" t="s">
        <v>45</v>
      </c>
      <c r="G31" s="44">
        <v>0</v>
      </c>
      <c r="H31" s="129">
        <f t="shared" si="0"/>
        <v>0</v>
      </c>
      <c r="I31" s="90">
        <v>4</v>
      </c>
      <c r="K31" s="36">
        <v>29</v>
      </c>
      <c r="L31" s="95">
        <v>-442.60000000000014</v>
      </c>
    </row>
    <row r="32" spans="1:17" x14ac:dyDescent="0.4">
      <c r="A32" s="51" t="s">
        <v>253</v>
      </c>
      <c r="B32" s="44">
        <v>18</v>
      </c>
      <c r="C32" s="37">
        <f t="shared" ref="C32:C43" si="4">IF(B$17=0,0,B32/B$17)</f>
        <v>0.21686746987951808</v>
      </c>
      <c r="E32" s="59" t="s">
        <v>92</v>
      </c>
      <c r="F32" s="56" t="s">
        <v>47</v>
      </c>
      <c r="G32" s="44">
        <v>0</v>
      </c>
      <c r="H32" s="129">
        <f t="shared" si="0"/>
        <v>0</v>
      </c>
      <c r="I32" s="90">
        <v>5</v>
      </c>
      <c r="K32" s="36">
        <v>30</v>
      </c>
      <c r="L32" s="95">
        <v>-472.50000000000011</v>
      </c>
    </row>
    <row r="33" spans="1:12" x14ac:dyDescent="0.4">
      <c r="A33" s="51" t="s">
        <v>254</v>
      </c>
      <c r="B33" s="143">
        <v>19</v>
      </c>
      <c r="C33" s="37">
        <f>IF(B$17=0,0,B33/B$17)</f>
        <v>0.2289156626506024</v>
      </c>
      <c r="E33" s="59" t="s">
        <v>93</v>
      </c>
      <c r="F33" s="56" t="s">
        <v>48</v>
      </c>
      <c r="G33" s="44">
        <v>0</v>
      </c>
      <c r="H33" s="129">
        <f t="shared" si="0"/>
        <v>0</v>
      </c>
      <c r="I33" s="90">
        <v>5</v>
      </c>
      <c r="K33" s="36">
        <v>31</v>
      </c>
      <c r="L33" s="95">
        <v>-473.10000000000014</v>
      </c>
    </row>
    <row r="34" spans="1:12" x14ac:dyDescent="0.4">
      <c r="A34" s="51" t="s">
        <v>255</v>
      </c>
      <c r="B34" s="143">
        <v>12</v>
      </c>
      <c r="C34" s="37">
        <f t="shared" si="4"/>
        <v>0.14457831325301204</v>
      </c>
      <c r="E34" s="59" t="s">
        <v>94</v>
      </c>
      <c r="F34" s="56" t="s">
        <v>49</v>
      </c>
      <c r="G34" s="44">
        <v>0</v>
      </c>
      <c r="H34" s="129">
        <f t="shared" ref="H34:H65" si="5">IF(B$17=0,0,G34/B$17)</f>
        <v>0</v>
      </c>
      <c r="I34" s="90">
        <v>1</v>
      </c>
      <c r="K34" s="36">
        <v>32</v>
      </c>
      <c r="L34" s="95">
        <v>-525.40000000000009</v>
      </c>
    </row>
    <row r="35" spans="1:12" x14ac:dyDescent="0.4">
      <c r="A35" s="51" t="s">
        <v>256</v>
      </c>
      <c r="B35" s="143">
        <v>10</v>
      </c>
      <c r="C35" s="37">
        <f t="shared" si="4"/>
        <v>0.12048192771084337</v>
      </c>
      <c r="E35" s="59" t="s">
        <v>96</v>
      </c>
      <c r="F35" s="56" t="s">
        <v>51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-548.20000000000005</v>
      </c>
    </row>
    <row r="36" spans="1:12" x14ac:dyDescent="0.4">
      <c r="A36" s="51" t="s">
        <v>258</v>
      </c>
      <c r="B36" s="143">
        <v>5</v>
      </c>
      <c r="C36" s="37">
        <f t="shared" si="4"/>
        <v>6.0240963855421686E-2</v>
      </c>
      <c r="E36" s="59" t="s">
        <v>97</v>
      </c>
      <c r="F36" s="56" t="s">
        <v>52</v>
      </c>
      <c r="G36" s="44">
        <v>0</v>
      </c>
      <c r="H36" s="129">
        <f t="shared" si="5"/>
        <v>0</v>
      </c>
      <c r="I36" s="90">
        <v>3</v>
      </c>
      <c r="K36" s="36">
        <v>34</v>
      </c>
      <c r="L36" s="95">
        <v>-531.90000000000009</v>
      </c>
    </row>
    <row r="37" spans="1:12" x14ac:dyDescent="0.4">
      <c r="A37" s="51" t="s">
        <v>259</v>
      </c>
      <c r="B37" s="143">
        <v>6</v>
      </c>
      <c r="C37" s="37">
        <f t="shared" si="4"/>
        <v>7.2289156626506021E-2</v>
      </c>
      <c r="E37" s="59" t="s">
        <v>98</v>
      </c>
      <c r="F37" s="56" t="s">
        <v>53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-482.7000000000001</v>
      </c>
    </row>
    <row r="38" spans="1:12" x14ac:dyDescent="0.4">
      <c r="A38" s="51" t="s">
        <v>260</v>
      </c>
      <c r="B38" s="143">
        <v>4</v>
      </c>
      <c r="C38" s="37">
        <f t="shared" si="4"/>
        <v>4.8192771084337352E-2</v>
      </c>
      <c r="E38" s="59" t="s">
        <v>99</v>
      </c>
      <c r="F38" s="56" t="s">
        <v>54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-498.00000000000011</v>
      </c>
    </row>
    <row r="39" spans="1:12" x14ac:dyDescent="0.4">
      <c r="A39" s="51" t="s">
        <v>261</v>
      </c>
      <c r="B39" s="143">
        <v>0</v>
      </c>
      <c r="C39" s="37">
        <f t="shared" si="4"/>
        <v>0</v>
      </c>
      <c r="E39" s="59" t="s">
        <v>100</v>
      </c>
      <c r="F39" s="56" t="s">
        <v>55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-547.00000000000011</v>
      </c>
    </row>
    <row r="40" spans="1:12" x14ac:dyDescent="0.4">
      <c r="A40" s="51" t="s">
        <v>262</v>
      </c>
      <c r="B40" s="143">
        <v>1</v>
      </c>
      <c r="C40" s="37">
        <f t="shared" si="4"/>
        <v>1.2048192771084338E-2</v>
      </c>
      <c r="E40" s="59" t="s">
        <v>101</v>
      </c>
      <c r="F40" s="56" t="s">
        <v>56</v>
      </c>
      <c r="G40" s="44">
        <v>0</v>
      </c>
      <c r="H40" s="129">
        <f t="shared" si="5"/>
        <v>0</v>
      </c>
      <c r="I40" s="90">
        <v>3</v>
      </c>
      <c r="K40" s="36">
        <v>38</v>
      </c>
      <c r="L40" s="95">
        <v>-570.10000000000014</v>
      </c>
    </row>
    <row r="41" spans="1:12" x14ac:dyDescent="0.4">
      <c r="A41" s="51" t="s">
        <v>263</v>
      </c>
      <c r="B41" s="143">
        <v>0</v>
      </c>
      <c r="C41" s="37">
        <f t="shared" si="4"/>
        <v>0</v>
      </c>
      <c r="E41" s="59" t="s">
        <v>102</v>
      </c>
      <c r="F41" s="56" t="s">
        <v>57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-524.90000000000009</v>
      </c>
    </row>
    <row r="42" spans="1:12" x14ac:dyDescent="0.4">
      <c r="A42" s="51" t="s">
        <v>264</v>
      </c>
      <c r="B42" s="143">
        <v>0</v>
      </c>
      <c r="C42" s="37">
        <f t="shared" si="4"/>
        <v>0</v>
      </c>
      <c r="E42" s="59" t="s">
        <v>103</v>
      </c>
      <c r="F42" s="56" t="s">
        <v>58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-573.70000000000005</v>
      </c>
    </row>
    <row r="43" spans="1:12" x14ac:dyDescent="0.4">
      <c r="A43" s="53" t="s">
        <v>265</v>
      </c>
      <c r="B43" s="144">
        <v>1</v>
      </c>
      <c r="C43" s="40">
        <f t="shared" si="4"/>
        <v>1.2048192771084338E-2</v>
      </c>
      <c r="E43" s="59" t="s">
        <v>104</v>
      </c>
      <c r="F43" s="56" t="s">
        <v>59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-624.80000000000007</v>
      </c>
    </row>
    <row r="44" spans="1:12" x14ac:dyDescent="0.4">
      <c r="E44" s="59" t="s">
        <v>105</v>
      </c>
      <c r="F44" s="56" t="s">
        <v>112</v>
      </c>
      <c r="G44" s="44">
        <v>0</v>
      </c>
      <c r="H44" s="129">
        <f t="shared" si="5"/>
        <v>0</v>
      </c>
      <c r="I44" s="90">
        <v>1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 t="shared" si="5"/>
        <v>0</v>
      </c>
      <c r="I45" s="90">
        <v>3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 t="shared" si="5"/>
        <v>0</v>
      </c>
      <c r="I46" s="90">
        <v>1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 t="shared" si="5"/>
        <v>0</v>
      </c>
      <c r="I47" s="90">
        <v>1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 t="shared" si="5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5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5"/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 t="shared" si="5"/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 t="shared" si="5"/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F1AEF-901B-43A7-BFFD-228C157FA63A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181</v>
      </c>
      <c r="C1" s="153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4">
        <v>24</v>
      </c>
      <c r="C2" s="155"/>
      <c r="E2" s="58" t="s">
        <v>66</v>
      </c>
      <c r="F2" s="55" t="s">
        <v>22</v>
      </c>
      <c r="G2" s="43">
        <v>63</v>
      </c>
      <c r="H2" s="128">
        <f t="shared" ref="H2:H33" si="0">IF(B$17=0,0,G2/B$17)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-3145.8333333333335</v>
      </c>
      <c r="P2" s="114">
        <v>24</v>
      </c>
      <c r="Q2" s="98">
        <v>-75500</v>
      </c>
    </row>
    <row r="3" spans="1:17" x14ac:dyDescent="0.4">
      <c r="A3" s="51" t="s">
        <v>8</v>
      </c>
      <c r="B3" s="156">
        <v>229</v>
      </c>
      <c r="C3" s="157"/>
      <c r="E3" s="59" t="s">
        <v>64</v>
      </c>
      <c r="F3" s="56" t="s">
        <v>20</v>
      </c>
      <c r="G3" s="44">
        <v>36</v>
      </c>
      <c r="H3" s="129">
        <f t="shared" si="0"/>
        <v>0.58064516129032262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1"/>
        <v>-1225</v>
      </c>
      <c r="P3" s="115">
        <v>24</v>
      </c>
      <c r="Q3" s="99">
        <v>-29400</v>
      </c>
    </row>
    <row r="4" spans="1:17" x14ac:dyDescent="0.4">
      <c r="A4" s="51" t="s">
        <v>6</v>
      </c>
      <c r="B4" s="158">
        <v>2.1999999999999957</v>
      </c>
      <c r="C4" s="159"/>
      <c r="E4" s="59" t="s">
        <v>68</v>
      </c>
      <c r="F4" s="56" t="s">
        <v>12</v>
      </c>
      <c r="G4" s="44">
        <v>27</v>
      </c>
      <c r="H4" s="129">
        <f t="shared" si="0"/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1"/>
        <v>1560.8695652173913</v>
      </c>
      <c r="P4" s="115">
        <v>23</v>
      </c>
      <c r="Q4" s="99">
        <v>35900</v>
      </c>
    </row>
    <row r="5" spans="1:17" x14ac:dyDescent="0.4">
      <c r="A5" s="51" t="s">
        <v>7</v>
      </c>
      <c r="B5" s="160">
        <f>IF(B$2=0,0,B$4/B$2)</f>
        <v>9.1666666666666494E-2</v>
      </c>
      <c r="C5" s="161"/>
      <c r="E5" s="59" t="s">
        <v>171</v>
      </c>
      <c r="F5" s="56" t="s">
        <v>172</v>
      </c>
      <c r="G5" s="44">
        <v>24</v>
      </c>
      <c r="H5" s="129">
        <f t="shared" si="0"/>
        <v>0.38709677419354838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1"/>
        <v>-2230.4347826086955</v>
      </c>
      <c r="P5" s="115">
        <v>23</v>
      </c>
      <c r="Q5" s="99">
        <v>-51300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21</v>
      </c>
      <c r="H6" s="129">
        <f t="shared" si="0"/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1"/>
        <v>5409.5238095238092</v>
      </c>
      <c r="P6" s="115">
        <v>21</v>
      </c>
      <c r="Q6" s="99">
        <v>113600</v>
      </c>
    </row>
    <row r="7" spans="1:17" x14ac:dyDescent="0.4">
      <c r="A7" s="51" t="s">
        <v>2</v>
      </c>
      <c r="B7" s="44">
        <v>9</v>
      </c>
      <c r="C7" s="37">
        <f t="shared" ref="C7:C12" si="2">IF(B$2=0,0,B7/B$2)</f>
        <v>0.375</v>
      </c>
      <c r="E7" s="59" t="s">
        <v>67</v>
      </c>
      <c r="F7" s="56" t="s">
        <v>23</v>
      </c>
      <c r="G7" s="44">
        <v>16</v>
      </c>
      <c r="H7" s="129">
        <f t="shared" si="0"/>
        <v>0.25806451612903225</v>
      </c>
      <c r="I7" s="90">
        <v>8</v>
      </c>
      <c r="K7" s="36">
        <v>5</v>
      </c>
      <c r="L7" s="95">
        <v>127.9</v>
      </c>
      <c r="N7" s="112" t="s">
        <v>135</v>
      </c>
      <c r="O7" s="119">
        <f t="shared" si="1"/>
        <v>1223.5294117647059</v>
      </c>
      <c r="P7" s="116">
        <v>17</v>
      </c>
      <c r="Q7" s="100">
        <v>20800</v>
      </c>
    </row>
    <row r="8" spans="1:17" x14ac:dyDescent="0.4">
      <c r="A8" s="51" t="s">
        <v>3</v>
      </c>
      <c r="B8" s="44">
        <v>6</v>
      </c>
      <c r="C8" s="37">
        <f t="shared" si="2"/>
        <v>0.25</v>
      </c>
      <c r="E8" s="59" t="s">
        <v>69</v>
      </c>
      <c r="F8" s="56" t="s">
        <v>24</v>
      </c>
      <c r="G8" s="44">
        <v>13</v>
      </c>
      <c r="H8" s="129">
        <f t="shared" si="0"/>
        <v>0.20967741935483872</v>
      </c>
      <c r="I8" s="90">
        <v>1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2"/>
        <v>0.375</v>
      </c>
      <c r="E9" s="59" t="s">
        <v>65</v>
      </c>
      <c r="F9" s="56" t="s">
        <v>21</v>
      </c>
      <c r="G9" s="44">
        <v>9</v>
      </c>
      <c r="H9" s="129">
        <f t="shared" si="0"/>
        <v>0.14516129032258066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2"/>
        <v>8.3333333333333329E-2</v>
      </c>
      <c r="E10" s="59" t="s">
        <v>70</v>
      </c>
      <c r="F10" s="56" t="s">
        <v>25</v>
      </c>
      <c r="G10" s="44">
        <v>6</v>
      </c>
      <c r="H10" s="129">
        <f t="shared" si="0"/>
        <v>9.6774193548387094E-2</v>
      </c>
      <c r="I10" s="90">
        <v>6</v>
      </c>
      <c r="K10" s="36">
        <v>8</v>
      </c>
      <c r="L10" s="95">
        <v>124.6</v>
      </c>
      <c r="N10" s="110" t="s">
        <v>162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2" t="s">
        <v>138</v>
      </c>
      <c r="B11" s="45">
        <v>3</v>
      </c>
      <c r="C11" s="38">
        <f t="shared" si="2"/>
        <v>0.125</v>
      </c>
      <c r="E11" s="59" t="s">
        <v>71</v>
      </c>
      <c r="F11" s="56" t="s">
        <v>26</v>
      </c>
      <c r="G11" s="44">
        <v>6</v>
      </c>
      <c r="H11" s="129">
        <f t="shared" si="0"/>
        <v>9.6774193548387094E-2</v>
      </c>
      <c r="I11" s="90">
        <v>3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1</v>
      </c>
      <c r="C12" s="40">
        <f t="shared" si="2"/>
        <v>4.1666666666666664E-2</v>
      </c>
      <c r="E12" s="59" t="s">
        <v>89</v>
      </c>
      <c r="F12" s="56" t="s">
        <v>44</v>
      </c>
      <c r="G12" s="44">
        <v>5</v>
      </c>
      <c r="H12" s="129">
        <f t="shared" si="0"/>
        <v>8.0645161290322578E-2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4" t="s">
        <v>121</v>
      </c>
      <c r="B13" s="47">
        <v>61</v>
      </c>
      <c r="C13" s="42">
        <f>IF(B$3=0,0,B13/B$3)</f>
        <v>0.26637554585152839</v>
      </c>
      <c r="E13" s="59" t="s">
        <v>78</v>
      </c>
      <c r="F13" s="56" t="s">
        <v>33</v>
      </c>
      <c r="G13" s="44">
        <v>3</v>
      </c>
      <c r="H13" s="129">
        <f t="shared" si="0"/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35</v>
      </c>
      <c r="C14" s="37">
        <f>IF(B$3=0,0,B14/B$3)</f>
        <v>0.15283842794759825</v>
      </c>
      <c r="E14" s="59" t="s">
        <v>86</v>
      </c>
      <c r="F14" s="56" t="s">
        <v>41</v>
      </c>
      <c r="G14" s="44">
        <v>3</v>
      </c>
      <c r="H14" s="129">
        <f t="shared" si="0"/>
        <v>4.8387096774193547E-2</v>
      </c>
      <c r="I14" s="90">
        <v>7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36</v>
      </c>
      <c r="C15" s="35">
        <f>IF(B$13=0,0,B15/B$13)</f>
        <v>0.5901639344262295</v>
      </c>
      <c r="E15" s="59" t="s">
        <v>83</v>
      </c>
      <c r="F15" s="56" t="s">
        <v>38</v>
      </c>
      <c r="G15" s="44">
        <v>2</v>
      </c>
      <c r="H15" s="129">
        <f t="shared" si="0"/>
        <v>3.2258064516129031E-2</v>
      </c>
      <c r="I15" s="90">
        <v>11</v>
      </c>
      <c r="K15" s="36">
        <v>13</v>
      </c>
      <c r="L15" s="95">
        <v>76.7</v>
      </c>
      <c r="N15" s="110" t="s">
        <v>182</v>
      </c>
      <c r="O15" s="120">
        <f t="shared" ref="O15:O22" si="3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0" t="s">
        <v>124</v>
      </c>
      <c r="B16" s="43">
        <v>12</v>
      </c>
      <c r="C16" s="35">
        <f>IF(B$14=0,0,B16/B$14)</f>
        <v>0.34285714285714286</v>
      </c>
      <c r="E16" s="59" t="s">
        <v>75</v>
      </c>
      <c r="F16" s="56" t="s">
        <v>30</v>
      </c>
      <c r="G16" s="44">
        <v>1</v>
      </c>
      <c r="H16" s="129">
        <f t="shared" si="0"/>
        <v>1.6129032258064516E-2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 t="shared" si="3"/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62</v>
      </c>
      <c r="C17" s="35">
        <f>IF(B$3=0,0,B17/B$3)</f>
        <v>0.27074235807860264</v>
      </c>
      <c r="E17" s="59" t="s">
        <v>81</v>
      </c>
      <c r="F17" s="56" t="s">
        <v>36</v>
      </c>
      <c r="G17" s="44">
        <v>1</v>
      </c>
      <c r="H17" s="129">
        <f t="shared" si="0"/>
        <v>1.6129032258064516E-2</v>
      </c>
      <c r="I17" s="90">
        <v>7</v>
      </c>
      <c r="K17" s="36">
        <v>15</v>
      </c>
      <c r="L17" s="95">
        <v>73.7</v>
      </c>
      <c r="N17" s="111" t="s">
        <v>179</v>
      </c>
      <c r="O17" s="121">
        <f t="shared" si="3"/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12</v>
      </c>
      <c r="B18" s="44">
        <v>35</v>
      </c>
      <c r="C18" s="37">
        <f>IF(B$17=0,0,B18/B$17)</f>
        <v>0.56451612903225812</v>
      </c>
      <c r="E18" s="59" t="s">
        <v>85</v>
      </c>
      <c r="F18" s="56" t="s">
        <v>40</v>
      </c>
      <c r="G18" s="44">
        <v>1</v>
      </c>
      <c r="H18" s="129">
        <f t="shared" si="0"/>
        <v>1.6129032258064516E-2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 t="shared" si="3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27</v>
      </c>
      <c r="C19" s="37">
        <f>IF(B$17=0,0,B19/B$17)</f>
        <v>0.43548387096774194</v>
      </c>
      <c r="E19" s="59" t="s">
        <v>87</v>
      </c>
      <c r="F19" s="56" t="s">
        <v>42</v>
      </c>
      <c r="G19" s="44">
        <v>1</v>
      </c>
      <c r="H19" s="129">
        <f t="shared" si="0"/>
        <v>1.6129032258064516E-2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 t="shared" si="3"/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38</v>
      </c>
      <c r="C20" s="37">
        <f>IF(B$3=0,0,B20/B$3)</f>
        <v>0.16593886462882096</v>
      </c>
      <c r="E20" s="59" t="s">
        <v>167</v>
      </c>
      <c r="F20" s="56" t="s">
        <v>168</v>
      </c>
      <c r="G20" s="44">
        <v>1</v>
      </c>
      <c r="H20" s="129">
        <f t="shared" si="0"/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3"/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73</v>
      </c>
      <c r="F21" s="56" t="s">
        <v>28</v>
      </c>
      <c r="G21" s="44">
        <v>0</v>
      </c>
      <c r="H21" s="129">
        <f t="shared" si="0"/>
        <v>0</v>
      </c>
      <c r="I21" s="90">
        <v>5</v>
      </c>
      <c r="K21" s="36">
        <v>19</v>
      </c>
      <c r="L21" s="95">
        <v>8.7000000000000028</v>
      </c>
      <c r="N21" s="111" t="s">
        <v>195</v>
      </c>
      <c r="O21" s="121">
        <f t="shared" si="3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0</v>
      </c>
      <c r="E22" s="59" t="s">
        <v>74</v>
      </c>
      <c r="F22" s="56" t="s">
        <v>29</v>
      </c>
      <c r="G22" s="44">
        <v>0</v>
      </c>
      <c r="H22" s="129">
        <f t="shared" si="0"/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3"/>
        <v>-39.662500000000009</v>
      </c>
      <c r="P22" s="115">
        <v>8</v>
      </c>
      <c r="Q22" s="103">
        <v>-317.30000000000007</v>
      </c>
    </row>
    <row r="23" spans="1:17" x14ac:dyDescent="0.4">
      <c r="A23" s="51" t="s">
        <v>5</v>
      </c>
      <c r="B23" s="48">
        <f>IF(B$17=0,0,C23/B$17)</f>
        <v>8456.4516129032254</v>
      </c>
      <c r="C23" s="39">
        <v>524300</v>
      </c>
      <c r="E23" s="59" t="s">
        <v>76</v>
      </c>
      <c r="F23" s="56" t="s">
        <v>31</v>
      </c>
      <c r="G23" s="44">
        <v>0</v>
      </c>
      <c r="H23" s="129">
        <f t="shared" si="0"/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8780</v>
      </c>
      <c r="C24" s="137">
        <v>439000</v>
      </c>
      <c r="E24" s="59" t="s">
        <v>77</v>
      </c>
      <c r="F24" s="56" t="s">
        <v>32</v>
      </c>
      <c r="G24" s="44">
        <v>0</v>
      </c>
      <c r="H24" s="129">
        <f t="shared" si="0"/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 t="shared" si="0"/>
        <v>0</v>
      </c>
      <c r="I25" s="90">
        <v>9</v>
      </c>
      <c r="K25" s="36">
        <v>23</v>
      </c>
      <c r="L25" s="95">
        <v>27.299999999999997</v>
      </c>
    </row>
    <row r="26" spans="1:17" x14ac:dyDescent="0.4">
      <c r="A26" s="52" t="s">
        <v>215</v>
      </c>
      <c r="B26" s="136">
        <f>IF(B$20=0,0,C26/B$20)</f>
        <v>-6836.8421052631575</v>
      </c>
      <c r="C26" s="137">
        <v>-259800</v>
      </c>
      <c r="E26" s="59" t="s">
        <v>80</v>
      </c>
      <c r="F26" s="56" t="s">
        <v>35</v>
      </c>
      <c r="G26" s="44">
        <v>0</v>
      </c>
      <c r="H26" s="129">
        <f t="shared" si="0"/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86" t="s">
        <v>140</v>
      </c>
      <c r="B27" s="148">
        <v>7</v>
      </c>
      <c r="C27" s="149"/>
      <c r="E27" s="59" t="s">
        <v>82</v>
      </c>
      <c r="F27" s="56" t="s">
        <v>37</v>
      </c>
      <c r="G27" s="44">
        <v>0</v>
      </c>
      <c r="H27" s="129">
        <f t="shared" si="0"/>
        <v>0</v>
      </c>
      <c r="I27" s="90">
        <v>1</v>
      </c>
    </row>
    <row r="28" spans="1:17" x14ac:dyDescent="0.4">
      <c r="A28" s="54" t="s">
        <v>150</v>
      </c>
      <c r="B28" s="146">
        <v>95200</v>
      </c>
      <c r="C28" s="147"/>
      <c r="E28" s="59" t="s">
        <v>84</v>
      </c>
      <c r="F28" s="56" t="s">
        <v>39</v>
      </c>
      <c r="G28" s="44">
        <v>0</v>
      </c>
      <c r="H28" s="129">
        <f t="shared" si="0"/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4.3668122270742356E-3</v>
      </c>
      <c r="E29" s="59" t="s">
        <v>88</v>
      </c>
      <c r="F29" s="56" t="s">
        <v>43</v>
      </c>
      <c r="G29" s="44">
        <v>0</v>
      </c>
      <c r="H29" s="129">
        <f t="shared" si="0"/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 t="shared" si="0"/>
        <v>0</v>
      </c>
      <c r="I30" s="90">
        <v>4</v>
      </c>
    </row>
    <row r="31" spans="1:17" x14ac:dyDescent="0.4">
      <c r="A31" s="86" t="s">
        <v>257</v>
      </c>
      <c r="B31" s="142">
        <v>7</v>
      </c>
      <c r="C31" s="145">
        <f>IF(B$17=0,0,B31/B$17)</f>
        <v>0.11290322580645161</v>
      </c>
      <c r="E31" s="59" t="s">
        <v>91</v>
      </c>
      <c r="F31" s="56" t="s">
        <v>46</v>
      </c>
      <c r="G31" s="44">
        <v>0</v>
      </c>
      <c r="H31" s="129">
        <f t="shared" si="0"/>
        <v>0</v>
      </c>
      <c r="I31" s="90">
        <v>9</v>
      </c>
    </row>
    <row r="32" spans="1:17" x14ac:dyDescent="0.4">
      <c r="A32" s="51" t="s">
        <v>253</v>
      </c>
      <c r="B32" s="44">
        <v>9</v>
      </c>
      <c r="C32" s="37">
        <f t="shared" ref="C32:C43" si="4">IF(B$17=0,0,B32/B$17)</f>
        <v>0.14516129032258066</v>
      </c>
      <c r="E32" s="59" t="s">
        <v>92</v>
      </c>
      <c r="F32" s="56" t="s">
        <v>47</v>
      </c>
      <c r="G32" s="44">
        <v>0</v>
      </c>
      <c r="H32" s="129">
        <f t="shared" si="0"/>
        <v>0</v>
      </c>
      <c r="I32" s="90">
        <v>5</v>
      </c>
    </row>
    <row r="33" spans="1:9" x14ac:dyDescent="0.4">
      <c r="A33" s="51" t="s">
        <v>254</v>
      </c>
      <c r="B33" s="143">
        <v>9</v>
      </c>
      <c r="C33" s="37">
        <f>IF(B$17=0,0,B33/B$17)</f>
        <v>0.14516129032258066</v>
      </c>
      <c r="E33" s="59" t="s">
        <v>93</v>
      </c>
      <c r="F33" s="56" t="s">
        <v>48</v>
      </c>
      <c r="G33" s="44">
        <v>0</v>
      </c>
      <c r="H33" s="129">
        <f t="shared" si="0"/>
        <v>0</v>
      </c>
      <c r="I33" s="90">
        <v>5</v>
      </c>
    </row>
    <row r="34" spans="1:9" x14ac:dyDescent="0.4">
      <c r="A34" s="51" t="s">
        <v>255</v>
      </c>
      <c r="B34" s="143">
        <v>9</v>
      </c>
      <c r="C34" s="37">
        <f t="shared" si="4"/>
        <v>0.14516129032258066</v>
      </c>
      <c r="E34" s="59" t="s">
        <v>94</v>
      </c>
      <c r="F34" s="56" t="s">
        <v>49</v>
      </c>
      <c r="G34" s="44">
        <v>0</v>
      </c>
      <c r="H34" s="129">
        <f t="shared" ref="H34:H65" si="5">IF(B$17=0,0,G34/B$17)</f>
        <v>0</v>
      </c>
      <c r="I34" s="90">
        <v>1</v>
      </c>
    </row>
    <row r="35" spans="1:9" x14ac:dyDescent="0.4">
      <c r="A35" s="51" t="s">
        <v>256</v>
      </c>
      <c r="B35" s="143">
        <v>10</v>
      </c>
      <c r="C35" s="37">
        <f t="shared" si="4"/>
        <v>0.16129032258064516</v>
      </c>
      <c r="E35" s="59" t="s">
        <v>95</v>
      </c>
      <c r="F35" s="56" t="s">
        <v>50</v>
      </c>
      <c r="G35" s="44">
        <v>0</v>
      </c>
      <c r="H35" s="129">
        <f t="shared" si="5"/>
        <v>0</v>
      </c>
      <c r="I35" s="90">
        <v>5</v>
      </c>
    </row>
    <row r="36" spans="1:9" x14ac:dyDescent="0.4">
      <c r="A36" s="51" t="s">
        <v>258</v>
      </c>
      <c r="B36" s="143">
        <v>12</v>
      </c>
      <c r="C36" s="37">
        <f t="shared" si="4"/>
        <v>0.19354838709677419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</row>
    <row r="37" spans="1:9" x14ac:dyDescent="0.4">
      <c r="A37" s="51" t="s">
        <v>259</v>
      </c>
      <c r="B37" s="143">
        <v>3</v>
      </c>
      <c r="C37" s="37">
        <f t="shared" si="4"/>
        <v>4.8387096774193547E-2</v>
      </c>
      <c r="E37" s="59" t="s">
        <v>97</v>
      </c>
      <c r="F37" s="56" t="s">
        <v>52</v>
      </c>
      <c r="G37" s="44">
        <v>0</v>
      </c>
      <c r="H37" s="129">
        <f t="shared" si="5"/>
        <v>0</v>
      </c>
      <c r="I37" s="90">
        <v>3</v>
      </c>
    </row>
    <row r="38" spans="1:9" x14ac:dyDescent="0.4">
      <c r="A38" s="51" t="s">
        <v>260</v>
      </c>
      <c r="B38" s="143">
        <v>2</v>
      </c>
      <c r="C38" s="37">
        <f t="shared" si="4"/>
        <v>3.2258064516129031E-2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</row>
    <row r="39" spans="1:9" x14ac:dyDescent="0.4">
      <c r="A39" s="51" t="s">
        <v>261</v>
      </c>
      <c r="B39" s="143">
        <v>0</v>
      </c>
      <c r="C39" s="37">
        <f t="shared" si="4"/>
        <v>0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</row>
    <row r="40" spans="1:9" x14ac:dyDescent="0.4">
      <c r="A40" s="51" t="s">
        <v>262</v>
      </c>
      <c r="B40" s="143">
        <v>1</v>
      </c>
      <c r="C40" s="37">
        <f t="shared" si="4"/>
        <v>1.6129032258064516E-2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</row>
    <row r="41" spans="1:9" x14ac:dyDescent="0.4">
      <c r="A41" s="51" t="s">
        <v>263</v>
      </c>
      <c r="B41" s="143">
        <v>0</v>
      </c>
      <c r="C41" s="37">
        <f t="shared" si="4"/>
        <v>0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</row>
    <row r="42" spans="1:9" x14ac:dyDescent="0.4">
      <c r="A42" s="51" t="s">
        <v>264</v>
      </c>
      <c r="B42" s="143">
        <v>0</v>
      </c>
      <c r="C42" s="37">
        <f t="shared" si="4"/>
        <v>0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</row>
    <row r="43" spans="1:9" x14ac:dyDescent="0.4">
      <c r="A43" s="53" t="s">
        <v>265</v>
      </c>
      <c r="B43" s="144">
        <v>0</v>
      </c>
      <c r="C43" s="40">
        <f t="shared" si="4"/>
        <v>0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</row>
    <row r="44" spans="1:9" x14ac:dyDescent="0.4"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</row>
    <row r="45" spans="1:9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</row>
    <row r="46" spans="1:9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</row>
    <row r="47" spans="1:9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</row>
    <row r="48" spans="1:9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 t="shared" si="5"/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CF645-2796-4D67-A636-F10CF77DC568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195</v>
      </c>
      <c r="C1" s="153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 t="shared" ref="H2:H33" si="0"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 t="shared" si="0"/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1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 t="shared" si="0"/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1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 t="shared" si="0"/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1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171</v>
      </c>
      <c r="F6" s="56" t="s">
        <v>172</v>
      </c>
      <c r="G6" s="44">
        <v>5</v>
      </c>
      <c r="H6" s="129">
        <f t="shared" si="0"/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1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2">IF(B$2=0,0,B7/B$2)</f>
        <v>0.42857142857142855</v>
      </c>
      <c r="E7" s="59" t="s">
        <v>65</v>
      </c>
      <c r="F7" s="56" t="s">
        <v>21</v>
      </c>
      <c r="G7" s="44">
        <v>3</v>
      </c>
      <c r="H7" s="129">
        <f t="shared" si="0"/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1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2"/>
        <v>0</v>
      </c>
      <c r="E8" s="59" t="s">
        <v>68</v>
      </c>
      <c r="F8" s="56" t="s">
        <v>12</v>
      </c>
      <c r="G8" s="44">
        <v>3</v>
      </c>
      <c r="H8" s="129">
        <f t="shared" si="0"/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2"/>
        <v>0.5714285714285714</v>
      </c>
      <c r="E9" s="59" t="s">
        <v>89</v>
      </c>
      <c r="F9" s="56" t="s">
        <v>44</v>
      </c>
      <c r="G9" s="44">
        <v>2</v>
      </c>
      <c r="H9" s="129">
        <f t="shared" si="0"/>
        <v>0.13333333333333333</v>
      </c>
      <c r="I9" s="90">
        <v>6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2"/>
        <v>0.5714285714285714</v>
      </c>
      <c r="E10" s="59" t="s">
        <v>69</v>
      </c>
      <c r="F10" s="56" t="s">
        <v>24</v>
      </c>
      <c r="G10" s="44">
        <v>1</v>
      </c>
      <c r="H10" s="129">
        <f t="shared" si="0"/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2"/>
        <v>0.14285714285714285</v>
      </c>
      <c r="E11" s="59" t="s">
        <v>70</v>
      </c>
      <c r="F11" s="56" t="s">
        <v>25</v>
      </c>
      <c r="G11" s="44">
        <v>1</v>
      </c>
      <c r="H11" s="129">
        <f t="shared" si="0"/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71</v>
      </c>
      <c r="F12" s="56" t="s">
        <v>26</v>
      </c>
      <c r="G12" s="44">
        <v>1</v>
      </c>
      <c r="H12" s="129">
        <f t="shared" si="0"/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 t="shared" si="0"/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 t="shared" si="0"/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 t="shared" si="0"/>
        <v>6.6666666666666666E-2</v>
      </c>
      <c r="I15" s="90">
        <v>2</v>
      </c>
      <c r="N15" s="110" t="s">
        <v>182</v>
      </c>
      <c r="O15" s="120">
        <f t="shared" ref="O15:O20" si="3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 t="shared" si="0"/>
        <v>0</v>
      </c>
      <c r="I16" s="90">
        <v>5</v>
      </c>
      <c r="N16" s="111" t="s">
        <v>179</v>
      </c>
      <c r="O16" s="121">
        <f t="shared" si="3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 t="shared" si="0"/>
        <v>0</v>
      </c>
      <c r="I17" s="90">
        <v>7</v>
      </c>
      <c r="N17" s="111" t="s">
        <v>181</v>
      </c>
      <c r="O17" s="121">
        <f t="shared" si="3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 t="shared" si="0"/>
        <v>0</v>
      </c>
      <c r="I18" s="90">
        <v>9</v>
      </c>
      <c r="N18" s="111" t="s">
        <v>178</v>
      </c>
      <c r="O18" s="121">
        <f t="shared" si="3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 t="shared" si="0"/>
        <v>0</v>
      </c>
      <c r="I19" s="90">
        <v>1</v>
      </c>
      <c r="N19" s="111" t="s">
        <v>177</v>
      </c>
      <c r="O19" s="121">
        <f t="shared" si="3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 t="shared" si="0"/>
        <v>0</v>
      </c>
      <c r="I20" s="90">
        <v>5</v>
      </c>
      <c r="N20" s="111" t="s">
        <v>127</v>
      </c>
      <c r="O20" s="121">
        <f t="shared" si="3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 t="shared" si="0"/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 t="shared" si="0"/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 t="shared" si="0"/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 t="shared" si="0"/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 t="shared" si="0"/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 t="shared" si="0"/>
        <v>0</v>
      </c>
      <c r="I26" s="90">
        <v>6</v>
      </c>
    </row>
    <row r="27" spans="1:17" x14ac:dyDescent="0.4">
      <c r="A27" s="86" t="s">
        <v>140</v>
      </c>
      <c r="B27" s="148">
        <v>4</v>
      </c>
      <c r="C27" s="149"/>
      <c r="E27" s="59" t="s">
        <v>87</v>
      </c>
      <c r="F27" s="56" t="s">
        <v>42</v>
      </c>
      <c r="G27" s="44">
        <v>0</v>
      </c>
      <c r="H27" s="129">
        <f t="shared" si="0"/>
        <v>0</v>
      </c>
      <c r="I27" s="90">
        <v>4</v>
      </c>
    </row>
    <row r="28" spans="1:17" x14ac:dyDescent="0.4">
      <c r="A28" s="54" t="s">
        <v>150</v>
      </c>
      <c r="B28" s="146">
        <v>59500</v>
      </c>
      <c r="C28" s="147"/>
      <c r="E28" s="59" t="s">
        <v>88</v>
      </c>
      <c r="F28" s="56" t="s">
        <v>43</v>
      </c>
      <c r="G28" s="44">
        <v>0</v>
      </c>
      <c r="H28" s="129">
        <f t="shared" si="0"/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 t="shared" si="0"/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 t="shared" si="0"/>
        <v>0</v>
      </c>
      <c r="I30" s="90">
        <v>9</v>
      </c>
    </row>
    <row r="31" spans="1:17" x14ac:dyDescent="0.4">
      <c r="A31" s="86" t="s">
        <v>257</v>
      </c>
      <c r="B31" s="142">
        <v>2</v>
      </c>
      <c r="C31" s="145">
        <f>IF(B$17=0,0,B31/B$17)</f>
        <v>0.13333333333333333</v>
      </c>
      <c r="E31" s="59" t="s">
        <v>92</v>
      </c>
      <c r="F31" s="56" t="s">
        <v>47</v>
      </c>
      <c r="G31" s="44">
        <v>0</v>
      </c>
      <c r="H31" s="129">
        <f t="shared" si="0"/>
        <v>0</v>
      </c>
      <c r="I31" s="90">
        <v>5</v>
      </c>
    </row>
    <row r="32" spans="1:17" x14ac:dyDescent="0.4">
      <c r="A32" s="51" t="s">
        <v>253</v>
      </c>
      <c r="B32" s="44">
        <v>3</v>
      </c>
      <c r="C32" s="37">
        <f t="shared" ref="C32:C43" si="4">IF(B$17=0,0,B32/B$17)</f>
        <v>0.2</v>
      </c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5</v>
      </c>
    </row>
    <row r="33" spans="1:9" x14ac:dyDescent="0.4">
      <c r="A33" s="51" t="s">
        <v>254</v>
      </c>
      <c r="B33" s="143">
        <v>1</v>
      </c>
      <c r="C33" s="37">
        <f>IF(B$17=0,0,B33/B$17)</f>
        <v>6.6666666666666666E-2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</row>
    <row r="34" spans="1:9" x14ac:dyDescent="0.4">
      <c r="A34" s="51" t="s">
        <v>255</v>
      </c>
      <c r="B34" s="143">
        <v>3</v>
      </c>
      <c r="C34" s="37">
        <f t="shared" si="4"/>
        <v>0.2</v>
      </c>
      <c r="E34" s="59" t="s">
        <v>95</v>
      </c>
      <c r="F34" s="56" t="s">
        <v>50</v>
      </c>
      <c r="G34" s="44">
        <v>0</v>
      </c>
      <c r="H34" s="129">
        <f t="shared" ref="H34:H65" si="5">IF(B$17=0,0,G34/B$17)</f>
        <v>0</v>
      </c>
      <c r="I34" s="90">
        <v>5</v>
      </c>
    </row>
    <row r="35" spans="1:9" x14ac:dyDescent="0.4">
      <c r="A35" s="51" t="s">
        <v>256</v>
      </c>
      <c r="B35" s="143">
        <v>4</v>
      </c>
      <c r="C35" s="37">
        <f t="shared" si="4"/>
        <v>0.26666666666666666</v>
      </c>
      <c r="E35" s="59" t="s">
        <v>96</v>
      </c>
      <c r="F35" s="56" t="s">
        <v>51</v>
      </c>
      <c r="G35" s="44">
        <v>0</v>
      </c>
      <c r="H35" s="129">
        <f t="shared" si="5"/>
        <v>0</v>
      </c>
      <c r="I35" s="90">
        <v>1</v>
      </c>
    </row>
    <row r="36" spans="1:9" x14ac:dyDescent="0.4">
      <c r="A36" s="51" t="s">
        <v>258</v>
      </c>
      <c r="B36" s="143">
        <v>1</v>
      </c>
      <c r="C36" s="37">
        <f t="shared" si="4"/>
        <v>6.6666666666666666E-2</v>
      </c>
      <c r="E36" s="59" t="s">
        <v>97</v>
      </c>
      <c r="F36" s="56" t="s">
        <v>52</v>
      </c>
      <c r="G36" s="44">
        <v>0</v>
      </c>
      <c r="H36" s="129">
        <f t="shared" si="5"/>
        <v>0</v>
      </c>
      <c r="I36" s="90">
        <v>3</v>
      </c>
    </row>
    <row r="37" spans="1:9" x14ac:dyDescent="0.4">
      <c r="A37" s="51" t="s">
        <v>259</v>
      </c>
      <c r="B37" s="143">
        <v>1</v>
      </c>
      <c r="C37" s="37">
        <f t="shared" si="4"/>
        <v>6.6666666666666666E-2</v>
      </c>
      <c r="E37" s="59" t="s">
        <v>98</v>
      </c>
      <c r="F37" s="56" t="s">
        <v>53</v>
      </c>
      <c r="G37" s="44">
        <v>0</v>
      </c>
      <c r="H37" s="129">
        <f t="shared" si="5"/>
        <v>0</v>
      </c>
      <c r="I37" s="90">
        <v>1</v>
      </c>
    </row>
    <row r="38" spans="1:9" x14ac:dyDescent="0.4">
      <c r="A38" s="51" t="s">
        <v>260</v>
      </c>
      <c r="B38" s="143">
        <v>0</v>
      </c>
      <c r="C38" s="37">
        <f t="shared" si="4"/>
        <v>0</v>
      </c>
      <c r="E38" s="59" t="s">
        <v>99</v>
      </c>
      <c r="F38" s="56" t="s">
        <v>54</v>
      </c>
      <c r="G38" s="44">
        <v>0</v>
      </c>
      <c r="H38" s="129">
        <f t="shared" si="5"/>
        <v>0</v>
      </c>
      <c r="I38" s="90">
        <v>1</v>
      </c>
    </row>
    <row r="39" spans="1:9" x14ac:dyDescent="0.4">
      <c r="A39" s="51" t="s">
        <v>261</v>
      </c>
      <c r="B39" s="143">
        <v>0</v>
      </c>
      <c r="C39" s="37">
        <f t="shared" si="4"/>
        <v>0</v>
      </c>
      <c r="E39" s="59" t="s">
        <v>100</v>
      </c>
      <c r="F39" s="56" t="s">
        <v>55</v>
      </c>
      <c r="G39" s="44">
        <v>0</v>
      </c>
      <c r="H39" s="129">
        <f t="shared" si="5"/>
        <v>0</v>
      </c>
      <c r="I39" s="90">
        <v>1</v>
      </c>
    </row>
    <row r="40" spans="1:9" x14ac:dyDescent="0.4">
      <c r="A40" s="51" t="s">
        <v>262</v>
      </c>
      <c r="B40" s="143">
        <v>0</v>
      </c>
      <c r="C40" s="37">
        <f t="shared" si="4"/>
        <v>0</v>
      </c>
      <c r="E40" s="59" t="s">
        <v>101</v>
      </c>
      <c r="F40" s="56" t="s">
        <v>56</v>
      </c>
      <c r="G40" s="44">
        <v>0</v>
      </c>
      <c r="H40" s="129">
        <f t="shared" si="5"/>
        <v>0</v>
      </c>
      <c r="I40" s="90">
        <v>3</v>
      </c>
    </row>
    <row r="41" spans="1:9" x14ac:dyDescent="0.4">
      <c r="A41" s="51" t="s">
        <v>263</v>
      </c>
      <c r="B41" s="143">
        <v>0</v>
      </c>
      <c r="C41" s="37">
        <f t="shared" si="4"/>
        <v>0</v>
      </c>
      <c r="E41" s="59" t="s">
        <v>102</v>
      </c>
      <c r="F41" s="56" t="s">
        <v>57</v>
      </c>
      <c r="G41" s="44">
        <v>0</v>
      </c>
      <c r="H41" s="129">
        <f t="shared" si="5"/>
        <v>0</v>
      </c>
      <c r="I41" s="90">
        <v>1</v>
      </c>
    </row>
    <row r="42" spans="1:9" x14ac:dyDescent="0.4">
      <c r="A42" s="51" t="s">
        <v>264</v>
      </c>
      <c r="B42" s="143">
        <v>0</v>
      </c>
      <c r="C42" s="37">
        <f t="shared" si="4"/>
        <v>0</v>
      </c>
      <c r="E42" s="59" t="s">
        <v>103</v>
      </c>
      <c r="F42" s="56" t="s">
        <v>58</v>
      </c>
      <c r="G42" s="44">
        <v>0</v>
      </c>
      <c r="H42" s="129">
        <f t="shared" si="5"/>
        <v>0</v>
      </c>
      <c r="I42" s="90">
        <v>1</v>
      </c>
    </row>
    <row r="43" spans="1:9" x14ac:dyDescent="0.4">
      <c r="A43" s="53" t="s">
        <v>265</v>
      </c>
      <c r="B43" s="144">
        <v>0</v>
      </c>
      <c r="C43" s="40">
        <f t="shared" si="4"/>
        <v>0</v>
      </c>
      <c r="E43" s="59" t="s">
        <v>104</v>
      </c>
      <c r="F43" s="56" t="s">
        <v>59</v>
      </c>
      <c r="G43" s="44">
        <v>0</v>
      </c>
      <c r="H43" s="129">
        <f t="shared" si="5"/>
        <v>0</v>
      </c>
      <c r="I43" s="90">
        <v>1</v>
      </c>
    </row>
    <row r="44" spans="1:9" x14ac:dyDescent="0.4">
      <c r="E44" s="59" t="s">
        <v>105</v>
      </c>
      <c r="F44" s="56" t="s">
        <v>112</v>
      </c>
      <c r="G44" s="44">
        <v>0</v>
      </c>
      <c r="H44" s="129">
        <f t="shared" si="5"/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 t="shared" si="5"/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 t="shared" si="5"/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 t="shared" si="5"/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 t="shared" si="5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5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5"/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 t="shared" si="5"/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 t="shared" si="5"/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DCC9E-9E70-404C-AA50-03929F54B56F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222</v>
      </c>
      <c r="C1" s="153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 t="shared" ref="H2:H33" si="0"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1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 t="shared" si="0"/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1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 t="shared" si="0"/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1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 t="shared" si="0"/>
        <v>0.42857142857142855</v>
      </c>
      <c r="I5" s="90">
        <v>1</v>
      </c>
      <c r="N5" s="111" t="s">
        <v>133</v>
      </c>
      <c r="O5" s="118">
        <f t="shared" si="1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 t="shared" si="0"/>
        <v>0.2857142857142857</v>
      </c>
      <c r="I6" s="90">
        <v>10</v>
      </c>
      <c r="N6" s="111" t="s">
        <v>134</v>
      </c>
      <c r="O6" s="118">
        <f t="shared" si="1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2">IF(B$2=0,0,B7/B$2)</f>
        <v>0.5</v>
      </c>
      <c r="E7" s="59" t="s">
        <v>68</v>
      </c>
      <c r="F7" s="56" t="s">
        <v>12</v>
      </c>
      <c r="G7" s="44">
        <v>2</v>
      </c>
      <c r="H7" s="129">
        <f t="shared" si="0"/>
        <v>0.2857142857142857</v>
      </c>
      <c r="I7" s="90">
        <v>8</v>
      </c>
      <c r="N7" s="112" t="s">
        <v>135</v>
      </c>
      <c r="O7" s="119">
        <f t="shared" si="1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2"/>
        <v>0.5</v>
      </c>
      <c r="E8" s="59" t="s">
        <v>83</v>
      </c>
      <c r="F8" s="56" t="s">
        <v>38</v>
      </c>
      <c r="G8" s="44">
        <v>2</v>
      </c>
      <c r="H8" s="129">
        <f t="shared" si="0"/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2"/>
        <v>0</v>
      </c>
      <c r="E9" s="59" t="s">
        <v>70</v>
      </c>
      <c r="F9" s="56" t="s">
        <v>25</v>
      </c>
      <c r="G9" s="44">
        <v>1</v>
      </c>
      <c r="H9" s="129">
        <f t="shared" si="0"/>
        <v>0.14285714285714285</v>
      </c>
      <c r="I9" s="90">
        <v>2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2"/>
        <v>0</v>
      </c>
      <c r="E10" s="59" t="s">
        <v>71</v>
      </c>
      <c r="F10" s="56" t="s">
        <v>26</v>
      </c>
      <c r="G10" s="44">
        <v>1</v>
      </c>
      <c r="H10" s="129">
        <f t="shared" si="0"/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171</v>
      </c>
      <c r="F11" s="56" t="s">
        <v>172</v>
      </c>
      <c r="G11" s="44">
        <v>1</v>
      </c>
      <c r="H11" s="129">
        <f t="shared" si="0"/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65</v>
      </c>
      <c r="F12" s="56" t="s">
        <v>21</v>
      </c>
      <c r="G12" s="44">
        <v>0</v>
      </c>
      <c r="H12" s="129">
        <f t="shared" si="0"/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 t="shared" si="0"/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 t="shared" si="0"/>
        <v>0</v>
      </c>
      <c r="I14" s="90">
        <v>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 t="shared" si="0"/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 t="shared" si="0"/>
        <v>0</v>
      </c>
      <c r="I16" s="90">
        <v>9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 t="shared" si="0"/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 t="shared" si="0"/>
        <v>0</v>
      </c>
      <c r="I18" s="90">
        <v>5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 t="shared" si="0"/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 t="shared" si="0"/>
        <v>0</v>
      </c>
      <c r="I20" s="90">
        <v>9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 t="shared" si="0"/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 t="shared" si="0"/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 t="shared" si="0"/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 t="shared" si="0"/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 t="shared" si="0"/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 t="shared" si="0"/>
        <v>0</v>
      </c>
      <c r="I26" s="90">
        <v>11</v>
      </c>
    </row>
    <row r="27" spans="1:17" x14ac:dyDescent="0.4">
      <c r="A27" s="86" t="s">
        <v>140</v>
      </c>
      <c r="B27" s="148">
        <v>4</v>
      </c>
      <c r="C27" s="149"/>
      <c r="E27" s="59" t="s">
        <v>87</v>
      </c>
      <c r="F27" s="56" t="s">
        <v>42</v>
      </c>
      <c r="G27" s="44">
        <v>0</v>
      </c>
      <c r="H27" s="129">
        <f t="shared" si="0"/>
        <v>0</v>
      </c>
      <c r="I27" s="90">
        <v>4</v>
      </c>
    </row>
    <row r="28" spans="1:17" x14ac:dyDescent="0.4">
      <c r="A28" s="54" t="s">
        <v>150</v>
      </c>
      <c r="B28" s="146">
        <v>52800</v>
      </c>
      <c r="C28" s="147"/>
      <c r="E28" s="59" t="s">
        <v>88</v>
      </c>
      <c r="F28" s="56" t="s">
        <v>43</v>
      </c>
      <c r="G28" s="44">
        <v>0</v>
      </c>
      <c r="H28" s="129">
        <f t="shared" si="0"/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 t="shared" si="0"/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 t="shared" si="0"/>
        <v>0</v>
      </c>
      <c r="I30" s="90">
        <v>9</v>
      </c>
    </row>
    <row r="31" spans="1:17" x14ac:dyDescent="0.4">
      <c r="A31" s="86" t="s">
        <v>257</v>
      </c>
      <c r="B31" s="142">
        <v>0</v>
      </c>
      <c r="C31" s="145">
        <f>IF(B$17=0,0,B31/B$17)</f>
        <v>0</v>
      </c>
      <c r="E31" s="59" t="s">
        <v>92</v>
      </c>
      <c r="F31" s="56" t="s">
        <v>47</v>
      </c>
      <c r="G31" s="44">
        <v>0</v>
      </c>
      <c r="H31" s="129">
        <f t="shared" si="0"/>
        <v>0</v>
      </c>
      <c r="I31" s="90">
        <v>5</v>
      </c>
    </row>
    <row r="32" spans="1:17" x14ac:dyDescent="0.4">
      <c r="A32" s="51" t="s">
        <v>253</v>
      </c>
      <c r="B32" s="44">
        <v>1</v>
      </c>
      <c r="C32" s="37">
        <f t="shared" ref="C32:C43" si="3">IF(B$17=0,0,B32/B$17)</f>
        <v>0.14285714285714285</v>
      </c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5</v>
      </c>
    </row>
    <row r="33" spans="1:9" x14ac:dyDescent="0.4">
      <c r="A33" s="51" t="s">
        <v>254</v>
      </c>
      <c r="B33" s="143">
        <v>3</v>
      </c>
      <c r="C33" s="37">
        <f>IF(B$17=0,0,B33/B$17)</f>
        <v>0.42857142857142855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</row>
    <row r="34" spans="1:9" x14ac:dyDescent="0.4">
      <c r="A34" s="51" t="s">
        <v>255</v>
      </c>
      <c r="B34" s="143">
        <v>0</v>
      </c>
      <c r="C34" s="37">
        <f t="shared" si="3"/>
        <v>0</v>
      </c>
      <c r="E34" s="59" t="s">
        <v>95</v>
      </c>
      <c r="F34" s="56" t="s">
        <v>50</v>
      </c>
      <c r="G34" s="44">
        <v>0</v>
      </c>
      <c r="H34" s="129">
        <f t="shared" ref="H34:H65" si="4">IF(B$17=0,0,G34/B$17)</f>
        <v>0</v>
      </c>
      <c r="I34" s="90">
        <v>5</v>
      </c>
    </row>
    <row r="35" spans="1:9" x14ac:dyDescent="0.4">
      <c r="A35" s="51" t="s">
        <v>256</v>
      </c>
      <c r="B35" s="143">
        <v>0</v>
      </c>
      <c r="C35" s="37">
        <f t="shared" si="3"/>
        <v>0</v>
      </c>
      <c r="E35" s="59" t="s">
        <v>96</v>
      </c>
      <c r="F35" s="56" t="s">
        <v>51</v>
      </c>
      <c r="G35" s="44">
        <v>0</v>
      </c>
      <c r="H35" s="129">
        <f t="shared" si="4"/>
        <v>0</v>
      </c>
      <c r="I35" s="90">
        <v>1</v>
      </c>
    </row>
    <row r="36" spans="1:9" x14ac:dyDescent="0.4">
      <c r="A36" s="51" t="s">
        <v>258</v>
      </c>
      <c r="B36" s="143">
        <v>2</v>
      </c>
      <c r="C36" s="37">
        <f t="shared" si="3"/>
        <v>0.2857142857142857</v>
      </c>
      <c r="E36" s="59" t="s">
        <v>97</v>
      </c>
      <c r="F36" s="56" t="s">
        <v>52</v>
      </c>
      <c r="G36" s="44">
        <v>0</v>
      </c>
      <c r="H36" s="129">
        <f t="shared" si="4"/>
        <v>0</v>
      </c>
      <c r="I36" s="90">
        <v>3</v>
      </c>
    </row>
    <row r="37" spans="1:9" x14ac:dyDescent="0.4">
      <c r="A37" s="51" t="s">
        <v>259</v>
      </c>
      <c r="B37" s="143">
        <v>1</v>
      </c>
      <c r="C37" s="37">
        <f t="shared" si="3"/>
        <v>0.14285714285714285</v>
      </c>
      <c r="E37" s="59" t="s">
        <v>98</v>
      </c>
      <c r="F37" s="56" t="s">
        <v>53</v>
      </c>
      <c r="G37" s="44">
        <v>0</v>
      </c>
      <c r="H37" s="129">
        <f t="shared" si="4"/>
        <v>0</v>
      </c>
      <c r="I37" s="90">
        <v>1</v>
      </c>
    </row>
    <row r="38" spans="1:9" x14ac:dyDescent="0.4">
      <c r="A38" s="51" t="s">
        <v>260</v>
      </c>
      <c r="B38" s="143">
        <v>0</v>
      </c>
      <c r="C38" s="37">
        <f t="shared" si="3"/>
        <v>0</v>
      </c>
      <c r="E38" s="59" t="s">
        <v>99</v>
      </c>
      <c r="F38" s="56" t="s">
        <v>54</v>
      </c>
      <c r="G38" s="44">
        <v>0</v>
      </c>
      <c r="H38" s="129">
        <f t="shared" si="4"/>
        <v>0</v>
      </c>
      <c r="I38" s="90">
        <v>1</v>
      </c>
    </row>
    <row r="39" spans="1:9" x14ac:dyDescent="0.4">
      <c r="A39" s="51" t="s">
        <v>261</v>
      </c>
      <c r="B39" s="143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 t="shared" si="4"/>
        <v>0</v>
      </c>
      <c r="I39" s="90">
        <v>1</v>
      </c>
    </row>
    <row r="40" spans="1:9" x14ac:dyDescent="0.4">
      <c r="A40" s="51" t="s">
        <v>262</v>
      </c>
      <c r="B40" s="143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 t="shared" si="4"/>
        <v>0</v>
      </c>
      <c r="I40" s="90">
        <v>3</v>
      </c>
    </row>
    <row r="41" spans="1:9" x14ac:dyDescent="0.4">
      <c r="A41" s="51" t="s">
        <v>263</v>
      </c>
      <c r="B41" s="143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 t="shared" si="4"/>
        <v>0</v>
      </c>
      <c r="I41" s="90">
        <v>1</v>
      </c>
    </row>
    <row r="42" spans="1:9" x14ac:dyDescent="0.4">
      <c r="A42" s="51" t="s">
        <v>264</v>
      </c>
      <c r="B42" s="143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 t="shared" si="4"/>
        <v>0</v>
      </c>
      <c r="I42" s="90">
        <v>1</v>
      </c>
    </row>
    <row r="43" spans="1:9" x14ac:dyDescent="0.4">
      <c r="A43" s="53" t="s">
        <v>265</v>
      </c>
      <c r="B43" s="144">
        <v>0</v>
      </c>
      <c r="C43" s="40">
        <f t="shared" si="3"/>
        <v>0</v>
      </c>
      <c r="E43" s="59" t="s">
        <v>104</v>
      </c>
      <c r="F43" s="56" t="s">
        <v>59</v>
      </c>
      <c r="G43" s="44">
        <v>0</v>
      </c>
      <c r="H43" s="129">
        <f t="shared" si="4"/>
        <v>0</v>
      </c>
      <c r="I43" s="90">
        <v>1</v>
      </c>
    </row>
    <row r="44" spans="1:9" x14ac:dyDescent="0.4">
      <c r="E44" s="59" t="s">
        <v>105</v>
      </c>
      <c r="F44" s="56" t="s">
        <v>112</v>
      </c>
      <c r="G44" s="44">
        <v>0</v>
      </c>
      <c r="H44" s="129">
        <f t="shared" si="4"/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 t="shared" si="4"/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 t="shared" si="4"/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 t="shared" si="4"/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 t="shared" si="4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4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4"/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 t="shared" si="4"/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 t="shared" si="4"/>
        <v>0</v>
      </c>
      <c r="I52" s="91">
        <v>1</v>
      </c>
    </row>
  </sheetData>
  <sortState xmlns:xlrd2="http://schemas.microsoft.com/office/spreadsheetml/2017/richdata2" ref="N15:Q17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60DE0-609B-4E35-8C76-17E2C64F9BCD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E7BC3-4699-46AB-8E6E-7FA85616088A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BC175-4DD9-43F3-8C1A-E955F692E35B}">
  <sheetPr codeName="Sheet22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  <row r="26" spans="1:17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0.13043478260869565</v>
      </c>
      <c r="M26" s="63">
        <v>0.26940639269406391</v>
      </c>
      <c r="N26" s="63">
        <v>0.15525114155251141</v>
      </c>
      <c r="O26" s="63">
        <v>0.59322033898305082</v>
      </c>
      <c r="P26" s="63">
        <v>0.35294117647058826</v>
      </c>
      <c r="Q26" s="63">
        <v>0.55737704918032782</v>
      </c>
    </row>
    <row r="27" spans="1:17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0.125</v>
      </c>
      <c r="M27" s="63">
        <v>0.26637554585152839</v>
      </c>
      <c r="N27" s="63">
        <v>0.15283842794759825</v>
      </c>
      <c r="O27" s="63">
        <v>0.5901639344262295</v>
      </c>
      <c r="P27" s="63">
        <v>0.34285714285714286</v>
      </c>
      <c r="Q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CC058-E56B-4865-AB67-A8303CACA217}">
  <sheetPr codeName="Sheet20"/>
  <dimension ref="A1:Q4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  <row r="35" spans="1:17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3.125E-2</v>
      </c>
      <c r="M35" s="63">
        <v>0.2</v>
      </c>
      <c r="N35" s="63">
        <v>0.22264150943396227</v>
      </c>
      <c r="O35" s="63">
        <v>0.54716981132075471</v>
      </c>
      <c r="P35" s="63">
        <v>0.3728813559322034</v>
      </c>
      <c r="Q35" s="63">
        <v>0.46774193548387094</v>
      </c>
    </row>
    <row r="36" spans="1:17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3.0303030303030304E-2</v>
      </c>
      <c r="M36" s="63">
        <v>0.19557195571955718</v>
      </c>
      <c r="N36" s="63">
        <v>0.22140221402214022</v>
      </c>
      <c r="O36" s="63">
        <v>0.54716981132075471</v>
      </c>
      <c r="P36" s="63">
        <v>0.36666666666666664</v>
      </c>
      <c r="Q36" s="63">
        <v>0.46031746031746029</v>
      </c>
    </row>
    <row r="37" spans="1:17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2.9411764705882353E-2</v>
      </c>
      <c r="M37" s="63">
        <v>0.19354838709677419</v>
      </c>
      <c r="N37" s="63">
        <v>0.22222222222222221</v>
      </c>
      <c r="O37" s="63">
        <v>0.55555555555555558</v>
      </c>
      <c r="P37" s="63">
        <v>0.37096774193548387</v>
      </c>
      <c r="Q37" s="63">
        <v>0.47692307692307695</v>
      </c>
    </row>
    <row r="38" spans="1:17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2.8571428571428571E-2</v>
      </c>
      <c r="M38" s="63">
        <v>0.19243986254295534</v>
      </c>
      <c r="N38" s="63">
        <v>0.22680412371134021</v>
      </c>
      <c r="O38" s="63">
        <v>0.5714285714285714</v>
      </c>
      <c r="P38" s="63">
        <v>0.37878787878787878</v>
      </c>
      <c r="Q38" s="63">
        <v>0.45833333333333331</v>
      </c>
    </row>
    <row r="39" spans="1:17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2.7777777777777776E-2</v>
      </c>
      <c r="M39" s="63">
        <v>0.19205298013245034</v>
      </c>
      <c r="N39" s="63">
        <v>0.23178807947019867</v>
      </c>
      <c r="O39" s="63">
        <v>0.55172413793103448</v>
      </c>
      <c r="P39" s="63">
        <v>0.4</v>
      </c>
      <c r="Q39" s="63">
        <v>0.48</v>
      </c>
    </row>
    <row r="40" spans="1:17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2.7027027027027029E-2</v>
      </c>
      <c r="M40" s="63">
        <v>0.19155844155844157</v>
      </c>
      <c r="N40" s="63">
        <v>0.22727272727272727</v>
      </c>
      <c r="O40" s="63">
        <v>0.5423728813559322</v>
      </c>
      <c r="P40" s="63">
        <v>0.4</v>
      </c>
      <c r="Q40" s="63">
        <v>0.48684210526315791</v>
      </c>
    </row>
    <row r="41" spans="1:17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2.6315789473684209E-2</v>
      </c>
      <c r="M41" s="63">
        <v>0.189873417721519</v>
      </c>
      <c r="N41" s="63">
        <v>0.22468354430379747</v>
      </c>
      <c r="O41" s="63">
        <v>0.53333333333333333</v>
      </c>
      <c r="P41" s="63">
        <v>0.40845070422535212</v>
      </c>
      <c r="Q41" s="63">
        <v>0.48051948051948051</v>
      </c>
    </row>
    <row r="42" spans="1:17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2.564102564102564E-2</v>
      </c>
      <c r="M42" s="63">
        <v>0.19135802469135801</v>
      </c>
      <c r="N42" s="63">
        <v>0.22839506172839505</v>
      </c>
      <c r="O42" s="63">
        <v>0.54838709677419351</v>
      </c>
      <c r="P42" s="63">
        <v>0.41891891891891891</v>
      </c>
      <c r="Q42" s="63">
        <v>0.49382716049382713</v>
      </c>
    </row>
    <row r="43" spans="1:17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2.5000000000000001E-2</v>
      </c>
      <c r="M43" s="63">
        <v>0.19877675840978593</v>
      </c>
      <c r="N43" s="63">
        <v>0.22629969418960244</v>
      </c>
      <c r="O43" s="63">
        <v>0.53846153846153844</v>
      </c>
      <c r="P43" s="63">
        <v>0.41891891891891891</v>
      </c>
      <c r="Q43" s="63">
        <v>0.48780487804878048</v>
      </c>
    </row>
    <row r="44" spans="1:17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2.4390243902439025E-2</v>
      </c>
      <c r="M44" s="63">
        <v>0.20658682634730538</v>
      </c>
      <c r="N44" s="63">
        <v>0.22155688622754491</v>
      </c>
      <c r="O44" s="63">
        <v>0.52173913043478259</v>
      </c>
      <c r="P44" s="63">
        <v>0.41891891891891891</v>
      </c>
      <c r="Q44" s="63">
        <v>0.48192771084337349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16A5-D195-49E8-A8A7-E24BDD6EDC07}">
  <sheetPr codeName="Sheet18"/>
  <dimension ref="A1:Q10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7.6923076923076927E-2</v>
      </c>
      <c r="M81" s="63">
        <v>0.2504012841091493</v>
      </c>
      <c r="N81" s="63">
        <v>0.23595505617977527</v>
      </c>
      <c r="O81" s="63">
        <v>0.57051282051282048</v>
      </c>
      <c r="P81" s="63">
        <v>0.40136054421768708</v>
      </c>
      <c r="Q81" s="63">
        <v>0.45086705202312138</v>
      </c>
    </row>
    <row r="82" spans="1:17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7.5949367088607597E-2</v>
      </c>
      <c r="M82" s="63">
        <v>0.25078864353312302</v>
      </c>
      <c r="N82" s="63">
        <v>0.23501577287066247</v>
      </c>
      <c r="O82" s="63">
        <v>0.55974842767295596</v>
      </c>
      <c r="P82" s="63">
        <v>0.40268456375838924</v>
      </c>
      <c r="Q82" s="63">
        <v>0.44886363636363635</v>
      </c>
    </row>
    <row r="83" spans="1:17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7.4999999999999997E-2</v>
      </c>
      <c r="M83" s="63">
        <v>0.25039123630672927</v>
      </c>
      <c r="N83" s="63">
        <v>0.23630672926447574</v>
      </c>
      <c r="O83" s="63">
        <v>0.5625</v>
      </c>
      <c r="P83" s="63">
        <v>0.40397350993377484</v>
      </c>
      <c r="Q83" s="63">
        <v>0.449438202247191</v>
      </c>
    </row>
    <row r="84" spans="1:17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7.407407407407407E-2</v>
      </c>
      <c r="M84" s="63">
        <v>0.25386996904024767</v>
      </c>
      <c r="N84" s="63">
        <v>0.23529411764705882</v>
      </c>
      <c r="O84" s="63">
        <v>0.56707317073170727</v>
      </c>
      <c r="P84" s="63">
        <v>0.40789473684210525</v>
      </c>
      <c r="Q84" s="63">
        <v>0.44808743169398907</v>
      </c>
    </row>
    <row r="85" spans="1:17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7.3170731707317069E-2</v>
      </c>
      <c r="M85" s="63">
        <v>0.25229357798165136</v>
      </c>
      <c r="N85" s="63">
        <v>0.23547400611620795</v>
      </c>
      <c r="O85" s="63">
        <v>0.5696969696969697</v>
      </c>
      <c r="P85" s="63">
        <v>0.40909090909090912</v>
      </c>
      <c r="Q85" s="63">
        <v>0.44864864864864867</v>
      </c>
    </row>
    <row r="86" spans="1:17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7.2289156626506021E-2</v>
      </c>
      <c r="M86" s="63">
        <v>0.25264750378214829</v>
      </c>
      <c r="N86" s="63">
        <v>0.2329803328290469</v>
      </c>
      <c r="O86" s="63">
        <v>0.56287425149700598</v>
      </c>
      <c r="P86" s="63">
        <v>0.40909090909090912</v>
      </c>
      <c r="Q86" s="63">
        <v>0.44864864864864867</v>
      </c>
    </row>
    <row r="87" spans="1:17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7.1428571428571425E-2</v>
      </c>
      <c r="M87" s="63">
        <v>0.25337331334332835</v>
      </c>
      <c r="N87" s="63">
        <v>0.23088455772113944</v>
      </c>
      <c r="O87" s="63">
        <v>0.56804733727810652</v>
      </c>
      <c r="P87" s="63">
        <v>0.40909090909090912</v>
      </c>
      <c r="Q87" s="63">
        <v>0.44385026737967914</v>
      </c>
    </row>
    <row r="88" spans="1:17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7.0588235294117646E-2</v>
      </c>
      <c r="M88" s="63">
        <v>0.25370919881305637</v>
      </c>
      <c r="N88" s="63">
        <v>0.2314540059347181</v>
      </c>
      <c r="O88" s="63">
        <v>0.56140350877192979</v>
      </c>
      <c r="P88" s="63">
        <v>0.41025641025641024</v>
      </c>
      <c r="Q88" s="63">
        <v>0.44973544973544971</v>
      </c>
    </row>
    <row r="89" spans="1:17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6.9767441860465115E-2</v>
      </c>
      <c r="M89" s="63">
        <v>0.25768667642752563</v>
      </c>
      <c r="N89" s="63">
        <v>0.22986822840409957</v>
      </c>
      <c r="O89" s="63">
        <v>0.55681818181818177</v>
      </c>
      <c r="P89" s="63">
        <v>0.4140127388535032</v>
      </c>
      <c r="Q89" s="63">
        <v>0.44791666666666669</v>
      </c>
    </row>
    <row r="90" spans="1:17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6.8965517241379309E-2</v>
      </c>
      <c r="M90" s="63">
        <v>0.2608695652173913</v>
      </c>
      <c r="N90" s="63">
        <v>0.22898550724637681</v>
      </c>
      <c r="O90" s="63">
        <v>0.56111111111111112</v>
      </c>
      <c r="P90" s="63">
        <v>0.41139240506329117</v>
      </c>
      <c r="Q90" s="63">
        <v>0.44615384615384618</v>
      </c>
    </row>
    <row r="91" spans="1:17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6.8181818181818177E-2</v>
      </c>
      <c r="M91" s="63">
        <v>0.26315789473684209</v>
      </c>
      <c r="N91" s="63">
        <v>0.22759601706970128</v>
      </c>
      <c r="O91" s="63">
        <v>0.56216216216216219</v>
      </c>
      <c r="P91" s="63">
        <v>0.41249999999999998</v>
      </c>
      <c r="Q91" s="63">
        <v>0.44221105527638194</v>
      </c>
    </row>
    <row r="92" spans="1:17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6.741573033707865E-2</v>
      </c>
      <c r="M92" s="63">
        <v>0.26396648044692739</v>
      </c>
      <c r="N92" s="63">
        <v>0.22346368715083798</v>
      </c>
      <c r="O92" s="63">
        <v>0.56084656084656082</v>
      </c>
      <c r="P92" s="63">
        <v>0.41249999999999998</v>
      </c>
      <c r="Q92" s="63">
        <v>0.4405940594059406</v>
      </c>
    </row>
    <row r="93" spans="1:17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7.7777777777777779E-2</v>
      </c>
      <c r="M93" s="63">
        <v>0.26592797783933519</v>
      </c>
      <c r="N93" s="63">
        <v>0.22160664819944598</v>
      </c>
      <c r="O93" s="63">
        <v>0.56770833333333337</v>
      </c>
      <c r="P93" s="63">
        <v>0.41249999999999998</v>
      </c>
      <c r="Q93" s="63">
        <v>0.44878048780487806</v>
      </c>
    </row>
    <row r="94" spans="1:17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7.6923076923076927E-2</v>
      </c>
      <c r="M94" s="63">
        <v>0.26648351648351648</v>
      </c>
      <c r="N94" s="63">
        <v>0.22115384615384615</v>
      </c>
      <c r="O94" s="63">
        <v>0.57216494845360821</v>
      </c>
      <c r="P94" s="63">
        <v>0.40993788819875776</v>
      </c>
      <c r="Q94" s="63">
        <v>0.44927536231884058</v>
      </c>
    </row>
    <row r="95" spans="1:17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8.6956521739130432E-2</v>
      </c>
      <c r="M95" s="63">
        <v>0.26666666666666666</v>
      </c>
      <c r="N95" s="63">
        <v>0.22040816326530613</v>
      </c>
      <c r="O95" s="63">
        <v>0.57653061224489799</v>
      </c>
      <c r="P95" s="63">
        <v>0.41358024691358025</v>
      </c>
      <c r="Q95" s="63">
        <v>0.45714285714285713</v>
      </c>
    </row>
    <row r="96" spans="1:17" x14ac:dyDescent="0.4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8.6021505376344093E-2</v>
      </c>
      <c r="M96" s="63">
        <v>0.27052489905787347</v>
      </c>
      <c r="N96" s="63">
        <v>0.21938088829071331</v>
      </c>
      <c r="O96" s="63">
        <v>0.58208955223880599</v>
      </c>
      <c r="P96" s="63">
        <v>0.41717791411042943</v>
      </c>
      <c r="Q96" s="63">
        <v>0.46046511627906977</v>
      </c>
    </row>
    <row r="97" spans="1:17" x14ac:dyDescent="0.4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8.5106382978723402E-2</v>
      </c>
      <c r="M97" s="63">
        <v>0.27030625832223704</v>
      </c>
      <c r="N97" s="63">
        <v>0.21970705725699069</v>
      </c>
      <c r="O97" s="63">
        <v>0.58128078817733986</v>
      </c>
      <c r="P97" s="63">
        <v>0.41212121212121211</v>
      </c>
      <c r="Q97" s="63">
        <v>0.45622119815668205</v>
      </c>
    </row>
    <row r="98" spans="1:17" x14ac:dyDescent="0.4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9.4736842105263161E-2</v>
      </c>
      <c r="M98" s="63">
        <v>0.27055702917771884</v>
      </c>
      <c r="N98" s="63">
        <v>0.21883289124668434</v>
      </c>
      <c r="O98" s="63">
        <v>0.58333333333333337</v>
      </c>
      <c r="P98" s="63">
        <v>0.41212121212121211</v>
      </c>
      <c r="Q98" s="63">
        <v>0.45412844036697247</v>
      </c>
    </row>
    <row r="99" spans="1:17" x14ac:dyDescent="0.4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9.375E-2</v>
      </c>
      <c r="M99" s="63">
        <v>0.26938239159001315</v>
      </c>
      <c r="N99" s="63">
        <v>0.21944809461235218</v>
      </c>
      <c r="O99" s="63">
        <v>0.58536585365853655</v>
      </c>
      <c r="P99" s="63">
        <v>0.41317365269461076</v>
      </c>
      <c r="Q99" s="63">
        <v>0.45248868778280543</v>
      </c>
    </row>
    <row r="100" spans="1:17" x14ac:dyDescent="0.4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9.2783505154639179E-2</v>
      </c>
      <c r="M100" s="63">
        <v>0.26848249027237353</v>
      </c>
      <c r="N100" s="63">
        <v>0.21789883268482491</v>
      </c>
      <c r="O100" s="63">
        <v>0.57971014492753625</v>
      </c>
      <c r="P100" s="63">
        <v>0.4107142857142857</v>
      </c>
      <c r="Q100" s="63">
        <v>0.45495495495495497</v>
      </c>
    </row>
    <row r="101" spans="1:17" x14ac:dyDescent="0.4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9.1836734693877556E-2</v>
      </c>
      <c r="M101" s="63">
        <v>0.26632522407170295</v>
      </c>
      <c r="N101" s="63">
        <v>0.22023047375160051</v>
      </c>
      <c r="O101" s="63">
        <v>0.58173076923076927</v>
      </c>
      <c r="P101" s="63">
        <v>0.41860465116279072</v>
      </c>
      <c r="Q101" s="63">
        <v>0.44690265486725661</v>
      </c>
    </row>
    <row r="102" spans="1:17" x14ac:dyDescent="0.4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9.0909090909090912E-2</v>
      </c>
      <c r="M102" s="63">
        <v>0.26767676767676768</v>
      </c>
      <c r="N102" s="63">
        <v>0.2196969696969697</v>
      </c>
      <c r="O102" s="63">
        <v>0.57075471698113212</v>
      </c>
      <c r="P102" s="63">
        <v>0.42528735632183906</v>
      </c>
      <c r="Q102" s="63">
        <v>0.44736842105263158</v>
      </c>
    </row>
    <row r="103" spans="1:17" x14ac:dyDescent="0.4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0.09</v>
      </c>
      <c r="M103" s="63">
        <v>0.26716604244694131</v>
      </c>
      <c r="N103" s="63">
        <v>0.22097378277153559</v>
      </c>
      <c r="O103" s="63">
        <v>0.57009345794392519</v>
      </c>
      <c r="P103" s="63">
        <v>0.42372881355932202</v>
      </c>
      <c r="Q103" s="63">
        <v>0.45217391304347826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54592-2FD1-4A48-86FE-72BA86F274DB}">
  <sheetPr codeName="Sheet16"/>
  <dimension ref="A1:Q7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  <row r="60" spans="1:17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0.19298245614035087</v>
      </c>
      <c r="M60" s="63">
        <v>0.32385120350109409</v>
      </c>
      <c r="N60" s="63">
        <v>0.17943107221006566</v>
      </c>
      <c r="O60" s="63">
        <v>0.54729729729729726</v>
      </c>
      <c r="P60" s="63">
        <v>0.45121951219512196</v>
      </c>
      <c r="Q60" s="63">
        <v>0.48529411764705882</v>
      </c>
    </row>
    <row r="61" spans="1:17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0.18965517241379309</v>
      </c>
      <c r="M61" s="63">
        <v>0.32258064516129031</v>
      </c>
      <c r="N61" s="63">
        <v>0.17634408602150536</v>
      </c>
      <c r="O61" s="63">
        <v>0.54666666666666663</v>
      </c>
      <c r="P61" s="63">
        <v>0.45121951219512196</v>
      </c>
      <c r="Q61" s="63">
        <v>0.48550724637681159</v>
      </c>
    </row>
    <row r="62" spans="1:17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0.20338983050847459</v>
      </c>
      <c r="M62" s="63">
        <v>0.32845188284518828</v>
      </c>
      <c r="N62" s="63">
        <v>0.17782426778242677</v>
      </c>
      <c r="O62" s="63">
        <v>0.55414012738853502</v>
      </c>
      <c r="P62" s="63">
        <v>0.43529411764705883</v>
      </c>
      <c r="Q62" s="63">
        <v>0.4825174825174825</v>
      </c>
    </row>
    <row r="63" spans="1:17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0.2</v>
      </c>
      <c r="M63" s="63">
        <v>0.32723577235772355</v>
      </c>
      <c r="N63" s="63">
        <v>0.17886178861788618</v>
      </c>
      <c r="O63" s="63">
        <v>0.54658385093167705</v>
      </c>
      <c r="P63" s="63">
        <v>0.44318181818181818</v>
      </c>
      <c r="Q63" s="63">
        <v>0.47945205479452052</v>
      </c>
    </row>
    <row r="64" spans="1:17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0.19672131147540983</v>
      </c>
      <c r="M64" s="63">
        <v>0.32341269841269843</v>
      </c>
      <c r="N64" s="63">
        <v>0.18055555555555555</v>
      </c>
      <c r="O64" s="63">
        <v>0.54601226993865026</v>
      </c>
      <c r="P64" s="63">
        <v>0.43956043956043955</v>
      </c>
      <c r="Q64" s="63">
        <v>0.47297297297297297</v>
      </c>
    </row>
    <row r="65" spans="1:17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0.19354838709677419</v>
      </c>
      <c r="M65" s="63">
        <v>0.32156862745098042</v>
      </c>
      <c r="N65" s="63">
        <v>0.17843137254901961</v>
      </c>
      <c r="O65" s="63">
        <v>0.54878048780487809</v>
      </c>
      <c r="P65" s="63">
        <v>0.43956043956043955</v>
      </c>
      <c r="Q65" s="63">
        <v>0.46979865771812079</v>
      </c>
    </row>
    <row r="66" spans="1:17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0.19047619047619047</v>
      </c>
      <c r="M66" s="63">
        <v>0.31782945736434109</v>
      </c>
      <c r="N66" s="63">
        <v>0.17635658914728683</v>
      </c>
      <c r="O66" s="63">
        <v>0.54878048780487809</v>
      </c>
      <c r="P66" s="63">
        <v>0.43956043956043955</v>
      </c>
      <c r="Q66" s="63">
        <v>0.46979865771812079</v>
      </c>
    </row>
    <row r="67" spans="1:17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0.1875</v>
      </c>
      <c r="M67" s="63">
        <v>0.31739961759082219</v>
      </c>
      <c r="N67" s="63">
        <v>0.17782026768642448</v>
      </c>
      <c r="O67" s="63">
        <v>0.54819277108433739</v>
      </c>
      <c r="P67" s="63">
        <v>0.43010752688172044</v>
      </c>
      <c r="Q67" s="63">
        <v>0.47333333333333333</v>
      </c>
    </row>
    <row r="68" spans="1:17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0.18461538461538463</v>
      </c>
      <c r="M68" s="63">
        <v>0.31826741996233521</v>
      </c>
      <c r="N68" s="63">
        <v>0.17890772128060264</v>
      </c>
      <c r="O68" s="63">
        <v>0.55621301775147924</v>
      </c>
      <c r="P68" s="63">
        <v>0.44210526315789472</v>
      </c>
      <c r="Q68" s="63">
        <v>0.47741935483870968</v>
      </c>
    </row>
    <row r="69" spans="1:17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0.18181818181818182</v>
      </c>
      <c r="M69" s="63">
        <v>0.31860036832412525</v>
      </c>
      <c r="N69" s="63">
        <v>0.17863720073664824</v>
      </c>
      <c r="O69" s="63">
        <v>0.56069364161849711</v>
      </c>
      <c r="P69" s="63">
        <v>0.44329896907216493</v>
      </c>
      <c r="Q69" s="63">
        <v>0.47169811320754718</v>
      </c>
    </row>
    <row r="70" spans="1:17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0.17910447761194029</v>
      </c>
      <c r="M70" s="63">
        <v>0.31760435571687839</v>
      </c>
      <c r="N70" s="63">
        <v>0.17785843920145192</v>
      </c>
      <c r="O70" s="63">
        <v>0.55428571428571427</v>
      </c>
      <c r="P70" s="63">
        <v>0.44897959183673469</v>
      </c>
      <c r="Q70" s="63">
        <v>0.47499999999999998</v>
      </c>
    </row>
    <row r="71" spans="1:17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0.19117647058823528</v>
      </c>
      <c r="M71" s="63">
        <v>0.31899641577060933</v>
      </c>
      <c r="N71" s="63">
        <v>0.17921146953405018</v>
      </c>
      <c r="O71" s="63">
        <v>0.5561797752808989</v>
      </c>
      <c r="P71" s="63">
        <v>0.45</v>
      </c>
      <c r="Q71" s="63">
        <v>0.48170731707317072</v>
      </c>
    </row>
    <row r="72" spans="1:17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0.18840579710144928</v>
      </c>
      <c r="M72" s="63">
        <v>0.31802120141342755</v>
      </c>
      <c r="N72" s="63">
        <v>0.17667844522968199</v>
      </c>
      <c r="O72" s="63">
        <v>0.55555555555555558</v>
      </c>
      <c r="P72" s="63">
        <v>0.45</v>
      </c>
      <c r="Q72" s="63">
        <v>0.48484848484848486</v>
      </c>
    </row>
    <row r="73" spans="1:17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0.18571428571428572</v>
      </c>
      <c r="M73" s="63">
        <v>0.31533101045296169</v>
      </c>
      <c r="N73" s="63">
        <v>0.17944250871080139</v>
      </c>
      <c r="O73" s="63">
        <v>0.55801104972375692</v>
      </c>
      <c r="P73" s="63">
        <v>0.43689320388349512</v>
      </c>
      <c r="Q73" s="63">
        <v>0.48192771084337349</v>
      </c>
    </row>
    <row r="74" spans="1:17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0.18309859154929578</v>
      </c>
      <c r="M74" s="63">
        <v>0.31715771230502598</v>
      </c>
      <c r="N74" s="63">
        <v>0.17850953206239167</v>
      </c>
      <c r="O74" s="63">
        <v>0.55737704918032782</v>
      </c>
      <c r="P74" s="63">
        <v>0.43689320388349512</v>
      </c>
      <c r="Q74" s="63">
        <v>0.47904191616766467</v>
      </c>
    </row>
    <row r="75" spans="1:17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0.19444444444444445</v>
      </c>
      <c r="M75" s="63">
        <v>0.3202054794520548</v>
      </c>
      <c r="N75" s="63">
        <v>0.17636986301369864</v>
      </c>
      <c r="O75" s="63">
        <v>0.56149732620320858</v>
      </c>
      <c r="P75" s="63">
        <v>0.43689320388349512</v>
      </c>
      <c r="Q75" s="63">
        <v>0.47647058823529409</v>
      </c>
    </row>
    <row r="76" spans="1:17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0.19178082191780821</v>
      </c>
      <c r="M76" s="63">
        <v>0.32081911262798635</v>
      </c>
      <c r="N76" s="63">
        <v>0.17576791808873721</v>
      </c>
      <c r="O76" s="63">
        <v>0.55851063829787229</v>
      </c>
      <c r="P76" s="63">
        <v>0.43689320388349512</v>
      </c>
      <c r="Q76" s="63">
        <v>0.47647058823529409</v>
      </c>
    </row>
    <row r="77" spans="1:17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0.1891891891891892</v>
      </c>
      <c r="M77" s="63">
        <v>0.31871838111298484</v>
      </c>
      <c r="N77" s="63">
        <v>0.17537942664418213</v>
      </c>
      <c r="O77" s="63">
        <v>0.55555555555555558</v>
      </c>
      <c r="P77" s="63">
        <v>0.43269230769230771</v>
      </c>
      <c r="Q77" s="63">
        <v>0.47647058823529409</v>
      </c>
    </row>
    <row r="78" spans="1:17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0.18666666666666668</v>
      </c>
      <c r="M78" s="63">
        <v>0.31788079470198677</v>
      </c>
      <c r="N78" s="63">
        <v>0.17549668874172186</v>
      </c>
      <c r="O78" s="63">
        <v>0.55208333333333337</v>
      </c>
      <c r="P78" s="63">
        <v>0.42452830188679247</v>
      </c>
      <c r="Q78" s="63">
        <v>0.47674418604651164</v>
      </c>
    </row>
    <row r="79" spans="1:17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0.18421052631578946</v>
      </c>
      <c r="M79" s="63">
        <v>0.315359477124183</v>
      </c>
      <c r="N79" s="63">
        <v>0.1781045751633987</v>
      </c>
      <c r="O79" s="63">
        <v>0.54922279792746109</v>
      </c>
      <c r="P79" s="63">
        <v>0.42201834862385323</v>
      </c>
      <c r="Q79" s="63">
        <v>0.48275862068965519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7CCD7-8910-414A-9A8A-4673DD790BC1}">
  <sheetPr codeName="Sheet14"/>
  <dimension ref="A1:Q7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  <row r="65" spans="1:17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3.2258064516129031E-2</v>
      </c>
      <c r="M65" s="63">
        <v>0.28516377649325625</v>
      </c>
      <c r="N65" s="63">
        <v>0.18882466281310212</v>
      </c>
      <c r="O65" s="63">
        <v>0.58783783783783783</v>
      </c>
      <c r="P65" s="63">
        <v>0.38775510204081631</v>
      </c>
      <c r="Q65" s="63">
        <v>0.4513888888888889</v>
      </c>
    </row>
    <row r="66" spans="1:17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3.1746031746031744E-2</v>
      </c>
      <c r="M66" s="63">
        <v>0.29166666666666669</v>
      </c>
      <c r="N66" s="63">
        <v>0.1875</v>
      </c>
      <c r="O66" s="63">
        <v>0.58441558441558439</v>
      </c>
      <c r="P66" s="63">
        <v>0.38383838383838381</v>
      </c>
      <c r="Q66" s="63">
        <v>0.45270270270270269</v>
      </c>
    </row>
    <row r="67" spans="1:17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3.125E-2</v>
      </c>
      <c r="M67" s="63">
        <v>0.28782287822878228</v>
      </c>
      <c r="N67" s="63">
        <v>0.18819188191881919</v>
      </c>
      <c r="O67" s="63">
        <v>0.58333333333333337</v>
      </c>
      <c r="P67" s="63">
        <v>0.40196078431372551</v>
      </c>
      <c r="Q67" s="63">
        <v>0.46052631578947367</v>
      </c>
    </row>
    <row r="68" spans="1:17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3.0769230769230771E-2</v>
      </c>
      <c r="M68" s="63">
        <v>0.2867513611615245</v>
      </c>
      <c r="N68" s="63">
        <v>0.19237749546279492</v>
      </c>
      <c r="O68" s="63">
        <v>0.58227848101265822</v>
      </c>
      <c r="P68" s="63">
        <v>0.3867924528301887</v>
      </c>
      <c r="Q68" s="63">
        <v>0.45751633986928103</v>
      </c>
    </row>
    <row r="69" spans="1:17" x14ac:dyDescent="0.4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3.0303030303030304E-2</v>
      </c>
      <c r="M69" s="63">
        <v>0.28520499108734404</v>
      </c>
      <c r="N69" s="63">
        <v>0.19073083778966132</v>
      </c>
      <c r="O69" s="63">
        <v>0.58750000000000002</v>
      </c>
      <c r="P69" s="63">
        <v>0.3925233644859813</v>
      </c>
      <c r="Q69" s="63">
        <v>0.46202531645569622</v>
      </c>
    </row>
    <row r="70" spans="1:17" x14ac:dyDescent="0.4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2.9850746268656716E-2</v>
      </c>
      <c r="M70" s="63">
        <v>0.2879581151832461</v>
      </c>
      <c r="N70" s="63">
        <v>0.19022687609075042</v>
      </c>
      <c r="O70" s="63">
        <v>0.5757575757575758</v>
      </c>
      <c r="P70" s="63">
        <v>0.40366972477064222</v>
      </c>
      <c r="Q70" s="63">
        <v>0.45962732919254656</v>
      </c>
    </row>
    <row r="71" spans="1:17" x14ac:dyDescent="0.4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2.9411764705882353E-2</v>
      </c>
      <c r="M71" s="63">
        <v>0.28869565217391302</v>
      </c>
      <c r="N71" s="63">
        <v>0.19130434782608696</v>
      </c>
      <c r="O71" s="63">
        <v>0.57228915662650603</v>
      </c>
      <c r="P71" s="63">
        <v>0.40909090909090912</v>
      </c>
      <c r="Q71" s="63">
        <v>0.4567901234567901</v>
      </c>
    </row>
    <row r="72" spans="1:17" x14ac:dyDescent="0.4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2.8985507246376812E-2</v>
      </c>
      <c r="M72" s="63">
        <v>0.28694158075601373</v>
      </c>
      <c r="N72" s="63">
        <v>0.19243986254295534</v>
      </c>
      <c r="O72" s="63">
        <v>0.56886227544910184</v>
      </c>
      <c r="P72" s="63">
        <v>0.4107142857142857</v>
      </c>
      <c r="Q72" s="63">
        <v>0.45398773006134968</v>
      </c>
    </row>
    <row r="73" spans="1:17" x14ac:dyDescent="0.4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2.8571428571428571E-2</v>
      </c>
      <c r="M73" s="63">
        <v>0.28499156829679595</v>
      </c>
      <c r="N73" s="63">
        <v>0.19224283305227655</v>
      </c>
      <c r="O73" s="63">
        <v>0.57396449704142016</v>
      </c>
      <c r="P73" s="63">
        <v>0.41228070175438597</v>
      </c>
      <c r="Q73" s="63">
        <v>0.45783132530120479</v>
      </c>
    </row>
    <row r="74" spans="1:17" x14ac:dyDescent="0.4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2.8169014084507043E-2</v>
      </c>
      <c r="M74" s="63">
        <v>0.28524046434494194</v>
      </c>
      <c r="N74" s="63">
        <v>0.19237147595356552</v>
      </c>
      <c r="O74" s="63">
        <v>0.57558139534883723</v>
      </c>
      <c r="P74" s="63">
        <v>0.40517241379310343</v>
      </c>
      <c r="Q74" s="63">
        <v>0.4642857142857143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C64EC-998B-4D55-9F78-E86F95CF2FF0}">
  <sheetPr codeName="Sheet12"/>
  <dimension ref="A1:Q11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  <row r="92" spans="1:17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0.11235955056179775</v>
      </c>
      <c r="M92" s="63">
        <v>0.22823218997361477</v>
      </c>
      <c r="N92" s="63">
        <v>0.30606860158311344</v>
      </c>
      <c r="O92" s="63">
        <v>0.53179190751445082</v>
      </c>
      <c r="P92" s="63">
        <v>0.38362068965517243</v>
      </c>
      <c r="Q92" s="63">
        <v>0.38493723849372385</v>
      </c>
    </row>
    <row r="93" spans="1:17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0.1111111111111111</v>
      </c>
      <c r="M93" s="63">
        <v>0.23216601815823606</v>
      </c>
      <c r="N93" s="63">
        <v>0.30998702983138782</v>
      </c>
      <c r="O93" s="63">
        <v>0.51955307262569828</v>
      </c>
      <c r="P93" s="63">
        <v>0.38493723849372385</v>
      </c>
      <c r="Q93" s="63">
        <v>0.38683127572016462</v>
      </c>
    </row>
    <row r="94" spans="1:17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0.10989010989010989</v>
      </c>
      <c r="M94" s="63">
        <v>0.2326478149100257</v>
      </c>
      <c r="N94" s="63">
        <v>0.30976863753213368</v>
      </c>
      <c r="O94" s="63">
        <v>0.51933701657458564</v>
      </c>
      <c r="P94" s="63">
        <v>0.38174273858921159</v>
      </c>
      <c r="Q94" s="63">
        <v>0.38524590163934425</v>
      </c>
    </row>
    <row r="95" spans="1:17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0.10869565217391304</v>
      </c>
      <c r="M95" s="63">
        <v>0.2340966921119593</v>
      </c>
      <c r="N95" s="63">
        <v>0.30916030534351147</v>
      </c>
      <c r="O95" s="63">
        <v>0.51630434782608692</v>
      </c>
      <c r="P95" s="63">
        <v>0.37860082304526749</v>
      </c>
      <c r="Q95" s="63">
        <v>0.38775510204081631</v>
      </c>
    </row>
    <row r="96" spans="1:17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0.10752688172043011</v>
      </c>
      <c r="M96" s="63">
        <v>0.23707440100882723</v>
      </c>
      <c r="N96" s="63">
        <v>0.30643127364438838</v>
      </c>
      <c r="O96" s="63">
        <v>0.51063829787234039</v>
      </c>
      <c r="P96" s="63">
        <v>0.37860082304526749</v>
      </c>
      <c r="Q96" s="63">
        <v>0.38617886178861788</v>
      </c>
    </row>
    <row r="97" spans="1:17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0.10638297872340426</v>
      </c>
      <c r="M97" s="63">
        <v>0.23654568210262827</v>
      </c>
      <c r="N97" s="63">
        <v>0.30663329161451813</v>
      </c>
      <c r="O97" s="63">
        <v>0.50793650793650791</v>
      </c>
      <c r="P97" s="63">
        <v>0.37551020408163266</v>
      </c>
      <c r="Q97" s="63">
        <v>0.38617886178861788</v>
      </c>
    </row>
    <row r="98" spans="1:17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0.10526315789473684</v>
      </c>
      <c r="M98" s="63">
        <v>0.23449131513647642</v>
      </c>
      <c r="N98" s="63">
        <v>0.30645161290322581</v>
      </c>
      <c r="O98" s="63">
        <v>0.50793650793650791</v>
      </c>
      <c r="P98" s="63">
        <v>0.37651821862348178</v>
      </c>
      <c r="Q98" s="63">
        <v>0.38461538461538464</v>
      </c>
    </row>
    <row r="99" spans="1:17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0.10416666666666667</v>
      </c>
      <c r="M99" s="63">
        <v>0.2343558282208589</v>
      </c>
      <c r="N99" s="63">
        <v>0.30674846625766872</v>
      </c>
      <c r="O99" s="63">
        <v>0.50785340314136129</v>
      </c>
      <c r="P99" s="63">
        <v>0.376</v>
      </c>
      <c r="Q99" s="63">
        <v>0.38554216867469882</v>
      </c>
    </row>
    <row r="100" spans="1:17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0.10309278350515463</v>
      </c>
      <c r="M100" s="63">
        <v>0.2334963325183374</v>
      </c>
      <c r="N100" s="63">
        <v>0.30562347188264061</v>
      </c>
      <c r="O100" s="63">
        <v>0.50785340314136129</v>
      </c>
      <c r="P100" s="63">
        <v>0.376</v>
      </c>
      <c r="Q100" s="63">
        <v>0.38554216867469882</v>
      </c>
    </row>
    <row r="101" spans="1:17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0.10204081632653061</v>
      </c>
      <c r="M101" s="63">
        <v>0.23458282950423218</v>
      </c>
      <c r="N101" s="63">
        <v>0.30350665054413545</v>
      </c>
      <c r="O101" s="63">
        <v>0.51030927835051543</v>
      </c>
      <c r="P101" s="63">
        <v>0.37450199203187251</v>
      </c>
      <c r="Q101" s="63">
        <v>0.38645418326693226</v>
      </c>
    </row>
    <row r="102" spans="1:17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0.10101010101010101</v>
      </c>
      <c r="M102" s="63">
        <v>0.2347305389221557</v>
      </c>
      <c r="N102" s="63">
        <v>0.30419161676646705</v>
      </c>
      <c r="O102" s="63">
        <v>0.51020408163265307</v>
      </c>
      <c r="P102" s="63">
        <v>0.37401574803149606</v>
      </c>
      <c r="Q102" s="63">
        <v>0.38735177865612647</v>
      </c>
    </row>
    <row r="103" spans="1:17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0.1</v>
      </c>
      <c r="M103" s="63">
        <v>0.23515439429928742</v>
      </c>
      <c r="N103" s="63">
        <v>0.30403800475059384</v>
      </c>
      <c r="O103" s="63">
        <v>0.51010101010101006</v>
      </c>
      <c r="P103" s="63">
        <v>0.37109375</v>
      </c>
      <c r="Q103" s="63">
        <v>0.38976377952755903</v>
      </c>
    </row>
    <row r="104" spans="1:17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9.9009900990099015E-2</v>
      </c>
      <c r="M104" s="63">
        <v>0.23349056603773585</v>
      </c>
      <c r="N104" s="63">
        <v>0.30306603773584906</v>
      </c>
      <c r="O104" s="63">
        <v>0.51010101010101006</v>
      </c>
      <c r="P104" s="63">
        <v>0.36964980544747084</v>
      </c>
      <c r="Q104" s="63">
        <v>0.38976377952755903</v>
      </c>
    </row>
    <row r="105" spans="1:17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9.8039215686274508E-2</v>
      </c>
      <c r="M105" s="63">
        <v>0.23481308411214954</v>
      </c>
      <c r="N105" s="63">
        <v>0.30373831775700932</v>
      </c>
      <c r="O105" s="63">
        <v>0.5074626865671642</v>
      </c>
      <c r="P105" s="63">
        <v>0.36923076923076925</v>
      </c>
      <c r="Q105" s="63">
        <v>0.390625</v>
      </c>
    </row>
    <row r="106" spans="1:17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9.7087378640776698E-2</v>
      </c>
      <c r="M106" s="63">
        <v>0.23495370370370369</v>
      </c>
      <c r="N106" s="63">
        <v>0.30324074074074076</v>
      </c>
      <c r="O106" s="63">
        <v>0.5073891625615764</v>
      </c>
      <c r="P106" s="63">
        <v>0.36641221374045801</v>
      </c>
      <c r="Q106" s="63">
        <v>0.39768339768339767</v>
      </c>
    </row>
    <row r="107" spans="1:17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9.6153846153846159E-2</v>
      </c>
      <c r="M107" s="63">
        <v>0.23279816513761467</v>
      </c>
      <c r="N107" s="63">
        <v>0.30389908256880732</v>
      </c>
      <c r="O107" s="63">
        <v>0.5073891625615764</v>
      </c>
      <c r="P107" s="63">
        <v>0.36603773584905658</v>
      </c>
      <c r="Q107" s="63">
        <v>0.39846743295019155</v>
      </c>
    </row>
    <row r="108" spans="1:17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9.5238095238095233E-2</v>
      </c>
      <c r="M108" s="63">
        <v>0.23269012485811577</v>
      </c>
      <c r="N108" s="63">
        <v>0.30192962542565266</v>
      </c>
      <c r="O108" s="63">
        <v>0.50731707317073171</v>
      </c>
      <c r="P108" s="63">
        <v>0.36466165413533835</v>
      </c>
      <c r="Q108" s="63">
        <v>0.39923954372623577</v>
      </c>
    </row>
    <row r="109" spans="1:17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9.4339622641509441E-2</v>
      </c>
      <c r="M109" s="63">
        <v>0.23180291153415453</v>
      </c>
      <c r="N109" s="63">
        <v>0.30235162374020158</v>
      </c>
      <c r="O109" s="63">
        <v>0.50724637681159424</v>
      </c>
      <c r="P109" s="63">
        <v>0.36296296296296299</v>
      </c>
      <c r="Q109" s="63">
        <v>0.4044943820224719</v>
      </c>
    </row>
    <row r="110" spans="1:17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9.3457943925233641E-2</v>
      </c>
      <c r="M110" s="63">
        <v>0.23085460599334073</v>
      </c>
      <c r="N110" s="63">
        <v>0.30410654827968925</v>
      </c>
      <c r="O110" s="63">
        <v>0.50480769230769229</v>
      </c>
      <c r="P110" s="63">
        <v>0.36861313868613138</v>
      </c>
      <c r="Q110" s="63">
        <v>0.40808823529411764</v>
      </c>
    </row>
    <row r="111" spans="1:17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9.2592592592592587E-2</v>
      </c>
      <c r="M111" s="63">
        <v>0.23017621145374451</v>
      </c>
      <c r="N111" s="63">
        <v>0.30616740088105726</v>
      </c>
      <c r="O111" s="63">
        <v>0.50239234449760761</v>
      </c>
      <c r="P111" s="63">
        <v>0.37050359712230213</v>
      </c>
      <c r="Q111" s="63">
        <v>0.4051094890510949</v>
      </c>
    </row>
    <row r="112" spans="1:17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0.10091743119266056</v>
      </c>
      <c r="M112" s="63">
        <v>0.22967032967032966</v>
      </c>
      <c r="N112" s="63">
        <v>0.30659340659340661</v>
      </c>
      <c r="O112" s="63">
        <v>0.50239234449760761</v>
      </c>
      <c r="P112" s="63">
        <v>0.36917562724014336</v>
      </c>
      <c r="Q112" s="63">
        <v>0.40363636363636363</v>
      </c>
    </row>
    <row r="113" spans="1:17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0.10909090909090909</v>
      </c>
      <c r="M113" s="63">
        <v>0.23009814612868049</v>
      </c>
      <c r="N113" s="63">
        <v>0.3075245365321701</v>
      </c>
      <c r="O113" s="63">
        <v>0.50236966824644547</v>
      </c>
      <c r="P113" s="63">
        <v>0.37234042553191488</v>
      </c>
      <c r="Q113" s="63">
        <v>0.4050179211469534</v>
      </c>
    </row>
    <row r="114" spans="1:17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0.10810810810810811</v>
      </c>
      <c r="M114" s="63">
        <v>0.23060344827586207</v>
      </c>
      <c r="N114" s="63">
        <v>0.30926724137931033</v>
      </c>
      <c r="O114" s="63">
        <v>0.5</v>
      </c>
      <c r="P114" s="63">
        <v>0.37630662020905925</v>
      </c>
      <c r="Q114" s="63">
        <v>0.40636042402826855</v>
      </c>
    </row>
    <row r="115" spans="1:17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0.10714285714285714</v>
      </c>
      <c r="M115" s="63">
        <v>0.23019271948608136</v>
      </c>
      <c r="N115" s="63">
        <v>0.30942184154175589</v>
      </c>
      <c r="O115" s="63">
        <v>0.50232558139534889</v>
      </c>
      <c r="P115" s="63">
        <v>0.37370242214532873</v>
      </c>
      <c r="Q115" s="63">
        <v>0.40701754385964911</v>
      </c>
    </row>
    <row r="116" spans="1:17" x14ac:dyDescent="0.4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0.10619469026548672</v>
      </c>
      <c r="M116" s="63">
        <v>0.2288135593220339</v>
      </c>
      <c r="N116" s="63">
        <v>0.3114406779661017</v>
      </c>
      <c r="O116" s="63">
        <v>0.5</v>
      </c>
      <c r="P116" s="63">
        <v>0.37755102040816324</v>
      </c>
      <c r="Q116" s="63">
        <v>0.40830449826989618</v>
      </c>
    </row>
    <row r="117" spans="1:17" x14ac:dyDescent="0.4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0.10526315789473684</v>
      </c>
      <c r="M117" s="63">
        <v>0.22827225130890053</v>
      </c>
      <c r="N117" s="63">
        <v>0.31308900523560207</v>
      </c>
      <c r="O117" s="63">
        <v>0.5</v>
      </c>
      <c r="P117" s="63">
        <v>0.38127090301003347</v>
      </c>
      <c r="Q117" s="63">
        <v>0.40476190476190477</v>
      </c>
    </row>
    <row r="118" spans="1:17" x14ac:dyDescent="0.4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0.10434782608695652</v>
      </c>
      <c r="M118" s="63">
        <v>0.22821576763485477</v>
      </c>
      <c r="N118" s="63">
        <v>0.31120331950207469</v>
      </c>
      <c r="O118" s="63">
        <v>0.49545454545454548</v>
      </c>
      <c r="P118" s="63">
        <v>0.38333333333333336</v>
      </c>
      <c r="Q118" s="63">
        <v>0.40404040404040403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C70A1-00E3-4EB8-913D-C4B617314946}">
  <sheetPr codeName="Sheet10"/>
  <dimension ref="A1:Q12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0.10309278350515463</v>
      </c>
      <c r="M100" s="63">
        <v>0.27319587628865977</v>
      </c>
      <c r="N100" s="63">
        <v>0.22551546391752578</v>
      </c>
      <c r="O100" s="63">
        <v>0.59433962264150941</v>
      </c>
      <c r="P100" s="63">
        <v>0.48571428571428571</v>
      </c>
      <c r="Q100" s="63">
        <v>0.43129770992366412</v>
      </c>
    </row>
    <row r="101" spans="1:17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0.10204081632653061</v>
      </c>
      <c r="M101" s="63">
        <v>0.27376425855513309</v>
      </c>
      <c r="N101" s="63">
        <v>0.2256020278833967</v>
      </c>
      <c r="O101" s="63">
        <v>0.59259259259259256</v>
      </c>
      <c r="P101" s="63">
        <v>0.47752808988764045</v>
      </c>
      <c r="Q101" s="63">
        <v>0.42803030303030304</v>
      </c>
    </row>
    <row r="102" spans="1:17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0.10101010101010101</v>
      </c>
      <c r="M102" s="63">
        <v>0.27124999999999999</v>
      </c>
      <c r="N102" s="63">
        <v>0.22750000000000001</v>
      </c>
      <c r="O102" s="63">
        <v>0.59447004608294929</v>
      </c>
      <c r="P102" s="63">
        <v>0.47802197802197804</v>
      </c>
      <c r="Q102" s="63">
        <v>0.43122676579925651</v>
      </c>
    </row>
    <row r="103" spans="1:17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0.11</v>
      </c>
      <c r="M103" s="63">
        <v>0.27204968944099378</v>
      </c>
      <c r="N103" s="63">
        <v>0.22608695652173913</v>
      </c>
      <c r="O103" s="63">
        <v>0.59817351598173518</v>
      </c>
      <c r="P103" s="63">
        <v>0.47802197802197804</v>
      </c>
      <c r="Q103" s="63">
        <v>0.43014705882352944</v>
      </c>
    </row>
    <row r="104" spans="1:17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0.10891089108910891</v>
      </c>
      <c r="M104" s="63">
        <v>0.27093596059113301</v>
      </c>
      <c r="N104" s="63">
        <v>0.22536945812807882</v>
      </c>
      <c r="O104" s="63">
        <v>0.6</v>
      </c>
      <c r="P104" s="63">
        <v>0.47540983606557374</v>
      </c>
      <c r="Q104" s="63">
        <v>0.42857142857142855</v>
      </c>
    </row>
    <row r="105" spans="1:17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0.11764705882352941</v>
      </c>
      <c r="M105" s="63">
        <v>0.27317073170731709</v>
      </c>
      <c r="N105" s="63">
        <v>0.22560975609756098</v>
      </c>
      <c r="O105" s="63">
        <v>0.5982142857142857</v>
      </c>
      <c r="P105" s="63">
        <v>0.48108108108108111</v>
      </c>
      <c r="Q105" s="63">
        <v>0.4296028880866426</v>
      </c>
    </row>
    <row r="106" spans="1:17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0.12621359223300971</v>
      </c>
      <c r="M106" s="63">
        <v>0.27360774818401939</v>
      </c>
      <c r="N106" s="63">
        <v>0.22397094430992737</v>
      </c>
      <c r="O106" s="63">
        <v>0.59734513274336287</v>
      </c>
      <c r="P106" s="63">
        <v>0.48108108108108111</v>
      </c>
      <c r="Q106" s="63">
        <v>0.42857142857142855</v>
      </c>
    </row>
    <row r="107" spans="1:17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0.125</v>
      </c>
      <c r="M107" s="63">
        <v>0.27370948379351739</v>
      </c>
      <c r="N107" s="63">
        <v>0.22208883553421369</v>
      </c>
      <c r="O107" s="63">
        <v>0.60087719298245612</v>
      </c>
      <c r="P107" s="63">
        <v>0.48108108108108111</v>
      </c>
      <c r="Q107" s="63">
        <v>0.43109540636042404</v>
      </c>
    </row>
    <row r="108" spans="1:17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0.12380952380952381</v>
      </c>
      <c r="M108" s="63">
        <v>0.27197149643705465</v>
      </c>
      <c r="N108" s="63">
        <v>0.22446555819477435</v>
      </c>
      <c r="O108" s="63">
        <v>0.6026200873362445</v>
      </c>
      <c r="P108" s="63">
        <v>0.47619047619047616</v>
      </c>
      <c r="Q108" s="63">
        <v>0.43508771929824563</v>
      </c>
    </row>
    <row r="109" spans="1:17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0.13207547169811321</v>
      </c>
      <c r="M109" s="63">
        <v>0.2710059171597633</v>
      </c>
      <c r="N109" s="63">
        <v>0.22603550295857988</v>
      </c>
      <c r="O109" s="63">
        <v>0.6026200873362445</v>
      </c>
      <c r="P109" s="63">
        <v>0.48167539267015708</v>
      </c>
      <c r="Q109" s="63">
        <v>0.4375</v>
      </c>
    </row>
    <row r="110" spans="1:17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0.13084112149532709</v>
      </c>
      <c r="M110" s="63">
        <v>0.27166276346604218</v>
      </c>
      <c r="N110" s="63">
        <v>0.22599531615925059</v>
      </c>
      <c r="O110" s="63">
        <v>0.59482758620689657</v>
      </c>
      <c r="P110" s="63">
        <v>0.47668393782383417</v>
      </c>
      <c r="Q110" s="63">
        <v>0.43598615916955019</v>
      </c>
    </row>
    <row r="111" spans="1:17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0.12962962962962962</v>
      </c>
      <c r="M111" s="63">
        <v>0.27030162412993042</v>
      </c>
      <c r="N111" s="63">
        <v>0.22737819025522041</v>
      </c>
      <c r="O111" s="63">
        <v>0.59227467811158796</v>
      </c>
      <c r="P111" s="63">
        <v>0.47959183673469385</v>
      </c>
      <c r="Q111" s="63">
        <v>0.4315068493150685</v>
      </c>
    </row>
    <row r="112" spans="1:17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0.12844036697247707</v>
      </c>
      <c r="M112" s="63">
        <v>0.26812428078250861</v>
      </c>
      <c r="N112" s="63">
        <v>0.22669735327963175</v>
      </c>
      <c r="O112" s="63">
        <v>0.59227467811158796</v>
      </c>
      <c r="P112" s="63">
        <v>0.48223350253807107</v>
      </c>
      <c r="Q112" s="63">
        <v>0.42857142857142855</v>
      </c>
    </row>
    <row r="113" spans="1:17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0.12727272727272726</v>
      </c>
      <c r="M113" s="63">
        <v>0.26583710407239819</v>
      </c>
      <c r="N113" s="63">
        <v>0.2239819004524887</v>
      </c>
      <c r="O113" s="63">
        <v>0.5957446808510638</v>
      </c>
      <c r="P113" s="63">
        <v>0.47979797979797978</v>
      </c>
      <c r="Q113" s="63">
        <v>0.42474916387959866</v>
      </c>
    </row>
    <row r="114" spans="1:17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0.13513513513513514</v>
      </c>
      <c r="M114" s="63">
        <v>0.26629213483146069</v>
      </c>
      <c r="N114" s="63">
        <v>0.2247191011235955</v>
      </c>
      <c r="O114" s="63">
        <v>0.59915611814345993</v>
      </c>
      <c r="P114" s="63">
        <v>0.48499999999999999</v>
      </c>
      <c r="Q114" s="63">
        <v>0.43092105263157893</v>
      </c>
    </row>
    <row r="115" spans="1:17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0.13392857142857142</v>
      </c>
      <c r="M115" s="63">
        <v>0.267260579064588</v>
      </c>
      <c r="N115" s="63">
        <v>0.22494432071269488</v>
      </c>
      <c r="O115" s="63">
        <v>0.60416666666666663</v>
      </c>
      <c r="P115" s="63">
        <v>0.48514851485148514</v>
      </c>
      <c r="Q115" s="63">
        <v>0.42857142857142855</v>
      </c>
    </row>
    <row r="116" spans="1:17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0.13274336283185842</v>
      </c>
      <c r="M116" s="63">
        <v>0.26783754116355651</v>
      </c>
      <c r="N116" s="63">
        <v>0.2239297475301866</v>
      </c>
      <c r="O116" s="63">
        <v>0.60655737704918034</v>
      </c>
      <c r="P116" s="63">
        <v>0.48529411764705882</v>
      </c>
      <c r="Q116" s="63">
        <v>0.43130990415335463</v>
      </c>
    </row>
    <row r="117" spans="1:17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0.13157894736842105</v>
      </c>
      <c r="M117" s="63">
        <v>0.27056277056277056</v>
      </c>
      <c r="N117" s="63">
        <v>0.22294372294372294</v>
      </c>
      <c r="O117" s="63">
        <v>0.60399999999999998</v>
      </c>
      <c r="P117" s="63">
        <v>0.4854368932038835</v>
      </c>
      <c r="Q117" s="63">
        <v>0.4308176100628931</v>
      </c>
    </row>
    <row r="118" spans="1:17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0.13043478260869565</v>
      </c>
      <c r="M118" s="63">
        <v>0.27038626609442062</v>
      </c>
      <c r="N118" s="63">
        <v>0.22424892703862662</v>
      </c>
      <c r="O118" s="63">
        <v>0.60317460317460314</v>
      </c>
      <c r="P118" s="63">
        <v>0.48325358851674644</v>
      </c>
      <c r="Q118" s="63">
        <v>0.42812499999999998</v>
      </c>
    </row>
    <row r="119" spans="1:17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0.12931034482758622</v>
      </c>
      <c r="M119" s="63">
        <v>0.26723223753976671</v>
      </c>
      <c r="N119" s="63">
        <v>0.22481442205726404</v>
      </c>
      <c r="O119" s="63">
        <v>0.60317460317460314</v>
      </c>
      <c r="P119" s="63">
        <v>0.48584905660377359</v>
      </c>
      <c r="Q119" s="63">
        <v>0.42592592592592593</v>
      </c>
    </row>
    <row r="120" spans="1:17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0.12820512820512819</v>
      </c>
      <c r="M120" s="63">
        <v>0.26765015806111697</v>
      </c>
      <c r="N120" s="63">
        <v>0.22444678609062171</v>
      </c>
      <c r="O120" s="63">
        <v>0.60236220472440949</v>
      </c>
      <c r="P120" s="63">
        <v>0.48826291079812206</v>
      </c>
      <c r="Q120" s="63">
        <v>0.42638036809815949</v>
      </c>
    </row>
    <row r="121" spans="1:17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0.1271186440677966</v>
      </c>
      <c r="M121" s="63">
        <v>0.26882845188284521</v>
      </c>
      <c r="N121" s="63">
        <v>0.22280334728033474</v>
      </c>
      <c r="O121" s="63">
        <v>0.59922178988326846</v>
      </c>
      <c r="P121" s="63">
        <v>0.48826291079812206</v>
      </c>
      <c r="Q121" s="63">
        <v>0.42378048780487804</v>
      </c>
    </row>
    <row r="122" spans="1:17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0.12605042016806722</v>
      </c>
      <c r="M122" s="63">
        <v>0.26867219917012447</v>
      </c>
      <c r="N122" s="63">
        <v>0.22199170124481327</v>
      </c>
      <c r="O122" s="63">
        <v>0.59459459459459463</v>
      </c>
      <c r="P122" s="63">
        <v>0.48598130841121495</v>
      </c>
      <c r="Q122" s="63">
        <v>0.42378048780487804</v>
      </c>
    </row>
    <row r="123" spans="1:17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0.125</v>
      </c>
      <c r="M123" s="63">
        <v>0.27132579650565264</v>
      </c>
      <c r="N123" s="63">
        <v>0.22096608427543679</v>
      </c>
      <c r="O123" s="63">
        <v>0.59848484848484851</v>
      </c>
      <c r="P123" s="63">
        <v>0.48837209302325579</v>
      </c>
      <c r="Q123" s="63">
        <v>0.42814371257485029</v>
      </c>
    </row>
    <row r="124" spans="1:17" x14ac:dyDescent="0.4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0.12396694214876033</v>
      </c>
      <c r="M124" s="63">
        <v>0.27060020345879959</v>
      </c>
      <c r="N124" s="63">
        <v>0.22380467955239064</v>
      </c>
      <c r="O124" s="63">
        <v>0.59774436090225569</v>
      </c>
      <c r="P124" s="63">
        <v>0.48636363636363639</v>
      </c>
      <c r="Q124" s="63">
        <v>0.42433234421364985</v>
      </c>
    </row>
    <row r="125" spans="1:17" x14ac:dyDescent="0.4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0.12295081967213115</v>
      </c>
      <c r="M125" s="63">
        <v>0.27144298688193741</v>
      </c>
      <c r="N125" s="63">
        <v>0.22401614530776992</v>
      </c>
      <c r="O125" s="63">
        <v>0.60223048327137552</v>
      </c>
      <c r="P125" s="63">
        <v>0.48648648648648651</v>
      </c>
      <c r="Q125" s="63">
        <v>0.41812865497076024</v>
      </c>
    </row>
    <row r="126" spans="1:17" x14ac:dyDescent="0.4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0.12195121951219512</v>
      </c>
      <c r="M126" s="63">
        <v>0.27081243731193583</v>
      </c>
      <c r="N126" s="63">
        <v>0.22668004012036108</v>
      </c>
      <c r="O126" s="63">
        <v>0.6</v>
      </c>
      <c r="P126" s="63">
        <v>0.47787610619469029</v>
      </c>
      <c r="Q126" s="63">
        <v>0.41812865497076024</v>
      </c>
    </row>
    <row r="127" spans="1:17" x14ac:dyDescent="0.4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0.12096774193548387</v>
      </c>
      <c r="M127" s="63">
        <v>0.27110228401191661</v>
      </c>
      <c r="N127" s="63">
        <v>0.22740814299900694</v>
      </c>
      <c r="O127" s="63">
        <v>0.60073260073260071</v>
      </c>
      <c r="P127" s="63">
        <v>0.4759825327510917</v>
      </c>
      <c r="Q127" s="63">
        <v>0.41739130434782606</v>
      </c>
    </row>
    <row r="128" spans="1:17" x14ac:dyDescent="0.4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0.12</v>
      </c>
      <c r="M128" s="63">
        <v>0.27013752455795675</v>
      </c>
      <c r="N128" s="63">
        <v>0.22888015717092339</v>
      </c>
      <c r="O128" s="63">
        <v>0.6</v>
      </c>
      <c r="P128" s="63">
        <v>0.47210300429184548</v>
      </c>
      <c r="Q128" s="63">
        <v>0.41954022988505746</v>
      </c>
    </row>
    <row r="129" spans="1:17" x14ac:dyDescent="0.4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0.11904761904761904</v>
      </c>
      <c r="M129" s="63">
        <v>0.26971762414800388</v>
      </c>
      <c r="N129" s="63">
        <v>0.22979552093476144</v>
      </c>
      <c r="O129" s="63">
        <v>0.6028880866425993</v>
      </c>
      <c r="P129" s="63">
        <v>0.47457627118644069</v>
      </c>
      <c r="Q129" s="63">
        <v>0.42329545454545453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896E3-E281-4521-969B-D9DF7690992B}">
  <sheetPr codeName="Sheet8"/>
  <dimension ref="A1:Q5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  <row r="48" spans="1:17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4.4444444444444446E-2</v>
      </c>
      <c r="M48" s="63">
        <v>0.15404040404040403</v>
      </c>
      <c r="N48" s="63">
        <v>0.23484848484848486</v>
      </c>
      <c r="O48" s="63">
        <v>0.50819672131147542</v>
      </c>
      <c r="P48" s="63">
        <v>0.36559139784946237</v>
      </c>
      <c r="Q48" s="63">
        <v>0.42990654205607476</v>
      </c>
    </row>
    <row r="49" spans="1:17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4.3478260869565216E-2</v>
      </c>
      <c r="M49" s="63">
        <v>0.15211970074812967</v>
      </c>
      <c r="N49" s="63">
        <v>0.23441396508728179</v>
      </c>
      <c r="O49" s="63">
        <v>0.50819672131147542</v>
      </c>
      <c r="P49" s="63">
        <v>0.36170212765957449</v>
      </c>
      <c r="Q49" s="63">
        <v>0.42990654205607476</v>
      </c>
    </row>
    <row r="50" spans="1:17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4.2553191489361701E-2</v>
      </c>
      <c r="M50" s="63">
        <v>0.15217391304347827</v>
      </c>
      <c r="N50" s="63">
        <v>0.23429951690821257</v>
      </c>
      <c r="O50" s="63">
        <v>0.49206349206349204</v>
      </c>
      <c r="P50" s="63">
        <v>0.37113402061855671</v>
      </c>
      <c r="Q50" s="63">
        <v>0.42727272727272725</v>
      </c>
    </row>
    <row r="51" spans="1:17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4.1666666666666664E-2</v>
      </c>
      <c r="M51" s="63">
        <v>0.14719626168224298</v>
      </c>
      <c r="N51" s="63">
        <v>0.23831775700934579</v>
      </c>
      <c r="O51" s="63">
        <v>0.49206349206349204</v>
      </c>
      <c r="P51" s="63">
        <v>0.37254901960784315</v>
      </c>
      <c r="Q51" s="63">
        <v>0.41228070175438597</v>
      </c>
    </row>
    <row r="52" spans="1:17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4.0816326530612242E-2</v>
      </c>
      <c r="M52" s="63">
        <v>0.1536697247706422</v>
      </c>
      <c r="N52" s="63">
        <v>0.23394495412844038</v>
      </c>
      <c r="O52" s="63">
        <v>0.4925373134328358</v>
      </c>
      <c r="P52" s="63">
        <v>0.37254901960784315</v>
      </c>
      <c r="Q52" s="63">
        <v>0.40517241379310343</v>
      </c>
    </row>
    <row r="53" spans="1:17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0.04</v>
      </c>
      <c r="M53" s="63">
        <v>0.15178571428571427</v>
      </c>
      <c r="N53" s="63">
        <v>0.23214285714285715</v>
      </c>
      <c r="O53" s="63">
        <v>0.48529411764705882</v>
      </c>
      <c r="P53" s="63">
        <v>0.375</v>
      </c>
      <c r="Q53" s="63">
        <v>0.41025641025641024</v>
      </c>
    </row>
    <row r="54" spans="1:17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3.9215686274509803E-2</v>
      </c>
      <c r="M54" s="63">
        <v>0.15250544662309368</v>
      </c>
      <c r="N54" s="63">
        <v>0.22875816993464052</v>
      </c>
      <c r="O54" s="63">
        <v>0.5</v>
      </c>
      <c r="P54" s="63">
        <v>0.37142857142857144</v>
      </c>
      <c r="Q54" s="63">
        <v>0.40833333333333333</v>
      </c>
    </row>
    <row r="55" spans="1:17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3.8461538461538464E-2</v>
      </c>
      <c r="M55" s="63">
        <v>0.15203426124197003</v>
      </c>
      <c r="N55" s="63">
        <v>0.23126338329764454</v>
      </c>
      <c r="O55" s="63">
        <v>0.49295774647887325</v>
      </c>
      <c r="P55" s="63">
        <v>0.37037037037037035</v>
      </c>
      <c r="Q55" s="63">
        <v>0.41322314049586778</v>
      </c>
    </row>
    <row r="56" spans="1:17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3.7735849056603772E-2</v>
      </c>
      <c r="M56" s="63">
        <v>0.14978902953586498</v>
      </c>
      <c r="N56" s="63">
        <v>0.23417721518987342</v>
      </c>
      <c r="O56" s="63">
        <v>0.49295774647887325</v>
      </c>
      <c r="P56" s="63">
        <v>0.36936936936936937</v>
      </c>
      <c r="Q56" s="63">
        <v>0.41463414634146339</v>
      </c>
    </row>
    <row r="57" spans="1:17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3.7037037037037035E-2</v>
      </c>
      <c r="M57" s="63">
        <v>0.14730290456431536</v>
      </c>
      <c r="N57" s="63">
        <v>0.23443983402489627</v>
      </c>
      <c r="O57" s="63">
        <v>0.49295774647887325</v>
      </c>
      <c r="P57" s="63">
        <v>0.36283185840707965</v>
      </c>
      <c r="Q57" s="63">
        <v>0.41463414634146339</v>
      </c>
    </row>
    <row r="58" spans="1:17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3.6363636363636362E-2</v>
      </c>
      <c r="M58" s="63">
        <v>0.15163934426229508</v>
      </c>
      <c r="N58" s="63">
        <v>0.23770491803278687</v>
      </c>
      <c r="O58" s="63">
        <v>0.48648648648648651</v>
      </c>
      <c r="P58" s="63">
        <v>0.37931034482758619</v>
      </c>
      <c r="Q58" s="63">
        <v>0.40944881889763779</v>
      </c>
    </row>
    <row r="59" spans="1:17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3.5714285714285712E-2</v>
      </c>
      <c r="M59" s="63">
        <v>0.15461847389558234</v>
      </c>
      <c r="N59" s="63">
        <v>0.24096385542168675</v>
      </c>
      <c r="O59" s="63">
        <v>0.48051948051948051</v>
      </c>
      <c r="P59" s="63">
        <v>0.39166666666666666</v>
      </c>
      <c r="Q59" s="63">
        <v>0.39393939393939392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4CD67-4487-4398-8024-C5EB150BA3A5}">
  <sheetPr codeName="Sheet6"/>
  <dimension ref="A1:Q20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9.2592592592592587E-2</v>
      </c>
      <c r="M165" s="63">
        <v>0.25062096373571785</v>
      </c>
      <c r="N165" s="63">
        <v>0.23174366616989567</v>
      </c>
      <c r="O165" s="63">
        <v>0.56293359762140738</v>
      </c>
      <c r="P165" s="63">
        <v>0.41264737406216506</v>
      </c>
      <c r="Q165" s="63">
        <v>0.43844856661045534</v>
      </c>
    </row>
    <row r="166" spans="1:17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9.202453987730061E-2</v>
      </c>
      <c r="M166" s="63">
        <v>0.25116851168511684</v>
      </c>
      <c r="N166" s="63">
        <v>0.23345633456334564</v>
      </c>
      <c r="O166" s="63">
        <v>0.56023506366307541</v>
      </c>
      <c r="P166" s="63">
        <v>0.41095890410958902</v>
      </c>
      <c r="Q166" s="63">
        <v>0.43943191311612362</v>
      </c>
    </row>
    <row r="167" spans="1:17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9.1463414634146339E-2</v>
      </c>
      <c r="M167" s="63">
        <v>0.25085407515861396</v>
      </c>
      <c r="N167" s="63">
        <v>0.23352855051244509</v>
      </c>
      <c r="O167" s="63">
        <v>0.55933852140077822</v>
      </c>
      <c r="P167" s="63">
        <v>0.41065830721003133</v>
      </c>
      <c r="Q167" s="63">
        <v>0.43993371996685998</v>
      </c>
    </row>
    <row r="168" spans="1:17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9.2929292929292931E-2</v>
      </c>
      <c r="M168" s="63">
        <v>0.25066861171893995</v>
      </c>
      <c r="N168" s="63">
        <v>0.23340627279358134</v>
      </c>
      <c r="O168" s="63">
        <v>0.56062075654704169</v>
      </c>
      <c r="P168" s="63">
        <v>0.41041666666666665</v>
      </c>
      <c r="Q168" s="63">
        <v>0.43976897689768979</v>
      </c>
    </row>
    <row r="169" spans="1:17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9.2369477911646583E-2</v>
      </c>
      <c r="M169" s="63">
        <v>0.25108853410740201</v>
      </c>
      <c r="N169" s="63">
        <v>0.2331881954523464</v>
      </c>
      <c r="O169" s="63">
        <v>0.56165703275529866</v>
      </c>
      <c r="P169" s="63">
        <v>0.40975103734439833</v>
      </c>
      <c r="Q169" s="63">
        <v>0.43888433141919608</v>
      </c>
    </row>
    <row r="170" spans="1:17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9.3812375249500993E-2</v>
      </c>
      <c r="M170" s="63">
        <v>0.25156325156325154</v>
      </c>
      <c r="N170" s="63">
        <v>0.23328523328523329</v>
      </c>
      <c r="O170" s="63">
        <v>0.56118546845124284</v>
      </c>
      <c r="P170" s="63">
        <v>0.41030927835051545</v>
      </c>
      <c r="Q170" s="63">
        <v>0.43964110929853178</v>
      </c>
    </row>
    <row r="171" spans="1:17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9.3253968253968256E-2</v>
      </c>
      <c r="M171" s="63">
        <v>0.25269203158650394</v>
      </c>
      <c r="N171" s="63">
        <v>0.23211294568078489</v>
      </c>
      <c r="O171" s="63">
        <v>0.56060606060606055</v>
      </c>
      <c r="P171" s="63">
        <v>0.41030927835051545</v>
      </c>
      <c r="Q171" s="63">
        <v>0.43831168831168832</v>
      </c>
    </row>
    <row r="172" spans="1:17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9.4674556213017749E-2</v>
      </c>
      <c r="M172" s="63">
        <v>0.2527996187753157</v>
      </c>
      <c r="N172" s="63">
        <v>0.2315939957112223</v>
      </c>
      <c r="O172" s="63">
        <v>0.56079170593779448</v>
      </c>
      <c r="P172" s="63">
        <v>0.40946502057613171</v>
      </c>
      <c r="Q172" s="63">
        <v>0.43734842360549719</v>
      </c>
    </row>
    <row r="173" spans="1:17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9.4117647058823528E-2</v>
      </c>
      <c r="M173" s="63">
        <v>0.25248933143669988</v>
      </c>
      <c r="N173" s="63">
        <v>0.23138928402086298</v>
      </c>
      <c r="O173" s="63">
        <v>0.56056338028169017</v>
      </c>
      <c r="P173" s="63">
        <v>0.4098360655737705</v>
      </c>
      <c r="Q173" s="63">
        <v>0.43845534995977475</v>
      </c>
    </row>
    <row r="174" spans="1:17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9.3567251461988299E-2</v>
      </c>
      <c r="M174" s="63">
        <v>0.25276796230859833</v>
      </c>
      <c r="N174" s="63">
        <v>0.23180212014134274</v>
      </c>
      <c r="O174" s="63">
        <v>0.5601118359739049</v>
      </c>
      <c r="P174" s="63">
        <v>0.40955284552845528</v>
      </c>
      <c r="Q174" s="63">
        <v>0.43919999999999998</v>
      </c>
    </row>
    <row r="175" spans="1:17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9.4961240310077522E-2</v>
      </c>
      <c r="M175" s="63">
        <v>0.25246826516220028</v>
      </c>
      <c r="N175" s="63">
        <v>0.23178185237423601</v>
      </c>
      <c r="O175" s="63">
        <v>0.55959031657355685</v>
      </c>
      <c r="P175" s="63">
        <v>0.41075050709939148</v>
      </c>
      <c r="Q175" s="63">
        <v>0.43974461292897049</v>
      </c>
    </row>
    <row r="176" spans="1:17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9.4412331406551059E-2</v>
      </c>
      <c r="M176" s="63">
        <v>0.25367904695164684</v>
      </c>
      <c r="N176" s="63">
        <v>0.23125437981779959</v>
      </c>
      <c r="O176" s="63">
        <v>0.55801104972375692</v>
      </c>
      <c r="P176" s="63">
        <v>0.40909090909090912</v>
      </c>
      <c r="Q176" s="63">
        <v>0.43968253968253967</v>
      </c>
    </row>
    <row r="177" spans="1:17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9.3869731800766285E-2</v>
      </c>
      <c r="M177" s="63">
        <v>0.25342624854819978</v>
      </c>
      <c r="N177" s="63">
        <v>0.23135888501742161</v>
      </c>
      <c r="O177" s="63">
        <v>0.55728689275893672</v>
      </c>
      <c r="P177" s="63">
        <v>0.40963855421686746</v>
      </c>
      <c r="Q177" s="63">
        <v>0.43883188634569847</v>
      </c>
    </row>
    <row r="178" spans="1:17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9.3333333333333338E-2</v>
      </c>
      <c r="M178" s="63">
        <v>0.25358298659269535</v>
      </c>
      <c r="N178" s="63">
        <v>0.23116042533518261</v>
      </c>
      <c r="O178" s="63">
        <v>0.55788514129443934</v>
      </c>
      <c r="P178" s="63">
        <v>0.40899999999999997</v>
      </c>
      <c r="Q178" s="63">
        <v>0.43833464257659072</v>
      </c>
    </row>
    <row r="179" spans="1:17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9.4696969696969696E-2</v>
      </c>
      <c r="M179" s="63">
        <v>0.25371768474033402</v>
      </c>
      <c r="N179" s="63">
        <v>0.23038206360100663</v>
      </c>
      <c r="O179" s="63">
        <v>0.55816050495942293</v>
      </c>
      <c r="P179" s="63">
        <v>0.40615690168818275</v>
      </c>
      <c r="Q179" s="63">
        <v>0.43779160186625193</v>
      </c>
    </row>
    <row r="180" spans="1:17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9.6045197740112997E-2</v>
      </c>
      <c r="M180" s="63">
        <v>0.25313283208020049</v>
      </c>
      <c r="N180" s="63">
        <v>0.23034859876965141</v>
      </c>
      <c r="O180" s="63">
        <v>0.55895589558955894</v>
      </c>
      <c r="P180" s="63">
        <v>0.40652818991097922</v>
      </c>
      <c r="Q180" s="63">
        <v>0.4388544891640867</v>
      </c>
    </row>
    <row r="181" spans="1:17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9.5505617977528087E-2</v>
      </c>
      <c r="M181" s="63">
        <v>0.25334239746204396</v>
      </c>
      <c r="N181" s="63">
        <v>0.23068207568547475</v>
      </c>
      <c r="O181" s="63">
        <v>0.55992844364937389</v>
      </c>
      <c r="P181" s="63">
        <v>0.40667976424361491</v>
      </c>
      <c r="Q181" s="63">
        <v>0.43923076923076926</v>
      </c>
    </row>
    <row r="182" spans="1:17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9.4972067039106142E-2</v>
      </c>
      <c r="M182" s="63">
        <v>0.25359389038634322</v>
      </c>
      <c r="N182" s="63">
        <v>0.2302336028751123</v>
      </c>
      <c r="O182" s="63">
        <v>0.55978742249778568</v>
      </c>
      <c r="P182" s="63">
        <v>0.40780487804878046</v>
      </c>
      <c r="Q182" s="63">
        <v>0.43902439024390244</v>
      </c>
    </row>
    <row r="183" spans="1:17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9.6296296296296297E-2</v>
      </c>
      <c r="M183" s="63">
        <v>0.25517702070808285</v>
      </c>
      <c r="N183" s="63">
        <v>0.2293475840570029</v>
      </c>
      <c r="O183" s="63">
        <v>0.56020942408376961</v>
      </c>
      <c r="P183" s="63">
        <v>0.40679611650485437</v>
      </c>
      <c r="Q183" s="63">
        <v>0.43849056603773584</v>
      </c>
    </row>
    <row r="184" spans="1:17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9.5764272559852676E-2</v>
      </c>
      <c r="M184" s="63">
        <v>0.25413633355393778</v>
      </c>
      <c r="N184" s="63">
        <v>0.22964923891462607</v>
      </c>
      <c r="O184" s="63">
        <v>0.55902777777777779</v>
      </c>
      <c r="P184" s="63">
        <v>0.40922190201729108</v>
      </c>
      <c r="Q184" s="63">
        <v>0.43787425149700598</v>
      </c>
    </row>
    <row r="185" spans="1:17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9.5238095238095233E-2</v>
      </c>
      <c r="M185" s="63">
        <v>0.25455343427693661</v>
      </c>
      <c r="N185" s="63">
        <v>0.22953697608075488</v>
      </c>
      <c r="O185" s="63">
        <v>0.55862068965517242</v>
      </c>
      <c r="P185" s="63">
        <v>0.40822179732313574</v>
      </c>
      <c r="Q185" s="63">
        <v>0.4378257632166791</v>
      </c>
    </row>
    <row r="186" spans="1:17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9.4717668488160295E-2</v>
      </c>
      <c r="M186" s="63">
        <v>0.25364685390812103</v>
      </c>
      <c r="N186" s="63">
        <v>0.22969736555628129</v>
      </c>
      <c r="O186" s="63">
        <v>0.55879828326180259</v>
      </c>
      <c r="P186" s="63">
        <v>0.40853080568720379</v>
      </c>
      <c r="Q186" s="63">
        <v>0.43680709534368073</v>
      </c>
    </row>
    <row r="187" spans="1:17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9.420289855072464E-2</v>
      </c>
      <c r="M187" s="63">
        <v>0.25270211846087332</v>
      </c>
      <c r="N187" s="63">
        <v>0.22978815391266752</v>
      </c>
      <c r="O187" s="63">
        <v>0.55859709153122328</v>
      </c>
      <c r="P187" s="63">
        <v>0.4101599247412982</v>
      </c>
      <c r="Q187" s="63">
        <v>0.43727072633895819</v>
      </c>
    </row>
    <row r="188" spans="1:17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9.5495495495495492E-2</v>
      </c>
      <c r="M188" s="63">
        <v>0.25279931093884583</v>
      </c>
      <c r="N188" s="63">
        <v>0.22889750215331611</v>
      </c>
      <c r="O188" s="63">
        <v>0.55962521294718914</v>
      </c>
      <c r="P188" s="63">
        <v>0.4101599247412982</v>
      </c>
      <c r="Q188" s="63">
        <v>0.43859649122807015</v>
      </c>
    </row>
    <row r="189" spans="1:17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9.4982078853046589E-2</v>
      </c>
      <c r="M189" s="63">
        <v>0.25268125268125269</v>
      </c>
      <c r="N189" s="63">
        <v>0.22844272844272845</v>
      </c>
      <c r="O189" s="63">
        <v>0.56027164685908315</v>
      </c>
      <c r="P189" s="63">
        <v>0.41032863849765261</v>
      </c>
      <c r="Q189" s="63">
        <v>0.43877551020408162</v>
      </c>
    </row>
    <row r="190" spans="1:17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9.6256684491978606E-2</v>
      </c>
      <c r="M190" s="63">
        <v>0.25304292120435617</v>
      </c>
      <c r="N190" s="63">
        <v>0.22805893657911594</v>
      </c>
      <c r="O190" s="63">
        <v>0.56033755274261599</v>
      </c>
      <c r="P190" s="63">
        <v>0.4101123595505618</v>
      </c>
      <c r="Q190" s="63">
        <v>0.43976777939042089</v>
      </c>
    </row>
    <row r="191" spans="1:17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9.5744680851063829E-2</v>
      </c>
      <c r="M191" s="63">
        <v>0.25281495644784363</v>
      </c>
      <c r="N191" s="63">
        <v>0.22817080943275972</v>
      </c>
      <c r="O191" s="63">
        <v>0.56050420168067228</v>
      </c>
      <c r="P191" s="63">
        <v>0.41061452513966479</v>
      </c>
      <c r="Q191" s="63">
        <v>0.44043321299638988</v>
      </c>
    </row>
    <row r="192" spans="1:17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9.5238095238095233E-2</v>
      </c>
      <c r="M192" s="63">
        <v>0.25327418673426277</v>
      </c>
      <c r="N192" s="63">
        <v>0.22813688212927757</v>
      </c>
      <c r="O192" s="63">
        <v>0.56130108423686409</v>
      </c>
      <c r="P192" s="63">
        <v>0.40925925925925927</v>
      </c>
      <c r="Q192" s="63">
        <v>0.44117647058823528</v>
      </c>
    </row>
    <row r="193" spans="1:17" x14ac:dyDescent="0.4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9.4736842105263161E-2</v>
      </c>
      <c r="M193" s="63">
        <v>0.25293870696893367</v>
      </c>
      <c r="N193" s="63">
        <v>0.22816960537363559</v>
      </c>
      <c r="O193" s="63">
        <v>0.56182572614107884</v>
      </c>
      <c r="P193" s="63">
        <v>0.40938362465501382</v>
      </c>
      <c r="Q193" s="63">
        <v>0.44119743406985035</v>
      </c>
    </row>
    <row r="194" spans="1:17" x14ac:dyDescent="0.4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9.4240837696335081E-2</v>
      </c>
      <c r="M194" s="63">
        <v>0.25333333333333335</v>
      </c>
      <c r="N194" s="63">
        <v>0.22812499999999999</v>
      </c>
      <c r="O194" s="63">
        <v>0.56085526315789469</v>
      </c>
      <c r="P194" s="63">
        <v>0.41004566210045662</v>
      </c>
      <c r="Q194" s="63">
        <v>0.44130127298444133</v>
      </c>
    </row>
    <row r="195" spans="1:17" x14ac:dyDescent="0.4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9.375E-2</v>
      </c>
      <c r="M195" s="63">
        <v>0.25290215588723053</v>
      </c>
      <c r="N195" s="63">
        <v>0.22864842454394693</v>
      </c>
      <c r="O195" s="63">
        <v>0.55901639344262299</v>
      </c>
      <c r="P195" s="63">
        <v>0.41160471441523117</v>
      </c>
      <c r="Q195" s="63">
        <v>0.44264602392681213</v>
      </c>
    </row>
    <row r="196" spans="1:17" x14ac:dyDescent="0.4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9.499136442141623E-2</v>
      </c>
      <c r="M196" s="63">
        <v>0.25263157894736843</v>
      </c>
      <c r="N196" s="63">
        <v>0.22951496388028897</v>
      </c>
      <c r="O196" s="63">
        <v>0.55882352941176472</v>
      </c>
      <c r="P196" s="63">
        <v>0.41187050359712229</v>
      </c>
      <c r="Q196" s="63">
        <v>0.44296710986703991</v>
      </c>
    </row>
    <row r="197" spans="1:17" x14ac:dyDescent="0.4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9.4501718213058417E-2</v>
      </c>
      <c r="M197" s="63">
        <v>0.25302936948038612</v>
      </c>
      <c r="N197" s="63">
        <v>0.22879441363729719</v>
      </c>
      <c r="O197" s="63">
        <v>0.55925324675324672</v>
      </c>
      <c r="P197" s="63">
        <v>0.41292639138240572</v>
      </c>
      <c r="Q197" s="63">
        <v>0.44359331476323122</v>
      </c>
    </row>
    <row r="198" spans="1:17" x14ac:dyDescent="0.4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9.4017094017094016E-2</v>
      </c>
      <c r="M198" s="63">
        <v>0.25281013693030863</v>
      </c>
      <c r="N198" s="63">
        <v>0.22930717351318208</v>
      </c>
      <c r="O198" s="63">
        <v>0.56022635408245758</v>
      </c>
      <c r="P198" s="63">
        <v>0.41176470588235292</v>
      </c>
      <c r="Q198" s="63">
        <v>0.44352044352044351</v>
      </c>
    </row>
    <row r="199" spans="1:17" x14ac:dyDescent="0.4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9.5238095238095233E-2</v>
      </c>
      <c r="M199" s="63">
        <v>0.25356997144022847</v>
      </c>
      <c r="N199" s="63">
        <v>0.22888616891064872</v>
      </c>
      <c r="O199" s="63">
        <v>0.55993563958165726</v>
      </c>
      <c r="P199" s="63">
        <v>0.41176470588235292</v>
      </c>
      <c r="Q199" s="63">
        <v>0.44260027662517287</v>
      </c>
    </row>
    <row r="200" spans="1:17" x14ac:dyDescent="0.4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9.6446700507614211E-2</v>
      </c>
      <c r="M200" s="63">
        <v>0.25431647369490146</v>
      </c>
      <c r="N200" s="63">
        <v>0.22831606743855373</v>
      </c>
      <c r="O200" s="63">
        <v>0.55990415335463262</v>
      </c>
      <c r="P200" s="63">
        <v>0.41192170818505336</v>
      </c>
      <c r="Q200" s="63">
        <v>0.44184445973847214</v>
      </c>
    </row>
    <row r="201" spans="1:17" x14ac:dyDescent="0.4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9.7643097643097643E-2</v>
      </c>
      <c r="M201" s="63">
        <v>0.25441265976871574</v>
      </c>
      <c r="N201" s="63">
        <v>0.22844390342868737</v>
      </c>
      <c r="O201" s="63">
        <v>0.55901116427432218</v>
      </c>
      <c r="P201" s="63">
        <v>0.41207815275310833</v>
      </c>
      <c r="Q201" s="63">
        <v>0.44123711340206184</v>
      </c>
    </row>
    <row r="202" spans="1:17" x14ac:dyDescent="0.4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9.8827470686767172E-2</v>
      </c>
      <c r="M202" s="63">
        <v>0.25414141414141417</v>
      </c>
      <c r="N202" s="63">
        <v>0.22868686868686869</v>
      </c>
      <c r="O202" s="63">
        <v>0.55802861685214622</v>
      </c>
      <c r="P202" s="63">
        <v>0.41254416961130741</v>
      </c>
      <c r="Q202" s="63">
        <v>0.44109589041095892</v>
      </c>
    </row>
    <row r="203" spans="1:17" x14ac:dyDescent="0.4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9.8333333333333328E-2</v>
      </c>
      <c r="M203" s="63">
        <v>0.25406381697772429</v>
      </c>
      <c r="N203" s="63">
        <v>0.22897852699177201</v>
      </c>
      <c r="O203" s="63">
        <v>0.55766192733017372</v>
      </c>
      <c r="P203" s="63">
        <v>0.41279579316389131</v>
      </c>
      <c r="Q203" s="63">
        <v>0.44179714091218514</v>
      </c>
    </row>
    <row r="204" spans="1:17" x14ac:dyDescent="0.4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9.7844112769485903E-2</v>
      </c>
      <c r="M204" s="63">
        <v>0.2536448971439984</v>
      </c>
      <c r="N204" s="63">
        <v>0.22927900938685838</v>
      </c>
      <c r="O204" s="63">
        <v>0.55826771653543306</v>
      </c>
      <c r="P204" s="63">
        <v>0.41202090592334495</v>
      </c>
      <c r="Q204" s="63">
        <v>0.44105691056910568</v>
      </c>
    </row>
    <row r="205" spans="1:17" x14ac:dyDescent="0.4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9.7359735973597358E-2</v>
      </c>
      <c r="M205" s="63">
        <v>0.2537313432835821</v>
      </c>
      <c r="N205" s="63">
        <v>0.23024875621890548</v>
      </c>
      <c r="O205" s="63">
        <v>0.55764705882352938</v>
      </c>
      <c r="P205" s="63">
        <v>0.41140881590319794</v>
      </c>
      <c r="Q205" s="63">
        <v>0.44062078272604588</v>
      </c>
    </row>
    <row r="206" spans="1:17" x14ac:dyDescent="0.4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9.688013136288999E-2</v>
      </c>
      <c r="M206" s="63">
        <v>0.25380811078140453</v>
      </c>
      <c r="N206" s="63">
        <v>0.2304648862512364</v>
      </c>
      <c r="O206" s="63">
        <v>0.55650818394388157</v>
      </c>
      <c r="P206" s="63">
        <v>0.41201716738197425</v>
      </c>
      <c r="Q206" s="63">
        <v>0.43930248155600266</v>
      </c>
    </row>
    <row r="207" spans="1:17" x14ac:dyDescent="0.4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9.6405228758169939E-2</v>
      </c>
      <c r="M207" s="63">
        <v>0.25329400196656832</v>
      </c>
      <c r="N207" s="63">
        <v>0.23126843657817109</v>
      </c>
      <c r="O207" s="63">
        <v>0.55667701863354035</v>
      </c>
      <c r="P207" s="63">
        <v>0.41326530612244899</v>
      </c>
      <c r="Q207" s="63">
        <v>0.43904063957361761</v>
      </c>
    </row>
    <row r="208" spans="1:17" x14ac:dyDescent="0.4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9.5934959349593493E-2</v>
      </c>
      <c r="M208" s="63">
        <v>0.25322391559202811</v>
      </c>
      <c r="N208" s="63">
        <v>0.23192653380226652</v>
      </c>
      <c r="O208" s="63">
        <v>0.55478395061728392</v>
      </c>
      <c r="P208" s="63">
        <v>0.41449031171019379</v>
      </c>
      <c r="Q208" s="63">
        <v>0.43878226340172072</v>
      </c>
    </row>
    <row r="209" spans="1:17" x14ac:dyDescent="0.4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9.5469255663430425E-2</v>
      </c>
      <c r="M209" s="63">
        <v>0.2530612244897959</v>
      </c>
      <c r="N209" s="63">
        <v>0.23206997084548106</v>
      </c>
      <c r="O209" s="63">
        <v>0.55453149001536095</v>
      </c>
      <c r="P209" s="63">
        <v>0.41541038525963148</v>
      </c>
      <c r="Q209" s="63">
        <v>0.44013157894736843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2019-11-19T23:58:30Z</dcterms:modified>
</cp:coreProperties>
</file>