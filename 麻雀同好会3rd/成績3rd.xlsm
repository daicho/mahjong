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89993340-3FCA-41AA-8CBE-C777B29558D6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0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6" i="6341" l="1"/>
  <c r="O17" i="6347"/>
  <c r="O21" i="6349"/>
  <c r="O19" i="6349"/>
  <c r="O16" i="6337" l="1"/>
  <c r="O17" i="6351"/>
  <c r="O19" i="6351"/>
  <c r="O18" i="6343"/>
  <c r="O21" i="6341" l="1"/>
  <c r="O20" i="6345"/>
  <c r="O21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7" i="6337"/>
  <c r="O17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8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4" i="6349"/>
  <c r="H31" i="6349"/>
  <c r="H20" i="6349"/>
  <c r="C36" i="6349"/>
  <c r="H40" i="6349"/>
  <c r="H43" i="6349"/>
  <c r="C44" i="6349"/>
  <c r="H50" i="6349"/>
  <c r="C17" i="6349"/>
  <c r="H13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5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4" i="6347"/>
  <c r="H22" i="6347"/>
  <c r="C17" i="6347"/>
  <c r="H19" i="6347"/>
  <c r="H26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3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2" i="6345"/>
  <c r="C18" i="6345"/>
  <c r="H15" i="6345"/>
  <c r="H35" i="6345"/>
  <c r="H39" i="6345"/>
  <c r="H44" i="6345"/>
  <c r="H7" i="6345"/>
  <c r="H23" i="6345"/>
  <c r="C21" i="6345"/>
  <c r="H29" i="6345"/>
  <c r="H49" i="6345"/>
  <c r="C15" i="6345"/>
  <c r="H25" i="6345"/>
  <c r="H3" i="6345"/>
  <c r="H2" i="6345"/>
  <c r="H11" i="6345"/>
  <c r="H4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9" i="6345"/>
  <c r="B22" i="6345"/>
  <c r="H27" i="6345"/>
  <c r="H28" i="6345"/>
  <c r="C34" i="6345"/>
  <c r="H38" i="6345"/>
  <c r="H41" i="6345"/>
  <c r="C42" i="6345"/>
  <c r="H46" i="6345"/>
  <c r="H13" i="6345"/>
  <c r="B23" i="6345"/>
  <c r="H18" i="6345"/>
  <c r="H32" i="6345"/>
  <c r="H33" i="6345"/>
  <c r="H24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<sst xmlns="http://schemas.openxmlformats.org/spreadsheetml/2006/main" count="3870" uniqueCount="306">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</sst>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全体!$K$2:$K$953</c:f>
              <c:numCache>
                <c:formatCode>General</c:formatCode>
                <c:ptCount val="9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</c:numCache>
            </c:numRef>
          </c:xVal>
          <c:yVal>
            <c:numRef>
              <c:f>全体!$L$2:$L$953</c:f>
              <c:numCache>
                <c:formatCode>\+0.0;\-0.0;\±0</c:formatCode>
                <c:ptCount val="95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-28.481012658227847</c:v>
                </c:pt>
                <c:pt idx="1">
                  <c:v>8.5470085470085468</c:v>
                </c:pt>
                <c:pt idx="2">
                  <c:v>-2.2675736961451247</c:v>
                </c:pt>
                <c:pt idx="3">
                  <c:v>6.0168471720818291</c:v>
                </c:pt>
                <c:pt idx="4">
                  <c:v>3.90625</c:v>
                </c:pt>
                <c:pt idx="5">
                  <c:v>17.377567140600316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185</c:v>
                </c:pt>
                <c:pt idx="1">
                  <c:v>406</c:v>
                </c:pt>
                <c:pt idx="2">
                  <c:v>452</c:v>
                </c:pt>
                <c:pt idx="3">
                  <c:v>417</c:v>
                </c:pt>
                <c:pt idx="4">
                  <c:v>367</c:v>
                </c:pt>
                <c:pt idx="5">
                  <c:v>247</c:v>
                </c:pt>
                <c:pt idx="6">
                  <c:v>124</c:v>
                </c:pt>
                <c:pt idx="7">
                  <c:v>67</c:v>
                </c:pt>
                <c:pt idx="8">
                  <c:v>30</c:v>
                </c:pt>
                <c:pt idx="9">
                  <c:v>10</c:v>
                </c:pt>
                <c:pt idx="10">
                  <c:v>7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1810.344827586207</c:v>
                </c:pt>
                <c:pt idx="1">
                  <c:v>-1944.1860465116279</c:v>
                </c:pt>
                <c:pt idx="2">
                  <c:v>-1697.5903614457832</c:v>
                </c:pt>
                <c:pt idx="3">
                  <c:v>-1089.7435897435898</c:v>
                </c:pt>
                <c:pt idx="4">
                  <c:v>-235.52631578947367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43</c:v>
                </c:pt>
                <c:pt idx="3">
                  <c:v>37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だいち!$K$2:$K$189</c:f>
              <c:numCache>
                <c:formatCode>General</c:formatCode>
                <c:ptCount val="1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</c:numCache>
            </c:numRef>
          </c:xVal>
          <c:yVal>
            <c:numRef>
              <c:f>だいち!$L$2:$L$189</c:f>
              <c:numCache>
                <c:formatCode>\+0.0;\-0.0;\±0</c:formatCode>
                <c:ptCount val="18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1307.5268817204301</c:v>
                </c:pt>
                <c:pt idx="1">
                  <c:v>1154.0983606557377</c:v>
                </c:pt>
                <c:pt idx="2">
                  <c:v>1012.5</c:v>
                </c:pt>
                <c:pt idx="3">
                  <c:v>204.8780487804878</c:v>
                </c:pt>
                <c:pt idx="4">
                  <c:v>1852.9411764705883</c:v>
                </c:pt>
                <c:pt idx="5">
                  <c:v>1898.4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51</c:v>
                </c:pt>
                <c:pt idx="1">
                  <c:v>98</c:v>
                </c:pt>
                <c:pt idx="2">
                  <c:v>103</c:v>
                </c:pt>
                <c:pt idx="3">
                  <c:v>95</c:v>
                </c:pt>
                <c:pt idx="4">
                  <c:v>77</c:v>
                </c:pt>
                <c:pt idx="5">
                  <c:v>50</c:v>
                </c:pt>
                <c:pt idx="6">
                  <c:v>25</c:v>
                </c:pt>
                <c:pt idx="7">
                  <c:v>10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ただ!$L$2:$L$171</c:f>
              <c:numCache>
                <c:formatCode>\+0.0;\-0.0;\±0</c:formatCode>
                <c:ptCount val="17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-963.69047619047615</c:v>
                </c:pt>
                <c:pt idx="1">
                  <c:v>1371.6867469879519</c:v>
                </c:pt>
                <c:pt idx="2">
                  <c:v>-48.701298701298704</c:v>
                </c:pt>
                <c:pt idx="3">
                  <c:v>115.75342465753425</c:v>
                </c:pt>
                <c:pt idx="4">
                  <c:v>-1582.8358208955224</c:v>
                </c:pt>
                <c:pt idx="5">
                  <c:v>1391.8918918918919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34</c:v>
                </c:pt>
                <c:pt idx="1">
                  <c:v>84</c:v>
                </c:pt>
                <c:pt idx="2">
                  <c:v>92</c:v>
                </c:pt>
                <c:pt idx="3">
                  <c:v>87</c:v>
                </c:pt>
                <c:pt idx="4">
                  <c:v>63</c:v>
                </c:pt>
                <c:pt idx="5">
                  <c:v>42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1191.3669064748201</c:v>
                </c:pt>
                <c:pt idx="1">
                  <c:v>-1805.8394160583941</c:v>
                </c:pt>
                <c:pt idx="2">
                  <c:v>-416</c:v>
                </c:pt>
                <c:pt idx="3">
                  <c:v>2340.6779661016949</c:v>
                </c:pt>
                <c:pt idx="4">
                  <c:v>1516.0377358490566</c:v>
                </c:pt>
                <c:pt idx="5">
                  <c:v>246.25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42</c:v>
                </c:pt>
                <c:pt idx="3">
                  <c:v>57</c:v>
                </c:pt>
                <c:pt idx="4">
                  <c:v>67</c:v>
                </c:pt>
                <c:pt idx="5">
                  <c:v>43</c:v>
                </c:pt>
                <c:pt idx="6">
                  <c:v>23</c:v>
                </c:pt>
                <c:pt idx="7">
                  <c:v>21</c:v>
                </c:pt>
                <c:pt idx="8">
                  <c:v>8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-207.53424657534248</c:v>
                </c:pt>
                <c:pt idx="1">
                  <c:v>264.33566433566432</c:v>
                </c:pt>
                <c:pt idx="2">
                  <c:v>178.5185185185185</c:v>
                </c:pt>
                <c:pt idx="3">
                  <c:v>376.61290322580646</c:v>
                </c:pt>
                <c:pt idx="4">
                  <c:v>144.24778761061947</c:v>
                </c:pt>
                <c:pt idx="5">
                  <c:v>-622.91666666666663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38</c:v>
                </c:pt>
                <c:pt idx="6">
                  <c:v>18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のり!$L$2:$L$65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-2882.5396825396824</c:v>
                </c:pt>
                <c:pt idx="1">
                  <c:v>849.20634920634916</c:v>
                </c:pt>
                <c:pt idx="2">
                  <c:v>-546.66666666666663</c:v>
                </c:pt>
                <c:pt idx="3">
                  <c:v>-1937.037037037037</c:v>
                </c:pt>
                <c:pt idx="4">
                  <c:v>-1835.2941176470588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23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れんたろう2!$B$3:$B$142</c:f>
              <c:numCache>
                <c:formatCode>\+0.0;\-0.0;\±0</c:formatCode>
                <c:ptCount val="14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れんたろう2!$C$3:$C$142</c:f>
              <c:numCache>
                <c:formatCode>\+0.0;\-0.0;\±0</c:formatCode>
                <c:ptCount val="140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  <c:pt idx="136">
                  <c:v>4.0816176470588275</c:v>
                </c:pt>
                <c:pt idx="137">
                  <c:v>4.2956204379562077</c:v>
                </c:pt>
                <c:pt idx="138">
                  <c:v>4.0340579710144961</c:v>
                </c:pt>
                <c:pt idx="139">
                  <c:v>4.1863309352518021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724379202776973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れんたろう2!$D$3:$D$142</c:f>
              <c:numCache>
                <c:formatCode>0.00\ "位"</c:formatCode>
                <c:ptCount val="140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  <c:pt idx="136">
                  <c:v>1.9191176470588236</c:v>
                </c:pt>
                <c:pt idx="137">
                  <c:v>1.9124087591240877</c:v>
                </c:pt>
                <c:pt idx="138">
                  <c:v>1.9202898550724639</c:v>
                </c:pt>
                <c:pt idx="139">
                  <c:v>1.9136690647482015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れんたろう2!$E$3:$E$142</c:f>
              <c:numCache>
                <c:formatCode>0.0%</c:formatCode>
                <c:ptCount val="1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  <c:pt idx="136">
                  <c:v>0.39705882352941174</c:v>
                </c:pt>
                <c:pt idx="137">
                  <c:v>0.40145985401459855</c:v>
                </c:pt>
                <c:pt idx="138">
                  <c:v>0.39855072463768115</c:v>
                </c:pt>
                <c:pt idx="139">
                  <c:v>0.40287769784172661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れんたろう2!$F$3:$F$142</c:f>
              <c:numCache>
                <c:formatCode>0.0%</c:formatCode>
                <c:ptCount val="14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  <c:pt idx="136">
                  <c:v>0.31617647058823528</c:v>
                </c:pt>
                <c:pt idx="137">
                  <c:v>0.31386861313868614</c:v>
                </c:pt>
                <c:pt idx="138">
                  <c:v>0.3188405797101449</c:v>
                </c:pt>
                <c:pt idx="139">
                  <c:v>0.31654676258992803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れんたろう2!$G$3:$G$142</c:f>
              <c:numCache>
                <c:formatCode>0.0%</c:formatCode>
                <c:ptCount val="140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  <c:pt idx="136">
                  <c:v>0.27387387387387385</c:v>
                </c:pt>
                <c:pt idx="137">
                  <c:v>0.27370304114490163</c:v>
                </c:pt>
                <c:pt idx="138">
                  <c:v>0.27200000000000002</c:v>
                </c:pt>
                <c:pt idx="139">
                  <c:v>0.27208480565371024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8302527348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れんたろう2!$H$3:$H$142</c:f>
              <c:numCache>
                <c:formatCode>0.0%</c:formatCode>
                <c:ptCount val="140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  <c:pt idx="136">
                  <c:v>0.17387387387387387</c:v>
                </c:pt>
                <c:pt idx="137">
                  <c:v>0.1744186046511628</c:v>
                </c:pt>
                <c:pt idx="138">
                  <c:v>0.17422222222222222</c:v>
                </c:pt>
                <c:pt idx="139">
                  <c:v>0.17402826855123674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44850999622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れんたろう2!$I$3:$I$142</c:f>
              <c:numCache>
                <c:formatCode>0</c:formatCode>
                <c:ptCount val="140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  <c:pt idx="136">
                  <c:v>10935.855263157895</c:v>
                </c:pt>
                <c:pt idx="137">
                  <c:v>10949.346405228758</c:v>
                </c:pt>
                <c:pt idx="138">
                  <c:v>10949.346405228758</c:v>
                </c:pt>
                <c:pt idx="139">
                  <c:v>10969.155844155845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69.05370843989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れんたろう2!$J$3:$J$142</c:f>
              <c:numCache>
                <c:formatCode>0</c:formatCode>
                <c:ptCount val="140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  <c:pt idx="136">
                  <c:v>-7965.8031088082898</c:v>
                </c:pt>
                <c:pt idx="137">
                  <c:v>-7916.4102564102568</c:v>
                </c:pt>
                <c:pt idx="138">
                  <c:v>-7937.2448979591836</c:v>
                </c:pt>
                <c:pt idx="139">
                  <c:v>-7926.3959390862947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9.39252336448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れんたろう2!$K$3:$K$142</c:f>
              <c:numCache>
                <c:formatCode>0.0%</c:formatCode>
                <c:ptCount val="14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  <c:pt idx="136">
                  <c:v>0.11764705882352941</c:v>
                </c:pt>
                <c:pt idx="137">
                  <c:v>0.11678832116788321</c:v>
                </c:pt>
                <c:pt idx="138">
                  <c:v>0.11594202898550725</c:v>
                </c:pt>
                <c:pt idx="139">
                  <c:v>0.11510791366906475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53417455310199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れんたろう2!$L$3:$L$142</c:f>
              <c:numCache>
                <c:formatCode>0.0%</c:formatCode>
                <c:ptCount val="140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  <c:pt idx="136">
                  <c:v>0.29819819819819821</c:v>
                </c:pt>
                <c:pt idx="137">
                  <c:v>0.29785330948121647</c:v>
                </c:pt>
                <c:pt idx="138">
                  <c:v>0.29599999999999999</c:v>
                </c:pt>
                <c:pt idx="139">
                  <c:v>0.29593639575971731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22004275116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れんたろう2!$M$3:$M$142</c:f>
              <c:numCache>
                <c:formatCode>0.0%</c:formatCode>
                <c:ptCount val="140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  <c:pt idx="136">
                  <c:v>0.18108108108108109</c:v>
                </c:pt>
                <c:pt idx="137">
                  <c:v>0.18067978533094811</c:v>
                </c:pt>
                <c:pt idx="138">
                  <c:v>0.18133333333333335</c:v>
                </c:pt>
                <c:pt idx="139">
                  <c:v>0.18197879858657243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61662265811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れんたろう2!$N$3:$N$142</c:f>
              <c:numCache>
                <c:formatCode>0.0%</c:formatCode>
                <c:ptCount val="140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  <c:pt idx="136">
                  <c:v>0.54682779456193353</c:v>
                </c:pt>
                <c:pt idx="137">
                  <c:v>0.5495495495495496</c:v>
                </c:pt>
                <c:pt idx="138">
                  <c:v>0.5495495495495496</c:v>
                </c:pt>
                <c:pt idx="139">
                  <c:v>0.54925373134328359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763819095477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れんたろう2!$O$3:$O$142</c:f>
              <c:numCache>
                <c:formatCode>0.0%</c:formatCode>
                <c:ptCount val="140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  <c:pt idx="136">
                  <c:v>0.37313432835820898</c:v>
                </c:pt>
                <c:pt idx="137">
                  <c:v>0.37128712871287128</c:v>
                </c:pt>
                <c:pt idx="138">
                  <c:v>0.36764705882352944</c:v>
                </c:pt>
                <c:pt idx="139">
                  <c:v>0.36893203883495146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37837837837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れんたろう2!$A$3:$A$142</c:f>
              <c:numCache>
                <c:formatCode>0\ "回"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れんたろう2!$P$3:$P$142</c:f>
              <c:numCache>
                <c:formatCode>0.0%</c:formatCode>
                <c:ptCount val="140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  <c:pt idx="136">
                  <c:v>0.50986842105263153</c:v>
                </c:pt>
                <c:pt idx="137">
                  <c:v>0.50980392156862742</c:v>
                </c:pt>
                <c:pt idx="138">
                  <c:v>0.50980392156862742</c:v>
                </c:pt>
                <c:pt idx="139">
                  <c:v>0.51298701298701299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75703324808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9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9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9" x14ac:dyDescent="0.4">
      <c r="A82" s="28" t="s">
        <v>288</v>
      </c>
      <c r="B82" s="29">
        <v>43815.960185185184</v>
      </c>
      <c r="C82" s="28" t="s">
        <v>128</v>
      </c>
    </row>
    <row r="83" spans="1:9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  <row r="84" spans="1:9" x14ac:dyDescent="0.4">
      <c r="A84" s="28" t="s">
        <v>290</v>
      </c>
      <c r="B84" s="29">
        <v>43818.049363425926</v>
      </c>
      <c r="C84" s="28" t="s">
        <v>128</v>
      </c>
      <c r="D84" s="28" t="s">
        <v>129</v>
      </c>
    </row>
    <row r="85" spans="1:9" x14ac:dyDescent="0.4">
      <c r="A85" s="28" t="s">
        <v>291</v>
      </c>
      <c r="B85" s="29">
        <v>43837.741377314815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">
      <c r="A86" s="28" t="s">
        <v>292</v>
      </c>
      <c r="B86" s="29">
        <v>43837.741377314815</v>
      </c>
      <c r="C86" s="28" t="s">
        <v>128</v>
      </c>
      <c r="D86" s="28" t="s">
        <v>129</v>
      </c>
    </row>
    <row r="87" spans="1:9" x14ac:dyDescent="0.4">
      <c r="A87" s="28" t="s">
        <v>293</v>
      </c>
      <c r="B87" s="29">
        <v>43837.741377314815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">
      <c r="A88" s="28" t="s">
        <v>294</v>
      </c>
      <c r="B88" s="29">
        <v>43837.773657407408</v>
      </c>
      <c r="C88" s="28" t="s">
        <v>128</v>
      </c>
    </row>
    <row r="89" spans="1:9" x14ac:dyDescent="0.4">
      <c r="A89" s="28" t="s">
        <v>295</v>
      </c>
      <c r="B89" s="29">
        <v>43839.958333333336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">
      <c r="A90" s="28" t="s">
        <v>296</v>
      </c>
      <c r="B90" s="29">
        <v>43840.01121527778</v>
      </c>
      <c r="C90" s="28" t="s">
        <v>128</v>
      </c>
    </row>
    <row r="91" spans="1:9" x14ac:dyDescent="0.4">
      <c r="A91" s="28" t="s">
        <v>297</v>
      </c>
      <c r="B91" s="29">
        <v>43843.94021990741</v>
      </c>
      <c r="C91" s="28" t="s">
        <v>128</v>
      </c>
      <c r="D91" s="28" t="s">
        <v>129</v>
      </c>
      <c r="E91" s="28" t="s">
        <v>173</v>
      </c>
    </row>
    <row r="92" spans="1:9" x14ac:dyDescent="0.4">
      <c r="A92" s="28" t="s">
        <v>298</v>
      </c>
      <c r="B92" s="29">
        <v>43843.94023148148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">
      <c r="A93" s="28" t="s">
        <v>299</v>
      </c>
      <c r="B93" s="29">
        <v>43844.019513888888</v>
      </c>
      <c r="C93" s="28" t="s">
        <v>128</v>
      </c>
      <c r="D93" s="28" t="s">
        <v>129</v>
      </c>
      <c r="E93" s="28" t="s">
        <v>173</v>
      </c>
    </row>
    <row r="94" spans="1:9" x14ac:dyDescent="0.4">
      <c r="A94" s="28" t="s">
        <v>300</v>
      </c>
      <c r="B94" s="29">
        <v>43846.63857638889</v>
      </c>
      <c r="C94" s="28" t="s">
        <v>128</v>
      </c>
      <c r="D94" s="28" t="s">
        <v>129</v>
      </c>
      <c r="E94" s="28" t="s">
        <v>173</v>
      </c>
    </row>
    <row r="95" spans="1:9" x14ac:dyDescent="0.4">
      <c r="A95" s="28" t="s">
        <v>301</v>
      </c>
      <c r="B95" s="29">
        <v>43846.63857638889</v>
      </c>
      <c r="C95" s="28" t="s">
        <v>128</v>
      </c>
    </row>
    <row r="96" spans="1:9" x14ac:dyDescent="0.4">
      <c r="A96" s="28" t="s">
        <v>302</v>
      </c>
      <c r="B96" s="29">
        <v>43851.818796296298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">
      <c r="A97" s="28" t="s">
        <v>303</v>
      </c>
      <c r="B97" s="29">
        <v>43851.818796296298</v>
      </c>
      <c r="C97" s="28" t="s">
        <v>128</v>
      </c>
      <c r="D97" s="28" t="s">
        <v>129</v>
      </c>
      <c r="E97" s="28" t="s">
        <v>173</v>
      </c>
    </row>
    <row r="98" spans="1:7" x14ac:dyDescent="0.4">
      <c r="A98" s="28" t="s">
        <v>304</v>
      </c>
      <c r="B98" s="29">
        <v>43851.818796296298</v>
      </c>
      <c r="C98" s="28" t="s">
        <v>128</v>
      </c>
      <c r="D98" s="28" t="s">
        <v>129</v>
      </c>
    </row>
    <row r="99" spans="1:7" x14ac:dyDescent="0.4">
      <c r="A99" s="28" t="s">
        <v>305</v>
      </c>
      <c r="B99" s="29">
        <v>43852.046168981484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951</v>
      </c>
    </row>
    <row r="2" spans="1:2" x14ac:dyDescent="0.4">
      <c r="A2" t="s">
        <v>161</v>
      </c>
      <c r="B2">
        <v>87</v>
      </c>
    </row>
    <row r="3" spans="1:2" x14ac:dyDescent="0.4">
      <c r="A3" t="s">
        <v>126</v>
      </c>
      <c r="B3">
        <v>187</v>
      </c>
    </row>
    <row r="4" spans="1:2" x14ac:dyDescent="0.4">
      <c r="A4" t="s">
        <v>127</v>
      </c>
      <c r="B4">
        <v>169</v>
      </c>
    </row>
    <row r="5" spans="1:2" x14ac:dyDescent="0.4">
      <c r="A5" t="s">
        <v>172</v>
      </c>
      <c r="B5">
        <v>100</v>
      </c>
    </row>
    <row r="6" spans="1:2" x14ac:dyDescent="0.4">
      <c r="A6" t="s">
        <v>170</v>
      </c>
      <c r="B6">
        <v>139</v>
      </c>
    </row>
    <row r="7" spans="1:2" x14ac:dyDescent="0.4">
      <c r="A7" t="s">
        <v>171</v>
      </c>
      <c r="B7">
        <v>146</v>
      </c>
    </row>
    <row r="8" spans="1:2" x14ac:dyDescent="0.4">
      <c r="A8" t="s">
        <v>197</v>
      </c>
      <c r="B8">
        <v>63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13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0.97175691746676429</v>
      </c>
      <c r="G2" s="167"/>
      <c r="H2" s="166">
        <v>0.84942939714442123</v>
      </c>
      <c r="I2" s="167"/>
      <c r="J2" s="166">
        <v>0.91194902512466025</v>
      </c>
      <c r="K2" s="167"/>
      <c r="L2" s="166">
        <v>0.4872385801974381</v>
      </c>
      <c r="M2" s="167"/>
      <c r="N2" s="166">
        <v>0.63088901243733175</v>
      </c>
      <c r="O2" s="167"/>
      <c r="P2" s="166">
        <v>0.46079858995139694</v>
      </c>
      <c r="Q2" s="167"/>
      <c r="R2" s="166">
        <v>0.21787229298010052</v>
      </c>
      <c r="S2" s="167"/>
      <c r="T2" s="166">
        <v>0.39959528915375675</v>
      </c>
      <c r="U2" s="167"/>
      <c r="V2" s="166">
        <v>0.45123297092637543</v>
      </c>
      <c r="W2" s="167"/>
      <c r="X2" s="166">
        <v>6.298027402433419E-2</v>
      </c>
      <c r="Y2" s="167"/>
      <c r="Z2" s="166">
        <v>0.37965135635071784</v>
      </c>
      <c r="AA2" s="167"/>
      <c r="AB2" s="166">
        <v>-1.5962747671952968E-2</v>
      </c>
      <c r="AC2" s="167"/>
      <c r="AD2" s="166">
        <v>-7.13940917051617E-2</v>
      </c>
      <c r="AE2" s="167"/>
      <c r="AF2" s="166">
        <v>0.84254094416417558</v>
      </c>
      <c r="AG2" s="167"/>
    </row>
    <row r="3" spans="1:33" x14ac:dyDescent="0.4">
      <c r="A3" s="70">
        <v>1</v>
      </c>
      <c r="B3" s="71" t="s">
        <v>126</v>
      </c>
      <c r="C3" s="72">
        <v>1628.2999999999997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10969.155844155845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581.90000000000055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0.24598930481283424</v>
      </c>
      <c r="L4" s="81" t="s">
        <v>281</v>
      </c>
      <c r="M4" s="84">
        <v>0.37681159420289856</v>
      </c>
      <c r="N4" s="81" t="s">
        <v>126</v>
      </c>
      <c r="O4" s="84">
        <v>0.12727272727272726</v>
      </c>
      <c r="P4" s="81" t="s">
        <v>281</v>
      </c>
      <c r="Q4" s="85">
        <v>9534.6153846153848</v>
      </c>
      <c r="R4" s="81" t="s">
        <v>171</v>
      </c>
      <c r="S4" s="85">
        <v>-6992.0731707317073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0.51298701298701299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8.7074866310160406</v>
      </c>
      <c r="F5" s="81" t="s">
        <v>126</v>
      </c>
      <c r="G5" s="82">
        <v>1.786096256684492</v>
      </c>
      <c r="H5" s="81" t="s">
        <v>126</v>
      </c>
      <c r="I5" s="83">
        <v>0.45989304812834225</v>
      </c>
      <c r="J5" s="81" t="s">
        <v>171</v>
      </c>
      <c r="K5" s="83">
        <v>0.29452054794520549</v>
      </c>
      <c r="L5" s="81" t="s">
        <v>274</v>
      </c>
      <c r="M5" s="84">
        <v>0.3559322033898305</v>
      </c>
      <c r="N5" s="81" t="s">
        <v>171</v>
      </c>
      <c r="O5" s="84">
        <v>0.13874788494077833</v>
      </c>
      <c r="P5" s="81" t="s">
        <v>280</v>
      </c>
      <c r="Q5" s="85">
        <v>8512.5</v>
      </c>
      <c r="R5" s="81" t="s">
        <v>161</v>
      </c>
      <c r="S5" s="85">
        <v>-7537.3015873015875</v>
      </c>
      <c r="T5" s="81" t="s">
        <v>126</v>
      </c>
      <c r="U5" s="83">
        <v>4.2780748663101602E-2</v>
      </c>
      <c r="V5" s="81" t="s">
        <v>274</v>
      </c>
      <c r="W5" s="84">
        <v>0.30508474576271188</v>
      </c>
      <c r="X5" s="81" t="s">
        <v>127</v>
      </c>
      <c r="Y5" s="84">
        <v>0.30028530670470754</v>
      </c>
      <c r="Z5" s="81" t="s">
        <v>196</v>
      </c>
      <c r="AA5" s="84">
        <v>0.59677419354838712</v>
      </c>
      <c r="AB5" s="81" t="s">
        <v>126</v>
      </c>
      <c r="AC5" s="84">
        <v>0.4877384196185286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203</v>
      </c>
      <c r="C6" s="80">
        <v>26.2</v>
      </c>
      <c r="D6" s="81" t="s">
        <v>170</v>
      </c>
      <c r="E6" s="93">
        <v>4.1863309352518021</v>
      </c>
      <c r="F6" s="81" t="s">
        <v>170</v>
      </c>
      <c r="G6" s="82">
        <v>1.9136690647482015</v>
      </c>
      <c r="H6" s="81" t="s">
        <v>228</v>
      </c>
      <c r="I6" s="83">
        <v>0.42857142857142855</v>
      </c>
      <c r="J6" s="81" t="s">
        <v>127</v>
      </c>
      <c r="K6" s="83">
        <v>0.31360946745562129</v>
      </c>
      <c r="L6" s="81" t="s">
        <v>126</v>
      </c>
      <c r="M6" s="84">
        <v>0.34350649350649348</v>
      </c>
      <c r="N6" s="81" t="s">
        <v>141</v>
      </c>
      <c r="O6" s="84">
        <v>0.16144850999622784</v>
      </c>
      <c r="P6" s="81" t="s">
        <v>196</v>
      </c>
      <c r="Q6" s="85">
        <v>8385.7142857142862</v>
      </c>
      <c r="R6" s="81" t="s">
        <v>141</v>
      </c>
      <c r="S6" s="85">
        <v>-7769.3925233644859</v>
      </c>
      <c r="T6" s="81" t="s">
        <v>171</v>
      </c>
      <c r="U6" s="83">
        <v>6.8493150684931503E-2</v>
      </c>
      <c r="V6" s="81" t="s">
        <v>170</v>
      </c>
      <c r="W6" s="84">
        <v>0.29593639575971731</v>
      </c>
      <c r="X6" s="81" t="s">
        <v>161</v>
      </c>
      <c r="Y6" s="84">
        <v>0.26336375488917863</v>
      </c>
      <c r="Z6" s="81" t="s">
        <v>126</v>
      </c>
      <c r="AA6" s="84">
        <v>0.58968058968058967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127</v>
      </c>
      <c r="C7" s="80">
        <v>20.799999999999805</v>
      </c>
      <c r="D7" s="81" t="s">
        <v>127</v>
      </c>
      <c r="E7" s="93">
        <v>0.12307692307692192</v>
      </c>
      <c r="F7" s="81" t="s">
        <v>127</v>
      </c>
      <c r="G7" s="82">
        <v>1.970414201183432</v>
      </c>
      <c r="H7" s="81" t="s">
        <v>170</v>
      </c>
      <c r="I7" s="83">
        <v>0.40287769784172661</v>
      </c>
      <c r="J7" s="81" t="s">
        <v>170</v>
      </c>
      <c r="K7" s="83">
        <v>0.31654676258992803</v>
      </c>
      <c r="L7" s="81" t="s">
        <v>127</v>
      </c>
      <c r="M7" s="84">
        <v>0.31383737517831667</v>
      </c>
      <c r="N7" s="81" t="s">
        <v>161</v>
      </c>
      <c r="O7" s="84">
        <v>0.16427640156453716</v>
      </c>
      <c r="P7" s="81" t="s">
        <v>141</v>
      </c>
      <c r="Q7" s="85">
        <v>8369.0537084398984</v>
      </c>
      <c r="R7" s="81" t="s">
        <v>172</v>
      </c>
      <c r="S7" s="85">
        <v>-7813.9240506329115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0.23831168831168831</v>
      </c>
      <c r="Z7" s="81" t="s">
        <v>171</v>
      </c>
      <c r="AA7" s="84">
        <v>0.55555555555555558</v>
      </c>
      <c r="AB7" s="81" t="s">
        <v>197</v>
      </c>
      <c r="AC7" s="84">
        <v>0.42857142857142855</v>
      </c>
      <c r="AD7" s="81" t="s">
        <v>197</v>
      </c>
      <c r="AE7" s="84">
        <v>0.46323529411764708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141</v>
      </c>
      <c r="C8" s="80">
        <v>-6.3948846218409017E-14</v>
      </c>
      <c r="D8" s="81" t="s">
        <v>141</v>
      </c>
      <c r="E8" s="93">
        <v>-6.7243792027769735E-17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0.29498302527348169</v>
      </c>
      <c r="N8" s="81" t="s">
        <v>274</v>
      </c>
      <c r="O8" s="84">
        <v>0.16949152542372881</v>
      </c>
      <c r="P8" s="81" t="s">
        <v>171</v>
      </c>
      <c r="Q8" s="85">
        <v>8336.3363363363369</v>
      </c>
      <c r="R8" s="81" t="s">
        <v>126</v>
      </c>
      <c r="S8" s="85">
        <v>-7815.8163265306121</v>
      </c>
      <c r="T8" s="81" t="s">
        <v>161</v>
      </c>
      <c r="U8" s="83">
        <v>8.0459770114942528E-2</v>
      </c>
      <c r="V8" s="81" t="s">
        <v>203</v>
      </c>
      <c r="W8" s="84">
        <v>0.26666666666666666</v>
      </c>
      <c r="X8" s="81" t="s">
        <v>171</v>
      </c>
      <c r="Y8" s="84">
        <v>0.2326565143824027</v>
      </c>
      <c r="Z8" s="81" t="s">
        <v>141</v>
      </c>
      <c r="AA8" s="84">
        <v>0.55276381909547734</v>
      </c>
      <c r="AB8" s="81" t="s">
        <v>171</v>
      </c>
      <c r="AC8" s="84">
        <v>0.42545454545454547</v>
      </c>
      <c r="AD8" s="81" t="s">
        <v>281</v>
      </c>
      <c r="AE8" s="84">
        <v>0.46153846153846156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171</v>
      </c>
      <c r="C9" s="80">
        <v>-28.099999999999977</v>
      </c>
      <c r="D9" s="81" t="s">
        <v>171</v>
      </c>
      <c r="E9" s="93">
        <v>-0.19246575342465738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0.28172588832487311</v>
      </c>
      <c r="N9" s="81" t="s">
        <v>170</v>
      </c>
      <c r="O9" s="84">
        <v>0.17402826855123674</v>
      </c>
      <c r="P9" s="81" t="s">
        <v>126</v>
      </c>
      <c r="Q9" s="85">
        <v>8148.5822306238188</v>
      </c>
      <c r="R9" s="81" t="s">
        <v>170</v>
      </c>
      <c r="S9" s="85">
        <v>-7926.3959390862947</v>
      </c>
      <c r="T9" s="81" t="s">
        <v>141</v>
      </c>
      <c r="U9" s="83">
        <v>9.2534174553101992E-2</v>
      </c>
      <c r="V9" s="81" t="s">
        <v>126</v>
      </c>
      <c r="W9" s="84">
        <v>0.26428571428571429</v>
      </c>
      <c r="X9" s="81" t="s">
        <v>141</v>
      </c>
      <c r="Y9" s="84">
        <v>0.23261662265811645</v>
      </c>
      <c r="Z9" s="81" t="s">
        <v>170</v>
      </c>
      <c r="AA9" s="84">
        <v>0.54925373134328359</v>
      </c>
      <c r="AB9" s="81" t="s">
        <v>141</v>
      </c>
      <c r="AC9" s="84">
        <v>0.41837837837837838</v>
      </c>
      <c r="AD9" s="81" t="s">
        <v>141</v>
      </c>
      <c r="AE9" s="84">
        <v>0.4475703324808184</v>
      </c>
      <c r="AF9" s="81" t="s">
        <v>161</v>
      </c>
      <c r="AG9" s="88">
        <v>87400</v>
      </c>
    </row>
    <row r="10" spans="1:33" x14ac:dyDescent="0.4">
      <c r="A10" s="78">
        <v>8</v>
      </c>
      <c r="B10" s="79" t="s">
        <v>196</v>
      </c>
      <c r="C10" s="80">
        <v>-45.7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0.34319526627218933</v>
      </c>
      <c r="J10" s="81" t="s">
        <v>274</v>
      </c>
      <c r="K10" s="83">
        <v>0.38461538461538464</v>
      </c>
      <c r="L10" s="81" t="s">
        <v>161</v>
      </c>
      <c r="M10" s="84">
        <v>0.27379400260756193</v>
      </c>
      <c r="N10" s="81" t="s">
        <v>196</v>
      </c>
      <c r="O10" s="84">
        <v>0.17499999999999999</v>
      </c>
      <c r="P10" s="81" t="s">
        <v>197</v>
      </c>
      <c r="Q10" s="85">
        <v>8066.911764705882</v>
      </c>
      <c r="R10" s="81" t="s">
        <v>127</v>
      </c>
      <c r="S10" s="85">
        <v>-7960.4</v>
      </c>
      <c r="T10" s="81" t="s">
        <v>127</v>
      </c>
      <c r="U10" s="83">
        <v>0.10650887573964497</v>
      </c>
      <c r="V10" s="81" t="s">
        <v>171</v>
      </c>
      <c r="W10" s="84">
        <v>0.25888324873096447</v>
      </c>
      <c r="X10" s="81" t="s">
        <v>197</v>
      </c>
      <c r="Y10" s="84">
        <v>0.22753346080305928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171</v>
      </c>
      <c r="AE10" s="84">
        <v>0.44744744744744747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274</v>
      </c>
      <c r="C11" s="80">
        <v>-47.6</v>
      </c>
      <c r="D11" s="81" t="s">
        <v>274</v>
      </c>
      <c r="E11" s="93">
        <v>-3.6615384615384619</v>
      </c>
      <c r="F11" s="81" t="s">
        <v>171</v>
      </c>
      <c r="G11" s="82">
        <v>2.0410958904109591</v>
      </c>
      <c r="H11" s="81" t="s">
        <v>141</v>
      </c>
      <c r="I11" s="83">
        <v>0.33333333333333331</v>
      </c>
      <c r="J11" s="81" t="s">
        <v>172</v>
      </c>
      <c r="K11" s="83">
        <v>0.4</v>
      </c>
      <c r="L11" s="81" t="s">
        <v>170</v>
      </c>
      <c r="M11" s="84">
        <v>0.27208480565371024</v>
      </c>
      <c r="N11" s="81" t="s">
        <v>127</v>
      </c>
      <c r="O11" s="84">
        <v>0.1783166904422254</v>
      </c>
      <c r="P11" s="81" t="s">
        <v>127</v>
      </c>
      <c r="Q11" s="85">
        <v>7976.590909090909</v>
      </c>
      <c r="R11" s="81" t="s">
        <v>280</v>
      </c>
      <c r="S11" s="85">
        <v>-7987.5</v>
      </c>
      <c r="T11" s="81" t="s">
        <v>170</v>
      </c>
      <c r="U11" s="83">
        <v>0.11510791366906475</v>
      </c>
      <c r="V11" s="81" t="s">
        <v>196</v>
      </c>
      <c r="W11" s="84">
        <v>0.25833333333333336</v>
      </c>
      <c r="X11" s="81" t="s">
        <v>172</v>
      </c>
      <c r="Y11" s="84">
        <v>0.19119351100811124</v>
      </c>
      <c r="Z11" s="81" t="s">
        <v>228</v>
      </c>
      <c r="AA11" s="84">
        <v>0.53333333333333333</v>
      </c>
      <c r="AB11" s="81" t="s">
        <v>161</v>
      </c>
      <c r="AC11" s="84">
        <v>0.40099009900990101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-6.9758620689655206</v>
      </c>
      <c r="F12" s="81" t="s">
        <v>228</v>
      </c>
      <c r="G12" s="82">
        <v>2.1428571428571428</v>
      </c>
      <c r="H12" s="81" t="s">
        <v>161</v>
      </c>
      <c r="I12" s="83">
        <v>0.28735632183908044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197</v>
      </c>
      <c r="O12" s="84">
        <v>0.17973231357552583</v>
      </c>
      <c r="P12" s="81" t="s">
        <v>172</v>
      </c>
      <c r="Q12" s="85">
        <v>7835.8078602620089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0.25022004275116311</v>
      </c>
      <c r="X12" s="81" t="s">
        <v>170</v>
      </c>
      <c r="Y12" s="84">
        <v>0.18197879858657243</v>
      </c>
      <c r="Z12" s="81" t="s">
        <v>161</v>
      </c>
      <c r="AA12" s="84">
        <v>0.5321100917431193</v>
      </c>
      <c r="AB12" s="81" t="s">
        <v>127</v>
      </c>
      <c r="AC12" s="84">
        <v>0.38479809976247031</v>
      </c>
      <c r="AD12" s="81" t="s">
        <v>126</v>
      </c>
      <c r="AE12" s="84">
        <v>0.41965973534971646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-7.5269999999999992</v>
      </c>
      <c r="F13" s="81" t="s">
        <v>161</v>
      </c>
      <c r="G13" s="82">
        <v>2.1609195402298851</v>
      </c>
      <c r="H13" s="81" t="s">
        <v>171</v>
      </c>
      <c r="I13" s="83">
        <v>0.25342465753424659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0.15873015873015872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0.52727272727272723</v>
      </c>
      <c r="AB13" s="81" t="s">
        <v>170</v>
      </c>
      <c r="AC13" s="84">
        <v>0.36893203883495146</v>
      </c>
      <c r="AD13" s="81" t="s">
        <v>127</v>
      </c>
      <c r="AE13" s="84">
        <v>0.41590909090909089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-606.90000000000032</v>
      </c>
      <c r="D14" s="81" t="s">
        <v>197</v>
      </c>
      <c r="E14" s="93">
        <v>-11.065079365079367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0.44444444444444442</v>
      </c>
      <c r="L14" s="81" t="s">
        <v>197</v>
      </c>
      <c r="M14" s="84">
        <v>0.26003824091778205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-8432.978723404256</v>
      </c>
      <c r="T14" s="81" t="s">
        <v>280</v>
      </c>
      <c r="U14" s="83">
        <v>0.2</v>
      </c>
      <c r="V14" s="81" t="s">
        <v>127</v>
      </c>
      <c r="W14" s="84">
        <v>0.23323823109843081</v>
      </c>
      <c r="X14" s="81" t="s">
        <v>196</v>
      </c>
      <c r="Y14" s="84">
        <v>0.15</v>
      </c>
      <c r="Z14" s="81" t="s">
        <v>127</v>
      </c>
      <c r="AA14" s="84">
        <v>0.51681957186544347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197</v>
      </c>
      <c r="C15" s="80">
        <v>-697.10000000000014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0.44827586206896552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7096.666666666667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0.21032504780114722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2.2857142857142856</v>
      </c>
      <c r="H16" s="81" t="s">
        <v>197</v>
      </c>
      <c r="I16" s="83">
        <v>0.15873015873015872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0.14211212516297261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951</v>
      </c>
      <c r="C2" s="155"/>
      <c r="E2" s="58" t="s">
        <v>66</v>
      </c>
      <c r="F2" s="55" t="s">
        <v>22</v>
      </c>
      <c r="G2" s="43">
        <v>1757</v>
      </c>
      <c r="H2" s="128">
        <f>IF(B$15=0,0,G2/B$15)</f>
        <v>0.74893435635123617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-28.481012658227847</v>
      </c>
      <c r="P2" s="114">
        <v>948</v>
      </c>
      <c r="Q2" s="98">
        <v>-27000</v>
      </c>
    </row>
    <row r="3" spans="1:17" x14ac:dyDescent="0.4">
      <c r="A3" s="51" t="s">
        <v>8</v>
      </c>
      <c r="B3" s="156">
        <v>7953</v>
      </c>
      <c r="C3" s="157"/>
      <c r="E3" s="59" t="s">
        <v>72</v>
      </c>
      <c r="F3" s="56" t="s">
        <v>27</v>
      </c>
      <c r="G3" s="44">
        <v>1269</v>
      </c>
      <c r="H3" s="129">
        <f>IF(B$15=0,0,G3/B$15)</f>
        <v>0.54092071611253201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8.5470085470085468</v>
      </c>
      <c r="P3" s="115">
        <v>936</v>
      </c>
      <c r="Q3" s="99">
        <v>8000</v>
      </c>
    </row>
    <row r="4" spans="1:17" x14ac:dyDescent="0.4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1063</v>
      </c>
      <c r="H4" s="129">
        <f>IF(B$15=0,0,G4/B$15)</f>
        <v>0.45311167945439046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-2.2675736961451247</v>
      </c>
      <c r="P4" s="115">
        <v>882</v>
      </c>
      <c r="Q4" s="99">
        <v>-2000</v>
      </c>
    </row>
    <row r="5" spans="1:17" x14ac:dyDescent="0.4">
      <c r="A5" s="51" t="s">
        <v>7</v>
      </c>
      <c r="B5" s="160">
        <f>IF(B$2=0,0,B$4/B$2)</f>
        <v>-6.7243792027769735E-17</v>
      </c>
      <c r="C5" s="161"/>
      <c r="E5" s="59" t="s">
        <v>166</v>
      </c>
      <c r="F5" s="56" t="s">
        <v>167</v>
      </c>
      <c r="G5" s="44">
        <v>919</v>
      </c>
      <c r="H5" s="129">
        <f>IF(B$15=0,0,G5/B$15)</f>
        <v>0.3917306052855925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6.0168471720818291</v>
      </c>
      <c r="P5" s="115">
        <v>831</v>
      </c>
      <c r="Q5" s="99">
        <v>5000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728</v>
      </c>
      <c r="H6" s="129">
        <f>IF(B$15=0,0,G6/B$15)</f>
        <v>0.31031543052003407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3.90625</v>
      </c>
      <c r="P6" s="115">
        <v>768</v>
      </c>
      <c r="Q6" s="99">
        <v>3000</v>
      </c>
    </row>
    <row r="7" spans="1:17" x14ac:dyDescent="0.4">
      <c r="A7" s="51" t="s">
        <v>2</v>
      </c>
      <c r="B7" s="44">
        <v>317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648</v>
      </c>
      <c r="H7" s="129">
        <f>IF(B$15=0,0,G7/B$15)</f>
        <v>0.27621483375959077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17.377567140600316</v>
      </c>
      <c r="P7" s="116">
        <v>633</v>
      </c>
      <c r="Q7" s="100">
        <v>11000</v>
      </c>
    </row>
    <row r="8" spans="1:17" x14ac:dyDescent="0.4">
      <c r="A8" s="51" t="s">
        <v>3</v>
      </c>
      <c r="B8" s="44">
        <v>317</v>
      </c>
      <c r="C8" s="37">
        <f t="shared" si="1"/>
        <v>0.33333333333333331</v>
      </c>
      <c r="E8" s="59" t="s">
        <v>69</v>
      </c>
      <c r="F8" s="56" t="s">
        <v>24</v>
      </c>
      <c r="G8" s="44">
        <v>334</v>
      </c>
      <c r="H8" s="129">
        <f>IF(B$15=0,0,G8/B$15)</f>
        <v>0.1423699914748508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317</v>
      </c>
      <c r="C9" s="38">
        <f t="shared" si="1"/>
        <v>0.33333333333333331</v>
      </c>
      <c r="E9" s="59" t="s">
        <v>89</v>
      </c>
      <c r="F9" s="56" t="s">
        <v>44</v>
      </c>
      <c r="G9" s="44">
        <v>320</v>
      </c>
      <c r="H9" s="129">
        <f>IF(B$15=0,0,G9/B$15)</f>
        <v>0.13640238704177324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88</v>
      </c>
      <c r="C10" s="40">
        <f t="shared" si="1"/>
        <v>9.2534174553101992E-2</v>
      </c>
      <c r="E10" s="59" t="s">
        <v>65</v>
      </c>
      <c r="F10" s="56" t="s">
        <v>21</v>
      </c>
      <c r="G10" s="44">
        <v>247</v>
      </c>
      <c r="H10" s="129">
        <f>IF(B$15=0,0,G10/B$15)</f>
        <v>0.10528559249786872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-4.268454258675078</v>
      </c>
      <c r="P10" s="114">
        <v>317</v>
      </c>
      <c r="Q10" s="102">
        <v>-1353.0999999999997</v>
      </c>
    </row>
    <row r="11" spans="1:17" x14ac:dyDescent="0.4">
      <c r="A11" s="54" t="s">
        <v>121</v>
      </c>
      <c r="B11" s="47">
        <v>1990</v>
      </c>
      <c r="C11" s="42">
        <f>IF(B$3=0,0,B11/B$3)</f>
        <v>0.25022004275116311</v>
      </c>
      <c r="E11" s="59" t="s">
        <v>70</v>
      </c>
      <c r="F11" s="56" t="s">
        <v>25</v>
      </c>
      <c r="G11" s="44">
        <v>216</v>
      </c>
      <c r="H11" s="129">
        <f>IF(B$15=0,0,G11/B$15)</f>
        <v>9.2071611253196933E-2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0.9902208201892746</v>
      </c>
      <c r="P11" s="115">
        <v>317</v>
      </c>
      <c r="Q11" s="103">
        <v>313.90000000000003</v>
      </c>
    </row>
    <row r="12" spans="1:17" x14ac:dyDescent="0.4">
      <c r="A12" s="51" t="s">
        <v>118</v>
      </c>
      <c r="B12" s="44">
        <v>1850</v>
      </c>
      <c r="C12" s="37">
        <f>IF(B$3=0,0,B12/B$3)</f>
        <v>0.23261662265811645</v>
      </c>
      <c r="E12" s="59" t="s">
        <v>71</v>
      </c>
      <c r="F12" s="56" t="s">
        <v>26</v>
      </c>
      <c r="G12" s="44">
        <v>187</v>
      </c>
      <c r="H12" s="129">
        <f>IF(B$15=0,0,G12/B$15)</f>
        <v>7.9710144927536225E-2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3.278233438485803</v>
      </c>
      <c r="P12" s="116">
        <v>317</v>
      </c>
      <c r="Q12" s="104">
        <v>1039.1999999999996</v>
      </c>
    </row>
    <row r="13" spans="1:17" x14ac:dyDescent="0.4">
      <c r="A13" s="50" t="s">
        <v>123</v>
      </c>
      <c r="B13" s="43">
        <f>B19</f>
        <v>1100</v>
      </c>
      <c r="C13" s="35">
        <f>IF(B$11=0,0,B13/B$11)</f>
        <v>0.55276381909547734</v>
      </c>
      <c r="E13" s="59" t="s">
        <v>83</v>
      </c>
      <c r="F13" s="56" t="s">
        <v>38</v>
      </c>
      <c r="G13" s="44">
        <v>117</v>
      </c>
      <c r="H13" s="129">
        <f>IF(B$15=0,0,G13/B$15)</f>
        <v>4.9872122762148335E-2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774</v>
      </c>
      <c r="C14" s="35">
        <f>IF(B$12=0,0,B14/B$12)</f>
        <v>0.41837837837837838</v>
      </c>
      <c r="E14" s="59" t="s">
        <v>86</v>
      </c>
      <c r="F14" s="56" t="s">
        <v>41</v>
      </c>
      <c r="G14" s="44">
        <v>117</v>
      </c>
      <c r="H14" s="129">
        <f>IF(B$15=0,0,G14/B$15)</f>
        <v>4.9872122762148335E-2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2346</v>
      </c>
      <c r="C15" s="35">
        <f>IF(B$3=0,0,B15/B$3)</f>
        <v>0.29498302527348169</v>
      </c>
      <c r="E15" s="59" t="s">
        <v>78</v>
      </c>
      <c r="F15" s="56" t="s">
        <v>33</v>
      </c>
      <c r="G15" s="44">
        <v>65</v>
      </c>
      <c r="H15" s="129">
        <f>IF(B$15=0,0,G15/B$15)</f>
        <v>2.7706734867860187E-2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1284</v>
      </c>
      <c r="C16" s="37">
        <f>IF(B$3=0,0,B16/B$3)</f>
        <v>0.16144850999622784</v>
      </c>
      <c r="E16" s="59" t="s">
        <v>81</v>
      </c>
      <c r="F16" s="56" t="s">
        <v>36</v>
      </c>
      <c r="G16" s="44">
        <v>51</v>
      </c>
      <c r="H16" s="129">
        <f>IF(B$15=0,0,G16/B$15)</f>
        <v>2.1739130434782608E-2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1050</v>
      </c>
      <c r="C17" s="37">
        <f>IF(B$15=0,0,B17/B$15)</f>
        <v>0.4475703324808184</v>
      </c>
      <c r="E17" s="59" t="s">
        <v>162</v>
      </c>
      <c r="F17" s="56" t="s">
        <v>163</v>
      </c>
      <c r="G17" s="44">
        <v>49</v>
      </c>
      <c r="H17" s="129">
        <f>IF(B$15=0,0,G17/B$15)</f>
        <v>2.0886615515771527E-2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16.59761904761903</v>
      </c>
      <c r="P17" s="115">
        <v>126</v>
      </c>
      <c r="Q17" s="103">
        <v>2091.2999999999979</v>
      </c>
    </row>
    <row r="18" spans="1:17" x14ac:dyDescent="0.4">
      <c r="A18" s="51" t="s">
        <v>11</v>
      </c>
      <c r="B18" s="44">
        <v>1296</v>
      </c>
      <c r="C18" s="37">
        <f>IF(B$15=0,0,B18/B$15)</f>
        <v>0.55242966751918154</v>
      </c>
      <c r="E18" s="59" t="s">
        <v>91</v>
      </c>
      <c r="F18" s="56" t="s">
        <v>46</v>
      </c>
      <c r="G18" s="44">
        <v>37</v>
      </c>
      <c r="H18" s="129">
        <f>IF(B$15=0,0,G18/B$15)</f>
        <v>1.5771526001705029E-2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">
      <c r="A19" s="51" t="s">
        <v>195</v>
      </c>
      <c r="B19" s="44">
        <v>1100</v>
      </c>
      <c r="C19" s="37">
        <f>IF(B$15=0,0,B19/B$15)</f>
        <v>0.46888320545609546</v>
      </c>
      <c r="E19" s="59" t="s">
        <v>79</v>
      </c>
      <c r="F19" s="56" t="s">
        <v>34</v>
      </c>
      <c r="G19" s="44">
        <v>32</v>
      </c>
      <c r="H19" s="129">
        <f>IF(B$15=0,0,G19/B$15)</f>
        <v>1.3640238704177323E-2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7.901052631578942</v>
      </c>
      <c r="P19" s="115">
        <v>190</v>
      </c>
      <c r="Q19" s="103">
        <v>1501.1999999999989</v>
      </c>
    </row>
    <row r="20" spans="1:17" x14ac:dyDescent="0.4">
      <c r="A20" s="51" t="s">
        <v>193</v>
      </c>
      <c r="B20" s="44">
        <v>774</v>
      </c>
      <c r="C20" s="37">
        <f>IF(B$15=0,0,B20/B$15)</f>
        <v>0.32992327365728902</v>
      </c>
      <c r="E20" s="59" t="s">
        <v>75</v>
      </c>
      <c r="F20" s="56" t="s">
        <v>30</v>
      </c>
      <c r="G20" s="44">
        <v>18</v>
      </c>
      <c r="H20" s="129">
        <f>IF(B$15=0,0,G20/B$15)</f>
        <v>7.6726342710997444E-3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">
      <c r="A21" s="51" t="s">
        <v>194</v>
      </c>
      <c r="B21" s="44">
        <v>472</v>
      </c>
      <c r="C21" s="37">
        <f>IF(B$15=0,0,B21/B$15)</f>
        <v>0.20119352088661552</v>
      </c>
      <c r="E21" s="59" t="s">
        <v>92</v>
      </c>
      <c r="F21" s="56" t="s">
        <v>47</v>
      </c>
      <c r="G21" s="44">
        <v>16</v>
      </c>
      <c r="H21" s="129">
        <f>IF(B$15=0,0,G21/B$15)</f>
        <v>6.8201193520886615E-3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">
      <c r="A22" s="51" t="s">
        <v>5</v>
      </c>
      <c r="B22" s="48">
        <f>IF(B$15=0,0,C22/B$15)</f>
        <v>8369.0537084398984</v>
      </c>
      <c r="C22" s="39">
        <v>19633800</v>
      </c>
      <c r="E22" s="59" t="s">
        <v>85</v>
      </c>
      <c r="F22" s="56" t="s">
        <v>40</v>
      </c>
      <c r="G22" s="44">
        <v>14</v>
      </c>
      <c r="H22" s="129">
        <f>IF(B$15=0,0,G22/B$15)</f>
        <v>5.9676044330775786E-3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0.28869863013698649</v>
      </c>
      <c r="P22" s="115">
        <v>292</v>
      </c>
      <c r="Q22" s="103">
        <v>84.300000000000054</v>
      </c>
    </row>
    <row r="23" spans="1:17" x14ac:dyDescent="0.4">
      <c r="A23" s="52" t="s">
        <v>177</v>
      </c>
      <c r="B23" s="136">
        <f>IF($B$15-B$14=0,0,C23/($B$15-B$14))</f>
        <v>9057.2519083969473</v>
      </c>
      <c r="C23" s="137">
        <v>14238000</v>
      </c>
      <c r="E23" s="59" t="s">
        <v>73</v>
      </c>
      <c r="F23" s="56" t="s">
        <v>28</v>
      </c>
      <c r="G23" s="44">
        <v>8</v>
      </c>
      <c r="H23" s="129">
        <f>IF(B$15=0,0,G23/B$15)</f>
        <v>3.4100596760443308E-3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-0.1846153846153881</v>
      </c>
      <c r="P23" s="115">
        <v>338</v>
      </c>
      <c r="Q23" s="103">
        <v>-62.400000000001178</v>
      </c>
    </row>
    <row r="24" spans="1:17" x14ac:dyDescent="0.4">
      <c r="A24" s="52" t="s">
        <v>178</v>
      </c>
      <c r="B24" s="136">
        <f>IF(B$14=0,0,C24/B$14)</f>
        <v>6971.3178294573645</v>
      </c>
      <c r="C24" s="137">
        <v>5395800</v>
      </c>
      <c r="E24" s="59" t="s">
        <v>74</v>
      </c>
      <c r="F24" s="56" t="s">
        <v>29</v>
      </c>
      <c r="G24" s="44">
        <v>8</v>
      </c>
      <c r="H24" s="129">
        <f>IF(B$15=0,0,G24/B$15)</f>
        <v>3.4100596760443308E-3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-6.279496402877693</v>
      </c>
      <c r="P24" s="115">
        <v>278</v>
      </c>
      <c r="Q24" s="103">
        <v>-1745.6999999999987</v>
      </c>
    </row>
    <row r="25" spans="1:17" x14ac:dyDescent="0.4">
      <c r="A25" s="52" t="s">
        <v>176</v>
      </c>
      <c r="B25" s="136">
        <f>IF(B$16=0,0,C25/B$16)</f>
        <v>-7769.3925233644859</v>
      </c>
      <c r="C25" s="137">
        <v>-9975900</v>
      </c>
      <c r="E25" s="59" t="s">
        <v>84</v>
      </c>
      <c r="F25" s="56" t="s">
        <v>39</v>
      </c>
      <c r="G25" s="44">
        <v>7</v>
      </c>
      <c r="H25" s="129">
        <f>IF(B$15=0,0,G25/B$15)</f>
        <v>2.9838022165387893E-3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-13.061229946524069</v>
      </c>
      <c r="P25" s="115">
        <v>374</v>
      </c>
      <c r="Q25" s="103">
        <v>-4884.9000000000015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6</v>
      </c>
      <c r="H26" s="129">
        <f>IF(B$15=0,0,G26/B$15)</f>
        <v>2.5575447570332483E-3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6</v>
      </c>
      <c r="H27" s="129">
        <f>IF(B$15=0,0,G27/B$15)</f>
        <v>2.5575447570332483E-3</v>
      </c>
      <c r="I27" s="90">
        <v>5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2.1312872975277068E-3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1.7050298380221654E-3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22</v>
      </c>
      <c r="C30" s="40">
        <f>IF(B$3=0,0,B30/B$3)</f>
        <v>2.7662517289073307E-3</v>
      </c>
      <c r="E30" s="59" t="s">
        <v>93</v>
      </c>
      <c r="F30" s="56" t="s">
        <v>48</v>
      </c>
      <c r="G30" s="44">
        <v>4</v>
      </c>
      <c r="H30" s="129">
        <f>IF(B$15=0,0,G30/B$15)</f>
        <v>1.7050298380221654E-3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1.7050298380221654E-3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185</v>
      </c>
      <c r="C32" s="141">
        <f>IF(B$15=0,0,B32/B$15)</f>
        <v>7.8857630008525151E-2</v>
      </c>
      <c r="E32" s="59" t="s">
        <v>97</v>
      </c>
      <c r="F32" s="56" t="s">
        <v>52</v>
      </c>
      <c r="G32" s="44">
        <v>1</v>
      </c>
      <c r="H32" s="129">
        <f>IF(B$15=0,0,G32/B$15)</f>
        <v>4.2625745950554135E-4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406</v>
      </c>
      <c r="C33" s="37">
        <f t="shared" ref="C33:C44" si="2">IF(B$15=0,0,B33/B$15)</f>
        <v>0.17306052855924978</v>
      </c>
      <c r="E33" s="59" t="s">
        <v>101</v>
      </c>
      <c r="F33" s="56" t="s">
        <v>56</v>
      </c>
      <c r="G33" s="44">
        <v>1</v>
      </c>
      <c r="H33" s="129">
        <f>IF(B$15=0,0,G33/B$15)</f>
        <v>4.2625745950554135E-4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452</v>
      </c>
      <c r="C34" s="37">
        <f>IF(B$15=0,0,B34/B$15)</f>
        <v>0.19266837169650469</v>
      </c>
      <c r="E34" s="59" t="s">
        <v>106</v>
      </c>
      <c r="F34" s="56" t="s">
        <v>113</v>
      </c>
      <c r="G34" s="44">
        <v>1</v>
      </c>
      <c r="H34" s="129">
        <f>IF(B$15=0,0,G34/B$15)</f>
        <v>4.2625745950554135E-4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417</v>
      </c>
      <c r="C35" s="37">
        <f t="shared" si="2"/>
        <v>0.17774936061381075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367</v>
      </c>
      <c r="C36" s="37">
        <f t="shared" si="2"/>
        <v>0.15643648763853368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247</v>
      </c>
      <c r="C37" s="37">
        <f t="shared" si="2"/>
        <v>0.10528559249786872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124</v>
      </c>
      <c r="C38" s="37">
        <f t="shared" si="2"/>
        <v>5.285592497868713E-2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67</v>
      </c>
      <c r="C39" s="37">
        <f t="shared" si="2"/>
        <v>2.8559249786871271E-2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30</v>
      </c>
      <c r="C40" s="37">
        <f t="shared" si="2"/>
        <v>1.278772378516624E-2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10</v>
      </c>
      <c r="C41" s="37">
        <f t="shared" si="2"/>
        <v>4.2625745950554137E-3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7</v>
      </c>
      <c r="C42" s="37">
        <f t="shared" si="2"/>
        <v>2.9838022165387893E-3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2.5575447570332483E-3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28</v>
      </c>
      <c r="C44" s="40">
        <f t="shared" si="2"/>
        <v>1.1935208866155157E-2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  <row r="861" spans="11:12" x14ac:dyDescent="0.4">
      <c r="K861" s="36">
        <v>859</v>
      </c>
      <c r="L861" s="95">
        <v>22.099999999999945</v>
      </c>
    </row>
    <row r="862" spans="11:12" x14ac:dyDescent="0.4">
      <c r="K862" s="36">
        <v>860</v>
      </c>
      <c r="L862" s="95">
        <v>23.399999999999945</v>
      </c>
    </row>
    <row r="863" spans="11:12" x14ac:dyDescent="0.4">
      <c r="K863" s="36">
        <v>861</v>
      </c>
      <c r="L863" s="95">
        <v>-5.3290705182007514E-14</v>
      </c>
    </row>
    <row r="864" spans="11:12" x14ac:dyDescent="0.4">
      <c r="K864" s="36">
        <v>862</v>
      </c>
      <c r="L864" s="95">
        <v>60.599999999999952</v>
      </c>
    </row>
    <row r="865" spans="11:12" x14ac:dyDescent="0.4">
      <c r="K865" s="36">
        <v>863</v>
      </c>
      <c r="L865" s="95">
        <v>46.199999999999953</v>
      </c>
    </row>
    <row r="866" spans="11:12" x14ac:dyDescent="0.4">
      <c r="K866" s="36">
        <v>864</v>
      </c>
      <c r="L866" s="95">
        <v>-4.9737991503207013E-14</v>
      </c>
    </row>
    <row r="867" spans="11:12" x14ac:dyDescent="0.4">
      <c r="K867" s="36">
        <v>865</v>
      </c>
      <c r="L867" s="95">
        <v>-38.50000000000005</v>
      </c>
    </row>
    <row r="868" spans="11:12" x14ac:dyDescent="0.4">
      <c r="K868" s="36">
        <v>866</v>
      </c>
      <c r="L868" s="95">
        <v>-26.30000000000005</v>
      </c>
    </row>
    <row r="869" spans="11:12" x14ac:dyDescent="0.4">
      <c r="K869" s="36">
        <v>867</v>
      </c>
      <c r="L869" s="95">
        <v>-4.9737991503207013E-14</v>
      </c>
    </row>
    <row r="870" spans="11:12" x14ac:dyDescent="0.4">
      <c r="K870" s="36">
        <v>868</v>
      </c>
      <c r="L870" s="95">
        <v>39.799999999999947</v>
      </c>
    </row>
    <row r="871" spans="11:12" x14ac:dyDescent="0.4">
      <c r="K871" s="36">
        <v>869</v>
      </c>
      <c r="L871" s="95">
        <v>-10.700000000000053</v>
      </c>
    </row>
    <row r="872" spans="11:12" x14ac:dyDescent="0.4">
      <c r="K872" s="36">
        <v>870</v>
      </c>
      <c r="L872" s="95">
        <v>-5.3290705182007514E-14</v>
      </c>
    </row>
    <row r="873" spans="11:12" x14ac:dyDescent="0.4">
      <c r="K873" s="36">
        <v>871</v>
      </c>
      <c r="L873" s="95">
        <v>-32.000000000000057</v>
      </c>
    </row>
    <row r="874" spans="11:12" x14ac:dyDescent="0.4">
      <c r="K874" s="36">
        <v>872</v>
      </c>
      <c r="L874" s="95">
        <v>1.8999999999999417</v>
      </c>
    </row>
    <row r="875" spans="11:12" x14ac:dyDescent="0.4">
      <c r="K875" s="36">
        <v>873</v>
      </c>
      <c r="L875" s="95">
        <v>-5.8175686490358203E-14</v>
      </c>
    </row>
    <row r="876" spans="11:12" x14ac:dyDescent="0.4">
      <c r="K876" s="36">
        <v>874</v>
      </c>
      <c r="L876" s="95">
        <v>-42.300000000000054</v>
      </c>
    </row>
    <row r="877" spans="11:12" x14ac:dyDescent="0.4">
      <c r="K877" s="36">
        <v>875</v>
      </c>
      <c r="L877" s="95">
        <v>-60.800000000000054</v>
      </c>
    </row>
    <row r="878" spans="11:12" x14ac:dyDescent="0.4">
      <c r="K878" s="36">
        <v>876</v>
      </c>
      <c r="L878" s="95">
        <v>-5.6843418860808015E-14</v>
      </c>
    </row>
    <row r="879" spans="11:12" x14ac:dyDescent="0.4">
      <c r="K879" s="36">
        <v>877</v>
      </c>
      <c r="L879" s="95">
        <v>32.999999999999943</v>
      </c>
    </row>
    <row r="880" spans="11:12" x14ac:dyDescent="0.4">
      <c r="K880" s="36">
        <v>878</v>
      </c>
      <c r="L880" s="95">
        <v>-2.0000000000000568</v>
      </c>
    </row>
    <row r="881" spans="11:12" x14ac:dyDescent="0.4">
      <c r="K881" s="36">
        <v>879</v>
      </c>
      <c r="L881" s="95">
        <v>-5.6843418860808015E-14</v>
      </c>
    </row>
    <row r="882" spans="11:12" x14ac:dyDescent="0.4">
      <c r="K882" s="36">
        <v>880</v>
      </c>
      <c r="L882" s="95">
        <v>26.799999999999944</v>
      </c>
    </row>
    <row r="883" spans="11:12" x14ac:dyDescent="0.4">
      <c r="K883" s="36">
        <v>881</v>
      </c>
      <c r="L883" s="95">
        <v>32.199999999999946</v>
      </c>
    </row>
    <row r="884" spans="11:12" x14ac:dyDescent="0.4">
      <c r="K884" s="36">
        <v>882</v>
      </c>
      <c r="L884" s="95">
        <v>-5.6843418860808015E-14</v>
      </c>
    </row>
    <row r="885" spans="11:12" x14ac:dyDescent="0.4">
      <c r="K885" s="36">
        <v>883</v>
      </c>
      <c r="L885" s="95">
        <v>45.199999999999946</v>
      </c>
    </row>
    <row r="886" spans="11:12" x14ac:dyDescent="0.4">
      <c r="K886" s="36">
        <v>884</v>
      </c>
      <c r="L886" s="95">
        <v>10.199999999999946</v>
      </c>
    </row>
    <row r="887" spans="11:12" x14ac:dyDescent="0.4">
      <c r="K887" s="36">
        <v>885</v>
      </c>
      <c r="L887" s="95">
        <v>-5.3290705182007514E-14</v>
      </c>
    </row>
    <row r="888" spans="11:12" x14ac:dyDescent="0.4">
      <c r="K888" s="36">
        <v>886</v>
      </c>
      <c r="L888" s="95">
        <v>-12.500000000000053</v>
      </c>
    </row>
    <row r="889" spans="11:12" x14ac:dyDescent="0.4">
      <c r="K889" s="36">
        <v>887</v>
      </c>
      <c r="L889" s="95">
        <v>-12.200000000000053</v>
      </c>
    </row>
    <row r="890" spans="11:12" x14ac:dyDescent="0.4">
      <c r="K890" s="36">
        <v>888</v>
      </c>
      <c r="L890" s="95">
        <v>-5.3290705182007514E-14</v>
      </c>
    </row>
    <row r="891" spans="11:12" x14ac:dyDescent="0.4">
      <c r="K891" s="36">
        <v>889</v>
      </c>
      <c r="L891" s="95">
        <v>-65.500000000000057</v>
      </c>
    </row>
    <row r="892" spans="11:12" x14ac:dyDescent="0.4">
      <c r="K892" s="36">
        <v>890</v>
      </c>
      <c r="L892" s="95">
        <v>-12.000000000000057</v>
      </c>
    </row>
    <row r="893" spans="11:12" x14ac:dyDescent="0.4">
      <c r="K893" s="36">
        <v>891</v>
      </c>
      <c r="L893" s="95">
        <v>-5.6843418860808015E-14</v>
      </c>
    </row>
    <row r="894" spans="11:12" x14ac:dyDescent="0.4">
      <c r="K894" s="36">
        <v>892</v>
      </c>
      <c r="L894" s="95">
        <v>-9.2000000000000561</v>
      </c>
    </row>
    <row r="895" spans="11:12" x14ac:dyDescent="0.4">
      <c r="K895" s="36">
        <v>893</v>
      </c>
      <c r="L895" s="95">
        <v>-39.70000000000006</v>
      </c>
    </row>
    <row r="896" spans="11:12" x14ac:dyDescent="0.4">
      <c r="K896" s="36">
        <v>894</v>
      </c>
      <c r="L896" s="95">
        <v>-5.6843418860808015E-14</v>
      </c>
    </row>
    <row r="897" spans="11:12" x14ac:dyDescent="0.4">
      <c r="K897" s="36">
        <v>895</v>
      </c>
      <c r="L897" s="95">
        <v>-36.300000000000054</v>
      </c>
    </row>
    <row r="898" spans="11:12" x14ac:dyDescent="0.4">
      <c r="K898" s="36">
        <v>896</v>
      </c>
      <c r="L898" s="95">
        <v>-56.300000000000054</v>
      </c>
    </row>
    <row r="899" spans="11:12" x14ac:dyDescent="0.4">
      <c r="K899" s="36">
        <v>897</v>
      </c>
      <c r="L899" s="95">
        <v>-5.6843418860808015E-14</v>
      </c>
    </row>
    <row r="900" spans="11:12" x14ac:dyDescent="0.4">
      <c r="K900" s="36">
        <v>898</v>
      </c>
      <c r="L900" s="95">
        <v>-37.20000000000006</v>
      </c>
    </row>
    <row r="901" spans="11:12" x14ac:dyDescent="0.4">
      <c r="K901" s="36">
        <v>899</v>
      </c>
      <c r="L901" s="95">
        <v>-8.400000000000059</v>
      </c>
    </row>
    <row r="902" spans="11:12" x14ac:dyDescent="0.4">
      <c r="K902" s="36">
        <v>900</v>
      </c>
      <c r="L902" s="95">
        <v>-5.8619775700208265E-14</v>
      </c>
    </row>
    <row r="903" spans="11:12" x14ac:dyDescent="0.4">
      <c r="K903" s="36">
        <v>901</v>
      </c>
      <c r="L903" s="95">
        <v>-27.400000000000055</v>
      </c>
    </row>
    <row r="904" spans="11:12" x14ac:dyDescent="0.4">
      <c r="K904" s="36">
        <v>902</v>
      </c>
      <c r="L904" s="95">
        <v>-35.70000000000006</v>
      </c>
    </row>
    <row r="905" spans="11:12" x14ac:dyDescent="0.4">
      <c r="K905" s="36">
        <v>903</v>
      </c>
      <c r="L905" s="95">
        <v>-5.6843418860808015E-14</v>
      </c>
    </row>
    <row r="906" spans="11:12" x14ac:dyDescent="0.4">
      <c r="K906" s="36">
        <v>904</v>
      </c>
      <c r="L906" s="95">
        <v>-3.4000000000000568</v>
      </c>
    </row>
    <row r="907" spans="11:12" x14ac:dyDescent="0.4">
      <c r="K907" s="36">
        <v>905</v>
      </c>
      <c r="L907" s="95">
        <v>17.599999999999945</v>
      </c>
    </row>
    <row r="908" spans="11:12" x14ac:dyDescent="0.4">
      <c r="K908" s="36">
        <v>906</v>
      </c>
      <c r="L908" s="95">
        <v>-5.6843418860808015E-14</v>
      </c>
    </row>
    <row r="909" spans="11:12" x14ac:dyDescent="0.4">
      <c r="K909" s="36">
        <v>907</v>
      </c>
      <c r="L909" s="95">
        <v>-11.000000000000057</v>
      </c>
    </row>
    <row r="910" spans="11:12" x14ac:dyDescent="0.4">
      <c r="K910" s="36">
        <v>908</v>
      </c>
      <c r="L910" s="95">
        <v>27.199999999999946</v>
      </c>
    </row>
    <row r="911" spans="11:12" x14ac:dyDescent="0.4">
      <c r="K911" s="36">
        <v>909</v>
      </c>
      <c r="L911" s="95">
        <v>-5.3290705182007514E-14</v>
      </c>
    </row>
    <row r="912" spans="11:12" x14ac:dyDescent="0.4">
      <c r="K912" s="36">
        <v>910</v>
      </c>
      <c r="L912" s="95">
        <v>-28.700000000000053</v>
      </c>
    </row>
    <row r="913" spans="11:12" x14ac:dyDescent="0.4">
      <c r="K913" s="36">
        <v>911</v>
      </c>
      <c r="L913" s="95">
        <v>-27.900000000000052</v>
      </c>
    </row>
    <row r="914" spans="11:12" x14ac:dyDescent="0.4">
      <c r="K914" s="36">
        <v>912</v>
      </c>
      <c r="L914" s="95">
        <v>-5.3290705182007514E-14</v>
      </c>
    </row>
    <row r="915" spans="11:12" x14ac:dyDescent="0.4">
      <c r="K915" s="36">
        <v>913</v>
      </c>
      <c r="L915" s="95">
        <v>-44.000000000000057</v>
      </c>
    </row>
    <row r="916" spans="11:12" x14ac:dyDescent="0.4">
      <c r="K916" s="36">
        <v>914</v>
      </c>
      <c r="L916" s="95">
        <v>0.79999999999994031</v>
      </c>
    </row>
    <row r="917" spans="11:12" x14ac:dyDescent="0.4">
      <c r="K917" s="36">
        <v>915</v>
      </c>
      <c r="L917" s="95">
        <v>-5.9729998724833422E-14</v>
      </c>
    </row>
    <row r="918" spans="11:12" x14ac:dyDescent="0.4">
      <c r="K918" s="36">
        <v>916</v>
      </c>
      <c r="L918" s="95">
        <v>-18.900000000000059</v>
      </c>
    </row>
    <row r="919" spans="11:12" x14ac:dyDescent="0.4">
      <c r="K919" s="36">
        <v>917</v>
      </c>
      <c r="L919" s="95">
        <v>-56.400000000000063</v>
      </c>
    </row>
    <row r="920" spans="11:12" x14ac:dyDescent="0.4">
      <c r="K920" s="36">
        <v>918</v>
      </c>
      <c r="L920" s="95">
        <v>-6.3948846218409017E-14</v>
      </c>
    </row>
    <row r="921" spans="11:12" x14ac:dyDescent="0.4">
      <c r="K921" s="36">
        <v>919</v>
      </c>
      <c r="L921" s="95">
        <v>12.199999999999935</v>
      </c>
    </row>
    <row r="922" spans="11:12" x14ac:dyDescent="0.4">
      <c r="K922" s="36">
        <v>920</v>
      </c>
      <c r="L922" s="95">
        <v>34.499999999999936</v>
      </c>
    </row>
    <row r="923" spans="11:12" x14ac:dyDescent="0.4">
      <c r="K923" s="36">
        <v>921</v>
      </c>
      <c r="L923" s="95">
        <v>-6.3948846218409017E-14</v>
      </c>
    </row>
    <row r="924" spans="11:12" x14ac:dyDescent="0.4">
      <c r="K924" s="36">
        <v>922</v>
      </c>
      <c r="L924" s="95">
        <v>-47.000000000000064</v>
      </c>
    </row>
    <row r="925" spans="11:12" x14ac:dyDescent="0.4">
      <c r="K925" s="36">
        <v>923</v>
      </c>
      <c r="L925" s="95">
        <v>-47.300000000000061</v>
      </c>
    </row>
    <row r="926" spans="11:12" x14ac:dyDescent="0.4">
      <c r="K926" s="36">
        <v>924</v>
      </c>
      <c r="L926" s="95">
        <v>-6.3948846218409017E-14</v>
      </c>
    </row>
    <row r="927" spans="11:12" x14ac:dyDescent="0.4">
      <c r="K927" s="36">
        <v>925</v>
      </c>
      <c r="L927" s="95">
        <v>-34.500000000000064</v>
      </c>
    </row>
    <row r="928" spans="11:12" x14ac:dyDescent="0.4">
      <c r="K928" s="36">
        <v>926</v>
      </c>
      <c r="L928" s="95">
        <v>-47.500000000000064</v>
      </c>
    </row>
    <row r="929" spans="11:12" x14ac:dyDescent="0.4">
      <c r="K929" s="36">
        <v>927</v>
      </c>
      <c r="L929" s="95">
        <v>-6.3948846218409017E-14</v>
      </c>
    </row>
    <row r="930" spans="11:12" x14ac:dyDescent="0.4">
      <c r="K930" s="36">
        <v>928</v>
      </c>
      <c r="L930" s="95">
        <v>-22.000000000000064</v>
      </c>
    </row>
    <row r="931" spans="11:12" x14ac:dyDescent="0.4">
      <c r="K931" s="36">
        <v>929</v>
      </c>
      <c r="L931" s="95">
        <v>-60.700000000000067</v>
      </c>
    </row>
    <row r="932" spans="11:12" x14ac:dyDescent="0.4">
      <c r="K932" s="36">
        <v>930</v>
      </c>
      <c r="L932" s="95">
        <v>-6.3948846218409017E-14</v>
      </c>
    </row>
    <row r="933" spans="11:12" x14ac:dyDescent="0.4">
      <c r="K933" s="36">
        <v>931</v>
      </c>
      <c r="L933" s="95">
        <v>31.199999999999935</v>
      </c>
    </row>
    <row r="934" spans="11:12" x14ac:dyDescent="0.4">
      <c r="K934" s="36">
        <v>932</v>
      </c>
      <c r="L934" s="95">
        <v>6.6999999999999353</v>
      </c>
    </row>
    <row r="935" spans="11:12" x14ac:dyDescent="0.4">
      <c r="K935" s="36">
        <v>933</v>
      </c>
      <c r="L935" s="95">
        <v>-6.4837024638109142E-14</v>
      </c>
    </row>
    <row r="936" spans="11:12" x14ac:dyDescent="0.4">
      <c r="K936" s="36">
        <v>934</v>
      </c>
      <c r="L936" s="95">
        <v>-45.300000000000061</v>
      </c>
    </row>
    <row r="937" spans="11:12" x14ac:dyDescent="0.4">
      <c r="K937" s="36">
        <v>935</v>
      </c>
      <c r="L937" s="95">
        <v>-4.5000000000000639</v>
      </c>
    </row>
    <row r="938" spans="11:12" x14ac:dyDescent="0.4">
      <c r="K938" s="36">
        <v>936</v>
      </c>
      <c r="L938" s="95">
        <v>-6.3948846218409017E-14</v>
      </c>
    </row>
    <row r="939" spans="11:12" x14ac:dyDescent="0.4">
      <c r="K939" s="36">
        <v>937</v>
      </c>
      <c r="L939" s="95">
        <v>-31.700000000000063</v>
      </c>
    </row>
    <row r="940" spans="11:12" x14ac:dyDescent="0.4">
      <c r="K940" s="36">
        <v>938</v>
      </c>
      <c r="L940" s="95">
        <v>-25.200000000000063</v>
      </c>
    </row>
    <row r="941" spans="11:12" x14ac:dyDescent="0.4">
      <c r="K941" s="36">
        <v>939</v>
      </c>
      <c r="L941" s="95">
        <v>-6.3948846218409017E-14</v>
      </c>
    </row>
    <row r="942" spans="11:12" x14ac:dyDescent="0.4">
      <c r="K942" s="36">
        <v>940</v>
      </c>
      <c r="L942" s="95">
        <v>-61.300000000000061</v>
      </c>
    </row>
    <row r="943" spans="11:12" x14ac:dyDescent="0.4">
      <c r="K943" s="36">
        <v>941</v>
      </c>
      <c r="L943" s="95">
        <v>-20.100000000000058</v>
      </c>
    </row>
    <row r="944" spans="11:12" x14ac:dyDescent="0.4">
      <c r="K944" s="36">
        <v>942</v>
      </c>
      <c r="L944" s="95">
        <v>-5.6843418860808015E-14</v>
      </c>
    </row>
    <row r="945" spans="11:12" x14ac:dyDescent="0.4">
      <c r="K945" s="36">
        <v>943</v>
      </c>
      <c r="L945" s="95">
        <v>-25.700000000000056</v>
      </c>
    </row>
    <row r="946" spans="11:12" x14ac:dyDescent="0.4">
      <c r="K946" s="36">
        <v>944</v>
      </c>
      <c r="L946" s="95">
        <v>7.6999999999999424</v>
      </c>
    </row>
    <row r="947" spans="11:12" x14ac:dyDescent="0.4">
      <c r="K947" s="36">
        <v>945</v>
      </c>
      <c r="L947" s="95">
        <v>-5.773159728050814E-14</v>
      </c>
    </row>
    <row r="948" spans="11:12" x14ac:dyDescent="0.4">
      <c r="K948" s="36">
        <v>946</v>
      </c>
      <c r="L948" s="95">
        <v>-31.800000000000058</v>
      </c>
    </row>
    <row r="949" spans="11:12" x14ac:dyDescent="0.4">
      <c r="K949" s="36">
        <v>947</v>
      </c>
      <c r="L949" s="95">
        <v>-24.20000000000006</v>
      </c>
    </row>
    <row r="950" spans="11:12" x14ac:dyDescent="0.4">
      <c r="K950" s="36">
        <v>948</v>
      </c>
      <c r="L950" s="95">
        <v>-6.0396132539608516E-14</v>
      </c>
    </row>
    <row r="951" spans="11:12" x14ac:dyDescent="0.4">
      <c r="K951" s="36">
        <v>949</v>
      </c>
      <c r="L951" s="95">
        <v>-0.60000000000006037</v>
      </c>
    </row>
    <row r="952" spans="11:12" x14ac:dyDescent="0.4">
      <c r="K952" s="36">
        <v>950</v>
      </c>
      <c r="L952" s="95">
        <v>-25.200000000000063</v>
      </c>
    </row>
    <row r="953" spans="11:12" x14ac:dyDescent="0.4">
      <c r="K953" s="36">
        <v>951</v>
      </c>
      <c r="L953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87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0.69047619047619047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1810.344827586207</v>
      </c>
      <c r="P2" s="114">
        <v>87</v>
      </c>
      <c r="Q2" s="98">
        <v>157500</v>
      </c>
    </row>
    <row r="3" spans="1:17" x14ac:dyDescent="0.4">
      <c r="A3" s="51" t="s">
        <v>8</v>
      </c>
      <c r="B3" s="156">
        <v>767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0.56666666666666665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-1944.1860465116279</v>
      </c>
      <c r="P3" s="115">
        <v>86</v>
      </c>
      <c r="Q3" s="99">
        <v>-167200</v>
      </c>
    </row>
    <row r="4" spans="1:17" x14ac:dyDescent="0.4">
      <c r="A4" s="51" t="s">
        <v>6</v>
      </c>
      <c r="B4" s="158">
        <v>-606.90000000000032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0.34761904761904761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-1697.5903614457832</v>
      </c>
      <c r="P4" s="115">
        <v>83</v>
      </c>
      <c r="Q4" s="99">
        <v>-140900</v>
      </c>
    </row>
    <row r="5" spans="1:17" x14ac:dyDescent="0.4">
      <c r="A5" s="51" t="s">
        <v>7</v>
      </c>
      <c r="B5" s="160">
        <f>IF(B$2=0,0,B$4/B$2)</f>
        <v>-6.9758620689655206</v>
      </c>
      <c r="C5" s="161"/>
      <c r="E5" s="59" t="s">
        <v>64</v>
      </c>
      <c r="F5" s="56" t="s">
        <v>20</v>
      </c>
      <c r="G5" s="44">
        <v>57</v>
      </c>
      <c r="H5" s="129">
        <f>IF(B$15=0,0,G5/B$15)</f>
        <v>0.27142857142857141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-1089.7435897435898</v>
      </c>
      <c r="P5" s="115">
        <v>78</v>
      </c>
      <c r="Q5" s="99">
        <v>-85000</v>
      </c>
    </row>
    <row r="6" spans="1:17" x14ac:dyDescent="0.4">
      <c r="A6" s="51" t="s">
        <v>1</v>
      </c>
      <c r="B6" s="150">
        <f>IF(B$2=0,0,(B$7*1+B$8*2+B$9*3)/B$2)</f>
        <v>2.1609195402298851</v>
      </c>
      <c r="C6" s="151"/>
      <c r="E6" s="59" t="s">
        <v>68</v>
      </c>
      <c r="F6" s="56" t="s">
        <v>12</v>
      </c>
      <c r="G6" s="44">
        <v>57</v>
      </c>
      <c r="H6" s="129">
        <f>IF(B$15=0,0,G6/B$15)</f>
        <v>0.27142857142857141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-235.52631578947367</v>
      </c>
      <c r="P6" s="115">
        <v>76</v>
      </c>
      <c r="Q6" s="99">
        <v>-17900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0.28735632183908044</v>
      </c>
      <c r="E7" s="59" t="s">
        <v>67</v>
      </c>
      <c r="F7" s="56" t="s">
        <v>23</v>
      </c>
      <c r="G7" s="44">
        <v>38</v>
      </c>
      <c r="H7" s="129">
        <f>IF(B$15=0,0,G7/B$15)</f>
        <v>0.18095238095238095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">
      <c r="A8" s="51" t="s">
        <v>3</v>
      </c>
      <c r="B8" s="44">
        <v>23</v>
      </c>
      <c r="C8" s="37">
        <f t="shared" si="1"/>
        <v>0.26436781609195403</v>
      </c>
      <c r="E8" s="59" t="s">
        <v>69</v>
      </c>
      <c r="F8" s="56" t="s">
        <v>24</v>
      </c>
      <c r="G8" s="44">
        <v>35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0.44827586206896552</v>
      </c>
      <c r="E9" s="59" t="s">
        <v>71</v>
      </c>
      <c r="F9" s="56" t="s">
        <v>26</v>
      </c>
      <c r="G9" s="44">
        <v>27</v>
      </c>
      <c r="H9" s="129">
        <f>IF(B$15=0,0,G9/B$15)</f>
        <v>0.12857142857142856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8.0459770114942528E-2</v>
      </c>
      <c r="E10" s="59" t="s">
        <v>70</v>
      </c>
      <c r="F10" s="56" t="s">
        <v>25</v>
      </c>
      <c r="G10" s="44">
        <v>24</v>
      </c>
      <c r="H10" s="129">
        <f>IF(B$15=0,0,G10/B$15)</f>
        <v>0.11428571428571428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-13.446666666666665</v>
      </c>
      <c r="P10" s="114">
        <v>30</v>
      </c>
      <c r="Q10" s="102">
        <v>-403.4</v>
      </c>
    </row>
    <row r="11" spans="1:17" x14ac:dyDescent="0.4">
      <c r="A11" s="54" t="s">
        <v>121</v>
      </c>
      <c r="B11" s="47">
        <v>109</v>
      </c>
      <c r="C11" s="42">
        <f>IF(B$3=0,0,B11/B$3)</f>
        <v>0.14211212516297261</v>
      </c>
      <c r="E11" s="59" t="s">
        <v>83</v>
      </c>
      <c r="F11" s="56" t="s">
        <v>38</v>
      </c>
      <c r="G11" s="44">
        <v>19</v>
      </c>
      <c r="H11" s="129">
        <f>IF(B$15=0,0,G11/B$15)</f>
        <v>9.0476190476190474E-2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">
      <c r="A12" s="51" t="s">
        <v>118</v>
      </c>
      <c r="B12" s="44">
        <v>202</v>
      </c>
      <c r="C12" s="37">
        <f>IF(B$3=0,0,B12/B$3)</f>
        <v>0.26336375488917863</v>
      </c>
      <c r="E12" s="59" t="s">
        <v>89</v>
      </c>
      <c r="F12" s="56" t="s">
        <v>44</v>
      </c>
      <c r="G12" s="44">
        <v>14</v>
      </c>
      <c r="H12" s="129">
        <f>IF(B$15=0,0,G12/B$15)</f>
        <v>6.6666666666666666E-2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">
      <c r="A13" s="50" t="s">
        <v>123</v>
      </c>
      <c r="B13" s="43">
        <f>B19</f>
        <v>58</v>
      </c>
      <c r="C13" s="35">
        <f>IF(B$11=0,0,B13/B$11)</f>
        <v>0.5321100917431193</v>
      </c>
      <c r="E13" s="59" t="s">
        <v>65</v>
      </c>
      <c r="F13" s="56" t="s">
        <v>21</v>
      </c>
      <c r="G13" s="44">
        <v>13</v>
      </c>
      <c r="H13" s="129">
        <f>IF(B$15=0,0,G13/B$15)</f>
        <v>6.1904761904761907E-2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81</v>
      </c>
      <c r="C14" s="35">
        <f>IF(B$12=0,0,B14/B$12)</f>
        <v>0.40099009900990101</v>
      </c>
      <c r="E14" s="59" t="s">
        <v>81</v>
      </c>
      <c r="F14" s="56" t="s">
        <v>36</v>
      </c>
      <c r="G14" s="44">
        <v>9</v>
      </c>
      <c r="H14" s="129">
        <f>IF(B$15=0,0,G14/B$15)</f>
        <v>4.2857142857142858E-2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210</v>
      </c>
      <c r="C15" s="35">
        <f>IF(B$3=0,0,B15/B$3)</f>
        <v>0.27379400260756193</v>
      </c>
      <c r="E15" s="59" t="s">
        <v>86</v>
      </c>
      <c r="F15" s="56" t="s">
        <v>41</v>
      </c>
      <c r="G15" s="44">
        <v>7</v>
      </c>
      <c r="H15" s="129">
        <f>IF(B$15=0,0,G15/B$15)</f>
        <v>3.3333333333333333E-2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126</v>
      </c>
      <c r="C16" s="37">
        <f>IF(B$3=0,0,B16/B$3)</f>
        <v>0.16427640156453716</v>
      </c>
      <c r="E16" s="59" t="s">
        <v>79</v>
      </c>
      <c r="F16" s="56" t="s">
        <v>34</v>
      </c>
      <c r="G16" s="44">
        <v>5</v>
      </c>
      <c r="H16" s="129">
        <f>IF(B$15=0,0,G16/B$15)</f>
        <v>2.3809523809523808E-2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90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1.9047619047619049E-2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>IF(P17=0,0,Q17/P17)</f>
        <v>-0.73448275862068968</v>
      </c>
      <c r="P17" s="115">
        <v>29</v>
      </c>
      <c r="Q17" s="103">
        <v>-21.3</v>
      </c>
    </row>
    <row r="18" spans="1:17" x14ac:dyDescent="0.4">
      <c r="A18" s="51" t="s">
        <v>11</v>
      </c>
      <c r="B18" s="44">
        <v>120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9.5238095238095247E-3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58</v>
      </c>
      <c r="C19" s="37">
        <f>IF(B$15=0,0,B19/B$15)</f>
        <v>0.27619047619047621</v>
      </c>
      <c r="E19" s="59" t="s">
        <v>75</v>
      </c>
      <c r="F19" s="56" t="s">
        <v>30</v>
      </c>
      <c r="G19" s="44">
        <v>2</v>
      </c>
      <c r="H19" s="129">
        <f>IF(B$15=0,0,G19/B$15)</f>
        <v>9.5238095238095247E-3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-10.769444444444446</v>
      </c>
      <c r="P19" s="115">
        <v>36</v>
      </c>
      <c r="Q19" s="103">
        <v>-387.70000000000005</v>
      </c>
    </row>
    <row r="20" spans="1:17" x14ac:dyDescent="0.4">
      <c r="A20" s="51" t="s">
        <v>193</v>
      </c>
      <c r="B20" s="44">
        <v>81</v>
      </c>
      <c r="C20" s="37">
        <f>IF(B$15=0,0,B20/B$15)</f>
        <v>0.38571428571428573</v>
      </c>
      <c r="E20" s="59" t="s">
        <v>78</v>
      </c>
      <c r="F20" s="56" t="s">
        <v>33</v>
      </c>
      <c r="G20" s="44">
        <v>2</v>
      </c>
      <c r="H20" s="129">
        <f>IF(B$15=0,0,G20/B$15)</f>
        <v>9.5238095238095247E-3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>IF(P20=0,0,Q20/P20)</f>
        <v>-14.360000000000005</v>
      </c>
      <c r="P20" s="115">
        <v>40</v>
      </c>
      <c r="Q20" s="103">
        <v>-574.4000000000002</v>
      </c>
    </row>
    <row r="21" spans="1:17" x14ac:dyDescent="0.4">
      <c r="A21" s="51" t="s">
        <v>194</v>
      </c>
      <c r="B21" s="44">
        <v>71</v>
      </c>
      <c r="C21" s="37">
        <f>IF(B$15=0,0,B21/B$15)</f>
        <v>0.33809523809523812</v>
      </c>
      <c r="E21" s="59" t="s">
        <v>88</v>
      </c>
      <c r="F21" s="56" t="s">
        <v>43</v>
      </c>
      <c r="G21" s="44">
        <v>2</v>
      </c>
      <c r="H21" s="129">
        <f>IF(B$15=0,0,G21/B$15)</f>
        <v>9.5238095238095247E-3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">
      <c r="A22" s="51" t="s">
        <v>5</v>
      </c>
      <c r="B22" s="48">
        <f>IF(B$15=0,0,C22/B$15)</f>
        <v>7096.666666666667</v>
      </c>
      <c r="C22" s="39">
        <v>1490300</v>
      </c>
      <c r="E22" s="59" t="s">
        <v>93</v>
      </c>
      <c r="F22" s="56" t="s">
        <v>48</v>
      </c>
      <c r="G22" s="44">
        <v>2</v>
      </c>
      <c r="H22" s="129">
        <f>IF(B$15=0,0,G22/B$15)</f>
        <v>9.5238095238095247E-3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-26.54137931034483</v>
      </c>
      <c r="P22" s="115">
        <v>29</v>
      </c>
      <c r="Q22" s="103">
        <v>-769.7</v>
      </c>
    </row>
    <row r="23" spans="1:17" x14ac:dyDescent="0.4">
      <c r="A23" s="52" t="s">
        <v>177</v>
      </c>
      <c r="B23" s="136">
        <f>IF($B$15-B$14=0,0,C23/($B$15-B$14))</f>
        <v>7605.426356589147</v>
      </c>
      <c r="C23" s="137">
        <v>981100</v>
      </c>
      <c r="E23" s="59" t="s">
        <v>77</v>
      </c>
      <c r="F23" s="56" t="s">
        <v>32</v>
      </c>
      <c r="G23" s="44">
        <v>1</v>
      </c>
      <c r="H23" s="129">
        <f>IF(B$15=0,0,G23/B$15)</f>
        <v>4.7619047619047623E-3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4.7619047619047623E-3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-7537.3015873015875</v>
      </c>
      <c r="C25" s="137">
        <v>-949700</v>
      </c>
      <c r="E25" s="59" t="s">
        <v>87</v>
      </c>
      <c r="F25" s="56" t="s">
        <v>42</v>
      </c>
      <c r="G25" s="44">
        <v>1</v>
      </c>
      <c r="H25" s="129">
        <f>IF(B$15=0,0,G25/B$15)</f>
        <v>4.7619047619047623E-3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2.6075619295958278E-3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27</v>
      </c>
      <c r="C32" s="141">
        <f>IF(B$15=0,0,B32/B$15)</f>
        <v>0.12857142857142856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44</v>
      </c>
      <c r="C33" s="37">
        <f t="shared" ref="C33:C44" si="2">IF(B$15=0,0,B33/B$15)</f>
        <v>0.20952380952380953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43</v>
      </c>
      <c r="C34" s="37">
        <f>IF(B$15=0,0,B34/B$15)</f>
        <v>0.20476190476190476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37</v>
      </c>
      <c r="C35" s="37">
        <f t="shared" si="2"/>
        <v>0.1761904761904762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22</v>
      </c>
      <c r="C36" s="37">
        <f t="shared" si="2"/>
        <v>0.10476190476190476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17</v>
      </c>
      <c r="C37" s="37">
        <f t="shared" si="2"/>
        <v>8.0952380952380956E-2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11</v>
      </c>
      <c r="C38" s="37">
        <f t="shared" si="2"/>
        <v>5.2380952380952382E-2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2"/>
        <v>2.8571428571428571E-2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2"/>
        <v>4.7619047619047623E-3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2"/>
        <v>9.5238095238095247E-3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  <row r="81" spans="11:12" x14ac:dyDescent="0.4">
      <c r="K81" s="36">
        <v>79</v>
      </c>
      <c r="L81" s="95">
        <v>-419.20000000000027</v>
      </c>
    </row>
    <row r="82" spans="11:12" x14ac:dyDescent="0.4">
      <c r="K82" s="36">
        <v>80</v>
      </c>
      <c r="L82" s="95">
        <v>-427.50000000000028</v>
      </c>
    </row>
    <row r="83" spans="11:12" x14ac:dyDescent="0.4">
      <c r="K83" s="36">
        <v>81</v>
      </c>
      <c r="L83" s="95">
        <v>-430.90000000000026</v>
      </c>
    </row>
    <row r="84" spans="11:12" x14ac:dyDescent="0.4">
      <c r="K84" s="36">
        <v>82</v>
      </c>
      <c r="L84" s="95">
        <v>-468.40000000000026</v>
      </c>
    </row>
    <row r="85" spans="11:12" x14ac:dyDescent="0.4">
      <c r="K85" s="36">
        <v>83</v>
      </c>
      <c r="L85" s="95">
        <v>-502.90000000000026</v>
      </c>
    </row>
    <row r="86" spans="11:12" x14ac:dyDescent="0.4">
      <c r="K86" s="36">
        <v>84</v>
      </c>
      <c r="L86" s="95">
        <v>-564.20000000000027</v>
      </c>
    </row>
    <row r="87" spans="11:12" x14ac:dyDescent="0.4">
      <c r="K87" s="36">
        <v>85</v>
      </c>
      <c r="L87" s="95">
        <v>-589.90000000000032</v>
      </c>
    </row>
    <row r="88" spans="11:12" x14ac:dyDescent="0.4">
      <c r="K88" s="36">
        <v>86</v>
      </c>
      <c r="L88" s="95">
        <v>-582.3000000000003</v>
      </c>
    </row>
    <row r="89" spans="11:12" x14ac:dyDescent="0.4">
      <c r="K89" s="36">
        <v>87</v>
      </c>
      <c r="L89" s="95">
        <v>-606.90000000000032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187</v>
      </c>
      <c r="C2" s="155"/>
      <c r="E2" s="58" t="s">
        <v>66</v>
      </c>
      <c r="F2" s="55" t="s">
        <v>22</v>
      </c>
      <c r="G2" s="43">
        <v>360</v>
      </c>
      <c r="H2" s="128">
        <f>IF(B$15=0,0,G2/B$15)</f>
        <v>0.6805293005671077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1307.5268817204301</v>
      </c>
      <c r="P2" s="114">
        <v>186</v>
      </c>
      <c r="Q2" s="98">
        <v>243200</v>
      </c>
    </row>
    <row r="3" spans="1:17" x14ac:dyDescent="0.4">
      <c r="A3" s="51" t="s">
        <v>8</v>
      </c>
      <c r="B3" s="156">
        <v>1540</v>
      </c>
      <c r="C3" s="157"/>
      <c r="E3" s="59" t="s">
        <v>72</v>
      </c>
      <c r="F3" s="56" t="s">
        <v>27</v>
      </c>
      <c r="G3" s="44">
        <v>280</v>
      </c>
      <c r="H3" s="129">
        <f>IF(B$15=0,0,G3/B$15)</f>
        <v>0.52930056710775042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1154.0983606557377</v>
      </c>
      <c r="P3" s="115">
        <v>183</v>
      </c>
      <c r="Q3" s="99">
        <v>211200</v>
      </c>
    </row>
    <row r="4" spans="1:17" x14ac:dyDescent="0.4">
      <c r="A4" s="51" t="s">
        <v>6</v>
      </c>
      <c r="B4" s="158">
        <v>1628.2999999999997</v>
      </c>
      <c r="C4" s="159"/>
      <c r="E4" s="59" t="s">
        <v>64</v>
      </c>
      <c r="F4" s="56" t="s">
        <v>20</v>
      </c>
      <c r="G4" s="44">
        <v>227</v>
      </c>
      <c r="H4" s="129">
        <f>IF(B$15=0,0,G4/B$15)</f>
        <v>0.42911153119092627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1012.5</v>
      </c>
      <c r="P4" s="115">
        <v>176</v>
      </c>
      <c r="Q4" s="99">
        <v>178200</v>
      </c>
    </row>
    <row r="5" spans="1:17" x14ac:dyDescent="0.4">
      <c r="A5" s="51" t="s">
        <v>7</v>
      </c>
      <c r="B5" s="160">
        <f>IF(B$2=0,0,B$4/B$2)</f>
        <v>8.7074866310160406</v>
      </c>
      <c r="C5" s="161"/>
      <c r="E5" s="59" t="s">
        <v>166</v>
      </c>
      <c r="F5" s="56" t="s">
        <v>167</v>
      </c>
      <c r="G5" s="44">
        <v>206</v>
      </c>
      <c r="H5" s="129">
        <f>IF(B$15=0,0,G5/B$15)</f>
        <v>0.38941398865784499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204.8780487804878</v>
      </c>
      <c r="P5" s="115">
        <v>164</v>
      </c>
      <c r="Q5" s="99">
        <v>33600</v>
      </c>
    </row>
    <row r="6" spans="1:17" x14ac:dyDescent="0.4">
      <c r="A6" s="51" t="s">
        <v>1</v>
      </c>
      <c r="B6" s="150">
        <f>IF(B$2=0,0,(B$7*1+B$8*2+B$9*3)/B$2)</f>
        <v>1.786096256684492</v>
      </c>
      <c r="C6" s="151"/>
      <c r="E6" s="59" t="s">
        <v>68</v>
      </c>
      <c r="F6" s="56" t="s">
        <v>12</v>
      </c>
      <c r="G6" s="44">
        <v>145</v>
      </c>
      <c r="H6" s="129">
        <f>IF(B$15=0,0,G6/B$15)</f>
        <v>0.27410207939508507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1852.9411764705883</v>
      </c>
      <c r="P6" s="115">
        <v>153</v>
      </c>
      <c r="Q6" s="99">
        <v>283500</v>
      </c>
    </row>
    <row r="7" spans="1:17" x14ac:dyDescent="0.4">
      <c r="A7" s="51" t="s">
        <v>2</v>
      </c>
      <c r="B7" s="44">
        <v>86</v>
      </c>
      <c r="C7" s="37">
        <f t="shared" ref="C7:C10" si="1">IF(B$2=0,0,B7/B$2)</f>
        <v>0.45989304812834225</v>
      </c>
      <c r="E7" s="59" t="s">
        <v>67</v>
      </c>
      <c r="F7" s="56" t="s">
        <v>23</v>
      </c>
      <c r="G7" s="44">
        <v>126</v>
      </c>
      <c r="H7" s="129">
        <f>IF(B$15=0,0,G7/B$15)</f>
        <v>0.23818525519848771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1898.4</v>
      </c>
      <c r="P7" s="116">
        <v>125</v>
      </c>
      <c r="Q7" s="100">
        <v>237300</v>
      </c>
    </row>
    <row r="8" spans="1:17" x14ac:dyDescent="0.4">
      <c r="A8" s="51" t="s">
        <v>3</v>
      </c>
      <c r="B8" s="44">
        <v>55</v>
      </c>
      <c r="C8" s="37">
        <f t="shared" si="1"/>
        <v>0.29411764705882354</v>
      </c>
      <c r="E8" s="59" t="s">
        <v>89</v>
      </c>
      <c r="F8" s="56" t="s">
        <v>44</v>
      </c>
      <c r="G8" s="44">
        <v>77</v>
      </c>
      <c r="H8" s="129">
        <f>IF(B$15=0,0,G8/B$15)</f>
        <v>0.14555765595463138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46</v>
      </c>
      <c r="C9" s="38">
        <f t="shared" si="1"/>
        <v>0.24598930481283424</v>
      </c>
      <c r="E9" s="59" t="s">
        <v>69</v>
      </c>
      <c r="F9" s="56" t="s">
        <v>24</v>
      </c>
      <c r="G9" s="44">
        <v>68</v>
      </c>
      <c r="H9" s="129">
        <f>IF(B$15=0,0,G9/B$15)</f>
        <v>0.12854442344045369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4.2780748663101602E-2</v>
      </c>
      <c r="E10" s="59" t="s">
        <v>65</v>
      </c>
      <c r="F10" s="56" t="s">
        <v>21</v>
      </c>
      <c r="G10" s="44">
        <v>59</v>
      </c>
      <c r="H10" s="129">
        <f>IF(B$15=0,0,G10/B$15)</f>
        <v>0.11153119092627599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11.56296296296296</v>
      </c>
      <c r="P10" s="114">
        <v>54</v>
      </c>
      <c r="Q10" s="102">
        <v>624.39999999999986</v>
      </c>
    </row>
    <row r="11" spans="1:17" x14ac:dyDescent="0.4">
      <c r="A11" s="54" t="s">
        <v>121</v>
      </c>
      <c r="B11" s="47">
        <v>407</v>
      </c>
      <c r="C11" s="42">
        <f>IF(B$3=0,0,B11/B$3)</f>
        <v>0.26428571428571429</v>
      </c>
      <c r="E11" s="59" t="s">
        <v>71</v>
      </c>
      <c r="F11" s="56" t="s">
        <v>26</v>
      </c>
      <c r="G11" s="44">
        <v>38</v>
      </c>
      <c r="H11" s="129">
        <f>IF(B$15=0,0,G11/B$15)</f>
        <v>7.1833648393194713E-2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4.2249999999999996</v>
      </c>
      <c r="P11" s="115">
        <v>64</v>
      </c>
      <c r="Q11" s="103">
        <v>270.39999999999998</v>
      </c>
    </row>
    <row r="12" spans="1:17" x14ac:dyDescent="0.4">
      <c r="A12" s="51" t="s">
        <v>118</v>
      </c>
      <c r="B12" s="44">
        <v>367</v>
      </c>
      <c r="C12" s="37">
        <f>IF(B$3=0,0,B12/B$3)</f>
        <v>0.23831168831168831</v>
      </c>
      <c r="E12" s="59" t="s">
        <v>86</v>
      </c>
      <c r="F12" s="56" t="s">
        <v>41</v>
      </c>
      <c r="G12" s="44">
        <v>34</v>
      </c>
      <c r="H12" s="129">
        <f>IF(B$15=0,0,G12/B$15)</f>
        <v>6.4272211720226846E-2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10.630434782608692</v>
      </c>
      <c r="P12" s="116">
        <v>69</v>
      </c>
      <c r="Q12" s="104">
        <v>733.49999999999977</v>
      </c>
    </row>
    <row r="13" spans="1:17" x14ac:dyDescent="0.4">
      <c r="A13" s="50" t="s">
        <v>123</v>
      </c>
      <c r="B13" s="43">
        <f>B19</f>
        <v>240</v>
      </c>
      <c r="C13" s="35">
        <f>IF(B$11=0,0,B13/B$11)</f>
        <v>0.58968058968058967</v>
      </c>
      <c r="E13" s="59" t="s">
        <v>70</v>
      </c>
      <c r="F13" s="56" t="s">
        <v>25</v>
      </c>
      <c r="G13" s="44">
        <v>31</v>
      </c>
      <c r="H13" s="129">
        <f>IF(B$15=0,0,G13/B$15)</f>
        <v>5.8601134215500943E-2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179</v>
      </c>
      <c r="C14" s="35">
        <f>IF(B$12=0,0,B14/B$12)</f>
        <v>0.4877384196185286</v>
      </c>
      <c r="E14" s="59" t="s">
        <v>83</v>
      </c>
      <c r="F14" s="56" t="s">
        <v>38</v>
      </c>
      <c r="G14" s="44">
        <v>25</v>
      </c>
      <c r="H14" s="129">
        <f>IF(B$15=0,0,G14/B$15)</f>
        <v>4.725897920604915E-2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529</v>
      </c>
      <c r="C15" s="35">
        <f>IF(B$3=0,0,B15/B$3)</f>
        <v>0.34350649350649348</v>
      </c>
      <c r="E15" s="59" t="s">
        <v>78</v>
      </c>
      <c r="F15" s="56" t="s">
        <v>33</v>
      </c>
      <c r="G15" s="44">
        <v>21</v>
      </c>
      <c r="H15" s="129">
        <f>IF(B$15=0,0,G15/B$15)</f>
        <v>3.9697542533081283E-2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">
      <c r="A16" s="51" t="s">
        <v>13</v>
      </c>
      <c r="B16" s="44">
        <v>196</v>
      </c>
      <c r="C16" s="37">
        <f>IF(B$3=0,0,B16/B$3)</f>
        <v>0.12727272727272726</v>
      </c>
      <c r="E16" s="59" t="s">
        <v>162</v>
      </c>
      <c r="F16" s="56" t="s">
        <v>163</v>
      </c>
      <c r="G16" s="44">
        <v>15</v>
      </c>
      <c r="H16" s="129">
        <f>IF(B$15=0,0,G16/B$15)</f>
        <v>2.835538752362949E-2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">
      <c r="A17" s="51" t="s">
        <v>12</v>
      </c>
      <c r="B17" s="44">
        <v>222</v>
      </c>
      <c r="C17" s="37">
        <f>IF(B$15=0,0,B17/B$15)</f>
        <v>0.41965973534971646</v>
      </c>
      <c r="E17" s="59" t="s">
        <v>81</v>
      </c>
      <c r="F17" s="56" t="s">
        <v>36</v>
      </c>
      <c r="G17" s="44">
        <v>8</v>
      </c>
      <c r="H17" s="129">
        <f>IF(B$15=0,0,G17/B$15)</f>
        <v>1.5122873345935728E-2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">
      <c r="A18" s="51" t="s">
        <v>11</v>
      </c>
      <c r="B18" s="44">
        <v>307</v>
      </c>
      <c r="C18" s="37">
        <f>IF(B$15=0,0,B18/B$15)</f>
        <v>0.58034026465028354</v>
      </c>
      <c r="E18" s="59" t="s">
        <v>91</v>
      </c>
      <c r="F18" s="56" t="s">
        <v>46</v>
      </c>
      <c r="G18" s="44">
        <v>6</v>
      </c>
      <c r="H18" s="129">
        <f>IF(B$15=0,0,G18/B$15)</f>
        <v>1.1342155009451797E-2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">
      <c r="A19" s="51" t="s">
        <v>195</v>
      </c>
      <c r="B19" s="44">
        <v>240</v>
      </c>
      <c r="C19" s="37">
        <f>IF(B$15=0,0,B19/B$15)</f>
        <v>0.45368620037807184</v>
      </c>
      <c r="E19" s="59" t="s">
        <v>75</v>
      </c>
      <c r="F19" s="56" t="s">
        <v>30</v>
      </c>
      <c r="G19" s="44">
        <v>5</v>
      </c>
      <c r="H19" s="129">
        <f>IF(B$15=0,0,G19/B$15)</f>
        <v>9.4517958412098299E-3</v>
      </c>
      <c r="I19" s="90">
        <v>5</v>
      </c>
      <c r="K19" s="36">
        <v>17</v>
      </c>
      <c r="L19" s="95">
        <v>359.09999999999991</v>
      </c>
      <c r="N19" s="111" t="s">
        <v>161</v>
      </c>
      <c r="O19" s="121">
        <f>IF(P19=0,0,Q19/P19)</f>
        <v>14.770731707317074</v>
      </c>
      <c r="P19" s="115">
        <v>41</v>
      </c>
      <c r="Q19" s="103">
        <v>605.6</v>
      </c>
    </row>
    <row r="20" spans="1:17" x14ac:dyDescent="0.4">
      <c r="A20" s="51" t="s">
        <v>193</v>
      </c>
      <c r="B20" s="44">
        <v>179</v>
      </c>
      <c r="C20" s="37">
        <f>IF(B$15=0,0,B20/B$15)</f>
        <v>0.33837429111531192</v>
      </c>
      <c r="E20" s="59" t="s">
        <v>79</v>
      </c>
      <c r="F20" s="56" t="s">
        <v>34</v>
      </c>
      <c r="G20" s="44">
        <v>4</v>
      </c>
      <c r="H20" s="129">
        <f>IF(B$15=0,0,G20/B$15)</f>
        <v>7.5614366729678641E-3</v>
      </c>
      <c r="I20" s="90">
        <v>9</v>
      </c>
      <c r="K20" s="36">
        <v>18</v>
      </c>
      <c r="L20" s="95">
        <v>352.39999999999992</v>
      </c>
      <c r="N20" s="111" t="s">
        <v>127</v>
      </c>
      <c r="O20" s="121">
        <f>IF(P20=0,0,Q20/P20)</f>
        <v>12.863963963963966</v>
      </c>
      <c r="P20" s="115">
        <v>111</v>
      </c>
      <c r="Q20" s="103">
        <v>1427.9000000000003</v>
      </c>
    </row>
    <row r="21" spans="1:17" x14ac:dyDescent="0.4">
      <c r="A21" s="51" t="s">
        <v>194</v>
      </c>
      <c r="B21" s="44">
        <v>110</v>
      </c>
      <c r="C21" s="37">
        <f>IF(B$15=0,0,B21/B$15)</f>
        <v>0.20793950850661624</v>
      </c>
      <c r="E21" s="59" t="s">
        <v>85</v>
      </c>
      <c r="F21" s="56" t="s">
        <v>40</v>
      </c>
      <c r="G21" s="44">
        <v>4</v>
      </c>
      <c r="H21" s="129">
        <f>IF(B$15=0,0,G21/B$15)</f>
        <v>7.5614366729678641E-3</v>
      </c>
      <c r="I21" s="90">
        <v>5</v>
      </c>
      <c r="K21" s="36">
        <v>19</v>
      </c>
      <c r="L21" s="95">
        <v>383.19999999999993</v>
      </c>
      <c r="N21" s="111" t="s">
        <v>171</v>
      </c>
      <c r="O21" s="121">
        <f>IF(P21=0,0,Q21/P21)</f>
        <v>11.989855072463769</v>
      </c>
      <c r="P21" s="115">
        <v>69</v>
      </c>
      <c r="Q21" s="103">
        <v>827.30000000000007</v>
      </c>
    </row>
    <row r="22" spans="1:17" x14ac:dyDescent="0.4">
      <c r="A22" s="51" t="s">
        <v>5</v>
      </c>
      <c r="B22" s="48">
        <f>IF(B$15=0,0,C22/B$15)</f>
        <v>8148.5822306238188</v>
      </c>
      <c r="C22" s="39">
        <v>4310600</v>
      </c>
      <c r="E22" s="59" t="s">
        <v>92</v>
      </c>
      <c r="F22" s="56" t="s">
        <v>47</v>
      </c>
      <c r="G22" s="44">
        <v>4</v>
      </c>
      <c r="H22" s="129">
        <f>IF(B$15=0,0,G22/B$15)</f>
        <v>7.5614366729678641E-3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1.9482758620689655</v>
      </c>
      <c r="P22" s="115">
        <v>58</v>
      </c>
      <c r="Q22" s="103">
        <v>113</v>
      </c>
    </row>
    <row r="23" spans="1:17" x14ac:dyDescent="0.4">
      <c r="A23" s="52" t="s">
        <v>177</v>
      </c>
      <c r="B23" s="136">
        <f>IF($B$15-B$14=0,0,C23/($B$15-B$14))</f>
        <v>8702.2857142857138</v>
      </c>
      <c r="C23" s="137">
        <v>3045800</v>
      </c>
      <c r="E23" s="59" t="s">
        <v>77</v>
      </c>
      <c r="F23" s="56" t="s">
        <v>32</v>
      </c>
      <c r="G23" s="44">
        <v>3</v>
      </c>
      <c r="H23" s="129">
        <f>IF(B$15=0,0,G23/B$15)</f>
        <v>5.6710775047258983E-3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7065.921787709497</v>
      </c>
      <c r="C24" s="137">
        <v>1264800</v>
      </c>
      <c r="E24" s="59" t="s">
        <v>84</v>
      </c>
      <c r="F24" s="56" t="s">
        <v>39</v>
      </c>
      <c r="G24" s="44">
        <v>3</v>
      </c>
      <c r="H24" s="129">
        <f>IF(B$15=0,0,G24/B$15)</f>
        <v>5.6710775047258983E-3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-7815.8163265306121</v>
      </c>
      <c r="C25" s="137">
        <v>-1531900</v>
      </c>
      <c r="E25" s="59" t="s">
        <v>74</v>
      </c>
      <c r="F25" s="56" t="s">
        <v>29</v>
      </c>
      <c r="G25" s="44">
        <v>2</v>
      </c>
      <c r="H25" s="129">
        <f>IF(B$15=0,0,G25/B$15)</f>
        <v>3.780718336483932E-3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3.780718336483932E-3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19</v>
      </c>
      <c r="E27" s="59" t="s">
        <v>95</v>
      </c>
      <c r="F27" s="56" t="s">
        <v>50</v>
      </c>
      <c r="G27" s="44">
        <v>2</v>
      </c>
      <c r="H27" s="129">
        <f>IF(B$15=0,0,G27/B$15)</f>
        <v>3.780718336483932E-3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1.890359168241966E-3</v>
      </c>
      <c r="I28" s="90">
        <v>6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1.890359168241966E-3</v>
      </c>
      <c r="I29" s="90">
        <v>3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2</v>
      </c>
      <c r="C30" s="40">
        <f>IF(B$3=0,0,B30/B$3)</f>
        <v>1.2987012987012987E-3</v>
      </c>
      <c r="E30" s="59" t="s">
        <v>106</v>
      </c>
      <c r="F30" s="56" t="s">
        <v>113</v>
      </c>
      <c r="G30" s="44">
        <v>1</v>
      </c>
      <c r="H30" s="129">
        <f>IF(B$15=0,0,G30/B$15)</f>
        <v>1.890359168241966E-3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51</v>
      </c>
      <c r="C32" s="141">
        <f>IF(B$15=0,0,B32/B$15)</f>
        <v>9.6408317580340269E-2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98</v>
      </c>
      <c r="C33" s="37">
        <f t="shared" ref="C33:C44" si="2">IF(B$15=0,0,B33/B$15)</f>
        <v>0.18525519848771266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103</v>
      </c>
      <c r="C34" s="37">
        <f>IF(B$15=0,0,B34/B$15)</f>
        <v>0.19470699432892249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95</v>
      </c>
      <c r="C35" s="37">
        <f t="shared" si="2"/>
        <v>0.17958412098298676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77</v>
      </c>
      <c r="C36" s="37">
        <f t="shared" si="2"/>
        <v>0.14555765595463138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50</v>
      </c>
      <c r="C37" s="37">
        <f t="shared" si="2"/>
        <v>9.4517958412098299E-2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25</v>
      </c>
      <c r="C38" s="37">
        <f t="shared" si="2"/>
        <v>4.725897920604915E-2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10</v>
      </c>
      <c r="C39" s="37">
        <f t="shared" si="2"/>
        <v>1.890359168241966E-2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2"/>
        <v>1.890359168241966E-2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2</v>
      </c>
      <c r="C41" s="37">
        <f t="shared" si="2"/>
        <v>3.780718336483932E-3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1.890359168241966E-3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7</v>
      </c>
      <c r="C44" s="40">
        <f t="shared" si="2"/>
        <v>1.3232514177693762E-2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  <row r="168" spans="11:12" x14ac:dyDescent="0.4">
      <c r="K168" s="36">
        <v>166</v>
      </c>
      <c r="L168" s="95">
        <v>1454.5</v>
      </c>
    </row>
    <row r="169" spans="11:12" x14ac:dyDescent="0.4">
      <c r="K169" s="36">
        <v>167</v>
      </c>
      <c r="L169" s="95">
        <v>1408.3</v>
      </c>
    </row>
    <row r="170" spans="11:12" x14ac:dyDescent="0.4">
      <c r="K170" s="36">
        <v>168</v>
      </c>
      <c r="L170" s="95">
        <v>1434.6</v>
      </c>
    </row>
    <row r="171" spans="11:12" x14ac:dyDescent="0.4">
      <c r="K171" s="36">
        <v>169</v>
      </c>
      <c r="L171" s="95">
        <v>1474.3999999999999</v>
      </c>
    </row>
    <row r="172" spans="11:12" x14ac:dyDescent="0.4">
      <c r="K172" s="36">
        <v>170</v>
      </c>
      <c r="L172" s="95">
        <v>1472.4999999999998</v>
      </c>
    </row>
    <row r="173" spans="11:12" x14ac:dyDescent="0.4">
      <c r="K173" s="36">
        <v>171</v>
      </c>
      <c r="L173" s="95">
        <v>1533.2999999999997</v>
      </c>
    </row>
    <row r="174" spans="11:12" x14ac:dyDescent="0.4">
      <c r="K174" s="36">
        <v>172</v>
      </c>
      <c r="L174" s="95">
        <v>1535.2999999999997</v>
      </c>
    </row>
    <row r="175" spans="11:12" x14ac:dyDescent="0.4">
      <c r="K175" s="36">
        <v>173</v>
      </c>
      <c r="L175" s="95">
        <v>1503.0999999999997</v>
      </c>
    </row>
    <row r="176" spans="11:12" x14ac:dyDescent="0.4">
      <c r="K176" s="36">
        <v>174</v>
      </c>
      <c r="L176" s="95">
        <v>1548.2999999999997</v>
      </c>
    </row>
    <row r="177" spans="11:12" x14ac:dyDescent="0.4">
      <c r="K177" s="36">
        <v>175</v>
      </c>
      <c r="L177" s="95">
        <v>1535.7999999999997</v>
      </c>
    </row>
    <row r="178" spans="11:12" x14ac:dyDescent="0.4">
      <c r="K178" s="36">
        <v>176</v>
      </c>
      <c r="L178" s="95">
        <v>1564.5999999999997</v>
      </c>
    </row>
    <row r="179" spans="11:12" x14ac:dyDescent="0.4">
      <c r="K179" s="36">
        <v>177</v>
      </c>
      <c r="L179" s="95">
        <v>1537.1999999999996</v>
      </c>
    </row>
    <row r="180" spans="11:12" x14ac:dyDescent="0.4">
      <c r="K180" s="36">
        <v>178</v>
      </c>
      <c r="L180" s="95">
        <v>1526.1999999999996</v>
      </c>
    </row>
    <row r="181" spans="11:12" x14ac:dyDescent="0.4">
      <c r="K181" s="36">
        <v>179</v>
      </c>
      <c r="L181" s="95">
        <v>1554.0999999999997</v>
      </c>
    </row>
    <row r="182" spans="11:12" x14ac:dyDescent="0.4">
      <c r="K182" s="36">
        <v>180</v>
      </c>
      <c r="L182" s="95">
        <v>1553.2999999999997</v>
      </c>
    </row>
    <row r="183" spans="11:12" x14ac:dyDescent="0.4">
      <c r="K183" s="36">
        <v>181</v>
      </c>
      <c r="L183" s="95">
        <v>1552.9999999999998</v>
      </c>
    </row>
    <row r="184" spans="11:12" x14ac:dyDescent="0.4">
      <c r="K184" s="36">
        <v>182</v>
      </c>
      <c r="L184" s="95">
        <v>1600.4999999999998</v>
      </c>
    </row>
    <row r="185" spans="11:12" x14ac:dyDescent="0.4">
      <c r="K185" s="36">
        <v>183</v>
      </c>
      <c r="L185" s="95">
        <v>1578.4999999999998</v>
      </c>
    </row>
    <row r="186" spans="11:12" x14ac:dyDescent="0.4">
      <c r="K186" s="36">
        <v>184</v>
      </c>
      <c r="L186" s="95">
        <v>1553.9999999999998</v>
      </c>
    </row>
    <row r="187" spans="11:12" x14ac:dyDescent="0.4">
      <c r="K187" s="36">
        <v>185</v>
      </c>
      <c r="L187" s="95">
        <v>1594.7999999999997</v>
      </c>
    </row>
    <row r="188" spans="11:12" x14ac:dyDescent="0.4">
      <c r="K188" s="36">
        <v>186</v>
      </c>
      <c r="L188" s="95">
        <v>1635.9999999999998</v>
      </c>
    </row>
    <row r="189" spans="11:12" x14ac:dyDescent="0.4">
      <c r="K189" s="36">
        <v>187</v>
      </c>
      <c r="L189" s="95">
        <v>1628.2999999999997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169</v>
      </c>
      <c r="C2" s="155"/>
      <c r="E2" s="58" t="s">
        <v>66</v>
      </c>
      <c r="F2" s="55" t="s">
        <v>22</v>
      </c>
      <c r="G2" s="43">
        <v>332</v>
      </c>
      <c r="H2" s="128">
        <f>IF(B$15=0,0,G2/B$15)</f>
        <v>0.75454545454545452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-963.69047619047615</v>
      </c>
      <c r="P2" s="114">
        <v>168</v>
      </c>
      <c r="Q2" s="98">
        <v>-161900</v>
      </c>
    </row>
    <row r="3" spans="1:17" x14ac:dyDescent="0.4">
      <c r="A3" s="51" t="s">
        <v>8</v>
      </c>
      <c r="B3" s="156">
        <v>1402</v>
      </c>
      <c r="C3" s="157"/>
      <c r="E3" s="59" t="s">
        <v>72</v>
      </c>
      <c r="F3" s="56" t="s">
        <v>27</v>
      </c>
      <c r="G3" s="44">
        <v>249</v>
      </c>
      <c r="H3" s="129">
        <f>IF(B$15=0,0,G3/B$15)</f>
        <v>0.56590909090909092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1371.6867469879519</v>
      </c>
      <c r="P3" s="115">
        <v>166</v>
      </c>
      <c r="Q3" s="99">
        <v>227700</v>
      </c>
    </row>
    <row r="4" spans="1:17" x14ac:dyDescent="0.4">
      <c r="A4" s="51" t="s">
        <v>6</v>
      </c>
      <c r="B4" s="158">
        <v>20.799999999999805</v>
      </c>
      <c r="C4" s="159"/>
      <c r="E4" s="59" t="s">
        <v>166</v>
      </c>
      <c r="F4" s="56" t="s">
        <v>167</v>
      </c>
      <c r="G4" s="44">
        <v>181</v>
      </c>
      <c r="H4" s="129">
        <f>IF(B$15=0,0,G4/B$15)</f>
        <v>0.41136363636363638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-48.701298701298704</v>
      </c>
      <c r="P4" s="115">
        <v>154</v>
      </c>
      <c r="Q4" s="99">
        <v>-7500</v>
      </c>
    </row>
    <row r="5" spans="1:17" x14ac:dyDescent="0.4">
      <c r="A5" s="51" t="s">
        <v>7</v>
      </c>
      <c r="B5" s="160">
        <f>IF(B$2=0,0,B$4/B$2)</f>
        <v>0.12307692307692192</v>
      </c>
      <c r="C5" s="161"/>
      <c r="E5" s="59" t="s">
        <v>64</v>
      </c>
      <c r="F5" s="56" t="s">
        <v>20</v>
      </c>
      <c r="G5" s="44">
        <v>169</v>
      </c>
      <c r="H5" s="129">
        <f>IF(B$15=0,0,G5/B$15)</f>
        <v>0.38409090909090909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115.75342465753425</v>
      </c>
      <c r="P5" s="115">
        <v>146</v>
      </c>
      <c r="Q5" s="99">
        <v>16900</v>
      </c>
    </row>
    <row r="6" spans="1:17" x14ac:dyDescent="0.4">
      <c r="A6" s="51" t="s">
        <v>1</v>
      </c>
      <c r="B6" s="150">
        <f>IF(B$2=0,0,(B$7*1+B$8*2+B$9*3)/B$2)</f>
        <v>1.970414201183432</v>
      </c>
      <c r="C6" s="151"/>
      <c r="E6" s="59" t="s">
        <v>68</v>
      </c>
      <c r="F6" s="56" t="s">
        <v>12</v>
      </c>
      <c r="G6" s="44">
        <v>122</v>
      </c>
      <c r="H6" s="129">
        <f>IF(B$15=0,0,G6/B$15)</f>
        <v>0.27727272727272728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-1582.8358208955224</v>
      </c>
      <c r="P6" s="115">
        <v>134</v>
      </c>
      <c r="Q6" s="99">
        <v>-212100</v>
      </c>
    </row>
    <row r="7" spans="1:17" x14ac:dyDescent="0.4">
      <c r="A7" s="51" t="s">
        <v>2</v>
      </c>
      <c r="B7" s="44">
        <v>58</v>
      </c>
      <c r="C7" s="37">
        <f t="shared" ref="C7:C10" si="1">IF(B$2=0,0,B7/B$2)</f>
        <v>0.34319526627218933</v>
      </c>
      <c r="E7" s="59" t="s">
        <v>67</v>
      </c>
      <c r="F7" s="56" t="s">
        <v>23</v>
      </c>
      <c r="G7" s="44">
        <v>92</v>
      </c>
      <c r="H7" s="129">
        <f>IF(B$15=0,0,G7/B$15)</f>
        <v>0.20909090909090908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1391.8918918918919</v>
      </c>
      <c r="P7" s="116">
        <v>111</v>
      </c>
      <c r="Q7" s="100">
        <v>154500</v>
      </c>
    </row>
    <row r="8" spans="1:17" x14ac:dyDescent="0.4">
      <c r="A8" s="51" t="s">
        <v>3</v>
      </c>
      <c r="B8" s="44">
        <v>58</v>
      </c>
      <c r="C8" s="37">
        <f t="shared" si="1"/>
        <v>0.34319526627218933</v>
      </c>
      <c r="E8" s="59" t="s">
        <v>69</v>
      </c>
      <c r="F8" s="56" t="s">
        <v>24</v>
      </c>
      <c r="G8" s="44">
        <v>49</v>
      </c>
      <c r="H8" s="129">
        <f>IF(B$15=0,0,G8/B$15)</f>
        <v>0.11136363636363636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53</v>
      </c>
      <c r="C9" s="38">
        <f t="shared" si="1"/>
        <v>0.31360946745562129</v>
      </c>
      <c r="E9" s="59" t="s">
        <v>89</v>
      </c>
      <c r="F9" s="56" t="s">
        <v>44</v>
      </c>
      <c r="G9" s="44">
        <v>45</v>
      </c>
      <c r="H9" s="129">
        <f>IF(B$15=0,0,G9/B$15)</f>
        <v>0.10227272727272728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0.10650887573964497</v>
      </c>
      <c r="E10" s="59" t="s">
        <v>70</v>
      </c>
      <c r="F10" s="56" t="s">
        <v>25</v>
      </c>
      <c r="G10" s="44">
        <v>44</v>
      </c>
      <c r="H10" s="129">
        <f>IF(B$15=0,0,G10/B$15)</f>
        <v>0.1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-0.92352941176470549</v>
      </c>
      <c r="P10" s="114">
        <v>51</v>
      </c>
      <c r="Q10" s="102">
        <v>-47.09999999999998</v>
      </c>
    </row>
    <row r="11" spans="1:17" x14ac:dyDescent="0.4">
      <c r="A11" s="54" t="s">
        <v>121</v>
      </c>
      <c r="B11" s="47">
        <v>327</v>
      </c>
      <c r="C11" s="42">
        <f>IF(B$3=0,0,B11/B$3)</f>
        <v>0.23323823109843081</v>
      </c>
      <c r="E11" s="59" t="s">
        <v>71</v>
      </c>
      <c r="F11" s="56" t="s">
        <v>26</v>
      </c>
      <c r="G11" s="44">
        <v>40</v>
      </c>
      <c r="H11" s="129">
        <f>IF(B$15=0,0,G11/B$15)</f>
        <v>9.0909090909090912E-2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3.44814814814815</v>
      </c>
      <c r="P11" s="115">
        <v>54</v>
      </c>
      <c r="Q11" s="103">
        <v>186.2000000000001</v>
      </c>
    </row>
    <row r="12" spans="1:17" x14ac:dyDescent="0.4">
      <c r="A12" s="51" t="s">
        <v>118</v>
      </c>
      <c r="B12" s="44">
        <v>421</v>
      </c>
      <c r="C12" s="37">
        <f>IF(B$3=0,0,B12/B$3)</f>
        <v>0.30028530670470754</v>
      </c>
      <c r="E12" s="59" t="s">
        <v>65</v>
      </c>
      <c r="F12" s="56" t="s">
        <v>21</v>
      </c>
      <c r="G12" s="44">
        <v>34</v>
      </c>
      <c r="H12" s="129">
        <f>IF(B$15=0,0,G12/B$15)</f>
        <v>7.7272727272727271E-2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-1.8484375000000004</v>
      </c>
      <c r="P12" s="116">
        <v>64</v>
      </c>
      <c r="Q12" s="104">
        <v>-118.30000000000003</v>
      </c>
    </row>
    <row r="13" spans="1:17" x14ac:dyDescent="0.4">
      <c r="A13" s="50" t="s">
        <v>123</v>
      </c>
      <c r="B13" s="43">
        <f>B19</f>
        <v>169</v>
      </c>
      <c r="C13" s="35">
        <f>IF(B$11=0,0,B13/B$11)</f>
        <v>0.51681957186544347</v>
      </c>
      <c r="E13" s="59" t="s">
        <v>86</v>
      </c>
      <c r="F13" s="56" t="s">
        <v>41</v>
      </c>
      <c r="G13" s="44">
        <v>25</v>
      </c>
      <c r="H13" s="129">
        <f>IF(B$15=0,0,G13/B$15)</f>
        <v>5.6818181818181816E-2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162</v>
      </c>
      <c r="C14" s="35">
        <f>IF(B$12=0,0,B14/B$12)</f>
        <v>0.38479809976247031</v>
      </c>
      <c r="E14" s="59" t="s">
        <v>83</v>
      </c>
      <c r="F14" s="56" t="s">
        <v>38</v>
      </c>
      <c r="G14" s="44">
        <v>21</v>
      </c>
      <c r="H14" s="129">
        <f>IF(B$15=0,0,G14/B$15)</f>
        <v>4.7727272727272729E-2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440</v>
      </c>
      <c r="C15" s="35">
        <f>IF(B$3=0,0,B15/B$3)</f>
        <v>0.31383737517831667</v>
      </c>
      <c r="E15" s="59" t="s">
        <v>78</v>
      </c>
      <c r="F15" s="56" t="s">
        <v>33</v>
      </c>
      <c r="G15" s="44">
        <v>17</v>
      </c>
      <c r="H15" s="129">
        <f>IF(B$15=0,0,G15/B$15)</f>
        <v>3.8636363636363635E-2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250</v>
      </c>
      <c r="C16" s="37">
        <f>IF(B$3=0,0,B16/B$3)</f>
        <v>0.1783166904422254</v>
      </c>
      <c r="E16" s="59" t="s">
        <v>91</v>
      </c>
      <c r="F16" s="56" t="s">
        <v>46</v>
      </c>
      <c r="G16" s="44">
        <v>14</v>
      </c>
      <c r="H16" s="129">
        <f>IF(B$15=0,0,G16/B$15)</f>
        <v>3.1818181818181815E-2</v>
      </c>
      <c r="I16" s="90">
        <v>2</v>
      </c>
      <c r="K16" s="36">
        <v>14</v>
      </c>
      <c r="L16" s="95">
        <v>-138.4</v>
      </c>
      <c r="N16" s="111" t="s">
        <v>197</v>
      </c>
      <c r="O16" s="121">
        <f>IF(P16=0,0,Q16/P16)</f>
        <v>19.313333333333333</v>
      </c>
      <c r="P16" s="115">
        <v>15</v>
      </c>
      <c r="Q16" s="103">
        <v>289.7</v>
      </c>
    </row>
    <row r="17" spans="1:17" x14ac:dyDescent="0.4">
      <c r="A17" s="51" t="s">
        <v>12</v>
      </c>
      <c r="B17" s="44">
        <v>183</v>
      </c>
      <c r="C17" s="37">
        <f>IF(B$15=0,0,B17/B$15)</f>
        <v>0.41590909090909089</v>
      </c>
      <c r="E17" s="59" t="s">
        <v>81</v>
      </c>
      <c r="F17" s="56" t="s">
        <v>36</v>
      </c>
      <c r="G17" s="44">
        <v>10</v>
      </c>
      <c r="H17" s="129">
        <f>IF(B$15=0,0,G17/B$15)</f>
        <v>2.2727272727272728E-2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">
      <c r="A18" s="51" t="s">
        <v>11</v>
      </c>
      <c r="B18" s="44">
        <v>257</v>
      </c>
      <c r="C18" s="37">
        <f>IF(B$15=0,0,B18/B$15)</f>
        <v>0.58409090909090911</v>
      </c>
      <c r="E18" s="59" t="s">
        <v>79</v>
      </c>
      <c r="F18" s="56" t="s">
        <v>34</v>
      </c>
      <c r="G18" s="44">
        <v>7</v>
      </c>
      <c r="H18" s="129">
        <f>IF(B$15=0,0,G18/B$15)</f>
        <v>1.5909090909090907E-2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169</v>
      </c>
      <c r="C19" s="37">
        <f>IF(B$15=0,0,B19/B$15)</f>
        <v>0.38409090909090909</v>
      </c>
      <c r="E19" s="59" t="s">
        <v>162</v>
      </c>
      <c r="F19" s="56" t="s">
        <v>163</v>
      </c>
      <c r="G19" s="44">
        <v>5</v>
      </c>
      <c r="H19" s="129">
        <f>IF(B$15=0,0,G19/B$15)</f>
        <v>1.1363636363636364E-2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">
      <c r="A20" s="51" t="s">
        <v>193</v>
      </c>
      <c r="B20" s="44">
        <v>162</v>
      </c>
      <c r="C20" s="37">
        <f>IF(B$15=0,0,B20/B$15)</f>
        <v>0.36818181818181817</v>
      </c>
      <c r="E20" s="59" t="s">
        <v>92</v>
      </c>
      <c r="F20" s="56" t="s">
        <v>47</v>
      </c>
      <c r="G20" s="44">
        <v>3</v>
      </c>
      <c r="H20" s="129">
        <f>IF(B$15=0,0,G20/B$15)</f>
        <v>6.8181818181818179E-3</v>
      </c>
      <c r="I20" s="90">
        <v>5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">
      <c r="A21" s="51" t="s">
        <v>194</v>
      </c>
      <c r="B21" s="44">
        <v>109</v>
      </c>
      <c r="C21" s="37">
        <f>IF(B$15=0,0,B21/B$15)</f>
        <v>0.24772727272727274</v>
      </c>
      <c r="E21" s="59" t="s">
        <v>74</v>
      </c>
      <c r="F21" s="56" t="s">
        <v>29</v>
      </c>
      <c r="G21" s="44">
        <v>2</v>
      </c>
      <c r="H21" s="129">
        <f>IF(B$15=0,0,G21/B$15)</f>
        <v>4.5454545454545452E-3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-2.0999999999999965</v>
      </c>
      <c r="P21" s="115">
        <v>57</v>
      </c>
      <c r="Q21" s="103">
        <v>-119.6999999999998</v>
      </c>
    </row>
    <row r="22" spans="1:17" x14ac:dyDescent="0.4">
      <c r="A22" s="51" t="s">
        <v>5</v>
      </c>
      <c r="B22" s="48">
        <f>IF(B$15=0,0,C22/B$15)</f>
        <v>7976.590909090909</v>
      </c>
      <c r="C22" s="39">
        <v>3509700</v>
      </c>
      <c r="E22" s="59" t="s">
        <v>75</v>
      </c>
      <c r="F22" s="56" t="s">
        <v>30</v>
      </c>
      <c r="G22" s="44">
        <v>2</v>
      </c>
      <c r="H22" s="129">
        <f>IF(B$15=0,0,G22/B$15)</f>
        <v>4.5454545454545452E-3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>IF(P22=0,0,Q22/P22)</f>
        <v>-3.2271186440677955</v>
      </c>
      <c r="P22" s="115">
        <v>59</v>
      </c>
      <c r="Q22" s="103">
        <v>-190.39999999999992</v>
      </c>
    </row>
    <row r="23" spans="1:17" x14ac:dyDescent="0.4">
      <c r="A23" s="52" t="s">
        <v>177</v>
      </c>
      <c r="B23" s="136">
        <f>IF($B$15-B$14=0,0,C23/($B$15-B$14))</f>
        <v>8622.3021582733818</v>
      </c>
      <c r="C23" s="137">
        <v>2397000</v>
      </c>
      <c r="E23" s="59" t="s">
        <v>73</v>
      </c>
      <c r="F23" s="56" t="s">
        <v>28</v>
      </c>
      <c r="G23" s="44">
        <v>1</v>
      </c>
      <c r="H23" s="129">
        <f>IF(B$15=0,0,G23/B$15)</f>
        <v>2.2727272727272726E-3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-12.863963963963966</v>
      </c>
      <c r="P23" s="115">
        <v>111</v>
      </c>
      <c r="Q23" s="103">
        <v>-1427.9000000000003</v>
      </c>
    </row>
    <row r="24" spans="1:17" x14ac:dyDescent="0.4">
      <c r="A24" s="52" t="s">
        <v>178</v>
      </c>
      <c r="B24" s="136">
        <f>IF(B$14=0,0,C24/B$14)</f>
        <v>6868.5185185185182</v>
      </c>
      <c r="C24" s="137">
        <v>1112700</v>
      </c>
      <c r="E24" s="59" t="s">
        <v>77</v>
      </c>
      <c r="F24" s="56" t="s">
        <v>32</v>
      </c>
      <c r="G24" s="44">
        <v>1</v>
      </c>
      <c r="H24" s="129">
        <f>IF(B$15=0,0,G24/B$15)</f>
        <v>2.2727272727272726E-3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-7960.4</v>
      </c>
      <c r="C25" s="137">
        <v>-1990100</v>
      </c>
      <c r="E25" s="59" t="s">
        <v>84</v>
      </c>
      <c r="F25" s="56" t="s">
        <v>39</v>
      </c>
      <c r="G25" s="44">
        <v>1</v>
      </c>
      <c r="H25" s="129">
        <f>IF(B$15=0,0,G25/B$15)</f>
        <v>2.2727272727272726E-3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2.2727272727272726E-3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10</v>
      </c>
      <c r="E27" s="59" t="s">
        <v>95</v>
      </c>
      <c r="F27" s="56" t="s">
        <v>50</v>
      </c>
      <c r="G27" s="44">
        <v>1</v>
      </c>
      <c r="H27" s="129">
        <f>IF(B$15=0,0,G27/B$15)</f>
        <v>2.2727272727272726E-3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5</v>
      </c>
      <c r="C30" s="40">
        <f>IF(B$3=0,0,B30/B$3)</f>
        <v>3.566333808844508E-3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34</v>
      </c>
      <c r="C32" s="141">
        <f>IF(B$15=0,0,B32/B$15)</f>
        <v>7.7272727272727271E-2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84</v>
      </c>
      <c r="C33" s="37">
        <f t="shared" ref="C33:C44" si="2">IF(B$15=0,0,B33/B$15)</f>
        <v>0.19090909090909092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92</v>
      </c>
      <c r="C34" s="37">
        <f>IF(B$15=0,0,B34/B$15)</f>
        <v>0.20909090909090908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87</v>
      </c>
      <c r="C35" s="37">
        <f t="shared" si="2"/>
        <v>0.19772727272727272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63</v>
      </c>
      <c r="C36" s="37">
        <f t="shared" si="2"/>
        <v>0.14318181818181819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42</v>
      </c>
      <c r="C37" s="37">
        <f t="shared" si="2"/>
        <v>9.5454545454545459E-2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15</v>
      </c>
      <c r="C38" s="37">
        <f t="shared" si="2"/>
        <v>3.4090909090909088E-2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9</v>
      </c>
      <c r="C39" s="37">
        <f t="shared" si="2"/>
        <v>2.0454545454545454E-2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6</v>
      </c>
      <c r="C40" s="37">
        <f t="shared" si="2"/>
        <v>1.3636363636363636E-2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2.2727272727272726E-3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3</v>
      </c>
      <c r="C42" s="37">
        <f t="shared" si="2"/>
        <v>6.8181818181818179E-3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9.0909090909090905E-3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  <row r="149" spans="11:12" x14ac:dyDescent="0.4">
      <c r="K149" s="36">
        <v>147</v>
      </c>
      <c r="L149" s="95">
        <v>-1.6000000000001862</v>
      </c>
    </row>
    <row r="150" spans="11:12" x14ac:dyDescent="0.4">
      <c r="K150" s="36">
        <v>148</v>
      </c>
      <c r="L150" s="95">
        <v>58.999999999999815</v>
      </c>
    </row>
    <row r="151" spans="11:12" x14ac:dyDescent="0.4">
      <c r="K151" s="36">
        <v>149</v>
      </c>
      <c r="L151" s="95">
        <v>20.499999999999815</v>
      </c>
    </row>
    <row r="152" spans="11:12" x14ac:dyDescent="0.4">
      <c r="K152" s="36">
        <v>150</v>
      </c>
      <c r="L152" s="95">
        <v>-14.500000000000185</v>
      </c>
    </row>
    <row r="153" spans="11:12" x14ac:dyDescent="0.4">
      <c r="K153" s="36">
        <v>151</v>
      </c>
      <c r="L153" s="95">
        <v>-9.1000000000001844</v>
      </c>
    </row>
    <row r="154" spans="11:12" x14ac:dyDescent="0.4">
      <c r="K154" s="36">
        <v>152</v>
      </c>
      <c r="L154" s="95">
        <v>-44.100000000000186</v>
      </c>
    </row>
    <row r="155" spans="11:12" x14ac:dyDescent="0.4">
      <c r="K155" s="36">
        <v>153</v>
      </c>
      <c r="L155" s="95">
        <v>-43.800000000000189</v>
      </c>
    </row>
    <row r="156" spans="11:12" x14ac:dyDescent="0.4">
      <c r="K156" s="36">
        <v>154</v>
      </c>
      <c r="L156" s="95">
        <v>-31.800000000000189</v>
      </c>
    </row>
    <row r="157" spans="11:12" x14ac:dyDescent="0.4">
      <c r="K157" s="36">
        <v>155</v>
      </c>
      <c r="L157" s="95">
        <v>7.8999999999998138</v>
      </c>
    </row>
    <row r="158" spans="11:12" x14ac:dyDescent="0.4">
      <c r="K158" s="36">
        <v>156</v>
      </c>
      <c r="L158" s="95">
        <v>-12.100000000000186</v>
      </c>
    </row>
    <row r="159" spans="11:12" x14ac:dyDescent="0.4">
      <c r="K159" s="36">
        <v>157</v>
      </c>
      <c r="L159" s="95">
        <v>8.8999999999998138</v>
      </c>
    </row>
    <row r="160" spans="11:12" x14ac:dyDescent="0.4">
      <c r="K160" s="36">
        <v>158</v>
      </c>
      <c r="L160" s="95">
        <v>47.099999999999817</v>
      </c>
    </row>
    <row r="161" spans="11:12" x14ac:dyDescent="0.4">
      <c r="K161" s="36">
        <v>159</v>
      </c>
      <c r="L161" s="95">
        <v>18.399999999999817</v>
      </c>
    </row>
    <row r="162" spans="11:12" x14ac:dyDescent="0.4">
      <c r="K162" s="36">
        <v>160</v>
      </c>
      <c r="L162" s="95">
        <v>-25.600000000000183</v>
      </c>
    </row>
    <row r="163" spans="11:12" x14ac:dyDescent="0.4">
      <c r="K163" s="36">
        <v>161</v>
      </c>
      <c r="L163" s="95">
        <v>-44.500000000000185</v>
      </c>
    </row>
    <row r="164" spans="11:12" x14ac:dyDescent="0.4">
      <c r="K164" s="36">
        <v>162</v>
      </c>
      <c r="L164" s="95">
        <v>-22.200000000000184</v>
      </c>
    </row>
    <row r="165" spans="11:12" x14ac:dyDescent="0.4">
      <c r="K165" s="36">
        <v>163</v>
      </c>
      <c r="L165" s="95">
        <v>25.099999999999813</v>
      </c>
    </row>
    <row r="166" spans="11:12" x14ac:dyDescent="0.4">
      <c r="K166" s="36">
        <v>164</v>
      </c>
      <c r="L166" s="95">
        <v>-9.4000000000001869</v>
      </c>
    </row>
    <row r="167" spans="11:12" x14ac:dyDescent="0.4">
      <c r="K167" s="36">
        <v>165</v>
      </c>
      <c r="L167" s="95">
        <v>-48.100000000000193</v>
      </c>
    </row>
    <row r="168" spans="11:12" x14ac:dyDescent="0.4">
      <c r="K168" s="36">
        <v>166</v>
      </c>
      <c r="L168" s="95">
        <v>-22.900000000000194</v>
      </c>
    </row>
    <row r="169" spans="11:12" x14ac:dyDescent="0.4">
      <c r="K169" s="36">
        <v>167</v>
      </c>
      <c r="L169" s="95">
        <v>-2.8000000000001926</v>
      </c>
    </row>
    <row r="170" spans="11:12" x14ac:dyDescent="0.4">
      <c r="K170" s="36">
        <v>168</v>
      </c>
      <c r="L170" s="95">
        <v>21.399999999999807</v>
      </c>
    </row>
    <row r="171" spans="11:12" x14ac:dyDescent="0.4">
      <c r="K171" s="36">
        <v>169</v>
      </c>
      <c r="L171" s="95">
        <v>20.799999999999805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3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4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  <row r="98" spans="11:12" x14ac:dyDescent="0.4">
      <c r="K98" s="36">
        <v>96</v>
      </c>
      <c r="L98" s="95">
        <v>-631.19999999999993</v>
      </c>
    </row>
    <row r="99" spans="11:12" x14ac:dyDescent="0.4">
      <c r="K99" s="36">
        <v>97</v>
      </c>
      <c r="L99" s="95">
        <v>-673.49999999999989</v>
      </c>
    </row>
    <row r="100" spans="11:12" x14ac:dyDescent="0.4">
      <c r="K100" s="36">
        <v>98</v>
      </c>
      <c r="L100" s="95">
        <v>-700.69999999999993</v>
      </c>
    </row>
    <row r="101" spans="11:12" x14ac:dyDescent="0.4">
      <c r="K101" s="36">
        <v>99</v>
      </c>
      <c r="L101" s="95">
        <v>-707.4</v>
      </c>
    </row>
    <row r="102" spans="11:12" x14ac:dyDescent="0.4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4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139</v>
      </c>
      <c r="C2" s="155"/>
      <c r="E2" s="58" t="s">
        <v>66</v>
      </c>
      <c r="F2" s="55" t="s">
        <v>22</v>
      </c>
      <c r="G2" s="43">
        <v>275</v>
      </c>
      <c r="H2" s="128">
        <f>IF(B$15=0,0,G2/B$15)</f>
        <v>0.8928571428571429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1191.3669064748201</v>
      </c>
      <c r="P2" s="114">
        <v>139</v>
      </c>
      <c r="Q2" s="98">
        <v>165600</v>
      </c>
    </row>
    <row r="3" spans="1:17" x14ac:dyDescent="0.4">
      <c r="A3" s="51" t="s">
        <v>8</v>
      </c>
      <c r="B3" s="156">
        <v>1132</v>
      </c>
      <c r="C3" s="157"/>
      <c r="E3" s="59" t="s">
        <v>64</v>
      </c>
      <c r="F3" s="56" t="s">
        <v>20</v>
      </c>
      <c r="G3" s="44">
        <v>169</v>
      </c>
      <c r="H3" s="129">
        <f>IF(B$15=0,0,G3/B$15)</f>
        <v>0.54870129870129869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-1805.8394160583941</v>
      </c>
      <c r="P3" s="115">
        <v>137</v>
      </c>
      <c r="Q3" s="99">
        <v>-247400</v>
      </c>
    </row>
    <row r="4" spans="1:17" x14ac:dyDescent="0.4">
      <c r="A4" s="51" t="s">
        <v>6</v>
      </c>
      <c r="B4" s="158">
        <v>581.90000000000055</v>
      </c>
      <c r="C4" s="159"/>
      <c r="E4" s="59" t="s">
        <v>72</v>
      </c>
      <c r="F4" s="56" t="s">
        <v>27</v>
      </c>
      <c r="G4" s="44">
        <v>169</v>
      </c>
      <c r="H4" s="129">
        <f>IF(B$15=0,0,G4/B$15)</f>
        <v>0.54870129870129869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-416</v>
      </c>
      <c r="P4" s="115">
        <v>125</v>
      </c>
      <c r="Q4" s="99">
        <v>-52000</v>
      </c>
    </row>
    <row r="5" spans="1:17" x14ac:dyDescent="0.4">
      <c r="A5" s="51" t="s">
        <v>7</v>
      </c>
      <c r="B5" s="160">
        <f>IF(B$2=0,0,B$4/B$2)</f>
        <v>4.1863309352518021</v>
      </c>
      <c r="C5" s="161"/>
      <c r="E5" s="59" t="s">
        <v>67</v>
      </c>
      <c r="F5" s="56" t="s">
        <v>23</v>
      </c>
      <c r="G5" s="44">
        <v>124</v>
      </c>
      <c r="H5" s="129">
        <f>IF(B$15=0,0,G5/B$15)</f>
        <v>0.40259740259740262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2340.6779661016949</v>
      </c>
      <c r="P5" s="115">
        <v>118</v>
      </c>
      <c r="Q5" s="99">
        <v>276200</v>
      </c>
    </row>
    <row r="6" spans="1:17" x14ac:dyDescent="0.4">
      <c r="A6" s="51" t="s">
        <v>1</v>
      </c>
      <c r="B6" s="150">
        <f>IF(B$2=0,0,(B$7*1+B$8*2+B$9*3)/B$2)</f>
        <v>1.9136690647482015</v>
      </c>
      <c r="C6" s="151"/>
      <c r="E6" s="59" t="s">
        <v>68</v>
      </c>
      <c r="F6" s="56" t="s">
        <v>12</v>
      </c>
      <c r="G6" s="44">
        <v>122</v>
      </c>
      <c r="H6" s="129">
        <f>IF(B$15=0,0,G6/B$15)</f>
        <v>0.39610389610389612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1516.0377358490566</v>
      </c>
      <c r="P6" s="115">
        <v>106</v>
      </c>
      <c r="Q6" s="99">
        <v>160700</v>
      </c>
    </row>
    <row r="7" spans="1:17" x14ac:dyDescent="0.4">
      <c r="A7" s="51" t="s">
        <v>2</v>
      </c>
      <c r="B7" s="44">
        <v>56</v>
      </c>
      <c r="C7" s="37">
        <f t="shared" ref="C7:C10" si="1">IF(B$2=0,0,B7/B$2)</f>
        <v>0.40287769784172661</v>
      </c>
      <c r="E7" s="59" t="s">
        <v>166</v>
      </c>
      <c r="F7" s="56" t="s">
        <v>167</v>
      </c>
      <c r="G7" s="44">
        <v>114</v>
      </c>
      <c r="H7" s="129">
        <f>IF(B$15=0,0,G7/B$15)</f>
        <v>0.37012987012987014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246.25</v>
      </c>
      <c r="P7" s="116">
        <v>80</v>
      </c>
      <c r="Q7" s="100">
        <v>19700</v>
      </c>
    </row>
    <row r="8" spans="1:17" x14ac:dyDescent="0.4">
      <c r="A8" s="51" t="s">
        <v>3</v>
      </c>
      <c r="B8" s="44">
        <v>39</v>
      </c>
      <c r="C8" s="37">
        <f t="shared" si="1"/>
        <v>0.2805755395683453</v>
      </c>
      <c r="E8" s="59" t="s">
        <v>89</v>
      </c>
      <c r="F8" s="56" t="s">
        <v>44</v>
      </c>
      <c r="G8" s="44">
        <v>76</v>
      </c>
      <c r="H8" s="129">
        <f>IF(B$15=0,0,G8/B$15)</f>
        <v>0.24675324675324675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44</v>
      </c>
      <c r="C9" s="38">
        <f t="shared" si="1"/>
        <v>0.31654676258992803</v>
      </c>
      <c r="E9" s="59" t="s">
        <v>69</v>
      </c>
      <c r="F9" s="56" t="s">
        <v>24</v>
      </c>
      <c r="G9" s="44">
        <v>66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0.11510791366906475</v>
      </c>
      <c r="E10" s="59" t="s">
        <v>65</v>
      </c>
      <c r="F10" s="56" t="s">
        <v>21</v>
      </c>
      <c r="G10" s="44">
        <v>46</v>
      </c>
      <c r="H10" s="129">
        <f>IF(B$15=0,0,G10/B$15)</f>
        <v>0.14935064935064934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-8.3526315789473689</v>
      </c>
      <c r="P10" s="114">
        <v>38</v>
      </c>
      <c r="Q10" s="102">
        <v>-317.40000000000003</v>
      </c>
    </row>
    <row r="11" spans="1:17" x14ac:dyDescent="0.4">
      <c r="A11" s="54" t="s">
        <v>121</v>
      </c>
      <c r="B11" s="47">
        <v>335</v>
      </c>
      <c r="C11" s="42">
        <f>IF(B$3=0,0,B11/B$3)</f>
        <v>0.29593639575971731</v>
      </c>
      <c r="E11" s="59" t="s">
        <v>70</v>
      </c>
      <c r="F11" s="56" t="s">
        <v>25</v>
      </c>
      <c r="G11" s="44">
        <v>37</v>
      </c>
      <c r="H11" s="129">
        <f>IF(B$15=0,0,G11/B$15)</f>
        <v>0.12012987012987013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7.0584905660377339</v>
      </c>
      <c r="P11" s="115">
        <v>53</v>
      </c>
      <c r="Q11" s="103">
        <v>374.09999999999991</v>
      </c>
    </row>
    <row r="12" spans="1:17" x14ac:dyDescent="0.4">
      <c r="A12" s="51" t="s">
        <v>118</v>
      </c>
      <c r="B12" s="44">
        <v>206</v>
      </c>
      <c r="C12" s="37">
        <f>IF(B$3=0,0,B12/B$3)</f>
        <v>0.18197879858657243</v>
      </c>
      <c r="E12" s="59" t="s">
        <v>71</v>
      </c>
      <c r="F12" s="56" t="s">
        <v>26</v>
      </c>
      <c r="G12" s="44">
        <v>17</v>
      </c>
      <c r="H12" s="129">
        <f>IF(B$15=0,0,G12/B$15)</f>
        <v>5.5194805194805192E-2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10.941666666666668</v>
      </c>
      <c r="P12" s="116">
        <v>48</v>
      </c>
      <c r="Q12" s="104">
        <v>525.20000000000005</v>
      </c>
    </row>
    <row r="13" spans="1:17" x14ac:dyDescent="0.4">
      <c r="A13" s="50" t="s">
        <v>123</v>
      </c>
      <c r="B13" s="43">
        <f>B19</f>
        <v>184</v>
      </c>
      <c r="C13" s="35">
        <f>IF(B$11=0,0,B13/B$11)</f>
        <v>0.54925373134328359</v>
      </c>
      <c r="E13" s="59" t="s">
        <v>162</v>
      </c>
      <c r="F13" s="56" t="s">
        <v>163</v>
      </c>
      <c r="G13" s="44">
        <v>17</v>
      </c>
      <c r="H13" s="129">
        <f>IF(B$15=0,0,G13/B$15)</f>
        <v>5.5194805194805192E-2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76</v>
      </c>
      <c r="C14" s="35">
        <f>IF(B$12=0,0,B14/B$12)</f>
        <v>0.36893203883495146</v>
      </c>
      <c r="E14" s="59" t="s">
        <v>86</v>
      </c>
      <c r="F14" s="56" t="s">
        <v>41</v>
      </c>
      <c r="G14" s="44">
        <v>12</v>
      </c>
      <c r="H14" s="129">
        <f>IF(B$15=0,0,G14/B$15)</f>
        <v>3.896103896103896E-2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308</v>
      </c>
      <c r="C15" s="35">
        <f>IF(B$3=0,0,B15/B$3)</f>
        <v>0.27208480565371024</v>
      </c>
      <c r="E15" s="59" t="s">
        <v>83</v>
      </c>
      <c r="F15" s="56" t="s">
        <v>38</v>
      </c>
      <c r="G15" s="44">
        <v>10</v>
      </c>
      <c r="H15" s="129">
        <f>IF(B$15=0,0,G15/B$15)</f>
        <v>3.2467532467532464E-2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197</v>
      </c>
      <c r="C16" s="37">
        <f>IF(B$3=0,0,B16/B$3)</f>
        <v>0.17402826855123674</v>
      </c>
      <c r="E16" s="59" t="s">
        <v>91</v>
      </c>
      <c r="F16" s="56" t="s">
        <v>46</v>
      </c>
      <c r="G16" s="44">
        <v>6</v>
      </c>
      <c r="H16" s="129">
        <f>IF(B$15=0,0,G16/B$15)</f>
        <v>1.948051948051948E-2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26.54137931034483</v>
      </c>
      <c r="P16" s="115">
        <v>29</v>
      </c>
      <c r="Q16" s="103">
        <v>769.7</v>
      </c>
    </row>
    <row r="17" spans="1:17" x14ac:dyDescent="0.4">
      <c r="A17" s="51" t="s">
        <v>12</v>
      </c>
      <c r="B17" s="44">
        <v>158</v>
      </c>
      <c r="C17" s="37">
        <f>IF(B$15=0,0,B17/B$15)</f>
        <v>0.51298701298701299</v>
      </c>
      <c r="E17" s="59" t="s">
        <v>92</v>
      </c>
      <c r="F17" s="56" t="s">
        <v>47</v>
      </c>
      <c r="G17" s="44">
        <v>6</v>
      </c>
      <c r="H17" s="129">
        <f>IF(B$15=0,0,G17/B$15)</f>
        <v>1.948051948051948E-2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>IF(P17=0,0,Q17/P17)</f>
        <v>12.110344827586209</v>
      </c>
      <c r="P17" s="115">
        <v>29</v>
      </c>
      <c r="Q17" s="103">
        <v>351.20000000000005</v>
      </c>
    </row>
    <row r="18" spans="1:17" x14ac:dyDescent="0.4">
      <c r="A18" s="51" t="s">
        <v>11</v>
      </c>
      <c r="B18" s="44">
        <v>150</v>
      </c>
      <c r="C18" s="37">
        <f>IF(B$15=0,0,B18/B$15)</f>
        <v>0.48701298701298701</v>
      </c>
      <c r="E18" s="59" t="s">
        <v>78</v>
      </c>
      <c r="F18" s="56" t="s">
        <v>33</v>
      </c>
      <c r="G18" s="44">
        <v>4</v>
      </c>
      <c r="H18" s="129">
        <f>IF(B$15=0,0,G18/B$15)</f>
        <v>1.2987012987012988E-2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>IF(P18=0,0,Q18/P18)</f>
        <v>10.093650793650792</v>
      </c>
      <c r="P18" s="115">
        <v>63</v>
      </c>
      <c r="Q18" s="103">
        <v>635.89999999999986</v>
      </c>
    </row>
    <row r="19" spans="1:17" x14ac:dyDescent="0.4">
      <c r="A19" s="51" t="s">
        <v>195</v>
      </c>
      <c r="B19" s="44">
        <v>184</v>
      </c>
      <c r="C19" s="37">
        <f>IF(B$15=0,0,B19/B$15)</f>
        <v>0.59740259740259738</v>
      </c>
      <c r="E19" s="59" t="s">
        <v>81</v>
      </c>
      <c r="F19" s="56" t="s">
        <v>36</v>
      </c>
      <c r="G19" s="44">
        <v>4</v>
      </c>
      <c r="H19" s="129">
        <f>IF(B$15=0,0,G19/B$15)</f>
        <v>1.2987012987012988E-2</v>
      </c>
      <c r="I19" s="90">
        <v>10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">
      <c r="A20" s="51" t="s">
        <v>193</v>
      </c>
      <c r="B20" s="44">
        <v>76</v>
      </c>
      <c r="C20" s="37">
        <f>IF(B$15=0,0,B20/B$15)</f>
        <v>0.24675324675324675</v>
      </c>
      <c r="E20" s="59" t="s">
        <v>79</v>
      </c>
      <c r="F20" s="56" t="s">
        <v>34</v>
      </c>
      <c r="G20" s="44">
        <v>3</v>
      </c>
      <c r="H20" s="129">
        <f>IF(B$15=0,0,G20/B$15)</f>
        <v>9.74025974025974E-3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2.0999999999999988</v>
      </c>
      <c r="P20" s="115">
        <v>57</v>
      </c>
      <c r="Q20" s="103">
        <v>119.69999999999992</v>
      </c>
    </row>
    <row r="21" spans="1:17" x14ac:dyDescent="0.4">
      <c r="A21" s="51" t="s">
        <v>194</v>
      </c>
      <c r="B21" s="44">
        <v>48</v>
      </c>
      <c r="C21" s="37">
        <f>IF(B$15=0,0,B21/B$15)</f>
        <v>0.15584415584415584</v>
      </c>
      <c r="E21" s="59" t="s">
        <v>85</v>
      </c>
      <c r="F21" s="56" t="s">
        <v>40</v>
      </c>
      <c r="G21" s="44">
        <v>3</v>
      </c>
      <c r="H21" s="129">
        <f>IF(B$15=0,0,G21/B$15)</f>
        <v>9.74025974025974E-3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>IF(P21=0,0,Q21/P21)</f>
        <v>-1.9482758620689686</v>
      </c>
      <c r="P21" s="115">
        <v>58</v>
      </c>
      <c r="Q21" s="103">
        <v>-113.00000000000018</v>
      </c>
    </row>
    <row r="22" spans="1:17" x14ac:dyDescent="0.4">
      <c r="A22" s="51" t="s">
        <v>5</v>
      </c>
      <c r="B22" s="48">
        <f>IF(B$15=0,0,C22/B$15)</f>
        <v>10969.155844155845</v>
      </c>
      <c r="C22" s="39">
        <v>3378500</v>
      </c>
      <c r="E22" s="59" t="s">
        <v>73</v>
      </c>
      <c r="F22" s="56" t="s">
        <v>28</v>
      </c>
      <c r="G22" s="44">
        <v>2</v>
      </c>
      <c r="H22" s="129">
        <f>IF(B$15=0,0,G22/B$15)</f>
        <v>6.4935064935064939E-3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">
      <c r="A23" s="52" t="s">
        <v>177</v>
      </c>
      <c r="B23" s="136">
        <f>IF($B$15-B$14=0,0,C23/($B$15-B$14))</f>
        <v>11604.741379310344</v>
      </c>
      <c r="C23" s="137">
        <v>2692300</v>
      </c>
      <c r="E23" s="59" t="s">
        <v>75</v>
      </c>
      <c r="F23" s="56" t="s">
        <v>30</v>
      </c>
      <c r="G23" s="44">
        <v>2</v>
      </c>
      <c r="H23" s="129">
        <f>IF(B$15=0,0,G23/B$15)</f>
        <v>6.4935064935064939E-3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">
      <c r="A24" s="52" t="s">
        <v>178</v>
      </c>
      <c r="B24" s="136">
        <f>IF(B$14=0,0,C24/B$14)</f>
        <v>9028.9473684210534</v>
      </c>
      <c r="C24" s="137">
        <v>686200</v>
      </c>
      <c r="E24" s="59" t="s">
        <v>84</v>
      </c>
      <c r="F24" s="56" t="s">
        <v>39</v>
      </c>
      <c r="G24" s="44">
        <v>2</v>
      </c>
      <c r="H24" s="129">
        <f>IF(B$15=0,0,G24/B$15)</f>
        <v>6.4935064935064939E-3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-7926.3959390862947</v>
      </c>
      <c r="C25" s="137">
        <v>-1561500</v>
      </c>
      <c r="E25" s="59" t="s">
        <v>90</v>
      </c>
      <c r="F25" s="56" t="s">
        <v>45</v>
      </c>
      <c r="G25" s="44">
        <v>2</v>
      </c>
      <c r="H25" s="129">
        <f>IF(B$15=0,0,G25/B$15)</f>
        <v>6.4935064935064939E-3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3.246753246753247E-3</v>
      </c>
      <c r="I26" s="90">
        <v>3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3</v>
      </c>
      <c r="E27" s="59" t="s">
        <v>88</v>
      </c>
      <c r="F27" s="56" t="s">
        <v>43</v>
      </c>
      <c r="G27" s="44">
        <v>1</v>
      </c>
      <c r="H27" s="129">
        <f>IF(B$15=0,0,G27/B$15)</f>
        <v>3.246753246753247E-3</v>
      </c>
      <c r="I27" s="90">
        <v>3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3.246753246753247E-3</v>
      </c>
      <c r="I28" s="90">
        <v>2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3.246753246753247E-3</v>
      </c>
      <c r="I29" s="90">
        <v>1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2</v>
      </c>
      <c r="C30" s="40">
        <f>IF(B$3=0,0,B30/B$3)</f>
        <v>1.7667844522968198E-3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8</v>
      </c>
      <c r="C32" s="141">
        <f>IF(B$15=0,0,B32/B$15)</f>
        <v>2.5974025974025976E-2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24</v>
      </c>
      <c r="C33" s="37">
        <f t="shared" ref="C33:C44" si="2">IF(B$15=0,0,B33/B$15)</f>
        <v>7.792207792207792E-2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42</v>
      </c>
      <c r="C34" s="37">
        <f>IF(B$15=0,0,B34/B$15)</f>
        <v>0.13636363636363635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57</v>
      </c>
      <c r="C35" s="37">
        <f t="shared" si="2"/>
        <v>0.18506493506493507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67</v>
      </c>
      <c r="C36" s="37">
        <f t="shared" si="2"/>
        <v>0.21753246753246752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43</v>
      </c>
      <c r="C37" s="37">
        <f t="shared" si="2"/>
        <v>0.1396103896103896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23</v>
      </c>
      <c r="C38" s="37">
        <f t="shared" si="2"/>
        <v>7.4675324675324672E-2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21</v>
      </c>
      <c r="C39" s="37">
        <f t="shared" si="2"/>
        <v>6.8181818181818177E-2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8</v>
      </c>
      <c r="C40" s="37">
        <f t="shared" si="2"/>
        <v>2.5974025974025976E-2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3</v>
      </c>
      <c r="C41" s="37">
        <f t="shared" si="2"/>
        <v>9.74025974025974E-3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6.4935064935064939E-3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3.246753246753247E-3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9</v>
      </c>
      <c r="C44" s="40">
        <f t="shared" si="2"/>
        <v>2.922077922077922E-2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  <row r="123" spans="11:12" x14ac:dyDescent="0.4">
      <c r="K123" s="36">
        <v>121</v>
      </c>
      <c r="L123" s="95">
        <v>623.70000000000039</v>
      </c>
    </row>
    <row r="124" spans="11:12" x14ac:dyDescent="0.4">
      <c r="K124" s="36">
        <v>122</v>
      </c>
      <c r="L124" s="95">
        <v>609.30000000000041</v>
      </c>
    </row>
    <row r="125" spans="11:12" x14ac:dyDescent="0.4">
      <c r="K125" s="36">
        <v>123</v>
      </c>
      <c r="L125" s="95">
        <v>621.50000000000045</v>
      </c>
    </row>
    <row r="126" spans="11:12" x14ac:dyDescent="0.4">
      <c r="K126" s="36">
        <v>124</v>
      </c>
      <c r="L126" s="95">
        <v>571.00000000000045</v>
      </c>
    </row>
    <row r="127" spans="11:12" x14ac:dyDescent="0.4">
      <c r="K127" s="36">
        <v>125</v>
      </c>
      <c r="L127" s="95">
        <v>505.50000000000045</v>
      </c>
    </row>
    <row r="128" spans="11:12" x14ac:dyDescent="0.4">
      <c r="K128" s="36">
        <v>126</v>
      </c>
      <c r="L128" s="95">
        <v>475.00000000000045</v>
      </c>
    </row>
    <row r="129" spans="11:12" x14ac:dyDescent="0.4">
      <c r="K129" s="36">
        <v>127</v>
      </c>
      <c r="L129" s="95">
        <v>531.30000000000041</v>
      </c>
    </row>
    <row r="130" spans="11:12" x14ac:dyDescent="0.4">
      <c r="K130" s="36">
        <v>128</v>
      </c>
      <c r="L130" s="95">
        <v>494.10000000000042</v>
      </c>
    </row>
    <row r="131" spans="11:12" x14ac:dyDescent="0.4">
      <c r="K131" s="36">
        <v>129</v>
      </c>
      <c r="L131" s="95">
        <v>529.80000000000041</v>
      </c>
    </row>
    <row r="132" spans="11:12" x14ac:dyDescent="0.4">
      <c r="K132" s="36">
        <v>130</v>
      </c>
      <c r="L132" s="95">
        <v>512.20000000000039</v>
      </c>
    </row>
    <row r="133" spans="11:12" x14ac:dyDescent="0.4">
      <c r="K133" s="36">
        <v>131</v>
      </c>
      <c r="L133" s="95">
        <v>465.20000000000039</v>
      </c>
    </row>
    <row r="134" spans="11:12" x14ac:dyDescent="0.4">
      <c r="K134" s="36">
        <v>132</v>
      </c>
      <c r="L134" s="95">
        <v>452.20000000000039</v>
      </c>
    </row>
    <row r="135" spans="11:12" x14ac:dyDescent="0.4">
      <c r="K135" s="36">
        <v>133</v>
      </c>
      <c r="L135" s="95">
        <v>512.90000000000043</v>
      </c>
    </row>
    <row r="136" spans="11:12" x14ac:dyDescent="0.4">
      <c r="K136" s="36">
        <v>134</v>
      </c>
      <c r="L136" s="95">
        <v>544.10000000000048</v>
      </c>
    </row>
    <row r="137" spans="11:12" x14ac:dyDescent="0.4">
      <c r="K137" s="36">
        <v>135</v>
      </c>
      <c r="L137" s="95">
        <v>548.60000000000048</v>
      </c>
    </row>
    <row r="138" spans="11:12" x14ac:dyDescent="0.4">
      <c r="K138" s="36">
        <v>136</v>
      </c>
      <c r="L138" s="95">
        <v>555.10000000000048</v>
      </c>
    </row>
    <row r="139" spans="11:12" x14ac:dyDescent="0.4">
      <c r="K139" s="36">
        <v>137</v>
      </c>
      <c r="L139" s="95">
        <v>588.50000000000045</v>
      </c>
    </row>
    <row r="140" spans="11:12" x14ac:dyDescent="0.4">
      <c r="K140" s="36">
        <v>138</v>
      </c>
      <c r="L140" s="95">
        <v>556.7000000000005</v>
      </c>
    </row>
    <row r="141" spans="11:12" x14ac:dyDescent="0.4">
      <c r="K141" s="36">
        <v>139</v>
      </c>
      <c r="L141" s="95">
        <v>581.90000000000055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0.7357357357357357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-207.53424657534248</v>
      </c>
      <c r="P2" s="114">
        <v>146</v>
      </c>
      <c r="Q2" s="98">
        <v>-30300</v>
      </c>
    </row>
    <row r="3" spans="1:17" x14ac:dyDescent="0.4">
      <c r="A3" s="51" t="s">
        <v>8</v>
      </c>
      <c r="B3" s="156">
        <v>1182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0.56156156156156156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264.33566433566432</v>
      </c>
      <c r="P3" s="115">
        <v>143</v>
      </c>
      <c r="Q3" s="99">
        <v>37800</v>
      </c>
    </row>
    <row r="4" spans="1:17" x14ac:dyDescent="0.4">
      <c r="A4" s="51" t="s">
        <v>6</v>
      </c>
      <c r="B4" s="158">
        <v>-28.099999999999977</v>
      </c>
      <c r="C4" s="159"/>
      <c r="E4" s="59" t="s">
        <v>64</v>
      </c>
      <c r="F4" s="56" t="s">
        <v>20</v>
      </c>
      <c r="G4" s="44">
        <v>164</v>
      </c>
      <c r="H4" s="129">
        <f>IF(B$15=0,0,G4/B$15)</f>
        <v>0.4924924924924925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178.5185185185185</v>
      </c>
      <c r="P4" s="115">
        <v>135</v>
      </c>
      <c r="Q4" s="99">
        <v>24100</v>
      </c>
    </row>
    <row r="5" spans="1:17" x14ac:dyDescent="0.4">
      <c r="A5" s="51" t="s">
        <v>7</v>
      </c>
      <c r="B5" s="160">
        <f>IF(B$2=0,0,B$4/B$2)</f>
        <v>-0.19246575342465738</v>
      </c>
      <c r="C5" s="161"/>
      <c r="E5" s="59" t="s">
        <v>166</v>
      </c>
      <c r="F5" s="56" t="s">
        <v>167</v>
      </c>
      <c r="G5" s="44">
        <v>145</v>
      </c>
      <c r="H5" s="129">
        <f>IF(B$15=0,0,G5/B$15)</f>
        <v>0.43543543543543545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376.61290322580646</v>
      </c>
      <c r="P5" s="115">
        <v>124</v>
      </c>
      <c r="Q5" s="99">
        <v>46700</v>
      </c>
    </row>
    <row r="6" spans="1:17" x14ac:dyDescent="0.4">
      <c r="A6" s="51" t="s">
        <v>1</v>
      </c>
      <c r="B6" s="150">
        <f>IF(B$2=0,0,(B$7*1+B$8*2+B$9*3)/B$2)</f>
        <v>2.0410958904109591</v>
      </c>
      <c r="C6" s="151"/>
      <c r="E6" s="59" t="s">
        <v>67</v>
      </c>
      <c r="F6" s="56" t="s">
        <v>23</v>
      </c>
      <c r="G6" s="44">
        <v>110</v>
      </c>
      <c r="H6" s="129">
        <f>IF(B$15=0,0,G6/B$15)</f>
        <v>0.33033033033033032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144.24778761061947</v>
      </c>
      <c r="P6" s="115">
        <v>113</v>
      </c>
      <c r="Q6" s="99">
        <v>16300</v>
      </c>
    </row>
    <row r="7" spans="1:17" x14ac:dyDescent="0.4">
      <c r="A7" s="51" t="s">
        <v>2</v>
      </c>
      <c r="B7" s="44">
        <v>37</v>
      </c>
      <c r="C7" s="37">
        <f t="shared" ref="C7:C10" si="1">IF(B$2=0,0,B7/B$2)</f>
        <v>0.25342465753424659</v>
      </c>
      <c r="E7" s="59" t="s">
        <v>68</v>
      </c>
      <c r="F7" s="56" t="s">
        <v>12</v>
      </c>
      <c r="G7" s="44">
        <v>105</v>
      </c>
      <c r="H7" s="129">
        <f>IF(B$15=0,0,G7/B$15)</f>
        <v>0.31531531531531531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-622.91666666666663</v>
      </c>
      <c r="P7" s="116">
        <v>96</v>
      </c>
      <c r="Q7" s="100">
        <v>-59800</v>
      </c>
    </row>
    <row r="8" spans="1:17" x14ac:dyDescent="0.4">
      <c r="A8" s="51" t="s">
        <v>3</v>
      </c>
      <c r="B8" s="44">
        <v>66</v>
      </c>
      <c r="C8" s="37">
        <f t="shared" si="1"/>
        <v>0.45205479452054792</v>
      </c>
      <c r="E8" s="59" t="s">
        <v>89</v>
      </c>
      <c r="F8" s="56" t="s">
        <v>44</v>
      </c>
      <c r="G8" s="44">
        <v>46</v>
      </c>
      <c r="H8" s="129">
        <f>IF(B$15=0,0,G8/B$15)</f>
        <v>0.13813813813813813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43</v>
      </c>
      <c r="C9" s="38">
        <f t="shared" si="1"/>
        <v>0.29452054794520549</v>
      </c>
      <c r="E9" s="59" t="s">
        <v>69</v>
      </c>
      <c r="F9" s="56" t="s">
        <v>24</v>
      </c>
      <c r="G9" s="44">
        <v>45</v>
      </c>
      <c r="H9" s="129">
        <f>IF(B$15=0,0,G9/B$15)</f>
        <v>0.13513513513513514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6.8493150684931503E-2</v>
      </c>
      <c r="E10" s="59" t="s">
        <v>71</v>
      </c>
      <c r="F10" s="56" t="s">
        <v>26</v>
      </c>
      <c r="G10" s="44">
        <v>31</v>
      </c>
      <c r="H10" s="129">
        <f>IF(B$15=0,0,G10/B$15)</f>
        <v>9.3093093093093091E-2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-2.6033333333333339</v>
      </c>
      <c r="P10" s="114">
        <v>60</v>
      </c>
      <c r="Q10" s="102">
        <v>-156.20000000000005</v>
      </c>
    </row>
    <row r="11" spans="1:17" x14ac:dyDescent="0.4">
      <c r="A11" s="54" t="s">
        <v>121</v>
      </c>
      <c r="B11" s="47">
        <v>306</v>
      </c>
      <c r="C11" s="42">
        <f>IF(B$3=0,0,B11/B$3)</f>
        <v>0.25888324873096447</v>
      </c>
      <c r="E11" s="59" t="s">
        <v>65</v>
      </c>
      <c r="F11" s="56" t="s">
        <v>21</v>
      </c>
      <c r="G11" s="44">
        <v>27</v>
      </c>
      <c r="H11" s="129">
        <f>IF(B$15=0,0,G11/B$15)</f>
        <v>8.1081081081081086E-2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">
      <c r="A12" s="51" t="s">
        <v>118</v>
      </c>
      <c r="B12" s="44">
        <v>275</v>
      </c>
      <c r="C12" s="37">
        <f>IF(B$3=0,0,B12/B$3)</f>
        <v>0.2326565143824027</v>
      </c>
      <c r="E12" s="59" t="s">
        <v>70</v>
      </c>
      <c r="F12" s="56" t="s">
        <v>25</v>
      </c>
      <c r="G12" s="44">
        <v>23</v>
      </c>
      <c r="H12" s="129">
        <f>IF(B$15=0,0,G12/B$15)</f>
        <v>6.9069069069069067E-2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1.3149999999999997</v>
      </c>
      <c r="P12" s="116">
        <v>40</v>
      </c>
      <c r="Q12" s="104">
        <v>52.599999999999987</v>
      </c>
    </row>
    <row r="13" spans="1:17" x14ac:dyDescent="0.4">
      <c r="A13" s="50" t="s">
        <v>123</v>
      </c>
      <c r="B13" s="43">
        <f>B19</f>
        <v>170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16</v>
      </c>
      <c r="H13" s="129">
        <f>IF(B$15=0,0,G13/B$15)</f>
        <v>4.8048048048048048E-2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117</v>
      </c>
      <c r="C14" s="35">
        <f>IF(B$12=0,0,B14/B$12)</f>
        <v>0.42545454545454547</v>
      </c>
      <c r="E14" s="59" t="s">
        <v>83</v>
      </c>
      <c r="F14" s="56" t="s">
        <v>38</v>
      </c>
      <c r="G14" s="44">
        <v>13</v>
      </c>
      <c r="H14" s="129">
        <f>IF(B$15=0,0,G14/B$15)</f>
        <v>3.903903903903904E-2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333</v>
      </c>
      <c r="C15" s="35">
        <f>IF(B$3=0,0,B15/B$3)</f>
        <v>0.28172588832487311</v>
      </c>
      <c r="E15" s="59" t="s">
        <v>79</v>
      </c>
      <c r="F15" s="56" t="s">
        <v>34</v>
      </c>
      <c r="G15" s="44">
        <v>7</v>
      </c>
      <c r="H15" s="129">
        <f>IF(B$15=0,0,G15/B$15)</f>
        <v>2.1021021021021023E-2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164</v>
      </c>
      <c r="C16" s="37">
        <f>IF(B$3=0,0,B16/B$3)</f>
        <v>0.13874788494077833</v>
      </c>
      <c r="E16" s="59" t="s">
        <v>78</v>
      </c>
      <c r="F16" s="56" t="s">
        <v>33</v>
      </c>
      <c r="G16" s="44">
        <v>6</v>
      </c>
      <c r="H16" s="129">
        <f>IF(B$15=0,0,G16/B$15)</f>
        <v>1.8018018018018018E-2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149</v>
      </c>
      <c r="C17" s="37">
        <f>IF(B$15=0,0,B17/B$15)</f>
        <v>0.44744744744744747</v>
      </c>
      <c r="E17" s="59" t="s">
        <v>162</v>
      </c>
      <c r="F17" s="56" t="s">
        <v>163</v>
      </c>
      <c r="G17" s="44">
        <v>6</v>
      </c>
      <c r="H17" s="129">
        <f>IF(B$15=0,0,G17/B$15)</f>
        <v>1.8018018018018018E-2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">
      <c r="A18" s="51" t="s">
        <v>11</v>
      </c>
      <c r="B18" s="44">
        <v>184</v>
      </c>
      <c r="C18" s="37">
        <f>IF(B$15=0,0,B18/B$15)</f>
        <v>0.55255255255255253</v>
      </c>
      <c r="E18" s="59" t="s">
        <v>73</v>
      </c>
      <c r="F18" s="56" t="s">
        <v>28</v>
      </c>
      <c r="G18" s="44">
        <v>5</v>
      </c>
      <c r="H18" s="129">
        <f>IF(B$15=0,0,G18/B$15)</f>
        <v>1.5015015015015015E-2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">
      <c r="A19" s="51" t="s">
        <v>195</v>
      </c>
      <c r="B19" s="44">
        <v>170</v>
      </c>
      <c r="C19" s="37">
        <f>IF(B$15=0,0,B19/B$15)</f>
        <v>0.51051051051051055</v>
      </c>
      <c r="E19" s="59" t="s">
        <v>81</v>
      </c>
      <c r="F19" s="56" t="s">
        <v>36</v>
      </c>
      <c r="G19" s="44">
        <v>5</v>
      </c>
      <c r="H19" s="129">
        <f>IF(B$15=0,0,G19/B$15)</f>
        <v>1.5015015015015015E-2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117</v>
      </c>
      <c r="C20" s="37">
        <f>IF(B$15=0,0,B20/B$15)</f>
        <v>0.35135135135135137</v>
      </c>
      <c r="E20" s="59" t="s">
        <v>85</v>
      </c>
      <c r="F20" s="56" t="s">
        <v>40</v>
      </c>
      <c r="G20" s="44">
        <v>3</v>
      </c>
      <c r="H20" s="129">
        <f>IF(B$15=0,0,G20/B$15)</f>
        <v>9.0090090090090089E-3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46</v>
      </c>
      <c r="C21" s="37">
        <f>IF(B$15=0,0,B21/B$15)</f>
        <v>0.13813813813813813</v>
      </c>
      <c r="E21" s="59" t="s">
        <v>91</v>
      </c>
      <c r="F21" s="56" t="s">
        <v>46</v>
      </c>
      <c r="G21" s="44">
        <v>3</v>
      </c>
      <c r="H21" s="129">
        <f>IF(B$15=0,0,G21/B$15)</f>
        <v>9.0090090090090089E-3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3.2271186440677964</v>
      </c>
      <c r="P21" s="115">
        <v>59</v>
      </c>
      <c r="Q21" s="103">
        <v>190.39999999999998</v>
      </c>
    </row>
    <row r="22" spans="1:17" x14ac:dyDescent="0.4">
      <c r="A22" s="51" t="s">
        <v>5</v>
      </c>
      <c r="B22" s="48">
        <f>IF(B$15=0,0,C22/B$15)</f>
        <v>8336.3363363363369</v>
      </c>
      <c r="C22" s="39">
        <v>2776000</v>
      </c>
      <c r="E22" s="59" t="s">
        <v>75</v>
      </c>
      <c r="F22" s="56" t="s">
        <v>30</v>
      </c>
      <c r="G22" s="44">
        <v>2</v>
      </c>
      <c r="H22" s="129">
        <f>IF(B$15=0,0,G22/B$15)</f>
        <v>6.006006006006006E-3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1.6968750000000004</v>
      </c>
      <c r="P22" s="115">
        <v>32</v>
      </c>
      <c r="Q22" s="103">
        <v>54.300000000000011</v>
      </c>
    </row>
    <row r="23" spans="1:17" x14ac:dyDescent="0.4">
      <c r="A23" s="52" t="s">
        <v>177</v>
      </c>
      <c r="B23" s="136">
        <f>IF($B$15-B$14=0,0,C23/($B$15-B$14))</f>
        <v>9336.5740740740748</v>
      </c>
      <c r="C23" s="137">
        <v>2016700</v>
      </c>
      <c r="E23" s="59" t="s">
        <v>92</v>
      </c>
      <c r="F23" s="56" t="s">
        <v>47</v>
      </c>
      <c r="G23" s="44">
        <v>2</v>
      </c>
      <c r="H23" s="129">
        <f>IF(B$15=0,0,G23/B$15)</f>
        <v>6.006006006006006E-3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">
      <c r="A24" s="52" t="s">
        <v>178</v>
      </c>
      <c r="B24" s="136">
        <f>IF(B$14=0,0,C24/B$14)</f>
        <v>6489.7435897435898</v>
      </c>
      <c r="C24" s="137">
        <v>759300</v>
      </c>
      <c r="E24" s="59" t="s">
        <v>74</v>
      </c>
      <c r="F24" s="56" t="s">
        <v>29</v>
      </c>
      <c r="G24" s="44">
        <v>1</v>
      </c>
      <c r="H24" s="129">
        <f>IF(B$15=0,0,G24/B$15)</f>
        <v>3.003003003003003E-3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 t="shared" si="2"/>
        <v>-11.989855072463769</v>
      </c>
      <c r="P24" s="115">
        <v>69</v>
      </c>
      <c r="Q24" s="103">
        <v>-827.30000000000007</v>
      </c>
    </row>
    <row r="25" spans="1:17" x14ac:dyDescent="0.4">
      <c r="A25" s="52" t="s">
        <v>176</v>
      </c>
      <c r="B25" s="136">
        <f>IF(B$16=0,0,C25/B$16)</f>
        <v>-6992.0731707317073</v>
      </c>
      <c r="C25" s="137">
        <v>-1146700</v>
      </c>
      <c r="E25" s="59" t="s">
        <v>87</v>
      </c>
      <c r="F25" s="56" t="s">
        <v>42</v>
      </c>
      <c r="G25" s="44">
        <v>1</v>
      </c>
      <c r="H25" s="129">
        <f>IF(B$15=0,0,G25/B$15)</f>
        <v>3.003003003003003E-3</v>
      </c>
      <c r="I25" s="90">
        <v>4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1</v>
      </c>
      <c r="H26" s="129">
        <f>IF(B$15=0,0,G26/B$15)</f>
        <v>3.003003003003003E-3</v>
      </c>
      <c r="I26" s="90">
        <v>4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3.003003003003003E-3</v>
      </c>
      <c r="I27" s="90">
        <v>3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3.003003003003003E-3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1.6920473773265651E-3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20</v>
      </c>
      <c r="C32" s="141">
        <f>IF(B$15=0,0,B32/B$15)</f>
        <v>6.006006006006006E-2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62</v>
      </c>
      <c r="C33" s="37">
        <f t="shared" ref="C33:C44" si="3">IF(B$15=0,0,B33/B$15)</f>
        <v>0.18618618618618618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67</v>
      </c>
      <c r="C34" s="37">
        <f>IF(B$15=0,0,B34/B$15)</f>
        <v>0.20120120120120119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61</v>
      </c>
      <c r="C35" s="37">
        <f t="shared" si="3"/>
        <v>0.18318318318318319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48</v>
      </c>
      <c r="C36" s="37">
        <f t="shared" si="3"/>
        <v>0.14414414414414414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38</v>
      </c>
      <c r="C37" s="37">
        <f t="shared" si="3"/>
        <v>0.11411411411411411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18</v>
      </c>
      <c r="C38" s="37">
        <f t="shared" si="3"/>
        <v>5.4054054054054057E-2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3"/>
        <v>2.1021021021021023E-2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3"/>
        <v>9.0090090090090089E-3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3"/>
        <v>6.006006006006006E-3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3"/>
        <v>3.003003003003003E-3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3"/>
        <v>6.006006006006006E-3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4</v>
      </c>
      <c r="C44" s="40">
        <f t="shared" si="3"/>
        <v>1.2012012012012012E-2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  <row r="135" spans="11:12" x14ac:dyDescent="0.4">
      <c r="K135" s="36">
        <v>133</v>
      </c>
      <c r="L135" s="95">
        <v>-227.5</v>
      </c>
    </row>
    <row r="136" spans="11:12" x14ac:dyDescent="0.4">
      <c r="K136" s="36">
        <v>134</v>
      </c>
      <c r="L136" s="95">
        <v>-193.6</v>
      </c>
    </row>
    <row r="137" spans="11:12" x14ac:dyDescent="0.4">
      <c r="K137" s="36">
        <v>135</v>
      </c>
      <c r="L137" s="95">
        <v>-212.1</v>
      </c>
    </row>
    <row r="138" spans="11:12" x14ac:dyDescent="0.4">
      <c r="K138" s="36">
        <v>136</v>
      </c>
      <c r="L138" s="95">
        <v>-179.1</v>
      </c>
    </row>
    <row r="139" spans="11:12" x14ac:dyDescent="0.4">
      <c r="K139" s="36">
        <v>137</v>
      </c>
      <c r="L139" s="95">
        <v>-152.29999999999998</v>
      </c>
    </row>
    <row r="140" spans="11:12" x14ac:dyDescent="0.4">
      <c r="K140" s="36">
        <v>138</v>
      </c>
      <c r="L140" s="95">
        <v>-162.49999999999997</v>
      </c>
    </row>
    <row r="141" spans="11:12" x14ac:dyDescent="0.4">
      <c r="K141" s="36">
        <v>139</v>
      </c>
      <c r="L141" s="95">
        <v>-150.29999999999998</v>
      </c>
    </row>
    <row r="142" spans="11:12" x14ac:dyDescent="0.4">
      <c r="K142" s="36">
        <v>140</v>
      </c>
      <c r="L142" s="95">
        <v>-96.799999999999983</v>
      </c>
    </row>
    <row r="143" spans="11:12" x14ac:dyDescent="0.4">
      <c r="K143" s="36">
        <v>141</v>
      </c>
      <c r="L143" s="95">
        <v>-105.99999999999999</v>
      </c>
    </row>
    <row r="144" spans="11:12" x14ac:dyDescent="0.4">
      <c r="K144" s="36">
        <v>142</v>
      </c>
      <c r="L144" s="95">
        <v>-142.29999999999998</v>
      </c>
    </row>
    <row r="145" spans="11:12" x14ac:dyDescent="0.4">
      <c r="K145" s="36">
        <v>143</v>
      </c>
      <c r="L145" s="95">
        <v>-141.49999999999997</v>
      </c>
    </row>
    <row r="146" spans="11:12" x14ac:dyDescent="0.4">
      <c r="K146" s="36">
        <v>144</v>
      </c>
      <c r="L146" s="95">
        <v>-96.699999999999974</v>
      </c>
    </row>
    <row r="147" spans="11:12" x14ac:dyDescent="0.4">
      <c r="K147" s="36">
        <v>145</v>
      </c>
      <c r="L147" s="95">
        <v>-40.299999999999976</v>
      </c>
    </row>
    <row r="148" spans="11:12" x14ac:dyDescent="0.4">
      <c r="K148" s="36">
        <v>146</v>
      </c>
      <c r="L148" s="95">
        <v>-28.099999999999977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63</v>
      </c>
      <c r="C2" s="155"/>
      <c r="E2" s="58" t="s">
        <v>66</v>
      </c>
      <c r="F2" s="55" t="s">
        <v>22</v>
      </c>
      <c r="G2" s="43">
        <v>94</v>
      </c>
      <c r="H2" s="128">
        <f>IF(B$15=0,0,G2/B$15)</f>
        <v>0.69117647058823528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-2882.5396825396824</v>
      </c>
      <c r="P2" s="114">
        <v>63</v>
      </c>
      <c r="Q2" s="98">
        <v>-181600</v>
      </c>
    </row>
    <row r="3" spans="1:17" x14ac:dyDescent="0.4">
      <c r="A3" s="51" t="s">
        <v>8</v>
      </c>
      <c r="B3" s="156">
        <v>523</v>
      </c>
      <c r="C3" s="157"/>
      <c r="E3" s="59" t="s">
        <v>72</v>
      </c>
      <c r="F3" s="56" t="s">
        <v>27</v>
      </c>
      <c r="G3" s="44">
        <v>89</v>
      </c>
      <c r="H3" s="129">
        <f>IF(B$15=0,0,G3/B$15)</f>
        <v>0.65441176470588236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849.20634920634916</v>
      </c>
      <c r="P3" s="115">
        <v>63</v>
      </c>
      <c r="Q3" s="99">
        <v>53500</v>
      </c>
    </row>
    <row r="4" spans="1:17" x14ac:dyDescent="0.4">
      <c r="A4" s="51" t="s">
        <v>6</v>
      </c>
      <c r="B4" s="158">
        <v>-697.10000000000014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0.40441176470588236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-546.66666666666663</v>
      </c>
      <c r="P4" s="115">
        <v>60</v>
      </c>
      <c r="Q4" s="99">
        <v>-32800</v>
      </c>
    </row>
    <row r="5" spans="1:17" x14ac:dyDescent="0.4">
      <c r="A5" s="51" t="s">
        <v>7</v>
      </c>
      <c r="B5" s="160">
        <f>IF(B$2=0,0,B$4/B$2)</f>
        <v>-11.065079365079367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0.34558823529411764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-1937.037037037037</v>
      </c>
      <c r="P5" s="115">
        <v>54</v>
      </c>
      <c r="Q5" s="99">
        <v>-104600</v>
      </c>
    </row>
    <row r="6" spans="1:17" x14ac:dyDescent="0.4">
      <c r="A6" s="51" t="s">
        <v>1</v>
      </c>
      <c r="B6" s="150">
        <f>IF(B$2=0,0,(B$7*1+B$8*2+B$9*3)/B$2)</f>
        <v>2.2857142857142856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0.27941176470588236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-1835.2941176470588</v>
      </c>
      <c r="P6" s="115">
        <v>51</v>
      </c>
      <c r="Q6" s="99">
        <v>-93600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0.15873015873015872</v>
      </c>
      <c r="E7" s="59" t="s">
        <v>67</v>
      </c>
      <c r="F7" s="56" t="s">
        <v>23</v>
      </c>
      <c r="G7" s="44">
        <v>31</v>
      </c>
      <c r="H7" s="129">
        <f>IF(B$15=0,0,G7/B$15)</f>
        <v>0.22794117647058823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89</v>
      </c>
      <c r="F8" s="56" t="s">
        <v>44</v>
      </c>
      <c r="G8" s="44">
        <v>20</v>
      </c>
      <c r="H8" s="129">
        <f>IF(B$15=0,0,G8/B$15)</f>
        <v>0.14705882352941177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0.44444444444444442</v>
      </c>
      <c r="E9" s="59" t="s">
        <v>65</v>
      </c>
      <c r="F9" s="56" t="s">
        <v>21</v>
      </c>
      <c r="G9" s="44">
        <v>16</v>
      </c>
      <c r="H9" s="129">
        <f>IF(B$15=0,0,G9/B$15)</f>
        <v>0.11764705882352941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0.15873015873015872</v>
      </c>
      <c r="E10" s="59" t="s">
        <v>71</v>
      </c>
      <c r="F10" s="56" t="s">
        <v>26</v>
      </c>
      <c r="G10" s="44">
        <v>13</v>
      </c>
      <c r="H10" s="129">
        <f>IF(B$15=0,0,G10/B$15)</f>
        <v>9.5588235294117641E-2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-19.2</v>
      </c>
      <c r="P10" s="114">
        <v>27</v>
      </c>
      <c r="Q10" s="102">
        <v>-518.4</v>
      </c>
    </row>
    <row r="11" spans="1:17" x14ac:dyDescent="0.4">
      <c r="A11" s="54" t="s">
        <v>121</v>
      </c>
      <c r="B11" s="47">
        <v>110</v>
      </c>
      <c r="C11" s="42">
        <f>IF(B$3=0,0,B11/B$3)</f>
        <v>0.21032504780114722</v>
      </c>
      <c r="E11" s="59" t="s">
        <v>69</v>
      </c>
      <c r="F11" s="56" t="s">
        <v>24</v>
      </c>
      <c r="G11" s="44">
        <v>12</v>
      </c>
      <c r="H11" s="129">
        <f>IF(B$15=0,0,G11/B$15)</f>
        <v>8.8235294117647065E-2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">
      <c r="A12" s="51" t="s">
        <v>118</v>
      </c>
      <c r="B12" s="44">
        <v>119</v>
      </c>
      <c r="C12" s="37">
        <f>IF(B$3=0,0,B12/B$3)</f>
        <v>0.22753346080305928</v>
      </c>
      <c r="E12" s="59" t="s">
        <v>70</v>
      </c>
      <c r="F12" s="56" t="s">
        <v>25</v>
      </c>
      <c r="G12" s="44">
        <v>12</v>
      </c>
      <c r="H12" s="129">
        <f>IF(B$15=0,0,G12/B$15)</f>
        <v>8.8235294117647065E-2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">
      <c r="A13" s="50" t="s">
        <v>123</v>
      </c>
      <c r="B13" s="43">
        <f>B19</f>
        <v>58</v>
      </c>
      <c r="C13" s="35">
        <f>IF(B$11=0,0,B13/B$11)</f>
        <v>0.52727272727272723</v>
      </c>
      <c r="E13" s="59" t="s">
        <v>81</v>
      </c>
      <c r="F13" s="56" t="s">
        <v>36</v>
      </c>
      <c r="G13" s="44">
        <v>8</v>
      </c>
      <c r="H13" s="129">
        <f>IF(B$15=0,0,G13/B$15)</f>
        <v>5.8823529411764705E-2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51</v>
      </c>
      <c r="C14" s="35">
        <f>IF(B$12=0,0,B14/B$12)</f>
        <v>0.42857142857142855</v>
      </c>
      <c r="E14" s="59" t="s">
        <v>83</v>
      </c>
      <c r="F14" s="56" t="s">
        <v>38</v>
      </c>
      <c r="G14" s="44">
        <v>8</v>
      </c>
      <c r="H14" s="129">
        <f>IF(B$15=0,0,G14/B$15)</f>
        <v>5.8823529411764705E-2</v>
      </c>
      <c r="I14" s="90">
        <v>5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136</v>
      </c>
      <c r="C15" s="35">
        <f>IF(B$3=0,0,B15/B$3)</f>
        <v>0.26003824091778205</v>
      </c>
      <c r="E15" s="59" t="s">
        <v>86</v>
      </c>
      <c r="F15" s="56" t="s">
        <v>41</v>
      </c>
      <c r="G15" s="44">
        <v>8</v>
      </c>
      <c r="H15" s="129">
        <f>IF(B$15=0,0,G15/B$15)</f>
        <v>5.8823529411764705E-2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">
      <c r="A16" s="51" t="s">
        <v>13</v>
      </c>
      <c r="B16" s="44">
        <v>94</v>
      </c>
      <c r="C16" s="37">
        <f>IF(B$3=0,0,B16/B$3)</f>
        <v>0.17973231357552583</v>
      </c>
      <c r="E16" s="59" t="s">
        <v>91</v>
      </c>
      <c r="F16" s="56" t="s">
        <v>46</v>
      </c>
      <c r="G16" s="44">
        <v>2</v>
      </c>
      <c r="H16" s="129">
        <f>IF(B$15=0,0,G16/B$15)</f>
        <v>1.4705882352941176E-2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63</v>
      </c>
      <c r="C17" s="37">
        <f>IF(B$15=0,0,B17/B$15)</f>
        <v>0.46323529411764708</v>
      </c>
      <c r="E17" s="59" t="s">
        <v>74</v>
      </c>
      <c r="F17" s="56" t="s">
        <v>29</v>
      </c>
      <c r="G17" s="44">
        <v>1</v>
      </c>
      <c r="H17" s="129">
        <f>IF(B$15=0,0,G17/B$15)</f>
        <v>7.3529411764705881E-3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 t="shared" si="2"/>
        <v>-12.000000000000002</v>
      </c>
      <c r="P17" s="115">
        <v>1</v>
      </c>
      <c r="Q17" s="103">
        <v>-12.000000000000002</v>
      </c>
    </row>
    <row r="18" spans="1:17" x14ac:dyDescent="0.4">
      <c r="A18" s="51" t="s">
        <v>11</v>
      </c>
      <c r="B18" s="44">
        <v>73</v>
      </c>
      <c r="C18" s="37">
        <f>IF(B$15=0,0,B18/B$15)</f>
        <v>0.53676470588235292</v>
      </c>
      <c r="E18" s="59" t="s">
        <v>78</v>
      </c>
      <c r="F18" s="56" t="s">
        <v>33</v>
      </c>
      <c r="G18" s="44">
        <v>1</v>
      </c>
      <c r="H18" s="129">
        <f>IF(B$15=0,0,G18/B$15)</f>
        <v>7.3529411764705881E-3</v>
      </c>
      <c r="I18" s="90">
        <v>10</v>
      </c>
      <c r="K18" s="36">
        <v>16</v>
      </c>
      <c r="L18" s="95">
        <v>-320.30000000000007</v>
      </c>
      <c r="N18" s="111" t="s">
        <v>170</v>
      </c>
      <c r="O18" s="121">
        <f t="shared" si="2"/>
        <v>-12.110344827586207</v>
      </c>
      <c r="P18" s="115">
        <v>29</v>
      </c>
      <c r="Q18" s="103">
        <v>-351.2</v>
      </c>
    </row>
    <row r="19" spans="1:17" x14ac:dyDescent="0.4">
      <c r="A19" s="51" t="s">
        <v>195</v>
      </c>
      <c r="B19" s="44">
        <v>58</v>
      </c>
      <c r="C19" s="37">
        <f>IF(B$15=0,0,B19/B$15)</f>
        <v>0.4264705882352941</v>
      </c>
      <c r="E19" s="59" t="s">
        <v>92</v>
      </c>
      <c r="F19" s="56" t="s">
        <v>47</v>
      </c>
      <c r="G19" s="44">
        <v>1</v>
      </c>
      <c r="H19" s="129">
        <f>IF(B$15=0,0,G19/B$15)</f>
        <v>7.3529411764705881E-3</v>
      </c>
      <c r="I19" s="90">
        <v>3</v>
      </c>
      <c r="K19" s="36">
        <v>17</v>
      </c>
      <c r="L19" s="95">
        <v>-352.60000000000008</v>
      </c>
      <c r="N19" s="111" t="s">
        <v>171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">
      <c r="A20" s="51" t="s">
        <v>193</v>
      </c>
      <c r="B20" s="44">
        <v>51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7.3529411764705881E-3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194</v>
      </c>
      <c r="B21" s="44">
        <v>27</v>
      </c>
      <c r="C21" s="37">
        <f>IF(B$15=0,0,B21/B$15)</f>
        <v>0.19852941176470587</v>
      </c>
      <c r="E21" s="59" t="s">
        <v>162</v>
      </c>
      <c r="F21" s="56" t="s">
        <v>163</v>
      </c>
      <c r="G21" s="44">
        <v>1</v>
      </c>
      <c r="H21" s="129">
        <f>IF(B$15=0,0,G21/B$15)</f>
        <v>7.3529411764705881E-3</v>
      </c>
      <c r="I21" s="90">
        <v>8</v>
      </c>
      <c r="K21" s="36">
        <v>19</v>
      </c>
      <c r="L21" s="95">
        <v>-400.60000000000008</v>
      </c>
      <c r="N21" s="111" t="s">
        <v>127</v>
      </c>
      <c r="O21" s="121">
        <f t="shared" si="2"/>
        <v>-19.313333333333333</v>
      </c>
      <c r="P21" s="115">
        <v>15</v>
      </c>
      <c r="Q21" s="103">
        <v>-289.7</v>
      </c>
    </row>
    <row r="22" spans="1:17" x14ac:dyDescent="0.4">
      <c r="A22" s="51" t="s">
        <v>5</v>
      </c>
      <c r="B22" s="48">
        <f>IF(B$15=0,0,C22/B$15)</f>
        <v>8066.911764705882</v>
      </c>
      <c r="C22" s="39">
        <v>1097100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8574.1176470588234</v>
      </c>
      <c r="C23" s="137">
        <v>728800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-8432.978723404256</v>
      </c>
      <c r="C25" s="137">
        <v>-792700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0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5.7361376673040155E-3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12</v>
      </c>
      <c r="C32" s="141">
        <f>IF(B$15=0,0,B32/B$15)</f>
        <v>8.8235294117647065E-2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26</v>
      </c>
      <c r="C33" s="37">
        <f t="shared" ref="C33:C44" si="3">IF(B$15=0,0,B33/B$15)</f>
        <v>0.19117647058823528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27</v>
      </c>
      <c r="C34" s="37">
        <f>IF(B$15=0,0,B34/B$15)</f>
        <v>0.19852941176470587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23</v>
      </c>
      <c r="C35" s="37">
        <f t="shared" si="3"/>
        <v>0.16911764705882354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19</v>
      </c>
      <c r="C36" s="37">
        <f t="shared" si="3"/>
        <v>0.13970588235294118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11</v>
      </c>
      <c r="C37" s="37">
        <f t="shared" si="3"/>
        <v>8.0882352941176475E-2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10</v>
      </c>
      <c r="C38" s="37">
        <f t="shared" si="3"/>
        <v>7.3529411764705885E-2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3"/>
        <v>3.6764705882352942E-2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3"/>
        <v>7.3529411764705881E-3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3"/>
        <v>1.4705882352941176E-2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  <row r="65" spans="11:12" x14ac:dyDescent="0.4">
      <c r="K65" s="36">
        <v>63</v>
      </c>
      <c r="L65" s="95">
        <v>-697.10000000000014</v>
      </c>
    </row>
  </sheetData>
  <sortState xmlns:xlrd2="http://schemas.microsoft.com/office/spreadsheetml/2017/richdata2" ref="E2:I6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8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4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7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9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2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2020-01-21T16:06:52Z</dcterms:modified>
</cp:coreProperties>
</file>