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3A26C83-A9FF-4390-8166-C9C4670241D0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359" l="1"/>
  <c r="O25" i="6347" l="1"/>
  <c r="O15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2" i="6341" l="1"/>
  <c r="O16" i="6357"/>
  <c r="O20" i="6357"/>
  <c r="O22" i="6343"/>
  <c r="O20" i="6351" l="1"/>
  <c r="O17" i="6357"/>
  <c r="O21" i="6345" l="1"/>
  <c r="O18" i="6357"/>
  <c r="O19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7" i="6349"/>
  <c r="O21" i="6335"/>
  <c r="C19" i="6357" l="1"/>
  <c r="H8" i="6357"/>
  <c r="H10" i="6357"/>
  <c r="H6" i="6357"/>
  <c r="H20" i="6357"/>
  <c r="H14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5" i="6357"/>
  <c r="C32" i="6357"/>
  <c r="H35" i="6357"/>
  <c r="H38" i="6357"/>
  <c r="C40" i="6357"/>
  <c r="H43" i="6357"/>
  <c r="H47" i="6357"/>
  <c r="H7" i="6357"/>
  <c r="H16" i="6357"/>
  <c r="H12" i="6357"/>
  <c r="H24" i="6357"/>
  <c r="H5" i="6357"/>
  <c r="C15" i="6357"/>
  <c r="H13" i="6357"/>
  <c r="H29" i="6357"/>
  <c r="H2" i="6357"/>
  <c r="H3" i="6357"/>
  <c r="H9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3" i="6349"/>
  <c r="O16" i="6353" l="1"/>
  <c r="O23" i="6343"/>
  <c r="O21" i="6337" l="1"/>
  <c r="O17" i="6339"/>
  <c r="O15" i="6349"/>
  <c r="O22" i="6349"/>
  <c r="O19" i="6347" l="1"/>
  <c r="O18" i="6351"/>
  <c r="O18" i="6341" l="1"/>
  <c r="O17" i="6347"/>
  <c r="O18" i="6349"/>
  <c r="O20" i="6349"/>
  <c r="O16" i="6337" l="1"/>
  <c r="O16" i="6351"/>
  <c r="O19" i="6351"/>
  <c r="O18" i="6343"/>
  <c r="O20" i="6341" l="1"/>
  <c r="O20" i="6345"/>
  <c r="O23" i="6345" l="1"/>
  <c r="O22" i="6339"/>
  <c r="O25" i="6349"/>
  <c r="O17" i="6353"/>
  <c r="O15" i="6353"/>
  <c r="O21" i="6351"/>
  <c r="O15" i="6341" l="1"/>
  <c r="O21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20" i="6343"/>
  <c r="O21" i="6339" l="1"/>
  <c r="O22" i="6347"/>
  <c r="O24" i="6347"/>
  <c r="O18" i="6337"/>
  <c r="O17" i="6341"/>
  <c r="O17" i="6343"/>
  <c r="O21" i="6343"/>
  <c r="O17" i="6337"/>
  <c r="O16" i="6341"/>
  <c r="O16" i="6339"/>
  <c r="O22" i="6351"/>
  <c r="O23" i="6351"/>
  <c r="O19" i="6345" l="1"/>
  <c r="O17" i="6345"/>
  <c r="O15" i="6351"/>
  <c r="O17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9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0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8" i="6349"/>
  <c r="H24" i="6349"/>
  <c r="H26" i="6349"/>
  <c r="H37" i="6349"/>
  <c r="H49" i="6349"/>
  <c r="H25" i="6349"/>
  <c r="C19" i="6349"/>
  <c r="H13" i="6349"/>
  <c r="H31" i="6349"/>
  <c r="H22" i="6349"/>
  <c r="C36" i="6349"/>
  <c r="H40" i="6349"/>
  <c r="H43" i="6349"/>
  <c r="C44" i="6349"/>
  <c r="H50" i="6349"/>
  <c r="C17" i="6349"/>
  <c r="H14" i="6349"/>
  <c r="B22" i="6349"/>
  <c r="H32" i="6349"/>
  <c r="H34" i="6349"/>
  <c r="C34" i="6349"/>
  <c r="H38" i="6349"/>
  <c r="H41" i="6349"/>
  <c r="C42" i="6349"/>
  <c r="H46" i="6349"/>
  <c r="H23" i="6349"/>
  <c r="H7" i="6349"/>
  <c r="H17" i="6349"/>
  <c r="C15" i="6349"/>
  <c r="H20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9" i="6349"/>
  <c r="H27" i="6349"/>
  <c r="H28" i="6349"/>
  <c r="H29" i="6349"/>
  <c r="H15" i="6349"/>
  <c r="H8" i="6349"/>
  <c r="H21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4" i="6343"/>
  <c r="H2" i="6343"/>
  <c r="H3" i="6343"/>
  <c r="H10" i="6343"/>
  <c r="H8" i="6343"/>
  <c r="H4" i="6343"/>
  <c r="C42" i="6343"/>
  <c r="C19" i="6343"/>
  <c r="H36" i="6343"/>
  <c r="H23" i="6343"/>
  <c r="H19" i="6343"/>
  <c r="H14" i="6343"/>
  <c r="C21" i="6343"/>
  <c r="H21" i="6343"/>
  <c r="C38" i="6343"/>
  <c r="H6" i="6343"/>
  <c r="H25" i="6343"/>
  <c r="H9" i="6343"/>
  <c r="H12" i="6343"/>
  <c r="H40" i="6343"/>
  <c r="C14" i="6347"/>
  <c r="H7" i="6347"/>
  <c r="H11" i="6347"/>
  <c r="H28" i="6347"/>
  <c r="H9" i="6347"/>
  <c r="H29" i="6347"/>
  <c r="C19" i="6347"/>
  <c r="H14" i="6347"/>
  <c r="H26" i="6347"/>
  <c r="H36" i="6347"/>
  <c r="C36" i="6347"/>
  <c r="H41" i="6347"/>
  <c r="H43" i="6347"/>
  <c r="C44" i="6347"/>
  <c r="H50" i="6347"/>
  <c r="B22" i="6347"/>
  <c r="C34" i="6347"/>
  <c r="H46" i="6347"/>
  <c r="H6" i="6347"/>
  <c r="H18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5" i="6347"/>
  <c r="H23" i="6347"/>
  <c r="C17" i="6347"/>
  <c r="H19" i="6347"/>
  <c r="H24" i="6347"/>
  <c r="H27" i="6347"/>
  <c r="H39" i="6347"/>
  <c r="C42" i="6347"/>
  <c r="H17" i="6347"/>
  <c r="C15" i="6347"/>
  <c r="H21" i="6347"/>
  <c r="H4" i="6347"/>
  <c r="H2" i="6347"/>
  <c r="H12" i="6347"/>
  <c r="H3" i="6347"/>
  <c r="H30" i="6347"/>
  <c r="C18" i="6347"/>
  <c r="C21" i="6347"/>
  <c r="H20" i="6347"/>
  <c r="H35" i="6347"/>
  <c r="H38" i="6347"/>
  <c r="C38" i="6347"/>
  <c r="H42" i="6347"/>
  <c r="H45" i="6347"/>
  <c r="H49" i="6347"/>
  <c r="H52" i="6347"/>
  <c r="B23" i="6347"/>
  <c r="H16" i="6347"/>
  <c r="H31" i="6347"/>
  <c r="H32" i="6347"/>
  <c r="H33" i="6347"/>
  <c r="H13" i="6347"/>
  <c r="H8" i="6347"/>
  <c r="H22" i="6347"/>
  <c r="C33" i="6347"/>
  <c r="C35" i="6347"/>
  <c r="C37" i="6347"/>
  <c r="C39" i="6347"/>
  <c r="C41" i="6347"/>
  <c r="C43" i="6347"/>
  <c r="H47" i="6347"/>
  <c r="H6" i="6345"/>
  <c r="H10" i="6345"/>
  <c r="H12" i="6345"/>
  <c r="H31" i="6345"/>
  <c r="H20" i="6345"/>
  <c r="H9" i="6345"/>
  <c r="H32" i="6345"/>
  <c r="C20" i="6345"/>
  <c r="H37" i="6345"/>
  <c r="C40" i="6345"/>
  <c r="H48" i="6345"/>
  <c r="H35" i="6345"/>
  <c r="C32" i="6345"/>
  <c r="H42" i="6345"/>
  <c r="H5" i="6345"/>
  <c r="H23" i="6345"/>
  <c r="C18" i="6345"/>
  <c r="H15" i="6345"/>
  <c r="H36" i="6345"/>
  <c r="H39" i="6345"/>
  <c r="H44" i="6345"/>
  <c r="H7" i="6345"/>
  <c r="H24" i="6345"/>
  <c r="C21" i="6345"/>
  <c r="H30" i="6345"/>
  <c r="H49" i="6345"/>
  <c r="C15" i="6345"/>
  <c r="H25" i="6345"/>
  <c r="H4" i="6345"/>
  <c r="H2" i="6345"/>
  <c r="H11" i="6345"/>
  <c r="H3" i="6345"/>
  <c r="H26" i="6345"/>
  <c r="C19" i="6345"/>
  <c r="H22" i="6345"/>
  <c r="H16" i="6345"/>
  <c r="H29" i="6345"/>
  <c r="C38" i="6345"/>
  <c r="H45" i="6345"/>
  <c r="H52" i="6345"/>
  <c r="C36" i="6345"/>
  <c r="H40" i="6345"/>
  <c r="H43" i="6345"/>
  <c r="C44" i="6345"/>
  <c r="H50" i="6345"/>
  <c r="C17" i="6345"/>
  <c r="H17" i="6345"/>
  <c r="B22" i="6345"/>
  <c r="H27" i="6345"/>
  <c r="H28" i="6345"/>
  <c r="C34" i="6345"/>
  <c r="H38" i="6345"/>
  <c r="H41" i="6345"/>
  <c r="C42" i="6345"/>
  <c r="H46" i="6345"/>
  <c r="H13" i="6345"/>
  <c r="B23" i="6345"/>
  <c r="H19" i="6345"/>
  <c r="H33" i="6345"/>
  <c r="H34" i="6345"/>
  <c r="H21" i="6345"/>
  <c r="H14" i="6345"/>
  <c r="H8" i="6345"/>
  <c r="H18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2" i="6343"/>
  <c r="B23" i="6343"/>
  <c r="C15" i="6343"/>
  <c r="H16" i="6343"/>
  <c r="C20" i="6343"/>
  <c r="H20" i="6343"/>
  <c r="H30" i="6343"/>
  <c r="H34" i="6343"/>
  <c r="H38" i="6343"/>
  <c r="H42" i="6343"/>
  <c r="H46" i="6343"/>
  <c r="H52" i="6343"/>
  <c r="H15" i="6343"/>
  <c r="H26" i="6343"/>
  <c r="H27" i="6343"/>
  <c r="H28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19" i="6339"/>
  <c r="O20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20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1" i="6339"/>
  <c r="C20" i="6339"/>
  <c r="H22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19" i="6339"/>
  <c r="C33" i="6339"/>
  <c r="C35" i="6339"/>
  <c r="C37" i="6339"/>
  <c r="C39" i="6339"/>
  <c r="C41" i="6339"/>
  <c r="C43" i="6339"/>
  <c r="H47" i="6339"/>
  <c r="H25" i="6337"/>
  <c r="H5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6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9" i="6335"/>
  <c r="H6" i="6335"/>
  <c r="H35" i="6335"/>
  <c r="C19" i="6335"/>
  <c r="H14" i="6335"/>
  <c r="H28" i="6335"/>
  <c r="H29" i="6335"/>
  <c r="C36" i="6335"/>
  <c r="H42" i="6335"/>
  <c r="H44" i="6335"/>
  <c r="C44" i="6335"/>
  <c r="H50" i="6335"/>
  <c r="H20" i="6335"/>
  <c r="C17" i="6335"/>
  <c r="H26" i="6335"/>
  <c r="H31" i="6335"/>
  <c r="H40" i="6335"/>
  <c r="H33" i="6335"/>
  <c r="H34" i="6335"/>
  <c r="H17" i="6335"/>
  <c r="B22" i="6335"/>
  <c r="C34" i="6335"/>
  <c r="C15" i="6335"/>
  <c r="H19" i="6335"/>
  <c r="C20" i="6335"/>
  <c r="H30" i="6335"/>
  <c r="C32" i="6335"/>
  <c r="H39" i="6335"/>
  <c r="H41" i="6335"/>
  <c r="C40" i="6335"/>
  <c r="H45" i="6335"/>
  <c r="H48" i="6335"/>
  <c r="H5" i="6335"/>
  <c r="H24" i="6335"/>
  <c r="H16" i="6335"/>
  <c r="C42" i="6335"/>
  <c r="H7" i="6335"/>
  <c r="H23" i="6335"/>
  <c r="H22" i="6335"/>
  <c r="H4" i="6335"/>
  <c r="H2" i="6335"/>
  <c r="H11" i="6335"/>
  <c r="H3" i="6335"/>
  <c r="H27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3" i="6335"/>
  <c r="H8" i="6335"/>
  <c r="H21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<sst xmlns="http://schemas.openxmlformats.org/spreadsheetml/2006/main" count="3897" uniqueCount="312">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</sst>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全体!$K$2:$K$1013</c:f>
              <c:numCache>
                <c:formatCode>General</c:formatCode>
                <c:ptCount val="10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</c:numCache>
            </c:numRef>
          </c:xVal>
          <c:yVal>
            <c:numRef>
              <c:f>全体!$L$2:$L$1013</c:f>
              <c:numCache>
                <c:formatCode>\+0.0;\-0.0;\±0</c:formatCode>
                <c:ptCount val="101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-7.1054273576010019E-14</c:v>
                </c:pt>
                <c:pt idx="986">
                  <c:v>-7.1054273576010019E-14</c:v>
                </c:pt>
                <c:pt idx="987">
                  <c:v>-7.1054273576010019E-14</c:v>
                </c:pt>
                <c:pt idx="988">
                  <c:v>30.399999999999928</c:v>
                </c:pt>
                <c:pt idx="989">
                  <c:v>45.499999999999929</c:v>
                </c:pt>
                <c:pt idx="990">
                  <c:v>-7.1054273576010019E-14</c:v>
                </c:pt>
                <c:pt idx="991">
                  <c:v>34.59999999999993</c:v>
                </c:pt>
                <c:pt idx="992">
                  <c:v>-11.500000000000071</c:v>
                </c:pt>
                <c:pt idx="993">
                  <c:v>-7.1054273576010019E-14</c:v>
                </c:pt>
                <c:pt idx="994">
                  <c:v>1.299999999999929</c:v>
                </c:pt>
                <c:pt idx="995">
                  <c:v>-15.800000000000072</c:v>
                </c:pt>
                <c:pt idx="996">
                  <c:v>-7.1054273576010019E-14</c:v>
                </c:pt>
                <c:pt idx="997">
                  <c:v>74.099999999999923</c:v>
                </c:pt>
                <c:pt idx="998">
                  <c:v>27.499999999999922</c:v>
                </c:pt>
                <c:pt idx="999">
                  <c:v>-7.815970093361102E-14</c:v>
                </c:pt>
                <c:pt idx="1000">
                  <c:v>62.599999999999923</c:v>
                </c:pt>
                <c:pt idx="1001">
                  <c:v>9.4999999999999218</c:v>
                </c:pt>
                <c:pt idx="1002">
                  <c:v>-7.815970093361102E-14</c:v>
                </c:pt>
                <c:pt idx="1003">
                  <c:v>-52.000000000000078</c:v>
                </c:pt>
                <c:pt idx="1004">
                  <c:v>-55.500000000000078</c:v>
                </c:pt>
                <c:pt idx="1005">
                  <c:v>-7.815970093361102E-14</c:v>
                </c:pt>
                <c:pt idx="1006">
                  <c:v>-7.815970093361102E-14</c:v>
                </c:pt>
                <c:pt idx="1007">
                  <c:v>-7.815970093361102E-14</c:v>
                </c:pt>
                <c:pt idx="1008">
                  <c:v>-7.815970093361102E-14</c:v>
                </c:pt>
                <c:pt idx="1009">
                  <c:v>-45.200000000000081</c:v>
                </c:pt>
                <c:pt idx="1010">
                  <c:v>-28.200000000000081</c:v>
                </c:pt>
                <c:pt idx="1011">
                  <c:v>-8.1712414612411521E-14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-27.027027027027028</c:v>
                </c:pt>
                <c:pt idx="1">
                  <c:v>7.1355759429153922</c:v>
                </c:pt>
                <c:pt idx="2">
                  <c:v>-1.0857763300760044</c:v>
                </c:pt>
                <c:pt idx="3">
                  <c:v>-2.3228803716608595</c:v>
                </c:pt>
                <c:pt idx="4">
                  <c:v>10.062893081761006</c:v>
                </c:pt>
                <c:pt idx="5">
                  <c:v>19.877675840978593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192</c:v>
                </c:pt>
                <c:pt idx="1">
                  <c:v>421</c:v>
                </c:pt>
                <c:pt idx="2">
                  <c:v>473</c:v>
                </c:pt>
                <c:pt idx="3">
                  <c:v>438</c:v>
                </c:pt>
                <c:pt idx="4">
                  <c:v>380</c:v>
                </c:pt>
                <c:pt idx="5">
                  <c:v>263</c:v>
                </c:pt>
                <c:pt idx="6">
                  <c:v>128</c:v>
                </c:pt>
                <c:pt idx="7">
                  <c:v>71</c:v>
                </c:pt>
                <c:pt idx="8">
                  <c:v>31</c:v>
                </c:pt>
                <c:pt idx="9">
                  <c:v>11</c:v>
                </c:pt>
                <c:pt idx="10">
                  <c:v>8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たかの!$L$2:$L$90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1920.4545454545455</c:v>
                </c:pt>
                <c:pt idx="1">
                  <c:v>-2071.2643678160921</c:v>
                </c:pt>
                <c:pt idx="2">
                  <c:v>-1713.0952380952381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44</c:v>
                </c:pt>
                <c:pt idx="2">
                  <c:v>44</c:v>
                </c:pt>
                <c:pt idx="3">
                  <c:v>39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だいち!$L$2:$L$202</c:f>
              <c:numCache>
                <c:formatCode>\+0.0;\-0.0;\±0</c:formatCode>
                <c:ptCount val="20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1804.7999999999997</c:v>
                </c:pt>
                <c:pt idx="200">
                  <c:v>1806.0999999999997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1412.6262626262626</c:v>
                </c:pt>
                <c:pt idx="1">
                  <c:v>1102.5773195876288</c:v>
                </c:pt>
                <c:pt idx="2">
                  <c:v>1235.2941176470588</c:v>
                </c:pt>
                <c:pt idx="3">
                  <c:v>90.804597701149419</c:v>
                </c:pt>
                <c:pt idx="4">
                  <c:v>1893.8271604938273</c:v>
                </c:pt>
                <c:pt idx="5">
                  <c:v>1845.4545454545455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53</c:v>
                </c:pt>
                <c:pt idx="1">
                  <c:v>105</c:v>
                </c:pt>
                <c:pt idx="2">
                  <c:v>110</c:v>
                </c:pt>
                <c:pt idx="3">
                  <c:v>98</c:v>
                </c:pt>
                <c:pt idx="4">
                  <c:v>80</c:v>
                </c:pt>
                <c:pt idx="5">
                  <c:v>55</c:v>
                </c:pt>
                <c:pt idx="6">
                  <c:v>25</c:v>
                </c:pt>
                <c:pt idx="7">
                  <c:v>11</c:v>
                </c:pt>
                <c:pt idx="8">
                  <c:v>10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ただ!$K$2:$K$179</c:f>
              <c:numCache>
                <c:formatCode>General</c:formatCode>
                <c:ptCount val="1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</c:numCache>
            </c:numRef>
          </c:xVal>
          <c:yVal>
            <c:numRef>
              <c:f>ただ!$L$2:$L$179</c:f>
              <c:numCache>
                <c:formatCode>\+0.0;\-0.0;\±0</c:formatCode>
                <c:ptCount val="17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-41.100000000000207</c:v>
                </c:pt>
                <c:pt idx="176">
                  <c:v>-68.600000000000207</c:v>
                </c:pt>
                <c:pt idx="177">
                  <c:v>-6.0000000000002061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-1064.367816091954</c:v>
                </c:pt>
                <c:pt idx="1">
                  <c:v>1276.0233918128654</c:v>
                </c:pt>
                <c:pt idx="2">
                  <c:v>-128.93081761006289</c:v>
                </c:pt>
                <c:pt idx="3">
                  <c:v>148.34437086092714</c:v>
                </c:pt>
                <c:pt idx="4">
                  <c:v>-1659.4202898550725</c:v>
                </c:pt>
                <c:pt idx="5">
                  <c:v>1237.391304347826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37</c:v>
                </c:pt>
                <c:pt idx="1">
                  <c:v>86</c:v>
                </c:pt>
                <c:pt idx="2">
                  <c:v>98</c:v>
                </c:pt>
                <c:pt idx="3">
                  <c:v>92</c:v>
                </c:pt>
                <c:pt idx="4">
                  <c:v>63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-637.37373737373741</c:v>
                </c:pt>
                <c:pt idx="1">
                  <c:v>-893.93939393939399</c:v>
                </c:pt>
                <c:pt idx="2">
                  <c:v>469.89247311827955</c:v>
                </c:pt>
                <c:pt idx="3">
                  <c:v>-779.12087912087907</c:v>
                </c:pt>
                <c:pt idx="4">
                  <c:v>-2894.1860465116279</c:v>
                </c:pt>
                <c:pt idx="5">
                  <c:v>-1877.3333333333333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35</c:v>
                </c:pt>
                <c:pt idx="4">
                  <c:v>39</c:v>
                </c:pt>
                <c:pt idx="5">
                  <c:v>23</c:v>
                </c:pt>
                <c:pt idx="6">
                  <c:v>14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れんたろう!$K$2:$K$153</c:f>
              <c:numCache>
                <c:formatCode>General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れんたろう!$L$2:$L$153</c:f>
              <c:numCache>
                <c:formatCode>\+0.0;\-0.0;\±0</c:formatCode>
                <c:ptCount val="152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570.00000000000057</c:v>
                </c:pt>
                <c:pt idx="151">
                  <c:v>598.20000000000061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1700.6711409395973</c:v>
                </c:pt>
                <c:pt idx="1">
                  <c:v>-1870.344827586207</c:v>
                </c:pt>
                <c:pt idx="2">
                  <c:v>-652.67175572519079</c:v>
                </c:pt>
                <c:pt idx="3">
                  <c:v>2231.404958677686</c:v>
                </c:pt>
                <c:pt idx="4">
                  <c:v>1465.1376146788991</c:v>
                </c:pt>
                <c:pt idx="5">
                  <c:v>520.73170731707319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43</c:v>
                </c:pt>
                <c:pt idx="3">
                  <c:v>61</c:v>
                </c:pt>
                <c:pt idx="4">
                  <c:v>71</c:v>
                </c:pt>
                <c:pt idx="5">
                  <c:v>47</c:v>
                </c:pt>
                <c:pt idx="6">
                  <c:v>25</c:v>
                </c:pt>
                <c:pt idx="7">
                  <c:v>21</c:v>
                </c:pt>
                <c:pt idx="8">
                  <c:v>9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まっつん!$L$2:$L$159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-71.199999999999989</c:v>
                </c:pt>
                <c:pt idx="156">
                  <c:v>-116.69999999999999</c:v>
                </c:pt>
                <c:pt idx="157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592.10526315789468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-922.22222222222217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のり!$L$2:$L$70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-672.40000000000009</c:v>
                </c:pt>
                <c:pt idx="68">
                  <c:v>-655.40000000000009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-3300</c:v>
                </c:pt>
                <c:pt idx="1">
                  <c:v>1758.2089552238806</c:v>
                </c:pt>
                <c:pt idx="2">
                  <c:v>-591.93548387096769</c:v>
                </c:pt>
                <c:pt idx="3">
                  <c:v>-1503.5714285714287</c:v>
                </c:pt>
                <c:pt idx="4">
                  <c:v>-1926.4150943396226</c:v>
                </c:pt>
                <c:pt idx="5">
                  <c:v>-2106.9767441860463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29</c:v>
                </c:pt>
                <c:pt idx="3">
                  <c:v>24</c:v>
                </c:pt>
                <c:pt idx="4">
                  <c:v>21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ぱぱ!$L$2:$L$30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-4259.2592592592591</c:v>
                </c:pt>
                <c:pt idx="1">
                  <c:v>-1315.3846153846155</c:v>
                </c:pt>
                <c:pt idx="2">
                  <c:v>1276</c:v>
                </c:pt>
                <c:pt idx="3">
                  <c:v>-2628</c:v>
                </c:pt>
                <c:pt idx="4">
                  <c:v>4634.782608695652</c:v>
                </c:pt>
                <c:pt idx="5">
                  <c:v>1147.3684210526317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ともき!$L$2:$L$19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-1911.7647058823529</c:v>
                </c:pt>
                <c:pt idx="1">
                  <c:v>-323.52941176470586</c:v>
                </c:pt>
                <c:pt idx="2">
                  <c:v>-1935.2941176470588</c:v>
                </c:pt>
                <c:pt idx="3">
                  <c:v>593.33333333333337</c:v>
                </c:pt>
                <c:pt idx="4">
                  <c:v>-1007.6923076923077</c:v>
                </c:pt>
                <c:pt idx="5">
                  <c:v>4245.454545454545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14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54.5</c:v>
                </c:pt>
                <c:pt idx="11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54.5</c:v>
                </c:pt>
                <c:pt idx="11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171241461241152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たか2!$C$3:$C$14</c:f>
              <c:numCache>
                <c:formatCode>\+0.0;\-0.0;\±0</c:formatCode>
                <c:ptCount val="12"/>
                <c:pt idx="1">
                  <c:v>35</c:v>
                </c:pt>
                <c:pt idx="2">
                  <c:v>9.1999999999999993</c:v>
                </c:pt>
                <c:pt idx="3">
                  <c:v>21.433333333333334</c:v>
                </c:pt>
                <c:pt idx="4">
                  <c:v>27.475000000000001</c:v>
                </c:pt>
                <c:pt idx="5">
                  <c:v>16.940000000000001</c:v>
                </c:pt>
                <c:pt idx="6">
                  <c:v>21.516666666666666</c:v>
                </c:pt>
                <c:pt idx="7">
                  <c:v>12.5</c:v>
                </c:pt>
                <c:pt idx="8">
                  <c:v>13.3125</c:v>
                </c:pt>
                <c:pt idx="9">
                  <c:v>6.0555555555555554</c:v>
                </c:pt>
                <c:pt idx="10">
                  <c:v>5.45</c:v>
                </c:pt>
                <c:pt idx="11">
                  <c:v>0.84545454545454524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82335767795402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たか2!$D$3:$D$14</c:f>
              <c:numCache>
                <c:formatCode>0.00\ "位"</c:formatCode>
                <c:ptCount val="12"/>
                <c:pt idx="1">
                  <c:v>1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1.6666666666666667</c:v>
                </c:pt>
                <c:pt idx="7">
                  <c:v>1.8571428571428572</c:v>
                </c:pt>
                <c:pt idx="8">
                  <c:v>1.75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1.9090909090909092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4065281899109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たか2!$E$3:$E$14</c:f>
              <c:numCache>
                <c:formatCode>0.0%</c:formatCode>
                <c:ptCount val="12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7289812067260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たか2!$F$3:$F$14</c:f>
              <c:numCache>
                <c:formatCode>0.0%</c:formatCode>
                <c:ptCount val="1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355093966369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たか2!$G$3:$G$14</c:f>
              <c:numCache>
                <c:formatCode>0.0%</c:formatCode>
                <c:ptCount val="12"/>
                <c:pt idx="1">
                  <c:v>0.7142857142857143</c:v>
                </c:pt>
                <c:pt idx="2">
                  <c:v>0.46153846153846156</c:v>
                </c:pt>
                <c:pt idx="3">
                  <c:v>0.5</c:v>
                </c:pt>
                <c:pt idx="4">
                  <c:v>0.5</c:v>
                </c:pt>
                <c:pt idx="5">
                  <c:v>0.47222222222222221</c:v>
                </c:pt>
                <c:pt idx="6">
                  <c:v>0.45652173913043476</c:v>
                </c:pt>
                <c:pt idx="7">
                  <c:v>0.38983050847457629</c:v>
                </c:pt>
                <c:pt idx="8">
                  <c:v>0.37681159420289856</c:v>
                </c:pt>
                <c:pt idx="9">
                  <c:v>0.3611111111111111</c:v>
                </c:pt>
                <c:pt idx="10">
                  <c:v>0.3611111111111111</c:v>
                </c:pt>
                <c:pt idx="11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152887610831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たか2!$H$3:$H$14</c:f>
              <c:numCache>
                <c:formatCode>0.0%</c:formatCode>
                <c:ptCount val="12"/>
                <c:pt idx="1">
                  <c:v>0.14285714285714285</c:v>
                </c:pt>
                <c:pt idx="2">
                  <c:v>0.15384615384615385</c:v>
                </c:pt>
                <c:pt idx="3">
                  <c:v>0.125</c:v>
                </c:pt>
                <c:pt idx="4">
                  <c:v>0.1</c:v>
                </c:pt>
                <c:pt idx="5">
                  <c:v>0.16666666666666666</c:v>
                </c:pt>
                <c:pt idx="6">
                  <c:v>0.19565217391304349</c:v>
                </c:pt>
                <c:pt idx="7">
                  <c:v>0.22033898305084745</c:v>
                </c:pt>
                <c:pt idx="8">
                  <c:v>0.2318840579710145</c:v>
                </c:pt>
                <c:pt idx="9">
                  <c:v>0.2361111111111111</c:v>
                </c:pt>
                <c:pt idx="10">
                  <c:v>0.2361111111111111</c:v>
                </c:pt>
                <c:pt idx="11">
                  <c:v>0.24358974358974358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956865564342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たか2!$I$3:$I$14</c:f>
              <c:numCache>
                <c:formatCode>0</c:formatCode>
                <c:ptCount val="12"/>
                <c:pt idx="1">
                  <c:v>7100</c:v>
                </c:pt>
                <c:pt idx="2">
                  <c:v>6783.333333333333</c:v>
                </c:pt>
                <c:pt idx="3">
                  <c:v>7608.333333333333</c:v>
                </c:pt>
                <c:pt idx="4">
                  <c:v>8393.3333333333339</c:v>
                </c:pt>
                <c:pt idx="5">
                  <c:v>8347.0588235294126</c:v>
                </c:pt>
                <c:pt idx="6">
                  <c:v>9138.0952380952385</c:v>
                </c:pt>
                <c:pt idx="7">
                  <c:v>9647.826086956522</c:v>
                </c:pt>
                <c:pt idx="8">
                  <c:v>9534.6153846153848</c:v>
                </c:pt>
                <c:pt idx="9">
                  <c:v>9534.6153846153848</c:v>
                </c:pt>
                <c:pt idx="10">
                  <c:v>9534.6153846153848</c:v>
                </c:pt>
                <c:pt idx="11">
                  <c:v>9534.6153846153848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55.72301425661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たか2!$J$3:$J$14</c:f>
              <c:numCache>
                <c:formatCode>0</c:formatCode>
                <c:ptCount val="12"/>
                <c:pt idx="1">
                  <c:v>-8000</c:v>
                </c:pt>
                <c:pt idx="2">
                  <c:v>-8000</c:v>
                </c:pt>
                <c:pt idx="3">
                  <c:v>-7900</c:v>
                </c:pt>
                <c:pt idx="4">
                  <c:v>-7900</c:v>
                </c:pt>
                <c:pt idx="5">
                  <c:v>-8566.6666666666661</c:v>
                </c:pt>
                <c:pt idx="6">
                  <c:v>-7500</c:v>
                </c:pt>
                <c:pt idx="7">
                  <c:v>-8692.3076923076915</c:v>
                </c:pt>
                <c:pt idx="8">
                  <c:v>-8437.5</c:v>
                </c:pt>
                <c:pt idx="9">
                  <c:v>-9823.5294117647063</c:v>
                </c:pt>
                <c:pt idx="10">
                  <c:v>-9823.5294117647063</c:v>
                </c:pt>
                <c:pt idx="11">
                  <c:v>-10010.526315789473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96.10486891385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92284866468842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たか2!$L$3:$L$14</c:f>
              <c:numCache>
                <c:formatCode>0.0%</c:formatCode>
                <c:ptCount val="12"/>
                <c:pt idx="1">
                  <c:v>0.8571428571428571</c:v>
                </c:pt>
                <c:pt idx="2">
                  <c:v>0.53846153846153844</c:v>
                </c:pt>
                <c:pt idx="3">
                  <c:v>0.45833333333333331</c:v>
                </c:pt>
                <c:pt idx="4">
                  <c:v>0.46666666666666667</c:v>
                </c:pt>
                <c:pt idx="5">
                  <c:v>0.47222222222222221</c:v>
                </c:pt>
                <c:pt idx="6">
                  <c:v>0.43478260869565216</c:v>
                </c:pt>
                <c:pt idx="7">
                  <c:v>0.44067796610169491</c:v>
                </c:pt>
                <c:pt idx="8">
                  <c:v>0.40579710144927539</c:v>
                </c:pt>
                <c:pt idx="9">
                  <c:v>0.3888888888888889</c:v>
                </c:pt>
                <c:pt idx="10">
                  <c:v>0.3888888888888889</c:v>
                </c:pt>
                <c:pt idx="11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778816199376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たか2!$M$3:$M$14</c:f>
              <c:numCache>
                <c:formatCode>0.0%</c:formatCode>
                <c:ptCount val="12"/>
                <c:pt idx="1">
                  <c:v>0.14285714285714285</c:v>
                </c:pt>
                <c:pt idx="2">
                  <c:v>0.15384615384615385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0.19444444444444445</c:v>
                </c:pt>
                <c:pt idx="6">
                  <c:v>0.21739130434782608</c:v>
                </c:pt>
                <c:pt idx="7">
                  <c:v>0.1864406779661017</c:v>
                </c:pt>
                <c:pt idx="8">
                  <c:v>0.15942028985507245</c:v>
                </c:pt>
                <c:pt idx="9">
                  <c:v>0.16666666666666666</c:v>
                </c:pt>
                <c:pt idx="10">
                  <c:v>0.16666666666666666</c:v>
                </c:pt>
                <c:pt idx="11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769230769230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たか2!$N$3:$N$14</c:f>
              <c:numCache>
                <c:formatCode>0.0%</c:formatCode>
                <c:ptCount val="12"/>
                <c:pt idx="1">
                  <c:v>0.66666666666666663</c:v>
                </c:pt>
                <c:pt idx="2">
                  <c:v>0.7142857142857143</c:v>
                </c:pt>
                <c:pt idx="3">
                  <c:v>0.81818181818181823</c:v>
                </c:pt>
                <c:pt idx="4">
                  <c:v>0.7857142857142857</c:v>
                </c:pt>
                <c:pt idx="5">
                  <c:v>0.76470588235294112</c:v>
                </c:pt>
                <c:pt idx="6">
                  <c:v>0.8</c:v>
                </c:pt>
                <c:pt idx="7">
                  <c:v>0.65384615384615385</c:v>
                </c:pt>
                <c:pt idx="8">
                  <c:v>0.6785714285714286</c:v>
                </c:pt>
                <c:pt idx="9">
                  <c:v>0.6785714285714286</c:v>
                </c:pt>
                <c:pt idx="10">
                  <c:v>0.6785714285714286</c:v>
                </c:pt>
                <c:pt idx="11">
                  <c:v>0.6333333333333333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106067845198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たか2!$O$3:$O$14</c:f>
              <c:numCache>
                <c:formatCode>0.0%</c:formatCode>
                <c:ptCount val="12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0.8</c:v>
                </c:pt>
                <c:pt idx="5">
                  <c:v>0.5714285714285714</c:v>
                </c:pt>
                <c:pt idx="6">
                  <c:v>0.5</c:v>
                </c:pt>
                <c:pt idx="7">
                  <c:v>0.45454545454545453</c:v>
                </c:pt>
                <c:pt idx="8">
                  <c:v>0.45454545454545453</c:v>
                </c:pt>
                <c:pt idx="9">
                  <c:v>0.41666666666666669</c:v>
                </c:pt>
                <c:pt idx="10">
                  <c:v>0.41666666666666669</c:v>
                </c:pt>
                <c:pt idx="11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1079958463136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たか2!$P$3:$P$14</c:f>
              <c:numCache>
                <c:formatCode>0.0%</c:formatCode>
                <c:ptCount val="12"/>
                <c:pt idx="1">
                  <c:v>0.4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0.43478260869565216</c:v>
                </c:pt>
                <c:pt idx="8">
                  <c:v>0.46153846153846156</c:v>
                </c:pt>
                <c:pt idx="9">
                  <c:v>0.46153846153846156</c:v>
                </c:pt>
                <c:pt idx="10">
                  <c:v>0.46153846153846156</c:v>
                </c:pt>
                <c:pt idx="11">
                  <c:v>0.46153846153846156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323828920570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5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301</v>
      </c>
      <c r="B95" s="29">
        <v>43846.004641203705</v>
      </c>
      <c r="C95" s="28" t="s">
        <v>128</v>
      </c>
    </row>
    <row r="96" spans="1:9" x14ac:dyDescent="0.45">
      <c r="A96" s="28" t="s">
        <v>302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303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304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305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306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307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308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309</v>
      </c>
      <c r="B103" s="29">
        <v>43859.067962962959</v>
      </c>
      <c r="C103" s="28" t="s">
        <v>128</v>
      </c>
      <c r="D103" s="28" t="s">
        <v>129</v>
      </c>
      <c r="E103" s="28" t="s">
        <v>173</v>
      </c>
      <c r="F103" s="28" t="s">
        <v>174</v>
      </c>
      <c r="G103" s="28" t="s">
        <v>175</v>
      </c>
    </row>
    <row r="104" spans="1:7" x14ac:dyDescent="0.45">
      <c r="A104" s="28" t="s">
        <v>310</v>
      </c>
      <c r="B104" s="29">
        <v>43860.026909722219</v>
      </c>
      <c r="C104" s="28" t="s">
        <v>128</v>
      </c>
      <c r="D104" s="28" t="s">
        <v>129</v>
      </c>
      <c r="E104" s="28" t="s">
        <v>173</v>
      </c>
    </row>
    <row r="105" spans="1:7" x14ac:dyDescent="0.45">
      <c r="A105" s="28" t="s">
        <v>311</v>
      </c>
      <c r="B105" s="29">
        <v>43860.993877314817</v>
      </c>
      <c r="C105" s="28" t="s">
        <v>128</v>
      </c>
      <c r="D105" s="28" t="s">
        <v>129</v>
      </c>
      <c r="E105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1011</v>
      </c>
    </row>
    <row r="2" spans="1:2" x14ac:dyDescent="0.45">
      <c r="A2" t="s">
        <v>161</v>
      </c>
      <c r="B2">
        <v>88</v>
      </c>
    </row>
    <row r="3" spans="1:2" x14ac:dyDescent="0.45">
      <c r="A3" t="s">
        <v>126</v>
      </c>
      <c r="B3">
        <v>200</v>
      </c>
    </row>
    <row r="4" spans="1:2" x14ac:dyDescent="0.45">
      <c r="A4" t="s">
        <v>127</v>
      </c>
      <c r="B4">
        <v>177</v>
      </c>
    </row>
    <row r="5" spans="1:2" x14ac:dyDescent="0.45">
      <c r="A5" t="s">
        <v>172</v>
      </c>
      <c r="B5">
        <v>100</v>
      </c>
    </row>
    <row r="6" spans="1:2" x14ac:dyDescent="0.45">
      <c r="A6" t="s">
        <v>170</v>
      </c>
      <c r="B6">
        <v>151</v>
      </c>
    </row>
    <row r="7" spans="1:2" x14ac:dyDescent="0.45">
      <c r="A7" t="s">
        <v>171</v>
      </c>
      <c r="B7">
        <v>157</v>
      </c>
    </row>
    <row r="8" spans="1:2" x14ac:dyDescent="0.45">
      <c r="A8" t="s">
        <v>197</v>
      </c>
      <c r="B8">
        <v>68</v>
      </c>
    </row>
    <row r="9" spans="1:2" x14ac:dyDescent="0.45">
      <c r="A9" t="s">
        <v>196</v>
      </c>
      <c r="B9">
        <v>28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17</v>
      </c>
    </row>
    <row r="13" spans="1:2" x14ac:dyDescent="0.45">
      <c r="A13" t="s">
        <v>281</v>
      </c>
      <c r="B13">
        <v>11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0.97744299948653346</v>
      </c>
      <c r="G2" s="167"/>
      <c r="H2" s="166">
        <v>0.76793261015125869</v>
      </c>
      <c r="I2" s="167"/>
      <c r="J2" s="166">
        <v>0.73732304670713578</v>
      </c>
      <c r="K2" s="167"/>
      <c r="L2" s="166">
        <v>0.60567566103980564</v>
      </c>
      <c r="M2" s="167"/>
      <c r="N2" s="166">
        <v>0.26324430263681858</v>
      </c>
      <c r="O2" s="167"/>
      <c r="P2" s="166">
        <v>0.43058549399394469</v>
      </c>
      <c r="Q2" s="167"/>
      <c r="R2" s="166">
        <v>-0.12904528945824936</v>
      </c>
      <c r="S2" s="167"/>
      <c r="T2" s="166">
        <v>0.25569283878977012</v>
      </c>
      <c r="U2" s="167"/>
      <c r="V2" s="166">
        <v>0.40129143716102755</v>
      </c>
      <c r="W2" s="167"/>
      <c r="X2" s="166">
        <v>1.6709414742567662E-2</v>
      </c>
      <c r="Y2" s="167"/>
      <c r="Z2" s="166">
        <v>0.43176930137840175</v>
      </c>
      <c r="AA2" s="167"/>
      <c r="AB2" s="166">
        <v>8.1769240415971084E-2</v>
      </c>
      <c r="AC2" s="167"/>
      <c r="AD2" s="166">
        <v>-0.15540242415031072</v>
      </c>
      <c r="AE2" s="167"/>
      <c r="AF2" s="166">
        <v>0.71981111617562676</v>
      </c>
      <c r="AG2" s="167"/>
    </row>
    <row r="3" spans="1:33" x14ac:dyDescent="0.45">
      <c r="A3" s="70">
        <v>1</v>
      </c>
      <c r="B3" s="71" t="s">
        <v>126</v>
      </c>
      <c r="C3" s="72">
        <v>1806.0999999999997</v>
      </c>
      <c r="D3" s="73" t="s">
        <v>203</v>
      </c>
      <c r="E3" s="92">
        <v>13.1</v>
      </c>
      <c r="F3" s="73" t="s">
        <v>203</v>
      </c>
      <c r="G3" s="74">
        <v>1.5</v>
      </c>
      <c r="H3" s="73" t="s">
        <v>281</v>
      </c>
      <c r="I3" s="75">
        <v>0.54545454545454541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11175</v>
      </c>
      <c r="R3" s="73" t="s">
        <v>196</v>
      </c>
      <c r="S3" s="77">
        <v>-7120</v>
      </c>
      <c r="T3" s="73" t="s">
        <v>203</v>
      </c>
      <c r="U3" s="75">
        <v>0</v>
      </c>
      <c r="V3" s="73" t="s">
        <v>281</v>
      </c>
      <c r="W3" s="76">
        <v>0.38461538461538464</v>
      </c>
      <c r="X3" s="73" t="s">
        <v>228</v>
      </c>
      <c r="Y3" s="76">
        <v>0.35483870967741937</v>
      </c>
      <c r="Z3" s="73" t="s">
        <v>281</v>
      </c>
      <c r="AA3" s="76">
        <v>0.6333333333333333</v>
      </c>
      <c r="AB3" s="73" t="s">
        <v>203</v>
      </c>
      <c r="AC3" s="76">
        <v>1</v>
      </c>
      <c r="AD3" s="73" t="s">
        <v>196</v>
      </c>
      <c r="AE3" s="76">
        <v>0.5757575757575758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598.20000000000061</v>
      </c>
      <c r="D4" s="81" t="s">
        <v>126</v>
      </c>
      <c r="E4" s="93">
        <v>9.0304999999999982</v>
      </c>
      <c r="F4" s="81" t="s">
        <v>126</v>
      </c>
      <c r="G4" s="82">
        <v>1.77</v>
      </c>
      <c r="H4" s="81" t="s">
        <v>203</v>
      </c>
      <c r="I4" s="83">
        <v>0.5</v>
      </c>
      <c r="J4" s="81" t="s">
        <v>126</v>
      </c>
      <c r="K4" s="83">
        <v>0.24</v>
      </c>
      <c r="L4" s="81" t="s">
        <v>274</v>
      </c>
      <c r="M4" s="84">
        <v>0.35616438356164382</v>
      </c>
      <c r="N4" s="81" t="s">
        <v>126</v>
      </c>
      <c r="O4" s="84">
        <v>0.1241631162507608</v>
      </c>
      <c r="P4" s="81" t="s">
        <v>281</v>
      </c>
      <c r="Q4" s="85">
        <v>9534.6153846153848</v>
      </c>
      <c r="R4" s="81" t="s">
        <v>171</v>
      </c>
      <c r="S4" s="85">
        <v>-7195.4802259887001</v>
      </c>
      <c r="T4" s="81" t="s">
        <v>126</v>
      </c>
      <c r="U4" s="83">
        <v>4.4999999999999998E-2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0.58823529411764708</v>
      </c>
      <c r="AB4" s="81" t="s">
        <v>274</v>
      </c>
      <c r="AC4" s="84">
        <v>0.76470588235294112</v>
      </c>
      <c r="AD4" s="81" t="s">
        <v>274</v>
      </c>
      <c r="AE4" s="84">
        <v>0.51923076923076927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203</v>
      </c>
      <c r="C5" s="80">
        <v>26.2</v>
      </c>
      <c r="D5" s="81" t="s">
        <v>170</v>
      </c>
      <c r="E5" s="93">
        <v>3.9615894039735138</v>
      </c>
      <c r="F5" s="81" t="s">
        <v>281</v>
      </c>
      <c r="G5" s="82">
        <v>1.9090909090909092</v>
      </c>
      <c r="H5" s="81" t="s">
        <v>126</v>
      </c>
      <c r="I5" s="83">
        <v>0.47</v>
      </c>
      <c r="J5" s="81" t="s">
        <v>171</v>
      </c>
      <c r="K5" s="83">
        <v>0.29936305732484075</v>
      </c>
      <c r="L5" s="81" t="s">
        <v>126</v>
      </c>
      <c r="M5" s="84">
        <v>0.3408399269628728</v>
      </c>
      <c r="N5" s="81" t="s">
        <v>171</v>
      </c>
      <c r="O5" s="84">
        <v>0.14025356576862125</v>
      </c>
      <c r="P5" s="81" t="s">
        <v>280</v>
      </c>
      <c r="Q5" s="85">
        <v>8512.5</v>
      </c>
      <c r="R5" s="81" t="s">
        <v>161</v>
      </c>
      <c r="S5" s="85">
        <v>-7540.9448818897636</v>
      </c>
      <c r="T5" s="81" t="s">
        <v>161</v>
      </c>
      <c r="U5" s="83">
        <v>7.9545454545454544E-2</v>
      </c>
      <c r="V5" s="81" t="s">
        <v>274</v>
      </c>
      <c r="W5" s="84">
        <v>0.34931506849315069</v>
      </c>
      <c r="X5" s="81" t="s">
        <v>127</v>
      </c>
      <c r="Y5" s="84">
        <v>0.29876373626373626</v>
      </c>
      <c r="Z5" s="81" t="s">
        <v>126</v>
      </c>
      <c r="AA5" s="84">
        <v>0.58101851851851849</v>
      </c>
      <c r="AB5" s="81" t="s">
        <v>126</v>
      </c>
      <c r="AC5" s="84">
        <v>0.48320413436692505</v>
      </c>
      <c r="AD5" s="81" t="s">
        <v>170</v>
      </c>
      <c r="AE5" s="84">
        <v>0.51219512195121952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281</v>
      </c>
      <c r="C6" s="80">
        <v>9.2999999999999972</v>
      </c>
      <c r="D6" s="81" t="s">
        <v>281</v>
      </c>
      <c r="E6" s="93">
        <v>0.84545454545454524</v>
      </c>
      <c r="F6" s="81" t="s">
        <v>170</v>
      </c>
      <c r="G6" s="82">
        <v>1.9205298013245033</v>
      </c>
      <c r="H6" s="81" t="s">
        <v>228</v>
      </c>
      <c r="I6" s="83">
        <v>0.42857142857142855</v>
      </c>
      <c r="J6" s="81" t="s">
        <v>127</v>
      </c>
      <c r="K6" s="83">
        <v>0.31638418079096048</v>
      </c>
      <c r="L6" s="81" t="s">
        <v>281</v>
      </c>
      <c r="M6" s="84">
        <v>0.33333333333333331</v>
      </c>
      <c r="N6" s="81" t="s">
        <v>141</v>
      </c>
      <c r="O6" s="84">
        <v>0.15995686556434219</v>
      </c>
      <c r="P6" s="81" t="s">
        <v>171</v>
      </c>
      <c r="Q6" s="85">
        <v>8511.1428571428569</v>
      </c>
      <c r="R6" s="81" t="s">
        <v>126</v>
      </c>
      <c r="S6" s="85">
        <v>-7767.6470588235297</v>
      </c>
      <c r="T6" s="81" t="s">
        <v>172</v>
      </c>
      <c r="U6" s="83">
        <v>0.08</v>
      </c>
      <c r="V6" s="81" t="s">
        <v>170</v>
      </c>
      <c r="W6" s="84">
        <v>0.29623430962343095</v>
      </c>
      <c r="X6" s="81" t="s">
        <v>161</v>
      </c>
      <c r="Y6" s="84">
        <v>0.26282051282051283</v>
      </c>
      <c r="Z6" s="81" t="s">
        <v>196</v>
      </c>
      <c r="AA6" s="84">
        <v>0.56716417910447758</v>
      </c>
      <c r="AB6" s="81" t="s">
        <v>197</v>
      </c>
      <c r="AC6" s="84">
        <v>0.44444444444444442</v>
      </c>
      <c r="AD6" s="81" t="s">
        <v>172</v>
      </c>
      <c r="AE6" s="84">
        <v>0.46724890829694321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-8.1712414612411521E-14</v>
      </c>
      <c r="D7" s="81" t="s">
        <v>141</v>
      </c>
      <c r="E7" s="93">
        <v>-8.0823357677954028E-17</v>
      </c>
      <c r="F7" s="81" t="s">
        <v>127</v>
      </c>
      <c r="G7" s="82">
        <v>1.9717514124293785</v>
      </c>
      <c r="H7" s="81" t="s">
        <v>170</v>
      </c>
      <c r="I7" s="83">
        <v>0.39735099337748342</v>
      </c>
      <c r="J7" s="81" t="s">
        <v>170</v>
      </c>
      <c r="K7" s="83">
        <v>0.31788079470198677</v>
      </c>
      <c r="L7" s="81" t="s">
        <v>127</v>
      </c>
      <c r="M7" s="84">
        <v>0.31456043956043955</v>
      </c>
      <c r="N7" s="81" t="s">
        <v>161</v>
      </c>
      <c r="O7" s="84">
        <v>0.16282051282051282</v>
      </c>
      <c r="P7" s="81" t="s">
        <v>141</v>
      </c>
      <c r="Q7" s="85">
        <v>8455.7230142566186</v>
      </c>
      <c r="R7" s="81" t="s">
        <v>172</v>
      </c>
      <c r="S7" s="85">
        <v>-7813.9240506329115</v>
      </c>
      <c r="T7" s="81" t="s">
        <v>171</v>
      </c>
      <c r="U7" s="83">
        <v>8.2802547770700632E-2</v>
      </c>
      <c r="V7" s="81" t="s">
        <v>172</v>
      </c>
      <c r="W7" s="84">
        <v>0.27346465816917731</v>
      </c>
      <c r="X7" s="81" t="s">
        <v>126</v>
      </c>
      <c r="Y7" s="84">
        <v>0.23554473524041389</v>
      </c>
      <c r="Z7" s="81" t="s">
        <v>171</v>
      </c>
      <c r="AA7" s="84">
        <v>0.54798761609907121</v>
      </c>
      <c r="AB7" s="81" t="s">
        <v>141</v>
      </c>
      <c r="AC7" s="84">
        <v>0.42107995846313601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127</v>
      </c>
      <c r="C8" s="80">
        <v>-6.0000000000002061</v>
      </c>
      <c r="D8" s="81" t="s">
        <v>127</v>
      </c>
      <c r="E8" s="93">
        <v>-3.3898305084746928E-2</v>
      </c>
      <c r="F8" s="81" t="s">
        <v>141</v>
      </c>
      <c r="G8" s="82">
        <v>1.9940652818991098</v>
      </c>
      <c r="H8" s="81" t="s">
        <v>196</v>
      </c>
      <c r="I8" s="83">
        <v>0.35714285714285715</v>
      </c>
      <c r="J8" s="81" t="s">
        <v>141</v>
      </c>
      <c r="K8" s="83">
        <v>0.33135509396636992</v>
      </c>
      <c r="L8" s="81" t="s">
        <v>141</v>
      </c>
      <c r="M8" s="84">
        <v>0.29415288761083153</v>
      </c>
      <c r="N8" s="81" t="s">
        <v>274</v>
      </c>
      <c r="O8" s="84">
        <v>0.16438356164383561</v>
      </c>
      <c r="P8" s="81" t="s">
        <v>197</v>
      </c>
      <c r="Q8" s="85">
        <v>8298.6013986013986</v>
      </c>
      <c r="R8" s="81" t="s">
        <v>274</v>
      </c>
      <c r="S8" s="85">
        <v>-7895.833333333333</v>
      </c>
      <c r="T8" s="81" t="s">
        <v>141</v>
      </c>
      <c r="U8" s="83">
        <v>9.7922848664688422E-2</v>
      </c>
      <c r="V8" s="81" t="s">
        <v>203</v>
      </c>
      <c r="W8" s="84">
        <v>0.26666666666666666</v>
      </c>
      <c r="X8" s="81" t="s">
        <v>141</v>
      </c>
      <c r="Y8" s="84">
        <v>0.23076923076923078</v>
      </c>
      <c r="Z8" s="81" t="s">
        <v>141</v>
      </c>
      <c r="AA8" s="84">
        <v>0.54610606784519833</v>
      </c>
      <c r="AB8" s="81" t="s">
        <v>171</v>
      </c>
      <c r="AC8" s="84">
        <v>0.41811846689895471</v>
      </c>
      <c r="AD8" s="81" t="s">
        <v>171</v>
      </c>
      <c r="AE8" s="84">
        <v>0.46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274</v>
      </c>
      <c r="C9" s="80">
        <v>-30.700000000000003</v>
      </c>
      <c r="D9" s="81" t="s">
        <v>171</v>
      </c>
      <c r="E9" s="93">
        <v>-0.52292993630573248</v>
      </c>
      <c r="F9" s="81" t="s">
        <v>274</v>
      </c>
      <c r="G9" s="82">
        <v>2</v>
      </c>
      <c r="H9" s="81" t="s">
        <v>274</v>
      </c>
      <c r="I9" s="83">
        <v>0.35294117647058826</v>
      </c>
      <c r="J9" s="81" t="s">
        <v>274</v>
      </c>
      <c r="K9" s="83">
        <v>0.35294117647058826</v>
      </c>
      <c r="L9" s="81" t="s">
        <v>171</v>
      </c>
      <c r="M9" s="84">
        <v>0.27733755942947702</v>
      </c>
      <c r="N9" s="81" t="s">
        <v>170</v>
      </c>
      <c r="O9" s="84">
        <v>0.17322175732217573</v>
      </c>
      <c r="P9" s="81" t="s">
        <v>126</v>
      </c>
      <c r="Q9" s="85">
        <v>8258.75</v>
      </c>
      <c r="R9" s="81" t="s">
        <v>141</v>
      </c>
      <c r="S9" s="85">
        <v>-7896.1048689138579</v>
      </c>
      <c r="T9" s="81" t="s">
        <v>127</v>
      </c>
      <c r="U9" s="83">
        <v>0.10169491525423729</v>
      </c>
      <c r="V9" s="81" t="s">
        <v>126</v>
      </c>
      <c r="W9" s="84">
        <v>0.26293365794278756</v>
      </c>
      <c r="X9" s="81" t="s">
        <v>197</v>
      </c>
      <c r="Y9" s="84">
        <v>0.22950819672131148</v>
      </c>
      <c r="Z9" s="81" t="s">
        <v>170</v>
      </c>
      <c r="AA9" s="84">
        <v>0.5423728813559322</v>
      </c>
      <c r="AB9" s="81" t="s">
        <v>172</v>
      </c>
      <c r="AC9" s="84">
        <v>0.40606060606060607</v>
      </c>
      <c r="AD9" s="81" t="s">
        <v>197</v>
      </c>
      <c r="AE9" s="84">
        <v>0.45454545454545453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280</v>
      </c>
      <c r="C10" s="80">
        <v>-80.800000000000011</v>
      </c>
      <c r="D10" s="81" t="s">
        <v>274</v>
      </c>
      <c r="E10" s="93">
        <v>-1.8058823529411767</v>
      </c>
      <c r="F10" s="81" t="s">
        <v>171</v>
      </c>
      <c r="G10" s="82">
        <v>2.0382165605095541</v>
      </c>
      <c r="H10" s="81" t="s">
        <v>127</v>
      </c>
      <c r="I10" s="83">
        <v>0.34463276836158191</v>
      </c>
      <c r="J10" s="81" t="s">
        <v>172</v>
      </c>
      <c r="K10" s="83">
        <v>0.4</v>
      </c>
      <c r="L10" s="81" t="s">
        <v>170</v>
      </c>
      <c r="M10" s="84">
        <v>0.27447698744769872</v>
      </c>
      <c r="N10" s="81" t="s">
        <v>196</v>
      </c>
      <c r="O10" s="84">
        <v>0.17509727626459143</v>
      </c>
      <c r="P10" s="81" t="s">
        <v>196</v>
      </c>
      <c r="Q10" s="85">
        <v>8150</v>
      </c>
      <c r="R10" s="81" t="s">
        <v>127</v>
      </c>
      <c r="S10" s="85">
        <v>-7970.3125</v>
      </c>
      <c r="T10" s="81" t="s">
        <v>170</v>
      </c>
      <c r="U10" s="83">
        <v>0.12582781456953643</v>
      </c>
      <c r="V10" s="81" t="s">
        <v>196</v>
      </c>
      <c r="W10" s="84">
        <v>0.26070038910505838</v>
      </c>
      <c r="X10" s="81" t="s">
        <v>171</v>
      </c>
      <c r="Y10" s="84">
        <v>0.22741679873217116</v>
      </c>
      <c r="Z10" s="81" t="s">
        <v>172</v>
      </c>
      <c r="AA10" s="84">
        <v>0.53813559322033899</v>
      </c>
      <c r="AB10" s="81" t="s">
        <v>161</v>
      </c>
      <c r="AC10" s="84">
        <v>0.39512195121951221</v>
      </c>
      <c r="AD10" s="81" t="s">
        <v>141</v>
      </c>
      <c r="AE10" s="84">
        <v>0.45132382892057027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171</v>
      </c>
      <c r="C11" s="80">
        <v>-82.1</v>
      </c>
      <c r="D11" s="81" t="s">
        <v>196</v>
      </c>
      <c r="E11" s="93">
        <v>-4.6285714285714281</v>
      </c>
      <c r="F11" s="81" t="s">
        <v>196</v>
      </c>
      <c r="G11" s="82">
        <v>2.0714285714285716</v>
      </c>
      <c r="H11" s="81" t="s">
        <v>141</v>
      </c>
      <c r="I11" s="83">
        <v>0.33728981206726016</v>
      </c>
      <c r="J11" s="81" t="s">
        <v>280</v>
      </c>
      <c r="K11" s="83">
        <v>0.4</v>
      </c>
      <c r="L11" s="81" t="s">
        <v>161</v>
      </c>
      <c r="M11" s="84">
        <v>0.27307692307692305</v>
      </c>
      <c r="N11" s="81" t="s">
        <v>127</v>
      </c>
      <c r="O11" s="84">
        <v>0.17582417582417584</v>
      </c>
      <c r="P11" s="81" t="s">
        <v>127</v>
      </c>
      <c r="Q11" s="85">
        <v>7938.6462882096066</v>
      </c>
      <c r="R11" s="81" t="s">
        <v>280</v>
      </c>
      <c r="S11" s="85">
        <v>-7987.5</v>
      </c>
      <c r="T11" s="81" t="s">
        <v>197</v>
      </c>
      <c r="U11" s="83">
        <v>0.14705882352941177</v>
      </c>
      <c r="V11" s="81" t="s">
        <v>171</v>
      </c>
      <c r="W11" s="84">
        <v>0.25594294770206022</v>
      </c>
      <c r="X11" s="81" t="s">
        <v>172</v>
      </c>
      <c r="Y11" s="84">
        <v>0.19119351100811124</v>
      </c>
      <c r="Z11" s="81" t="s">
        <v>161</v>
      </c>
      <c r="AA11" s="84">
        <v>0.53636363636363638</v>
      </c>
      <c r="AB11" s="81" t="s">
        <v>127</v>
      </c>
      <c r="AC11" s="84">
        <v>0.39310344827586208</v>
      </c>
      <c r="AD11" s="81" t="s">
        <v>161</v>
      </c>
      <c r="AE11" s="84">
        <v>0.43661971830985913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-6.792045454545458</v>
      </c>
      <c r="F12" s="81" t="s">
        <v>228</v>
      </c>
      <c r="G12" s="82">
        <v>2.1428571428571428</v>
      </c>
      <c r="H12" s="81" t="s">
        <v>161</v>
      </c>
      <c r="I12" s="83">
        <v>0.28409090909090912</v>
      </c>
      <c r="J12" s="81" t="s">
        <v>197</v>
      </c>
      <c r="K12" s="83">
        <v>0.41176470588235292</v>
      </c>
      <c r="L12" s="81" t="s">
        <v>172</v>
      </c>
      <c r="M12" s="84">
        <v>0.26535341830822712</v>
      </c>
      <c r="N12" s="81" t="s">
        <v>197</v>
      </c>
      <c r="O12" s="84">
        <v>0.1766848816029144</v>
      </c>
      <c r="P12" s="81" t="s">
        <v>172</v>
      </c>
      <c r="Q12" s="85">
        <v>7835.8078602620089</v>
      </c>
      <c r="R12" s="81" t="s">
        <v>203</v>
      </c>
      <c r="S12" s="85">
        <v>-8000</v>
      </c>
      <c r="T12" s="81" t="s">
        <v>274</v>
      </c>
      <c r="U12" s="83">
        <v>0.17647058823529413</v>
      </c>
      <c r="V12" s="81" t="s">
        <v>141</v>
      </c>
      <c r="W12" s="84">
        <v>0.25077881619937692</v>
      </c>
      <c r="X12" s="81" t="s">
        <v>170</v>
      </c>
      <c r="Y12" s="84">
        <v>0.18326359832635983</v>
      </c>
      <c r="Z12" s="81" t="s">
        <v>228</v>
      </c>
      <c r="AA12" s="84">
        <v>0.53333333333333333</v>
      </c>
      <c r="AB12" s="81" t="s">
        <v>281</v>
      </c>
      <c r="AC12" s="84">
        <v>0.38461538461538464</v>
      </c>
      <c r="AD12" s="81" t="s">
        <v>126</v>
      </c>
      <c r="AE12" s="84">
        <v>0.42321428571428571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196</v>
      </c>
      <c r="C13" s="80">
        <v>-129.6</v>
      </c>
      <c r="D13" s="81" t="s">
        <v>172</v>
      </c>
      <c r="E13" s="93">
        <v>-7.5269999999999992</v>
      </c>
      <c r="F13" s="81" t="s">
        <v>161</v>
      </c>
      <c r="G13" s="82">
        <v>2.1590909090909092</v>
      </c>
      <c r="H13" s="81" t="s">
        <v>171</v>
      </c>
      <c r="I13" s="83">
        <v>0.26114649681528662</v>
      </c>
      <c r="J13" s="81" t="s">
        <v>196</v>
      </c>
      <c r="K13" s="83">
        <v>0.42857142857142855</v>
      </c>
      <c r="L13" s="81" t="s">
        <v>197</v>
      </c>
      <c r="M13" s="84">
        <v>0.26047358834244078</v>
      </c>
      <c r="N13" s="81" t="s">
        <v>172</v>
      </c>
      <c r="O13" s="84">
        <v>0.18308227114716108</v>
      </c>
      <c r="P13" s="81" t="s">
        <v>228</v>
      </c>
      <c r="Q13" s="85">
        <v>7473.333333333333</v>
      </c>
      <c r="R13" s="81" t="s">
        <v>170</v>
      </c>
      <c r="S13" s="85">
        <v>-8402.4154589371974</v>
      </c>
      <c r="T13" s="81" t="s">
        <v>196</v>
      </c>
      <c r="U13" s="83">
        <v>0.17857142857142858</v>
      </c>
      <c r="V13" s="81" t="s">
        <v>228</v>
      </c>
      <c r="W13" s="84">
        <v>0.24193548387096775</v>
      </c>
      <c r="X13" s="81" t="s">
        <v>281</v>
      </c>
      <c r="Y13" s="84">
        <v>0.16666666666666666</v>
      </c>
      <c r="Z13" s="81" t="s">
        <v>127</v>
      </c>
      <c r="AA13" s="84">
        <v>0.51327433628318586</v>
      </c>
      <c r="AB13" s="81" t="s">
        <v>170</v>
      </c>
      <c r="AC13" s="84">
        <v>0.38356164383561642</v>
      </c>
      <c r="AD13" s="81" t="s">
        <v>127</v>
      </c>
      <c r="AE13" s="84">
        <v>0.41703056768558949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-597.70000000000027</v>
      </c>
      <c r="D14" s="81" t="s">
        <v>197</v>
      </c>
      <c r="E14" s="93">
        <v>-9.6382352941176492</v>
      </c>
      <c r="F14" s="81" t="s">
        <v>172</v>
      </c>
      <c r="G14" s="82">
        <v>2.19</v>
      </c>
      <c r="H14" s="81" t="s">
        <v>172</v>
      </c>
      <c r="I14" s="83">
        <v>0.21</v>
      </c>
      <c r="J14" s="81" t="s">
        <v>161</v>
      </c>
      <c r="K14" s="83">
        <v>0.44318181818181818</v>
      </c>
      <c r="L14" s="81" t="s">
        <v>196</v>
      </c>
      <c r="M14" s="84">
        <v>0.25680933852140075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-8558.7628865979386</v>
      </c>
      <c r="T14" s="81" t="s">
        <v>281</v>
      </c>
      <c r="U14" s="83">
        <v>0.18181818181818182</v>
      </c>
      <c r="V14" s="81" t="s">
        <v>127</v>
      </c>
      <c r="W14" s="84">
        <v>0.23282967032967034</v>
      </c>
      <c r="X14" s="81" t="s">
        <v>196</v>
      </c>
      <c r="Y14" s="84">
        <v>0.1517509727626459</v>
      </c>
      <c r="Z14" s="81" t="s">
        <v>197</v>
      </c>
      <c r="AA14" s="84">
        <v>0.51282051282051277</v>
      </c>
      <c r="AB14" s="81" t="s">
        <v>196</v>
      </c>
      <c r="AC14" s="84">
        <v>0.35897435897435898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-655.40000000000009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281</v>
      </c>
      <c r="K15" s="83">
        <v>0.45454545454545453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7107.9812206572769</v>
      </c>
      <c r="R15" s="81" t="s">
        <v>228</v>
      </c>
      <c r="S15" s="85">
        <v>-9075</v>
      </c>
      <c r="T15" s="81" t="s">
        <v>280</v>
      </c>
      <c r="U15" s="83">
        <v>0.2</v>
      </c>
      <c r="V15" s="81" t="s">
        <v>197</v>
      </c>
      <c r="W15" s="84">
        <v>0.21311475409836064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-752.69999999999993</v>
      </c>
      <c r="D16" s="81" t="s">
        <v>280</v>
      </c>
      <c r="E16" s="93">
        <v>-16.160000000000004</v>
      </c>
      <c r="F16" s="81" t="s">
        <v>197</v>
      </c>
      <c r="G16" s="82">
        <v>2.2352941176470589</v>
      </c>
      <c r="H16" s="81" t="s">
        <v>197</v>
      </c>
      <c r="I16" s="83">
        <v>0.17647058823529413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0.24358974358974358</v>
      </c>
      <c r="P16" s="81" t="s">
        <v>274</v>
      </c>
      <c r="Q16" s="85">
        <v>6555.7692307692305</v>
      </c>
      <c r="R16" s="81" t="s">
        <v>281</v>
      </c>
      <c r="S16" s="85">
        <v>-10010.526315789473</v>
      </c>
      <c r="T16" s="81" t="s">
        <v>228</v>
      </c>
      <c r="U16" s="83">
        <v>0.5714285714285714</v>
      </c>
      <c r="V16" s="81" t="s">
        <v>161</v>
      </c>
      <c r="W16" s="84">
        <v>0.14102564102564102</v>
      </c>
      <c r="X16" s="81" t="s">
        <v>274</v>
      </c>
      <c r="Y16" s="84">
        <v>0.11643835616438356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101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1011</v>
      </c>
      <c r="C2" s="155"/>
      <c r="E2" s="58" t="s">
        <v>66</v>
      </c>
      <c r="F2" s="55" t="s">
        <v>22</v>
      </c>
      <c r="G2" s="43">
        <v>1829</v>
      </c>
      <c r="H2" s="128">
        <f>IF(B$15=0,0,G2/B$15)</f>
        <v>0.74501018329938895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-27.027027027027028</v>
      </c>
      <c r="P2" s="114">
        <v>999</v>
      </c>
      <c r="Q2" s="98">
        <v>-27000</v>
      </c>
    </row>
    <row r="3" spans="1:17" x14ac:dyDescent="0.45">
      <c r="A3" s="51" t="s">
        <v>8</v>
      </c>
      <c r="B3" s="156">
        <v>8346</v>
      </c>
      <c r="C3" s="157"/>
      <c r="E3" s="59" t="s">
        <v>72</v>
      </c>
      <c r="F3" s="56" t="s">
        <v>27</v>
      </c>
      <c r="G3" s="44">
        <v>1330</v>
      </c>
      <c r="H3" s="129">
        <f>IF(B$15=0,0,G3/B$15)</f>
        <v>0.5417515274949084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7.1355759429153922</v>
      </c>
      <c r="P3" s="115">
        <v>981</v>
      </c>
      <c r="Q3" s="99">
        <v>7000</v>
      </c>
    </row>
    <row r="4" spans="1:17" x14ac:dyDescent="0.45">
      <c r="A4" s="51" t="s">
        <v>6</v>
      </c>
      <c r="B4" s="158">
        <v>-8.1712414612411521E-14</v>
      </c>
      <c r="C4" s="159"/>
      <c r="E4" s="59" t="s">
        <v>64</v>
      </c>
      <c r="F4" s="56" t="s">
        <v>20</v>
      </c>
      <c r="G4" s="44">
        <v>1107</v>
      </c>
      <c r="H4" s="129">
        <f>IF(B$15=0,0,G4/B$15)</f>
        <v>0.45091649694501018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-1.0857763300760044</v>
      </c>
      <c r="P4" s="115">
        <v>921</v>
      </c>
      <c r="Q4" s="99">
        <v>-1000</v>
      </c>
    </row>
    <row r="5" spans="1:17" x14ac:dyDescent="0.45">
      <c r="A5" s="51" t="s">
        <v>7</v>
      </c>
      <c r="B5" s="160">
        <f>IF(B$2=0,0,B$4/B$2)</f>
        <v>-8.0823357677954028E-17</v>
      </c>
      <c r="C5" s="161"/>
      <c r="E5" s="59" t="s">
        <v>166</v>
      </c>
      <c r="F5" s="56" t="s">
        <v>167</v>
      </c>
      <c r="G5" s="44">
        <v>966</v>
      </c>
      <c r="H5" s="129">
        <f>IF(B$15=0,0,G5/B$15)</f>
        <v>0.39348268839103867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-2.3228803716608595</v>
      </c>
      <c r="P5" s="115">
        <v>861</v>
      </c>
      <c r="Q5" s="99">
        <v>-2000</v>
      </c>
    </row>
    <row r="6" spans="1:17" x14ac:dyDescent="0.45">
      <c r="A6" s="51" t="s">
        <v>1</v>
      </c>
      <c r="B6" s="150">
        <f>IF(B$2=0,0,(B$7*1+B$8*2+B$9*3)/B$2)</f>
        <v>1.9940652818991098</v>
      </c>
      <c r="C6" s="151"/>
      <c r="E6" s="59" t="s">
        <v>68</v>
      </c>
      <c r="F6" s="56" t="s">
        <v>12</v>
      </c>
      <c r="G6" s="44">
        <v>768</v>
      </c>
      <c r="H6" s="129">
        <f>IF(B$15=0,0,G6/B$15)</f>
        <v>0.31283095723014259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10.062893081761006</v>
      </c>
      <c r="P6" s="115">
        <v>795</v>
      </c>
      <c r="Q6" s="99">
        <v>8000</v>
      </c>
    </row>
    <row r="7" spans="1:17" x14ac:dyDescent="0.45">
      <c r="A7" s="51" t="s">
        <v>2</v>
      </c>
      <c r="B7" s="44">
        <v>341</v>
      </c>
      <c r="C7" s="37">
        <f t="shared" ref="C7:C10" si="1">IF(B$2=0,0,B7/B$2)</f>
        <v>0.33728981206726016</v>
      </c>
      <c r="E7" s="59" t="s">
        <v>67</v>
      </c>
      <c r="F7" s="56" t="s">
        <v>23</v>
      </c>
      <c r="G7" s="44">
        <v>679</v>
      </c>
      <c r="H7" s="129">
        <f>IF(B$15=0,0,G7/B$15)</f>
        <v>0.27657841140529532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19.877675840978593</v>
      </c>
      <c r="P7" s="116">
        <v>654</v>
      </c>
      <c r="Q7" s="100">
        <v>13000</v>
      </c>
    </row>
    <row r="8" spans="1:17" x14ac:dyDescent="0.45">
      <c r="A8" s="51" t="s">
        <v>3</v>
      </c>
      <c r="B8" s="44">
        <v>335</v>
      </c>
      <c r="C8" s="37">
        <f t="shared" si="1"/>
        <v>0.33135509396636992</v>
      </c>
      <c r="E8" s="59" t="s">
        <v>89</v>
      </c>
      <c r="F8" s="56" t="s">
        <v>44</v>
      </c>
      <c r="G8" s="44">
        <v>343</v>
      </c>
      <c r="H8" s="129">
        <f>IF(B$15=0,0,G8/B$15)</f>
        <v>0.13971486761710794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335</v>
      </c>
      <c r="C9" s="38">
        <f t="shared" si="1"/>
        <v>0.33135509396636992</v>
      </c>
      <c r="E9" s="59" t="s">
        <v>69</v>
      </c>
      <c r="F9" s="56" t="s">
        <v>24</v>
      </c>
      <c r="G9" s="44">
        <v>342</v>
      </c>
      <c r="H9" s="129">
        <f>IF(B$15=0,0,G9/B$15)</f>
        <v>0.13930753564154785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99</v>
      </c>
      <c r="C10" s="40">
        <f t="shared" si="1"/>
        <v>9.7922848664688422E-2</v>
      </c>
      <c r="E10" s="59" t="s">
        <v>65</v>
      </c>
      <c r="F10" s="56" t="s">
        <v>21</v>
      </c>
      <c r="G10" s="44">
        <v>255</v>
      </c>
      <c r="H10" s="129">
        <f>IF(B$15=0,0,G10/B$15)</f>
        <v>0.10386965376782077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-4.0074626865671652</v>
      </c>
      <c r="P10" s="114">
        <v>335</v>
      </c>
      <c r="Q10" s="102">
        <v>-1342.5000000000002</v>
      </c>
    </row>
    <row r="11" spans="1:17" x14ac:dyDescent="0.45">
      <c r="A11" s="54" t="s">
        <v>121</v>
      </c>
      <c r="B11" s="47">
        <v>2093</v>
      </c>
      <c r="C11" s="42">
        <f>IF(B$3=0,0,B11/B$3)</f>
        <v>0.25077881619937692</v>
      </c>
      <c r="E11" s="59" t="s">
        <v>70</v>
      </c>
      <c r="F11" s="56" t="s">
        <v>25</v>
      </c>
      <c r="G11" s="44">
        <v>231</v>
      </c>
      <c r="H11" s="129">
        <f>IF(B$15=0,0,G11/B$15)</f>
        <v>9.4093686354378814E-2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0.83104477611940308</v>
      </c>
      <c r="P11" s="115">
        <v>335</v>
      </c>
      <c r="Q11" s="103">
        <v>278.40000000000003</v>
      </c>
    </row>
    <row r="12" spans="1:17" x14ac:dyDescent="0.45">
      <c r="A12" s="51" t="s">
        <v>118</v>
      </c>
      <c r="B12" s="44">
        <v>1926</v>
      </c>
      <c r="C12" s="37">
        <f>IF(B$3=0,0,B12/B$3)</f>
        <v>0.23076923076923078</v>
      </c>
      <c r="E12" s="59" t="s">
        <v>71</v>
      </c>
      <c r="F12" s="56" t="s">
        <v>26</v>
      </c>
      <c r="G12" s="44">
        <v>199</v>
      </c>
      <c r="H12" s="129">
        <f>IF(B$15=0,0,G12/B$15)</f>
        <v>8.1059063136456208E-2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3.1764179104477601</v>
      </c>
      <c r="P12" s="116">
        <v>335</v>
      </c>
      <c r="Q12" s="104">
        <v>1064.0999999999997</v>
      </c>
    </row>
    <row r="13" spans="1:17" x14ac:dyDescent="0.45">
      <c r="A13" s="50" t="s">
        <v>123</v>
      </c>
      <c r="B13" s="43">
        <f>B19</f>
        <v>1143</v>
      </c>
      <c r="C13" s="35">
        <f>IF(B$11=0,0,B13/B$11)</f>
        <v>0.54610606784519833</v>
      </c>
      <c r="E13" s="59" t="s">
        <v>86</v>
      </c>
      <c r="F13" s="56" t="s">
        <v>41</v>
      </c>
      <c r="G13" s="44">
        <v>121</v>
      </c>
      <c r="H13" s="129">
        <f>IF(B$15=0,0,G13/B$15)</f>
        <v>4.9287169042769856E-2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811</v>
      </c>
      <c r="C14" s="35">
        <f>IF(B$12=0,0,B14/B$12)</f>
        <v>0.42107995846313601</v>
      </c>
      <c r="E14" s="59" t="s">
        <v>83</v>
      </c>
      <c r="F14" s="56" t="s">
        <v>38</v>
      </c>
      <c r="G14" s="44">
        <v>119</v>
      </c>
      <c r="H14" s="129">
        <f>IF(B$15=0,0,G14/B$15)</f>
        <v>4.8472505091649694E-2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2455</v>
      </c>
      <c r="C15" s="35">
        <f>IF(B$3=0,0,B15/B$3)</f>
        <v>0.29415288761083153</v>
      </c>
      <c r="E15" s="59" t="s">
        <v>78</v>
      </c>
      <c r="F15" s="56" t="s">
        <v>33</v>
      </c>
      <c r="G15" s="44">
        <v>67</v>
      </c>
      <c r="H15" s="129">
        <f>IF(B$15=0,0,G15/B$15)</f>
        <v>2.7291242362525458E-2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1335</v>
      </c>
      <c r="C16" s="37">
        <f>IF(B$3=0,0,B16/B$3)</f>
        <v>0.15995686556434219</v>
      </c>
      <c r="E16" s="59" t="s">
        <v>81</v>
      </c>
      <c r="F16" s="56" t="s">
        <v>36</v>
      </c>
      <c r="G16" s="44">
        <v>56</v>
      </c>
      <c r="H16" s="129">
        <f>IF(B$15=0,0,G16/B$15)</f>
        <v>2.2810590631364563E-2</v>
      </c>
      <c r="I16" s="90">
        <v>5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1108</v>
      </c>
      <c r="C17" s="37">
        <f>IF(B$15=0,0,B17/B$15)</f>
        <v>0.45132382892057027</v>
      </c>
      <c r="E17" s="59" t="s">
        <v>162</v>
      </c>
      <c r="F17" s="56" t="s">
        <v>163</v>
      </c>
      <c r="G17" s="44">
        <v>49</v>
      </c>
      <c r="H17" s="129">
        <f>IF(B$15=0,0,G17/B$15)</f>
        <v>1.9959266802443993E-2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14.457352941176456</v>
      </c>
      <c r="P17" s="115">
        <v>136</v>
      </c>
      <c r="Q17" s="103">
        <v>1966.199999999998</v>
      </c>
    </row>
    <row r="18" spans="1:17" x14ac:dyDescent="0.45">
      <c r="A18" s="51" t="s">
        <v>11</v>
      </c>
      <c r="B18" s="44">
        <v>1347</v>
      </c>
      <c r="C18" s="37">
        <f>IF(B$15=0,0,B18/B$15)</f>
        <v>0.54867617107942979</v>
      </c>
      <c r="E18" s="59" t="s">
        <v>91</v>
      </c>
      <c r="F18" s="56" t="s">
        <v>46</v>
      </c>
      <c r="G18" s="44">
        <v>40</v>
      </c>
      <c r="H18" s="129">
        <f>IF(B$15=0,0,G18/B$15)</f>
        <v>1.6293279022403257E-2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11.290499999999994</v>
      </c>
      <c r="P18" s="115">
        <v>200</v>
      </c>
      <c r="Q18" s="103">
        <v>2258.099999999999</v>
      </c>
    </row>
    <row r="19" spans="1:17" x14ac:dyDescent="0.45">
      <c r="A19" s="51" t="s">
        <v>195</v>
      </c>
      <c r="B19" s="44">
        <v>1143</v>
      </c>
      <c r="C19" s="37">
        <f>IF(B$15=0,0,B19/B$15)</f>
        <v>0.46558044806517312</v>
      </c>
      <c r="E19" s="59" t="s">
        <v>79</v>
      </c>
      <c r="F19" s="56" t="s">
        <v>34</v>
      </c>
      <c r="G19" s="44">
        <v>36</v>
      </c>
      <c r="H19" s="129">
        <f>IF(B$15=0,0,G19/B$15)</f>
        <v>1.4663951120162933E-2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8.9151515151515088</v>
      </c>
      <c r="P19" s="115">
        <v>198</v>
      </c>
      <c r="Q19" s="103">
        <v>1765.1999999999989</v>
      </c>
    </row>
    <row r="20" spans="1:17" x14ac:dyDescent="0.45">
      <c r="A20" s="51" t="s">
        <v>193</v>
      </c>
      <c r="B20" s="44">
        <v>811</v>
      </c>
      <c r="C20" s="37">
        <f>IF(B$15=0,0,B20/B$15)</f>
        <v>0.3303462321792261</v>
      </c>
      <c r="E20" s="59" t="s">
        <v>75</v>
      </c>
      <c r="F20" s="56" t="s">
        <v>30</v>
      </c>
      <c r="G20" s="44">
        <v>19</v>
      </c>
      <c r="H20" s="129">
        <f>IF(B$15=0,0,G20/B$15)</f>
        <v>7.7393075356415476E-3</v>
      </c>
      <c r="I20" s="90">
        <v>6</v>
      </c>
      <c r="K20" s="36">
        <v>18</v>
      </c>
      <c r="L20" s="95">
        <v>0</v>
      </c>
      <c r="N20" s="111" t="s">
        <v>196</v>
      </c>
      <c r="O20" s="121">
        <f>IF(P20=0,0,Q20/P20)</f>
        <v>6.9428571428571439</v>
      </c>
      <c r="P20" s="115">
        <v>56</v>
      </c>
      <c r="Q20" s="103">
        <v>388.80000000000007</v>
      </c>
    </row>
    <row r="21" spans="1:17" x14ac:dyDescent="0.45">
      <c r="A21" s="51" t="s">
        <v>194</v>
      </c>
      <c r="B21" s="44">
        <v>501</v>
      </c>
      <c r="C21" s="37">
        <f>IF(B$15=0,0,B21/B$15)</f>
        <v>0.20407331975560081</v>
      </c>
      <c r="E21" s="59" t="s">
        <v>92</v>
      </c>
      <c r="F21" s="56" t="s">
        <v>47</v>
      </c>
      <c r="G21" s="44">
        <v>19</v>
      </c>
      <c r="H21" s="129">
        <f>IF(B$15=0,0,G21/B$15)</f>
        <v>7.7393075356415476E-3</v>
      </c>
      <c r="I21" s="90">
        <v>4</v>
      </c>
      <c r="K21" s="36">
        <v>19</v>
      </c>
      <c r="L21" s="95">
        <v>-22.4</v>
      </c>
      <c r="N21" s="111" t="s">
        <v>274</v>
      </c>
      <c r="O21" s="121">
        <f>IF(P21=0,0,Q21/P21)</f>
        <v>2.7088235294117613</v>
      </c>
      <c r="P21" s="115">
        <v>34</v>
      </c>
      <c r="Q21" s="103">
        <v>92.099999999999881</v>
      </c>
    </row>
    <row r="22" spans="1:17" x14ac:dyDescent="0.45">
      <c r="A22" s="51" t="s">
        <v>5</v>
      </c>
      <c r="B22" s="48">
        <f>IF(B$15=0,0,C22/B$15)</f>
        <v>8455.7230142566186</v>
      </c>
      <c r="C22" s="39">
        <v>20758800</v>
      </c>
      <c r="E22" s="59" t="s">
        <v>85</v>
      </c>
      <c r="F22" s="56" t="s">
        <v>40</v>
      </c>
      <c r="G22" s="44">
        <v>14</v>
      </c>
      <c r="H22" s="129">
        <f>IF(B$15=0,0,G22/B$15)</f>
        <v>5.7026476578411409E-3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0.78439490445859905</v>
      </c>
      <c r="P22" s="115">
        <v>314</v>
      </c>
      <c r="Q22" s="103">
        <v>246.3000000000001</v>
      </c>
    </row>
    <row r="23" spans="1:17" x14ac:dyDescent="0.45">
      <c r="A23" s="52" t="s">
        <v>177</v>
      </c>
      <c r="B23" s="136">
        <f>IF($B$15-B$14=0,0,C23/($B$15-B$14))</f>
        <v>9165.8759124087592</v>
      </c>
      <c r="C23" s="137">
        <v>15068700</v>
      </c>
      <c r="E23" s="59" t="s">
        <v>73</v>
      </c>
      <c r="F23" s="56" t="s">
        <v>28</v>
      </c>
      <c r="G23" s="44">
        <v>9</v>
      </c>
      <c r="H23" s="129">
        <f>IF(B$15=0,0,G23/B$15)</f>
        <v>3.6659877800407333E-3</v>
      </c>
      <c r="I23" s="90">
        <v>4</v>
      </c>
      <c r="K23" s="36">
        <v>21</v>
      </c>
      <c r="L23" s="95">
        <v>7.1054273576010019E-15</v>
      </c>
      <c r="N23" s="111" t="s">
        <v>127</v>
      </c>
      <c r="O23" s="121">
        <f>IF(P23=0,0,Q23/P23)</f>
        <v>5.0847457627115254E-2</v>
      </c>
      <c r="P23" s="115">
        <v>354</v>
      </c>
      <c r="Q23" s="103">
        <v>17.999999999998799</v>
      </c>
    </row>
    <row r="24" spans="1:17" x14ac:dyDescent="0.45">
      <c r="A24" s="52" t="s">
        <v>178</v>
      </c>
      <c r="B24" s="136">
        <f>IF(B$14=0,0,C24/B$14)</f>
        <v>7016.1528976572135</v>
      </c>
      <c r="C24" s="137">
        <v>5690100</v>
      </c>
      <c r="E24" s="59" t="s">
        <v>74</v>
      </c>
      <c r="F24" s="56" t="s">
        <v>29</v>
      </c>
      <c r="G24" s="44">
        <v>8</v>
      </c>
      <c r="H24" s="129">
        <f>IF(B$15=0,0,G24/B$15)</f>
        <v>3.2586558044806519E-3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-5.9423841059602589</v>
      </c>
      <c r="P24" s="115">
        <v>302</v>
      </c>
      <c r="Q24" s="103">
        <v>-1794.5999999999981</v>
      </c>
    </row>
    <row r="25" spans="1:17" x14ac:dyDescent="0.45">
      <c r="A25" s="52" t="s">
        <v>176</v>
      </c>
      <c r="B25" s="136">
        <f>IF(B$16=0,0,C25/B$16)</f>
        <v>-7896.1048689138579</v>
      </c>
      <c r="C25" s="137">
        <v>-10541300</v>
      </c>
      <c r="E25" s="59" t="s">
        <v>84</v>
      </c>
      <c r="F25" s="56" t="s">
        <v>39</v>
      </c>
      <c r="G25" s="44">
        <v>8</v>
      </c>
      <c r="H25" s="129">
        <f>IF(B$15=0,0,G25/B$15)</f>
        <v>3.2586558044806519E-3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-13.54575</v>
      </c>
      <c r="P25" s="115">
        <v>400</v>
      </c>
      <c r="Q25" s="103">
        <v>-5418.3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88</v>
      </c>
      <c r="F26" s="56" t="s">
        <v>43</v>
      </c>
      <c r="G26" s="44">
        <v>7</v>
      </c>
      <c r="H26" s="129">
        <f>IF(B$15=0,0,G26/B$15)</f>
        <v>2.8513238289205704E-3</v>
      </c>
      <c r="I26" s="90">
        <v>5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3</v>
      </c>
      <c r="E27" s="59" t="s">
        <v>77</v>
      </c>
      <c r="F27" s="56" t="s">
        <v>32</v>
      </c>
      <c r="G27" s="44">
        <v>6</v>
      </c>
      <c r="H27" s="129">
        <f>IF(B$15=0,0,G27/B$15)</f>
        <v>2.443991853360489E-3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2.0366598778004071E-3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95</v>
      </c>
      <c r="F29" s="56" t="s">
        <v>50</v>
      </c>
      <c r="G29" s="44">
        <v>5</v>
      </c>
      <c r="H29" s="129">
        <f>IF(B$15=0,0,G29/B$15)</f>
        <v>2.0366598778004071E-3</v>
      </c>
      <c r="I29" s="90">
        <v>5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23</v>
      </c>
      <c r="C30" s="40">
        <f>IF(B$3=0,0,B30/B$3)</f>
        <v>2.7558111670261203E-3</v>
      </c>
      <c r="E30" s="59" t="s">
        <v>90</v>
      </c>
      <c r="F30" s="56" t="s">
        <v>45</v>
      </c>
      <c r="G30" s="44">
        <v>4</v>
      </c>
      <c r="H30" s="129">
        <f>IF(B$15=0,0,G30/B$15)</f>
        <v>1.6293279022403259E-3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4</v>
      </c>
      <c r="H31" s="129">
        <f>IF(B$15=0,0,G31/B$15)</f>
        <v>1.6293279022403259E-3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192</v>
      </c>
      <c r="C32" s="141">
        <f>IF(B$15=0,0,B32/B$15)</f>
        <v>7.8207739307535648E-2</v>
      </c>
      <c r="E32" s="59" t="s">
        <v>97</v>
      </c>
      <c r="F32" s="56" t="s">
        <v>52</v>
      </c>
      <c r="G32" s="44">
        <v>1</v>
      </c>
      <c r="H32" s="129">
        <f>IF(B$15=0,0,G32/B$15)</f>
        <v>4.0733197556008148E-4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421</v>
      </c>
      <c r="C33" s="37">
        <f t="shared" ref="C33:C44" si="2">IF(B$15=0,0,B33/B$15)</f>
        <v>0.1714867617107943</v>
      </c>
      <c r="E33" s="59" t="s">
        <v>101</v>
      </c>
      <c r="F33" s="56" t="s">
        <v>56</v>
      </c>
      <c r="G33" s="44">
        <v>1</v>
      </c>
      <c r="H33" s="129">
        <f>IF(B$15=0,0,G33/B$15)</f>
        <v>4.0733197556008148E-4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473</v>
      </c>
      <c r="C34" s="37">
        <f>IF(B$15=0,0,B34/B$15)</f>
        <v>0.19266802443991854</v>
      </c>
      <c r="E34" s="59" t="s">
        <v>106</v>
      </c>
      <c r="F34" s="56" t="s">
        <v>113</v>
      </c>
      <c r="G34" s="44">
        <v>1</v>
      </c>
      <c r="H34" s="129">
        <f>IF(B$15=0,0,G34/B$15)</f>
        <v>4.0733197556008148E-4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438</v>
      </c>
      <c r="C35" s="37">
        <f t="shared" si="2"/>
        <v>0.17841140529531568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380</v>
      </c>
      <c r="C36" s="37">
        <f t="shared" si="2"/>
        <v>0.15478615071283094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263</v>
      </c>
      <c r="C37" s="37">
        <f t="shared" si="2"/>
        <v>0.10712830957230142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128</v>
      </c>
      <c r="C38" s="37">
        <f t="shared" si="2"/>
        <v>5.213849287169043E-2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71</v>
      </c>
      <c r="C39" s="37">
        <f t="shared" si="2"/>
        <v>2.8920570264765785E-2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31</v>
      </c>
      <c r="C40" s="37">
        <f t="shared" si="2"/>
        <v>1.2627291242362525E-2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11</v>
      </c>
      <c r="C41" s="37">
        <f t="shared" si="2"/>
        <v>4.4806517311608961E-3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8</v>
      </c>
      <c r="C42" s="37">
        <f t="shared" si="2"/>
        <v>3.2586558044806519E-3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2.443991853360489E-3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33</v>
      </c>
      <c r="C44" s="40">
        <f t="shared" si="2"/>
        <v>1.3441955193482688E-2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-7.1054273576010019E-14</v>
      </c>
    </row>
    <row r="988" spans="11:12" x14ac:dyDescent="0.45">
      <c r="K988" s="36">
        <v>986</v>
      </c>
      <c r="L988" s="95">
        <v>-7.1054273576010019E-14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30.399999999999928</v>
      </c>
    </row>
    <row r="991" spans="11:12" x14ac:dyDescent="0.45">
      <c r="K991" s="36">
        <v>989</v>
      </c>
      <c r="L991" s="95">
        <v>45.499999999999929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34.59999999999993</v>
      </c>
    </row>
    <row r="994" spans="11:12" x14ac:dyDescent="0.45">
      <c r="K994" s="36">
        <v>992</v>
      </c>
      <c r="L994" s="95">
        <v>-11.500000000000071</v>
      </c>
    </row>
    <row r="995" spans="11:12" x14ac:dyDescent="0.45">
      <c r="K995" s="36">
        <v>993</v>
      </c>
      <c r="L995" s="95">
        <v>-7.1054273576010019E-14</v>
      </c>
    </row>
    <row r="996" spans="11:12" x14ac:dyDescent="0.45">
      <c r="K996" s="36">
        <v>994</v>
      </c>
      <c r="L996" s="95">
        <v>1.299999999999929</v>
      </c>
    </row>
    <row r="997" spans="11:12" x14ac:dyDescent="0.45">
      <c r="K997" s="36">
        <v>995</v>
      </c>
      <c r="L997" s="95">
        <v>-15.800000000000072</v>
      </c>
    </row>
    <row r="998" spans="11:12" x14ac:dyDescent="0.45">
      <c r="K998" s="36">
        <v>996</v>
      </c>
      <c r="L998" s="95">
        <v>-7.1054273576010019E-14</v>
      </c>
    </row>
    <row r="999" spans="11:12" x14ac:dyDescent="0.45">
      <c r="K999" s="36">
        <v>997</v>
      </c>
      <c r="L999" s="95">
        <v>74.099999999999923</v>
      </c>
    </row>
    <row r="1000" spans="11:12" x14ac:dyDescent="0.45">
      <c r="K1000" s="36">
        <v>998</v>
      </c>
      <c r="L1000" s="95">
        <v>27.499999999999922</v>
      </c>
    </row>
    <row r="1001" spans="11:12" x14ac:dyDescent="0.45">
      <c r="K1001" s="36">
        <v>999</v>
      </c>
      <c r="L1001" s="95">
        <v>-7.815970093361102E-14</v>
      </c>
    </row>
    <row r="1002" spans="11:12" x14ac:dyDescent="0.45">
      <c r="K1002" s="36">
        <v>1000</v>
      </c>
      <c r="L1002" s="95">
        <v>62.599999999999923</v>
      </c>
    </row>
    <row r="1003" spans="11:12" x14ac:dyDescent="0.45">
      <c r="K1003" s="36">
        <v>1001</v>
      </c>
      <c r="L1003" s="95">
        <v>9.4999999999999218</v>
      </c>
    </row>
    <row r="1004" spans="11:12" x14ac:dyDescent="0.45">
      <c r="K1004" s="36">
        <v>1002</v>
      </c>
      <c r="L1004" s="95">
        <v>-7.815970093361102E-14</v>
      </c>
    </row>
    <row r="1005" spans="11:12" x14ac:dyDescent="0.45">
      <c r="K1005" s="36">
        <v>1003</v>
      </c>
      <c r="L1005" s="95">
        <v>-52.000000000000078</v>
      </c>
    </row>
    <row r="1006" spans="11:12" x14ac:dyDescent="0.45">
      <c r="K1006" s="36">
        <v>1004</v>
      </c>
      <c r="L1006" s="95">
        <v>-55.500000000000078</v>
      </c>
    </row>
    <row r="1007" spans="11:12" x14ac:dyDescent="0.45">
      <c r="K1007" s="36">
        <v>1005</v>
      </c>
      <c r="L1007" s="95">
        <v>-7.815970093361102E-14</v>
      </c>
    </row>
    <row r="1008" spans="11:12" x14ac:dyDescent="0.45">
      <c r="K1008" s="36">
        <v>1006</v>
      </c>
      <c r="L1008" s="95">
        <v>-7.815970093361102E-14</v>
      </c>
    </row>
    <row r="1009" spans="11:12" x14ac:dyDescent="0.45">
      <c r="K1009" s="36">
        <v>1007</v>
      </c>
      <c r="L1009" s="95">
        <v>-7.815970093361102E-14</v>
      </c>
    </row>
    <row r="1010" spans="11:12" x14ac:dyDescent="0.45">
      <c r="K1010" s="36">
        <v>1008</v>
      </c>
      <c r="L1010" s="95">
        <v>-7.815970093361102E-14</v>
      </c>
    </row>
    <row r="1011" spans="11:12" x14ac:dyDescent="0.45">
      <c r="K1011" s="36">
        <v>1009</v>
      </c>
      <c r="L1011" s="95">
        <v>-45.200000000000081</v>
      </c>
    </row>
    <row r="1012" spans="11:12" x14ac:dyDescent="0.45">
      <c r="K1012" s="36">
        <v>1010</v>
      </c>
      <c r="L1012" s="95">
        <v>-28.200000000000081</v>
      </c>
    </row>
    <row r="1013" spans="11:12" x14ac:dyDescent="0.45">
      <c r="K1013" s="36">
        <v>1011</v>
      </c>
      <c r="L1013" s="95">
        <v>-8.1712414612411521E-14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9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88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0.68075117370892024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1920.4545454545455</v>
      </c>
      <c r="P2" s="114">
        <v>88</v>
      </c>
      <c r="Q2" s="98">
        <v>169000</v>
      </c>
    </row>
    <row r="3" spans="1:17" x14ac:dyDescent="0.45">
      <c r="A3" s="51" t="s">
        <v>8</v>
      </c>
      <c r="B3" s="156">
        <v>780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0.55868544600938963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5">
      <c r="A4" s="51" t="s">
        <v>6</v>
      </c>
      <c r="B4" s="158">
        <v>-597.70000000000027</v>
      </c>
      <c r="C4" s="159"/>
      <c r="E4" s="59" t="s">
        <v>166</v>
      </c>
      <c r="F4" s="56" t="s">
        <v>167</v>
      </c>
      <c r="G4" s="44">
        <v>73</v>
      </c>
      <c r="H4" s="129">
        <f>IF(B$15=0,0,G4/B$15)</f>
        <v>0.34272300469483569</v>
      </c>
      <c r="I4" s="90">
        <v>11</v>
      </c>
      <c r="K4" s="36">
        <v>2</v>
      </c>
      <c r="L4" s="95">
        <v>19.899999999999999</v>
      </c>
      <c r="N4" s="111" t="s">
        <v>132</v>
      </c>
      <c r="O4" s="118">
        <f t="shared" si="0"/>
        <v>-1713.0952380952381</v>
      </c>
      <c r="P4" s="115">
        <v>84</v>
      </c>
      <c r="Q4" s="99">
        <v>-143900</v>
      </c>
    </row>
    <row r="5" spans="1:17" x14ac:dyDescent="0.45">
      <c r="A5" s="51" t="s">
        <v>7</v>
      </c>
      <c r="B5" s="160">
        <f>IF(B$2=0,0,B$4/B$2)</f>
        <v>-6.792045454545458</v>
      </c>
      <c r="C5" s="161"/>
      <c r="E5" s="59" t="s">
        <v>68</v>
      </c>
      <c r="F5" s="56" t="s">
        <v>12</v>
      </c>
      <c r="G5" s="44">
        <v>60</v>
      </c>
      <c r="H5" s="129">
        <f>IF(B$15=0,0,G5/B$15)</f>
        <v>0.28169014084507044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5">
      <c r="A6" s="51" t="s">
        <v>1</v>
      </c>
      <c r="B6" s="150">
        <f>IF(B$2=0,0,(B$7*1+B$8*2+B$9*3)/B$2)</f>
        <v>2.1590909090909092</v>
      </c>
      <c r="C6" s="151"/>
      <c r="E6" s="59" t="s">
        <v>64</v>
      </c>
      <c r="F6" s="56" t="s">
        <v>20</v>
      </c>
      <c r="G6" s="44">
        <v>58</v>
      </c>
      <c r="H6" s="129">
        <f>IF(B$15=0,0,G6/B$15)</f>
        <v>0.27230046948356806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0.28409090909090912</v>
      </c>
      <c r="E7" s="59" t="s">
        <v>67</v>
      </c>
      <c r="F7" s="56" t="s">
        <v>23</v>
      </c>
      <c r="G7" s="44">
        <v>38</v>
      </c>
      <c r="H7" s="129">
        <f>IF(B$15=0,0,G7/B$15)</f>
        <v>0.17840375586854459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24</v>
      </c>
      <c r="C8" s="37">
        <f t="shared" si="1"/>
        <v>0.27272727272727271</v>
      </c>
      <c r="E8" s="59" t="s">
        <v>69</v>
      </c>
      <c r="F8" s="56" t="s">
        <v>24</v>
      </c>
      <c r="G8" s="44">
        <v>36</v>
      </c>
      <c r="H8" s="129">
        <f>IF(B$15=0,0,G8/B$15)</f>
        <v>0.16901408450704225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0.44318181818181818</v>
      </c>
      <c r="E9" s="59" t="s">
        <v>71</v>
      </c>
      <c r="F9" s="56" t="s">
        <v>26</v>
      </c>
      <c r="G9" s="44">
        <v>27</v>
      </c>
      <c r="H9" s="129">
        <f>IF(B$15=0,0,G9/B$15)</f>
        <v>0.12676056338028169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7.9545454545454544E-2</v>
      </c>
      <c r="E10" s="59" t="s">
        <v>70</v>
      </c>
      <c r="F10" s="56" t="s">
        <v>25</v>
      </c>
      <c r="G10" s="44">
        <v>25</v>
      </c>
      <c r="H10" s="129">
        <f>IF(B$15=0,0,G10/B$15)</f>
        <v>0.11737089201877934</v>
      </c>
      <c r="I10" s="90">
        <v>6</v>
      </c>
      <c r="K10" s="36">
        <v>8</v>
      </c>
      <c r="L10" s="95">
        <v>-76.900000000000006</v>
      </c>
      <c r="N10" s="110" t="s">
        <v>157</v>
      </c>
      <c r="O10" s="120">
        <f>IF(P10=0,0,Q10/P10)</f>
        <v>-12.716129032258063</v>
      </c>
      <c r="P10" s="114">
        <v>31</v>
      </c>
      <c r="Q10" s="102">
        <v>-394.2</v>
      </c>
    </row>
    <row r="11" spans="1:17" x14ac:dyDescent="0.45">
      <c r="A11" s="54" t="s">
        <v>121</v>
      </c>
      <c r="B11" s="47">
        <v>110</v>
      </c>
      <c r="C11" s="42">
        <f>IF(B$3=0,0,B11/B$3)</f>
        <v>0.14102564102564102</v>
      </c>
      <c r="E11" s="59" t="s">
        <v>83</v>
      </c>
      <c r="F11" s="56" t="s">
        <v>38</v>
      </c>
      <c r="G11" s="44">
        <v>19</v>
      </c>
      <c r="H11" s="129">
        <f>IF(B$15=0,0,G11/B$15)</f>
        <v>8.9201877934272297E-2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205</v>
      </c>
      <c r="C12" s="37">
        <f>IF(B$3=0,0,B12/B$3)</f>
        <v>0.26282051282051283</v>
      </c>
      <c r="E12" s="59" t="s">
        <v>89</v>
      </c>
      <c r="F12" s="56" t="s">
        <v>44</v>
      </c>
      <c r="G12" s="44">
        <v>15</v>
      </c>
      <c r="H12" s="129">
        <f>IF(B$15=0,0,G12/B$15)</f>
        <v>7.0422535211267609E-2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59</v>
      </c>
      <c r="C13" s="35">
        <f>IF(B$11=0,0,B13/B$11)</f>
        <v>0.53636363636363638</v>
      </c>
      <c r="E13" s="59" t="s">
        <v>65</v>
      </c>
      <c r="F13" s="56" t="s">
        <v>21</v>
      </c>
      <c r="G13" s="44">
        <v>13</v>
      </c>
      <c r="H13" s="129">
        <f>IF(B$15=0,0,G13/B$15)</f>
        <v>6.1032863849765258E-2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</v>
      </c>
      <c r="C14" s="35">
        <f>IF(B$12=0,0,B14/B$12)</f>
        <v>0.39512195121951221</v>
      </c>
      <c r="E14" s="59" t="s">
        <v>81</v>
      </c>
      <c r="F14" s="56" t="s">
        <v>36</v>
      </c>
      <c r="G14" s="44">
        <v>10</v>
      </c>
      <c r="H14" s="129">
        <f>IF(B$15=0,0,G14/B$15)</f>
        <v>4.6948356807511735E-2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213</v>
      </c>
      <c r="C15" s="35">
        <f>IF(B$3=0,0,B15/B$3)</f>
        <v>0.27307692307692305</v>
      </c>
      <c r="E15" s="59" t="s">
        <v>86</v>
      </c>
      <c r="F15" s="56" t="s">
        <v>41</v>
      </c>
      <c r="G15" s="44">
        <v>7</v>
      </c>
      <c r="H15" s="129">
        <f>IF(B$15=0,0,G15/B$15)</f>
        <v>3.2863849765258218E-2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127</v>
      </c>
      <c r="C16" s="37">
        <f>IF(B$3=0,0,B16/B$3)</f>
        <v>0.16282051282051282</v>
      </c>
      <c r="E16" s="59" t="s">
        <v>79</v>
      </c>
      <c r="F16" s="56" t="s">
        <v>34</v>
      </c>
      <c r="G16" s="44">
        <v>5</v>
      </c>
      <c r="H16" s="129">
        <f>IF(B$15=0,0,G16/B$15)</f>
        <v>2.3474178403755867E-2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93</v>
      </c>
      <c r="C17" s="37">
        <f>IF(B$15=0,0,B17/B$15)</f>
        <v>0.43661971830985913</v>
      </c>
      <c r="E17" s="59" t="s">
        <v>91</v>
      </c>
      <c r="F17" s="56" t="s">
        <v>46</v>
      </c>
      <c r="G17" s="44">
        <v>4</v>
      </c>
      <c r="H17" s="129">
        <f>IF(B$15=0,0,G17/B$15)</f>
        <v>1.8779342723004695E-2</v>
      </c>
      <c r="I17" s="90">
        <v>4</v>
      </c>
      <c r="K17" s="36">
        <v>15</v>
      </c>
      <c r="L17" s="95">
        <v>-65.2</v>
      </c>
      <c r="N17" s="111" t="s">
        <v>172</v>
      </c>
      <c r="O17" s="121">
        <f t="shared" si="2"/>
        <v>-1.4666666666666697</v>
      </c>
      <c r="P17" s="115">
        <v>18</v>
      </c>
      <c r="Q17" s="103">
        <v>-26.400000000000055</v>
      </c>
    </row>
    <row r="18" spans="1:17" x14ac:dyDescent="0.45">
      <c r="A18" s="51" t="s">
        <v>11</v>
      </c>
      <c r="B18" s="44">
        <v>120</v>
      </c>
      <c r="C18" s="37">
        <f>IF(B$15=0,0,B18/B$15)</f>
        <v>0.56338028169014087</v>
      </c>
      <c r="E18" s="59" t="s">
        <v>74</v>
      </c>
      <c r="F18" s="56" t="s">
        <v>29</v>
      </c>
      <c r="G18" s="44">
        <v>2</v>
      </c>
      <c r="H18" s="129">
        <f>IF(B$15=0,0,G18/B$15)</f>
        <v>9.3896713615023476E-3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 t="shared" si="2"/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59</v>
      </c>
      <c r="C19" s="37">
        <f>IF(B$15=0,0,B19/B$15)</f>
        <v>0.27699530516431925</v>
      </c>
      <c r="E19" s="59" t="s">
        <v>75</v>
      </c>
      <c r="F19" s="56" t="s">
        <v>30</v>
      </c>
      <c r="G19" s="44">
        <v>2</v>
      </c>
      <c r="H19" s="129">
        <f>IF(B$15=0,0,G19/B$15)</f>
        <v>9.3896713615023476E-3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81</v>
      </c>
      <c r="C20" s="37">
        <f>IF(B$15=0,0,B20/B$15)</f>
        <v>0.38028169014084506</v>
      </c>
      <c r="E20" s="59" t="s">
        <v>78</v>
      </c>
      <c r="F20" s="56" t="s">
        <v>33</v>
      </c>
      <c r="G20" s="44">
        <v>2</v>
      </c>
      <c r="H20" s="129">
        <f>IF(B$15=0,0,G20/B$15)</f>
        <v>9.3896713615023476E-3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 t="shared" si="2"/>
        <v>-12.675609756097565</v>
      </c>
      <c r="P20" s="115">
        <v>41</v>
      </c>
      <c r="Q20" s="103">
        <v>-519.70000000000016</v>
      </c>
    </row>
    <row r="21" spans="1:17" x14ac:dyDescent="0.45">
      <c r="A21" s="51" t="s">
        <v>194</v>
      </c>
      <c r="B21" s="44">
        <v>73</v>
      </c>
      <c r="C21" s="37">
        <f>IF(B$15=0,0,B21/B$15)</f>
        <v>0.34272300469483569</v>
      </c>
      <c r="E21" s="59" t="s">
        <v>88</v>
      </c>
      <c r="F21" s="56" t="s">
        <v>43</v>
      </c>
      <c r="G21" s="44">
        <v>2</v>
      </c>
      <c r="H21" s="129">
        <f>IF(B$15=0,0,G21/B$15)</f>
        <v>9.3896713615023476E-3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7107.9812206572769</v>
      </c>
      <c r="C22" s="39">
        <v>1514000</v>
      </c>
      <c r="E22" s="59" t="s">
        <v>93</v>
      </c>
      <c r="F22" s="56" t="s">
        <v>48</v>
      </c>
      <c r="G22" s="44">
        <v>2</v>
      </c>
      <c r="H22" s="129">
        <f>IF(B$15=0,0,G22/B$15)</f>
        <v>9.3896713615023476E-3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-26.54137931034483</v>
      </c>
      <c r="P22" s="115">
        <v>29</v>
      </c>
      <c r="Q22" s="103">
        <v>-769.7</v>
      </c>
    </row>
    <row r="23" spans="1:17" x14ac:dyDescent="0.45">
      <c r="A23" s="52" t="s">
        <v>177</v>
      </c>
      <c r="B23" s="136">
        <f>IF($B$15-B$14=0,0,C23/($B$15-B$14))</f>
        <v>7612.121212121212</v>
      </c>
      <c r="C23" s="137">
        <v>1004800</v>
      </c>
      <c r="E23" s="59" t="s">
        <v>77</v>
      </c>
      <c r="F23" s="56" t="s">
        <v>32</v>
      </c>
      <c r="G23" s="44">
        <v>1</v>
      </c>
      <c r="H23" s="129">
        <f>IF(B$15=0,0,G23/B$15)</f>
        <v>4.6948356807511738E-3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6286.4197530864194</v>
      </c>
      <c r="C24" s="137">
        <v>509200</v>
      </c>
      <c r="E24" s="59" t="s">
        <v>84</v>
      </c>
      <c r="F24" s="56" t="s">
        <v>39</v>
      </c>
      <c r="G24" s="44">
        <v>1</v>
      </c>
      <c r="H24" s="129">
        <f>IF(B$15=0,0,G24/B$15)</f>
        <v>4.6948356807511738E-3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-7540.9448818897636</v>
      </c>
      <c r="C25" s="137">
        <v>-957700</v>
      </c>
      <c r="E25" s="59" t="s">
        <v>87</v>
      </c>
      <c r="F25" s="56" t="s">
        <v>42</v>
      </c>
      <c r="G25" s="44">
        <v>1</v>
      </c>
      <c r="H25" s="129">
        <f>IF(B$15=0,0,G25/B$15)</f>
        <v>4.6948356807511738E-3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6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2.5641025641025641E-3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0.12676056338028169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44</v>
      </c>
      <c r="C33" s="37">
        <f t="shared" ref="C33:C44" si="3">IF(B$15=0,0,B33/B$15)</f>
        <v>0.20657276995305165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44</v>
      </c>
      <c r="C34" s="37">
        <f>IF(B$15=0,0,B34/B$15)</f>
        <v>0.20657276995305165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39</v>
      </c>
      <c r="C35" s="37">
        <f t="shared" si="3"/>
        <v>0.18309859154929578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0.10328638497652583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3"/>
        <v>7.9812206572769953E-2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5.1643192488262914E-2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2.8169014084507043E-2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4.6948356807511738E-3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9.3896713615023476E-3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</sheetData>
  <sortState xmlns:xlrd2="http://schemas.microsoft.com/office/spreadsheetml/2017/richdata2" ref="E2:I9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20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200</v>
      </c>
      <c r="C2" s="155"/>
      <c r="E2" s="58" t="s">
        <v>66</v>
      </c>
      <c r="F2" s="55" t="s">
        <v>22</v>
      </c>
      <c r="G2" s="43">
        <v>376</v>
      </c>
      <c r="H2" s="128">
        <f>IF(B$15=0,0,G2/B$15)</f>
        <v>0.67142857142857137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1412.6262626262626</v>
      </c>
      <c r="P2" s="114">
        <v>198</v>
      </c>
      <c r="Q2" s="98">
        <v>279700</v>
      </c>
    </row>
    <row r="3" spans="1:17" x14ac:dyDescent="0.45">
      <c r="A3" s="51" t="s">
        <v>8</v>
      </c>
      <c r="B3" s="156">
        <v>1643</v>
      </c>
      <c r="C3" s="157"/>
      <c r="E3" s="59" t="s">
        <v>72</v>
      </c>
      <c r="F3" s="56" t="s">
        <v>27</v>
      </c>
      <c r="G3" s="44">
        <v>300</v>
      </c>
      <c r="H3" s="129">
        <f>IF(B$15=0,0,G3/B$15)</f>
        <v>0.5357142857142857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1102.5773195876288</v>
      </c>
      <c r="P3" s="115">
        <v>194</v>
      </c>
      <c r="Q3" s="99">
        <v>213900</v>
      </c>
    </row>
    <row r="4" spans="1:17" x14ac:dyDescent="0.45">
      <c r="A4" s="51" t="s">
        <v>6</v>
      </c>
      <c r="B4" s="158">
        <v>1806.0999999999997</v>
      </c>
      <c r="C4" s="159"/>
      <c r="E4" s="59" t="s">
        <v>64</v>
      </c>
      <c r="F4" s="56" t="s">
        <v>20</v>
      </c>
      <c r="G4" s="44">
        <v>239</v>
      </c>
      <c r="H4" s="129">
        <f>IF(B$15=0,0,G4/B$15)</f>
        <v>0.42678571428571427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1235.2941176470588</v>
      </c>
      <c r="P4" s="115">
        <v>187</v>
      </c>
      <c r="Q4" s="99">
        <v>231000</v>
      </c>
    </row>
    <row r="5" spans="1:17" x14ac:dyDescent="0.45">
      <c r="A5" s="51" t="s">
        <v>7</v>
      </c>
      <c r="B5" s="160">
        <f>IF(B$2=0,0,B$4/B$2)</f>
        <v>9.0304999999999982</v>
      </c>
      <c r="C5" s="161"/>
      <c r="E5" s="59" t="s">
        <v>166</v>
      </c>
      <c r="F5" s="56" t="s">
        <v>167</v>
      </c>
      <c r="G5" s="44">
        <v>218</v>
      </c>
      <c r="H5" s="129">
        <f>IF(B$15=0,0,G5/B$15)</f>
        <v>0.38928571428571429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90.804597701149419</v>
      </c>
      <c r="P5" s="115">
        <v>174</v>
      </c>
      <c r="Q5" s="99">
        <v>15800</v>
      </c>
    </row>
    <row r="6" spans="1:17" x14ac:dyDescent="0.45">
      <c r="A6" s="51" t="s">
        <v>1</v>
      </c>
      <c r="B6" s="150">
        <f>IF(B$2=0,0,(B$7*1+B$8*2+B$9*3)/B$2)</f>
        <v>1.77</v>
      </c>
      <c r="C6" s="151"/>
      <c r="E6" s="59" t="s">
        <v>68</v>
      </c>
      <c r="F6" s="56" t="s">
        <v>12</v>
      </c>
      <c r="G6" s="44">
        <v>157</v>
      </c>
      <c r="H6" s="129">
        <f>IF(B$15=0,0,G6/B$15)</f>
        <v>0.28035714285714286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1893.8271604938273</v>
      </c>
      <c r="P6" s="115">
        <v>162</v>
      </c>
      <c r="Q6" s="99">
        <v>306800</v>
      </c>
    </row>
    <row r="7" spans="1:17" x14ac:dyDescent="0.45">
      <c r="A7" s="51" t="s">
        <v>2</v>
      </c>
      <c r="B7" s="44">
        <v>94</v>
      </c>
      <c r="C7" s="37">
        <f t="shared" ref="C7:C10" si="1">IF(B$2=0,0,B7/B$2)</f>
        <v>0.47</v>
      </c>
      <c r="E7" s="59" t="s">
        <v>67</v>
      </c>
      <c r="F7" s="56" t="s">
        <v>23</v>
      </c>
      <c r="G7" s="44">
        <v>133</v>
      </c>
      <c r="H7" s="129">
        <f>IF(B$15=0,0,G7/B$15)</f>
        <v>0.23749999999999999</v>
      </c>
      <c r="I7" s="90">
        <v>11</v>
      </c>
      <c r="K7" s="36">
        <v>5</v>
      </c>
      <c r="L7" s="95">
        <v>99.9</v>
      </c>
      <c r="N7" s="112" t="s">
        <v>135</v>
      </c>
      <c r="O7" s="119">
        <f t="shared" si="0"/>
        <v>1845.4545454545455</v>
      </c>
      <c r="P7" s="116">
        <v>132</v>
      </c>
      <c r="Q7" s="100">
        <v>243600</v>
      </c>
    </row>
    <row r="8" spans="1:17" x14ac:dyDescent="0.45">
      <c r="A8" s="51" t="s">
        <v>3</v>
      </c>
      <c r="B8" s="44">
        <v>58</v>
      </c>
      <c r="C8" s="37">
        <f t="shared" si="1"/>
        <v>0.28999999999999998</v>
      </c>
      <c r="E8" s="59" t="s">
        <v>89</v>
      </c>
      <c r="F8" s="56" t="s">
        <v>44</v>
      </c>
      <c r="G8" s="44">
        <v>84</v>
      </c>
      <c r="H8" s="129">
        <f>IF(B$15=0,0,G8/B$15)</f>
        <v>0.15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0.24</v>
      </c>
      <c r="E9" s="59" t="s">
        <v>69</v>
      </c>
      <c r="F9" s="56" t="s">
        <v>24</v>
      </c>
      <c r="G9" s="44">
        <v>70</v>
      </c>
      <c r="H9" s="129">
        <f>IF(B$15=0,0,G9/B$15)</f>
        <v>0.125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4.4999999999999998E-2</v>
      </c>
      <c r="E10" s="59" t="s">
        <v>65</v>
      </c>
      <c r="F10" s="56" t="s">
        <v>21</v>
      </c>
      <c r="G10" s="44">
        <v>61</v>
      </c>
      <c r="H10" s="129">
        <f>IF(B$15=0,0,G10/B$15)</f>
        <v>0.10892857142857143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11.836206896551722</v>
      </c>
      <c r="P10" s="114">
        <v>58</v>
      </c>
      <c r="Q10" s="102">
        <v>686.49999999999989</v>
      </c>
    </row>
    <row r="11" spans="1:17" x14ac:dyDescent="0.45">
      <c r="A11" s="54" t="s">
        <v>121</v>
      </c>
      <c r="B11" s="47">
        <v>432</v>
      </c>
      <c r="C11" s="42">
        <f>IF(B$3=0,0,B11/B$3)</f>
        <v>0.26293365794278756</v>
      </c>
      <c r="E11" s="59" t="s">
        <v>71</v>
      </c>
      <c r="F11" s="56" t="s">
        <v>26</v>
      </c>
      <c r="G11" s="44">
        <v>40</v>
      </c>
      <c r="H11" s="129">
        <f>IF(B$15=0,0,G11/B$15)</f>
        <v>7.1428571428571425E-2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4.7941176470588234</v>
      </c>
      <c r="P11" s="115">
        <v>68</v>
      </c>
      <c r="Q11" s="103">
        <v>326</v>
      </c>
    </row>
    <row r="12" spans="1:17" x14ac:dyDescent="0.45">
      <c r="A12" s="51" t="s">
        <v>118</v>
      </c>
      <c r="B12" s="44">
        <v>387</v>
      </c>
      <c r="C12" s="37">
        <f>IF(B$3=0,0,B12/B$3)</f>
        <v>0.23554473524041389</v>
      </c>
      <c r="E12" s="59" t="s">
        <v>86</v>
      </c>
      <c r="F12" s="56" t="s">
        <v>41</v>
      </c>
      <c r="G12" s="44">
        <v>36</v>
      </c>
      <c r="H12" s="129">
        <f>IF(B$15=0,0,G12/B$15)</f>
        <v>6.4285714285714279E-2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10.871232876712327</v>
      </c>
      <c r="P12" s="116">
        <v>73</v>
      </c>
      <c r="Q12" s="104">
        <v>793.5999999999998</v>
      </c>
    </row>
    <row r="13" spans="1:17" x14ac:dyDescent="0.45">
      <c r="A13" s="50" t="s">
        <v>123</v>
      </c>
      <c r="B13" s="43">
        <f>B19</f>
        <v>251</v>
      </c>
      <c r="C13" s="35">
        <f>IF(B$11=0,0,B13/B$11)</f>
        <v>0.58101851851851849</v>
      </c>
      <c r="E13" s="59" t="s">
        <v>70</v>
      </c>
      <c r="F13" s="56" t="s">
        <v>25</v>
      </c>
      <c r="G13" s="44">
        <v>35</v>
      </c>
      <c r="H13" s="129">
        <f>IF(B$15=0,0,G13/B$15)</f>
        <v>6.25E-2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187</v>
      </c>
      <c r="C14" s="35">
        <f>IF(B$12=0,0,B14/B$12)</f>
        <v>0.48320413436692505</v>
      </c>
      <c r="E14" s="59" t="s">
        <v>83</v>
      </c>
      <c r="F14" s="56" t="s">
        <v>38</v>
      </c>
      <c r="G14" s="44">
        <v>25</v>
      </c>
      <c r="H14" s="129">
        <f>IF(B$15=0,0,G14/B$15)</f>
        <v>4.4642857142857144E-2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560</v>
      </c>
      <c r="C15" s="35">
        <f>IF(B$3=0,0,B15/B$3)</f>
        <v>0.3408399269628728</v>
      </c>
      <c r="E15" s="59" t="s">
        <v>78</v>
      </c>
      <c r="F15" s="56" t="s">
        <v>33</v>
      </c>
      <c r="G15" s="44">
        <v>21</v>
      </c>
      <c r="H15" s="129">
        <f>IF(B$15=0,0,G15/B$15)</f>
        <v>3.7499999999999999E-2</v>
      </c>
      <c r="I15" s="90">
        <v>4</v>
      </c>
      <c r="K15" s="36">
        <v>13</v>
      </c>
      <c r="L15" s="95">
        <v>206.39999999999998</v>
      </c>
      <c r="N15" s="110" t="s">
        <v>274</v>
      </c>
      <c r="O15" s="120">
        <f t="shared" ref="O15:O23" si="2">IF(P15=0,0,Q15/P15)</f>
        <v>41.459999999999994</v>
      </c>
      <c r="P15" s="114">
        <v>5</v>
      </c>
      <c r="Q15" s="102">
        <v>207.29999999999998</v>
      </c>
    </row>
    <row r="16" spans="1:17" x14ac:dyDescent="0.45">
      <c r="A16" s="51" t="s">
        <v>13</v>
      </c>
      <c r="B16" s="44">
        <v>204</v>
      </c>
      <c r="C16" s="37">
        <f>IF(B$3=0,0,B16/B$3)</f>
        <v>0.1241631162507608</v>
      </c>
      <c r="E16" s="59" t="s">
        <v>162</v>
      </c>
      <c r="F16" s="56" t="s">
        <v>163</v>
      </c>
      <c r="G16" s="44">
        <v>15</v>
      </c>
      <c r="H16" s="129">
        <f>IF(B$15=0,0,G16/B$15)</f>
        <v>2.6785714285714284E-2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 t="shared" si="2"/>
        <v>33.644444444444453</v>
      </c>
      <c r="P16" s="115">
        <v>9</v>
      </c>
      <c r="Q16" s="103">
        <v>302.80000000000007</v>
      </c>
    </row>
    <row r="17" spans="1:17" x14ac:dyDescent="0.45">
      <c r="A17" s="51" t="s">
        <v>12</v>
      </c>
      <c r="B17" s="44">
        <v>237</v>
      </c>
      <c r="C17" s="37">
        <f>IF(B$15=0,0,B17/B$15)</f>
        <v>0.42321428571428571</v>
      </c>
      <c r="E17" s="59" t="s">
        <v>81</v>
      </c>
      <c r="F17" s="56" t="s">
        <v>36</v>
      </c>
      <c r="G17" s="44">
        <v>9</v>
      </c>
      <c r="H17" s="129">
        <f>IF(B$15=0,0,G17/B$15)</f>
        <v>1.607142857142857E-2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 t="shared" si="2"/>
        <v>24.157142857142862</v>
      </c>
      <c r="P17" s="115">
        <v>21</v>
      </c>
      <c r="Q17" s="103">
        <v>507.30000000000007</v>
      </c>
    </row>
    <row r="18" spans="1:17" x14ac:dyDescent="0.45">
      <c r="A18" s="51" t="s">
        <v>11</v>
      </c>
      <c r="B18" s="44">
        <v>323</v>
      </c>
      <c r="C18" s="37">
        <f>IF(B$15=0,0,B18/B$15)</f>
        <v>0.57678571428571423</v>
      </c>
      <c r="E18" s="59" t="s">
        <v>91</v>
      </c>
      <c r="F18" s="56" t="s">
        <v>46</v>
      </c>
      <c r="G18" s="44">
        <v>6</v>
      </c>
      <c r="H18" s="129">
        <f>IF(B$15=0,0,G18/B$15)</f>
        <v>1.0714285714285714E-2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 t="shared" si="2"/>
        <v>15.762499999999999</v>
      </c>
      <c r="P18" s="115">
        <v>64</v>
      </c>
      <c r="Q18" s="103">
        <v>1008.8</v>
      </c>
    </row>
    <row r="19" spans="1:17" x14ac:dyDescent="0.45">
      <c r="A19" s="51" t="s">
        <v>195</v>
      </c>
      <c r="B19" s="44">
        <v>251</v>
      </c>
      <c r="C19" s="37">
        <f>IF(B$15=0,0,B19/B$15)</f>
        <v>0.44821428571428573</v>
      </c>
      <c r="E19" s="59" t="s">
        <v>92</v>
      </c>
      <c r="F19" s="56" t="s">
        <v>47</v>
      </c>
      <c r="G19" s="44">
        <v>6</v>
      </c>
      <c r="H19" s="129">
        <f>IF(B$15=0,0,G19/B$15)</f>
        <v>1.0714285714285714E-2</v>
      </c>
      <c r="I19" s="90">
        <v>2</v>
      </c>
      <c r="K19" s="36">
        <v>17</v>
      </c>
      <c r="L19" s="95">
        <v>359.09999999999991</v>
      </c>
      <c r="N19" s="111" t="s">
        <v>161</v>
      </c>
      <c r="O19" s="121">
        <f t="shared" si="2"/>
        <v>13.116666666666665</v>
      </c>
      <c r="P19" s="115">
        <v>42</v>
      </c>
      <c r="Q19" s="103">
        <v>550.9</v>
      </c>
    </row>
    <row r="20" spans="1:17" x14ac:dyDescent="0.45">
      <c r="A20" s="51" t="s">
        <v>193</v>
      </c>
      <c r="B20" s="44">
        <v>187</v>
      </c>
      <c r="C20" s="37">
        <f>IF(B$15=0,0,B20/B$15)</f>
        <v>0.33392857142857141</v>
      </c>
      <c r="E20" s="59" t="s">
        <v>75</v>
      </c>
      <c r="F20" s="56" t="s">
        <v>30</v>
      </c>
      <c r="G20" s="44">
        <v>5</v>
      </c>
      <c r="H20" s="129">
        <f>IF(B$15=0,0,G20/B$15)</f>
        <v>8.9285714285714281E-3</v>
      </c>
      <c r="I20" s="90">
        <v>5</v>
      </c>
      <c r="K20" s="36">
        <v>18</v>
      </c>
      <c r="L20" s="95">
        <v>352.39999999999992</v>
      </c>
      <c r="N20" s="111" t="s">
        <v>127</v>
      </c>
      <c r="O20" s="121">
        <f t="shared" si="2"/>
        <v>13.062393162393166</v>
      </c>
      <c r="P20" s="115">
        <v>117</v>
      </c>
      <c r="Q20" s="103">
        <v>1528.3000000000004</v>
      </c>
    </row>
    <row r="21" spans="1:17" x14ac:dyDescent="0.45">
      <c r="A21" s="51" t="s">
        <v>194</v>
      </c>
      <c r="B21" s="44">
        <v>122</v>
      </c>
      <c r="C21" s="37">
        <f>IF(B$15=0,0,B21/B$15)</f>
        <v>0.21785714285714286</v>
      </c>
      <c r="E21" s="59" t="s">
        <v>79</v>
      </c>
      <c r="F21" s="56" t="s">
        <v>34</v>
      </c>
      <c r="G21" s="44">
        <v>4</v>
      </c>
      <c r="H21" s="129">
        <f>IF(B$15=0,0,G21/B$15)</f>
        <v>7.1428571428571426E-3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 t="shared" si="2"/>
        <v>12.639743589743592</v>
      </c>
      <c r="P21" s="115">
        <v>78</v>
      </c>
      <c r="Q21" s="103">
        <v>985.9000000000002</v>
      </c>
    </row>
    <row r="22" spans="1:17" x14ac:dyDescent="0.45">
      <c r="A22" s="51" t="s">
        <v>5</v>
      </c>
      <c r="B22" s="48">
        <f>IF(B$15=0,0,C22/B$15)</f>
        <v>8258.75</v>
      </c>
      <c r="C22" s="39">
        <v>4624900</v>
      </c>
      <c r="E22" s="59" t="s">
        <v>85</v>
      </c>
      <c r="F22" s="56" t="s">
        <v>40</v>
      </c>
      <c r="G22" s="44">
        <v>4</v>
      </c>
      <c r="H22" s="129">
        <f>IF(B$15=0,0,G22/B$15)</f>
        <v>7.1428571428571426E-3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 t="shared" si="2"/>
        <v>6.3095238095238093</v>
      </c>
      <c r="P22" s="115">
        <v>63</v>
      </c>
      <c r="Q22" s="103">
        <v>397.5</v>
      </c>
    </row>
    <row r="23" spans="1:17" x14ac:dyDescent="0.45">
      <c r="A23" s="52" t="s">
        <v>177</v>
      </c>
      <c r="B23" s="136">
        <f>IF($B$15-B$14=0,0,C23/($B$15-B$14))</f>
        <v>8883.6461126005361</v>
      </c>
      <c r="C23" s="137">
        <v>3313600</v>
      </c>
      <c r="E23" s="59" t="s">
        <v>77</v>
      </c>
      <c r="F23" s="56" t="s">
        <v>32</v>
      </c>
      <c r="G23" s="44">
        <v>3</v>
      </c>
      <c r="H23" s="129">
        <f>IF(B$15=0,0,G23/B$15)</f>
        <v>5.3571428571428572E-3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 t="shared" si="2"/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7012.2994652406414</v>
      </c>
      <c r="C24" s="137">
        <v>1311300</v>
      </c>
      <c r="E24" s="59" t="s">
        <v>84</v>
      </c>
      <c r="F24" s="56" t="s">
        <v>39</v>
      </c>
      <c r="G24" s="44">
        <v>3</v>
      </c>
      <c r="H24" s="129">
        <f>IF(B$15=0,0,G24/B$15)</f>
        <v>5.3571428571428572E-3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-7767.6470588235297</v>
      </c>
      <c r="C25" s="137">
        <v>-1584600</v>
      </c>
      <c r="E25" s="59" t="s">
        <v>74</v>
      </c>
      <c r="F25" s="56" t="s">
        <v>29</v>
      </c>
      <c r="G25" s="44">
        <v>2</v>
      </c>
      <c r="H25" s="129">
        <f>IF(B$15=0,0,G25/B$15)</f>
        <v>3.5714285714285713E-3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3.5714285714285713E-3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11</v>
      </c>
      <c r="E27" s="59" t="s">
        <v>95</v>
      </c>
      <c r="F27" s="56" t="s">
        <v>50</v>
      </c>
      <c r="G27" s="44">
        <v>2</v>
      </c>
      <c r="H27" s="129">
        <f>IF(B$15=0,0,G27/B$15)</f>
        <v>3.5714285714285713E-3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1.7857142857142857E-3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1.7857142857142857E-3</v>
      </c>
      <c r="I29" s="90">
        <v>3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1.2172854534388314E-3</v>
      </c>
      <c r="E30" s="59" t="s">
        <v>106</v>
      </c>
      <c r="F30" s="56" t="s">
        <v>113</v>
      </c>
      <c r="G30" s="44">
        <v>1</v>
      </c>
      <c r="H30" s="129">
        <f>IF(B$15=0,0,G30/B$15)</f>
        <v>1.7857142857142857E-3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53</v>
      </c>
      <c r="C32" s="141">
        <f>IF(B$15=0,0,B32/B$15)</f>
        <v>9.464285714285714E-2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105</v>
      </c>
      <c r="C33" s="37">
        <f t="shared" ref="C33:C44" si="3">IF(B$15=0,0,B33/B$15)</f>
        <v>0.1875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110</v>
      </c>
      <c r="C34" s="37">
        <f>IF(B$15=0,0,B34/B$15)</f>
        <v>0.19642857142857142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98</v>
      </c>
      <c r="C35" s="37">
        <f t="shared" si="3"/>
        <v>0.17499999999999999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80</v>
      </c>
      <c r="C36" s="37">
        <f t="shared" si="3"/>
        <v>0.14285714285714285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55</v>
      </c>
      <c r="C37" s="37">
        <f t="shared" si="3"/>
        <v>9.8214285714285712E-2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25</v>
      </c>
      <c r="C38" s="37">
        <f t="shared" si="3"/>
        <v>4.4642857142857144E-2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11</v>
      </c>
      <c r="C39" s="37">
        <f t="shared" si="3"/>
        <v>1.9642857142857142E-2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3"/>
        <v>1.7857142857142856E-2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3"/>
        <v>5.3571428571428572E-3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3"/>
        <v>1.7857142857142857E-3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3"/>
        <v>1.607142857142857E-2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1804.7999999999997</v>
      </c>
    </row>
    <row r="202" spans="11:12" x14ac:dyDescent="0.45">
      <c r="K202" s="36">
        <v>200</v>
      </c>
      <c r="L202" s="95">
        <v>1806.0999999999997</v>
      </c>
    </row>
  </sheetData>
  <sortState xmlns:xlrd2="http://schemas.microsoft.com/office/spreadsheetml/2017/richdata2" ref="E2:I2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7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177</v>
      </c>
      <c r="C2" s="155"/>
      <c r="E2" s="58" t="s">
        <v>66</v>
      </c>
      <c r="F2" s="55" t="s">
        <v>22</v>
      </c>
      <c r="G2" s="43">
        <v>342</v>
      </c>
      <c r="H2" s="128">
        <f>IF(B$15=0,0,G2/B$15)</f>
        <v>0.74672489082969429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-1064.367816091954</v>
      </c>
      <c r="P2" s="114">
        <v>174</v>
      </c>
      <c r="Q2" s="98">
        <v>-185200</v>
      </c>
    </row>
    <row r="3" spans="1:17" x14ac:dyDescent="0.45">
      <c r="A3" s="51" t="s">
        <v>8</v>
      </c>
      <c r="B3" s="156">
        <v>1456</v>
      </c>
      <c r="C3" s="157"/>
      <c r="E3" s="59" t="s">
        <v>72</v>
      </c>
      <c r="F3" s="56" t="s">
        <v>27</v>
      </c>
      <c r="G3" s="44">
        <v>261</v>
      </c>
      <c r="H3" s="129">
        <f>IF(B$15=0,0,G3/B$15)</f>
        <v>0.56986899563318782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1276.0233918128654</v>
      </c>
      <c r="P3" s="115">
        <v>171</v>
      </c>
      <c r="Q3" s="99">
        <v>218200</v>
      </c>
    </row>
    <row r="4" spans="1:17" x14ac:dyDescent="0.45">
      <c r="A4" s="51" t="s">
        <v>6</v>
      </c>
      <c r="B4" s="158">
        <v>-6.0000000000002061</v>
      </c>
      <c r="C4" s="159"/>
      <c r="E4" s="59" t="s">
        <v>166</v>
      </c>
      <c r="F4" s="56" t="s">
        <v>167</v>
      </c>
      <c r="G4" s="44">
        <v>189</v>
      </c>
      <c r="H4" s="129">
        <f>IF(B$15=0,0,G4/B$15)</f>
        <v>0.4126637554585153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-128.93081761006289</v>
      </c>
      <c r="P4" s="115">
        <v>159</v>
      </c>
      <c r="Q4" s="99">
        <v>-20500</v>
      </c>
    </row>
    <row r="5" spans="1:17" x14ac:dyDescent="0.45">
      <c r="A5" s="51" t="s">
        <v>7</v>
      </c>
      <c r="B5" s="160">
        <f>IF(B$2=0,0,B$4/B$2)</f>
        <v>-3.3898305084746928E-2</v>
      </c>
      <c r="C5" s="161"/>
      <c r="E5" s="59" t="s">
        <v>64</v>
      </c>
      <c r="F5" s="56" t="s">
        <v>20</v>
      </c>
      <c r="G5" s="44">
        <v>174</v>
      </c>
      <c r="H5" s="129">
        <f>IF(B$15=0,0,G5/B$15)</f>
        <v>0.37991266375545851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148.34437086092714</v>
      </c>
      <c r="P5" s="115">
        <v>151</v>
      </c>
      <c r="Q5" s="99">
        <v>22400</v>
      </c>
    </row>
    <row r="6" spans="1:17" x14ac:dyDescent="0.45">
      <c r="A6" s="51" t="s">
        <v>1</v>
      </c>
      <c r="B6" s="150">
        <f>IF(B$2=0,0,(B$7*1+B$8*2+B$9*3)/B$2)</f>
        <v>1.9717514124293785</v>
      </c>
      <c r="C6" s="151"/>
      <c r="E6" s="59" t="s">
        <v>68</v>
      </c>
      <c r="F6" s="56" t="s">
        <v>12</v>
      </c>
      <c r="G6" s="44">
        <v>127</v>
      </c>
      <c r="H6" s="129">
        <f>IF(B$15=0,0,G6/B$15)</f>
        <v>0.27729257641921395</v>
      </c>
      <c r="I6" s="90">
        <v>11</v>
      </c>
      <c r="K6" s="36">
        <v>4</v>
      </c>
      <c r="L6" s="95">
        <v>-38.099999999999994</v>
      </c>
      <c r="N6" s="111" t="s">
        <v>134</v>
      </c>
      <c r="O6" s="118">
        <f t="shared" si="0"/>
        <v>-1659.4202898550725</v>
      </c>
      <c r="P6" s="115">
        <v>138</v>
      </c>
      <c r="Q6" s="99">
        <v>-229000</v>
      </c>
    </row>
    <row r="7" spans="1:17" x14ac:dyDescent="0.45">
      <c r="A7" s="51" t="s">
        <v>2</v>
      </c>
      <c r="B7" s="44">
        <v>61</v>
      </c>
      <c r="C7" s="37">
        <f t="shared" ref="C7:C10" si="1">IF(B$2=0,0,B7/B$2)</f>
        <v>0.34463276836158191</v>
      </c>
      <c r="E7" s="59" t="s">
        <v>67</v>
      </c>
      <c r="F7" s="56" t="s">
        <v>23</v>
      </c>
      <c r="G7" s="44">
        <v>94</v>
      </c>
      <c r="H7" s="129">
        <f>IF(B$15=0,0,G7/B$15)</f>
        <v>0.20524017467248909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1237.391304347826</v>
      </c>
      <c r="P7" s="116">
        <v>115</v>
      </c>
      <c r="Q7" s="100">
        <v>142300</v>
      </c>
    </row>
    <row r="8" spans="1:17" x14ac:dyDescent="0.45">
      <c r="A8" s="51" t="s">
        <v>3</v>
      </c>
      <c r="B8" s="44">
        <v>60</v>
      </c>
      <c r="C8" s="37">
        <f t="shared" si="1"/>
        <v>0.33898305084745761</v>
      </c>
      <c r="E8" s="59" t="s">
        <v>69</v>
      </c>
      <c r="F8" s="56" t="s">
        <v>24</v>
      </c>
      <c r="G8" s="44">
        <v>50</v>
      </c>
      <c r="H8" s="129">
        <f>IF(B$15=0,0,G8/B$15)</f>
        <v>0.1091703056768559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56</v>
      </c>
      <c r="C9" s="38">
        <f t="shared" si="1"/>
        <v>0.31638418079096048</v>
      </c>
      <c r="E9" s="59" t="s">
        <v>89</v>
      </c>
      <c r="F9" s="56" t="s">
        <v>44</v>
      </c>
      <c r="G9" s="44">
        <v>47</v>
      </c>
      <c r="H9" s="129">
        <f>IF(B$15=0,0,G9/B$15)</f>
        <v>0.10262008733624454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0.10169491525423729</v>
      </c>
      <c r="E10" s="59" t="s">
        <v>70</v>
      </c>
      <c r="F10" s="56" t="s">
        <v>25</v>
      </c>
      <c r="G10" s="44">
        <v>44</v>
      </c>
      <c r="H10" s="129">
        <f>IF(B$15=0,0,G10/B$15)</f>
        <v>9.606986899563319E-2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0.6462962962962967</v>
      </c>
      <c r="P10" s="114">
        <v>54</v>
      </c>
      <c r="Q10" s="102">
        <v>34.90000000000002</v>
      </c>
    </row>
    <row r="11" spans="1:17" x14ac:dyDescent="0.45">
      <c r="A11" s="54" t="s">
        <v>121</v>
      </c>
      <c r="B11" s="47">
        <v>339</v>
      </c>
      <c r="C11" s="42">
        <f>IF(B$3=0,0,B11/B$3)</f>
        <v>0.23282967032967034</v>
      </c>
      <c r="E11" s="59" t="s">
        <v>71</v>
      </c>
      <c r="F11" s="56" t="s">
        <v>26</v>
      </c>
      <c r="G11" s="44">
        <v>42</v>
      </c>
      <c r="H11" s="129">
        <f>IF(B$15=0,0,G11/B$15)</f>
        <v>9.1703056768558958E-2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2.9418181818181837</v>
      </c>
      <c r="P11" s="115">
        <v>55</v>
      </c>
      <c r="Q11" s="103">
        <v>161.8000000000001</v>
      </c>
    </row>
    <row r="12" spans="1:17" x14ac:dyDescent="0.45">
      <c r="A12" s="51" t="s">
        <v>118</v>
      </c>
      <c r="B12" s="44">
        <v>435</v>
      </c>
      <c r="C12" s="37">
        <f>IF(B$3=0,0,B12/B$3)</f>
        <v>0.29876373626373626</v>
      </c>
      <c r="E12" s="59" t="s">
        <v>65</v>
      </c>
      <c r="F12" s="56" t="s">
        <v>21</v>
      </c>
      <c r="G12" s="44">
        <v>35</v>
      </c>
      <c r="H12" s="129">
        <f>IF(B$15=0,0,G12/B$15)</f>
        <v>7.6419213973799124E-2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5">
      <c r="A13" s="50" t="s">
        <v>123</v>
      </c>
      <c r="B13" s="43">
        <f>B19</f>
        <v>174</v>
      </c>
      <c r="C13" s="35">
        <f>IF(B$11=0,0,B13/B$11)</f>
        <v>0.51327433628318586</v>
      </c>
      <c r="E13" s="59" t="s">
        <v>86</v>
      </c>
      <c r="F13" s="56" t="s">
        <v>41</v>
      </c>
      <c r="G13" s="44">
        <v>25</v>
      </c>
      <c r="H13" s="129">
        <f>IF(B$15=0,0,G13/B$15)</f>
        <v>5.458515283842795E-2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171</v>
      </c>
      <c r="C14" s="35">
        <f>IF(B$12=0,0,B14/B$12)</f>
        <v>0.39310344827586208</v>
      </c>
      <c r="E14" s="59" t="s">
        <v>83</v>
      </c>
      <c r="F14" s="56" t="s">
        <v>38</v>
      </c>
      <c r="G14" s="44">
        <v>22</v>
      </c>
      <c r="H14" s="129">
        <f>IF(B$15=0,0,G14/B$15)</f>
        <v>4.8034934497816595E-2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458</v>
      </c>
      <c r="C15" s="35">
        <f>IF(B$3=0,0,B15/B$3)</f>
        <v>0.31456043956043955</v>
      </c>
      <c r="E15" s="59" t="s">
        <v>78</v>
      </c>
      <c r="F15" s="56" t="s">
        <v>33</v>
      </c>
      <c r="G15" s="44">
        <v>18</v>
      </c>
      <c r="H15" s="129">
        <f>IF(B$15=0,0,G15/B$15)</f>
        <v>3.9301310043668124E-2</v>
      </c>
      <c r="I15" s="90">
        <v>3</v>
      </c>
      <c r="K15" s="36">
        <v>13</v>
      </c>
      <c r="L15" s="95">
        <v>-86.8</v>
      </c>
      <c r="N15" s="110" t="s">
        <v>228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256</v>
      </c>
      <c r="C16" s="37">
        <f>IF(B$3=0,0,B16/B$3)</f>
        <v>0.17582417582417584</v>
      </c>
      <c r="E16" s="59" t="s">
        <v>91</v>
      </c>
      <c r="F16" s="56" t="s">
        <v>46</v>
      </c>
      <c r="G16" s="44">
        <v>14</v>
      </c>
      <c r="H16" s="129">
        <f>IF(B$15=0,0,G16/B$15)</f>
        <v>3.0567685589519649E-2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 t="shared" si="2"/>
        <v>28.9</v>
      </c>
      <c r="P16" s="115">
        <v>7</v>
      </c>
      <c r="Q16" s="103">
        <v>202.29999999999998</v>
      </c>
    </row>
    <row r="17" spans="1:17" x14ac:dyDescent="0.45">
      <c r="A17" s="51" t="s">
        <v>12</v>
      </c>
      <c r="B17" s="44">
        <v>191</v>
      </c>
      <c r="C17" s="37">
        <f>IF(B$15=0,0,B17/B$15)</f>
        <v>0.41703056768558949</v>
      </c>
      <c r="E17" s="59" t="s">
        <v>81</v>
      </c>
      <c r="F17" s="56" t="s">
        <v>36</v>
      </c>
      <c r="G17" s="44">
        <v>11</v>
      </c>
      <c r="H17" s="129">
        <f>IF(B$15=0,0,G17/B$15)</f>
        <v>2.4017467248908297E-2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 t="shared" si="2"/>
        <v>18.434693877551016</v>
      </c>
      <c r="P17" s="115">
        <v>49</v>
      </c>
      <c r="Q17" s="103">
        <v>903.29999999999973</v>
      </c>
    </row>
    <row r="18" spans="1:17" x14ac:dyDescent="0.45">
      <c r="A18" s="51" t="s">
        <v>11</v>
      </c>
      <c r="B18" s="44">
        <v>267</v>
      </c>
      <c r="C18" s="37">
        <f>IF(B$15=0,0,B18/B$15)</f>
        <v>0.58296943231441045</v>
      </c>
      <c r="E18" s="59" t="s">
        <v>79</v>
      </c>
      <c r="F18" s="56" t="s">
        <v>34</v>
      </c>
      <c r="G18" s="44">
        <v>8</v>
      </c>
      <c r="H18" s="129">
        <f>IF(B$15=0,0,G18/B$15)</f>
        <v>1.7467248908296942E-2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 t="shared" si="2"/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174</v>
      </c>
      <c r="C19" s="37">
        <f>IF(B$15=0,0,B19/B$15)</f>
        <v>0.37991266375545851</v>
      </c>
      <c r="E19" s="59" t="s">
        <v>162</v>
      </c>
      <c r="F19" s="56" t="s">
        <v>163</v>
      </c>
      <c r="G19" s="44">
        <v>5</v>
      </c>
      <c r="H19" s="129">
        <f>IF(B$15=0,0,G19/B$15)</f>
        <v>1.0917030567685589E-2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171</v>
      </c>
      <c r="C20" s="37">
        <f>IF(B$15=0,0,B20/B$15)</f>
        <v>0.37336244541484714</v>
      </c>
      <c r="E20" s="59" t="s">
        <v>92</v>
      </c>
      <c r="F20" s="56" t="s">
        <v>47</v>
      </c>
      <c r="G20" s="44">
        <v>3</v>
      </c>
      <c r="H20" s="129">
        <f>IF(B$15=0,0,G20/B$15)</f>
        <v>6.5502183406113534E-3</v>
      </c>
      <c r="I20" s="90">
        <v>6</v>
      </c>
      <c r="K20" s="36">
        <v>18</v>
      </c>
      <c r="L20" s="95">
        <v>-112.90000000000002</v>
      </c>
      <c r="N20" s="111" t="s">
        <v>170</v>
      </c>
      <c r="O20" s="121">
        <f t="shared" si="2"/>
        <v>-2.5288135593220309</v>
      </c>
      <c r="P20" s="115">
        <v>59</v>
      </c>
      <c r="Q20" s="103">
        <v>-149.19999999999982</v>
      </c>
    </row>
    <row r="21" spans="1:17" x14ac:dyDescent="0.45">
      <c r="A21" s="51" t="s">
        <v>194</v>
      </c>
      <c r="B21" s="44">
        <v>113</v>
      </c>
      <c r="C21" s="37">
        <f>IF(B$15=0,0,B21/B$15)</f>
        <v>0.24672489082969432</v>
      </c>
      <c r="E21" s="59" t="s">
        <v>74</v>
      </c>
      <c r="F21" s="56" t="s">
        <v>29</v>
      </c>
      <c r="G21" s="44">
        <v>2</v>
      </c>
      <c r="H21" s="129">
        <f>IF(B$15=0,0,G21/B$15)</f>
        <v>4.3668122270742356E-3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 t="shared" si="2"/>
        <v>-2.808064516129031</v>
      </c>
      <c r="P21" s="115">
        <v>62</v>
      </c>
      <c r="Q21" s="103">
        <v>-174.09999999999991</v>
      </c>
    </row>
    <row r="22" spans="1:17" x14ac:dyDescent="0.45">
      <c r="A22" s="51" t="s">
        <v>5</v>
      </c>
      <c r="B22" s="48">
        <f>IF(B$15=0,0,C22/B$15)</f>
        <v>7938.6462882096066</v>
      </c>
      <c r="C22" s="39">
        <v>3635900</v>
      </c>
      <c r="E22" s="59" t="s">
        <v>75</v>
      </c>
      <c r="F22" s="56" t="s">
        <v>30</v>
      </c>
      <c r="G22" s="44">
        <v>2</v>
      </c>
      <c r="H22" s="129">
        <f>IF(B$15=0,0,G22/B$15)</f>
        <v>4.3668122270742356E-3</v>
      </c>
      <c r="I22" s="90">
        <v>9</v>
      </c>
      <c r="K22" s="36">
        <v>20</v>
      </c>
      <c r="L22" s="95">
        <v>-96.000000000000028</v>
      </c>
      <c r="N22" s="111" t="s">
        <v>274</v>
      </c>
      <c r="O22" s="121">
        <f t="shared" si="2"/>
        <v>-2.86</v>
      </c>
      <c r="P22" s="115">
        <v>5</v>
      </c>
      <c r="Q22" s="103">
        <v>-14.299999999999999</v>
      </c>
    </row>
    <row r="23" spans="1:17" x14ac:dyDescent="0.45">
      <c r="A23" s="52" t="s">
        <v>177</v>
      </c>
      <c r="B23" s="136">
        <f>IF($B$15-B$14=0,0,C23/($B$15-B$14))</f>
        <v>8537.9790940766543</v>
      </c>
      <c r="C23" s="137">
        <v>2450400</v>
      </c>
      <c r="E23" s="59" t="s">
        <v>73</v>
      </c>
      <c r="F23" s="56" t="s">
        <v>28</v>
      </c>
      <c r="G23" s="44">
        <v>1</v>
      </c>
      <c r="H23" s="129">
        <f>IF(B$15=0,0,G23/B$15)</f>
        <v>2.1834061135371178E-3</v>
      </c>
      <c r="I23" s="90">
        <v>5</v>
      </c>
      <c r="K23" s="36">
        <v>21</v>
      </c>
      <c r="L23" s="95">
        <v>-67.200000000000031</v>
      </c>
      <c r="N23" s="111" t="s">
        <v>126</v>
      </c>
      <c r="O23" s="121">
        <f t="shared" si="2"/>
        <v>-13.062393162393166</v>
      </c>
      <c r="P23" s="115">
        <v>117</v>
      </c>
      <c r="Q23" s="103">
        <v>-1528.3000000000004</v>
      </c>
    </row>
    <row r="24" spans="1:17" x14ac:dyDescent="0.45">
      <c r="A24" s="52" t="s">
        <v>178</v>
      </c>
      <c r="B24" s="136">
        <f>IF(B$14=0,0,C24/B$14)</f>
        <v>6932.7485380116959</v>
      </c>
      <c r="C24" s="137">
        <v>1185500</v>
      </c>
      <c r="E24" s="59" t="s">
        <v>77</v>
      </c>
      <c r="F24" s="56" t="s">
        <v>32</v>
      </c>
      <c r="G24" s="44">
        <v>1</v>
      </c>
      <c r="H24" s="129">
        <f>IF(B$15=0,0,G24/B$15)</f>
        <v>2.1834061135371178E-3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-7970.3125</v>
      </c>
      <c r="C25" s="137">
        <v>-2040400</v>
      </c>
      <c r="E25" s="59" t="s">
        <v>84</v>
      </c>
      <c r="F25" s="56" t="s">
        <v>39</v>
      </c>
      <c r="G25" s="44">
        <v>1</v>
      </c>
      <c r="H25" s="129">
        <f>IF(B$15=0,0,G25/B$15)</f>
        <v>2.1834061135371178E-3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4</v>
      </c>
      <c r="E26" s="59" t="s">
        <v>90</v>
      </c>
      <c r="F26" s="56" t="s">
        <v>45</v>
      </c>
      <c r="G26" s="44">
        <v>1</v>
      </c>
      <c r="H26" s="129">
        <f>IF(B$15=0,0,G26/B$15)</f>
        <v>2.1834061135371178E-3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29</v>
      </c>
      <c r="E27" s="59" t="s">
        <v>95</v>
      </c>
      <c r="F27" s="56" t="s">
        <v>50</v>
      </c>
      <c r="G27" s="44">
        <v>1</v>
      </c>
      <c r="H27" s="129">
        <f>IF(B$15=0,0,G27/B$15)</f>
        <v>2.1834061135371178E-3</v>
      </c>
      <c r="I27" s="90">
        <v>4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3.434065934065934E-3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37</v>
      </c>
      <c r="C32" s="141">
        <f>IF(B$15=0,0,B32/B$15)</f>
        <v>8.0786026200873357E-2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86</v>
      </c>
      <c r="C33" s="37">
        <f t="shared" ref="C33:C44" si="3">IF(B$15=0,0,B33/B$15)</f>
        <v>0.18777292576419213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98</v>
      </c>
      <c r="C34" s="37">
        <f>IF(B$15=0,0,B34/B$15)</f>
        <v>0.21397379912663755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92</v>
      </c>
      <c r="C35" s="37">
        <f t="shared" si="3"/>
        <v>0.20087336244541484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63</v>
      </c>
      <c r="C36" s="37">
        <f t="shared" si="3"/>
        <v>0.13755458515283842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44</v>
      </c>
      <c r="C37" s="37">
        <f t="shared" si="3"/>
        <v>9.606986899563319E-2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3"/>
        <v>3.2751091703056769E-2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3"/>
        <v>1.9650655021834062E-2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3"/>
        <v>1.3100436681222707E-2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2.1834061135371178E-3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3"/>
        <v>6.5502183406113534E-3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8.7336244541484712E-3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-41.100000000000207</v>
      </c>
    </row>
    <row r="178" spans="11:12" x14ac:dyDescent="0.45">
      <c r="K178" s="36">
        <v>176</v>
      </c>
      <c r="L178" s="95">
        <v>-68.600000000000207</v>
      </c>
    </row>
    <row r="179" spans="11:12" x14ac:dyDescent="0.45">
      <c r="K179" s="36">
        <v>177</v>
      </c>
      <c r="L179" s="95">
        <v>-6.0000000000002061</v>
      </c>
    </row>
  </sheetData>
  <sortState xmlns:xlrd2="http://schemas.microsoft.com/office/spreadsheetml/2017/richdata2" ref="E2:I18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176</v>
      </c>
      <c r="H2" s="128">
        <f>IF(B$15=0,0,G2/B$15)</f>
        <v>0.76855895196506552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-637.37373737373741</v>
      </c>
      <c r="P2" s="114">
        <v>99</v>
      </c>
      <c r="Q2" s="98">
        <v>-63100</v>
      </c>
    </row>
    <row r="3" spans="1:17" x14ac:dyDescent="0.45">
      <c r="A3" s="51" t="s">
        <v>8</v>
      </c>
      <c r="B3" s="156">
        <v>863</v>
      </c>
      <c r="C3" s="157"/>
      <c r="E3" s="59" t="s">
        <v>64</v>
      </c>
      <c r="F3" s="56" t="s">
        <v>20</v>
      </c>
      <c r="G3" s="44">
        <v>127</v>
      </c>
      <c r="H3" s="129">
        <f>IF(B$15=0,0,G3/B$15)</f>
        <v>0.55458515283842791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-893.93939393939399</v>
      </c>
      <c r="P3" s="115">
        <v>99</v>
      </c>
      <c r="Q3" s="99">
        <v>-88500</v>
      </c>
    </row>
    <row r="4" spans="1:17" x14ac:dyDescent="0.45">
      <c r="A4" s="51" t="s">
        <v>6</v>
      </c>
      <c r="B4" s="158">
        <v>-752.69999999999993</v>
      </c>
      <c r="C4" s="159"/>
      <c r="E4" s="59" t="s">
        <v>72</v>
      </c>
      <c r="F4" s="56" t="s">
        <v>27</v>
      </c>
      <c r="G4" s="44">
        <v>114</v>
      </c>
      <c r="H4" s="129">
        <f>IF(B$15=0,0,G4/B$15)</f>
        <v>0.49781659388646288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469.89247311827955</v>
      </c>
      <c r="P4" s="115">
        <v>93</v>
      </c>
      <c r="Q4" s="99">
        <v>43700</v>
      </c>
    </row>
    <row r="5" spans="1:17" x14ac:dyDescent="0.45">
      <c r="A5" s="51" t="s">
        <v>7</v>
      </c>
      <c r="B5" s="160">
        <f>IF(B$2=0,0,B$4/B$2)</f>
        <v>-7.5269999999999992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0.41921397379912662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-779.12087912087907</v>
      </c>
      <c r="P5" s="115">
        <v>91</v>
      </c>
      <c r="Q5" s="99">
        <v>-70900</v>
      </c>
    </row>
    <row r="6" spans="1:17" x14ac:dyDescent="0.45">
      <c r="A6" s="51" t="s">
        <v>1</v>
      </c>
      <c r="B6" s="150">
        <f>IF(B$2=0,0,(B$7*1+B$8*2+B$9*3)/B$2)</f>
        <v>2.19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0.34934497816593885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-2894.1860465116279</v>
      </c>
      <c r="P6" s="115">
        <v>86</v>
      </c>
      <c r="Q6" s="99">
        <v>-248900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</v>
      </c>
      <c r="E7" s="59" t="s">
        <v>67</v>
      </c>
      <c r="F7" s="56" t="s">
        <v>23</v>
      </c>
      <c r="G7" s="44">
        <v>70</v>
      </c>
      <c r="H7" s="129">
        <f>IF(B$15=0,0,G7/B$15)</f>
        <v>0.3056768558951965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-1877.3333333333333</v>
      </c>
      <c r="P7" s="116">
        <v>75</v>
      </c>
      <c r="Q7" s="100">
        <v>-140800</v>
      </c>
    </row>
    <row r="8" spans="1:17" x14ac:dyDescent="0.45">
      <c r="A8" s="51" t="s">
        <v>3</v>
      </c>
      <c r="B8" s="44">
        <v>39</v>
      </c>
      <c r="C8" s="37">
        <f t="shared" si="1"/>
        <v>0.39</v>
      </c>
      <c r="E8" s="59" t="s">
        <v>69</v>
      </c>
      <c r="F8" s="56" t="s">
        <v>24</v>
      </c>
      <c r="G8" s="44">
        <v>33</v>
      </c>
      <c r="H8" s="129">
        <f>IF(B$15=0,0,G8/B$15)</f>
        <v>0.14410480349344978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0.4</v>
      </c>
      <c r="E9" s="59" t="s">
        <v>65</v>
      </c>
      <c r="F9" s="56" t="s">
        <v>21</v>
      </c>
      <c r="G9" s="44">
        <v>28</v>
      </c>
      <c r="H9" s="129">
        <f>IF(B$15=0,0,G9/B$15)</f>
        <v>0.1222707423580786</v>
      </c>
      <c r="I9" s="90">
        <v>7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0.08</v>
      </c>
      <c r="E10" s="59" t="s">
        <v>70</v>
      </c>
      <c r="F10" s="56" t="s">
        <v>25</v>
      </c>
      <c r="G10" s="44">
        <v>28</v>
      </c>
      <c r="H10" s="129">
        <f>IF(B$15=0,0,G10/B$15)</f>
        <v>0.1222707423580786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-6.9425000000000026</v>
      </c>
      <c r="P10" s="114">
        <v>40</v>
      </c>
      <c r="Q10" s="102">
        <v>-277.7000000000001</v>
      </c>
    </row>
    <row r="11" spans="1:17" x14ac:dyDescent="0.45">
      <c r="A11" s="54" t="s">
        <v>121</v>
      </c>
      <c r="B11" s="47">
        <v>236</v>
      </c>
      <c r="C11" s="42">
        <f>IF(B$3=0,0,B11/B$3)</f>
        <v>0.27346465816917731</v>
      </c>
      <c r="E11" s="59" t="s">
        <v>89</v>
      </c>
      <c r="F11" s="56" t="s">
        <v>44</v>
      </c>
      <c r="G11" s="44">
        <v>26</v>
      </c>
      <c r="H11" s="129">
        <f>IF(B$15=0,0,G11/B$15)</f>
        <v>0.11353711790393013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165</v>
      </c>
      <c r="C12" s="37">
        <f>IF(B$3=0,0,B12/B$3)</f>
        <v>0.19119351100811124</v>
      </c>
      <c r="E12" s="59" t="s">
        <v>83</v>
      </c>
      <c r="F12" s="56" t="s">
        <v>38</v>
      </c>
      <c r="G12" s="44">
        <v>14</v>
      </c>
      <c r="H12" s="129">
        <f>IF(B$15=0,0,G12/B$15)</f>
        <v>6.1135371179039298E-2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127</v>
      </c>
      <c r="C13" s="35">
        <f>IF(B$11=0,0,B13/B$11)</f>
        <v>0.53813559322033899</v>
      </c>
      <c r="E13" s="59" t="s">
        <v>86</v>
      </c>
      <c r="F13" s="56" t="s">
        <v>41</v>
      </c>
      <c r="G13" s="44">
        <v>10</v>
      </c>
      <c r="H13" s="129">
        <f>IF(B$15=0,0,G13/B$15)</f>
        <v>4.3668122270742356E-2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71</v>
      </c>
      <c r="F14" s="56" t="s">
        <v>26</v>
      </c>
      <c r="G14" s="44">
        <v>9</v>
      </c>
      <c r="H14" s="129">
        <f>IF(B$15=0,0,G14/B$15)</f>
        <v>3.9301310043668124E-2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229</v>
      </c>
      <c r="C15" s="35">
        <f>IF(B$3=0,0,B15/B$3)</f>
        <v>0.26535341830822712</v>
      </c>
      <c r="E15" s="59" t="s">
        <v>78</v>
      </c>
      <c r="F15" s="56" t="s">
        <v>33</v>
      </c>
      <c r="G15" s="44">
        <v>8</v>
      </c>
      <c r="H15" s="129">
        <f>IF(B$15=0,0,G15/B$15)</f>
        <v>3.4934497816593885E-2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158</v>
      </c>
      <c r="C16" s="37">
        <f>IF(B$3=0,0,B16/B$3)</f>
        <v>0.18308227114716108</v>
      </c>
      <c r="E16" s="59" t="s">
        <v>79</v>
      </c>
      <c r="F16" s="56" t="s">
        <v>34</v>
      </c>
      <c r="G16" s="44">
        <v>4</v>
      </c>
      <c r="H16" s="129">
        <f>IF(B$15=0,0,G16/B$15)</f>
        <v>1.7467248908296942E-2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107</v>
      </c>
      <c r="C17" s="37">
        <f>IF(B$15=0,0,B17/B$15)</f>
        <v>0.46724890829694321</v>
      </c>
      <c r="E17" s="59" t="s">
        <v>81</v>
      </c>
      <c r="F17" s="56" t="s">
        <v>36</v>
      </c>
      <c r="G17" s="44">
        <v>4</v>
      </c>
      <c r="H17" s="129">
        <f>IF(B$15=0,0,G17/B$15)</f>
        <v>1.7467248908296942E-2</v>
      </c>
      <c r="I17" s="90">
        <v>7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0.53275109170305679</v>
      </c>
      <c r="E18" s="59" t="s">
        <v>162</v>
      </c>
      <c r="F18" s="56" t="s">
        <v>163</v>
      </c>
      <c r="G18" s="44">
        <v>4</v>
      </c>
      <c r="H18" s="129">
        <f>IF(B$15=0,0,G18/B$15)</f>
        <v>1.7467248908296942E-2</v>
      </c>
      <c r="I18" s="90">
        <v>4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127</v>
      </c>
      <c r="C19" s="37">
        <f>IF(B$15=0,0,B19/B$15)</f>
        <v>0.55458515283842791</v>
      </c>
      <c r="E19" s="59" t="s">
        <v>75</v>
      </c>
      <c r="F19" s="56" t="s">
        <v>30</v>
      </c>
      <c r="G19" s="44">
        <v>3</v>
      </c>
      <c r="H19" s="129">
        <f>IF(B$15=0,0,G19/B$15)</f>
        <v>1.3100436681222707E-2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0.29257641921397382</v>
      </c>
      <c r="E20" s="59" t="s">
        <v>85</v>
      </c>
      <c r="F20" s="56" t="s">
        <v>40</v>
      </c>
      <c r="G20" s="44">
        <v>1</v>
      </c>
      <c r="H20" s="129">
        <f>IF(B$15=0,0,G20/B$15)</f>
        <v>4.3668122270742356E-3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-15.762500000000001</v>
      </c>
      <c r="P20" s="115">
        <v>64</v>
      </c>
      <c r="Q20" s="103">
        <v>-1008.8000000000001</v>
      </c>
    </row>
    <row r="21" spans="1:17" x14ac:dyDescent="0.45">
      <c r="A21" s="51" t="s">
        <v>194</v>
      </c>
      <c r="B21" s="44">
        <v>35</v>
      </c>
      <c r="C21" s="37">
        <f>IF(B$15=0,0,B21/B$15)</f>
        <v>0.15283842794759825</v>
      </c>
      <c r="E21" s="59" t="s">
        <v>91</v>
      </c>
      <c r="F21" s="56" t="s">
        <v>46</v>
      </c>
      <c r="G21" s="44">
        <v>1</v>
      </c>
      <c r="H21" s="129">
        <f>IF(B$15=0,0,G21/B$15)</f>
        <v>4.3668122270742356E-3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7835.8078602620089</v>
      </c>
      <c r="C22" s="39">
        <v>1794400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6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8448.1481481481478</v>
      </c>
      <c r="C23" s="137">
        <v>1368600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-7813.9240506329115</v>
      </c>
      <c r="C25" s="137">
        <v>-1234600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3.4762456546929316E-3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7.4235807860262015E-2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0.1703056768558952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0.22707423580786026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35</v>
      </c>
      <c r="C35" s="37">
        <f t="shared" si="3"/>
        <v>0.15283842794759825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3"/>
        <v>0.1703056768558952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0.10043668122270742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6.1135371179039298E-2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2.6200873362445413E-2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4.3668122270742356E-3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4.3668122270742356E-3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8.7336244541484712E-3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5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151</v>
      </c>
      <c r="C2" s="155"/>
      <c r="E2" s="58" t="s">
        <v>66</v>
      </c>
      <c r="F2" s="55" t="s">
        <v>22</v>
      </c>
      <c r="G2" s="43">
        <v>299</v>
      </c>
      <c r="H2" s="128">
        <f>IF(B$15=0,0,G2/B$15)</f>
        <v>0.91158536585365857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1700.6711409395973</v>
      </c>
      <c r="P2" s="114">
        <v>149</v>
      </c>
      <c r="Q2" s="98">
        <v>253400</v>
      </c>
    </row>
    <row r="3" spans="1:17" x14ac:dyDescent="0.45">
      <c r="A3" s="51" t="s">
        <v>8</v>
      </c>
      <c r="B3" s="156">
        <v>1195</v>
      </c>
      <c r="C3" s="157"/>
      <c r="E3" s="59" t="s">
        <v>72</v>
      </c>
      <c r="F3" s="56" t="s">
        <v>27</v>
      </c>
      <c r="G3" s="44">
        <v>181</v>
      </c>
      <c r="H3" s="129">
        <f>IF(B$15=0,0,G3/B$15)</f>
        <v>0.55182926829268297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-1870.344827586207</v>
      </c>
      <c r="P3" s="115">
        <v>145</v>
      </c>
      <c r="Q3" s="99">
        <v>-271200</v>
      </c>
    </row>
    <row r="4" spans="1:17" x14ac:dyDescent="0.45">
      <c r="A4" s="51" t="s">
        <v>6</v>
      </c>
      <c r="B4" s="158">
        <v>598.20000000000061</v>
      </c>
      <c r="C4" s="159"/>
      <c r="E4" s="59" t="s">
        <v>64</v>
      </c>
      <c r="F4" s="56" t="s">
        <v>20</v>
      </c>
      <c r="G4" s="44">
        <v>177</v>
      </c>
      <c r="H4" s="129">
        <f>IF(B$15=0,0,G4/B$15)</f>
        <v>0.53963414634146345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-652.67175572519079</v>
      </c>
      <c r="P4" s="115">
        <v>131</v>
      </c>
      <c r="Q4" s="99">
        <v>-85500</v>
      </c>
    </row>
    <row r="5" spans="1:17" x14ac:dyDescent="0.45">
      <c r="A5" s="51" t="s">
        <v>7</v>
      </c>
      <c r="B5" s="160">
        <f>IF(B$2=0,0,B$4/B$2)</f>
        <v>3.9615894039735138</v>
      </c>
      <c r="C5" s="161"/>
      <c r="E5" s="59" t="s">
        <v>67</v>
      </c>
      <c r="F5" s="56" t="s">
        <v>23</v>
      </c>
      <c r="G5" s="44">
        <v>130</v>
      </c>
      <c r="H5" s="129">
        <f>IF(B$15=0,0,G5/B$15)</f>
        <v>0.39634146341463417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2231.404958677686</v>
      </c>
      <c r="P5" s="115">
        <v>121</v>
      </c>
      <c r="Q5" s="99">
        <v>270000</v>
      </c>
    </row>
    <row r="6" spans="1:17" x14ac:dyDescent="0.45">
      <c r="A6" s="51" t="s">
        <v>1</v>
      </c>
      <c r="B6" s="150">
        <f>IF(B$2=0,0,(B$7*1+B$8*2+B$9*3)/B$2)</f>
        <v>1.9205298013245033</v>
      </c>
      <c r="C6" s="151"/>
      <c r="E6" s="59" t="s">
        <v>68</v>
      </c>
      <c r="F6" s="56" t="s">
        <v>12</v>
      </c>
      <c r="G6" s="44">
        <v>129</v>
      </c>
      <c r="H6" s="129">
        <f>IF(B$15=0,0,G6/B$15)</f>
        <v>0.39329268292682928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1465.1376146788991</v>
      </c>
      <c r="P6" s="115">
        <v>109</v>
      </c>
      <c r="Q6" s="99">
        <v>159700</v>
      </c>
    </row>
    <row r="7" spans="1:17" x14ac:dyDescent="0.45">
      <c r="A7" s="51" t="s">
        <v>2</v>
      </c>
      <c r="B7" s="44">
        <v>60</v>
      </c>
      <c r="C7" s="37">
        <f t="shared" ref="C7:C10" si="1">IF(B$2=0,0,B7/B$2)</f>
        <v>0.39735099337748342</v>
      </c>
      <c r="E7" s="59" t="s">
        <v>166</v>
      </c>
      <c r="F7" s="56" t="s">
        <v>167</v>
      </c>
      <c r="G7" s="44">
        <v>125</v>
      </c>
      <c r="H7" s="129">
        <f>IF(B$15=0,0,G7/B$15)</f>
        <v>0.38109756097560976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520.73170731707319</v>
      </c>
      <c r="P7" s="116">
        <v>82</v>
      </c>
      <c r="Q7" s="100">
        <v>42700</v>
      </c>
    </row>
    <row r="8" spans="1:17" x14ac:dyDescent="0.45">
      <c r="A8" s="51" t="s">
        <v>3</v>
      </c>
      <c r="B8" s="44">
        <v>43</v>
      </c>
      <c r="C8" s="37">
        <f t="shared" si="1"/>
        <v>0.28476821192052981</v>
      </c>
      <c r="E8" s="59" t="s">
        <v>89</v>
      </c>
      <c r="F8" s="56" t="s">
        <v>44</v>
      </c>
      <c r="G8" s="44">
        <v>82</v>
      </c>
      <c r="H8" s="129">
        <f>IF(B$15=0,0,G8/B$15)</f>
        <v>0.25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0.31788079470198677</v>
      </c>
      <c r="E9" s="59" t="s">
        <v>69</v>
      </c>
      <c r="F9" s="56" t="s">
        <v>24</v>
      </c>
      <c r="G9" s="44">
        <v>68</v>
      </c>
      <c r="H9" s="129">
        <f>IF(B$15=0,0,G9/B$15)</f>
        <v>0.2073170731707317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0.12582781456953643</v>
      </c>
      <c r="E10" s="59" t="s">
        <v>65</v>
      </c>
      <c r="F10" s="56" t="s">
        <v>21</v>
      </c>
      <c r="G10" s="44">
        <v>47</v>
      </c>
      <c r="H10" s="129">
        <f>IF(B$15=0,0,G10/B$15)</f>
        <v>0.14329268292682926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-8.7357142857142858</v>
      </c>
      <c r="P10" s="114">
        <v>42</v>
      </c>
      <c r="Q10" s="102">
        <v>-366.9</v>
      </c>
    </row>
    <row r="11" spans="1:17" x14ac:dyDescent="0.45">
      <c r="A11" s="54" t="s">
        <v>121</v>
      </c>
      <c r="B11" s="47">
        <v>354</v>
      </c>
      <c r="C11" s="42">
        <f>IF(B$3=0,0,B11/B$3)</f>
        <v>0.29623430962343095</v>
      </c>
      <c r="E11" s="59" t="s">
        <v>70</v>
      </c>
      <c r="F11" s="56" t="s">
        <v>25</v>
      </c>
      <c r="G11" s="44">
        <v>41</v>
      </c>
      <c r="H11" s="129">
        <f>IF(B$15=0,0,G11/B$15)</f>
        <v>0.125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6.2339285714285699</v>
      </c>
      <c r="P11" s="115">
        <v>56</v>
      </c>
      <c r="Q11" s="103">
        <v>349.09999999999991</v>
      </c>
    </row>
    <row r="12" spans="1:17" x14ac:dyDescent="0.45">
      <c r="A12" s="51" t="s">
        <v>118</v>
      </c>
      <c r="B12" s="44">
        <v>219</v>
      </c>
      <c r="C12" s="37">
        <f>IF(B$3=0,0,B12/B$3)</f>
        <v>0.18326359832635983</v>
      </c>
      <c r="E12" s="59" t="s">
        <v>71</v>
      </c>
      <c r="F12" s="56" t="s">
        <v>26</v>
      </c>
      <c r="G12" s="44">
        <v>20</v>
      </c>
      <c r="H12" s="129">
        <f>IF(B$15=0,0,G12/B$15)</f>
        <v>6.097560975609756E-2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11.846153846153848</v>
      </c>
      <c r="P12" s="116">
        <v>52</v>
      </c>
      <c r="Q12" s="104">
        <v>616.00000000000011</v>
      </c>
    </row>
    <row r="13" spans="1:17" x14ac:dyDescent="0.45">
      <c r="A13" s="50" t="s">
        <v>123</v>
      </c>
      <c r="B13" s="43">
        <f>B19</f>
        <v>192</v>
      </c>
      <c r="C13" s="35">
        <f>IF(B$11=0,0,B13/B$11)</f>
        <v>0.5423728813559322</v>
      </c>
      <c r="E13" s="59" t="s">
        <v>162</v>
      </c>
      <c r="F13" s="56" t="s">
        <v>163</v>
      </c>
      <c r="G13" s="44">
        <v>17</v>
      </c>
      <c r="H13" s="129">
        <f>IF(B$15=0,0,G13/B$15)</f>
        <v>5.1829268292682924E-2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84</v>
      </c>
      <c r="C14" s="35">
        <f>IF(B$12=0,0,B14/B$12)</f>
        <v>0.38356164383561642</v>
      </c>
      <c r="E14" s="59" t="s">
        <v>86</v>
      </c>
      <c r="F14" s="56" t="s">
        <v>41</v>
      </c>
      <c r="G14" s="44">
        <v>12</v>
      </c>
      <c r="H14" s="129">
        <f>IF(B$15=0,0,G14/B$15)</f>
        <v>3.6585365853658534E-2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328</v>
      </c>
      <c r="C15" s="35">
        <f>IF(B$3=0,0,B15/B$3)</f>
        <v>0.27447698744769872</v>
      </c>
      <c r="E15" s="59" t="s">
        <v>83</v>
      </c>
      <c r="F15" s="56" t="s">
        <v>38</v>
      </c>
      <c r="G15" s="44">
        <v>10</v>
      </c>
      <c r="H15" s="129">
        <f>IF(B$15=0,0,G15/B$15)</f>
        <v>3.048780487804878E-2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207</v>
      </c>
      <c r="C16" s="37">
        <f>IF(B$3=0,0,B16/B$3)</f>
        <v>0.17322175732217573</v>
      </c>
      <c r="E16" s="59" t="s">
        <v>91</v>
      </c>
      <c r="F16" s="56" t="s">
        <v>46</v>
      </c>
      <c r="G16" s="44">
        <v>8</v>
      </c>
      <c r="H16" s="129">
        <f>IF(B$15=0,0,G16/B$15)</f>
        <v>2.4390243902439025E-2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29.706250000000004</v>
      </c>
      <c r="P16" s="115">
        <v>32</v>
      </c>
      <c r="Q16" s="103">
        <v>950.60000000000014</v>
      </c>
    </row>
    <row r="17" spans="1:17" x14ac:dyDescent="0.45">
      <c r="A17" s="51" t="s">
        <v>12</v>
      </c>
      <c r="B17" s="44">
        <v>168</v>
      </c>
      <c r="C17" s="37">
        <f>IF(B$15=0,0,B17/B$15)</f>
        <v>0.51219512195121952</v>
      </c>
      <c r="E17" s="59" t="s">
        <v>81</v>
      </c>
      <c r="F17" s="56" t="s">
        <v>36</v>
      </c>
      <c r="G17" s="44">
        <v>6</v>
      </c>
      <c r="H17" s="129">
        <f>IF(B$15=0,0,G17/B$15)</f>
        <v>1.8292682926829267E-2</v>
      </c>
      <c r="I17" s="90">
        <v>6</v>
      </c>
      <c r="K17" s="36">
        <v>15</v>
      </c>
      <c r="L17" s="95">
        <v>-101.79999999999997</v>
      </c>
      <c r="N17" s="111" t="s">
        <v>197</v>
      </c>
      <c r="O17" s="121">
        <f>IF(P17=0,0,Q17/P17)</f>
        <v>13.168750000000001</v>
      </c>
      <c r="P17" s="115">
        <v>32</v>
      </c>
      <c r="Q17" s="103">
        <v>421.40000000000003</v>
      </c>
    </row>
    <row r="18" spans="1:17" x14ac:dyDescent="0.45">
      <c r="A18" s="51" t="s">
        <v>11</v>
      </c>
      <c r="B18" s="44">
        <v>160</v>
      </c>
      <c r="C18" s="37">
        <f>IF(B$15=0,0,B18/B$15)</f>
        <v>0.48780487804878048</v>
      </c>
      <c r="E18" s="59" t="s">
        <v>92</v>
      </c>
      <c r="F18" s="56" t="s">
        <v>47</v>
      </c>
      <c r="G18" s="44">
        <v>6</v>
      </c>
      <c r="H18" s="129">
        <f>IF(B$15=0,0,G18/B$15)</f>
        <v>1.8292682926829267E-2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8.5328571428571429</v>
      </c>
      <c r="P18" s="115">
        <v>70</v>
      </c>
      <c r="Q18" s="103">
        <v>597.29999999999995</v>
      </c>
    </row>
    <row r="19" spans="1:17" x14ac:dyDescent="0.45">
      <c r="A19" s="51" t="s">
        <v>195</v>
      </c>
      <c r="B19" s="44">
        <v>192</v>
      </c>
      <c r="C19" s="37">
        <f>IF(B$15=0,0,B19/B$15)</f>
        <v>0.58536585365853655</v>
      </c>
      <c r="E19" s="59" t="s">
        <v>78</v>
      </c>
      <c r="F19" s="56" t="s">
        <v>33</v>
      </c>
      <c r="G19" s="44">
        <v>5</v>
      </c>
      <c r="H19" s="129">
        <f>IF(B$15=0,0,G19/B$15)</f>
        <v>1.524390243902439E-2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>IF(P19=0,0,Q19/P19)</f>
        <v>5.1500000000000012</v>
      </c>
      <c r="P19" s="115">
        <v>10</v>
      </c>
      <c r="Q19" s="103">
        <v>51.500000000000014</v>
      </c>
    </row>
    <row r="20" spans="1:17" x14ac:dyDescent="0.45">
      <c r="A20" s="51" t="s">
        <v>193</v>
      </c>
      <c r="B20" s="44">
        <v>84</v>
      </c>
      <c r="C20" s="37">
        <f>IF(B$15=0,0,B20/B$15)</f>
        <v>0.25609756097560976</v>
      </c>
      <c r="E20" s="59" t="s">
        <v>79</v>
      </c>
      <c r="F20" s="56" t="s">
        <v>34</v>
      </c>
      <c r="G20" s="44">
        <v>4</v>
      </c>
      <c r="H20" s="129">
        <f>IF(B$15=0,0,G20/B$15)</f>
        <v>1.2195121951219513E-2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2.5288135593220322</v>
      </c>
      <c r="P20" s="115">
        <v>59</v>
      </c>
      <c r="Q20" s="103">
        <v>149.1999999999999</v>
      </c>
    </row>
    <row r="21" spans="1:17" x14ac:dyDescent="0.45">
      <c r="A21" s="51" t="s">
        <v>194</v>
      </c>
      <c r="B21" s="44">
        <v>52</v>
      </c>
      <c r="C21" s="37">
        <f>IF(B$15=0,0,B21/B$15)</f>
        <v>0.15853658536585366</v>
      </c>
      <c r="E21" s="59" t="s">
        <v>84</v>
      </c>
      <c r="F21" s="56" t="s">
        <v>39</v>
      </c>
      <c r="G21" s="44">
        <v>3</v>
      </c>
      <c r="H21" s="129">
        <f>IF(B$15=0,0,G21/B$15)</f>
        <v>9.1463414634146336E-3</v>
      </c>
      <c r="I21" s="90">
        <v>1</v>
      </c>
      <c r="K21" s="36">
        <v>19</v>
      </c>
      <c r="L21" s="95">
        <v>-27.799999999999969</v>
      </c>
      <c r="N21" s="111" t="s">
        <v>274</v>
      </c>
      <c r="O21" s="121">
        <f>IF(P21=0,0,Q21/P21)</f>
        <v>-2.910000000000001</v>
      </c>
      <c r="P21" s="115">
        <v>10</v>
      </c>
      <c r="Q21" s="103">
        <v>-29.100000000000009</v>
      </c>
    </row>
    <row r="22" spans="1:17" x14ac:dyDescent="0.45">
      <c r="A22" s="51" t="s">
        <v>5</v>
      </c>
      <c r="B22" s="48">
        <f>IF(B$15=0,0,C22/B$15)</f>
        <v>11175</v>
      </c>
      <c r="C22" s="39">
        <v>3665400</v>
      </c>
      <c r="E22" s="59" t="s">
        <v>85</v>
      </c>
      <c r="F22" s="56" t="s">
        <v>40</v>
      </c>
      <c r="G22" s="44">
        <v>3</v>
      </c>
      <c r="H22" s="129">
        <f>IF(B$15=0,0,G22/B$15)</f>
        <v>9.1463414634146336E-3</v>
      </c>
      <c r="I22" s="90">
        <v>3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11842.213114754099</v>
      </c>
      <c r="C23" s="137">
        <v>2889500</v>
      </c>
      <c r="E23" s="59" t="s">
        <v>73</v>
      </c>
      <c r="F23" s="56" t="s">
        <v>28</v>
      </c>
      <c r="G23" s="44">
        <v>2</v>
      </c>
      <c r="H23" s="129">
        <f>IF(B$15=0,0,G23/B$15)</f>
        <v>6.0975609756097563E-3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>IF(P23=0,0,Q23/P23)</f>
        <v>-6.3095238095238111</v>
      </c>
      <c r="P23" s="115">
        <v>63</v>
      </c>
      <c r="Q23" s="103">
        <v>-397.50000000000011</v>
      </c>
    </row>
    <row r="24" spans="1:17" x14ac:dyDescent="0.45">
      <c r="A24" s="52" t="s">
        <v>178</v>
      </c>
      <c r="B24" s="136">
        <f>IF(B$14=0,0,C24/B$14)</f>
        <v>9236.9047619047615</v>
      </c>
      <c r="C24" s="137">
        <v>775900</v>
      </c>
      <c r="E24" s="59" t="s">
        <v>75</v>
      </c>
      <c r="F24" s="56" t="s">
        <v>30</v>
      </c>
      <c r="G24" s="44">
        <v>2</v>
      </c>
      <c r="H24" s="129">
        <f>IF(B$15=0,0,G24/B$15)</f>
        <v>6.0975609756097563E-3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-8402.4154589371974</v>
      </c>
      <c r="C25" s="137">
        <v>-1739300</v>
      </c>
      <c r="E25" s="59" t="s">
        <v>90</v>
      </c>
      <c r="F25" s="56" t="s">
        <v>45</v>
      </c>
      <c r="G25" s="44">
        <v>2</v>
      </c>
      <c r="H25" s="129">
        <f>IF(B$15=0,0,G25/B$15)</f>
        <v>6.0975609756097563E-3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77</v>
      </c>
      <c r="F26" s="56" t="s">
        <v>32</v>
      </c>
      <c r="G26" s="44">
        <v>1</v>
      </c>
      <c r="H26" s="129">
        <f>IF(B$15=0,0,G26/B$15)</f>
        <v>3.0487804878048782E-3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3</v>
      </c>
      <c r="E27" s="59" t="s">
        <v>88</v>
      </c>
      <c r="F27" s="56" t="s">
        <v>43</v>
      </c>
      <c r="G27" s="44">
        <v>1</v>
      </c>
      <c r="H27" s="129">
        <f>IF(B$15=0,0,G27/B$15)</f>
        <v>3.0487804878048782E-3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3.0487804878048782E-3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95</v>
      </c>
      <c r="F29" s="56" t="s">
        <v>50</v>
      </c>
      <c r="G29" s="44">
        <v>1</v>
      </c>
      <c r="H29" s="129">
        <f>IF(B$15=0,0,G29/B$15)</f>
        <v>3.0487804878048782E-3</v>
      </c>
      <c r="I29" s="90">
        <v>3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1.6736401673640166E-3</v>
      </c>
      <c r="E30" s="59" t="s">
        <v>97</v>
      </c>
      <c r="F30" s="56" t="s">
        <v>52</v>
      </c>
      <c r="G30" s="44">
        <v>1</v>
      </c>
      <c r="H30" s="129">
        <f>IF(B$15=0,0,G30/B$15)</f>
        <v>3.0487804878048782E-3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74</v>
      </c>
      <c r="F31" s="56" t="s">
        <v>29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2.4390243902439025E-2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25</v>
      </c>
      <c r="C33" s="37">
        <f t="shared" ref="C33:C44" si="2">IF(B$15=0,0,B33/B$15)</f>
        <v>7.621951219512195E-2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43</v>
      </c>
      <c r="C34" s="37">
        <f>IF(B$15=0,0,B34/B$15)</f>
        <v>0.13109756097560976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61</v>
      </c>
      <c r="C35" s="37">
        <f t="shared" si="2"/>
        <v>0.18597560975609756</v>
      </c>
      <c r="E35" s="59" t="s">
        <v>87</v>
      </c>
      <c r="F35" s="56" t="s">
        <v>42</v>
      </c>
      <c r="G35" s="44">
        <v>0</v>
      </c>
      <c r="H35" s="129">
        <f>IF(B$15=0,0,G35/B$15)</f>
        <v>0</v>
      </c>
      <c r="I35" s="90">
        <v>7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71</v>
      </c>
      <c r="C36" s="37">
        <f t="shared" si="2"/>
        <v>0.21646341463414634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47</v>
      </c>
      <c r="C37" s="37">
        <f t="shared" si="2"/>
        <v>0.14329268292682926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25</v>
      </c>
      <c r="C38" s="37">
        <f t="shared" si="2"/>
        <v>7.621951219512195E-2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21</v>
      </c>
      <c r="C39" s="37">
        <f t="shared" si="2"/>
        <v>6.402439024390244E-2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9</v>
      </c>
      <c r="C40" s="37">
        <f t="shared" si="2"/>
        <v>2.7439024390243903E-2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9.1463414634146336E-3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3</v>
      </c>
      <c r="C42" s="37">
        <f t="shared" si="2"/>
        <v>9.1463414634146336E-3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3.0487804878048782E-3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11</v>
      </c>
      <c r="C44" s="40">
        <f t="shared" si="2"/>
        <v>3.3536585365853661E-2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  <row r="149" spans="11:12" x14ac:dyDescent="0.45">
      <c r="K149" s="36">
        <v>147</v>
      </c>
      <c r="L149" s="95">
        <v>524.00000000000057</v>
      </c>
    </row>
    <row r="150" spans="11:12" x14ac:dyDescent="0.45">
      <c r="K150" s="36">
        <v>148</v>
      </c>
      <c r="L150" s="95">
        <v>514.50000000000057</v>
      </c>
    </row>
    <row r="151" spans="11:12" x14ac:dyDescent="0.45">
      <c r="K151" s="36">
        <v>149</v>
      </c>
      <c r="L151" s="95">
        <v>570.00000000000057</v>
      </c>
    </row>
    <row r="152" spans="11:12" x14ac:dyDescent="0.45">
      <c r="K152" s="36">
        <v>150</v>
      </c>
      <c r="L152" s="95">
        <v>570.00000000000057</v>
      </c>
    </row>
    <row r="153" spans="11:12" x14ac:dyDescent="0.45">
      <c r="K153" s="36">
        <v>151</v>
      </c>
      <c r="L153" s="95">
        <v>598.20000000000061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5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157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5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592.10526315789468</v>
      </c>
      <c r="P3" s="115">
        <v>152</v>
      </c>
      <c r="Q3" s="99">
        <v>90000</v>
      </c>
    </row>
    <row r="4" spans="1:17" x14ac:dyDescent="0.45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5">
      <c r="A5" s="51" t="s">
        <v>7</v>
      </c>
      <c r="B5" s="160">
        <f>IF(B$2=0,0,B$4/B$2)</f>
        <v>-0.52292993630573248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5">
      <c r="A6" s="51" t="s">
        <v>1</v>
      </c>
      <c r="B6" s="150">
        <f>IF(B$2=0,0,(B$7*1+B$8*2+B$9*3)/B$2)</f>
        <v>2.0382165605095541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5">
      <c r="A7" s="51" t="s">
        <v>2</v>
      </c>
      <c r="B7" s="44">
        <v>41</v>
      </c>
      <c r="C7" s="37">
        <f t="shared" ref="C7:C10" si="1">IF(B$2=0,0,B7/B$2)</f>
        <v>0.26114649681528662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-922.22222222222217</v>
      </c>
      <c r="P7" s="116">
        <v>99</v>
      </c>
      <c r="Q7" s="100">
        <v>-91300</v>
      </c>
    </row>
    <row r="8" spans="1:17" x14ac:dyDescent="0.45">
      <c r="A8" s="51" t="s">
        <v>3</v>
      </c>
      <c r="B8" s="44">
        <v>69</v>
      </c>
      <c r="C8" s="37">
        <f t="shared" si="1"/>
        <v>0.43949044585987262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0.29936305732484075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8.2802547770700632E-2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5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10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2.8080645161290319</v>
      </c>
      <c r="P21" s="115">
        <v>62</v>
      </c>
      <c r="Q21" s="103">
        <v>174.09999999999997</v>
      </c>
    </row>
    <row r="22" spans="1:17" x14ac:dyDescent="0.45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 t="shared" si="2"/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 t="shared" si="2"/>
        <v>-8.5328571428571429</v>
      </c>
      <c r="P23" s="115">
        <v>70</v>
      </c>
      <c r="Q23" s="103">
        <v>-597.29999999999995</v>
      </c>
    </row>
    <row r="24" spans="1:17" x14ac:dyDescent="0.45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 t="shared" si="2"/>
        <v>-12.639743589743594</v>
      </c>
      <c r="P24" s="115">
        <v>78</v>
      </c>
      <c r="Q24" s="103">
        <v>-985.90000000000032</v>
      </c>
    </row>
    <row r="25" spans="1:17" x14ac:dyDescent="0.45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274</v>
      </c>
      <c r="O25" s="121">
        <f t="shared" si="2"/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3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67</v>
      </c>
      <c r="C35" s="37">
        <f t="shared" si="3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3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6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3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3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3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-71.199999999999989</v>
      </c>
    </row>
    <row r="158" spans="11:12" x14ac:dyDescent="0.45">
      <c r="K158" s="36">
        <v>156</v>
      </c>
      <c r="L158" s="95">
        <v>-116.69999999999999</v>
      </c>
    </row>
    <row r="159" spans="11:12" x14ac:dyDescent="0.45">
      <c r="K159" s="36">
        <v>157</v>
      </c>
      <c r="L159" s="95">
        <v>-82.1</v>
      </c>
    </row>
  </sheetData>
  <sortState xmlns:xlrd2="http://schemas.microsoft.com/office/spreadsheetml/2017/richdata2" ref="E2:I16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7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68</v>
      </c>
      <c r="C2" s="155"/>
      <c r="E2" s="58" t="s">
        <v>66</v>
      </c>
      <c r="F2" s="55" t="s">
        <v>22</v>
      </c>
      <c r="G2" s="43">
        <v>100</v>
      </c>
      <c r="H2" s="128">
        <f>IF(B$15=0,0,G2/B$15)</f>
        <v>0.69930069930069927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-3300</v>
      </c>
      <c r="P2" s="114">
        <v>67</v>
      </c>
      <c r="Q2" s="98">
        <v>-221100</v>
      </c>
    </row>
    <row r="3" spans="1:17" x14ac:dyDescent="0.45">
      <c r="A3" s="51" t="s">
        <v>8</v>
      </c>
      <c r="B3" s="156">
        <v>549</v>
      </c>
      <c r="C3" s="157"/>
      <c r="E3" s="59" t="s">
        <v>72</v>
      </c>
      <c r="F3" s="56" t="s">
        <v>27</v>
      </c>
      <c r="G3" s="44">
        <v>96</v>
      </c>
      <c r="H3" s="129">
        <f>IF(B$15=0,0,G3/B$15)</f>
        <v>0.67132867132867136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1758.2089552238806</v>
      </c>
      <c r="P3" s="115">
        <v>67</v>
      </c>
      <c r="Q3" s="99">
        <v>117800</v>
      </c>
    </row>
    <row r="4" spans="1:17" x14ac:dyDescent="0.45">
      <c r="A4" s="51" t="s">
        <v>6</v>
      </c>
      <c r="B4" s="158">
        <v>-655.40000000000009</v>
      </c>
      <c r="C4" s="159"/>
      <c r="E4" s="59" t="s">
        <v>64</v>
      </c>
      <c r="F4" s="56" t="s">
        <v>20</v>
      </c>
      <c r="G4" s="44">
        <v>57</v>
      </c>
      <c r="H4" s="129">
        <f>IF(B$15=0,0,G4/B$15)</f>
        <v>0.39860139860139859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-591.93548387096769</v>
      </c>
      <c r="P4" s="115">
        <v>62</v>
      </c>
      <c r="Q4" s="99">
        <v>-36700</v>
      </c>
    </row>
    <row r="5" spans="1:17" x14ac:dyDescent="0.45">
      <c r="A5" s="51" t="s">
        <v>7</v>
      </c>
      <c r="B5" s="160">
        <f>IF(B$2=0,0,B$4/B$2)</f>
        <v>-9.6382352941176492</v>
      </c>
      <c r="C5" s="161"/>
      <c r="E5" s="59" t="s">
        <v>166</v>
      </c>
      <c r="F5" s="56" t="s">
        <v>167</v>
      </c>
      <c r="G5" s="44">
        <v>50</v>
      </c>
      <c r="H5" s="129">
        <f>IF(B$15=0,0,G5/B$15)</f>
        <v>0.34965034965034963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-1503.5714285714287</v>
      </c>
      <c r="P5" s="115">
        <v>56</v>
      </c>
      <c r="Q5" s="99">
        <v>-84200</v>
      </c>
    </row>
    <row r="6" spans="1:17" x14ac:dyDescent="0.45">
      <c r="A6" s="51" t="s">
        <v>1</v>
      </c>
      <c r="B6" s="150">
        <f>IF(B$2=0,0,(B$7*1+B$8*2+B$9*3)/B$2)</f>
        <v>2.2352941176470589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0.26573426573426573</v>
      </c>
      <c r="I6" s="90">
        <v>12</v>
      </c>
      <c r="K6" s="36">
        <v>4</v>
      </c>
      <c r="L6" s="95">
        <v>-80.5</v>
      </c>
      <c r="N6" s="111" t="s">
        <v>134</v>
      </c>
      <c r="O6" s="118">
        <f t="shared" si="0"/>
        <v>-1926.4150943396226</v>
      </c>
      <c r="P6" s="115">
        <v>53</v>
      </c>
      <c r="Q6" s="99">
        <v>-102100</v>
      </c>
    </row>
    <row r="7" spans="1:17" x14ac:dyDescent="0.45">
      <c r="A7" s="51" t="s">
        <v>2</v>
      </c>
      <c r="B7" s="44">
        <v>12</v>
      </c>
      <c r="C7" s="37">
        <f t="shared" ref="C7:C10" si="1">IF(B$2=0,0,B7/B$2)</f>
        <v>0.17647058823529413</v>
      </c>
      <c r="E7" s="59" t="s">
        <v>67</v>
      </c>
      <c r="F7" s="56" t="s">
        <v>23</v>
      </c>
      <c r="G7" s="44">
        <v>34</v>
      </c>
      <c r="H7" s="129">
        <f>IF(B$15=0,0,G7/B$15)</f>
        <v>0.23776223776223776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-2106.9767441860463</v>
      </c>
      <c r="P7" s="116">
        <v>43</v>
      </c>
      <c r="Q7" s="100">
        <v>-90600</v>
      </c>
    </row>
    <row r="8" spans="1:17" x14ac:dyDescent="0.45">
      <c r="A8" s="51" t="s">
        <v>3</v>
      </c>
      <c r="B8" s="44">
        <v>28</v>
      </c>
      <c r="C8" s="37">
        <f t="shared" si="1"/>
        <v>0.41176470588235292</v>
      </c>
      <c r="E8" s="59" t="s">
        <v>89</v>
      </c>
      <c r="F8" s="56" t="s">
        <v>44</v>
      </c>
      <c r="G8" s="44">
        <v>24</v>
      </c>
      <c r="H8" s="129">
        <f>IF(B$15=0,0,G8/B$15)</f>
        <v>0.16783216783216784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28</v>
      </c>
      <c r="C9" s="38">
        <f t="shared" si="1"/>
        <v>0.41176470588235292</v>
      </c>
      <c r="E9" s="59" t="s">
        <v>65</v>
      </c>
      <c r="F9" s="56" t="s">
        <v>21</v>
      </c>
      <c r="G9" s="44">
        <v>16</v>
      </c>
      <c r="H9" s="129">
        <f>IF(B$15=0,0,G9/B$15)</f>
        <v>0.11188811188811189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0.14705882352941177</v>
      </c>
      <c r="E10" s="59" t="s">
        <v>71</v>
      </c>
      <c r="F10" s="56" t="s">
        <v>26</v>
      </c>
      <c r="G10" s="44">
        <v>13</v>
      </c>
      <c r="H10" s="129">
        <f>IF(B$15=0,0,G10/B$15)</f>
        <v>9.0909090909090912E-2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-18.792857142857141</v>
      </c>
      <c r="P10" s="114">
        <v>28</v>
      </c>
      <c r="Q10" s="102">
        <v>-526.19999999999993</v>
      </c>
    </row>
    <row r="11" spans="1:17" x14ac:dyDescent="0.45">
      <c r="A11" s="54" t="s">
        <v>121</v>
      </c>
      <c r="B11" s="47">
        <v>117</v>
      </c>
      <c r="C11" s="42">
        <f>IF(B$3=0,0,B11/B$3)</f>
        <v>0.21311475409836064</v>
      </c>
      <c r="E11" s="59" t="s">
        <v>69</v>
      </c>
      <c r="F11" s="56" t="s">
        <v>24</v>
      </c>
      <c r="G11" s="44">
        <v>12</v>
      </c>
      <c r="H11" s="129">
        <f>IF(B$15=0,0,G11/B$15)</f>
        <v>8.3916083916083919E-2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-9.0476190476190071E-2</v>
      </c>
      <c r="P11" s="115">
        <v>21</v>
      </c>
      <c r="Q11" s="103">
        <v>-1.8999999999999915</v>
      </c>
    </row>
    <row r="12" spans="1:17" x14ac:dyDescent="0.45">
      <c r="A12" s="51" t="s">
        <v>118</v>
      </c>
      <c r="B12" s="44">
        <v>126</v>
      </c>
      <c r="C12" s="37">
        <f>IF(B$3=0,0,B12/B$3)</f>
        <v>0.22950819672131148</v>
      </c>
      <c r="E12" s="59" t="s">
        <v>70</v>
      </c>
      <c r="F12" s="56" t="s">
        <v>25</v>
      </c>
      <c r="G12" s="44">
        <v>12</v>
      </c>
      <c r="H12" s="129">
        <f>IF(B$15=0,0,G12/B$15)</f>
        <v>8.3916083916083919E-2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60</v>
      </c>
      <c r="C13" s="35">
        <f>IF(B$11=0,0,B13/B$11)</f>
        <v>0.51282051282051277</v>
      </c>
      <c r="E13" s="59" t="s">
        <v>83</v>
      </c>
      <c r="F13" s="56" t="s">
        <v>38</v>
      </c>
      <c r="G13" s="44">
        <v>9</v>
      </c>
      <c r="H13" s="129">
        <f>IF(B$15=0,0,G13/B$15)</f>
        <v>6.2937062937062943E-2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56</v>
      </c>
      <c r="C14" s="35">
        <f>IF(B$12=0,0,B14/B$12)</f>
        <v>0.44444444444444442</v>
      </c>
      <c r="E14" s="59" t="s">
        <v>81</v>
      </c>
      <c r="F14" s="56" t="s">
        <v>36</v>
      </c>
      <c r="G14" s="44">
        <v>8</v>
      </c>
      <c r="H14" s="129">
        <f>IF(B$15=0,0,G14/B$15)</f>
        <v>5.5944055944055944E-2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143</v>
      </c>
      <c r="C15" s="35">
        <f>IF(B$3=0,0,B15/B$3)</f>
        <v>0.26047358834244078</v>
      </c>
      <c r="E15" s="59" t="s">
        <v>86</v>
      </c>
      <c r="F15" s="56" t="s">
        <v>41</v>
      </c>
      <c r="G15" s="44">
        <v>8</v>
      </c>
      <c r="H15" s="129">
        <f>IF(B$15=0,0,G15/B$15)</f>
        <v>5.5944055944055944E-2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10.047619047619046</v>
      </c>
      <c r="P15" s="114">
        <v>21</v>
      </c>
      <c r="Q15" s="102">
        <v>210.99999999999994</v>
      </c>
    </row>
    <row r="16" spans="1:17" x14ac:dyDescent="0.45">
      <c r="A16" s="51" t="s">
        <v>13</v>
      </c>
      <c r="B16" s="44">
        <v>97</v>
      </c>
      <c r="C16" s="37">
        <f>IF(B$3=0,0,B16/B$3)</f>
        <v>0.1766848816029144</v>
      </c>
      <c r="E16" s="59" t="s">
        <v>91</v>
      </c>
      <c r="F16" s="56" t="s">
        <v>46</v>
      </c>
      <c r="G16" s="44">
        <v>2</v>
      </c>
      <c r="H16" s="129">
        <f>IF(B$15=0,0,G16/B$15)</f>
        <v>1.3986013986013986E-2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65</v>
      </c>
      <c r="C17" s="37">
        <f>IF(B$15=0,0,B17/B$15)</f>
        <v>0.45454545454545453</v>
      </c>
      <c r="E17" s="59" t="s">
        <v>73</v>
      </c>
      <c r="F17" s="56" t="s">
        <v>28</v>
      </c>
      <c r="G17" s="44">
        <v>1</v>
      </c>
      <c r="H17" s="129">
        <f>IF(B$15=0,0,G17/B$15)</f>
        <v>6.993006993006993E-3</v>
      </c>
      <c r="I17" s="90">
        <v>2</v>
      </c>
      <c r="K17" s="36">
        <v>15</v>
      </c>
      <c r="L17" s="95">
        <v>-272.50000000000006</v>
      </c>
      <c r="N17" s="111" t="s">
        <v>274</v>
      </c>
      <c r="O17" s="121">
        <f>IF(P17=0,0,Q17/P17)</f>
        <v>-12.000000000000002</v>
      </c>
      <c r="P17" s="115">
        <v>1</v>
      </c>
      <c r="Q17" s="103">
        <v>-12.000000000000002</v>
      </c>
    </row>
    <row r="18" spans="1:17" x14ac:dyDescent="0.45">
      <c r="A18" s="51" t="s">
        <v>11</v>
      </c>
      <c r="B18" s="44">
        <v>78</v>
      </c>
      <c r="C18" s="37">
        <f>IF(B$15=0,0,B18/B$15)</f>
        <v>0.54545454545454541</v>
      </c>
      <c r="E18" s="59" t="s">
        <v>74</v>
      </c>
      <c r="F18" s="56" t="s">
        <v>29</v>
      </c>
      <c r="G18" s="44">
        <v>1</v>
      </c>
      <c r="H18" s="129">
        <f>IF(B$15=0,0,G18/B$15)</f>
        <v>6.993006993006993E-3</v>
      </c>
      <c r="I18" s="90">
        <v>2</v>
      </c>
      <c r="K18" s="36">
        <v>16</v>
      </c>
      <c r="L18" s="95">
        <v>-320.30000000000007</v>
      </c>
      <c r="N18" s="111" t="s">
        <v>127</v>
      </c>
      <c r="O18" s="121">
        <f>IF(P18=0,0,Q18/P18)</f>
        <v>-12.000000000000002</v>
      </c>
      <c r="P18" s="115">
        <v>17</v>
      </c>
      <c r="Q18" s="103">
        <v>-204.00000000000003</v>
      </c>
    </row>
    <row r="19" spans="1:17" x14ac:dyDescent="0.45">
      <c r="A19" s="51" t="s">
        <v>195</v>
      </c>
      <c r="B19" s="44">
        <v>60</v>
      </c>
      <c r="C19" s="37">
        <f>IF(B$15=0,0,B19/B$15)</f>
        <v>0.41958041958041958</v>
      </c>
      <c r="E19" s="59" t="s">
        <v>78</v>
      </c>
      <c r="F19" s="56" t="s">
        <v>33</v>
      </c>
      <c r="G19" s="44">
        <v>1</v>
      </c>
      <c r="H19" s="129">
        <f>IF(B$15=0,0,G19/B$15)</f>
        <v>6.993006993006993E-3</v>
      </c>
      <c r="I19" s="90">
        <v>10</v>
      </c>
      <c r="K19" s="36">
        <v>17</v>
      </c>
      <c r="L19" s="95">
        <v>-352.60000000000008</v>
      </c>
      <c r="N19" s="111" t="s">
        <v>170</v>
      </c>
      <c r="O19" s="121">
        <f>IF(P19=0,0,Q19/P19)</f>
        <v>-13.168749999999999</v>
      </c>
      <c r="P19" s="115">
        <v>32</v>
      </c>
      <c r="Q19" s="103">
        <v>-421.4</v>
      </c>
    </row>
    <row r="20" spans="1:17" x14ac:dyDescent="0.45">
      <c r="A20" s="51" t="s">
        <v>193</v>
      </c>
      <c r="B20" s="44">
        <v>56</v>
      </c>
      <c r="C20" s="37">
        <f>IF(B$15=0,0,B20/B$15)</f>
        <v>0.39160839160839161</v>
      </c>
      <c r="E20" s="59" t="s">
        <v>79</v>
      </c>
      <c r="F20" s="56" t="s">
        <v>34</v>
      </c>
      <c r="G20" s="44">
        <v>1</v>
      </c>
      <c r="H20" s="129">
        <f>IF(B$15=0,0,G20/B$15)</f>
        <v>6.993006993006993E-3</v>
      </c>
      <c r="I20" s="90">
        <v>10</v>
      </c>
      <c r="K20" s="36">
        <v>18</v>
      </c>
      <c r="L20" s="95">
        <v>-355.50000000000006</v>
      </c>
      <c r="N20" s="111" t="s">
        <v>171</v>
      </c>
      <c r="O20" s="121">
        <f>IF(P20=0,0,Q20/P20)</f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27</v>
      </c>
      <c r="C21" s="37">
        <f>IF(B$15=0,0,B21/B$15)</f>
        <v>0.1888111888111888</v>
      </c>
      <c r="E21" s="59" t="s">
        <v>92</v>
      </c>
      <c r="F21" s="56" t="s">
        <v>47</v>
      </c>
      <c r="G21" s="44">
        <v>1</v>
      </c>
      <c r="H21" s="129">
        <f>IF(B$15=0,0,G21/B$15)</f>
        <v>6.993006993006993E-3</v>
      </c>
      <c r="I21" s="90">
        <v>5</v>
      </c>
      <c r="K21" s="36">
        <v>19</v>
      </c>
      <c r="L21" s="95">
        <v>-400.60000000000008</v>
      </c>
      <c r="N21" s="111" t="s">
        <v>203</v>
      </c>
      <c r="O21" s="121">
        <f>IF(P21=0,0,Q21/P21)</f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8298.6013986013986</v>
      </c>
      <c r="C22" s="39">
        <v>1186700</v>
      </c>
      <c r="E22" s="59" t="s">
        <v>95</v>
      </c>
      <c r="F22" s="56" t="s">
        <v>50</v>
      </c>
      <c r="G22" s="44">
        <v>1</v>
      </c>
      <c r="H22" s="129">
        <f>IF(B$15=0,0,G22/B$15)</f>
        <v>6.993006993006993E-3</v>
      </c>
      <c r="I22" s="90">
        <v>1</v>
      </c>
      <c r="K22" s="36">
        <v>20</v>
      </c>
      <c r="L22" s="95">
        <v>-428.10000000000008</v>
      </c>
      <c r="N22" s="111" t="s">
        <v>126</v>
      </c>
      <c r="O22" s="121">
        <f>IF(P22=0,0,Q22/P22)</f>
        <v>-24.157142857142865</v>
      </c>
      <c r="P22" s="115">
        <v>21</v>
      </c>
      <c r="Q22" s="103">
        <v>-507.30000000000018</v>
      </c>
    </row>
    <row r="23" spans="1:17" x14ac:dyDescent="0.45">
      <c r="A23" s="52" t="s">
        <v>177</v>
      </c>
      <c r="B23" s="136">
        <f>IF($B$15-B$14=0,0,C23/($B$15-B$14))</f>
        <v>8790.8045977011498</v>
      </c>
      <c r="C23" s="137">
        <v>764800</v>
      </c>
      <c r="E23" s="59" t="s">
        <v>162</v>
      </c>
      <c r="F23" s="56" t="s">
        <v>163</v>
      </c>
      <c r="G23" s="44">
        <v>1</v>
      </c>
      <c r="H23" s="129">
        <f>IF(B$15=0,0,G23/B$15)</f>
        <v>6.993006993006993E-3</v>
      </c>
      <c r="I23" s="90">
        <v>8</v>
      </c>
      <c r="K23" s="36">
        <v>21</v>
      </c>
      <c r="L23" s="95">
        <v>-423.7000000000001</v>
      </c>
      <c r="N23" s="111" t="s">
        <v>172</v>
      </c>
      <c r="O23" s="121">
        <f>IF(P23=0,0,Q23/P23)</f>
        <v>-24.274999999999999</v>
      </c>
      <c r="P23" s="115">
        <v>4</v>
      </c>
      <c r="Q23" s="103">
        <v>-97.1</v>
      </c>
    </row>
    <row r="24" spans="1:17" x14ac:dyDescent="0.45">
      <c r="A24" s="52" t="s">
        <v>178</v>
      </c>
      <c r="B24" s="136">
        <f>IF(B$14=0,0,C24/B$14)</f>
        <v>7533.9285714285716</v>
      </c>
      <c r="C24" s="137">
        <v>421900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-8558.7628865979386</v>
      </c>
      <c r="C25" s="137">
        <v>-830200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4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5.4644808743169399E-3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8.3916083916083919E-2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2">IF(B$15=0,0,B33/B$15)</f>
        <v>0.18181818181818182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29</v>
      </c>
      <c r="C34" s="37">
        <f>IF(B$15=0,0,B34/B$15)</f>
        <v>0.20279720279720279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24</v>
      </c>
      <c r="C35" s="37">
        <f t="shared" si="2"/>
        <v>0.16783216783216784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21</v>
      </c>
      <c r="C36" s="37">
        <f t="shared" si="2"/>
        <v>0.14685314685314685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12</v>
      </c>
      <c r="C37" s="37">
        <f t="shared" si="2"/>
        <v>8.3916083916083919E-2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2"/>
        <v>6.9930069930069935E-2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2"/>
        <v>4.195804195804196E-2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6.993006993006993E-3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1.3986013986013986E-2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  <row r="68" spans="11:12" x14ac:dyDescent="0.45">
      <c r="K68" s="36">
        <v>66</v>
      </c>
      <c r="L68" s="95">
        <v>-672.40000000000009</v>
      </c>
    </row>
    <row r="69" spans="11:12" x14ac:dyDescent="0.45">
      <c r="K69" s="36">
        <v>67</v>
      </c>
      <c r="L69" s="95">
        <v>-672.40000000000009</v>
      </c>
    </row>
    <row r="70" spans="11:12" x14ac:dyDescent="0.45">
      <c r="K70" s="36">
        <v>68</v>
      </c>
      <c r="L70" s="95">
        <v>-655.40000000000009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28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0.95454545454545459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-4259.2592592592591</v>
      </c>
      <c r="P2" s="114">
        <v>27</v>
      </c>
      <c r="Q2" s="98">
        <v>-115000</v>
      </c>
    </row>
    <row r="3" spans="1:17" x14ac:dyDescent="0.45">
      <c r="A3" s="51" t="s">
        <v>8</v>
      </c>
      <c r="B3" s="156">
        <v>257</v>
      </c>
      <c r="C3" s="157"/>
      <c r="E3" s="59" t="s">
        <v>64</v>
      </c>
      <c r="F3" s="56" t="s">
        <v>20</v>
      </c>
      <c r="G3" s="44">
        <v>38</v>
      </c>
      <c r="H3" s="129">
        <f>IF(B$15=0,0,G3/B$15)</f>
        <v>0.5757575757575758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-1315.3846153846155</v>
      </c>
      <c r="P3" s="115">
        <v>26</v>
      </c>
      <c r="Q3" s="99">
        <v>-34200</v>
      </c>
    </row>
    <row r="4" spans="1:17" x14ac:dyDescent="0.45">
      <c r="A4" s="51" t="s">
        <v>6</v>
      </c>
      <c r="B4" s="158">
        <v>-129.6</v>
      </c>
      <c r="C4" s="159"/>
      <c r="E4" s="59" t="s">
        <v>68</v>
      </c>
      <c r="F4" s="56" t="s">
        <v>12</v>
      </c>
      <c r="G4" s="44">
        <v>29</v>
      </c>
      <c r="H4" s="129">
        <f>IF(B$15=0,0,G4/B$15)</f>
        <v>0.43939393939393939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1276</v>
      </c>
      <c r="P4" s="115">
        <v>25</v>
      </c>
      <c r="Q4" s="99">
        <v>31900</v>
      </c>
    </row>
    <row r="5" spans="1:17" x14ac:dyDescent="0.45">
      <c r="A5" s="51" t="s">
        <v>7</v>
      </c>
      <c r="B5" s="160">
        <f>IF(B$2=0,0,B$4/B$2)</f>
        <v>-4.6285714285714281</v>
      </c>
      <c r="C5" s="161"/>
      <c r="E5" s="59" t="s">
        <v>166</v>
      </c>
      <c r="F5" s="56" t="s">
        <v>167</v>
      </c>
      <c r="G5" s="44">
        <v>25</v>
      </c>
      <c r="H5" s="129">
        <f>IF(B$15=0,0,G5/B$15)</f>
        <v>0.37878787878787878</v>
      </c>
      <c r="I5" s="90">
        <v>9</v>
      </c>
      <c r="K5" s="36">
        <v>3</v>
      </c>
      <c r="L5" s="95">
        <v>76</v>
      </c>
      <c r="N5" s="111" t="s">
        <v>133</v>
      </c>
      <c r="O5" s="118">
        <f t="shared" si="0"/>
        <v>-2628</v>
      </c>
      <c r="P5" s="115">
        <v>25</v>
      </c>
      <c r="Q5" s="99">
        <v>-65700</v>
      </c>
    </row>
    <row r="6" spans="1:17" x14ac:dyDescent="0.45">
      <c r="A6" s="51" t="s">
        <v>1</v>
      </c>
      <c r="B6" s="150">
        <f>IF(B$2=0,0,(B$7*1+B$8*2+B$9*3)/B$2)</f>
        <v>2.0714285714285716</v>
      </c>
      <c r="C6" s="151"/>
      <c r="E6" s="59" t="s">
        <v>72</v>
      </c>
      <c r="F6" s="56" t="s">
        <v>27</v>
      </c>
      <c r="G6" s="44">
        <v>23</v>
      </c>
      <c r="H6" s="129">
        <f>IF(B$15=0,0,G6/B$15)</f>
        <v>0.34848484848484851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4634.782608695652</v>
      </c>
      <c r="P6" s="115">
        <v>23</v>
      </c>
      <c r="Q6" s="99">
        <v>106600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0.35714285714285715</v>
      </c>
      <c r="E7" s="59" t="s">
        <v>67</v>
      </c>
      <c r="F7" s="56" t="s">
        <v>23</v>
      </c>
      <c r="G7" s="44">
        <v>16</v>
      </c>
      <c r="H7" s="129">
        <f>IF(B$15=0,0,G7/B$15)</f>
        <v>0.24242424242424243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1147.3684210526317</v>
      </c>
      <c r="P7" s="116">
        <v>19</v>
      </c>
      <c r="Q7" s="100">
        <v>21800</v>
      </c>
    </row>
    <row r="8" spans="1:17" x14ac:dyDescent="0.45">
      <c r="A8" s="51" t="s">
        <v>3</v>
      </c>
      <c r="B8" s="44">
        <v>6</v>
      </c>
      <c r="C8" s="37">
        <f t="shared" si="1"/>
        <v>0.21428571428571427</v>
      </c>
      <c r="E8" s="59" t="s">
        <v>69</v>
      </c>
      <c r="F8" s="56" t="s">
        <v>24</v>
      </c>
      <c r="G8" s="44">
        <v>13</v>
      </c>
      <c r="H8" s="129">
        <f>IF(B$15=0,0,G8/B$15)</f>
        <v>0.19696969696969696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12</v>
      </c>
      <c r="C9" s="38">
        <f t="shared" si="1"/>
        <v>0.42857142857142855</v>
      </c>
      <c r="E9" s="59" t="s">
        <v>65</v>
      </c>
      <c r="F9" s="56" t="s">
        <v>21</v>
      </c>
      <c r="G9" s="44">
        <v>9</v>
      </c>
      <c r="H9" s="129">
        <f>IF(B$15=0,0,G9/B$15)</f>
        <v>0.13636363636363635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0.17857142857142858</v>
      </c>
      <c r="E10" s="59" t="s">
        <v>70</v>
      </c>
      <c r="F10" s="56" t="s">
        <v>25</v>
      </c>
      <c r="G10" s="44">
        <v>8</v>
      </c>
      <c r="H10" s="129">
        <f>IF(B$15=0,0,G10/B$15)</f>
        <v>0.12121212121212122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67</v>
      </c>
      <c r="C11" s="42">
        <f>IF(B$3=0,0,B11/B$3)</f>
        <v>0.26070038910505838</v>
      </c>
      <c r="E11" s="59" t="s">
        <v>71</v>
      </c>
      <c r="F11" s="56" t="s">
        <v>26</v>
      </c>
      <c r="G11" s="44">
        <v>6</v>
      </c>
      <c r="H11" s="129">
        <f>IF(B$15=0,0,G11/B$15)</f>
        <v>9.0909090909090912E-2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-13.325000000000001</v>
      </c>
      <c r="P11" s="115">
        <v>8</v>
      </c>
      <c r="Q11" s="103">
        <v>-106.60000000000001</v>
      </c>
    </row>
    <row r="12" spans="1:17" x14ac:dyDescent="0.45">
      <c r="A12" s="51" t="s">
        <v>118</v>
      </c>
      <c r="B12" s="44">
        <v>39</v>
      </c>
      <c r="C12" s="37">
        <f>IF(B$3=0,0,B12/B$3)</f>
        <v>0.1517509727626459</v>
      </c>
      <c r="E12" s="59" t="s">
        <v>89</v>
      </c>
      <c r="F12" s="56" t="s">
        <v>44</v>
      </c>
      <c r="G12" s="44">
        <v>5</v>
      </c>
      <c r="H12" s="129">
        <f>IF(B$15=0,0,G12/B$15)</f>
        <v>7.575757575757576E-2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8.5888888888888886</v>
      </c>
      <c r="P12" s="116">
        <v>9</v>
      </c>
      <c r="Q12" s="104">
        <v>77.3</v>
      </c>
    </row>
    <row r="13" spans="1:17" x14ac:dyDescent="0.45">
      <c r="A13" s="50" t="s">
        <v>123</v>
      </c>
      <c r="B13" s="43">
        <f>B19</f>
        <v>38</v>
      </c>
      <c r="C13" s="35">
        <f>IF(B$11=0,0,B13/B$11)</f>
        <v>0.56716417910447758</v>
      </c>
      <c r="E13" s="59" t="s">
        <v>78</v>
      </c>
      <c r="F13" s="56" t="s">
        <v>33</v>
      </c>
      <c r="G13" s="44">
        <v>3</v>
      </c>
      <c r="H13" s="129">
        <f>IF(B$15=0,0,G13/B$15)</f>
        <v>4.5454545454545456E-2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</v>
      </c>
      <c r="C14" s="35">
        <f>IF(B$12=0,0,B14/B$12)</f>
        <v>0.35897435897435898</v>
      </c>
      <c r="E14" s="59" t="s">
        <v>86</v>
      </c>
      <c r="F14" s="56" t="s">
        <v>41</v>
      </c>
      <c r="G14" s="44">
        <v>3</v>
      </c>
      <c r="H14" s="129">
        <f>IF(B$15=0,0,G14/B$15)</f>
        <v>4.5454545454545456E-2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66</v>
      </c>
      <c r="C15" s="35">
        <f>IF(B$3=0,0,B15/B$3)</f>
        <v>0.25680933852140075</v>
      </c>
      <c r="E15" s="59" t="s">
        <v>83</v>
      </c>
      <c r="F15" s="56" t="s">
        <v>38</v>
      </c>
      <c r="G15" s="44">
        <v>2</v>
      </c>
      <c r="H15" s="129">
        <f>IF(B$15=0,0,G15/B$15)</f>
        <v>3.0303030303030304E-2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45</v>
      </c>
      <c r="C16" s="37">
        <f>IF(B$3=0,0,B16/B$3)</f>
        <v>0.17509727626459143</v>
      </c>
      <c r="E16" s="59" t="s">
        <v>75</v>
      </c>
      <c r="F16" s="56" t="s">
        <v>30</v>
      </c>
      <c r="G16" s="44">
        <v>1</v>
      </c>
      <c r="H16" s="129">
        <f>IF(B$15=0,0,G16/B$15)</f>
        <v>1.5151515151515152E-2</v>
      </c>
      <c r="I16" s="90">
        <v>2</v>
      </c>
      <c r="K16" s="36">
        <v>14</v>
      </c>
      <c r="L16" s="95">
        <v>49.900000000000006</v>
      </c>
      <c r="N16" s="111" t="s">
        <v>172</v>
      </c>
      <c r="O16" s="121">
        <f t="shared" si="2"/>
        <v>-0.13999999999999985</v>
      </c>
      <c r="P16" s="115">
        <v>10</v>
      </c>
      <c r="Q16" s="103">
        <v>-1.3999999999999986</v>
      </c>
    </row>
    <row r="17" spans="1:17" x14ac:dyDescent="0.45">
      <c r="A17" s="51" t="s">
        <v>12</v>
      </c>
      <c r="B17" s="44">
        <v>38</v>
      </c>
      <c r="C17" s="37">
        <f>IF(B$15=0,0,B17/B$15)</f>
        <v>0.5757575757575758</v>
      </c>
      <c r="E17" s="59" t="s">
        <v>81</v>
      </c>
      <c r="F17" s="56" t="s">
        <v>36</v>
      </c>
      <c r="G17" s="44">
        <v>1</v>
      </c>
      <c r="H17" s="129">
        <f>IF(B$15=0,0,G17/B$15)</f>
        <v>1.5151515151515152E-2</v>
      </c>
      <c r="I17" s="90">
        <v>9</v>
      </c>
      <c r="K17" s="36">
        <v>15</v>
      </c>
      <c r="L17" s="95">
        <v>73.7</v>
      </c>
      <c r="N17" s="111" t="s">
        <v>170</v>
      </c>
      <c r="O17" s="121">
        <f t="shared" si="2"/>
        <v>-5.15</v>
      </c>
      <c r="P17" s="115">
        <v>10</v>
      </c>
      <c r="Q17" s="103">
        <v>-51.500000000000007</v>
      </c>
    </row>
    <row r="18" spans="1:17" x14ac:dyDescent="0.45">
      <c r="A18" s="51" t="s">
        <v>11</v>
      </c>
      <c r="B18" s="44">
        <v>28</v>
      </c>
      <c r="C18" s="37">
        <f>IF(B$15=0,0,B18/B$15)</f>
        <v>0.42424242424242425</v>
      </c>
      <c r="E18" s="59" t="s">
        <v>85</v>
      </c>
      <c r="F18" s="56" t="s">
        <v>40</v>
      </c>
      <c r="G18" s="44">
        <v>1</v>
      </c>
      <c r="H18" s="129">
        <f>IF(B$15=0,0,G18/B$15)</f>
        <v>1.5151515151515152E-2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38</v>
      </c>
      <c r="C19" s="37">
        <f>IF(B$15=0,0,B19/B$15)</f>
        <v>0.5757575757575758</v>
      </c>
      <c r="E19" s="59" t="s">
        <v>87</v>
      </c>
      <c r="F19" s="56" t="s">
        <v>42</v>
      </c>
      <c r="G19" s="44">
        <v>1</v>
      </c>
      <c r="H19" s="129">
        <f>IF(B$15=0,0,G19/B$15)</f>
        <v>1.5151515151515152E-2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14</v>
      </c>
      <c r="C20" s="37">
        <f>IF(B$15=0,0,B20/B$15)</f>
        <v>0.21212121212121213</v>
      </c>
      <c r="E20" s="59" t="s">
        <v>162</v>
      </c>
      <c r="F20" s="56" t="s">
        <v>163</v>
      </c>
      <c r="G20" s="44">
        <v>1</v>
      </c>
      <c r="H20" s="129">
        <f>IF(B$15=0,0,G20/B$15)</f>
        <v>1.5151515151515152E-2</v>
      </c>
      <c r="I20" s="90">
        <v>6</v>
      </c>
      <c r="K20" s="36">
        <v>18</v>
      </c>
      <c r="L20" s="95">
        <v>24.700000000000003</v>
      </c>
      <c r="N20" s="111" t="s">
        <v>274</v>
      </c>
      <c r="O20" s="121">
        <f t="shared" si="2"/>
        <v>-12.599999999999998</v>
      </c>
      <c r="P20" s="115">
        <v>2</v>
      </c>
      <c r="Q20" s="103">
        <v>-25.199999999999996</v>
      </c>
    </row>
    <row r="21" spans="1:17" x14ac:dyDescent="0.45">
      <c r="A21" s="51" t="s">
        <v>194</v>
      </c>
      <c r="B21" s="44">
        <v>14</v>
      </c>
      <c r="C21" s="37">
        <f>IF(B$15=0,0,B21/B$15)</f>
        <v>0.21212121212121213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6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8150</v>
      </c>
      <c r="C22" s="39">
        <v>537900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 t="shared" si="2"/>
        <v>-28.9</v>
      </c>
      <c r="P22" s="115">
        <v>7</v>
      </c>
      <c r="Q22" s="103">
        <v>-202.29999999999998</v>
      </c>
    </row>
    <row r="23" spans="1:17" x14ac:dyDescent="0.45">
      <c r="A23" s="52" t="s">
        <v>177</v>
      </c>
      <c r="B23" s="136">
        <f>IF($B$15-B$14=0,0,C23/($B$15-B$14))</f>
        <v>8634.6153846153848</v>
      </c>
      <c r="C23" s="137">
        <v>449000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126</v>
      </c>
      <c r="O23" s="121">
        <f t="shared" si="2"/>
        <v>-33.644444444444453</v>
      </c>
      <c r="P23" s="115">
        <v>9</v>
      </c>
      <c r="Q23" s="103">
        <v>-302.80000000000007</v>
      </c>
    </row>
    <row r="24" spans="1:17" x14ac:dyDescent="0.45">
      <c r="A24" s="52" t="s">
        <v>178</v>
      </c>
      <c r="B24" s="136">
        <f>IF(B$14=0,0,C24/B$14)</f>
        <v>6350</v>
      </c>
      <c r="C24" s="137">
        <v>88900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-7120</v>
      </c>
      <c r="C25" s="137">
        <v>-320400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 x14ac:dyDescent="0.45">
      <c r="A30" s="53" t="s">
        <v>139</v>
      </c>
      <c r="B30" s="61">
        <v>1</v>
      </c>
      <c r="C30" s="40">
        <f>IF(B$3=0,0,B30/B$3)</f>
        <v>3.8910505836575876E-3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8</v>
      </c>
      <c r="C32" s="141">
        <f>IF(B$15=0,0,B32/B$15)</f>
        <v>0.12121212121212122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10</v>
      </c>
      <c r="C33" s="37">
        <f t="shared" ref="C33:C44" si="3">IF(B$15=0,0,B33/B$15)</f>
        <v>0.15151515151515152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11</v>
      </c>
      <c r="C34" s="37">
        <f>IF(B$15=0,0,B34/B$15)</f>
        <v>0.16666666666666666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0.13636363636363635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</row>
    <row r="36" spans="1:9" x14ac:dyDescent="0.45">
      <c r="A36" s="51" t="s">
        <v>182</v>
      </c>
      <c r="B36" s="145">
        <v>10</v>
      </c>
      <c r="C36" s="37">
        <f t="shared" si="3"/>
        <v>0.15151515151515152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0.18181818181818182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4.5454545454545456E-2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3.0303030303030304E-2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1.5151515151515152E-2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6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</v>
      </c>
      <c r="C2" s="155"/>
      <c r="E2" s="58" t="s">
        <v>64</v>
      </c>
      <c r="F2" s="55" t="s">
        <v>20</v>
      </c>
      <c r="G2" s="43">
        <v>31</v>
      </c>
      <c r="H2" s="128">
        <f>IF(B$15=0,0,G2/B$15)</f>
        <v>0.59615384615384615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-1911.7647058823529</v>
      </c>
      <c r="P2" s="114">
        <v>17</v>
      </c>
      <c r="Q2" s="98">
        <v>-32500</v>
      </c>
    </row>
    <row r="3" spans="1:17" x14ac:dyDescent="0.45">
      <c r="A3" s="51" t="s">
        <v>8</v>
      </c>
      <c r="B3" s="156">
        <v>146</v>
      </c>
      <c r="C3" s="157"/>
      <c r="E3" s="59" t="s">
        <v>66</v>
      </c>
      <c r="F3" s="56" t="s">
        <v>22</v>
      </c>
      <c r="G3" s="44">
        <v>29</v>
      </c>
      <c r="H3" s="129">
        <f>IF(B$15=0,0,G3/B$15)</f>
        <v>0.55769230769230771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-323.52941176470586</v>
      </c>
      <c r="P3" s="115">
        <v>17</v>
      </c>
      <c r="Q3" s="99">
        <v>-5500</v>
      </c>
    </row>
    <row r="4" spans="1:17" x14ac:dyDescent="0.45">
      <c r="A4" s="51" t="s">
        <v>6</v>
      </c>
      <c r="B4" s="158">
        <v>-30.700000000000003</v>
      </c>
      <c r="C4" s="159"/>
      <c r="E4" s="59" t="s">
        <v>72</v>
      </c>
      <c r="F4" s="56" t="s">
        <v>27</v>
      </c>
      <c r="G4" s="44">
        <v>22</v>
      </c>
      <c r="H4" s="129">
        <f>IF(B$15=0,0,G4/B$15)</f>
        <v>0.42307692307692307</v>
      </c>
      <c r="I4" s="90">
        <v>11</v>
      </c>
      <c r="K4" s="36">
        <v>2</v>
      </c>
      <c r="L4" s="95">
        <v>27.8</v>
      </c>
      <c r="N4" s="111" t="s">
        <v>132</v>
      </c>
      <c r="O4" s="118">
        <f t="shared" si="0"/>
        <v>-1935.2941176470588</v>
      </c>
      <c r="P4" s="115">
        <v>17</v>
      </c>
      <c r="Q4" s="99">
        <v>-32900</v>
      </c>
    </row>
    <row r="5" spans="1:17" x14ac:dyDescent="0.45">
      <c r="A5" s="51" t="s">
        <v>7</v>
      </c>
      <c r="B5" s="160">
        <f>IF(B$2=0,0,B$4/B$2)</f>
        <v>-1.8058823529411767</v>
      </c>
      <c r="C5" s="161"/>
      <c r="E5" s="59" t="s">
        <v>67</v>
      </c>
      <c r="F5" s="56" t="s">
        <v>23</v>
      </c>
      <c r="G5" s="44">
        <v>21</v>
      </c>
      <c r="H5" s="129">
        <f>IF(B$15=0,0,G5/B$15)</f>
        <v>0.40384615384615385</v>
      </c>
      <c r="I5" s="90">
        <v>4</v>
      </c>
      <c r="K5" s="36">
        <v>3</v>
      </c>
      <c r="L5" s="95">
        <v>20.399999999999999</v>
      </c>
      <c r="N5" s="111" t="s">
        <v>133</v>
      </c>
      <c r="O5" s="118">
        <f t="shared" si="0"/>
        <v>593.33333333333337</v>
      </c>
      <c r="P5" s="115">
        <v>15</v>
      </c>
      <c r="Q5" s="99">
        <v>8900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20</v>
      </c>
      <c r="H6" s="129">
        <f>IF(B$15=0,0,G6/B$15)</f>
        <v>0.38461538461538464</v>
      </c>
      <c r="I6" s="90">
        <v>3</v>
      </c>
      <c r="K6" s="36">
        <v>4</v>
      </c>
      <c r="L6" s="95">
        <v>53.1</v>
      </c>
      <c r="N6" s="111" t="s">
        <v>134</v>
      </c>
      <c r="O6" s="118">
        <f t="shared" si="0"/>
        <v>-1007.6923076923077</v>
      </c>
      <c r="P6" s="115">
        <v>13</v>
      </c>
      <c r="Q6" s="99">
        <v>-13100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0.35294117647058826</v>
      </c>
      <c r="E7" s="59" t="s">
        <v>166</v>
      </c>
      <c r="F7" s="56" t="s">
        <v>167</v>
      </c>
      <c r="G7" s="44">
        <v>14</v>
      </c>
      <c r="H7" s="129">
        <f>IF(B$15=0,0,G7/B$15)</f>
        <v>0.26923076923076922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4245.454545454545</v>
      </c>
      <c r="P7" s="116">
        <v>11</v>
      </c>
      <c r="Q7" s="100">
        <v>46700</v>
      </c>
    </row>
    <row r="8" spans="1:17" x14ac:dyDescent="0.45">
      <c r="A8" s="51" t="s">
        <v>3</v>
      </c>
      <c r="B8" s="44">
        <v>5</v>
      </c>
      <c r="C8" s="37">
        <f t="shared" si="1"/>
        <v>0.29411764705882354</v>
      </c>
      <c r="E8" s="59" t="s">
        <v>65</v>
      </c>
      <c r="F8" s="56" t="s">
        <v>21</v>
      </c>
      <c r="G8" s="44">
        <v>9</v>
      </c>
      <c r="H8" s="129">
        <f>IF(B$15=0,0,G8/B$15)</f>
        <v>0.17307692307692307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6</v>
      </c>
      <c r="C9" s="38">
        <f t="shared" si="1"/>
        <v>0.35294117647058826</v>
      </c>
      <c r="E9" s="59" t="s">
        <v>70</v>
      </c>
      <c r="F9" s="56" t="s">
        <v>25</v>
      </c>
      <c r="G9" s="44">
        <v>6</v>
      </c>
      <c r="H9" s="129">
        <f>IF(B$15=0,0,G9/B$15)</f>
        <v>0.11538461538461539</v>
      </c>
      <c r="I9" s="90">
        <v>7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0.17647058823529413</v>
      </c>
      <c r="E10" s="59" t="s">
        <v>69</v>
      </c>
      <c r="F10" s="56" t="s">
        <v>24</v>
      </c>
      <c r="G10" s="44">
        <v>5</v>
      </c>
      <c r="H10" s="129">
        <f>IF(B$15=0,0,G10/B$15)</f>
        <v>9.6153846153846159E-2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51</v>
      </c>
      <c r="C11" s="42">
        <f>IF(B$3=0,0,B11/B$3)</f>
        <v>0.34931506849315069</v>
      </c>
      <c r="E11" s="59" t="s">
        <v>89</v>
      </c>
      <c r="F11" s="56" t="s">
        <v>44</v>
      </c>
      <c r="G11" s="44">
        <v>3</v>
      </c>
      <c r="H11" s="129">
        <f>IF(B$15=0,0,G11/B$15)</f>
        <v>5.7692307692307696E-2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5">
      <c r="A12" s="51" t="s">
        <v>118</v>
      </c>
      <c r="B12" s="44">
        <v>17</v>
      </c>
      <c r="C12" s="37">
        <f>IF(B$3=0,0,B12/B$3)</f>
        <v>0.11643835616438356</v>
      </c>
      <c r="E12" s="59" t="s">
        <v>75</v>
      </c>
      <c r="F12" s="56" t="s">
        <v>30</v>
      </c>
      <c r="G12" s="44">
        <v>2</v>
      </c>
      <c r="H12" s="129">
        <f>IF(B$15=0,0,G12/B$15)</f>
        <v>3.8461538461538464E-2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13.299999999999999</v>
      </c>
      <c r="P12" s="116">
        <v>4</v>
      </c>
      <c r="Q12" s="104">
        <v>53.199999999999996</v>
      </c>
    </row>
    <row r="13" spans="1:17" x14ac:dyDescent="0.45">
      <c r="A13" s="50" t="s">
        <v>123</v>
      </c>
      <c r="B13" s="43">
        <f>B19</f>
        <v>30</v>
      </c>
      <c r="C13" s="35">
        <f>IF(B$11=0,0,B13/B$11)</f>
        <v>0.58823529411764708</v>
      </c>
      <c r="E13" s="59" t="s">
        <v>79</v>
      </c>
      <c r="F13" s="56" t="s">
        <v>34</v>
      </c>
      <c r="G13" s="44">
        <v>2</v>
      </c>
      <c r="H13" s="129">
        <f>IF(B$15=0,0,G13/B$15)</f>
        <v>3.8461538461538464E-2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</v>
      </c>
      <c r="C14" s="35">
        <f>IF(B$12=0,0,B14/B$12)</f>
        <v>0.76470588235294112</v>
      </c>
      <c r="E14" s="59" t="s">
        <v>83</v>
      </c>
      <c r="F14" s="56" t="s">
        <v>38</v>
      </c>
      <c r="G14" s="44">
        <v>2</v>
      </c>
      <c r="H14" s="129">
        <f>IF(B$15=0,0,G14/B$15)</f>
        <v>3.8461538461538464E-2</v>
      </c>
      <c r="I14" s="90">
        <v>9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52</v>
      </c>
      <c r="C15" s="35">
        <f>IF(B$3=0,0,B15/B$3)</f>
        <v>0.35616438356164382</v>
      </c>
      <c r="E15" s="59" t="s">
        <v>85</v>
      </c>
      <c r="F15" s="56" t="s">
        <v>40</v>
      </c>
      <c r="G15" s="44">
        <v>2</v>
      </c>
      <c r="H15" s="129">
        <f>IF(B$15=0,0,G15/B$15)</f>
        <v>3.8461538461538464E-2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 t="shared" ref="O15:O22" si="2">IF(P15=0,0,Q15/P15)</f>
        <v>32.325000000000003</v>
      </c>
      <c r="P15" s="114">
        <v>4</v>
      </c>
      <c r="Q15" s="102">
        <v>129.30000000000001</v>
      </c>
    </row>
    <row r="16" spans="1:17" x14ac:dyDescent="0.45">
      <c r="A16" s="51" t="s">
        <v>13</v>
      </c>
      <c r="B16" s="44">
        <v>24</v>
      </c>
      <c r="C16" s="37">
        <f>IF(B$3=0,0,B16/B$3)</f>
        <v>0.16438356164383561</v>
      </c>
      <c r="E16" s="59" t="s">
        <v>71</v>
      </c>
      <c r="F16" s="56" t="s">
        <v>26</v>
      </c>
      <c r="G16" s="44">
        <v>1</v>
      </c>
      <c r="H16" s="129">
        <f>IF(B$15=0,0,G16/B$15)</f>
        <v>1.9230769230769232E-2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 t="shared" si="2"/>
        <v>19.249999999999996</v>
      </c>
      <c r="P16" s="115">
        <v>4</v>
      </c>
      <c r="Q16" s="103">
        <v>76.999999999999986</v>
      </c>
    </row>
    <row r="17" spans="1:17" x14ac:dyDescent="0.45">
      <c r="A17" s="51" t="s">
        <v>12</v>
      </c>
      <c r="B17" s="44">
        <v>27</v>
      </c>
      <c r="C17" s="37">
        <f>IF(B$15=0,0,B17/B$15)</f>
        <v>0.51923076923076927</v>
      </c>
      <c r="E17" s="59" t="s">
        <v>86</v>
      </c>
      <c r="F17" s="56" t="s">
        <v>41</v>
      </c>
      <c r="G17" s="44">
        <v>1</v>
      </c>
      <c r="H17" s="129">
        <f>IF(B$15=0,0,G17/B$15)</f>
        <v>1.9230769230769232E-2</v>
      </c>
      <c r="I17" s="90">
        <v>11</v>
      </c>
      <c r="K17" s="36">
        <v>15</v>
      </c>
      <c r="L17" s="95">
        <v>-25.1</v>
      </c>
      <c r="N17" s="111" t="s">
        <v>196</v>
      </c>
      <c r="O17" s="121">
        <f t="shared" si="2"/>
        <v>12.599999999999996</v>
      </c>
      <c r="P17" s="115">
        <v>2</v>
      </c>
      <c r="Q17" s="103">
        <v>25.199999999999992</v>
      </c>
    </row>
    <row r="18" spans="1:17" x14ac:dyDescent="0.45">
      <c r="A18" s="51" t="s">
        <v>11</v>
      </c>
      <c r="B18" s="44">
        <v>25</v>
      </c>
      <c r="C18" s="37">
        <f>IF(B$15=0,0,B18/B$15)</f>
        <v>0.48076923076923078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6</v>
      </c>
      <c r="K18" s="36">
        <v>16</v>
      </c>
      <c r="L18" s="95">
        <v>-13.600000000000001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30</v>
      </c>
      <c r="C19" s="37">
        <f>IF(B$15=0,0,B19/B$15)</f>
        <v>0.57692307692307687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170</v>
      </c>
      <c r="O19" s="121">
        <f t="shared" si="2"/>
        <v>2.910000000000001</v>
      </c>
      <c r="P19" s="115">
        <v>10</v>
      </c>
      <c r="Q19" s="103">
        <v>29.100000000000009</v>
      </c>
    </row>
    <row r="20" spans="1:17" x14ac:dyDescent="0.45">
      <c r="A20" s="51" t="s">
        <v>193</v>
      </c>
      <c r="B20" s="44">
        <v>13</v>
      </c>
      <c r="C20" s="37">
        <f>IF(B$15=0,0,B20/B$15)</f>
        <v>0.25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127</v>
      </c>
      <c r="O20" s="121">
        <f t="shared" si="2"/>
        <v>2.8600000000000012</v>
      </c>
      <c r="P20" s="115">
        <v>5</v>
      </c>
      <c r="Q20" s="103">
        <v>14.300000000000006</v>
      </c>
    </row>
    <row r="21" spans="1:17" x14ac:dyDescent="0.45">
      <c r="A21" s="51" t="s">
        <v>194</v>
      </c>
      <c r="B21" s="44">
        <v>9</v>
      </c>
      <c r="C21" s="37">
        <f>IF(B$15=0,0,B21/B$15)</f>
        <v>0.17307692307692307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-41.459999999999994</v>
      </c>
      <c r="P21" s="115">
        <v>5</v>
      </c>
      <c r="Q21" s="103">
        <v>-207.29999999999998</v>
      </c>
    </row>
    <row r="22" spans="1:17" x14ac:dyDescent="0.45">
      <c r="A22" s="51" t="s">
        <v>5</v>
      </c>
      <c r="B22" s="48">
        <f>IF(B$15=0,0,C22/B$15)</f>
        <v>6555.7692307692305</v>
      </c>
      <c r="C22" s="39">
        <v>340900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7187.1794871794873</v>
      </c>
      <c r="C23" s="137">
        <v>280300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-7895.833333333333</v>
      </c>
      <c r="C25" s="137">
        <v>-189500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4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5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2</v>
      </c>
      <c r="C30" s="40">
        <f>IF(B$3=0,0,B30/B$3)</f>
        <v>1.3698630136986301E-2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6</v>
      </c>
      <c r="C32" s="141">
        <f>IF(B$15=0,0,B32/B$15)</f>
        <v>0.11538461538461539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14</v>
      </c>
      <c r="C33" s="37">
        <f t="shared" ref="C33:C44" si="3">IF(B$15=0,0,B33/B$15)</f>
        <v>0.26923076923076922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8</v>
      </c>
      <c r="C34" s="37">
        <f>IF(B$15=0,0,B34/B$15)</f>
        <v>0.15384615384615385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9</v>
      </c>
      <c r="C35" s="37">
        <f t="shared" si="3"/>
        <v>0.17307692307692307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9</v>
      </c>
      <c r="C36" s="37">
        <f t="shared" si="3"/>
        <v>0.17307692307692307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3"/>
        <v>3.8461538461538464E-2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3"/>
        <v>5.7692307692307696E-2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1.9230769230769232E-2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11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5">
      <c r="A3" s="51" t="s">
        <v>8</v>
      </c>
      <c r="B3" s="156">
        <v>78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5">
      <c r="A4" s="51" t="s">
        <v>6</v>
      </c>
      <c r="B4" s="158">
        <v>9.2999999999999972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0.84545454545454524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1.9090909090909092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0.54545454545454541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0.45454545454545453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0.18181818181818182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5">
      <c r="A11" s="54" t="s">
        <v>121</v>
      </c>
      <c r="B11" s="47">
        <v>30</v>
      </c>
      <c r="C11" s="42">
        <f>IF(B$3=0,0,B11/B$3)</f>
        <v>0.38461538461538464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13</v>
      </c>
      <c r="C12" s="37">
        <f>IF(B$3=0,0,B12/B$3)</f>
        <v>0.16666666666666666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K12" s="36">
        <v>10</v>
      </c>
      <c r="L12" s="95">
        <v>54.5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0.6333333333333333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K13" s="36">
        <v>11</v>
      </c>
      <c r="L13" s="95">
        <v>9.2999999999999972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0.38461538461538464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0.33333333333333331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19</v>
      </c>
      <c r="C16" s="37">
        <f>IF(B$3=0,0,B16/B$3)</f>
        <v>0.24358974358974358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0.94444444444444442</v>
      </c>
      <c r="P17" s="115">
        <v>9</v>
      </c>
      <c r="Q17" s="103">
        <v>8.5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  <c r="N20" s="111" t="s">
        <v>170</v>
      </c>
      <c r="O20" s="121">
        <f>IF(P20=0,0,Q20/P20)</f>
        <v>-60.29999999999999</v>
      </c>
      <c r="P20" s="115">
        <v>3</v>
      </c>
      <c r="Q20" s="103">
        <v>-180.89999999999998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-10010.526315789473</v>
      </c>
      <c r="C25" s="137">
        <v>-190200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0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5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5">
      <c r="A13" s="65">
        <v>10</v>
      </c>
      <c r="B13" s="62">
        <v>54.5</v>
      </c>
      <c r="C13" s="62">
        <v>5.45</v>
      </c>
      <c r="D13" s="67">
        <v>1.8</v>
      </c>
      <c r="E13" s="63">
        <v>0.6</v>
      </c>
      <c r="F13" s="63">
        <v>0.4</v>
      </c>
      <c r="G13" s="63">
        <v>0.3611111111111111</v>
      </c>
      <c r="H13" s="63">
        <v>0.2361111111111111</v>
      </c>
      <c r="I13" s="64">
        <v>9534.6153846153848</v>
      </c>
      <c r="J13" s="64">
        <v>-9823.5294117647063</v>
      </c>
      <c r="K13" s="63">
        <v>0.1</v>
      </c>
      <c r="L13" s="63">
        <v>0.3888888888888889</v>
      </c>
      <c r="M13" s="63">
        <v>0.16666666666666666</v>
      </c>
      <c r="N13" s="63">
        <v>0.6785714285714286</v>
      </c>
      <c r="O13" s="63">
        <v>0.41666666666666669</v>
      </c>
      <c r="P13" s="63">
        <v>0.46153846153846156</v>
      </c>
    </row>
    <row r="14" spans="1:17" x14ac:dyDescent="0.45">
      <c r="A14" s="65">
        <v>11</v>
      </c>
      <c r="B14" s="62">
        <v>9.2999999999999972</v>
      </c>
      <c r="C14" s="62">
        <v>0.84545454545454524</v>
      </c>
      <c r="D14" s="67">
        <v>1.9090909090909092</v>
      </c>
      <c r="E14" s="63">
        <v>0.54545454545454541</v>
      </c>
      <c r="F14" s="63">
        <v>0.45454545454545453</v>
      </c>
      <c r="G14" s="63">
        <v>0.33333333333333331</v>
      </c>
      <c r="H14" s="63">
        <v>0.24358974358974358</v>
      </c>
      <c r="I14" s="64">
        <v>9534.6153846153848</v>
      </c>
      <c r="J14" s="64">
        <v>-10010.526315789473</v>
      </c>
      <c r="K14" s="63">
        <v>0.18181818181818182</v>
      </c>
      <c r="L14" s="63">
        <v>0.38461538461538464</v>
      </c>
      <c r="M14" s="63">
        <v>0.16666666666666666</v>
      </c>
      <c r="N14" s="63">
        <v>0.6333333333333333</v>
      </c>
      <c r="O14" s="63">
        <v>0.38461538461538464</v>
      </c>
      <c r="P14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2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5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3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5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5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5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7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5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5">
      <c r="A70" s="65">
        <v>67</v>
      </c>
      <c r="B70" s="62">
        <v>-672.40000000000009</v>
      </c>
      <c r="C70" s="62">
        <v>-10.03582089552239</v>
      </c>
      <c r="D70" s="67">
        <v>2.2388059701492535</v>
      </c>
      <c r="E70" s="63">
        <v>0.17910447761194029</v>
      </c>
      <c r="F70" s="63">
        <v>0.41791044776119401</v>
      </c>
      <c r="G70" s="63">
        <v>0.25782688766114181</v>
      </c>
      <c r="H70" s="63">
        <v>0.17679558011049723</v>
      </c>
      <c r="I70" s="64">
        <v>8176.4285714285716</v>
      </c>
      <c r="J70" s="64">
        <v>-8397.9166666666661</v>
      </c>
      <c r="K70" s="63">
        <v>0.14925373134328357</v>
      </c>
      <c r="L70" s="63">
        <v>0.21362799263351751</v>
      </c>
      <c r="M70" s="63">
        <v>0.2283609576427256</v>
      </c>
      <c r="N70" s="63">
        <v>0.50862068965517238</v>
      </c>
      <c r="O70" s="63">
        <v>0.43548387096774194</v>
      </c>
      <c r="P70" s="63">
        <v>0.45714285714285713</v>
      </c>
    </row>
    <row r="71" spans="1:16" x14ac:dyDescent="0.45">
      <c r="A71" s="65">
        <v>68</v>
      </c>
      <c r="B71" s="62">
        <v>-655.40000000000009</v>
      </c>
      <c r="C71" s="62">
        <v>-9.6382352941176492</v>
      </c>
      <c r="D71" s="67">
        <v>2.2352941176470589</v>
      </c>
      <c r="E71" s="63">
        <v>0.17647058823529413</v>
      </c>
      <c r="F71" s="63">
        <v>0.41176470588235292</v>
      </c>
      <c r="G71" s="63">
        <v>0.26047358834244078</v>
      </c>
      <c r="H71" s="63">
        <v>0.1766848816029144</v>
      </c>
      <c r="I71" s="64">
        <v>8298.6013986013986</v>
      </c>
      <c r="J71" s="64">
        <v>-8558.7628865979386</v>
      </c>
      <c r="K71" s="63">
        <v>0.14705882352941177</v>
      </c>
      <c r="L71" s="63">
        <v>0.21311475409836064</v>
      </c>
      <c r="M71" s="63">
        <v>0.22950819672131148</v>
      </c>
      <c r="N71" s="63">
        <v>0.51282051282051277</v>
      </c>
      <c r="O71" s="63">
        <v>0.44444444444444442</v>
      </c>
      <c r="P71" s="63">
        <v>0.45454545454545453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6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-71.199999999999989</v>
      </c>
      <c r="C158" s="62">
        <v>-0.45935483870967736</v>
      </c>
      <c r="D158" s="67">
        <v>2.0387096774193547</v>
      </c>
      <c r="E158" s="63">
        <v>0.25806451612903225</v>
      </c>
      <c r="F158" s="63">
        <v>0.29677419354838708</v>
      </c>
      <c r="G158" s="63">
        <v>0.27817745803357313</v>
      </c>
      <c r="H158" s="63">
        <v>0.13828936850519585</v>
      </c>
      <c r="I158" s="64">
        <v>8463.7931034482754</v>
      </c>
      <c r="J158" s="64">
        <v>-7154.3352601156066</v>
      </c>
      <c r="K158" s="63">
        <v>7.7419354838709681E-2</v>
      </c>
      <c r="L158" s="63">
        <v>0.25659472422062352</v>
      </c>
      <c r="M158" s="63">
        <v>0.22861710631494805</v>
      </c>
      <c r="N158" s="63">
        <v>0.55140186915887845</v>
      </c>
      <c r="O158" s="63">
        <v>0.41958041958041958</v>
      </c>
      <c r="P158" s="63">
        <v>0.45977011494252873</v>
      </c>
    </row>
    <row r="159" spans="1:16" x14ac:dyDescent="0.45">
      <c r="A159" s="65">
        <v>156</v>
      </c>
      <c r="B159" s="62">
        <v>-116.69999999999999</v>
      </c>
      <c r="C159" s="62">
        <v>-0.74807692307692297</v>
      </c>
      <c r="D159" s="67">
        <v>2.0448717948717947</v>
      </c>
      <c r="E159" s="63">
        <v>0.25641025641025639</v>
      </c>
      <c r="F159" s="63">
        <v>0.30128205128205127</v>
      </c>
      <c r="G159" s="63">
        <v>0.27662957074721778</v>
      </c>
      <c r="H159" s="63">
        <v>0.13990461049284578</v>
      </c>
      <c r="I159" s="64">
        <v>8463.7931034482754</v>
      </c>
      <c r="J159" s="64">
        <v>-7214.204545454545</v>
      </c>
      <c r="K159" s="63">
        <v>8.3333333333333329E-2</v>
      </c>
      <c r="L159" s="63">
        <v>0.2559618441971383</v>
      </c>
      <c r="M159" s="63">
        <v>0.22813990461049286</v>
      </c>
      <c r="N159" s="63">
        <v>0.5496894409937888</v>
      </c>
      <c r="O159" s="63">
        <v>0.41811846689895471</v>
      </c>
      <c r="P159" s="63">
        <v>0.45977011494252873</v>
      </c>
    </row>
    <row r="160" spans="1:16" x14ac:dyDescent="0.45">
      <c r="A160" s="65">
        <v>157</v>
      </c>
      <c r="B160" s="62">
        <v>-82.1</v>
      </c>
      <c r="C160" s="62">
        <v>-0.52292993630573248</v>
      </c>
      <c r="D160" s="67">
        <v>2.0382165605095541</v>
      </c>
      <c r="E160" s="63">
        <v>0.26114649681528662</v>
      </c>
      <c r="F160" s="63">
        <v>0.29936305732484075</v>
      </c>
      <c r="G160" s="63">
        <v>0.27733755942947702</v>
      </c>
      <c r="H160" s="63">
        <v>0.14025356576862125</v>
      </c>
      <c r="I160" s="64">
        <v>8511.1428571428569</v>
      </c>
      <c r="J160" s="64">
        <v>-7195.4802259887001</v>
      </c>
      <c r="K160" s="63">
        <v>8.2802547770700632E-2</v>
      </c>
      <c r="L160" s="63">
        <v>0.25594294770206022</v>
      </c>
      <c r="M160" s="63">
        <v>0.22741679873217116</v>
      </c>
      <c r="N160" s="63">
        <v>0.54798761609907121</v>
      </c>
      <c r="O160" s="63">
        <v>0.41811846689895471</v>
      </c>
      <c r="P160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5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5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5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5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5">
      <c r="A153" s="65">
        <v>150</v>
      </c>
      <c r="B153" s="62">
        <v>570.00000000000057</v>
      </c>
      <c r="C153" s="62">
        <v>3.8000000000000038</v>
      </c>
      <c r="D153" s="67">
        <v>1.9266666666666667</v>
      </c>
      <c r="E153" s="63">
        <v>0.39333333333333331</v>
      </c>
      <c r="F153" s="63">
        <v>0.32</v>
      </c>
      <c r="G153" s="63">
        <v>0.27417998317914216</v>
      </c>
      <c r="H153" s="63">
        <v>0.17325483599663583</v>
      </c>
      <c r="I153" s="64">
        <v>11153.98773006135</v>
      </c>
      <c r="J153" s="64">
        <v>-8384.9514563106804</v>
      </c>
      <c r="K153" s="63">
        <v>0.12666666666666668</v>
      </c>
      <c r="L153" s="63">
        <v>0.29604709840201848</v>
      </c>
      <c r="M153" s="63">
        <v>0.18418839360807401</v>
      </c>
      <c r="N153" s="63">
        <v>0.54261363636363635</v>
      </c>
      <c r="O153" s="63">
        <v>0.38356164383561642</v>
      </c>
      <c r="P153" s="63">
        <v>0.51533742331288346</v>
      </c>
    </row>
    <row r="154" spans="1:16" x14ac:dyDescent="0.45">
      <c r="A154" s="65">
        <v>151</v>
      </c>
      <c r="B154" s="62">
        <v>598.20000000000061</v>
      </c>
      <c r="C154" s="62">
        <v>3.9615894039735138</v>
      </c>
      <c r="D154" s="67">
        <v>1.9205298013245033</v>
      </c>
      <c r="E154" s="63">
        <v>0.39735099337748342</v>
      </c>
      <c r="F154" s="63">
        <v>0.31788079470198677</v>
      </c>
      <c r="G154" s="63">
        <v>0.27447698744769872</v>
      </c>
      <c r="H154" s="63">
        <v>0.17322175732217573</v>
      </c>
      <c r="I154" s="64">
        <v>11175</v>
      </c>
      <c r="J154" s="64">
        <v>-8402.4154589371974</v>
      </c>
      <c r="K154" s="63">
        <v>0.12582781456953643</v>
      </c>
      <c r="L154" s="63">
        <v>0.29623430962343095</v>
      </c>
      <c r="M154" s="63">
        <v>0.18326359832635983</v>
      </c>
      <c r="N154" s="63">
        <v>0.5423728813559322</v>
      </c>
      <c r="O154" s="63">
        <v>0.38356164383561642</v>
      </c>
      <c r="P154" s="63">
        <v>0.51219512195121952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8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-41.100000000000207</v>
      </c>
      <c r="C178" s="62">
        <v>-0.23485714285714404</v>
      </c>
      <c r="D178" s="67">
        <v>1.9771428571428571</v>
      </c>
      <c r="E178" s="63">
        <v>0.34285714285714286</v>
      </c>
      <c r="F178" s="63">
        <v>0.32</v>
      </c>
      <c r="G178" s="63">
        <v>0.31353591160220995</v>
      </c>
      <c r="H178" s="63">
        <v>0.17679558011049723</v>
      </c>
      <c r="I178" s="64">
        <v>7900.4405286343608</v>
      </c>
      <c r="J178" s="64">
        <v>-7970.3125</v>
      </c>
      <c r="K178" s="63">
        <v>0.10285714285714286</v>
      </c>
      <c r="L178" s="63">
        <v>0.23273480662983426</v>
      </c>
      <c r="M178" s="63">
        <v>0.29903314917127072</v>
      </c>
      <c r="N178" s="63">
        <v>0.51335311572700293</v>
      </c>
      <c r="O178" s="63">
        <v>0.39030023094688221</v>
      </c>
      <c r="P178" s="63">
        <v>0.41629955947136565</v>
      </c>
    </row>
    <row r="179" spans="1:16" x14ac:dyDescent="0.45">
      <c r="A179" s="65">
        <v>176</v>
      </c>
      <c r="B179" s="62">
        <v>-68.600000000000207</v>
      </c>
      <c r="C179" s="62">
        <v>-0.38977272727272844</v>
      </c>
      <c r="D179" s="67">
        <v>1.9772727272727273</v>
      </c>
      <c r="E179" s="63">
        <v>0.34090909090909088</v>
      </c>
      <c r="F179" s="63">
        <v>0.31818181818181818</v>
      </c>
      <c r="G179" s="63">
        <v>0.31314521679284241</v>
      </c>
      <c r="H179" s="63">
        <v>0.17618719889883</v>
      </c>
      <c r="I179" s="64">
        <v>7886.3736263736264</v>
      </c>
      <c r="J179" s="64">
        <v>-7970.3125</v>
      </c>
      <c r="K179" s="63">
        <v>0.10227272727272728</v>
      </c>
      <c r="L179" s="63">
        <v>0.2326221610461115</v>
      </c>
      <c r="M179" s="63">
        <v>0.29800412938747417</v>
      </c>
      <c r="N179" s="63">
        <v>0.51183431952662717</v>
      </c>
      <c r="O179" s="63">
        <v>0.39030023094688221</v>
      </c>
      <c r="P179" s="63">
        <v>0.4175824175824176</v>
      </c>
    </row>
    <row r="180" spans="1:16" x14ac:dyDescent="0.45">
      <c r="A180" s="65">
        <v>177</v>
      </c>
      <c r="B180" s="62">
        <v>-6.0000000000002061</v>
      </c>
      <c r="C180" s="62">
        <v>-3.3898305084746928E-2</v>
      </c>
      <c r="D180" s="67">
        <v>1.9717514124293785</v>
      </c>
      <c r="E180" s="63">
        <v>0.34463276836158191</v>
      </c>
      <c r="F180" s="63">
        <v>0.31638418079096048</v>
      </c>
      <c r="G180" s="63">
        <v>0.31456043956043955</v>
      </c>
      <c r="H180" s="63">
        <v>0.17582417582417584</v>
      </c>
      <c r="I180" s="64">
        <v>7938.6462882096066</v>
      </c>
      <c r="J180" s="64">
        <v>-7970.3125</v>
      </c>
      <c r="K180" s="63">
        <v>0.10169491525423729</v>
      </c>
      <c r="L180" s="63">
        <v>0.23282967032967034</v>
      </c>
      <c r="M180" s="63">
        <v>0.29876373626373626</v>
      </c>
      <c r="N180" s="63">
        <v>0.51327433628318586</v>
      </c>
      <c r="O180" s="63">
        <v>0.39310344827586208</v>
      </c>
      <c r="P180" s="63">
        <v>0.41703056768558949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2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1804.7999999999997</v>
      </c>
      <c r="C202" s="62">
        <v>9.0693467336683398</v>
      </c>
      <c r="D202" s="67">
        <v>1.7688442211055277</v>
      </c>
      <c r="E202" s="63">
        <v>0.47236180904522612</v>
      </c>
      <c r="F202" s="63">
        <v>0.24120603015075376</v>
      </c>
      <c r="G202" s="63">
        <v>0.34149326805385555</v>
      </c>
      <c r="H202" s="63">
        <v>0.12484700122399021</v>
      </c>
      <c r="I202" s="64">
        <v>8277.7777777777774</v>
      </c>
      <c r="J202" s="64">
        <v>-7767.6470588235297</v>
      </c>
      <c r="K202" s="63">
        <v>4.5226130653266333E-2</v>
      </c>
      <c r="L202" s="63">
        <v>0.26254589963280295</v>
      </c>
      <c r="M202" s="63">
        <v>0.2350061199510404</v>
      </c>
      <c r="N202" s="63">
        <v>0.58508158508158503</v>
      </c>
      <c r="O202" s="63">
        <v>0.484375</v>
      </c>
      <c r="P202" s="63">
        <v>0.42473118279569894</v>
      </c>
    </row>
    <row r="203" spans="1:16" x14ac:dyDescent="0.45">
      <c r="A203" s="65">
        <v>200</v>
      </c>
      <c r="B203" s="62">
        <v>1806.0999999999997</v>
      </c>
      <c r="C203" s="62">
        <v>9.0304999999999982</v>
      </c>
      <c r="D203" s="67">
        <v>1.77</v>
      </c>
      <c r="E203" s="63">
        <v>0.47</v>
      </c>
      <c r="F203" s="63">
        <v>0.24</v>
      </c>
      <c r="G203" s="63">
        <v>0.3408399269628728</v>
      </c>
      <c r="H203" s="63">
        <v>0.1241631162507608</v>
      </c>
      <c r="I203" s="64">
        <v>8258.75</v>
      </c>
      <c r="J203" s="64">
        <v>-7767.6470588235297</v>
      </c>
      <c r="K203" s="63">
        <v>4.4999999999999998E-2</v>
      </c>
      <c r="L203" s="63">
        <v>0.26293365794278756</v>
      </c>
      <c r="M203" s="63">
        <v>0.23554473524041389</v>
      </c>
      <c r="N203" s="63">
        <v>0.58101851851851849</v>
      </c>
      <c r="O203" s="63">
        <v>0.48320413436692505</v>
      </c>
      <c r="P203" s="63">
        <v>0.42321428571428571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9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4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1.9969604863221884</v>
      </c>
      <c r="E332" s="63">
        <v>0.3353596757852077</v>
      </c>
      <c r="F332" s="63">
        <v>0.33232016210739618</v>
      </c>
      <c r="G332" s="63">
        <v>0.29411050394656951</v>
      </c>
      <c r="H332" s="63">
        <v>0.15992714025500912</v>
      </c>
      <c r="I332" s="64">
        <v>8422.8323699421962</v>
      </c>
      <c r="J332" s="64">
        <v>-7833.9407744874716</v>
      </c>
      <c r="K332" s="63">
        <v>9.4224924012158054E-2</v>
      </c>
      <c r="L332" s="63">
        <v>0.24990892531876138</v>
      </c>
      <c r="M332" s="63">
        <v>0.2315725561627201</v>
      </c>
      <c r="N332" s="63">
        <v>0.5485908649173955</v>
      </c>
      <c r="O332" s="63">
        <v>0.41898269533298377</v>
      </c>
      <c r="P332" s="63">
        <v>0.45127993393889348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1.9969696969696971</v>
      </c>
      <c r="E333" s="63">
        <v>0.33535353535353535</v>
      </c>
      <c r="F333" s="63">
        <v>0.3323232323232323</v>
      </c>
      <c r="G333" s="63">
        <v>0.29408914728682173</v>
      </c>
      <c r="H333" s="63">
        <v>0.16024709302325582</v>
      </c>
      <c r="I333" s="64">
        <v>8426.6886326194399</v>
      </c>
      <c r="J333" s="64">
        <v>-7843.6885865457298</v>
      </c>
      <c r="K333" s="63">
        <v>9.494949494949495E-2</v>
      </c>
      <c r="L333" s="63">
        <v>0.2502422480620155</v>
      </c>
      <c r="M333" s="63">
        <v>0.23146802325581395</v>
      </c>
      <c r="N333" s="63">
        <v>0.54791868344627304</v>
      </c>
      <c r="O333" s="63">
        <v>0.41967556253270538</v>
      </c>
      <c r="P333" s="63">
        <v>0.45016474464579903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1.9969788519637461</v>
      </c>
      <c r="E334" s="63">
        <v>0.33534743202416917</v>
      </c>
      <c r="F334" s="63">
        <v>0.33232628398791542</v>
      </c>
      <c r="G334" s="63">
        <v>0.29414610546686021</v>
      </c>
      <c r="H334" s="63">
        <v>0.16025641025641027</v>
      </c>
      <c r="I334" s="64">
        <v>8431.4967105263149</v>
      </c>
      <c r="J334" s="64">
        <v>-7858.9433962264147</v>
      </c>
      <c r="K334" s="63">
        <v>9.5669687814702919E-2</v>
      </c>
      <c r="L334" s="63">
        <v>0.25024189646831158</v>
      </c>
      <c r="M334" s="63">
        <v>0.23113207547169812</v>
      </c>
      <c r="N334" s="63">
        <v>0.54809086515224748</v>
      </c>
      <c r="O334" s="63">
        <v>0.41967556253270538</v>
      </c>
      <c r="P334" s="63">
        <v>0.45024671052631576</v>
      </c>
    </row>
    <row r="335" spans="1:16" x14ac:dyDescent="0.45">
      <c r="A335" s="65">
        <v>332</v>
      </c>
      <c r="B335" s="62">
        <v>-7.1054273576010019E-14</v>
      </c>
      <c r="C335" s="62">
        <v>-7.1339632104427729E-17</v>
      </c>
      <c r="D335" s="67">
        <v>1.9969879518072289</v>
      </c>
      <c r="E335" s="63">
        <v>0.3353413654618474</v>
      </c>
      <c r="F335" s="63">
        <v>0.33232931726907633</v>
      </c>
      <c r="G335" s="63">
        <v>0.29415310427968655</v>
      </c>
      <c r="H335" s="63">
        <v>0.16009644364074743</v>
      </c>
      <c r="I335" s="64">
        <v>8415.7786885245896</v>
      </c>
      <c r="J335" s="64">
        <v>-7846.7620481927706</v>
      </c>
      <c r="K335" s="63">
        <v>9.5381526104417677E-2</v>
      </c>
      <c r="L335" s="63">
        <v>0.25051235684147077</v>
      </c>
      <c r="M335" s="63">
        <v>0.23122362869198312</v>
      </c>
      <c r="N335" s="63">
        <v>0.54716073147256983</v>
      </c>
      <c r="O335" s="63">
        <v>0.42022940563086547</v>
      </c>
      <c r="P335" s="63">
        <v>0.45081967213114754</v>
      </c>
    </row>
    <row r="336" spans="1:16" x14ac:dyDescent="0.45">
      <c r="A336" s="65">
        <v>333</v>
      </c>
      <c r="B336" s="62">
        <v>-7.815970093361102E-14</v>
      </c>
      <c r="C336" s="62">
        <v>-7.8237938872483503E-17</v>
      </c>
      <c r="D336" s="67">
        <v>1.996996996996997</v>
      </c>
      <c r="E336" s="63">
        <v>0.33533533533533533</v>
      </c>
      <c r="F336" s="63">
        <v>0.33233233233233234</v>
      </c>
      <c r="G336" s="63">
        <v>0.29422382671480146</v>
      </c>
      <c r="H336" s="63">
        <v>0.15980746089049339</v>
      </c>
      <c r="I336" s="64">
        <v>8423.7218813905929</v>
      </c>
      <c r="J336" s="64">
        <v>-7846.7620481927706</v>
      </c>
      <c r="K336" s="63">
        <v>9.6096096096096095E-2</v>
      </c>
      <c r="L336" s="63">
        <v>0.25054151624548737</v>
      </c>
      <c r="M336" s="63">
        <v>0.23092659446450059</v>
      </c>
      <c r="N336" s="63">
        <v>0.54707012487992313</v>
      </c>
      <c r="O336" s="63">
        <v>0.42053152683689421</v>
      </c>
      <c r="P336" s="63">
        <v>0.45194274028629855</v>
      </c>
    </row>
    <row r="337" spans="1:16" x14ac:dyDescent="0.45">
      <c r="A337" s="65">
        <v>334</v>
      </c>
      <c r="B337" s="62">
        <v>-7.815970093361102E-14</v>
      </c>
      <c r="C337" s="62">
        <v>-7.8003693546517987E-17</v>
      </c>
      <c r="D337" s="67">
        <v>1.9970059880239521</v>
      </c>
      <c r="E337" s="63">
        <v>0.33532934131736525</v>
      </c>
      <c r="F337" s="63">
        <v>0.33233532934131738</v>
      </c>
      <c r="G337" s="63">
        <v>0.29426613775694194</v>
      </c>
      <c r="H337" s="63">
        <v>0.15987498497415556</v>
      </c>
      <c r="I337" s="64">
        <v>8432.8431372549021</v>
      </c>
      <c r="J337" s="64">
        <v>-7857.2180451127815</v>
      </c>
      <c r="K337" s="63">
        <v>9.6806387225548907E-2</v>
      </c>
      <c r="L337" s="63">
        <v>0.25063108546700325</v>
      </c>
      <c r="M337" s="63">
        <v>0.23103738430099771</v>
      </c>
      <c r="N337" s="63">
        <v>0.5467625899280576</v>
      </c>
      <c r="O337" s="63">
        <v>0.42091571279916751</v>
      </c>
      <c r="P337" s="63">
        <v>0.45179738562091504</v>
      </c>
    </row>
    <row r="338" spans="1:16" x14ac:dyDescent="0.45">
      <c r="A338" s="65">
        <v>335</v>
      </c>
      <c r="B338" s="62">
        <v>-7.815970093361102E-14</v>
      </c>
      <c r="C338" s="62">
        <v>-7.7770846700110474E-17</v>
      </c>
      <c r="D338" s="67">
        <v>1.9970149253731344</v>
      </c>
      <c r="E338" s="63">
        <v>0.3353233830845771</v>
      </c>
      <c r="F338" s="63">
        <v>0.33233830845771145</v>
      </c>
      <c r="G338" s="63">
        <v>0.29418828049951967</v>
      </c>
      <c r="H338" s="63">
        <v>0.15982228626320846</v>
      </c>
      <c r="I338" s="64">
        <v>8443.9183673469379</v>
      </c>
      <c r="J338" s="64">
        <v>-7875.3568745304283</v>
      </c>
      <c r="K338" s="63">
        <v>9.7512437810945277E-2</v>
      </c>
      <c r="L338" s="63">
        <v>0.25072046109510088</v>
      </c>
      <c r="M338" s="63">
        <v>0.23090778097982709</v>
      </c>
      <c r="N338" s="63">
        <v>0.54645593869731801</v>
      </c>
      <c r="O338" s="63">
        <v>0.42069682787311491</v>
      </c>
      <c r="P338" s="63">
        <v>0.45183673469387753</v>
      </c>
    </row>
    <row r="339" spans="1:16" x14ac:dyDescent="0.45">
      <c r="A339" s="65">
        <v>336</v>
      </c>
      <c r="B339" s="62">
        <v>-7.815970093361102E-14</v>
      </c>
      <c r="C339" s="62">
        <v>-7.7539385846836326E-17</v>
      </c>
      <c r="D339" s="67">
        <v>1.9940476190476191</v>
      </c>
      <c r="E339" s="63">
        <v>0.33730158730158732</v>
      </c>
      <c r="F339" s="63">
        <v>0.33134920634920634</v>
      </c>
      <c r="G339" s="63">
        <v>0.29418828049951967</v>
      </c>
      <c r="H339" s="63">
        <v>0.15982228626320846</v>
      </c>
      <c r="I339" s="64">
        <v>8443.9183673469379</v>
      </c>
      <c r="J339" s="64">
        <v>-7875.3568745304283</v>
      </c>
      <c r="K339" s="63">
        <v>9.7222222222222224E-2</v>
      </c>
      <c r="L339" s="63">
        <v>0.25072046109510088</v>
      </c>
      <c r="M339" s="63">
        <v>0.23090778097982709</v>
      </c>
      <c r="N339" s="63">
        <v>0.54645593869731801</v>
      </c>
      <c r="O339" s="63">
        <v>0.42069682787311491</v>
      </c>
      <c r="P339" s="63">
        <v>0.45183673469387753</v>
      </c>
    </row>
    <row r="340" spans="1:16" x14ac:dyDescent="0.45">
      <c r="A340" s="65">
        <v>337</v>
      </c>
      <c r="B340" s="62">
        <v>-8.1712414612411521E-14</v>
      </c>
      <c r="C340" s="62">
        <v>-8.0823357677954028E-17</v>
      </c>
      <c r="D340" s="67">
        <v>1.9940652818991098</v>
      </c>
      <c r="E340" s="63">
        <v>0.33728981206726016</v>
      </c>
      <c r="F340" s="63">
        <v>0.33135509396636992</v>
      </c>
      <c r="G340" s="63">
        <v>0.29415288761083153</v>
      </c>
      <c r="H340" s="63">
        <v>0.15995686556434219</v>
      </c>
      <c r="I340" s="64">
        <v>8455.7230142566186</v>
      </c>
      <c r="J340" s="64">
        <v>-7896.1048689138579</v>
      </c>
      <c r="K340" s="63">
        <v>9.7922848664688422E-2</v>
      </c>
      <c r="L340" s="63">
        <v>0.25077881619937692</v>
      </c>
      <c r="M340" s="63">
        <v>0.23076923076923078</v>
      </c>
      <c r="N340" s="63">
        <v>0.54610606784519833</v>
      </c>
      <c r="O340" s="63">
        <v>0.42107995846313601</v>
      </c>
      <c r="P340" s="63">
        <v>0.45132382892057027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2020-01-30T14:54:23Z</dcterms:modified>
</cp:coreProperties>
</file>