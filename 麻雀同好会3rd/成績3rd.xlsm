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2D56D0B-B42E-4F48-99AA-EFCF99DBFFE9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85" r:id="rId6"/>
    <sheet name="たかの" sheetId="6387" r:id="rId7"/>
    <sheet name="だいち" sheetId="6389" r:id="rId8"/>
    <sheet name="ただ" sheetId="6391" r:id="rId9"/>
    <sheet name="りくと" sheetId="6393" r:id="rId10"/>
    <sheet name="れんたろう" sheetId="6395" r:id="rId11"/>
    <sheet name="まっつん" sheetId="6397" r:id="rId12"/>
    <sheet name="のり" sheetId="6399" r:id="rId13"/>
    <sheet name="ぱぱ" sheetId="6401" r:id="rId14"/>
    <sheet name="ほたに" sheetId="6403" r:id="rId15"/>
    <sheet name="いっしー" sheetId="6405" r:id="rId16"/>
    <sheet name="ともき" sheetId="6407" r:id="rId17"/>
    <sheet name="たか" sheetId="6409" r:id="rId18"/>
    <sheet name="ゆう" sheetId="6411" r:id="rId19"/>
    <sheet name="ゆう2" sheetId="6412" state="hidden" r:id="rId20"/>
    <sheet name="たか2" sheetId="6410" state="hidden" r:id="rId21"/>
    <sheet name="ともき2" sheetId="6408" state="hidden" r:id="rId22"/>
    <sheet name="いっしー2" sheetId="6406" state="hidden" r:id="rId23"/>
    <sheet name="ほたに2" sheetId="6404" state="hidden" r:id="rId24"/>
    <sheet name="ぱぱ2" sheetId="6402" state="hidden" r:id="rId25"/>
    <sheet name="のり2" sheetId="6400" state="hidden" r:id="rId26"/>
    <sheet name="まっつん2" sheetId="6398" state="hidden" r:id="rId27"/>
    <sheet name="れんたろう2" sheetId="6396" state="hidden" r:id="rId28"/>
    <sheet name="りくと2" sheetId="6394" state="hidden" r:id="rId29"/>
    <sheet name="ただ2" sheetId="6392" state="hidden" r:id="rId30"/>
    <sheet name="だいち2" sheetId="6390" state="hidden" r:id="rId31"/>
    <sheet name="たかの2" sheetId="6388" state="hidden" r:id="rId32"/>
    <sheet name="全体2" sheetId="638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09" l="1"/>
  <c r="O25" i="6397" l="1"/>
  <c r="O15" i="6407"/>
  <c r="O16" i="6409" l="1"/>
  <c r="O23" i="6387"/>
  <c r="O20" i="6397" l="1"/>
  <c r="O16" i="6411"/>
  <c r="O18" i="6409"/>
  <c r="O15" i="6387" l="1"/>
  <c r="O22" i="6407"/>
  <c r="O19" i="6409" l="1"/>
  <c r="O15" i="6411"/>
  <c r="O17" i="6411"/>
  <c r="H39" i="6411"/>
  <c r="H34" i="6411"/>
  <c r="C30" i="6411"/>
  <c r="H12" i="6411"/>
  <c r="B25" i="6411"/>
  <c r="C16" i="6411"/>
  <c r="B15" i="6411"/>
  <c r="H50" i="6411" s="1"/>
  <c r="H18" i="6411"/>
  <c r="B14" i="6411"/>
  <c r="B24" i="6411" s="1"/>
  <c r="B13" i="6411"/>
  <c r="C13" i="6411" s="1"/>
  <c r="O12" i="6411"/>
  <c r="C12" i="6411"/>
  <c r="O11" i="6411"/>
  <c r="C11" i="6411"/>
  <c r="O10" i="6411"/>
  <c r="C10" i="6411"/>
  <c r="H14" i="6411"/>
  <c r="C9" i="6411"/>
  <c r="H13" i="6411"/>
  <c r="C8" i="6411"/>
  <c r="O7" i="6411"/>
  <c r="C7" i="6411"/>
  <c r="O6" i="6411"/>
  <c r="B6" i="6411"/>
  <c r="O5" i="6411"/>
  <c r="B5" i="6411"/>
  <c r="O4" i="6411"/>
  <c r="O3" i="6411"/>
  <c r="O2" i="6411"/>
  <c r="O16" i="6399"/>
  <c r="O15" i="6409"/>
  <c r="O17" i="6409"/>
  <c r="C30" i="6409"/>
  <c r="B25" i="6409"/>
  <c r="C16" i="6409"/>
  <c r="B15" i="6409"/>
  <c r="H50" i="6409" s="1"/>
  <c r="B14" i="6409"/>
  <c r="B24" i="6409" s="1"/>
  <c r="B13" i="6409"/>
  <c r="C13" i="6409" s="1"/>
  <c r="O12" i="6409"/>
  <c r="C12" i="6409"/>
  <c r="O11" i="6409"/>
  <c r="C11" i="6409"/>
  <c r="O10" i="6409"/>
  <c r="C10" i="6409"/>
  <c r="C9" i="6409"/>
  <c r="C8" i="6409"/>
  <c r="O7" i="6409"/>
  <c r="C7" i="6409"/>
  <c r="O6" i="6409"/>
  <c r="B6" i="6409"/>
  <c r="O5" i="6409"/>
  <c r="B5" i="6409"/>
  <c r="O4" i="6409"/>
  <c r="O3" i="6409"/>
  <c r="O2" i="6409"/>
  <c r="O15" i="6385"/>
  <c r="H2" i="6411" l="1"/>
  <c r="C19" i="6411"/>
  <c r="C14" i="6409"/>
  <c r="C14" i="6411"/>
  <c r="C44" i="6411"/>
  <c r="H22" i="6411"/>
  <c r="H47" i="6411"/>
  <c r="H40" i="6411"/>
  <c r="C15" i="6411"/>
  <c r="H29" i="6411"/>
  <c r="H36" i="6411"/>
  <c r="H41" i="6411"/>
  <c r="H48" i="6411"/>
  <c r="C34" i="6411"/>
  <c r="H6" i="6411"/>
  <c r="H49" i="6411"/>
  <c r="H35" i="6411"/>
  <c r="H30" i="6411"/>
  <c r="H3" i="6411"/>
  <c r="H8" i="6411"/>
  <c r="C36" i="6411"/>
  <c r="H7" i="6411"/>
  <c r="B22" i="6411"/>
  <c r="H32" i="6411"/>
  <c r="C42" i="6411"/>
  <c r="H51" i="6411"/>
  <c r="H45" i="6411"/>
  <c r="H10" i="6411"/>
  <c r="C20" i="6411"/>
  <c r="C21" i="6411"/>
  <c r="C17" i="6411"/>
  <c r="H37" i="6411"/>
  <c r="H20" i="6411"/>
  <c r="H26" i="6411"/>
  <c r="H38" i="6411"/>
  <c r="H43" i="6411"/>
  <c r="H4" i="6411"/>
  <c r="H28" i="6411"/>
  <c r="H16" i="6411"/>
  <c r="C40" i="6411"/>
  <c r="H19" i="6411"/>
  <c r="H24" i="6411"/>
  <c r="H42" i="6411"/>
  <c r="C32" i="6411"/>
  <c r="H11" i="6411"/>
  <c r="H15" i="6411"/>
  <c r="C18" i="6411"/>
  <c r="H33" i="6411"/>
  <c r="C38" i="6411"/>
  <c r="H44" i="6411"/>
  <c r="H52" i="6411"/>
  <c r="H21" i="6411"/>
  <c r="H25" i="6411"/>
  <c r="H9" i="6411"/>
  <c r="C33" i="6411"/>
  <c r="C37" i="6411"/>
  <c r="C41" i="6411"/>
  <c r="H46" i="6411"/>
  <c r="B23" i="6411"/>
  <c r="H17" i="6411"/>
  <c r="H5" i="6411"/>
  <c r="H23" i="6411"/>
  <c r="H27" i="6411"/>
  <c r="H31" i="6411"/>
  <c r="C35" i="6411"/>
  <c r="C39" i="6411"/>
  <c r="C43" i="6411"/>
  <c r="C19" i="6409"/>
  <c r="H3" i="6409"/>
  <c r="H34" i="6409"/>
  <c r="H10" i="6409"/>
  <c r="H28" i="6409"/>
  <c r="H18" i="6409"/>
  <c r="C44" i="6409"/>
  <c r="H12" i="6409"/>
  <c r="H35" i="6409"/>
  <c r="H39" i="6409"/>
  <c r="H29" i="6409"/>
  <c r="C15" i="6409"/>
  <c r="H47" i="6409"/>
  <c r="H14" i="6409"/>
  <c r="H48" i="6409"/>
  <c r="H45" i="6409"/>
  <c r="H2" i="6409"/>
  <c r="H16" i="6409"/>
  <c r="H30" i="6409"/>
  <c r="H19" i="6409"/>
  <c r="H36" i="6409"/>
  <c r="H8" i="6409"/>
  <c r="H42" i="6409"/>
  <c r="C17" i="6409"/>
  <c r="H37" i="6409"/>
  <c r="H51" i="6409"/>
  <c r="H40" i="6409"/>
  <c r="H9" i="6409"/>
  <c r="H11" i="6409"/>
  <c r="H49" i="6409"/>
  <c r="H7" i="6409"/>
  <c r="B22" i="6409"/>
  <c r="H32" i="6409"/>
  <c r="C42" i="6409"/>
  <c r="H26" i="6409"/>
  <c r="H38" i="6409"/>
  <c r="H43" i="6409"/>
  <c r="H5" i="6409"/>
  <c r="C34" i="6409"/>
  <c r="H6" i="6409"/>
  <c r="C20" i="6409"/>
  <c r="C40" i="6409"/>
  <c r="C21" i="6409"/>
  <c r="H41" i="6409"/>
  <c r="H24" i="6409"/>
  <c r="C36" i="6409"/>
  <c r="H21" i="6409"/>
  <c r="C32" i="6409"/>
  <c r="H4" i="6409"/>
  <c r="H15" i="6409"/>
  <c r="C18" i="6409"/>
  <c r="H33" i="6409"/>
  <c r="C38" i="6409"/>
  <c r="H44" i="6409"/>
  <c r="H52" i="6409"/>
  <c r="H22" i="6409"/>
  <c r="H25" i="6409"/>
  <c r="H13" i="6409"/>
  <c r="C33" i="6409"/>
  <c r="C37" i="6409"/>
  <c r="C41" i="6409"/>
  <c r="H46" i="6409"/>
  <c r="B23" i="6409"/>
  <c r="H17" i="6409"/>
  <c r="H20" i="6409"/>
  <c r="H23" i="6409"/>
  <c r="H27" i="6409"/>
  <c r="H31" i="6409"/>
  <c r="C35" i="6409"/>
  <c r="C39" i="6409"/>
  <c r="C43" i="6409"/>
  <c r="O21" i="6407" l="1"/>
  <c r="O15" i="6389"/>
  <c r="O21" i="6391" l="1"/>
  <c r="O16" i="6407"/>
  <c r="O19" i="6407"/>
  <c r="O22" i="6393"/>
  <c r="O17" i="6401" l="1"/>
  <c r="O20" i="6407"/>
  <c r="O21" i="6395" l="1"/>
  <c r="O17" i="6407"/>
  <c r="O18" i="6407"/>
  <c r="C30" i="6407"/>
  <c r="B25" i="6407"/>
  <c r="C16" i="6407"/>
  <c r="B15" i="6407"/>
  <c r="H52" i="6407" s="1"/>
  <c r="C14" i="6407"/>
  <c r="B14" i="6407"/>
  <c r="B13" i="6407"/>
  <c r="C13" i="6407" s="1"/>
  <c r="O12" i="6407"/>
  <c r="C12" i="6407"/>
  <c r="O11" i="6407"/>
  <c r="C11" i="6407"/>
  <c r="O10" i="6407"/>
  <c r="C10" i="6407"/>
  <c r="C9" i="6407"/>
  <c r="C8" i="6407"/>
  <c r="O7" i="6407"/>
  <c r="C7" i="6407"/>
  <c r="O6" i="6407"/>
  <c r="B6" i="6407"/>
  <c r="O5" i="6407"/>
  <c r="B5" i="6407"/>
  <c r="O4" i="6407"/>
  <c r="O3" i="6407"/>
  <c r="O2" i="6407"/>
  <c r="O18" i="6399"/>
  <c r="O20" i="6385"/>
  <c r="B23" i="6407" l="1"/>
  <c r="H15" i="6407"/>
  <c r="H36" i="6407"/>
  <c r="C36" i="6407"/>
  <c r="H3" i="6407"/>
  <c r="H10" i="6407"/>
  <c r="H18" i="6407"/>
  <c r="H27" i="6407"/>
  <c r="H42" i="6407"/>
  <c r="H44" i="6407"/>
  <c r="H38" i="6407"/>
  <c r="H29" i="6407"/>
  <c r="H30" i="6407"/>
  <c r="H4" i="6407"/>
  <c r="C19" i="6407"/>
  <c r="C44" i="6407"/>
  <c r="C17" i="6407"/>
  <c r="C42" i="6407"/>
  <c r="H13" i="6407"/>
  <c r="H34" i="6407"/>
  <c r="H5" i="6407"/>
  <c r="H24" i="6407"/>
  <c r="C34" i="6407"/>
  <c r="H47" i="6407"/>
  <c r="C20" i="6407"/>
  <c r="C38" i="6407"/>
  <c r="H48" i="6407"/>
  <c r="H2" i="6407"/>
  <c r="H9" i="6407"/>
  <c r="C15" i="6407"/>
  <c r="C21" i="6407"/>
  <c r="H32" i="6407"/>
  <c r="H40" i="6407"/>
  <c r="H51" i="6407"/>
  <c r="H8" i="6407"/>
  <c r="H6" i="6407"/>
  <c r="H16" i="6407"/>
  <c r="H19" i="6407"/>
  <c r="H21" i="6407"/>
  <c r="H14" i="6407"/>
  <c r="C32" i="6407"/>
  <c r="C40" i="6407"/>
  <c r="H7" i="6407"/>
  <c r="H23" i="6407"/>
  <c r="H26" i="6407"/>
  <c r="H11" i="6407"/>
  <c r="C33" i="6407"/>
  <c r="C37" i="6407"/>
  <c r="C41" i="6407"/>
  <c r="H46" i="6407"/>
  <c r="B24" i="6407"/>
  <c r="H35" i="6407"/>
  <c r="H39" i="6407"/>
  <c r="H43" i="6407"/>
  <c r="H49" i="6407"/>
  <c r="H12" i="6407"/>
  <c r="H22" i="6407"/>
  <c r="H25" i="6407"/>
  <c r="H17" i="6407"/>
  <c r="H31" i="6407"/>
  <c r="C35" i="6407"/>
  <c r="C39" i="6407"/>
  <c r="C43" i="6407"/>
  <c r="H50" i="6407"/>
  <c r="H20" i="6407"/>
  <c r="C18" i="6407"/>
  <c r="B22" i="6407"/>
  <c r="H28" i="6407"/>
  <c r="H33" i="6407"/>
  <c r="H37" i="6407"/>
  <c r="H41" i="6407"/>
  <c r="H45" i="6407"/>
  <c r="O16" i="6397" l="1"/>
  <c r="O17" i="6405"/>
  <c r="O23" i="6389"/>
  <c r="O16" i="6405"/>
  <c r="O15" i="6405"/>
  <c r="C30" i="6405"/>
  <c r="B25" i="6405"/>
  <c r="C16" i="6405"/>
  <c r="B15" i="6405"/>
  <c r="H51" i="6405" s="1"/>
  <c r="H17" i="6405"/>
  <c r="B14" i="6405"/>
  <c r="C14" i="6405" s="1"/>
  <c r="B13" i="6405"/>
  <c r="C13" i="6405" s="1"/>
  <c r="O12" i="6405"/>
  <c r="C12" i="6405"/>
  <c r="O11" i="6405"/>
  <c r="C11" i="6405"/>
  <c r="O10" i="6405"/>
  <c r="C10" i="6405"/>
  <c r="C9" i="6405"/>
  <c r="C8" i="6405"/>
  <c r="O7" i="6405"/>
  <c r="C7" i="6405"/>
  <c r="O6" i="6405"/>
  <c r="B6" i="6405"/>
  <c r="O5" i="6405"/>
  <c r="B5" i="6405"/>
  <c r="O4" i="6405"/>
  <c r="O3" i="6405"/>
  <c r="O2" i="6405"/>
  <c r="O20" i="6399"/>
  <c r="O26" i="6385"/>
  <c r="B24" i="6405" l="1"/>
  <c r="H22" i="6405"/>
  <c r="H30" i="6405"/>
  <c r="C40" i="6405"/>
  <c r="C42" i="6405"/>
  <c r="H8" i="6405"/>
  <c r="H9" i="6405"/>
  <c r="B22" i="6405"/>
  <c r="H6" i="6405"/>
  <c r="H25" i="6405"/>
  <c r="H45" i="6405"/>
  <c r="C36" i="6405"/>
  <c r="H15" i="6405"/>
  <c r="C44" i="6405"/>
  <c r="H10" i="6405"/>
  <c r="H18" i="6405"/>
  <c r="H12" i="6405"/>
  <c r="H48" i="6405"/>
  <c r="H2" i="6405"/>
  <c r="H20" i="6405"/>
  <c r="H27" i="6405"/>
  <c r="H37" i="6405"/>
  <c r="H11" i="6405"/>
  <c r="H41" i="6405"/>
  <c r="C32" i="6405"/>
  <c r="C15" i="6405"/>
  <c r="H33" i="6405"/>
  <c r="H7" i="6405"/>
  <c r="C34" i="6405"/>
  <c r="H3" i="6405"/>
  <c r="H13" i="6405"/>
  <c r="C18" i="6405"/>
  <c r="H28" i="6405"/>
  <c r="C38" i="6405"/>
  <c r="H52" i="6405"/>
  <c r="H21" i="6405"/>
  <c r="H24" i="6405"/>
  <c r="H5" i="6405"/>
  <c r="C33" i="6405"/>
  <c r="C37" i="6405"/>
  <c r="C41" i="6405"/>
  <c r="H46" i="6405"/>
  <c r="C19" i="6405"/>
  <c r="B23" i="6405"/>
  <c r="H29" i="6405"/>
  <c r="H34" i="6405"/>
  <c r="H38" i="6405"/>
  <c r="H42" i="6405"/>
  <c r="H47" i="6405"/>
  <c r="C20" i="6405"/>
  <c r="H35" i="6405"/>
  <c r="H39" i="6405"/>
  <c r="H43" i="6405"/>
  <c r="H49" i="6405"/>
  <c r="H16" i="6405"/>
  <c r="H19" i="6405"/>
  <c r="H23" i="6405"/>
  <c r="H26" i="6405"/>
  <c r="H31" i="6405"/>
  <c r="C35" i="6405"/>
  <c r="C39" i="6405"/>
  <c r="C43" i="6405"/>
  <c r="H50" i="6405"/>
  <c r="H4" i="6405"/>
  <c r="H14" i="6405"/>
  <c r="C17" i="6405"/>
  <c r="C21" i="6405"/>
  <c r="H32" i="6405"/>
  <c r="H36" i="6405"/>
  <c r="H40" i="6405"/>
  <c r="H44" i="6405"/>
  <c r="O22" i="6387" l="1"/>
  <c r="O16" i="6395"/>
  <c r="O15" i="6395" l="1"/>
  <c r="O19" i="6403"/>
  <c r="O15" i="6393" l="1"/>
  <c r="O22" i="6399"/>
  <c r="O16" i="6403" l="1"/>
  <c r="O23" i="6393"/>
  <c r="O20" i="6387" l="1"/>
  <c r="O17" i="6389"/>
  <c r="O15" i="6399"/>
  <c r="O23" i="6399"/>
  <c r="O19" i="6397" l="1"/>
  <c r="O19" i="6401"/>
  <c r="O18" i="6391" l="1"/>
  <c r="O17" i="6397"/>
  <c r="O17" i="6399"/>
  <c r="O19" i="6399"/>
  <c r="O16" i="6387" l="1"/>
  <c r="O16" i="6401"/>
  <c r="O20" i="6401"/>
  <c r="O18" i="6393"/>
  <c r="O22" i="6391" l="1"/>
  <c r="O20" i="6395"/>
  <c r="O23" i="6395" l="1"/>
  <c r="O22" i="6389"/>
  <c r="O25" i="6399"/>
  <c r="O17" i="6403"/>
  <c r="O15" i="6403"/>
  <c r="O21" i="6401"/>
  <c r="O15" i="6391" l="1"/>
  <c r="O20" i="6391"/>
  <c r="O18" i="6403"/>
  <c r="O20" i="6403"/>
  <c r="C40" i="6403"/>
  <c r="C30" i="6403"/>
  <c r="B25" i="6403"/>
  <c r="C16" i="6403"/>
  <c r="B15" i="6403"/>
  <c r="H51" i="6403" s="1"/>
  <c r="H19" i="6403"/>
  <c r="B14" i="6403"/>
  <c r="B24" i="6403" s="1"/>
  <c r="B13" i="6403"/>
  <c r="C13" i="6403" s="1"/>
  <c r="O12" i="6403"/>
  <c r="C12" i="6403"/>
  <c r="O11" i="6403"/>
  <c r="C11" i="6403"/>
  <c r="O10" i="6403"/>
  <c r="C10" i="6403"/>
  <c r="C9" i="6403"/>
  <c r="C8" i="6403"/>
  <c r="O7" i="6403"/>
  <c r="C7" i="6403"/>
  <c r="O6" i="6403"/>
  <c r="B6" i="6403"/>
  <c r="O5" i="6403"/>
  <c r="B5" i="6403"/>
  <c r="O4" i="6403"/>
  <c r="O3" i="6403"/>
  <c r="O2" i="6403"/>
  <c r="O21" i="6397"/>
  <c r="O15" i="6397"/>
  <c r="O16" i="6385"/>
  <c r="C14" i="6403" l="1"/>
  <c r="C20" i="6403"/>
  <c r="H30" i="6403"/>
  <c r="B22" i="6403"/>
  <c r="C42" i="6403"/>
  <c r="H26" i="6403"/>
  <c r="C44" i="6403"/>
  <c r="H14" i="6403"/>
  <c r="C32" i="6403"/>
  <c r="H45" i="6403"/>
  <c r="H3" i="6403"/>
  <c r="H12" i="6403"/>
  <c r="H48" i="6403"/>
  <c r="H41" i="6403"/>
  <c r="H17" i="6403"/>
  <c r="H20" i="6403"/>
  <c r="H5" i="6403"/>
  <c r="H13" i="6403"/>
  <c r="C36" i="6403"/>
  <c r="H2" i="6403"/>
  <c r="H10" i="6403"/>
  <c r="H37" i="6403"/>
  <c r="H6" i="6403"/>
  <c r="H11" i="6403"/>
  <c r="C15" i="6403"/>
  <c r="H8" i="6403"/>
  <c r="H33" i="6403"/>
  <c r="H7" i="6403"/>
  <c r="C34" i="6403"/>
  <c r="C18" i="6403"/>
  <c r="H27" i="6403"/>
  <c r="H23" i="6403"/>
  <c r="H28" i="6403"/>
  <c r="C38" i="6403"/>
  <c r="H52" i="6403"/>
  <c r="H22" i="6403"/>
  <c r="H25" i="6403"/>
  <c r="H9" i="6403"/>
  <c r="C33" i="6403"/>
  <c r="C37" i="6403"/>
  <c r="C41" i="6403"/>
  <c r="H46" i="6403"/>
  <c r="C19" i="6403"/>
  <c r="B23" i="6403"/>
  <c r="H29" i="6403"/>
  <c r="H34" i="6403"/>
  <c r="H38" i="6403"/>
  <c r="H42" i="6403"/>
  <c r="H47" i="6403"/>
  <c r="H35" i="6403"/>
  <c r="H39" i="6403"/>
  <c r="H43" i="6403"/>
  <c r="H49" i="6403"/>
  <c r="H18" i="6403"/>
  <c r="H21" i="6403"/>
  <c r="H24" i="6403"/>
  <c r="H15" i="6403"/>
  <c r="H31" i="6403"/>
  <c r="C35" i="6403"/>
  <c r="C39" i="6403"/>
  <c r="C43" i="6403"/>
  <c r="H50" i="6403"/>
  <c r="H4" i="6403"/>
  <c r="H16" i="6403"/>
  <c r="C17" i="6403"/>
  <c r="C21" i="6403"/>
  <c r="H32" i="6403"/>
  <c r="H36" i="6403"/>
  <c r="H40" i="6403"/>
  <c r="H44" i="6403"/>
  <c r="O18" i="6389" l="1"/>
  <c r="O20" i="6393"/>
  <c r="O21" i="6389" l="1"/>
  <c r="O22" i="6397"/>
  <c r="O24" i="6397"/>
  <c r="O18" i="6387"/>
  <c r="O17" i="6391"/>
  <c r="O17" i="6393"/>
  <c r="O21" i="6393"/>
  <c r="O17" i="6387"/>
  <c r="O16" i="6391"/>
  <c r="O16" i="6389"/>
  <c r="O22" i="6401"/>
  <c r="O23" i="6401"/>
  <c r="O19" i="6395" l="1"/>
  <c r="O17" i="6395"/>
  <c r="O15" i="6401"/>
  <c r="O18" i="6401"/>
  <c r="C30" i="6401"/>
  <c r="B25" i="6401"/>
  <c r="C16" i="6401"/>
  <c r="B15" i="6401"/>
  <c r="H51" i="6401" s="1"/>
  <c r="B14" i="6401"/>
  <c r="B24" i="6401" s="1"/>
  <c r="B13" i="6401"/>
  <c r="C13" i="6401" s="1"/>
  <c r="O12" i="6401"/>
  <c r="C12" i="6401"/>
  <c r="O11" i="6401"/>
  <c r="C11" i="6401"/>
  <c r="O10" i="6401"/>
  <c r="C10" i="6401"/>
  <c r="C9" i="6401"/>
  <c r="C8" i="6401"/>
  <c r="O7" i="6401"/>
  <c r="C7" i="6401"/>
  <c r="O6" i="6401"/>
  <c r="B6" i="6401"/>
  <c r="O5" i="6401"/>
  <c r="B5" i="6401"/>
  <c r="O4" i="6401"/>
  <c r="O3" i="6401"/>
  <c r="O2" i="6401"/>
  <c r="O17" i="6385"/>
  <c r="O21" i="6399"/>
  <c r="O24" i="6399"/>
  <c r="C30" i="6399"/>
  <c r="B25" i="6399"/>
  <c r="C16" i="6399"/>
  <c r="B15" i="6399"/>
  <c r="H5" i="6399" s="1"/>
  <c r="B14" i="6399"/>
  <c r="B24" i="6399" s="1"/>
  <c r="B13" i="6399"/>
  <c r="C13" i="6399" s="1"/>
  <c r="O12" i="6399"/>
  <c r="C12" i="6399"/>
  <c r="O11" i="6399"/>
  <c r="C11" i="6399"/>
  <c r="O10" i="6399"/>
  <c r="C10" i="6399"/>
  <c r="C9" i="6399"/>
  <c r="C8" i="6399"/>
  <c r="O7" i="6399"/>
  <c r="C7" i="6399"/>
  <c r="O6" i="6399"/>
  <c r="B6" i="6399"/>
  <c r="O5" i="6399"/>
  <c r="B5" i="6399"/>
  <c r="O4" i="6399"/>
  <c r="O3" i="6399"/>
  <c r="O2" i="6399"/>
  <c r="O21" i="6385"/>
  <c r="C14" i="6399" l="1"/>
  <c r="C14" i="6401"/>
  <c r="H23" i="6401"/>
  <c r="H3" i="6401"/>
  <c r="H19" i="6401"/>
  <c r="C19" i="6401"/>
  <c r="H10" i="6401"/>
  <c r="H35" i="6401"/>
  <c r="H40" i="6401"/>
  <c r="C15" i="6401"/>
  <c r="C44" i="6401"/>
  <c r="C20" i="6401"/>
  <c r="C34" i="6401"/>
  <c r="H9" i="6401"/>
  <c r="H22" i="6401"/>
  <c r="H36" i="6401"/>
  <c r="H49" i="6401"/>
  <c r="H29" i="6401"/>
  <c r="H2" i="6401"/>
  <c r="H48" i="6401"/>
  <c r="H24" i="6401"/>
  <c r="C21" i="6401"/>
  <c r="H31" i="6401"/>
  <c r="H37" i="6401"/>
  <c r="H6" i="6401"/>
  <c r="H15" i="6401"/>
  <c r="C36" i="6401"/>
  <c r="H43" i="6401"/>
  <c r="B22" i="6401"/>
  <c r="H33" i="6401"/>
  <c r="H38" i="6401"/>
  <c r="C42" i="6401"/>
  <c r="H20" i="6401"/>
  <c r="H41" i="6401"/>
  <c r="H12" i="6401"/>
  <c r="H30" i="6401"/>
  <c r="H50" i="6401"/>
  <c r="H8" i="6401"/>
  <c r="C17" i="6401"/>
  <c r="H25" i="6401"/>
  <c r="H18" i="6401"/>
  <c r="C32" i="6401"/>
  <c r="H39" i="6401"/>
  <c r="H44" i="6401"/>
  <c r="H5" i="6401"/>
  <c r="H17" i="6401"/>
  <c r="H46" i="6401"/>
  <c r="H4" i="6401"/>
  <c r="C40" i="6401"/>
  <c r="H42" i="6401"/>
  <c r="H7" i="6401"/>
  <c r="H21" i="6401"/>
  <c r="C18" i="6401"/>
  <c r="H34" i="6401"/>
  <c r="C38" i="6401"/>
  <c r="H45" i="6401"/>
  <c r="H52" i="6401"/>
  <c r="H26" i="6401"/>
  <c r="H28" i="6401"/>
  <c r="H11" i="6401"/>
  <c r="C33" i="6401"/>
  <c r="C37" i="6401"/>
  <c r="C41" i="6401"/>
  <c r="H47" i="6401"/>
  <c r="B23" i="6401"/>
  <c r="H16" i="6401"/>
  <c r="H13" i="6401"/>
  <c r="H27" i="6401"/>
  <c r="H14" i="6401"/>
  <c r="H32" i="6401"/>
  <c r="C35" i="6401"/>
  <c r="C39" i="6401"/>
  <c r="C43" i="6401"/>
  <c r="H2" i="6399"/>
  <c r="H11" i="6399"/>
  <c r="H32" i="6399"/>
  <c r="H19" i="6399"/>
  <c r="H42" i="6399"/>
  <c r="H12" i="6399"/>
  <c r="C15" i="6399"/>
  <c r="H35" i="6399"/>
  <c r="H4" i="6399"/>
  <c r="H6" i="6399"/>
  <c r="H46" i="6399"/>
  <c r="H25" i="6399"/>
  <c r="H38" i="6399"/>
  <c r="H10" i="6399"/>
  <c r="C18" i="6399"/>
  <c r="H9" i="6399"/>
  <c r="B22" i="6399"/>
  <c r="H52" i="6399"/>
  <c r="H27" i="6399"/>
  <c r="H29" i="6399"/>
  <c r="H8" i="6399"/>
  <c r="C33" i="6399"/>
  <c r="C37" i="6399"/>
  <c r="C41" i="6399"/>
  <c r="H47" i="6399"/>
  <c r="C19" i="6399"/>
  <c r="B23" i="6399"/>
  <c r="H33" i="6399"/>
  <c r="H22" i="6399"/>
  <c r="H39" i="6399"/>
  <c r="H43" i="6399"/>
  <c r="H48" i="6399"/>
  <c r="H3" i="6399"/>
  <c r="H26" i="6399"/>
  <c r="H13" i="6399"/>
  <c r="H30" i="6399"/>
  <c r="H16" i="6399"/>
  <c r="C34" i="6399"/>
  <c r="C38" i="6399"/>
  <c r="C42" i="6399"/>
  <c r="H49" i="6399"/>
  <c r="H50" i="6399"/>
  <c r="H24" i="6399"/>
  <c r="H17" i="6399"/>
  <c r="H28" i="6399"/>
  <c r="H15" i="6399"/>
  <c r="H21" i="6399"/>
  <c r="C35" i="6399"/>
  <c r="C39" i="6399"/>
  <c r="C43" i="6399"/>
  <c r="H51" i="6399"/>
  <c r="C20" i="6399"/>
  <c r="H36" i="6399"/>
  <c r="H40" i="6399"/>
  <c r="H44" i="6399"/>
  <c r="H7" i="6399"/>
  <c r="H18" i="6399"/>
  <c r="C17" i="6399"/>
  <c r="C21" i="6399"/>
  <c r="H34" i="6399"/>
  <c r="H37" i="6399"/>
  <c r="H41" i="6399"/>
  <c r="H45" i="6399"/>
  <c r="H23" i="6399"/>
  <c r="H20" i="6399"/>
  <c r="H14" i="6399"/>
  <c r="H31" i="6399"/>
  <c r="C32" i="6399"/>
  <c r="C36" i="6399"/>
  <c r="C40" i="6399"/>
  <c r="C44" i="6399"/>
  <c r="O23" i="6397" l="1"/>
  <c r="O18" i="6397"/>
  <c r="C30" i="6397"/>
  <c r="B25" i="6397"/>
  <c r="C16" i="6397"/>
  <c r="B15" i="6397"/>
  <c r="H52" i="6397" s="1"/>
  <c r="B14" i="6397"/>
  <c r="B24" i="6397" s="1"/>
  <c r="B13" i="6397"/>
  <c r="C13" i="6397" s="1"/>
  <c r="O12" i="6397"/>
  <c r="C12" i="6397"/>
  <c r="O11" i="6397"/>
  <c r="C11" i="6397"/>
  <c r="O10" i="6397"/>
  <c r="C10" i="6397"/>
  <c r="C9" i="6397"/>
  <c r="C8" i="6397"/>
  <c r="O7" i="6397"/>
  <c r="C7" i="6397"/>
  <c r="O6" i="6397"/>
  <c r="B6" i="6397"/>
  <c r="O5" i="6397"/>
  <c r="B5" i="6397"/>
  <c r="O4" i="6397"/>
  <c r="O3" i="6397"/>
  <c r="O2" i="6397"/>
  <c r="O22" i="6395"/>
  <c r="O18" i="6395"/>
  <c r="C30" i="6395"/>
  <c r="B25" i="6395"/>
  <c r="C16" i="6395"/>
  <c r="B15" i="6395"/>
  <c r="H52" i="6395" s="1"/>
  <c r="B14" i="6395"/>
  <c r="B24" i="6395" s="1"/>
  <c r="B13" i="6395"/>
  <c r="C13" i="6395" s="1"/>
  <c r="O12" i="6395"/>
  <c r="C12" i="6395"/>
  <c r="O11" i="6395"/>
  <c r="C11" i="6395"/>
  <c r="O10" i="6395"/>
  <c r="C10" i="6395"/>
  <c r="C9" i="6395"/>
  <c r="C8" i="6395"/>
  <c r="O7" i="6395"/>
  <c r="C7" i="6395"/>
  <c r="O6" i="6395"/>
  <c r="B6" i="6395"/>
  <c r="O5" i="6395"/>
  <c r="B5" i="6395"/>
  <c r="O4" i="6395"/>
  <c r="O3" i="6395"/>
  <c r="O2" i="6395"/>
  <c r="O18" i="6385"/>
  <c r="O19" i="6393"/>
  <c r="O16" i="6393"/>
  <c r="C30" i="6393"/>
  <c r="B25" i="6393"/>
  <c r="C16" i="6393"/>
  <c r="B15" i="6393"/>
  <c r="H18" i="6393" s="1"/>
  <c r="B14" i="6393"/>
  <c r="B24" i="6393" s="1"/>
  <c r="B13" i="6393"/>
  <c r="C13" i="6393" s="1"/>
  <c r="O12" i="6393"/>
  <c r="C12" i="6393"/>
  <c r="O11" i="6393"/>
  <c r="C11" i="6393"/>
  <c r="O10" i="6393"/>
  <c r="C10" i="6393"/>
  <c r="C9" i="6393"/>
  <c r="C8" i="6393"/>
  <c r="O7" i="6393"/>
  <c r="C7" i="6393"/>
  <c r="O6" i="6393"/>
  <c r="B6" i="6393"/>
  <c r="O5" i="6393"/>
  <c r="B5" i="6393"/>
  <c r="O4" i="6393"/>
  <c r="O3" i="6393"/>
  <c r="O2" i="6393"/>
  <c r="O22" i="6385"/>
  <c r="O24" i="6385"/>
  <c r="C14" i="6393" l="1"/>
  <c r="C14" i="6395"/>
  <c r="H3" i="6395"/>
  <c r="H6" i="6395"/>
  <c r="H2" i="6393"/>
  <c r="H16" i="6393"/>
  <c r="H9" i="6393"/>
  <c r="H43" i="6393"/>
  <c r="C34" i="6393"/>
  <c r="C19" i="6393"/>
  <c r="C36" i="6393"/>
  <c r="C42" i="6393"/>
  <c r="H8" i="6393"/>
  <c r="H35" i="6393"/>
  <c r="C18" i="6393"/>
  <c r="H24" i="6393"/>
  <c r="H29" i="6393"/>
  <c r="H30" i="6393"/>
  <c r="H10" i="6395"/>
  <c r="H17" i="6395"/>
  <c r="C14" i="6397"/>
  <c r="C21" i="6397"/>
  <c r="H4" i="6397"/>
  <c r="H43" i="6397"/>
  <c r="H28" i="6397"/>
  <c r="H14" i="6397"/>
  <c r="H30" i="6397"/>
  <c r="H11" i="6397"/>
  <c r="H7" i="6397"/>
  <c r="C34" i="6397"/>
  <c r="C42" i="6397"/>
  <c r="C40" i="6397"/>
  <c r="H45" i="6397"/>
  <c r="H25" i="6397"/>
  <c r="H3" i="6397"/>
  <c r="C17" i="6397"/>
  <c r="H26" i="6397"/>
  <c r="H38" i="6397"/>
  <c r="H15" i="6397"/>
  <c r="H34" i="6397"/>
  <c r="C36" i="6397"/>
  <c r="C44" i="6397"/>
  <c r="H6" i="6397"/>
  <c r="H12" i="6397"/>
  <c r="C15" i="6397"/>
  <c r="H36" i="6397"/>
  <c r="C19" i="6397"/>
  <c r="H20" i="6397"/>
  <c r="H40" i="6397"/>
  <c r="H48" i="6397"/>
  <c r="H27" i="6397"/>
  <c r="C32" i="6397"/>
  <c r="H10" i="6397"/>
  <c r="H21" i="6397"/>
  <c r="H2" i="6397"/>
  <c r="H18" i="6397"/>
  <c r="H19" i="6397"/>
  <c r="C38" i="6397"/>
  <c r="H17" i="6397"/>
  <c r="H31" i="6397"/>
  <c r="H33" i="6397"/>
  <c r="H8" i="6397"/>
  <c r="C33" i="6397"/>
  <c r="C37" i="6397"/>
  <c r="C41" i="6397"/>
  <c r="H47" i="6397"/>
  <c r="B23" i="6397"/>
  <c r="H49" i="6397"/>
  <c r="H9" i="6397"/>
  <c r="C20" i="6397"/>
  <c r="H37" i="6397"/>
  <c r="H41" i="6397"/>
  <c r="H44" i="6397"/>
  <c r="H50" i="6397"/>
  <c r="H23" i="6397"/>
  <c r="H16" i="6397"/>
  <c r="H32" i="6397"/>
  <c r="H13" i="6397"/>
  <c r="H22" i="6397"/>
  <c r="C35" i="6397"/>
  <c r="C39" i="6397"/>
  <c r="C43" i="6397"/>
  <c r="H51" i="6397"/>
  <c r="H5" i="6397"/>
  <c r="H29" i="6397"/>
  <c r="C18" i="6397"/>
  <c r="B22" i="6397"/>
  <c r="H24" i="6397"/>
  <c r="H35" i="6397"/>
  <c r="H39" i="6397"/>
  <c r="H42" i="6397"/>
  <c r="H46" i="6397"/>
  <c r="H16" i="6395"/>
  <c r="H23" i="6395"/>
  <c r="C17" i="6395"/>
  <c r="H39" i="6395"/>
  <c r="H29" i="6395"/>
  <c r="H11" i="6395"/>
  <c r="H20" i="6395"/>
  <c r="C38" i="6395"/>
  <c r="H2" i="6395"/>
  <c r="H5" i="6395"/>
  <c r="C19" i="6395"/>
  <c r="H43" i="6395"/>
  <c r="H35" i="6395"/>
  <c r="C42" i="6395"/>
  <c r="C15" i="6395"/>
  <c r="H26" i="6395"/>
  <c r="H45" i="6395"/>
  <c r="C34" i="6395"/>
  <c r="C44" i="6395"/>
  <c r="H14" i="6395"/>
  <c r="H4" i="6395"/>
  <c r="H21" i="6395"/>
  <c r="H30" i="6395"/>
  <c r="H48" i="6395"/>
  <c r="H12" i="6395"/>
  <c r="H31" i="6395"/>
  <c r="H25" i="6395"/>
  <c r="C36" i="6395"/>
  <c r="H49" i="6395"/>
  <c r="C21" i="6395"/>
  <c r="H28" i="6395"/>
  <c r="H41" i="6395"/>
  <c r="H13" i="6395"/>
  <c r="C32" i="6395"/>
  <c r="C40" i="6395"/>
  <c r="H7" i="6395"/>
  <c r="H33" i="6395"/>
  <c r="H22" i="6395"/>
  <c r="H8" i="6395"/>
  <c r="C33" i="6395"/>
  <c r="C37" i="6395"/>
  <c r="C41" i="6395"/>
  <c r="H47" i="6395"/>
  <c r="B23" i="6395"/>
  <c r="H9" i="6395"/>
  <c r="C20" i="6395"/>
  <c r="H37" i="6395"/>
  <c r="H40" i="6395"/>
  <c r="H44" i="6395"/>
  <c r="H50" i="6395"/>
  <c r="H24" i="6395"/>
  <c r="H19" i="6395"/>
  <c r="H34" i="6395"/>
  <c r="H15" i="6395"/>
  <c r="H18" i="6395"/>
  <c r="C35" i="6395"/>
  <c r="C39" i="6395"/>
  <c r="C43" i="6395"/>
  <c r="H51" i="6395"/>
  <c r="H32" i="6395"/>
  <c r="C18" i="6395"/>
  <c r="B22" i="6395"/>
  <c r="H27" i="6395"/>
  <c r="H36" i="6395"/>
  <c r="H38" i="6395"/>
  <c r="H42" i="6395"/>
  <c r="H46" i="6395"/>
  <c r="C44" i="6393"/>
  <c r="H12" i="6393"/>
  <c r="H31" i="6393"/>
  <c r="H38" i="6393"/>
  <c r="H46" i="6393"/>
  <c r="B22" i="6393"/>
  <c r="H48" i="6393"/>
  <c r="H25" i="6393"/>
  <c r="C15" i="6393"/>
  <c r="B23" i="6393"/>
  <c r="C38" i="6393"/>
  <c r="H49" i="6393"/>
  <c r="H10" i="6393"/>
  <c r="H20" i="6393"/>
  <c r="C40" i="6393"/>
  <c r="H5" i="6393"/>
  <c r="H3" i="6393"/>
  <c r="H23" i="6393"/>
  <c r="H21" i="6393"/>
  <c r="H39" i="6393"/>
  <c r="H6" i="6393"/>
  <c r="H14" i="6393"/>
  <c r="C32" i="6393"/>
  <c r="H4" i="6393"/>
  <c r="H17" i="6393"/>
  <c r="H34" i="6393"/>
  <c r="H42" i="6393"/>
  <c r="H52" i="6393"/>
  <c r="H26" i="6393"/>
  <c r="H28" i="6393"/>
  <c r="H11" i="6393"/>
  <c r="C33" i="6393"/>
  <c r="C37" i="6393"/>
  <c r="C41" i="6393"/>
  <c r="H47" i="6393"/>
  <c r="H36" i="6393"/>
  <c r="H40" i="6393"/>
  <c r="H44" i="6393"/>
  <c r="H50" i="6393"/>
  <c r="H19" i="6393"/>
  <c r="H15" i="6393"/>
  <c r="H27" i="6393"/>
  <c r="H13" i="6393"/>
  <c r="H32" i="6393"/>
  <c r="C35" i="6393"/>
  <c r="C39" i="6393"/>
  <c r="C43" i="6393"/>
  <c r="H51" i="6393"/>
  <c r="C20" i="6393"/>
  <c r="H7" i="6393"/>
  <c r="H22" i="6393"/>
  <c r="C17" i="6393"/>
  <c r="C21" i="6393"/>
  <c r="H33" i="6393"/>
  <c r="H37" i="6393"/>
  <c r="H41" i="6393"/>
  <c r="H45" i="6393"/>
  <c r="O23" i="6391" l="1"/>
  <c r="O19" i="6391"/>
  <c r="C30" i="6391"/>
  <c r="B25" i="6391"/>
  <c r="C16" i="6391"/>
  <c r="B15" i="6391"/>
  <c r="H19" i="6391" s="1"/>
  <c r="B14" i="6391"/>
  <c r="B24" i="6391" s="1"/>
  <c r="B13" i="6391"/>
  <c r="C13" i="6391" s="1"/>
  <c r="O12" i="6391"/>
  <c r="C12" i="6391"/>
  <c r="O11" i="6391"/>
  <c r="C11" i="6391"/>
  <c r="O10" i="6391"/>
  <c r="C10" i="6391"/>
  <c r="C9" i="6391"/>
  <c r="C8" i="6391"/>
  <c r="O7" i="6391"/>
  <c r="C7" i="6391"/>
  <c r="O6" i="6391"/>
  <c r="B6" i="6391"/>
  <c r="O5" i="6391"/>
  <c r="B5" i="6391"/>
  <c r="O4" i="6391"/>
  <c r="O3" i="6391"/>
  <c r="O2" i="6391"/>
  <c r="O20" i="6389"/>
  <c r="O19" i="6389"/>
  <c r="C30" i="6389"/>
  <c r="B25" i="6389"/>
  <c r="C16" i="6389"/>
  <c r="B15" i="6389"/>
  <c r="H52" i="6389" s="1"/>
  <c r="C14" i="6389"/>
  <c r="B14" i="6389"/>
  <c r="B13" i="6389"/>
  <c r="C13" i="6389" s="1"/>
  <c r="O12" i="6389"/>
  <c r="C12" i="6389"/>
  <c r="O11" i="6389"/>
  <c r="C11" i="6389"/>
  <c r="O10" i="6389"/>
  <c r="C10" i="6389"/>
  <c r="C9" i="6389"/>
  <c r="C8" i="6389"/>
  <c r="O7" i="6389"/>
  <c r="C7" i="6389"/>
  <c r="O6" i="6389"/>
  <c r="B6" i="6389"/>
  <c r="O5" i="6389"/>
  <c r="B5" i="6389"/>
  <c r="O4" i="6389"/>
  <c r="O3" i="6389"/>
  <c r="O2" i="6389"/>
  <c r="O19" i="6385"/>
  <c r="O19" i="6387"/>
  <c r="O21" i="6387"/>
  <c r="C30" i="6387"/>
  <c r="B25" i="6387"/>
  <c r="C16" i="6387"/>
  <c r="B15" i="6387"/>
  <c r="H50" i="6387" s="1"/>
  <c r="B14" i="6387"/>
  <c r="B24" i="6387" s="1"/>
  <c r="B13" i="6387"/>
  <c r="C13" i="6387" s="1"/>
  <c r="O12" i="6387"/>
  <c r="C12" i="6387"/>
  <c r="O11" i="6387"/>
  <c r="C11" i="6387"/>
  <c r="O10" i="6387"/>
  <c r="C10" i="6387"/>
  <c r="C9" i="6387"/>
  <c r="C8" i="6387"/>
  <c r="O7" i="6387"/>
  <c r="C7" i="6387"/>
  <c r="O6" i="6387"/>
  <c r="B6" i="6387"/>
  <c r="O5" i="6387"/>
  <c r="B5" i="6387"/>
  <c r="O4" i="6387"/>
  <c r="O3" i="6387"/>
  <c r="O2" i="6387"/>
  <c r="O23" i="6385"/>
  <c r="O25" i="6385"/>
  <c r="C30" i="6385"/>
  <c r="B25" i="6385"/>
  <c r="C16" i="6385"/>
  <c r="B15" i="6385"/>
  <c r="H17" i="6385" s="1"/>
  <c r="B14" i="6385"/>
  <c r="B24" i="6385" s="1"/>
  <c r="B13" i="6385"/>
  <c r="C13" i="6385" s="1"/>
  <c r="O12" i="6385"/>
  <c r="C12" i="6385"/>
  <c r="O11" i="6385"/>
  <c r="C11" i="6385"/>
  <c r="O10" i="6385"/>
  <c r="C10" i="6385"/>
  <c r="C9" i="6385"/>
  <c r="C8" i="6385"/>
  <c r="O7" i="6385"/>
  <c r="C7" i="6385"/>
  <c r="O6" i="6385"/>
  <c r="B6" i="6385"/>
  <c r="O5" i="6385"/>
  <c r="B5" i="6385"/>
  <c r="O4" i="6385"/>
  <c r="O3" i="6385"/>
  <c r="O2" i="6385"/>
  <c r="C14" i="6391" l="1"/>
  <c r="C14" i="6385"/>
  <c r="C14" i="6387"/>
  <c r="H27" i="6387"/>
  <c r="H44" i="6391"/>
  <c r="C43" i="6391"/>
  <c r="H39" i="6391"/>
  <c r="H11" i="6391"/>
  <c r="H25" i="6391"/>
  <c r="H32" i="6391"/>
  <c r="H27" i="6391"/>
  <c r="H40" i="6391"/>
  <c r="C44" i="6391"/>
  <c r="H5" i="6391"/>
  <c r="H17" i="6391"/>
  <c r="C15" i="6391"/>
  <c r="H30" i="6391"/>
  <c r="H3" i="6391"/>
  <c r="H14" i="6391"/>
  <c r="H33" i="6391"/>
  <c r="C34" i="6391"/>
  <c r="C39" i="6391"/>
  <c r="H46" i="6391"/>
  <c r="C20" i="6391"/>
  <c r="H12" i="6391"/>
  <c r="H8" i="6391"/>
  <c r="H22" i="6391"/>
  <c r="H15" i="6391"/>
  <c r="B22" i="6391"/>
  <c r="H23" i="6391"/>
  <c r="H36" i="6391"/>
  <c r="C40" i="6391"/>
  <c r="H49" i="6391"/>
  <c r="C32" i="6391"/>
  <c r="H35" i="6391"/>
  <c r="H18" i="6391"/>
  <c r="C35" i="6391"/>
  <c r="H51" i="6391"/>
  <c r="H13" i="6391"/>
  <c r="C38" i="6391"/>
  <c r="H16" i="6391"/>
  <c r="C18" i="6391"/>
  <c r="H31" i="6391"/>
  <c r="C36" i="6391"/>
  <c r="H43" i="6391"/>
  <c r="H4" i="6391"/>
  <c r="H21" i="6391"/>
  <c r="H6" i="6391"/>
  <c r="H2" i="6391"/>
  <c r="B23" i="6391"/>
  <c r="H42" i="6391"/>
  <c r="H10" i="6391"/>
  <c r="H28" i="6391"/>
  <c r="C19" i="6391"/>
  <c r="H20" i="6391"/>
  <c r="H38" i="6391"/>
  <c r="C42" i="6391"/>
  <c r="H52" i="6391"/>
  <c r="H29" i="6391"/>
  <c r="H26" i="6391"/>
  <c r="H9" i="6391"/>
  <c r="C33" i="6391"/>
  <c r="C37" i="6391"/>
  <c r="C41" i="6391"/>
  <c r="H47" i="6391"/>
  <c r="H48" i="6391"/>
  <c r="H50" i="6391"/>
  <c r="H7" i="6391"/>
  <c r="H24" i="6391"/>
  <c r="C17" i="6391"/>
  <c r="C21" i="6391"/>
  <c r="H34" i="6391"/>
  <c r="H37" i="6391"/>
  <c r="H41" i="6391"/>
  <c r="H45" i="6391"/>
  <c r="H35" i="6385"/>
  <c r="H42" i="6389"/>
  <c r="C32" i="6389"/>
  <c r="H27" i="6389"/>
  <c r="H44" i="6389"/>
  <c r="C21" i="6389"/>
  <c r="H4" i="6389"/>
  <c r="H22" i="6389"/>
  <c r="H10" i="6389"/>
  <c r="H6" i="6389"/>
  <c r="C34" i="6389"/>
  <c r="C42" i="6389"/>
  <c r="H12" i="6389"/>
  <c r="C40" i="6389"/>
  <c r="H3" i="6389"/>
  <c r="C17" i="6389"/>
  <c r="H28" i="6389"/>
  <c r="H38" i="6389"/>
  <c r="H46" i="6389"/>
  <c r="H7" i="6389"/>
  <c r="C15" i="6389"/>
  <c r="H23" i="6389"/>
  <c r="H2" i="6389"/>
  <c r="C44" i="6389"/>
  <c r="H14" i="6389"/>
  <c r="H11" i="6389"/>
  <c r="H29" i="6389"/>
  <c r="B23" i="6389"/>
  <c r="C19" i="6389"/>
  <c r="H40" i="6389"/>
  <c r="H48" i="6389"/>
  <c r="H35" i="6389"/>
  <c r="H25" i="6389"/>
  <c r="H21" i="6389"/>
  <c r="C36" i="6389"/>
  <c r="H18" i="6389"/>
  <c r="H31" i="6389"/>
  <c r="H17" i="6389"/>
  <c r="C38" i="6389"/>
  <c r="H16" i="6389"/>
  <c r="H33" i="6389"/>
  <c r="H24" i="6389"/>
  <c r="H8" i="6389"/>
  <c r="C33" i="6389"/>
  <c r="C37" i="6389"/>
  <c r="C41" i="6389"/>
  <c r="H47" i="6389"/>
  <c r="H49" i="6389"/>
  <c r="H9" i="6389"/>
  <c r="C20" i="6389"/>
  <c r="B24" i="6389"/>
  <c r="H37" i="6389"/>
  <c r="H41" i="6389"/>
  <c r="H45" i="6389"/>
  <c r="H50" i="6389"/>
  <c r="H20" i="6389"/>
  <c r="H15" i="6389"/>
  <c r="H34" i="6389"/>
  <c r="H13" i="6389"/>
  <c r="H19" i="6389"/>
  <c r="C35" i="6389"/>
  <c r="C39" i="6389"/>
  <c r="C43" i="6389"/>
  <c r="H51" i="6389"/>
  <c r="H5" i="6389"/>
  <c r="H32" i="6389"/>
  <c r="C18" i="6389"/>
  <c r="B22" i="6389"/>
  <c r="H26" i="6389"/>
  <c r="H36" i="6389"/>
  <c r="H39" i="6389"/>
  <c r="H43" i="6389"/>
  <c r="H30" i="6389"/>
  <c r="H6" i="6387"/>
  <c r="C19" i="6387"/>
  <c r="H10" i="6387"/>
  <c r="H25" i="6387"/>
  <c r="H34" i="6387"/>
  <c r="H39" i="6387"/>
  <c r="C44" i="6387"/>
  <c r="C34" i="6387"/>
  <c r="H40" i="6387"/>
  <c r="H45" i="6387"/>
  <c r="H14" i="6387"/>
  <c r="H18" i="6387"/>
  <c r="H35" i="6387"/>
  <c r="H47" i="6387"/>
  <c r="H13" i="6387"/>
  <c r="C20" i="6387"/>
  <c r="H31" i="6387"/>
  <c r="C40" i="6387"/>
  <c r="H23" i="6387"/>
  <c r="C21" i="6387"/>
  <c r="H17" i="6387"/>
  <c r="H36" i="6387"/>
  <c r="H41" i="6387"/>
  <c r="H48" i="6387"/>
  <c r="H5" i="6387"/>
  <c r="H42" i="6387"/>
  <c r="H49" i="6387"/>
  <c r="H8" i="6387"/>
  <c r="C17" i="6387"/>
  <c r="B22" i="6387"/>
  <c r="H22" i="6387"/>
  <c r="H37" i="6387"/>
  <c r="C42" i="6387"/>
  <c r="H51" i="6387"/>
  <c r="H21" i="6387"/>
  <c r="H9" i="6387"/>
  <c r="H2" i="6387"/>
  <c r="H38" i="6387"/>
  <c r="H43" i="6387"/>
  <c r="H4" i="6387"/>
  <c r="C15" i="6387"/>
  <c r="H3" i="6387"/>
  <c r="H11" i="6387"/>
  <c r="C36" i="6387"/>
  <c r="H16" i="6387"/>
  <c r="H30" i="6387"/>
  <c r="C32" i="6387"/>
  <c r="H7" i="6387"/>
  <c r="H26" i="6387"/>
  <c r="C18" i="6387"/>
  <c r="H33" i="6387"/>
  <c r="C38" i="6387"/>
  <c r="H44" i="6387"/>
  <c r="H52" i="6387"/>
  <c r="H28" i="6387"/>
  <c r="H24" i="6387"/>
  <c r="H12" i="6387"/>
  <c r="C33" i="6387"/>
  <c r="C37" i="6387"/>
  <c r="C41" i="6387"/>
  <c r="H46" i="6387"/>
  <c r="B23" i="6387"/>
  <c r="H19" i="6387"/>
  <c r="H20" i="6387"/>
  <c r="H29" i="6387"/>
  <c r="H15" i="6387"/>
  <c r="H32" i="6387"/>
  <c r="C35" i="6387"/>
  <c r="C39" i="6387"/>
  <c r="C43" i="6387"/>
  <c r="B22" i="6385"/>
  <c r="H10" i="6385"/>
  <c r="C36" i="6385"/>
  <c r="H40" i="6385"/>
  <c r="H24" i="6385"/>
  <c r="C15" i="6385"/>
  <c r="H28" i="6385"/>
  <c r="H27" i="6385"/>
  <c r="C44" i="6385"/>
  <c r="H12" i="6385"/>
  <c r="H19" i="6385"/>
  <c r="H34" i="6385"/>
  <c r="C18" i="6385"/>
  <c r="H5" i="6385"/>
  <c r="C40" i="6385"/>
  <c r="H11" i="6385"/>
  <c r="H43" i="6385"/>
  <c r="H4" i="6385"/>
  <c r="H6" i="6385"/>
  <c r="C32" i="6385"/>
  <c r="H13" i="6385"/>
  <c r="H38" i="6385"/>
  <c r="H52" i="6385"/>
  <c r="H36" i="6385"/>
  <c r="H25" i="6385"/>
  <c r="H8" i="6385"/>
  <c r="C33" i="6385"/>
  <c r="C37" i="6385"/>
  <c r="C41" i="6385"/>
  <c r="H47" i="6385"/>
  <c r="C19" i="6385"/>
  <c r="B23" i="6385"/>
  <c r="H29" i="6385"/>
  <c r="H30" i="6385"/>
  <c r="H41" i="6385"/>
  <c r="H44" i="6385"/>
  <c r="H48" i="6385"/>
  <c r="H2" i="6385"/>
  <c r="H3" i="6385"/>
  <c r="H26" i="6385"/>
  <c r="H22" i="6385"/>
  <c r="C34" i="6385"/>
  <c r="C42" i="6385"/>
  <c r="H49" i="6385"/>
  <c r="H9" i="6385"/>
  <c r="C20" i="6385"/>
  <c r="H39" i="6385"/>
  <c r="H42" i="6385"/>
  <c r="H45" i="6385"/>
  <c r="H50" i="6385"/>
  <c r="H16" i="6385"/>
  <c r="H18" i="6385"/>
  <c r="C38" i="6385"/>
  <c r="H20" i="6385"/>
  <c r="H15" i="6385"/>
  <c r="H37" i="6385"/>
  <c r="H14" i="6385"/>
  <c r="H21" i="6385"/>
  <c r="C35" i="6385"/>
  <c r="C39" i="6385"/>
  <c r="C43" i="6385"/>
  <c r="H51" i="6385"/>
  <c r="H7" i="6385"/>
  <c r="H23" i="6385"/>
  <c r="C17" i="6385"/>
  <c r="C21" i="6385"/>
  <c r="H31" i="6385"/>
  <c r="H32" i="6385"/>
  <c r="H33" i="6385"/>
  <c r="H46" i="638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<sst xmlns="http://schemas.openxmlformats.org/spreadsheetml/2006/main" count="3908" uniqueCount="316">
  <si>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</si>
  <si>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</si>
  <si>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</si>
  <si>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</si>
  <si>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</si>
  <si>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</si>
  <si>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</si>
  <si>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</si>
  <si>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</si>
  <si>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</si>
  <si>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</si>
  <si>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</si>
  <si>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</si>
  <si>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</si>
  <si>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</si>
  <si>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</si>
  <si>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</si>
  <si>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</si>
  <si>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</si>
  <si>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</si>
  <si>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</si>
  <si>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</si>
  <si>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</si>
  <si>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</si>
  <si>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</si>
  <si>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</si>
  <si>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</si>
  <si>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</si>
  <si>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</si>
  <si>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</si>
  <si>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</si>
  <si>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</si>
  <si>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</si>
  <si>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</si>
  <si>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</si>
  <si>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</si>
  <si>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</si>
  <si>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</si>
  <si>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</si>
  <si>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</si>
  <si>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</si>
  <si>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</si>
  <si>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</si>
  <si>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</si>
  <si>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</si>
  <si>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</si>
  <si>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</si>
  <si>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</si>
  <si>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</si>
  <si>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</si>
  <si>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</si>
  <si>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</si>
  <si>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</si>
  <si>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</si>
  <si>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</si>
  <si>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</si>
  <si>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</si>
  <si>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</si>
  <si>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</si>
  <si>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</si>
  <si>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</si>
  <si>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</si>
  <si>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</si>
  <si>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</si>
  <si>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</si>
  <si>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</si>
  <si>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</si>
  <si>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</si>
  <si>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</si>
  <si>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</si>
  <si>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</si>
  <si>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</si>
  <si>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</si>
  <si>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</si>
  <si>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</si>
  <si>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</si>
  <si>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</si>
  <si>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</si>
  <si>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</si>
  <si>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</si>
  <si>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</si>
  <si>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</si>
  <si>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</si>
  <si>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</si>
  <si>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</si>
  <si>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</si>
  <si>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</si>
  <si>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</si>
  <si>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</si>
  <si>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</si>
  <si>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</si>
  <si>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</si>
  <si>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</si>
  <si>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</si>
  <si>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</si>
  <si>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</si>
  <si>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</si>
  <si>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</si>
  <si>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</si>
  <si>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</si>
  <si>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</si>
  <si>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</si>
  <si>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</si>
  <si>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</si>
  <si>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</si>
  <si>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</si>
  <si>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</si>
  <si>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</si>
  <si>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</si>
  <si>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</si>
  <si>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</si>
  <si>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</si>
  <si>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</si>
  <si>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</si>
  <si>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</si>
  <si>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</si>
  <si>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</si>
  <si>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</si>
  <si>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</si>
  <si>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</si>
  <si>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</si>
  <si>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</si>
  <si>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</si>
  <si>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</si>
  <si>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</si>
  <si>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</si>
  <si>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</si>
  <si>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</si>
  <si>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</si>
  <si>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</si>
  <si>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</si>
  <si>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</si>
  <si>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</si>
  <si>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</si>
  <si>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</si>
  <si>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</si>
  <si>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</si>
  <si>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</si>
  <si>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</si>
  <si>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</si>
  <si>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</si>
  <si>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</si>
  <si>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</si>
  <si>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</si>
  <si>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</si>
  <si>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</si>
  <si>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</si>
  <si>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</si>
  <si>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</si>
  <si>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</si>
  <si>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</si>
  <si>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</si>
  <si>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</si>
  <si>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</si>
  <si>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</si>
  <si>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</si>
  <si>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</si>
  <si>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</si>
  <si>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</si>
  <si>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</si>
  <si>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</si>
  <si>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</si>
  <si>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</si>
  <si>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</si>
  <si>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</si>
  <si>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</si>
  <si>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</si>
  <si>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</si>
  <si>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</si>
  <si>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</si>
  <si>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</si>
  <si>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</si>
  <si>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</si>
  <si>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</si>
  <si>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</si>
  <si>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</si>
  <si>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</si>
  <si>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</si>
  <si>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</si>
  <si>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</si>
  <si>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</si>
  <si>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</si>
  <si>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</si>
  <si>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</si>
  <si>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</si>
  <si>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</si>
  <si>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</si>
  <si>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</si>
  <si>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</si>
  <si>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</si>
  <si>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</si>
  <si>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</si>
  <si>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</si>
  <si>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</si>
  <si>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</si>
  <si>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</si>
  <si>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</si>
  <si>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</si>
  <si>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</si>
  <si>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</si>
  <si>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</si>
  <si>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</si>
  <si>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</si>
  <si>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</si>
  <si>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</si>
  <si>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</si>
  <si>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</si>
  <si>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</si>
  <si>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</si>
  <si>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</si>
  <si>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</si>
  <si>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</si>
  <si>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</si>
  <si>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</si>
  <si>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</si>
  <si>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</si>
  <si>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</si>
  <si>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</si>
  <si>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</si>
  <si>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</si>
  <si>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</si>
  <si>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</si>
  <si>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</si>
  <si>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</si>
  <si>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</si>
  <si>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</si>
  <si>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</si>
  <si>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</si>
  <si>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</si>
  <si>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</si>
  <si>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</si>
  <si>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</si>
  <si>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</si>
  <si>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</si>
  <si>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</si>
  <si>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</si>
  <si>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</si>
  <si>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</si>
  <si>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</si>
  <si>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</si>
  <si>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</si>
  <si>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</si>
  <si>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</si>
  <si>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</si>
  <si>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</si>
  <si>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</si>
  <si>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</si>
  <si>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</si>
  <si>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</si>
  <si>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</si>
  <si>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</si>
  <si>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</si>
  <si>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</si>
  <si>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</si>
  <si>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</si>
  <si>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</si>
  <si>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</si>
  <si>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</si>
  <si>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</si>
  <si>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</si>
  <si>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</si>
  <si>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</si>
  <si>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</si>
  <si>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</si>
  <si>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</si>
  <si>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</si>
  <si>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</si>
  <si>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</si>
  <si>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</si>
  <si>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</si>
  <si>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</si>
  <si>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</si>
  <si>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</si>
  <si>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</si>
  <si>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</si>
  <si>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</si>
  <si>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</si>
  <si>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</si>
  <si>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</si>
  <si>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</si>
  <si>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</si>
  <si>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</si>
  <si>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</si>
  <si>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</si>
  <si>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</si>
  <si>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</si>
  <si>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</si>
  <si>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</si>
  <si>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</si>
  <si>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</si>
  <si>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</si>
  <si>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</si>
  <si>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</si>
  <si>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</si>
  <si>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</si>
  <si>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</si>
  <si>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</si>
  <si>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</si>
  <si>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</si>
  <si>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</si>
  <si>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</si>
  <si>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</si>
  <si>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</si>
  <si>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</si>
  <si>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</si>
  <si>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</si>
  <si>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</si>
  <si>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</si>
  <si>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</si>
  <si>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</si>
  <si>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</si>
  <si>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</si>
  <si>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</si>
  <si>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</si>
  <si>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</si>
  <si>
    <t>2020-02-04@2.xlsm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</si>
</sst>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全体!$K$2:$K$1034</c:f>
              <c:numCache>
                <c:formatCode>General</c:formatCode>
                <c:ptCount val="10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</c:numCache>
            </c:numRef>
          </c:xVal>
          <c:yVal>
            <c:numRef>
              <c:f>全体!$L$2:$L$1034</c:f>
              <c:numCache>
                <c:formatCode>\+0.0;\-0.0;\±0</c:formatCode>
                <c:ptCount val="103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A07-9B11-651B90BD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-29.239766081871345</c:v>
                </c:pt>
                <c:pt idx="1">
                  <c:v>9.9206349206349209</c:v>
                </c:pt>
                <c:pt idx="2">
                  <c:v>-1.0548523206751055</c:v>
                </c:pt>
                <c:pt idx="3">
                  <c:v>-1.1299435028248588</c:v>
                </c:pt>
                <c:pt idx="4">
                  <c:v>9.8039215686274517</c:v>
                </c:pt>
                <c:pt idx="5">
                  <c:v>19.174041297935105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3F3-85F0-84632ECB0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198</c:v>
                </c:pt>
                <c:pt idx="1">
                  <c:v>434</c:v>
                </c:pt>
                <c:pt idx="2">
                  <c:v>485</c:v>
                </c:pt>
                <c:pt idx="3">
                  <c:v>455</c:v>
                </c:pt>
                <c:pt idx="4">
                  <c:v>395</c:v>
                </c:pt>
                <c:pt idx="5">
                  <c:v>268</c:v>
                </c:pt>
                <c:pt idx="6">
                  <c:v>130</c:v>
                </c:pt>
                <c:pt idx="7">
                  <c:v>74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F94-B721-ECA64604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6-426B-A931-D44298E76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B-4B39-9BB5-27BA2154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55E-8762-39EA3736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だいち!$K$2:$K$208</c:f>
              <c:numCache>
                <c:formatCode>General</c:formatCod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</c:numCache>
            </c:numRef>
          </c:xVal>
          <c:yVal>
            <c:numRef>
              <c:f>だいち!$L$2:$L$208</c:f>
              <c:numCache>
                <c:formatCode>\+0.0;\-0.0;\±0</c:formatCode>
                <c:ptCount val="20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E-439B-827D-B209CBCA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1305.3658536585365</c:v>
                </c:pt>
                <c:pt idx="1">
                  <c:v>1638.1188118811881</c:v>
                </c:pt>
                <c:pt idx="2">
                  <c:v>1207.7319587628865</c:v>
                </c:pt>
                <c:pt idx="3">
                  <c:v>163.53591160220995</c:v>
                </c:pt>
                <c:pt idx="4">
                  <c:v>1662.5</c:v>
                </c:pt>
                <c:pt idx="5">
                  <c:v>2038.4057971014493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C-4413-A73B-37A1E20B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109</c:v>
                </c:pt>
                <c:pt idx="2">
                  <c:v>114</c:v>
                </c:pt>
                <c:pt idx="3">
                  <c:v>105</c:v>
                </c:pt>
                <c:pt idx="4">
                  <c:v>86</c:v>
                </c:pt>
                <c:pt idx="5">
                  <c:v>56</c:v>
                </c:pt>
                <c:pt idx="6">
                  <c:v>26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0-4AF0-A314-6E8712814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ただ!$K$2:$K$180</c:f>
              <c:numCache>
                <c:formatCode>General</c:formatCode>
                <c:ptCount val="1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</c:numCache>
            </c:numRef>
          </c:xVal>
          <c:yVal>
            <c:numRef>
              <c:f>ただ!$L$2:$L$180</c:f>
              <c:numCache>
                <c:formatCode>\+0.0;\-0.0;\±0</c:formatCode>
                <c:ptCount val="17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6-4812-A120-0E3354AD1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-1052.840909090909</c:v>
                </c:pt>
                <c:pt idx="1">
                  <c:v>1165.3179190751446</c:v>
                </c:pt>
                <c:pt idx="2">
                  <c:v>-245.96273291925465</c:v>
                </c:pt>
                <c:pt idx="3">
                  <c:v>107.84313725490196</c:v>
                </c:pt>
                <c:pt idx="4">
                  <c:v>-1502.1428571428571</c:v>
                </c:pt>
                <c:pt idx="5">
                  <c:v>1161.3445378151262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0-45CF-B31B-1C18C803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93</c:v>
                </c:pt>
                <c:pt idx="4">
                  <c:v>65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8-4997-93E3-A11DFFC3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DB-85F5-AE90287E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C-4406-BDB1-046FA8C9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3-4E9D-A204-8D3FAC49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xVal>
          <c:yVal>
            <c:numRef>
              <c:f>れんたろう!$L$2:$L$156</c:f>
              <c:numCache>
                <c:formatCode>\+0.0;\-0.0;\±0</c:formatCode>
                <c:ptCount val="15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5-472A-AB4B-6B4C900E6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1796.0784313725489</c:v>
                </c:pt>
                <c:pt idx="1">
                  <c:v>-2311.4093959731545</c:v>
                </c:pt>
                <c:pt idx="2">
                  <c:v>181.4814814814815</c:v>
                </c:pt>
                <c:pt idx="3">
                  <c:v>2197.5806451612902</c:v>
                </c:pt>
                <c:pt idx="4">
                  <c:v>1542.8571428571429</c:v>
                </c:pt>
                <c:pt idx="5">
                  <c:v>514.11764705882354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5F9-8901-D5EA9A6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26</c:v>
                </c:pt>
                <c:pt idx="2">
                  <c:v>45</c:v>
                </c:pt>
                <c:pt idx="3">
                  <c:v>64</c:v>
                </c:pt>
                <c:pt idx="4">
                  <c:v>73</c:v>
                </c:pt>
                <c:pt idx="5">
                  <c:v>48</c:v>
                </c:pt>
                <c:pt idx="6">
                  <c:v>25</c:v>
                </c:pt>
                <c:pt idx="7">
                  <c:v>22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FF8-8EF9-957AAAFE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D-4F70-92F5-5F862DB7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B-41A6-B3A1-A6706146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DD0-803D-8370A8DD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8-4DE6-ACA1-739060998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B-4958-A086-19BB8CD3E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9-4E83-B3FF-7F721976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2-4ADD-BB79-6702FA4D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7-4731-881B-7F853D06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1-4153-AFEE-F76C7416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FC5-9A10-CEA942D5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7B1-AAF1-0DDD25E5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2-4514-9109-0765C07C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C6-4ECF-AE9A-647BBF9DB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3-437A-9C22-76181D8B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A-4FDF-B08A-7669B156E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8-4474-B036-D90D621C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8-4F60-9310-F8B37776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2-4DD5-81E2-10F79A70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9-4446-A1B9-E8598B56C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D-4876-8650-FA3746DE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728-B96E-82B71FD78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A-413E-9C32-6E2A46086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6D1-8E9F-31B86E89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2-4F2D-B207-3C1A8D91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のり2!$B$3:$B$76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6069872548105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のり2!$C$3:$C$76</c:f>
              <c:numCache>
                <c:formatCode>\+0.0;\-0.0;\±0</c:formatCode>
                <c:ptCount val="74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  <c:pt idx="42">
                  <c:v>-14.400000000000002</c:v>
                </c:pt>
                <c:pt idx="43">
                  <c:v>-14.495348837209304</c:v>
                </c:pt>
                <c:pt idx="44">
                  <c:v>-13.365909090909092</c:v>
                </c:pt>
                <c:pt idx="45">
                  <c:v>-12.426666666666668</c:v>
                </c:pt>
                <c:pt idx="46">
                  <c:v>-12.084782608695654</c:v>
                </c:pt>
                <c:pt idx="47">
                  <c:v>-11.71489361702128</c:v>
                </c:pt>
                <c:pt idx="48">
                  <c:v>-11.35416666666667</c:v>
                </c:pt>
                <c:pt idx="49">
                  <c:v>-11.86326530612245</c:v>
                </c:pt>
                <c:pt idx="50">
                  <c:v>-11.586000000000002</c:v>
                </c:pt>
                <c:pt idx="51">
                  <c:v>-12.05294117647059</c:v>
                </c:pt>
                <c:pt idx="52">
                  <c:v>-11.598076923076924</c:v>
                </c:pt>
                <c:pt idx="53">
                  <c:v>-12.313207547169812</c:v>
                </c:pt>
                <c:pt idx="54">
                  <c:v>-11.6</c:v>
                </c:pt>
                <c:pt idx="55">
                  <c:v>-11.389090909090909</c:v>
                </c:pt>
                <c:pt idx="56">
                  <c:v>-11.071428571428571</c:v>
                </c:pt>
                <c:pt idx="57">
                  <c:v>-10.940350877192984</c:v>
                </c:pt>
                <c:pt idx="58">
                  <c:v>-10.589655172413794</c:v>
                </c:pt>
                <c:pt idx="59">
                  <c:v>-10.633898305084747</c:v>
                </c:pt>
                <c:pt idx="60">
                  <c:v>-10.936666666666667</c:v>
                </c:pt>
                <c:pt idx="61">
                  <c:v>-10.711475409836067</c:v>
                </c:pt>
                <c:pt idx="62">
                  <c:v>-10.732258064516131</c:v>
                </c:pt>
                <c:pt idx="63">
                  <c:v>-11.065079365079367</c:v>
                </c:pt>
                <c:pt idx="64">
                  <c:v>-11.014062500000001</c:v>
                </c:pt>
                <c:pt idx="65">
                  <c:v>-10.290769230769232</c:v>
                </c:pt>
                <c:pt idx="66">
                  <c:v>-10.187878787878789</c:v>
                </c:pt>
                <c:pt idx="67">
                  <c:v>-9.7820895522388067</c:v>
                </c:pt>
                <c:pt idx="68">
                  <c:v>-9.6485294117647076</c:v>
                </c:pt>
                <c:pt idx="69">
                  <c:v>-10.02753623188406</c:v>
                </c:pt>
                <c:pt idx="70">
                  <c:v>-10.564285714285717</c:v>
                </c:pt>
                <c:pt idx="71">
                  <c:v>-11.073239436619721</c:v>
                </c:pt>
                <c:pt idx="72">
                  <c:v>-11.783333333333337</c:v>
                </c:pt>
                <c:pt idx="73">
                  <c:v>-11.84383561643836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29359230117298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のり2!$D$3:$D$76</c:f>
              <c:numCache>
                <c:formatCode>0.00\ "位"</c:formatCode>
                <c:ptCount val="74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  <c:pt idx="42">
                  <c:v>2.3809523809523809</c:v>
                </c:pt>
                <c:pt idx="43">
                  <c:v>2.3720930232558142</c:v>
                </c:pt>
                <c:pt idx="44">
                  <c:v>2.3409090909090908</c:v>
                </c:pt>
                <c:pt idx="45">
                  <c:v>2.3111111111111109</c:v>
                </c:pt>
                <c:pt idx="46">
                  <c:v>2.3043478260869565</c:v>
                </c:pt>
                <c:pt idx="47">
                  <c:v>2.2978723404255321</c:v>
                </c:pt>
                <c:pt idx="48">
                  <c:v>2.2916666666666665</c:v>
                </c:pt>
                <c:pt idx="49">
                  <c:v>2.306122448979592</c:v>
                </c:pt>
                <c:pt idx="50">
                  <c:v>2.2999999999999998</c:v>
                </c:pt>
                <c:pt idx="51">
                  <c:v>2.3137254901960786</c:v>
                </c:pt>
                <c:pt idx="52">
                  <c:v>2.3076923076923075</c:v>
                </c:pt>
                <c:pt idx="53">
                  <c:v>2.3207547169811322</c:v>
                </c:pt>
                <c:pt idx="54">
                  <c:v>2.2962962962962963</c:v>
                </c:pt>
                <c:pt idx="55">
                  <c:v>2.290909090909091</c:v>
                </c:pt>
                <c:pt idx="56">
                  <c:v>2.2857142857142856</c:v>
                </c:pt>
                <c:pt idx="57">
                  <c:v>2.2807017543859649</c:v>
                </c:pt>
                <c:pt idx="58">
                  <c:v>2.2758620689655173</c:v>
                </c:pt>
                <c:pt idx="59">
                  <c:v>2.2881355932203391</c:v>
                </c:pt>
                <c:pt idx="60">
                  <c:v>2.2833333333333332</c:v>
                </c:pt>
                <c:pt idx="61">
                  <c:v>2.278688524590164</c:v>
                </c:pt>
                <c:pt idx="62">
                  <c:v>2.274193548387097</c:v>
                </c:pt>
                <c:pt idx="63">
                  <c:v>2.2857142857142856</c:v>
                </c:pt>
                <c:pt idx="64">
                  <c:v>2.28125</c:v>
                </c:pt>
                <c:pt idx="65">
                  <c:v>2.2615384615384615</c:v>
                </c:pt>
                <c:pt idx="66">
                  <c:v>2.2575757575757578</c:v>
                </c:pt>
                <c:pt idx="67">
                  <c:v>2.2537313432835822</c:v>
                </c:pt>
                <c:pt idx="68">
                  <c:v>2.25</c:v>
                </c:pt>
                <c:pt idx="69">
                  <c:v>2.2608695652173911</c:v>
                </c:pt>
                <c:pt idx="70">
                  <c:v>2.2714285714285714</c:v>
                </c:pt>
                <c:pt idx="71">
                  <c:v>2.2816901408450705</c:v>
                </c:pt>
                <c:pt idx="72">
                  <c:v>2.2916666666666665</c:v>
                </c:pt>
                <c:pt idx="73">
                  <c:v>2.3013698630136985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のり2!$E$3:$E$76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0.16129032258064516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0.16923076923076924</c:v>
                </c:pt>
                <c:pt idx="66">
                  <c:v>0.16666666666666666</c:v>
                </c:pt>
                <c:pt idx="67">
                  <c:v>0.16417910447761194</c:v>
                </c:pt>
                <c:pt idx="68">
                  <c:v>0.16176470588235295</c:v>
                </c:pt>
                <c:pt idx="69">
                  <c:v>0.15942028985507245</c:v>
                </c:pt>
                <c:pt idx="70">
                  <c:v>0.15714285714285714</c:v>
                </c:pt>
                <c:pt idx="71">
                  <c:v>0.15492957746478872</c:v>
                </c:pt>
                <c:pt idx="72">
                  <c:v>0.15277777777777779</c:v>
                </c:pt>
                <c:pt idx="73">
                  <c:v>0.15068493150684931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のり2!$F$3:$F$76</c:f>
              <c:numCache>
                <c:formatCode>0.0%</c:formatCode>
                <c:ptCount val="7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0.51111111111111107</c:v>
                </c:pt>
                <c:pt idx="46">
                  <c:v>0.5</c:v>
                </c:pt>
                <c:pt idx="47">
                  <c:v>0.48936170212765956</c:v>
                </c:pt>
                <c:pt idx="48">
                  <c:v>0.47916666666666669</c:v>
                </c:pt>
                <c:pt idx="49">
                  <c:v>0.48979591836734693</c:v>
                </c:pt>
                <c:pt idx="50">
                  <c:v>0.48</c:v>
                </c:pt>
                <c:pt idx="51">
                  <c:v>0.49019607843137253</c:v>
                </c:pt>
                <c:pt idx="52">
                  <c:v>0.48076923076923078</c:v>
                </c:pt>
                <c:pt idx="53">
                  <c:v>0.49056603773584906</c:v>
                </c:pt>
                <c:pt idx="54">
                  <c:v>0.48148148148148145</c:v>
                </c:pt>
                <c:pt idx="55">
                  <c:v>0.47272727272727272</c:v>
                </c:pt>
                <c:pt idx="56">
                  <c:v>0.4642857142857143</c:v>
                </c:pt>
                <c:pt idx="57">
                  <c:v>0.45614035087719296</c:v>
                </c:pt>
                <c:pt idx="58">
                  <c:v>0.44827586206896552</c:v>
                </c:pt>
                <c:pt idx="59">
                  <c:v>0.4576271186440678</c:v>
                </c:pt>
                <c:pt idx="60">
                  <c:v>0.45</c:v>
                </c:pt>
                <c:pt idx="61">
                  <c:v>0.44262295081967212</c:v>
                </c:pt>
                <c:pt idx="62">
                  <c:v>0.43548387096774194</c:v>
                </c:pt>
                <c:pt idx="63">
                  <c:v>0.44444444444444442</c:v>
                </c:pt>
                <c:pt idx="64">
                  <c:v>0.4375</c:v>
                </c:pt>
                <c:pt idx="65">
                  <c:v>0.43076923076923079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0.41176470588235292</c:v>
                </c:pt>
                <c:pt idx="69">
                  <c:v>0.42028985507246375</c:v>
                </c:pt>
                <c:pt idx="70">
                  <c:v>0.42857142857142855</c:v>
                </c:pt>
                <c:pt idx="71">
                  <c:v>0.43661971830985913</c:v>
                </c:pt>
                <c:pt idx="72">
                  <c:v>0.44444444444444442</c:v>
                </c:pt>
                <c:pt idx="73">
                  <c:v>0.45205479452054792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のり2!$G$3:$G$76</c:f>
              <c:numCache>
                <c:formatCode>0.0%</c:formatCode>
                <c:ptCount val="74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  <c:pt idx="42">
                  <c:v>0.24927536231884059</c:v>
                </c:pt>
                <c:pt idx="43">
                  <c:v>0.24858757062146894</c:v>
                </c:pt>
                <c:pt idx="44">
                  <c:v>0.25138121546961328</c:v>
                </c:pt>
                <c:pt idx="45">
                  <c:v>0.25474254742547425</c:v>
                </c:pt>
                <c:pt idx="46">
                  <c:v>0.25661375661375663</c:v>
                </c:pt>
                <c:pt idx="47">
                  <c:v>0.25520833333333331</c:v>
                </c:pt>
                <c:pt idx="48">
                  <c:v>0.25384615384615383</c:v>
                </c:pt>
                <c:pt idx="49">
                  <c:v>0.24937027707808565</c:v>
                </c:pt>
                <c:pt idx="50">
                  <c:v>0.25062034739454092</c:v>
                </c:pt>
                <c:pt idx="51">
                  <c:v>0.25362318840579712</c:v>
                </c:pt>
                <c:pt idx="52">
                  <c:v>0.25476190476190474</c:v>
                </c:pt>
                <c:pt idx="53">
                  <c:v>0.25348837209302327</c:v>
                </c:pt>
                <c:pt idx="54">
                  <c:v>0.25733634311512416</c:v>
                </c:pt>
                <c:pt idx="55">
                  <c:v>0.25827814569536423</c:v>
                </c:pt>
                <c:pt idx="56">
                  <c:v>0.26030368763557482</c:v>
                </c:pt>
                <c:pt idx="57">
                  <c:v>0.2569593147751606</c:v>
                </c:pt>
                <c:pt idx="58">
                  <c:v>0.26096033402922758</c:v>
                </c:pt>
                <c:pt idx="59">
                  <c:v>0.26283367556468173</c:v>
                </c:pt>
                <c:pt idx="60">
                  <c:v>0.25858585858585859</c:v>
                </c:pt>
                <c:pt idx="61">
                  <c:v>0.26190476190476192</c:v>
                </c:pt>
                <c:pt idx="62">
                  <c:v>0.25918762088974856</c:v>
                </c:pt>
                <c:pt idx="63">
                  <c:v>0.26003824091778205</c:v>
                </c:pt>
                <c:pt idx="64">
                  <c:v>0.2575187969924812</c:v>
                </c:pt>
                <c:pt idx="65">
                  <c:v>0.25925925925925924</c:v>
                </c:pt>
                <c:pt idx="66">
                  <c:v>0.25782688766114181</c:v>
                </c:pt>
                <c:pt idx="67">
                  <c:v>0.26047358834244078</c:v>
                </c:pt>
                <c:pt idx="68">
                  <c:v>0.26079136690647481</c:v>
                </c:pt>
                <c:pt idx="69">
                  <c:v>0.25749559082892415</c:v>
                </c:pt>
                <c:pt idx="70">
                  <c:v>0.25476603119584057</c:v>
                </c:pt>
                <c:pt idx="71">
                  <c:v>0.25212947189097101</c:v>
                </c:pt>
                <c:pt idx="72">
                  <c:v>0.24957841483979765</c:v>
                </c:pt>
                <c:pt idx="73">
                  <c:v>0.24752475247524752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88560157790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のり2!$H$3:$H$76</c:f>
              <c:numCache>
                <c:formatCode>0.0%</c:formatCode>
                <c:ptCount val="74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  <c:pt idx="42">
                  <c:v>0.1855072463768116</c:v>
                </c:pt>
                <c:pt idx="43">
                  <c:v>0.1864406779661017</c:v>
                </c:pt>
                <c:pt idx="44">
                  <c:v>0.18508287292817679</c:v>
                </c:pt>
                <c:pt idx="45">
                  <c:v>0.18428184281842819</c:v>
                </c:pt>
                <c:pt idx="46">
                  <c:v>0.17989417989417988</c:v>
                </c:pt>
                <c:pt idx="47">
                  <c:v>0.1796875</c:v>
                </c:pt>
                <c:pt idx="48">
                  <c:v>0.18205128205128204</c:v>
                </c:pt>
                <c:pt idx="49">
                  <c:v>0.18387909319899245</c:v>
                </c:pt>
                <c:pt idx="50">
                  <c:v>0.18610421836228289</c:v>
                </c:pt>
                <c:pt idx="51">
                  <c:v>0.1859903381642512</c:v>
                </c:pt>
                <c:pt idx="52">
                  <c:v>0.18571428571428572</c:v>
                </c:pt>
                <c:pt idx="53">
                  <c:v>0.1883720930232558</c:v>
                </c:pt>
                <c:pt idx="54">
                  <c:v>0.18510158013544017</c:v>
                </c:pt>
                <c:pt idx="55">
                  <c:v>0.18101545253863136</c:v>
                </c:pt>
                <c:pt idx="56">
                  <c:v>0.1822125813449024</c:v>
                </c:pt>
                <c:pt idx="57">
                  <c:v>0.18201284796573874</c:v>
                </c:pt>
                <c:pt idx="58">
                  <c:v>0.1837160751565762</c:v>
                </c:pt>
                <c:pt idx="59">
                  <c:v>0.18275154004106775</c:v>
                </c:pt>
                <c:pt idx="60">
                  <c:v>0.18181818181818182</c:v>
                </c:pt>
                <c:pt idx="61">
                  <c:v>0.18055555555555555</c:v>
                </c:pt>
                <c:pt idx="62">
                  <c:v>0.17794970986460348</c:v>
                </c:pt>
                <c:pt idx="63">
                  <c:v>0.17973231357552583</c:v>
                </c:pt>
                <c:pt idx="64">
                  <c:v>0.18045112781954886</c:v>
                </c:pt>
                <c:pt idx="65">
                  <c:v>0.17777777777777778</c:v>
                </c:pt>
                <c:pt idx="66">
                  <c:v>0.17679558011049723</c:v>
                </c:pt>
                <c:pt idx="67">
                  <c:v>0.1766848816029144</c:v>
                </c:pt>
                <c:pt idx="68">
                  <c:v>0.17625899280575538</c:v>
                </c:pt>
                <c:pt idx="69">
                  <c:v>0.17460317460317459</c:v>
                </c:pt>
                <c:pt idx="70">
                  <c:v>0.17677642980935876</c:v>
                </c:pt>
                <c:pt idx="71">
                  <c:v>0.17717206132879046</c:v>
                </c:pt>
                <c:pt idx="72">
                  <c:v>0.18043844856661045</c:v>
                </c:pt>
                <c:pt idx="73">
                  <c:v>0.17986798679867988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6331360946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のり2!$I$3:$I$76</c:f>
              <c:numCache>
                <c:formatCode>0</c:formatCode>
                <c:ptCount val="74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  <c:pt idx="42">
                  <c:v>7829.0697674418607</c:v>
                </c:pt>
                <c:pt idx="43">
                  <c:v>7706.818181818182</c:v>
                </c:pt>
                <c:pt idx="44">
                  <c:v>8059.3406593406589</c:v>
                </c:pt>
                <c:pt idx="45">
                  <c:v>8054.255319148936</c:v>
                </c:pt>
                <c:pt idx="46">
                  <c:v>7917.5257731958764</c:v>
                </c:pt>
                <c:pt idx="47">
                  <c:v>7959.1836734693879</c:v>
                </c:pt>
                <c:pt idx="48">
                  <c:v>8000</c:v>
                </c:pt>
                <c:pt idx="49">
                  <c:v>8000</c:v>
                </c:pt>
                <c:pt idx="50">
                  <c:v>8039.6039603960398</c:v>
                </c:pt>
                <c:pt idx="51">
                  <c:v>7925.7142857142853</c:v>
                </c:pt>
                <c:pt idx="52">
                  <c:v>7961.6822429906542</c:v>
                </c:pt>
                <c:pt idx="53">
                  <c:v>7900</c:v>
                </c:pt>
                <c:pt idx="54">
                  <c:v>7932.4561403508769</c:v>
                </c:pt>
                <c:pt idx="55">
                  <c:v>7968.3760683760684</c:v>
                </c:pt>
                <c:pt idx="56">
                  <c:v>8010</c:v>
                </c:pt>
                <c:pt idx="57">
                  <c:v>8010</c:v>
                </c:pt>
                <c:pt idx="58">
                  <c:v>8008.8</c:v>
                </c:pt>
                <c:pt idx="59">
                  <c:v>7987.5</c:v>
                </c:pt>
                <c:pt idx="60">
                  <c:v>7987.5</c:v>
                </c:pt>
                <c:pt idx="61">
                  <c:v>8013.636363636364</c:v>
                </c:pt>
                <c:pt idx="62">
                  <c:v>8070.1492537313434</c:v>
                </c:pt>
                <c:pt idx="63">
                  <c:v>8066.911764705882</c:v>
                </c:pt>
                <c:pt idx="64">
                  <c:v>8095.6204379562041</c:v>
                </c:pt>
                <c:pt idx="65">
                  <c:v>8176.4285714285716</c:v>
                </c:pt>
                <c:pt idx="66">
                  <c:v>8176.4285714285716</c:v>
                </c:pt>
                <c:pt idx="67">
                  <c:v>8298.6013986013986</c:v>
                </c:pt>
                <c:pt idx="68">
                  <c:v>8292.4137931034475</c:v>
                </c:pt>
                <c:pt idx="69">
                  <c:v>8263.0136986301368</c:v>
                </c:pt>
                <c:pt idx="70">
                  <c:v>8261.224489795919</c:v>
                </c:pt>
                <c:pt idx="71">
                  <c:v>8222.9729729729734</c:v>
                </c:pt>
                <c:pt idx="72">
                  <c:v>8222.9729729729734</c:v>
                </c:pt>
                <c:pt idx="73">
                  <c:v>8326.6666666666661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3.20568495854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のり2!$J$3:$J$76</c:f>
              <c:numCache>
                <c:formatCode>0</c:formatCode>
                <c:ptCount val="74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  <c:pt idx="42">
                  <c:v>-8243.75</c:v>
                </c:pt>
                <c:pt idx="43">
                  <c:v>-8234.8484848484841</c:v>
                </c:pt>
                <c:pt idx="44">
                  <c:v>-8291.0447761194027</c:v>
                </c:pt>
                <c:pt idx="45">
                  <c:v>-8198.5294117647063</c:v>
                </c:pt>
                <c:pt idx="46">
                  <c:v>-8198.5294117647063</c:v>
                </c:pt>
                <c:pt idx="47">
                  <c:v>-8191.304347826087</c:v>
                </c:pt>
                <c:pt idx="48">
                  <c:v>-8015.4929577464791</c:v>
                </c:pt>
                <c:pt idx="49">
                  <c:v>-7902.7397260273974</c:v>
                </c:pt>
                <c:pt idx="50">
                  <c:v>-7921.333333333333</c:v>
                </c:pt>
                <c:pt idx="51">
                  <c:v>-8100</c:v>
                </c:pt>
                <c:pt idx="52">
                  <c:v>-8029.4871794871797</c:v>
                </c:pt>
                <c:pt idx="53">
                  <c:v>-8064.1975308641977</c:v>
                </c:pt>
                <c:pt idx="54">
                  <c:v>-8185.3658536585363</c:v>
                </c:pt>
                <c:pt idx="55">
                  <c:v>-8185.3658536585363</c:v>
                </c:pt>
                <c:pt idx="56">
                  <c:v>-8296.4285714285706</c:v>
                </c:pt>
                <c:pt idx="57">
                  <c:v>-8229.4117647058829</c:v>
                </c:pt>
                <c:pt idx="58">
                  <c:v>-8215.9090909090901</c:v>
                </c:pt>
                <c:pt idx="59">
                  <c:v>-8258.4269662921342</c:v>
                </c:pt>
                <c:pt idx="60">
                  <c:v>-8255.5555555555547</c:v>
                </c:pt>
                <c:pt idx="61">
                  <c:v>-8362.6373626373625</c:v>
                </c:pt>
                <c:pt idx="62">
                  <c:v>-8323.9130434782601</c:v>
                </c:pt>
                <c:pt idx="63">
                  <c:v>-8432.978723404256</c:v>
                </c:pt>
                <c:pt idx="64">
                  <c:v>-8397.9166666666661</c:v>
                </c:pt>
                <c:pt idx="65">
                  <c:v>-8397.9166666666661</c:v>
                </c:pt>
                <c:pt idx="66">
                  <c:v>-8397.9166666666661</c:v>
                </c:pt>
                <c:pt idx="67">
                  <c:v>-8558.7628865979386</c:v>
                </c:pt>
                <c:pt idx="68">
                  <c:v>-8511.224489795919</c:v>
                </c:pt>
                <c:pt idx="69">
                  <c:v>-8464.6464646464647</c:v>
                </c:pt>
                <c:pt idx="70">
                  <c:v>-8473.5294117647063</c:v>
                </c:pt>
                <c:pt idx="71">
                  <c:v>-8450</c:v>
                </c:pt>
                <c:pt idx="72">
                  <c:v>-8566.3551401869154</c:v>
                </c:pt>
                <c:pt idx="73">
                  <c:v>-8488.9908256880735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6.88453159041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のり2!$K$3:$K$76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  <c:pt idx="62">
                  <c:v>0.16129032258064516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0.15714285714285714</c:v>
                </c:pt>
                <c:pt idx="71">
                  <c:v>0.16901408450704225</c:v>
                </c:pt>
                <c:pt idx="72">
                  <c:v>0.18055555555555555</c:v>
                </c:pt>
                <c:pt idx="73">
                  <c:v>0.17808219178082191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83720930232557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のり2!$L$3:$L$76</c:f>
              <c:numCache>
                <c:formatCode>0.0%</c:formatCode>
                <c:ptCount val="74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  <c:pt idx="42">
                  <c:v>0.21159420289855072</c:v>
                </c:pt>
                <c:pt idx="43">
                  <c:v>0.20903954802259886</c:v>
                </c:pt>
                <c:pt idx="44">
                  <c:v>0.20994475138121546</c:v>
                </c:pt>
                <c:pt idx="45">
                  <c:v>0.20867208672086721</c:v>
                </c:pt>
                <c:pt idx="46">
                  <c:v>0.20370370370370369</c:v>
                </c:pt>
                <c:pt idx="47">
                  <c:v>0.203125</c:v>
                </c:pt>
                <c:pt idx="48">
                  <c:v>0.2</c:v>
                </c:pt>
                <c:pt idx="49">
                  <c:v>0.20151133501259447</c:v>
                </c:pt>
                <c:pt idx="50">
                  <c:v>0.20595533498759305</c:v>
                </c:pt>
                <c:pt idx="51">
                  <c:v>0.20048309178743962</c:v>
                </c:pt>
                <c:pt idx="52">
                  <c:v>0.20714285714285716</c:v>
                </c:pt>
                <c:pt idx="53">
                  <c:v>0.21395348837209302</c:v>
                </c:pt>
                <c:pt idx="54">
                  <c:v>0.21670428893905191</c:v>
                </c:pt>
                <c:pt idx="55">
                  <c:v>0.21633554083885209</c:v>
                </c:pt>
                <c:pt idx="56">
                  <c:v>0.21908893709327548</c:v>
                </c:pt>
                <c:pt idx="57">
                  <c:v>0.21841541755888652</c:v>
                </c:pt>
                <c:pt idx="58">
                  <c:v>0.21711899791231734</c:v>
                </c:pt>
                <c:pt idx="59">
                  <c:v>0.2135523613963039</c:v>
                </c:pt>
                <c:pt idx="60">
                  <c:v>0.21010101010101009</c:v>
                </c:pt>
                <c:pt idx="61">
                  <c:v>0.20833333333333334</c:v>
                </c:pt>
                <c:pt idx="62">
                  <c:v>0.21083172147001933</c:v>
                </c:pt>
                <c:pt idx="63">
                  <c:v>0.21032504780114722</c:v>
                </c:pt>
                <c:pt idx="64">
                  <c:v>0.21052631578947367</c:v>
                </c:pt>
                <c:pt idx="65">
                  <c:v>0.21111111111111111</c:v>
                </c:pt>
                <c:pt idx="66">
                  <c:v>0.21362799263351751</c:v>
                </c:pt>
                <c:pt idx="67">
                  <c:v>0.21311475409836064</c:v>
                </c:pt>
                <c:pt idx="68">
                  <c:v>0.21582733812949639</c:v>
                </c:pt>
                <c:pt idx="69">
                  <c:v>0.21340388007054673</c:v>
                </c:pt>
                <c:pt idx="70">
                  <c:v>0.21317157712305027</c:v>
                </c:pt>
                <c:pt idx="71">
                  <c:v>0.21124361158432708</c:v>
                </c:pt>
                <c:pt idx="72">
                  <c:v>0.21079258010118043</c:v>
                </c:pt>
                <c:pt idx="73">
                  <c:v>0.21122112211221122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18923308968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のり2!$M$3:$M$76</c:f>
              <c:numCache>
                <c:formatCode>0.0%</c:formatCode>
                <c:ptCount val="74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  <c:pt idx="42">
                  <c:v>0.21739130434782608</c:v>
                </c:pt>
                <c:pt idx="43">
                  <c:v>0.2175141242937853</c:v>
                </c:pt>
                <c:pt idx="44">
                  <c:v>0.21546961325966851</c:v>
                </c:pt>
                <c:pt idx="45">
                  <c:v>0.21680216802168023</c:v>
                </c:pt>
                <c:pt idx="46">
                  <c:v>0.21693121693121692</c:v>
                </c:pt>
                <c:pt idx="47">
                  <c:v>0.21875</c:v>
                </c:pt>
                <c:pt idx="48">
                  <c:v>0.21794871794871795</c:v>
                </c:pt>
                <c:pt idx="49">
                  <c:v>0.21662468513853905</c:v>
                </c:pt>
                <c:pt idx="50">
                  <c:v>0.21588089330024815</c:v>
                </c:pt>
                <c:pt idx="51">
                  <c:v>0.22946859903381642</c:v>
                </c:pt>
                <c:pt idx="52">
                  <c:v>0.22619047619047619</c:v>
                </c:pt>
                <c:pt idx="53">
                  <c:v>0.2255813953488372</c:v>
                </c:pt>
                <c:pt idx="54">
                  <c:v>0.22573363431151242</c:v>
                </c:pt>
                <c:pt idx="55">
                  <c:v>0.22958057395143489</c:v>
                </c:pt>
                <c:pt idx="56">
                  <c:v>0.2299349240780911</c:v>
                </c:pt>
                <c:pt idx="57">
                  <c:v>0.23126338329764454</c:v>
                </c:pt>
                <c:pt idx="58">
                  <c:v>0.23173277661795408</c:v>
                </c:pt>
                <c:pt idx="59">
                  <c:v>0.23203285420944558</c:v>
                </c:pt>
                <c:pt idx="60">
                  <c:v>0.23030303030303031</c:v>
                </c:pt>
                <c:pt idx="61">
                  <c:v>0.23214285714285715</c:v>
                </c:pt>
                <c:pt idx="62">
                  <c:v>0.22823984526112184</c:v>
                </c:pt>
                <c:pt idx="63">
                  <c:v>0.22753346080305928</c:v>
                </c:pt>
                <c:pt idx="64">
                  <c:v>0.22556390977443608</c:v>
                </c:pt>
                <c:pt idx="65">
                  <c:v>0.22962962962962963</c:v>
                </c:pt>
                <c:pt idx="66">
                  <c:v>0.2283609576427256</c:v>
                </c:pt>
                <c:pt idx="67">
                  <c:v>0.22950819672131148</c:v>
                </c:pt>
                <c:pt idx="68">
                  <c:v>0.23021582733812951</c:v>
                </c:pt>
                <c:pt idx="69">
                  <c:v>0.23280423280423279</c:v>
                </c:pt>
                <c:pt idx="70">
                  <c:v>0.23223570190641249</c:v>
                </c:pt>
                <c:pt idx="71">
                  <c:v>0.22998296422487224</c:v>
                </c:pt>
                <c:pt idx="72">
                  <c:v>0.22765598650927488</c:v>
                </c:pt>
                <c:pt idx="73">
                  <c:v>0.22772277227722773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69741269288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のり2!$N$3:$N$76</c:f>
              <c:numCache>
                <c:formatCode>0.0%</c:formatCode>
                <c:ptCount val="74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  <c:pt idx="42">
                  <c:v>0.53424657534246578</c:v>
                </c:pt>
                <c:pt idx="43">
                  <c:v>0.54054054054054057</c:v>
                </c:pt>
                <c:pt idx="44">
                  <c:v>0.53947368421052633</c:v>
                </c:pt>
                <c:pt idx="45">
                  <c:v>0.54545454545454541</c:v>
                </c:pt>
                <c:pt idx="46">
                  <c:v>0.54545454545454541</c:v>
                </c:pt>
                <c:pt idx="47">
                  <c:v>0.55128205128205132</c:v>
                </c:pt>
                <c:pt idx="48">
                  <c:v>0.55128205128205132</c:v>
                </c:pt>
                <c:pt idx="49">
                  <c:v>0.53749999999999998</c:v>
                </c:pt>
                <c:pt idx="50">
                  <c:v>0.54216867469879515</c:v>
                </c:pt>
                <c:pt idx="51">
                  <c:v>0.54216867469879515</c:v>
                </c:pt>
                <c:pt idx="52">
                  <c:v>0.54022988505747127</c:v>
                </c:pt>
                <c:pt idx="53">
                  <c:v>0.53260869565217395</c:v>
                </c:pt>
                <c:pt idx="54">
                  <c:v>0.54166666666666663</c:v>
                </c:pt>
                <c:pt idx="55">
                  <c:v>0.54081632653061229</c:v>
                </c:pt>
                <c:pt idx="56">
                  <c:v>0.53465346534653468</c:v>
                </c:pt>
                <c:pt idx="57">
                  <c:v>0.52941176470588236</c:v>
                </c:pt>
                <c:pt idx="58">
                  <c:v>0.53846153846153844</c:v>
                </c:pt>
                <c:pt idx="59">
                  <c:v>0.53846153846153844</c:v>
                </c:pt>
                <c:pt idx="60">
                  <c:v>0.53846153846153844</c:v>
                </c:pt>
                <c:pt idx="61">
                  <c:v>0.54285714285714282</c:v>
                </c:pt>
                <c:pt idx="62">
                  <c:v>0.52293577981651373</c:v>
                </c:pt>
                <c:pt idx="63">
                  <c:v>0.52727272727272723</c:v>
                </c:pt>
                <c:pt idx="64">
                  <c:v>0.5178571428571429</c:v>
                </c:pt>
                <c:pt idx="65">
                  <c:v>0.51754385964912286</c:v>
                </c:pt>
                <c:pt idx="66">
                  <c:v>0.50862068965517238</c:v>
                </c:pt>
                <c:pt idx="67">
                  <c:v>0.51282051282051277</c:v>
                </c:pt>
                <c:pt idx="68">
                  <c:v>0.5083333333333333</c:v>
                </c:pt>
                <c:pt idx="69">
                  <c:v>0.50413223140495866</c:v>
                </c:pt>
                <c:pt idx="70">
                  <c:v>0.50406504065040647</c:v>
                </c:pt>
                <c:pt idx="71">
                  <c:v>0.50806451612903225</c:v>
                </c:pt>
                <c:pt idx="72">
                  <c:v>0.504</c:v>
                </c:pt>
                <c:pt idx="73">
                  <c:v>0.5078125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958429561200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のり2!$O$3:$O$76</c:f>
              <c:numCache>
                <c:formatCode>0.0%</c:formatCode>
                <c:ptCount val="74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  <c:pt idx="42">
                  <c:v>0.41333333333333333</c:v>
                </c:pt>
                <c:pt idx="43">
                  <c:v>0.41558441558441561</c:v>
                </c:pt>
                <c:pt idx="44">
                  <c:v>0.42307692307692307</c:v>
                </c:pt>
                <c:pt idx="45">
                  <c:v>0.4375</c:v>
                </c:pt>
                <c:pt idx="46">
                  <c:v>0.43902439024390244</c:v>
                </c:pt>
                <c:pt idx="47">
                  <c:v>0.42857142857142855</c:v>
                </c:pt>
                <c:pt idx="48">
                  <c:v>0.43529411764705883</c:v>
                </c:pt>
                <c:pt idx="49">
                  <c:v>0.43023255813953487</c:v>
                </c:pt>
                <c:pt idx="50">
                  <c:v>0.42528735632183906</c:v>
                </c:pt>
                <c:pt idx="51">
                  <c:v>0.43157894736842106</c:v>
                </c:pt>
                <c:pt idx="52">
                  <c:v>0.43157894736842106</c:v>
                </c:pt>
                <c:pt idx="53">
                  <c:v>0.42268041237113402</c:v>
                </c:pt>
                <c:pt idx="54">
                  <c:v>0.43</c:v>
                </c:pt>
                <c:pt idx="55">
                  <c:v>0.42307692307692307</c:v>
                </c:pt>
                <c:pt idx="56">
                  <c:v>0.42452830188679247</c:v>
                </c:pt>
                <c:pt idx="57">
                  <c:v>0.41666666666666669</c:v>
                </c:pt>
                <c:pt idx="58">
                  <c:v>0.42342342342342343</c:v>
                </c:pt>
                <c:pt idx="59">
                  <c:v>0.4247787610619469</c:v>
                </c:pt>
                <c:pt idx="60">
                  <c:v>0.42105263157894735</c:v>
                </c:pt>
                <c:pt idx="61">
                  <c:v>0.42735042735042733</c:v>
                </c:pt>
                <c:pt idx="62">
                  <c:v>0.43220338983050849</c:v>
                </c:pt>
                <c:pt idx="63">
                  <c:v>0.42857142857142855</c:v>
                </c:pt>
                <c:pt idx="64">
                  <c:v>0.43333333333333335</c:v>
                </c:pt>
                <c:pt idx="65">
                  <c:v>0.43548387096774194</c:v>
                </c:pt>
                <c:pt idx="66">
                  <c:v>0.43548387096774194</c:v>
                </c:pt>
                <c:pt idx="67">
                  <c:v>0.44444444444444442</c:v>
                </c:pt>
                <c:pt idx="68">
                  <c:v>0.4453125</c:v>
                </c:pt>
                <c:pt idx="69">
                  <c:v>0.43181818181818182</c:v>
                </c:pt>
                <c:pt idx="70">
                  <c:v>0.42537313432835822</c:v>
                </c:pt>
                <c:pt idx="71">
                  <c:v>0.42222222222222222</c:v>
                </c:pt>
                <c:pt idx="72">
                  <c:v>0.42222222222222222</c:v>
                </c:pt>
                <c:pt idx="73">
                  <c:v>0.41304347826086957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627941912869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のり2!$P$3:$P$76</c:f>
              <c:numCache>
                <c:formatCode>0.0%</c:formatCode>
                <c:ptCount val="74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  <c:pt idx="42">
                  <c:v>0.47674418604651164</c:v>
                </c:pt>
                <c:pt idx="43">
                  <c:v>0.46590909090909088</c:v>
                </c:pt>
                <c:pt idx="44">
                  <c:v>0.45054945054945056</c:v>
                </c:pt>
                <c:pt idx="45">
                  <c:v>0.44680851063829785</c:v>
                </c:pt>
                <c:pt idx="46">
                  <c:v>0.45360824742268041</c:v>
                </c:pt>
                <c:pt idx="47">
                  <c:v>0.44897959183673469</c:v>
                </c:pt>
                <c:pt idx="48">
                  <c:v>0.44444444444444442</c:v>
                </c:pt>
                <c:pt idx="49">
                  <c:v>0.44444444444444442</c:v>
                </c:pt>
                <c:pt idx="50">
                  <c:v>0.44554455445544555</c:v>
                </c:pt>
                <c:pt idx="51">
                  <c:v>0.44761904761904764</c:v>
                </c:pt>
                <c:pt idx="52">
                  <c:v>0.44859813084112149</c:v>
                </c:pt>
                <c:pt idx="53">
                  <c:v>0.44954128440366975</c:v>
                </c:pt>
                <c:pt idx="54">
                  <c:v>0.45614035087719296</c:v>
                </c:pt>
                <c:pt idx="55">
                  <c:v>0.44444444444444442</c:v>
                </c:pt>
                <c:pt idx="56">
                  <c:v>0.45</c:v>
                </c:pt>
                <c:pt idx="57">
                  <c:v>0.45</c:v>
                </c:pt>
                <c:pt idx="58">
                  <c:v>0.44800000000000001</c:v>
                </c:pt>
                <c:pt idx="59">
                  <c:v>0.453125</c:v>
                </c:pt>
                <c:pt idx="60">
                  <c:v>0.453125</c:v>
                </c:pt>
                <c:pt idx="61">
                  <c:v>0.4621212121212121</c:v>
                </c:pt>
                <c:pt idx="62">
                  <c:v>0.45522388059701491</c:v>
                </c:pt>
                <c:pt idx="63">
                  <c:v>0.46323529411764708</c:v>
                </c:pt>
                <c:pt idx="64">
                  <c:v>0.45985401459854014</c:v>
                </c:pt>
                <c:pt idx="65">
                  <c:v>0.45714285714285713</c:v>
                </c:pt>
                <c:pt idx="66">
                  <c:v>0.45714285714285713</c:v>
                </c:pt>
                <c:pt idx="67">
                  <c:v>0.45454545454545453</c:v>
                </c:pt>
                <c:pt idx="68">
                  <c:v>0.45517241379310347</c:v>
                </c:pt>
                <c:pt idx="69">
                  <c:v>0.4589041095890411</c:v>
                </c:pt>
                <c:pt idx="70">
                  <c:v>0.46258503401360546</c:v>
                </c:pt>
                <c:pt idx="71">
                  <c:v>0.45945945945945948</c:v>
                </c:pt>
                <c:pt idx="72">
                  <c:v>0.45945945945945948</c:v>
                </c:pt>
                <c:pt idx="73">
                  <c:v>0.46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63837347019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9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  <row r="108" spans="1:7" x14ac:dyDescent="0.45">
      <c r="A108" s="28" t="s">
        <v>314</v>
      </c>
      <c r="B108" s="29">
        <v>43865.925081018519</v>
      </c>
      <c r="C108" s="28" t="s">
        <v>128</v>
      </c>
    </row>
    <row r="109" spans="1:7" x14ac:dyDescent="0.45">
      <c r="A109" s="28" t="s">
        <v>315</v>
      </c>
      <c r="B109" s="29">
        <v>43865.989189814813</v>
      </c>
      <c r="C109" s="28" t="s">
        <v>128</v>
      </c>
      <c r="D109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1032</v>
      </c>
    </row>
    <row r="2" spans="1:2" x14ac:dyDescent="0.45">
      <c r="A2" t="s">
        <v>161</v>
      </c>
      <c r="B2">
        <v>89</v>
      </c>
    </row>
    <row r="3" spans="1:2" x14ac:dyDescent="0.45">
      <c r="A3" t="s">
        <v>126</v>
      </c>
      <c r="B3">
        <v>206</v>
      </c>
    </row>
    <row r="4" spans="1:2" x14ac:dyDescent="0.45">
      <c r="A4" t="s">
        <v>127</v>
      </c>
      <c r="B4">
        <v>178</v>
      </c>
    </row>
    <row r="5" spans="1:2" x14ac:dyDescent="0.45">
      <c r="A5" t="s">
        <v>172</v>
      </c>
      <c r="B5">
        <v>102</v>
      </c>
    </row>
    <row r="6" spans="1:2" x14ac:dyDescent="0.45">
      <c r="A6" t="s">
        <v>170</v>
      </c>
      <c r="B6">
        <v>154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73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0.97871216171787045</v>
      </c>
      <c r="G2" s="167"/>
      <c r="H2" s="166">
        <v>0.83310542563482648</v>
      </c>
      <c r="I2" s="167"/>
      <c r="J2" s="166">
        <v>0.68599908900912632</v>
      </c>
      <c r="K2" s="167"/>
      <c r="L2" s="166">
        <v>0.6083460592019323</v>
      </c>
      <c r="M2" s="167"/>
      <c r="N2" s="166">
        <v>0.25494833667786876</v>
      </c>
      <c r="O2" s="167"/>
      <c r="P2" s="166">
        <v>0.44752252678794652</v>
      </c>
      <c r="Q2" s="167"/>
      <c r="R2" s="166">
        <v>-3.7996674161509043E-2</v>
      </c>
      <c r="S2" s="167"/>
      <c r="T2" s="166">
        <v>0.33283400799786012</v>
      </c>
      <c r="U2" s="167"/>
      <c r="V2" s="166">
        <v>0.36958752817790913</v>
      </c>
      <c r="W2" s="167"/>
      <c r="X2" s="166">
        <v>2.7276824433287404E-2</v>
      </c>
      <c r="Y2" s="167"/>
      <c r="Z2" s="166">
        <v>0.48522506464626208</v>
      </c>
      <c r="AA2" s="167"/>
      <c r="AB2" s="166">
        <v>8.635281607568196E-2</v>
      </c>
      <c r="AC2" s="167"/>
      <c r="AD2" s="166">
        <v>-0.13996750273337291</v>
      </c>
      <c r="AE2" s="167"/>
      <c r="AF2" s="166">
        <v>0.73168646823272365</v>
      </c>
      <c r="AG2" s="167"/>
    </row>
    <row r="3" spans="1:33" x14ac:dyDescent="0.45">
      <c r="A3" s="70">
        <v>1</v>
      </c>
      <c r="B3" s="71" t="s">
        <v>126</v>
      </c>
      <c r="C3" s="72">
        <v>1937.2999999999997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11169.883040935672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699.00000000000057</v>
      </c>
      <c r="D4" s="81" t="s">
        <v>126</v>
      </c>
      <c r="E4" s="93">
        <v>9.4043689320388335</v>
      </c>
      <c r="F4" s="81" t="s">
        <v>126</v>
      </c>
      <c r="G4" s="82">
        <v>1.766990291262136</v>
      </c>
      <c r="H4" s="81" t="s">
        <v>256</v>
      </c>
      <c r="I4" s="83">
        <v>0.5</v>
      </c>
      <c r="J4" s="81" t="s">
        <v>126</v>
      </c>
      <c r="K4" s="83">
        <v>0.23786407766990292</v>
      </c>
      <c r="L4" s="81" t="s">
        <v>200</v>
      </c>
      <c r="M4" s="84">
        <v>0.34838709677419355</v>
      </c>
      <c r="N4" s="81" t="s">
        <v>126</v>
      </c>
      <c r="O4" s="84">
        <v>0.1237594862813777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4.3689320388349516E-2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0.58149779735682816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4.5389610389610429</v>
      </c>
      <c r="F5" s="81" t="s">
        <v>170</v>
      </c>
      <c r="G5" s="82">
        <v>1.9090909090909092</v>
      </c>
      <c r="H5" s="81" t="s">
        <v>126</v>
      </c>
      <c r="I5" s="83">
        <v>0.470873786407767</v>
      </c>
      <c r="J5" s="81" t="s">
        <v>171</v>
      </c>
      <c r="K5" s="83">
        <v>0.30128205128205127</v>
      </c>
      <c r="L5" s="81" t="s">
        <v>126</v>
      </c>
      <c r="M5" s="84">
        <v>0.3426736719206071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-7497.65625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0.29912221471978395</v>
      </c>
      <c r="Z5" s="81" t="s">
        <v>200</v>
      </c>
      <c r="AA5" s="84">
        <v>0.57407407407407407</v>
      </c>
      <c r="AB5" s="81" t="s">
        <v>126</v>
      </c>
      <c r="AC5" s="84">
        <v>0.48292682926829267</v>
      </c>
      <c r="AD5" s="81" t="s">
        <v>170</v>
      </c>
      <c r="AE5" s="84">
        <v>0.51169590643274854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1.9831460674157304</v>
      </c>
      <c r="H6" s="81" t="s">
        <v>232</v>
      </c>
      <c r="I6" s="83">
        <v>0.42857142857142855</v>
      </c>
      <c r="J6" s="81" t="s">
        <v>170</v>
      </c>
      <c r="K6" s="83">
        <v>0.31168831168831168</v>
      </c>
      <c r="L6" s="81" t="s">
        <v>201</v>
      </c>
      <c r="M6" s="84">
        <v>0.33333333333333331</v>
      </c>
      <c r="N6" s="81" t="s">
        <v>141</v>
      </c>
      <c r="O6" s="84">
        <v>0.15976331360946747</v>
      </c>
      <c r="P6" s="81" t="s">
        <v>171</v>
      </c>
      <c r="Q6" s="85">
        <v>8511.1428571428569</v>
      </c>
      <c r="R6" s="81" t="s">
        <v>126</v>
      </c>
      <c r="S6" s="85">
        <v>-7630.1886792452833</v>
      </c>
      <c r="T6" s="81" t="s">
        <v>161</v>
      </c>
      <c r="U6" s="83">
        <v>7.8651685393258425E-2</v>
      </c>
      <c r="V6" s="81" t="s">
        <v>170</v>
      </c>
      <c r="W6" s="84">
        <v>0.2940226171243942</v>
      </c>
      <c r="X6" s="81" t="s">
        <v>161</v>
      </c>
      <c r="Y6" s="84">
        <v>0.26202531645569621</v>
      </c>
      <c r="Z6" s="81" t="s">
        <v>196</v>
      </c>
      <c r="AA6" s="84">
        <v>0.5662650602409639</v>
      </c>
      <c r="AB6" s="81" t="s">
        <v>141</v>
      </c>
      <c r="AC6" s="84">
        <v>0.41862794191286928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-7.460698725481052E-14</v>
      </c>
      <c r="D7" s="81" t="s">
        <v>141</v>
      </c>
      <c r="E7" s="93">
        <v>-7.2293592301172989E-17</v>
      </c>
      <c r="F7" s="81" t="s">
        <v>196</v>
      </c>
      <c r="G7" s="82">
        <v>2</v>
      </c>
      <c r="H7" s="81" t="s">
        <v>170</v>
      </c>
      <c r="I7" s="83">
        <v>0.40259740259740262</v>
      </c>
      <c r="J7" s="81" t="s">
        <v>127</v>
      </c>
      <c r="K7" s="83">
        <v>0.3202247191011236</v>
      </c>
      <c r="L7" s="81" t="s">
        <v>127</v>
      </c>
      <c r="M7" s="84">
        <v>0.31532748143146522</v>
      </c>
      <c r="N7" s="81" t="s">
        <v>200</v>
      </c>
      <c r="O7" s="84">
        <v>0.16129032258064516</v>
      </c>
      <c r="P7" s="81" t="s">
        <v>141</v>
      </c>
      <c r="Q7" s="85">
        <v>8463.2056849585479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0.23934617629889082</v>
      </c>
      <c r="Z7" s="81" t="s">
        <v>171</v>
      </c>
      <c r="AA7" s="84">
        <v>0.54798761609907121</v>
      </c>
      <c r="AB7" s="81" t="s">
        <v>171</v>
      </c>
      <c r="AC7" s="84">
        <v>0.41811846689895471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127</v>
      </c>
      <c r="C8" s="80">
        <v>-47.000000000000206</v>
      </c>
      <c r="D8" s="81" t="s">
        <v>127</v>
      </c>
      <c r="E8" s="93">
        <v>-0.26404494382022586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0.29388560157790927</v>
      </c>
      <c r="N8" s="81" t="s">
        <v>161</v>
      </c>
      <c r="O8" s="84">
        <v>0.16202531645569621</v>
      </c>
      <c r="P8" s="81" t="s">
        <v>197</v>
      </c>
      <c r="Q8" s="85">
        <v>8326.6666666666661</v>
      </c>
      <c r="R8" s="81" t="s">
        <v>141</v>
      </c>
      <c r="S8" s="85">
        <v>-7866.8845315904136</v>
      </c>
      <c r="T8" s="81" t="s">
        <v>141</v>
      </c>
      <c r="U8" s="83">
        <v>9.8837209302325577E-2</v>
      </c>
      <c r="V8" s="81" t="s">
        <v>172</v>
      </c>
      <c r="W8" s="84">
        <v>0.27582292849035189</v>
      </c>
      <c r="X8" s="81" t="s">
        <v>141</v>
      </c>
      <c r="Y8" s="84">
        <v>0.23169741269288779</v>
      </c>
      <c r="Z8" s="81" t="s">
        <v>141</v>
      </c>
      <c r="AA8" s="84">
        <v>0.54595842956120089</v>
      </c>
      <c r="AB8" s="81" t="s">
        <v>197</v>
      </c>
      <c r="AC8" s="84">
        <v>0.41304347826086957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200</v>
      </c>
      <c r="C9" s="80">
        <v>-55.6</v>
      </c>
      <c r="D9" s="81" t="s">
        <v>171</v>
      </c>
      <c r="E9" s="93">
        <v>-0.5262820512820513</v>
      </c>
      <c r="F9" s="81" t="s">
        <v>141</v>
      </c>
      <c r="G9" s="82">
        <v>2</v>
      </c>
      <c r="H9" s="81" t="s">
        <v>127</v>
      </c>
      <c r="I9" s="83">
        <v>0.33707865168539325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126</v>
      </c>
      <c r="Q9" s="85">
        <v>8274.2759795570691</v>
      </c>
      <c r="R9" s="81" t="s">
        <v>127</v>
      </c>
      <c r="S9" s="85">
        <v>-7936.259541984733</v>
      </c>
      <c r="T9" s="81" t="s">
        <v>127</v>
      </c>
      <c r="U9" s="83">
        <v>0.10112359550561797</v>
      </c>
      <c r="V9" s="81" t="s">
        <v>256</v>
      </c>
      <c r="W9" s="84">
        <v>0.26666666666666666</v>
      </c>
      <c r="X9" s="81" t="s">
        <v>197</v>
      </c>
      <c r="Y9" s="84">
        <v>0.22772277227722773</v>
      </c>
      <c r="Z9" s="81" t="s">
        <v>170</v>
      </c>
      <c r="AA9" s="84">
        <v>0.54395604395604391</v>
      </c>
      <c r="AB9" s="81" t="s">
        <v>172</v>
      </c>
      <c r="AC9" s="84">
        <v>0.39880952380952384</v>
      </c>
      <c r="AD9" s="81" t="s">
        <v>197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301</v>
      </c>
      <c r="C10" s="80">
        <v>-80.800000000000011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0.27625201938610661</v>
      </c>
      <c r="N10" s="81" t="s">
        <v>170</v>
      </c>
      <c r="O10" s="84">
        <v>0.172859450726979</v>
      </c>
      <c r="P10" s="81" t="s">
        <v>196</v>
      </c>
      <c r="Q10" s="85">
        <v>8164.9350649350654</v>
      </c>
      <c r="R10" s="81" t="s">
        <v>301</v>
      </c>
      <c r="S10" s="85">
        <v>-7987.5</v>
      </c>
      <c r="T10" s="81" t="s">
        <v>170</v>
      </c>
      <c r="U10" s="83">
        <v>0.12337662337662338</v>
      </c>
      <c r="V10" s="81" t="s">
        <v>126</v>
      </c>
      <c r="W10" s="84">
        <v>0.26503210741389377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127</v>
      </c>
      <c r="AC10" s="84">
        <v>0.39729119638826182</v>
      </c>
      <c r="AD10" s="81" t="s">
        <v>141</v>
      </c>
      <c r="AE10" s="84">
        <v>0.45163837347019342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0.27341772151898736</v>
      </c>
      <c r="N11" s="81" t="s">
        <v>127</v>
      </c>
      <c r="O11" s="84">
        <v>0.17690749493585414</v>
      </c>
      <c r="P11" s="81" t="s">
        <v>127</v>
      </c>
      <c r="Q11" s="85">
        <v>7886.0813704496786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0.5357142857142857</v>
      </c>
      <c r="AB11" s="81" t="s">
        <v>161</v>
      </c>
      <c r="AC11" s="84">
        <v>0.39613526570048307</v>
      </c>
      <c r="AD11" s="81" t="s">
        <v>161</v>
      </c>
      <c r="AE11" s="84">
        <v>0.43518518518518517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-6.5280898876404523</v>
      </c>
      <c r="F12" s="81" t="s">
        <v>232</v>
      </c>
      <c r="G12" s="82">
        <v>2.1428571428571428</v>
      </c>
      <c r="H12" s="81" t="s">
        <v>161</v>
      </c>
      <c r="I12" s="83">
        <v>0.2808988764044944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197</v>
      </c>
      <c r="O12" s="84">
        <v>0.17986798679867988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0.2511892330896856</v>
      </c>
      <c r="X12" s="81" t="s">
        <v>170</v>
      </c>
      <c r="Y12" s="84">
        <v>0.18659127625201938</v>
      </c>
      <c r="Z12" s="81" t="s">
        <v>232</v>
      </c>
      <c r="AA12" s="84">
        <v>0.53333333333333333</v>
      </c>
      <c r="AB12" s="81" t="s">
        <v>170</v>
      </c>
      <c r="AC12" s="84">
        <v>0.38961038961038963</v>
      </c>
      <c r="AD12" s="81" t="s">
        <v>126</v>
      </c>
      <c r="AE12" s="84">
        <v>0.4190800681431005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2.1573033707865168</v>
      </c>
      <c r="H13" s="81" t="s">
        <v>171</v>
      </c>
      <c r="I13" s="83">
        <v>0.25641025641025639</v>
      </c>
      <c r="J13" s="81" t="s">
        <v>161</v>
      </c>
      <c r="K13" s="83">
        <v>0.43820224719101125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-8370.5607476635505</v>
      </c>
      <c r="T13" s="81" t="s">
        <v>197</v>
      </c>
      <c r="U13" s="83">
        <v>0.17808219178082191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0.5117647058823529</v>
      </c>
      <c r="AB13" s="81" t="s">
        <v>201</v>
      </c>
      <c r="AC13" s="84">
        <v>0.38461538461538464</v>
      </c>
      <c r="AD13" s="81" t="s">
        <v>127</v>
      </c>
      <c r="AE13" s="84">
        <v>0.41327623126338331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-581.00000000000023</v>
      </c>
      <c r="D14" s="81" t="s">
        <v>197</v>
      </c>
      <c r="E14" s="93">
        <v>-11.84383561643836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197</v>
      </c>
      <c r="K14" s="83">
        <v>0.45205479452054792</v>
      </c>
      <c r="L14" s="81" t="s">
        <v>197</v>
      </c>
      <c r="M14" s="84">
        <v>0.24752475247524752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-8488.9908256880735</v>
      </c>
      <c r="T14" s="81" t="s">
        <v>201</v>
      </c>
      <c r="U14" s="83">
        <v>0.2</v>
      </c>
      <c r="V14" s="81" t="s">
        <v>127</v>
      </c>
      <c r="W14" s="84">
        <v>0.22957461174881835</v>
      </c>
      <c r="X14" s="81" t="s">
        <v>196</v>
      </c>
      <c r="Y14" s="84">
        <v>0.16107382550335569</v>
      </c>
      <c r="Z14" s="81" t="s">
        <v>197</v>
      </c>
      <c r="AA14" s="84">
        <v>0.5078125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-759.19999999999993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7159.7222222222226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0.21122112211221122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-864.60000000000025</v>
      </c>
      <c r="D16" s="81" t="s">
        <v>301</v>
      </c>
      <c r="E16" s="93">
        <v>-16.160000000000004</v>
      </c>
      <c r="F16" s="81" t="s">
        <v>197</v>
      </c>
      <c r="G16" s="82">
        <v>2.3013698630136985</v>
      </c>
      <c r="H16" s="81" t="s">
        <v>197</v>
      </c>
      <c r="I16" s="83">
        <v>0.15068493150684931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0.14177215189873418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CD1-0E0B-4376-B93B-7F5BE675568C}">
  <sheetPr codeName="Sheet4"/>
  <dimension ref="A1:Q10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1032</v>
      </c>
      <c r="C2" s="155"/>
      <c r="E2" s="58" t="s">
        <v>66</v>
      </c>
      <c r="F2" s="55" t="s">
        <v>22</v>
      </c>
      <c r="G2" s="43">
        <v>1889</v>
      </c>
      <c r="H2" s="128">
        <f>IF(B$15=0,0,G2/B$15)</f>
        <v>0.74575602052901702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-29.239766081871345</v>
      </c>
      <c r="P2" s="114">
        <v>1026</v>
      </c>
      <c r="Q2" s="98">
        <v>-30000</v>
      </c>
    </row>
    <row r="3" spans="1:17" x14ac:dyDescent="0.45">
      <c r="A3" s="51" t="s">
        <v>8</v>
      </c>
      <c r="B3" s="156">
        <v>8619</v>
      </c>
      <c r="C3" s="157"/>
      <c r="E3" s="59" t="s">
        <v>72</v>
      </c>
      <c r="F3" s="56" t="s">
        <v>27</v>
      </c>
      <c r="G3" s="44">
        <v>1379</v>
      </c>
      <c r="H3" s="129">
        <f>IF(B$15=0,0,G3/B$15)</f>
        <v>0.54441373864982234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9.9206349206349209</v>
      </c>
      <c r="P3" s="115">
        <v>1008</v>
      </c>
      <c r="Q3" s="99">
        <v>10000</v>
      </c>
    </row>
    <row r="4" spans="1:17" x14ac:dyDescent="0.45">
      <c r="A4" s="51" t="s">
        <v>6</v>
      </c>
      <c r="B4" s="158">
        <v>-7.460698725481052E-14</v>
      </c>
      <c r="C4" s="159"/>
      <c r="E4" s="59" t="s">
        <v>64</v>
      </c>
      <c r="F4" s="56" t="s">
        <v>20</v>
      </c>
      <c r="G4" s="44">
        <v>1145</v>
      </c>
      <c r="H4" s="129">
        <f>IF(B$15=0,0,G4/B$15)</f>
        <v>0.45203316225819185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-1.0548523206751055</v>
      </c>
      <c r="P4" s="115">
        <v>948</v>
      </c>
      <c r="Q4" s="99">
        <v>-1000</v>
      </c>
    </row>
    <row r="5" spans="1:17" x14ac:dyDescent="0.45">
      <c r="A5" s="51" t="s">
        <v>7</v>
      </c>
      <c r="B5" s="160">
        <f>IF(B$2=0,0,B$4/B$2)</f>
        <v>-7.2293592301172989E-17</v>
      </c>
      <c r="C5" s="161"/>
      <c r="E5" s="59" t="s">
        <v>166</v>
      </c>
      <c r="F5" s="56" t="s">
        <v>167</v>
      </c>
      <c r="G5" s="44">
        <v>998</v>
      </c>
      <c r="H5" s="129">
        <f>IF(B$15=0,0,G5/B$15)</f>
        <v>0.39399921042242403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-1.1299435028248588</v>
      </c>
      <c r="P5" s="115">
        <v>885</v>
      </c>
      <c r="Q5" s="99">
        <v>-1000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796</v>
      </c>
      <c r="H6" s="129">
        <f>IF(B$15=0,0,G6/B$15)</f>
        <v>0.31425187524674297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9.8039215686274517</v>
      </c>
      <c r="P6" s="115">
        <v>816</v>
      </c>
      <c r="Q6" s="99">
        <v>8000</v>
      </c>
    </row>
    <row r="7" spans="1:17" x14ac:dyDescent="0.45">
      <c r="A7" s="51" t="s">
        <v>2</v>
      </c>
      <c r="B7" s="44">
        <v>344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705</v>
      </c>
      <c r="H7" s="129">
        <f>IF(B$15=0,0,G7/B$15)</f>
        <v>0.27832609553888671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19.174041297935105</v>
      </c>
      <c r="P7" s="116">
        <v>678</v>
      </c>
      <c r="Q7" s="100">
        <v>13000</v>
      </c>
    </row>
    <row r="8" spans="1:17" x14ac:dyDescent="0.45">
      <c r="A8" s="51" t="s">
        <v>3</v>
      </c>
      <c r="B8" s="44">
        <v>344</v>
      </c>
      <c r="C8" s="37">
        <f t="shared" si="1"/>
        <v>0.33333333333333331</v>
      </c>
      <c r="E8" s="59" t="s">
        <v>89</v>
      </c>
      <c r="F8" s="56" t="s">
        <v>44</v>
      </c>
      <c r="G8" s="44">
        <v>355</v>
      </c>
      <c r="H8" s="129">
        <f>IF(B$15=0,0,G8/B$15)</f>
        <v>0.14015001973943941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344</v>
      </c>
      <c r="C9" s="38">
        <f t="shared" si="1"/>
        <v>0.33333333333333331</v>
      </c>
      <c r="E9" s="59" t="s">
        <v>69</v>
      </c>
      <c r="F9" s="56" t="s">
        <v>24</v>
      </c>
      <c r="G9" s="44">
        <v>352</v>
      </c>
      <c r="H9" s="129">
        <f>IF(B$15=0,0,G9/B$15)</f>
        <v>0.13896565337544414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102</v>
      </c>
      <c r="C10" s="40">
        <f t="shared" si="1"/>
        <v>9.8837209302325577E-2</v>
      </c>
      <c r="E10" s="59" t="s">
        <v>65</v>
      </c>
      <c r="F10" s="56" t="s">
        <v>21</v>
      </c>
      <c r="G10" s="44">
        <v>257</v>
      </c>
      <c r="H10" s="129">
        <f>IF(B$15=0,0,G10/B$15)</f>
        <v>0.10146071851559416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-4.113662790697675</v>
      </c>
      <c r="P10" s="114">
        <v>344</v>
      </c>
      <c r="Q10" s="102">
        <v>-1415.1000000000001</v>
      </c>
    </row>
    <row r="11" spans="1:17" x14ac:dyDescent="0.45">
      <c r="A11" s="54" t="s">
        <v>121</v>
      </c>
      <c r="B11" s="47">
        <v>2165</v>
      </c>
      <c r="C11" s="42">
        <f>IF(B$3=0,0,B11/B$3)</f>
        <v>0.2511892330896856</v>
      </c>
      <c r="E11" s="59" t="s">
        <v>70</v>
      </c>
      <c r="F11" s="56" t="s">
        <v>25</v>
      </c>
      <c r="G11" s="44">
        <v>240</v>
      </c>
      <c r="H11" s="129">
        <f>IF(B$15=0,0,G11/B$15)</f>
        <v>9.4749309119620997E-2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1.45</v>
      </c>
      <c r="P11" s="115">
        <v>344</v>
      </c>
      <c r="Q11" s="103">
        <v>498.8</v>
      </c>
    </row>
    <row r="12" spans="1:17" x14ac:dyDescent="0.45">
      <c r="A12" s="51" t="s">
        <v>118</v>
      </c>
      <c r="B12" s="44">
        <v>1997</v>
      </c>
      <c r="C12" s="37">
        <f>IF(B$3=0,0,B12/B$3)</f>
        <v>0.23169741269288779</v>
      </c>
      <c r="E12" s="59" t="s">
        <v>71</v>
      </c>
      <c r="F12" s="56" t="s">
        <v>26</v>
      </c>
      <c r="G12" s="44">
        <v>204</v>
      </c>
      <c r="H12" s="129">
        <f>IF(B$15=0,0,G12/B$15)</f>
        <v>8.0536912751677847E-2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2.6636627906976731</v>
      </c>
      <c r="P12" s="116">
        <v>344</v>
      </c>
      <c r="Q12" s="104">
        <v>916.2999999999995</v>
      </c>
    </row>
    <row r="13" spans="1:17" x14ac:dyDescent="0.45">
      <c r="A13" s="50" t="s">
        <v>123</v>
      </c>
      <c r="B13" s="43">
        <f>B19</f>
        <v>1182</v>
      </c>
      <c r="C13" s="35">
        <f>IF(B$11=0,0,B13/B$11)</f>
        <v>0.54595842956120089</v>
      </c>
      <c r="E13" s="59" t="s">
        <v>83</v>
      </c>
      <c r="F13" s="56" t="s">
        <v>38</v>
      </c>
      <c r="G13" s="44">
        <v>125</v>
      </c>
      <c r="H13" s="129">
        <f>IF(B$15=0,0,G13/B$15)</f>
        <v>4.9348598499802603E-2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836</v>
      </c>
      <c r="C14" s="35">
        <f>IF(B$12=0,0,B14/B$12)</f>
        <v>0.41862794191286928</v>
      </c>
      <c r="E14" s="59" t="s">
        <v>86</v>
      </c>
      <c r="F14" s="56" t="s">
        <v>41</v>
      </c>
      <c r="G14" s="44">
        <v>123</v>
      </c>
      <c r="H14" s="129">
        <f>IF(B$15=0,0,G14/B$15)</f>
        <v>4.8559020923805762E-2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2533</v>
      </c>
      <c r="C15" s="35">
        <f>IF(B$3=0,0,B15/B$3)</f>
        <v>0.29388560157790927</v>
      </c>
      <c r="E15" s="59" t="s">
        <v>78</v>
      </c>
      <c r="F15" s="56" t="s">
        <v>33</v>
      </c>
      <c r="G15" s="44">
        <v>70</v>
      </c>
      <c r="H15" s="129">
        <f>IF(B$15=0,0,G15/B$15)</f>
        <v>2.763521515988946E-2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1377</v>
      </c>
      <c r="C16" s="37">
        <f>IF(B$3=0,0,B16/B$3)</f>
        <v>0.15976331360946747</v>
      </c>
      <c r="E16" s="59" t="s">
        <v>81</v>
      </c>
      <c r="F16" s="56" t="s">
        <v>36</v>
      </c>
      <c r="G16" s="44">
        <v>58</v>
      </c>
      <c r="H16" s="129">
        <f>IF(B$15=0,0,G16/B$15)</f>
        <v>2.2897749703908409E-2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1144</v>
      </c>
      <c r="C17" s="37">
        <f>IF(B$15=0,0,B17/B$15)</f>
        <v>0.45163837347019342</v>
      </c>
      <c r="E17" s="59" t="s">
        <v>162</v>
      </c>
      <c r="F17" s="56" t="s">
        <v>163</v>
      </c>
      <c r="G17" s="44">
        <v>49</v>
      </c>
      <c r="H17" s="129">
        <f>IF(B$15=0,0,G17/B$15)</f>
        <v>1.9344650611922622E-2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17.765753424657508</v>
      </c>
      <c r="P17" s="115">
        <v>146</v>
      </c>
      <c r="Q17" s="103">
        <v>2593.7999999999961</v>
      </c>
    </row>
    <row r="18" spans="1:17" x14ac:dyDescent="0.45">
      <c r="A18" s="51" t="s">
        <v>11</v>
      </c>
      <c r="B18" s="44">
        <v>1389</v>
      </c>
      <c r="C18" s="37">
        <f>IF(B$15=0,0,B18/B$15)</f>
        <v>0.54836162652980658</v>
      </c>
      <c r="E18" s="59" t="s">
        <v>91</v>
      </c>
      <c r="F18" s="56" t="s">
        <v>46</v>
      </c>
      <c r="G18" s="44">
        <v>41</v>
      </c>
      <c r="H18" s="129">
        <f>IF(B$15=0,0,G18/B$15)</f>
        <v>1.6186340307935254E-2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 x14ac:dyDescent="0.45">
      <c r="A19" s="51" t="s">
        <v>195</v>
      </c>
      <c r="B19" s="44">
        <v>1182</v>
      </c>
      <c r="C19" s="37">
        <f>IF(B$15=0,0,B19/B$15)</f>
        <v>0.46664034741413346</v>
      </c>
      <c r="E19" s="59" t="s">
        <v>79</v>
      </c>
      <c r="F19" s="56" t="s">
        <v>34</v>
      </c>
      <c r="G19" s="44">
        <v>36</v>
      </c>
      <c r="H19" s="129">
        <f>IF(B$15=0,0,G19/B$15)</f>
        <v>1.421239636794315E-2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8.6621212121212068</v>
      </c>
      <c r="P19" s="115">
        <v>198</v>
      </c>
      <c r="Q19" s="103">
        <v>1715.0999999999988</v>
      </c>
    </row>
    <row r="20" spans="1:17" x14ac:dyDescent="0.45">
      <c r="A20" s="51" t="s">
        <v>193</v>
      </c>
      <c r="B20" s="44">
        <v>836</v>
      </c>
      <c r="C20" s="37">
        <f>IF(B$15=0,0,B20/B$15)</f>
        <v>0.3300434267666798</v>
      </c>
      <c r="E20" s="59" t="s">
        <v>75</v>
      </c>
      <c r="F20" s="56" t="s">
        <v>30</v>
      </c>
      <c r="G20" s="44">
        <v>19</v>
      </c>
      <c r="H20" s="129">
        <f>IF(B$15=0,0,G20/B$15)</f>
        <v>7.5009869719699961E-3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515</v>
      </c>
      <c r="C21" s="37">
        <f>IF(B$15=0,0,B21/B$15)</f>
        <v>0.20331622581918674</v>
      </c>
      <c r="E21" s="59" t="s">
        <v>92</v>
      </c>
      <c r="F21" s="56" t="s">
        <v>47</v>
      </c>
      <c r="G21" s="44">
        <v>19</v>
      </c>
      <c r="H21" s="129">
        <f>IF(B$15=0,0,G21/B$15)</f>
        <v>7.5009869719699961E-3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8463.2056849585479</v>
      </c>
      <c r="C22" s="39">
        <v>21437300</v>
      </c>
      <c r="E22" s="59" t="s">
        <v>85</v>
      </c>
      <c r="F22" s="56" t="s">
        <v>40</v>
      </c>
      <c r="G22" s="44">
        <v>15</v>
      </c>
      <c r="H22" s="129">
        <f>IF(B$15=0,0,G22/B$15)</f>
        <v>5.9218318199763123E-3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9152.2097819681785</v>
      </c>
      <c r="C23" s="137">
        <v>15531300</v>
      </c>
      <c r="E23" s="59" t="s">
        <v>73</v>
      </c>
      <c r="F23" s="56" t="s">
        <v>28</v>
      </c>
      <c r="G23" s="44">
        <v>9</v>
      </c>
      <c r="H23" s="129">
        <f>IF(B$15=0,0,G23/B$15)</f>
        <v>3.5530990919857876E-3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0.39606741573033372</v>
      </c>
      <c r="P23" s="115">
        <v>356</v>
      </c>
      <c r="Q23" s="103">
        <v>140.99999999999881</v>
      </c>
    </row>
    <row r="24" spans="1:17" x14ac:dyDescent="0.45">
      <c r="A24" s="52" t="s">
        <v>178</v>
      </c>
      <c r="B24" s="136">
        <f>IF(B$14=0,0,C24/B$14)</f>
        <v>7064.5933014354068</v>
      </c>
      <c r="C24" s="137">
        <v>5906000</v>
      </c>
      <c r="E24" s="59" t="s">
        <v>74</v>
      </c>
      <c r="F24" s="56" t="s">
        <v>29</v>
      </c>
      <c r="G24" s="44">
        <v>8</v>
      </c>
      <c r="H24" s="129">
        <f>IF(B$15=0,0,G24/B$15)</f>
        <v>3.1583103039873666E-3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-6.808441558441551</v>
      </c>
      <c r="P24" s="115">
        <v>308</v>
      </c>
      <c r="Q24" s="103">
        <v>-2096.9999999999977</v>
      </c>
    </row>
    <row r="25" spans="1:17" x14ac:dyDescent="0.45">
      <c r="A25" s="52" t="s">
        <v>176</v>
      </c>
      <c r="B25" s="136">
        <f>IF(B$16=0,0,C25/B$16)</f>
        <v>-7866.8845315904136</v>
      </c>
      <c r="C25" s="137">
        <v>-10832700</v>
      </c>
      <c r="E25" s="59" t="s">
        <v>84</v>
      </c>
      <c r="F25" s="56" t="s">
        <v>39</v>
      </c>
      <c r="G25" s="44">
        <v>8</v>
      </c>
      <c r="H25" s="129">
        <f>IF(B$15=0,0,G25/B$15)</f>
        <v>3.1583103039873666E-3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-14.106553398058251</v>
      </c>
      <c r="P25" s="115">
        <v>412</v>
      </c>
      <c r="Q25" s="103">
        <v>-5811.9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7</v>
      </c>
      <c r="H26" s="129">
        <f>IF(B$15=0,0,G26/B$15)</f>
        <v>2.7635215159889457E-3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7</v>
      </c>
      <c r="H27" s="129">
        <f>IF(B$15=0,0,G27/B$15)</f>
        <v>2.7635215159889457E-3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1.9739439399921043E-3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1.9739439399921043E-3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2.7845457709711106E-3</v>
      </c>
      <c r="E30" s="59" t="s">
        <v>95</v>
      </c>
      <c r="F30" s="56" t="s">
        <v>50</v>
      </c>
      <c r="G30" s="44">
        <v>5</v>
      </c>
      <c r="H30" s="129">
        <f>IF(B$15=0,0,G30/B$15)</f>
        <v>1.9739439399921043E-3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1.5791551519936833E-3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198</v>
      </c>
      <c r="C32" s="141">
        <f>IF(B$15=0,0,B32/B$15)</f>
        <v>7.8168180023687334E-2</v>
      </c>
      <c r="E32" s="59" t="s">
        <v>97</v>
      </c>
      <c r="F32" s="56" t="s">
        <v>52</v>
      </c>
      <c r="G32" s="44">
        <v>1</v>
      </c>
      <c r="H32" s="129">
        <f>IF(B$15=0,0,G32/B$15)</f>
        <v>3.9478878799842083E-4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434</v>
      </c>
      <c r="C33" s="37">
        <f t="shared" ref="C33:C44" si="2">IF(B$15=0,0,B33/B$15)</f>
        <v>0.17133833399131465</v>
      </c>
      <c r="E33" s="59" t="s">
        <v>101</v>
      </c>
      <c r="F33" s="56" t="s">
        <v>56</v>
      </c>
      <c r="G33" s="44">
        <v>1</v>
      </c>
      <c r="H33" s="129">
        <f>IF(B$15=0,0,G33/B$15)</f>
        <v>3.9478878799842083E-4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485</v>
      </c>
      <c r="C34" s="37">
        <f>IF(B$15=0,0,B34/B$15)</f>
        <v>0.19147256217923411</v>
      </c>
      <c r="E34" s="59" t="s">
        <v>106</v>
      </c>
      <c r="F34" s="56" t="s">
        <v>113</v>
      </c>
      <c r="G34" s="44">
        <v>1</v>
      </c>
      <c r="H34" s="129">
        <f>IF(B$15=0,0,G34/B$15)</f>
        <v>3.9478878799842083E-4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455</v>
      </c>
      <c r="C35" s="37">
        <f t="shared" si="2"/>
        <v>0.17962889853928149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395</v>
      </c>
      <c r="C36" s="37">
        <f t="shared" si="2"/>
        <v>0.15594157125937624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268</v>
      </c>
      <c r="C37" s="37">
        <f t="shared" si="2"/>
        <v>0.10580339518357679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130</v>
      </c>
      <c r="C38" s="37">
        <f t="shared" si="2"/>
        <v>5.1322542439794706E-2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74</v>
      </c>
      <c r="C39" s="37">
        <f t="shared" si="2"/>
        <v>2.9214370311883144E-2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34</v>
      </c>
      <c r="C40" s="37">
        <f t="shared" si="2"/>
        <v>1.3422818791946308E-2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4.7374654559810504E-3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9</v>
      </c>
      <c r="C42" s="37">
        <f t="shared" si="2"/>
        <v>3.5530990919857876E-3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2.3687327279905252E-3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1.3028030003947888E-2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  <row r="1026" spans="11:12" x14ac:dyDescent="0.45">
      <c r="K1026" s="36">
        <v>1024</v>
      </c>
      <c r="L1026" s="95">
        <v>16.699999999999932</v>
      </c>
    </row>
    <row r="1027" spans="11:12" x14ac:dyDescent="0.45">
      <c r="K1027" s="36">
        <v>1025</v>
      </c>
      <c r="L1027" s="95">
        <v>46.699999999999932</v>
      </c>
    </row>
    <row r="1028" spans="11:12" x14ac:dyDescent="0.45">
      <c r="K1028" s="36">
        <v>1026</v>
      </c>
      <c r="L1028" s="95">
        <v>-7.1054273576010019E-14</v>
      </c>
    </row>
    <row r="1029" spans="11:12" x14ac:dyDescent="0.45">
      <c r="K1029" s="36">
        <v>1027</v>
      </c>
      <c r="L1029" s="95">
        <v>-62.200000000000074</v>
      </c>
    </row>
    <row r="1030" spans="11:12" x14ac:dyDescent="0.45">
      <c r="K1030" s="36">
        <v>1028</v>
      </c>
      <c r="L1030" s="95">
        <v>-3.2000000000000739</v>
      </c>
    </row>
    <row r="1031" spans="11:12" x14ac:dyDescent="0.45">
      <c r="K1031" s="36">
        <v>1029</v>
      </c>
      <c r="L1031" s="95">
        <v>-7.3718808835110394E-14</v>
      </c>
    </row>
    <row r="1032" spans="11:12" x14ac:dyDescent="0.45">
      <c r="K1032" s="36">
        <v>1030</v>
      </c>
      <c r="L1032" s="95">
        <v>16.499999999999925</v>
      </c>
    </row>
    <row r="1033" spans="11:12" x14ac:dyDescent="0.45">
      <c r="K1033" s="36">
        <v>1031</v>
      </c>
      <c r="L1033" s="95">
        <v>16.199999999999925</v>
      </c>
    </row>
    <row r="1034" spans="11:12" x14ac:dyDescent="0.45">
      <c r="K1034" s="36">
        <v>1032</v>
      </c>
      <c r="L1034" s="95">
        <v>-7.460698725481052E-14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295D-2035-443F-B0BC-22B5BF236682}">
  <sheetPr codeName="Sheet7"/>
  <dimension ref="A1:Q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5">
      <c r="A3" s="51" t="s">
        <v>8</v>
      </c>
      <c r="B3" s="156">
        <v>790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-581.00000000000023</v>
      </c>
      <c r="C4" s="159"/>
      <c r="E4" s="59" t="s">
        <v>166</v>
      </c>
      <c r="F4" s="56" t="s">
        <v>167</v>
      </c>
      <c r="G4" s="44">
        <v>77</v>
      </c>
      <c r="H4" s="129">
        <f>IF(B$15=0,0,G4/B$15)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-6.5280898876404523</v>
      </c>
      <c r="C5" s="161"/>
      <c r="E5" s="59" t="s">
        <v>68</v>
      </c>
      <c r="F5" s="56" t="s">
        <v>12</v>
      </c>
      <c r="G5" s="44">
        <v>61</v>
      </c>
      <c r="H5" s="129">
        <f>IF(B$15=0,0,G5/B$15)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2.1573033707865168</v>
      </c>
      <c r="C6" s="151"/>
      <c r="E6" s="59" t="s">
        <v>64</v>
      </c>
      <c r="F6" s="56" t="s">
        <v>20</v>
      </c>
      <c r="G6" s="44">
        <v>59</v>
      </c>
      <c r="H6" s="129">
        <f>IF(B$15=0,0,G6/B$15)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IF(B$15=0,0,G7/B$15)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IF(B$15=0,0,G8/B$15)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IF(B$15=0,0,G9/B$15)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7.8651685393258425E-2</v>
      </c>
      <c r="E10" s="59" t="s">
        <v>70</v>
      </c>
      <c r="F10" s="56" t="s">
        <v>25</v>
      </c>
      <c r="G10" s="44">
        <v>25</v>
      </c>
      <c r="H10" s="129">
        <f>IF(B$15=0,0,G10/B$15)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5">
      <c r="A11" s="54" t="s">
        <v>121</v>
      </c>
      <c r="B11" s="47">
        <v>112</v>
      </c>
      <c r="C11" s="42">
        <f>IF(B$3=0,0,B11/B$3)</f>
        <v>0.14177215189873418</v>
      </c>
      <c r="E11" s="59" t="s">
        <v>83</v>
      </c>
      <c r="F11" s="56" t="s">
        <v>38</v>
      </c>
      <c r="G11" s="44">
        <v>19</v>
      </c>
      <c r="H11" s="129">
        <f>IF(B$15=0,0,G11/B$15)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207</v>
      </c>
      <c r="C12" s="37">
        <f>IF(B$3=0,0,B12/B$3)</f>
        <v>0.26202531645569621</v>
      </c>
      <c r="E12" s="59" t="s">
        <v>89</v>
      </c>
      <c r="F12" s="56" t="s">
        <v>44</v>
      </c>
      <c r="G12" s="44">
        <v>15</v>
      </c>
      <c r="H12" s="129">
        <f>IF(B$15=0,0,G12/B$15)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0.5357142857142857</v>
      </c>
      <c r="E13" s="59" t="s">
        <v>65</v>
      </c>
      <c r="F13" s="56" t="s">
        <v>21</v>
      </c>
      <c r="G13" s="44">
        <v>13</v>
      </c>
      <c r="H13" s="129">
        <f>IF(B$15=0,0,G13/B$15)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</v>
      </c>
      <c r="C14" s="35">
        <f>IF(B$12=0,0,B14/B$12)</f>
        <v>0.39613526570048307</v>
      </c>
      <c r="E14" s="59" t="s">
        <v>81</v>
      </c>
      <c r="F14" s="56" t="s">
        <v>36</v>
      </c>
      <c r="G14" s="44">
        <v>10</v>
      </c>
      <c r="H14" s="129">
        <f>IF(B$15=0,0,G14/B$15)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216</v>
      </c>
      <c r="C15" s="35">
        <f>IF(B$3=0,0,B15/B$3)</f>
        <v>0.27341772151898736</v>
      </c>
      <c r="E15" s="59" t="s">
        <v>86</v>
      </c>
      <c r="F15" s="56" t="s">
        <v>41</v>
      </c>
      <c r="G15" s="44">
        <v>7</v>
      </c>
      <c r="H15" s="129">
        <f>IF(B$15=0,0,G15/B$15)</f>
        <v>3.2407407407407406E-2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128</v>
      </c>
      <c r="C16" s="37">
        <f>IF(B$3=0,0,B16/B$3)</f>
        <v>0.16202531645569621</v>
      </c>
      <c r="E16" s="59" t="s">
        <v>79</v>
      </c>
      <c r="F16" s="56" t="s">
        <v>34</v>
      </c>
      <c r="G16" s="44">
        <v>5</v>
      </c>
      <c r="H16" s="129">
        <f>IF(B$15=0,0,G16/B$15)</f>
        <v>2.3148148148148147E-2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94</v>
      </c>
      <c r="C17" s="37">
        <f>IF(B$15=0,0,B17/B$15)</f>
        <v>0.43518518518518517</v>
      </c>
      <c r="E17" s="59" t="s">
        <v>91</v>
      </c>
      <c r="F17" s="56" t="s">
        <v>46</v>
      </c>
      <c r="G17" s="44">
        <v>4</v>
      </c>
      <c r="H17" s="129">
        <f>IF(B$15=0,0,G17/B$15)</f>
        <v>1.8518518518518517E-2</v>
      </c>
      <c r="I17" s="90">
        <v>5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0.56481481481481477</v>
      </c>
      <c r="E18" s="59" t="s">
        <v>74</v>
      </c>
      <c r="F18" s="56" t="s">
        <v>29</v>
      </c>
      <c r="G18" s="44">
        <v>2</v>
      </c>
      <c r="H18" s="129">
        <f>IF(B$15=0,0,G18/B$15)</f>
        <v>9.2592592592592587E-3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60</v>
      </c>
      <c r="C19" s="37">
        <f>IF(B$15=0,0,B19/B$15)</f>
        <v>0.27777777777777779</v>
      </c>
      <c r="E19" s="59" t="s">
        <v>75</v>
      </c>
      <c r="F19" s="56" t="s">
        <v>30</v>
      </c>
      <c r="G19" s="44">
        <v>2</v>
      </c>
      <c r="H19" s="129">
        <f>IF(B$15=0,0,G19/B$15)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82</v>
      </c>
      <c r="C20" s="37">
        <f>IF(B$15=0,0,B20/B$15)</f>
        <v>0.37962962962962965</v>
      </c>
      <c r="E20" s="59" t="s">
        <v>78</v>
      </c>
      <c r="F20" s="56" t="s">
        <v>33</v>
      </c>
      <c r="G20" s="44">
        <v>2</v>
      </c>
      <c r="H20" s="129">
        <f>IF(B$15=0,0,G20/B$15)</f>
        <v>9.2592592592592587E-3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5">
      <c r="A21" s="51" t="s">
        <v>194</v>
      </c>
      <c r="B21" s="44">
        <v>74</v>
      </c>
      <c r="C21" s="37">
        <f>IF(B$15=0,0,B21/B$15)</f>
        <v>0.34259259259259262</v>
      </c>
      <c r="E21" s="59" t="s">
        <v>88</v>
      </c>
      <c r="F21" s="56" t="s">
        <v>43</v>
      </c>
      <c r="G21" s="44">
        <v>2</v>
      </c>
      <c r="H21" s="129">
        <f>IF(B$15=0,0,G21/B$15)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-12.675609756097565</v>
      </c>
      <c r="P21" s="115">
        <v>41</v>
      </c>
      <c r="Q21" s="103">
        <v>-519.70000000000016</v>
      </c>
    </row>
    <row r="22" spans="1:17" x14ac:dyDescent="0.45">
      <c r="A22" s="51" t="s">
        <v>5</v>
      </c>
      <c r="B22" s="48">
        <f>IF(B$15=0,0,C22/B$15)</f>
        <v>7159.7222222222226</v>
      </c>
      <c r="C22" s="39">
        <v>1546500</v>
      </c>
      <c r="E22" s="59" t="s">
        <v>93</v>
      </c>
      <c r="F22" s="56" t="s">
        <v>48</v>
      </c>
      <c r="G22" s="44">
        <v>2</v>
      </c>
      <c r="H22" s="129">
        <f>IF(B$15=0,0,G22/B$15)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-26.1</v>
      </c>
      <c r="P22" s="115">
        <v>30</v>
      </c>
      <c r="Q22" s="103">
        <v>-783</v>
      </c>
    </row>
    <row r="23" spans="1:17" x14ac:dyDescent="0.45">
      <c r="A23" s="52" t="s">
        <v>177</v>
      </c>
      <c r="B23" s="136">
        <f>IF($B$15-B$14=0,0,C23/($B$15-B$14))</f>
        <v>7719.4029850746265</v>
      </c>
      <c r="C23" s="137">
        <v>1034400</v>
      </c>
      <c r="E23" s="59" t="s">
        <v>77</v>
      </c>
      <c r="F23" s="56" t="s">
        <v>32</v>
      </c>
      <c r="G23" s="44">
        <v>1</v>
      </c>
      <c r="H23" s="129">
        <f>IF(B$15=0,0,G23/B$15)</f>
        <v>4.6296296296296294E-3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6245.1219512195121</v>
      </c>
      <c r="C24" s="137">
        <v>512100</v>
      </c>
      <c r="E24" s="59" t="s">
        <v>84</v>
      </c>
      <c r="F24" s="56" t="s">
        <v>39</v>
      </c>
      <c r="G24" s="44">
        <v>1</v>
      </c>
      <c r="H24" s="129">
        <f>IF(B$15=0,0,G24/B$15)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-7497.65625</v>
      </c>
      <c r="C25" s="137">
        <v>-959700</v>
      </c>
      <c r="E25" s="59" t="s">
        <v>87</v>
      </c>
      <c r="F25" s="56" t="s">
        <v>42</v>
      </c>
      <c r="G25" s="44">
        <v>1</v>
      </c>
      <c r="H25" s="129">
        <f>IF(B$15=0,0,G25/B$15)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2.5316455696202532E-3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45</v>
      </c>
      <c r="C33" s="37">
        <f t="shared" ref="C33:C44" si="3">IF(B$15=0,0,B33/B$15)</f>
        <v>0.20833333333333334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0.20370370370370369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40</v>
      </c>
      <c r="C35" s="37">
        <f t="shared" si="3"/>
        <v>0.18518518518518517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0.10185185185185185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18</v>
      </c>
      <c r="C37" s="37">
        <f t="shared" si="3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5.0925925925925923E-2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2.7777777777777776E-2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4.6296296296296294E-3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9.2592592592592587E-3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  <row r="91" spans="11:12" x14ac:dyDescent="0.45">
      <c r="K91" s="36">
        <v>89</v>
      </c>
      <c r="L91" s="95">
        <v>-581.00000000000023</v>
      </c>
    </row>
  </sheetData>
  <sortState xmlns:xlrd2="http://schemas.microsoft.com/office/spreadsheetml/2017/richdata2" ref="E2:I9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F220-9DEA-473A-BBCB-13343057EA62}">
  <sheetPr codeName="Sheet9"/>
  <dimension ref="A1:Q20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206</v>
      </c>
      <c r="C2" s="155"/>
      <c r="E2" s="58" t="s">
        <v>66</v>
      </c>
      <c r="F2" s="55" t="s">
        <v>22</v>
      </c>
      <c r="G2" s="43">
        <v>403</v>
      </c>
      <c r="H2" s="128">
        <f>IF(B$15=0,0,G2/B$15)</f>
        <v>0.68654173764906301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1305.3658536585365</v>
      </c>
      <c r="P2" s="114">
        <v>205</v>
      </c>
      <c r="Q2" s="98">
        <v>267600</v>
      </c>
    </row>
    <row r="3" spans="1:17" x14ac:dyDescent="0.45">
      <c r="A3" s="51" t="s">
        <v>8</v>
      </c>
      <c r="B3" s="156">
        <v>1713</v>
      </c>
      <c r="C3" s="157"/>
      <c r="E3" s="59" t="s">
        <v>72</v>
      </c>
      <c r="F3" s="56" t="s">
        <v>27</v>
      </c>
      <c r="G3" s="44">
        <v>317</v>
      </c>
      <c r="H3" s="129">
        <f>IF(B$15=0,0,G3/B$15)</f>
        <v>0.54003407155025551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1638.1188118811881</v>
      </c>
      <c r="P3" s="115">
        <v>202</v>
      </c>
      <c r="Q3" s="99">
        <v>330900</v>
      </c>
    </row>
    <row r="4" spans="1:17" x14ac:dyDescent="0.45">
      <c r="A4" s="51" t="s">
        <v>6</v>
      </c>
      <c r="B4" s="158">
        <v>1937.2999999999997</v>
      </c>
      <c r="C4" s="159"/>
      <c r="E4" s="59" t="s">
        <v>64</v>
      </c>
      <c r="F4" s="56" t="s">
        <v>20</v>
      </c>
      <c r="G4" s="44">
        <v>252</v>
      </c>
      <c r="H4" s="129">
        <f>IF(B$15=0,0,G4/B$15)</f>
        <v>0.4293015332197615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1207.7319587628865</v>
      </c>
      <c r="P4" s="115">
        <v>194</v>
      </c>
      <c r="Q4" s="99">
        <v>234300</v>
      </c>
    </row>
    <row r="5" spans="1:17" x14ac:dyDescent="0.45">
      <c r="A5" s="51" t="s">
        <v>7</v>
      </c>
      <c r="B5" s="160">
        <f>IF(B$2=0,0,B$4/B$2)</f>
        <v>9.4043689320388335</v>
      </c>
      <c r="C5" s="161"/>
      <c r="E5" s="59" t="s">
        <v>166</v>
      </c>
      <c r="F5" s="56" t="s">
        <v>167</v>
      </c>
      <c r="G5" s="44">
        <v>228</v>
      </c>
      <c r="H5" s="129">
        <f>IF(B$15=0,0,G5/B$15)</f>
        <v>0.38841567291311757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163.53591160220995</v>
      </c>
      <c r="P5" s="115">
        <v>181</v>
      </c>
      <c r="Q5" s="99">
        <v>29600</v>
      </c>
    </row>
    <row r="6" spans="1:17" x14ac:dyDescent="0.45">
      <c r="A6" s="51" t="s">
        <v>1</v>
      </c>
      <c r="B6" s="150">
        <f>IF(B$2=0,0,(B$7*1+B$8*2+B$9*3)/B$2)</f>
        <v>1.766990291262136</v>
      </c>
      <c r="C6" s="151"/>
      <c r="E6" s="59" t="s">
        <v>68</v>
      </c>
      <c r="F6" s="56" t="s">
        <v>12</v>
      </c>
      <c r="G6" s="44">
        <v>163</v>
      </c>
      <c r="H6" s="129">
        <f>IF(B$15=0,0,G6/B$15)</f>
        <v>0.2776831345826235</v>
      </c>
      <c r="I6" s="90">
        <v>11</v>
      </c>
      <c r="K6" s="36">
        <v>4</v>
      </c>
      <c r="L6" s="95">
        <v>101.60000000000001</v>
      </c>
      <c r="N6" s="111" t="s">
        <v>134</v>
      </c>
      <c r="O6" s="118">
        <f t="shared" si="0"/>
        <v>1662.5</v>
      </c>
      <c r="P6" s="115">
        <v>168</v>
      </c>
      <c r="Q6" s="99">
        <v>279300</v>
      </c>
    </row>
    <row r="7" spans="1:17" x14ac:dyDescent="0.45">
      <c r="A7" s="51" t="s">
        <v>2</v>
      </c>
      <c r="B7" s="44">
        <v>97</v>
      </c>
      <c r="C7" s="37">
        <f t="shared" ref="C7:C10" si="1">IF(B$2=0,0,B7/B$2)</f>
        <v>0.470873786407767</v>
      </c>
      <c r="E7" s="59" t="s">
        <v>67</v>
      </c>
      <c r="F7" s="56" t="s">
        <v>23</v>
      </c>
      <c r="G7" s="44">
        <v>140</v>
      </c>
      <c r="H7" s="129">
        <f>IF(B$15=0,0,G7/B$15)</f>
        <v>0.23850085178875638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2038.4057971014493</v>
      </c>
      <c r="P7" s="116">
        <v>138</v>
      </c>
      <c r="Q7" s="100">
        <v>281300</v>
      </c>
    </row>
    <row r="8" spans="1:17" x14ac:dyDescent="0.45">
      <c r="A8" s="51" t="s">
        <v>3</v>
      </c>
      <c r="B8" s="44">
        <v>60</v>
      </c>
      <c r="C8" s="37">
        <f t="shared" si="1"/>
        <v>0.29126213592233008</v>
      </c>
      <c r="E8" s="59" t="s">
        <v>89</v>
      </c>
      <c r="F8" s="56" t="s">
        <v>44</v>
      </c>
      <c r="G8" s="44">
        <v>88</v>
      </c>
      <c r="H8" s="129">
        <f>IF(B$15=0,0,G8/B$15)</f>
        <v>0.14991482112436116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0.23786407766990292</v>
      </c>
      <c r="E9" s="59" t="s">
        <v>69</v>
      </c>
      <c r="F9" s="56" t="s">
        <v>24</v>
      </c>
      <c r="G9" s="44">
        <v>74</v>
      </c>
      <c r="H9" s="129">
        <f>IF(B$15=0,0,G9/B$15)</f>
        <v>0.12606473594548551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4.3689320388349516E-2</v>
      </c>
      <c r="E10" s="59" t="s">
        <v>65</v>
      </c>
      <c r="F10" s="56" t="s">
        <v>21</v>
      </c>
      <c r="G10" s="44">
        <v>63</v>
      </c>
      <c r="H10" s="129">
        <f>IF(B$15=0,0,G10/B$15)</f>
        <v>0.10732538330494037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454</v>
      </c>
      <c r="C11" s="42">
        <f>IF(B$3=0,0,B11/B$3)</f>
        <v>0.26503210741389377</v>
      </c>
      <c r="E11" s="59" t="s">
        <v>71</v>
      </c>
      <c r="F11" s="56" t="s">
        <v>26</v>
      </c>
      <c r="G11" s="44">
        <v>42</v>
      </c>
      <c r="H11" s="129">
        <f>IF(B$15=0,0,G11/B$15)</f>
        <v>7.1550255536626917E-2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6.1028169014084508</v>
      </c>
      <c r="P11" s="115">
        <v>71</v>
      </c>
      <c r="Q11" s="103">
        <v>433.3</v>
      </c>
    </row>
    <row r="12" spans="1:17" x14ac:dyDescent="0.45">
      <c r="A12" s="51" t="s">
        <v>118</v>
      </c>
      <c r="B12" s="44">
        <v>410</v>
      </c>
      <c r="C12" s="37">
        <f>IF(B$3=0,0,B12/B$3)</f>
        <v>0.23934617629889082</v>
      </c>
      <c r="E12" s="59" t="s">
        <v>70</v>
      </c>
      <c r="F12" s="56" t="s">
        <v>25</v>
      </c>
      <c r="G12" s="44">
        <v>40</v>
      </c>
      <c r="H12" s="129">
        <f>IF(B$15=0,0,G12/B$15)</f>
        <v>6.8143100511073251E-2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10.439473684210524</v>
      </c>
      <c r="P12" s="116">
        <v>76</v>
      </c>
      <c r="Q12" s="104">
        <v>793.39999999999986</v>
      </c>
    </row>
    <row r="13" spans="1:17" x14ac:dyDescent="0.45">
      <c r="A13" s="50" t="s">
        <v>123</v>
      </c>
      <c r="B13" s="43">
        <f>B19</f>
        <v>264</v>
      </c>
      <c r="C13" s="35">
        <f>IF(B$11=0,0,B13/B$11)</f>
        <v>0.58149779735682816</v>
      </c>
      <c r="E13" s="59" t="s">
        <v>86</v>
      </c>
      <c r="F13" s="56" t="s">
        <v>41</v>
      </c>
      <c r="G13" s="44">
        <v>36</v>
      </c>
      <c r="H13" s="129">
        <f>IF(B$15=0,0,G13/B$15)</f>
        <v>6.1328790459965928E-2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198</v>
      </c>
      <c r="C14" s="35">
        <f>IF(B$12=0,0,B14/B$12)</f>
        <v>0.48292682926829267</v>
      </c>
      <c r="E14" s="59" t="s">
        <v>83</v>
      </c>
      <c r="F14" s="56" t="s">
        <v>38</v>
      </c>
      <c r="G14" s="44">
        <v>29</v>
      </c>
      <c r="H14" s="129">
        <f>IF(B$15=0,0,G14/B$15)</f>
        <v>4.9403747870528106E-2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587</v>
      </c>
      <c r="C15" s="35">
        <f>IF(B$3=0,0,B15/B$3)</f>
        <v>0.3426736719206071</v>
      </c>
      <c r="E15" s="59" t="s">
        <v>78</v>
      </c>
      <c r="F15" s="56" t="s">
        <v>33</v>
      </c>
      <c r="G15" s="44">
        <v>21</v>
      </c>
      <c r="H15" s="129">
        <f>IF(B$15=0,0,G15/B$15)</f>
        <v>3.5775127768313458E-2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212</v>
      </c>
      <c r="C16" s="37">
        <f>IF(B$3=0,0,B16/B$3)</f>
        <v>0.1237594862813777</v>
      </c>
      <c r="E16" s="59" t="s">
        <v>162</v>
      </c>
      <c r="F16" s="56" t="s">
        <v>163</v>
      </c>
      <c r="G16" s="44">
        <v>15</v>
      </c>
      <c r="H16" s="129">
        <f>IF(B$15=0,0,G16/B$15)</f>
        <v>2.5553662691652469E-2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246</v>
      </c>
      <c r="C17" s="37">
        <f>IF(B$15=0,0,B17/B$15)</f>
        <v>0.4190800681431005</v>
      </c>
      <c r="E17" s="59" t="s">
        <v>81</v>
      </c>
      <c r="F17" s="56" t="s">
        <v>36</v>
      </c>
      <c r="G17" s="44">
        <v>9</v>
      </c>
      <c r="H17" s="129">
        <f>IF(B$15=0,0,G17/B$15)</f>
        <v>1.5332197614991482E-2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28.71200000000001</v>
      </c>
      <c r="P17" s="115">
        <v>25</v>
      </c>
      <c r="Q17" s="103">
        <v>717.8000000000003</v>
      </c>
    </row>
    <row r="18" spans="1:17" x14ac:dyDescent="0.45">
      <c r="A18" s="51" t="s">
        <v>11</v>
      </c>
      <c r="B18" s="44">
        <v>341</v>
      </c>
      <c r="C18" s="37">
        <f>IF(B$15=0,0,B18/B$15)</f>
        <v>0.5809199318568995</v>
      </c>
      <c r="E18" s="59" t="s">
        <v>91</v>
      </c>
      <c r="F18" s="56" t="s">
        <v>46</v>
      </c>
      <c r="G18" s="44">
        <v>6</v>
      </c>
      <c r="H18" s="129">
        <f>IF(B$15=0,0,G18/B$15)</f>
        <v>1.0221465076660987E-2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15.939999999999998</v>
      </c>
      <c r="P18" s="115">
        <v>65</v>
      </c>
      <c r="Q18" s="103">
        <v>1036.0999999999999</v>
      </c>
    </row>
    <row r="19" spans="1:17" x14ac:dyDescent="0.45">
      <c r="A19" s="51" t="s">
        <v>195</v>
      </c>
      <c r="B19" s="44">
        <v>264</v>
      </c>
      <c r="C19" s="37">
        <f>IF(B$15=0,0,B19/B$15)</f>
        <v>0.44974446337308349</v>
      </c>
      <c r="E19" s="59" t="s">
        <v>92</v>
      </c>
      <c r="F19" s="56" t="s">
        <v>47</v>
      </c>
      <c r="G19" s="44">
        <v>6</v>
      </c>
      <c r="H19" s="129">
        <f>IF(B$15=0,0,G19/B$15)</f>
        <v>1.0221465076660987E-2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13.496610169491529</v>
      </c>
      <c r="P19" s="115">
        <v>118</v>
      </c>
      <c r="Q19" s="103">
        <v>1592.6000000000004</v>
      </c>
    </row>
    <row r="20" spans="1:17" x14ac:dyDescent="0.45">
      <c r="A20" s="51" t="s">
        <v>193</v>
      </c>
      <c r="B20" s="44">
        <v>198</v>
      </c>
      <c r="C20" s="37">
        <f>IF(B$15=0,0,B20/B$15)</f>
        <v>0.33730834752981259</v>
      </c>
      <c r="E20" s="59" t="s">
        <v>75</v>
      </c>
      <c r="F20" s="56" t="s">
        <v>30</v>
      </c>
      <c r="G20" s="44">
        <v>5</v>
      </c>
      <c r="H20" s="129">
        <f>IF(B$15=0,0,G20/B$15)</f>
        <v>8.5178875638841564E-3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125</v>
      </c>
      <c r="C21" s="37">
        <f>IF(B$15=0,0,B21/B$15)</f>
        <v>0.21294718909710392</v>
      </c>
      <c r="E21" s="59" t="s">
        <v>79</v>
      </c>
      <c r="F21" s="56" t="s">
        <v>34</v>
      </c>
      <c r="G21" s="44">
        <v>4</v>
      </c>
      <c r="H21" s="129">
        <f>IF(B$15=0,0,G21/B$15)</f>
        <v>6.8143100511073255E-3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8274.2759795570691</v>
      </c>
      <c r="C22" s="39">
        <v>4857000</v>
      </c>
      <c r="E22" s="59" t="s">
        <v>85</v>
      </c>
      <c r="F22" s="56" t="s">
        <v>40</v>
      </c>
      <c r="G22" s="44">
        <v>4</v>
      </c>
      <c r="H22" s="129">
        <f>IF(B$15=0,0,G22/B$15)</f>
        <v>6.8143100511073255E-3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5.6106060606060595</v>
      </c>
      <c r="P22" s="115">
        <v>66</v>
      </c>
      <c r="Q22" s="103">
        <v>370.29999999999995</v>
      </c>
    </row>
    <row r="23" spans="1:17" x14ac:dyDescent="0.45">
      <c r="A23" s="52" t="s">
        <v>177</v>
      </c>
      <c r="B23" s="136">
        <f>IF($B$15-B$14=0,0,C23/($B$15-B$14))</f>
        <v>8867.0951156812334</v>
      </c>
      <c r="C23" s="137">
        <v>3449300</v>
      </c>
      <c r="E23" s="59" t="s">
        <v>77</v>
      </c>
      <c r="F23" s="56" t="s">
        <v>32</v>
      </c>
      <c r="G23" s="44">
        <v>3</v>
      </c>
      <c r="H23" s="129">
        <f>IF(B$15=0,0,G23/B$15)</f>
        <v>5.1107325383304937E-3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7109.5959595959594</v>
      </c>
      <c r="C24" s="137">
        <v>1407700</v>
      </c>
      <c r="E24" s="59" t="s">
        <v>84</v>
      </c>
      <c r="F24" s="56" t="s">
        <v>39</v>
      </c>
      <c r="G24" s="44">
        <v>3</v>
      </c>
      <c r="H24" s="129">
        <f>IF(B$15=0,0,G24/B$15)</f>
        <v>5.1107325383304937E-3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-7630.1886792452833</v>
      </c>
      <c r="C25" s="137">
        <v>-1617600</v>
      </c>
      <c r="E25" s="59" t="s">
        <v>74</v>
      </c>
      <c r="F25" s="56" t="s">
        <v>29</v>
      </c>
      <c r="G25" s="44">
        <v>2</v>
      </c>
      <c r="H25" s="129">
        <f>IF(B$15=0,0,G25/B$15)</f>
        <v>3.4071550255536627E-3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3.4071550255536627E-3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0</v>
      </c>
      <c r="E27" s="59" t="s">
        <v>95</v>
      </c>
      <c r="F27" s="56" t="s">
        <v>50</v>
      </c>
      <c r="G27" s="44">
        <v>2</v>
      </c>
      <c r="H27" s="129">
        <f>IF(B$15=0,0,G27/B$15)</f>
        <v>3.4071550255536627E-3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1.7035775127768314E-3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1.7035775127768314E-3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1.1675423234092236E-3</v>
      </c>
      <c r="E30" s="59" t="s">
        <v>106</v>
      </c>
      <c r="F30" s="56" t="s">
        <v>113</v>
      </c>
      <c r="G30" s="44">
        <v>1</v>
      </c>
      <c r="H30" s="129">
        <f>IF(B$15=0,0,G30/B$15)</f>
        <v>1.7035775127768314E-3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55</v>
      </c>
      <c r="C32" s="141">
        <f>IF(B$15=0,0,B32/B$15)</f>
        <v>9.3696763202725727E-2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109</v>
      </c>
      <c r="C33" s="37">
        <f t="shared" ref="C33:C44" si="2">IF(B$15=0,0,B33/B$15)</f>
        <v>0.18568994889267462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114</v>
      </c>
      <c r="C34" s="37">
        <f>IF(B$15=0,0,B34/B$15)</f>
        <v>0.19420783645655879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105</v>
      </c>
      <c r="C35" s="37">
        <f t="shared" si="2"/>
        <v>0.17887563884156729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86</v>
      </c>
      <c r="C36" s="37">
        <f t="shared" si="2"/>
        <v>0.1465076660988075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9.540034071550256E-2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26</v>
      </c>
      <c r="C38" s="37">
        <f t="shared" si="2"/>
        <v>4.4293015332197615E-2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2.0442930153321975E-2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1.8739352640545145E-2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5.1107325383304937E-3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1.7035775127768314E-3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1.5332197614991482E-2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  <row r="207" spans="11:12" x14ac:dyDescent="0.45">
      <c r="K207" s="36">
        <v>205</v>
      </c>
      <c r="L207" s="95">
        <v>1937.5999999999997</v>
      </c>
    </row>
    <row r="208" spans="11:12" x14ac:dyDescent="0.45">
      <c r="K208" s="36">
        <v>206</v>
      </c>
      <c r="L208" s="95">
        <v>1937.2999999999997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244-9B1E-49A8-9349-D3DE3A6B45C4}">
  <sheetPr codeName="Sheet11"/>
  <dimension ref="A1:Q18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178</v>
      </c>
      <c r="C2" s="155"/>
      <c r="E2" s="58" t="s">
        <v>66</v>
      </c>
      <c r="F2" s="55" t="s">
        <v>22</v>
      </c>
      <c r="G2" s="43">
        <v>349</v>
      </c>
      <c r="H2" s="128">
        <f>IF(B$15=0,0,G2/B$15)</f>
        <v>0.74732334047109206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-1052.840909090909</v>
      </c>
      <c r="P2" s="114">
        <v>176</v>
      </c>
      <c r="Q2" s="98">
        <v>-185300</v>
      </c>
    </row>
    <row r="3" spans="1:17" x14ac:dyDescent="0.45">
      <c r="A3" s="51" t="s">
        <v>8</v>
      </c>
      <c r="B3" s="156">
        <v>1481</v>
      </c>
      <c r="C3" s="157"/>
      <c r="E3" s="59" t="s">
        <v>72</v>
      </c>
      <c r="F3" s="56" t="s">
        <v>27</v>
      </c>
      <c r="G3" s="44">
        <v>267</v>
      </c>
      <c r="H3" s="129">
        <f>IF(B$15=0,0,G3/B$15)</f>
        <v>0.57173447537473232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1165.3179190751446</v>
      </c>
      <c r="P3" s="115">
        <v>173</v>
      </c>
      <c r="Q3" s="99">
        <v>201600</v>
      </c>
    </row>
    <row r="4" spans="1:17" x14ac:dyDescent="0.45">
      <c r="A4" s="51" t="s">
        <v>6</v>
      </c>
      <c r="B4" s="158">
        <v>-47.000000000000206</v>
      </c>
      <c r="C4" s="159"/>
      <c r="E4" s="59" t="s">
        <v>166</v>
      </c>
      <c r="F4" s="56" t="s">
        <v>167</v>
      </c>
      <c r="G4" s="44">
        <v>191</v>
      </c>
      <c r="H4" s="129">
        <f>IF(B$15=0,0,G4/B$15)</f>
        <v>0.4089935760171306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-245.96273291925465</v>
      </c>
      <c r="P4" s="115">
        <v>161</v>
      </c>
      <c r="Q4" s="99">
        <v>-39600</v>
      </c>
    </row>
    <row r="5" spans="1:17" x14ac:dyDescent="0.45">
      <c r="A5" s="51" t="s">
        <v>7</v>
      </c>
      <c r="B5" s="160">
        <f>IF(B$2=0,0,B$4/B$2)</f>
        <v>-0.26404494382022586</v>
      </c>
      <c r="C5" s="161"/>
      <c r="E5" s="59" t="s">
        <v>64</v>
      </c>
      <c r="F5" s="56" t="s">
        <v>20</v>
      </c>
      <c r="G5" s="44">
        <v>174</v>
      </c>
      <c r="H5" s="129">
        <f>IF(B$15=0,0,G5/B$15)</f>
        <v>0.37259100642398285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107.84313725490196</v>
      </c>
      <c r="P5" s="115">
        <v>153</v>
      </c>
      <c r="Q5" s="99">
        <v>16500</v>
      </c>
    </row>
    <row r="6" spans="1:17" x14ac:dyDescent="0.45">
      <c r="A6" s="51" t="s">
        <v>1</v>
      </c>
      <c r="B6" s="150">
        <f>IF(B$2=0,0,(B$7*1+B$8*2+B$9*3)/B$2)</f>
        <v>1.9831460674157304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0.27194860813704497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-1502.1428571428571</v>
      </c>
      <c r="P6" s="115">
        <v>140</v>
      </c>
      <c r="Q6" s="99">
        <v>-210300</v>
      </c>
    </row>
    <row r="7" spans="1:17" x14ac:dyDescent="0.45">
      <c r="A7" s="51" t="s">
        <v>2</v>
      </c>
      <c r="B7" s="44">
        <v>60</v>
      </c>
      <c r="C7" s="37">
        <f t="shared" ref="C7:C10" si="1">IF(B$2=0,0,B7/B$2)</f>
        <v>0.33707865168539325</v>
      </c>
      <c r="E7" s="59" t="s">
        <v>67</v>
      </c>
      <c r="F7" s="56" t="s">
        <v>23</v>
      </c>
      <c r="G7" s="44">
        <v>94</v>
      </c>
      <c r="H7" s="129">
        <f>IF(B$15=0,0,G7/B$15)</f>
        <v>0.2012847965738758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1161.3445378151262</v>
      </c>
      <c r="P7" s="116">
        <v>119</v>
      </c>
      <c r="Q7" s="100">
        <v>138200</v>
      </c>
    </row>
    <row r="8" spans="1:17" x14ac:dyDescent="0.45">
      <c r="A8" s="51" t="s">
        <v>3</v>
      </c>
      <c r="B8" s="44">
        <v>61</v>
      </c>
      <c r="C8" s="37">
        <f t="shared" si="1"/>
        <v>0.34269662921348315</v>
      </c>
      <c r="E8" s="59" t="s">
        <v>69</v>
      </c>
      <c r="F8" s="56" t="s">
        <v>24</v>
      </c>
      <c r="G8" s="44">
        <v>51</v>
      </c>
      <c r="H8" s="129">
        <f>IF(B$15=0,0,G8/B$15)</f>
        <v>0.10920770877944326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57</v>
      </c>
      <c r="C9" s="38">
        <f t="shared" si="1"/>
        <v>0.3202247191011236</v>
      </c>
      <c r="E9" s="59" t="s">
        <v>89</v>
      </c>
      <c r="F9" s="56" t="s">
        <v>44</v>
      </c>
      <c r="G9" s="44">
        <v>49</v>
      </c>
      <c r="H9" s="129">
        <f>IF(B$15=0,0,G9/B$15)</f>
        <v>0.10492505353319058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0.10112359550561797</v>
      </c>
      <c r="E10" s="59" t="s">
        <v>70</v>
      </c>
      <c r="F10" s="56" t="s">
        <v>25</v>
      </c>
      <c r="G10" s="44">
        <v>45</v>
      </c>
      <c r="H10" s="129">
        <f>IF(B$15=0,0,G10/B$15)</f>
        <v>9.6359743040685231E-2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-1.999999999999964E-2</v>
      </c>
      <c r="P10" s="114">
        <v>55</v>
      </c>
      <c r="Q10" s="102">
        <v>-1.0999999999999801</v>
      </c>
    </row>
    <row r="11" spans="1:17" x14ac:dyDescent="0.45">
      <c r="A11" s="54" t="s">
        <v>121</v>
      </c>
      <c r="B11" s="47">
        <v>340</v>
      </c>
      <c r="C11" s="42">
        <f>IF(B$3=0,0,B11/B$3)</f>
        <v>0.22957461174881835</v>
      </c>
      <c r="E11" s="59" t="s">
        <v>71</v>
      </c>
      <c r="F11" s="56" t="s">
        <v>26</v>
      </c>
      <c r="G11" s="44">
        <v>42</v>
      </c>
      <c r="H11" s="129">
        <f>IF(B$15=0,0,G11/B$15)</f>
        <v>8.9935760171306209E-2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5">
      <c r="A12" s="51" t="s">
        <v>118</v>
      </c>
      <c r="B12" s="44">
        <v>443</v>
      </c>
      <c r="C12" s="37">
        <f>IF(B$3=0,0,B12/B$3)</f>
        <v>0.29912221471978395</v>
      </c>
      <c r="E12" s="59" t="s">
        <v>65</v>
      </c>
      <c r="F12" s="56" t="s">
        <v>21</v>
      </c>
      <c r="G12" s="44">
        <v>35</v>
      </c>
      <c r="H12" s="129">
        <f>IF(B$15=0,0,G12/B$15)</f>
        <v>7.4946466809421838E-2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174</v>
      </c>
      <c r="C13" s="35">
        <f>IF(B$11=0,0,B13/B$11)</f>
        <v>0.5117647058823529</v>
      </c>
      <c r="E13" s="59" t="s">
        <v>86</v>
      </c>
      <c r="F13" s="56" t="s">
        <v>41</v>
      </c>
      <c r="G13" s="44">
        <v>26</v>
      </c>
      <c r="H13" s="129">
        <f>IF(B$15=0,0,G13/B$15)</f>
        <v>5.5674518201284794E-2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0.39729119638826182</v>
      </c>
      <c r="E14" s="59" t="s">
        <v>83</v>
      </c>
      <c r="F14" s="56" t="s">
        <v>38</v>
      </c>
      <c r="G14" s="44">
        <v>22</v>
      </c>
      <c r="H14" s="129">
        <f>IF(B$15=0,0,G14/B$15)</f>
        <v>4.7109207708779445E-2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467</v>
      </c>
      <c r="C15" s="35">
        <f>IF(B$3=0,0,B15/B$3)</f>
        <v>0.31532748143146522</v>
      </c>
      <c r="E15" s="59" t="s">
        <v>78</v>
      </c>
      <c r="F15" s="56" t="s">
        <v>33</v>
      </c>
      <c r="G15" s="44">
        <v>18</v>
      </c>
      <c r="H15" s="129">
        <f>IF(B$15=0,0,G15/B$15)</f>
        <v>3.8543897216274089E-2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262</v>
      </c>
      <c r="C16" s="37">
        <f>IF(B$3=0,0,B16/B$3)</f>
        <v>0.17690749493585414</v>
      </c>
      <c r="E16" s="59" t="s">
        <v>91</v>
      </c>
      <c r="F16" s="56" t="s">
        <v>46</v>
      </c>
      <c r="G16" s="44">
        <v>14</v>
      </c>
      <c r="H16" s="129">
        <f>IF(B$15=0,0,G16/B$15)</f>
        <v>2.9978586723768737E-2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 t="shared" si="2"/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193</v>
      </c>
      <c r="C17" s="37">
        <f>IF(B$15=0,0,B17/B$15)</f>
        <v>0.41327623126338331</v>
      </c>
      <c r="E17" s="59" t="s">
        <v>81</v>
      </c>
      <c r="F17" s="56" t="s">
        <v>36</v>
      </c>
      <c r="G17" s="44">
        <v>11</v>
      </c>
      <c r="H17" s="129">
        <f>IF(B$15=0,0,G17/B$15)</f>
        <v>2.3554603854389723E-2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 t="shared" si="2"/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274</v>
      </c>
      <c r="C18" s="37">
        <f>IF(B$15=0,0,B18/B$15)</f>
        <v>0.58672376873661669</v>
      </c>
      <c r="E18" s="59" t="s">
        <v>79</v>
      </c>
      <c r="F18" s="56" t="s">
        <v>34</v>
      </c>
      <c r="G18" s="44">
        <v>8</v>
      </c>
      <c r="H18" s="129">
        <f>IF(B$15=0,0,G18/B$15)</f>
        <v>1.7130620985010708E-2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 t="shared" si="2"/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174</v>
      </c>
      <c r="C19" s="37">
        <f>IF(B$15=0,0,B19/B$15)</f>
        <v>0.37259100642398285</v>
      </c>
      <c r="E19" s="59" t="s">
        <v>162</v>
      </c>
      <c r="F19" s="56" t="s">
        <v>163</v>
      </c>
      <c r="G19" s="44">
        <v>5</v>
      </c>
      <c r="H19" s="129">
        <f>IF(B$15=0,0,G19/B$15)</f>
        <v>1.0706638115631691E-2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176</v>
      </c>
      <c r="C20" s="37">
        <f>IF(B$15=0,0,B20/B$15)</f>
        <v>0.37687366167023556</v>
      </c>
      <c r="E20" s="59" t="s">
        <v>92</v>
      </c>
      <c r="F20" s="56" t="s">
        <v>47</v>
      </c>
      <c r="G20" s="44">
        <v>3</v>
      </c>
      <c r="H20" s="129">
        <f>IF(B$15=0,0,G20/B$15)</f>
        <v>6.4239828693790149E-3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 t="shared" si="2"/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117</v>
      </c>
      <c r="C21" s="37">
        <f>IF(B$15=0,0,B21/B$15)</f>
        <v>0.25053533190578159</v>
      </c>
      <c r="E21" s="59" t="s">
        <v>74</v>
      </c>
      <c r="F21" s="56" t="s">
        <v>29</v>
      </c>
      <c r="G21" s="44">
        <v>2</v>
      </c>
      <c r="H21" s="129">
        <f>IF(B$15=0,0,G21/B$15)</f>
        <v>4.2826552462526769E-3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 t="shared" si="2"/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7886.0813704496786</v>
      </c>
      <c r="C22" s="39">
        <v>3682800</v>
      </c>
      <c r="E22" s="59" t="s">
        <v>75</v>
      </c>
      <c r="F22" s="56" t="s">
        <v>30</v>
      </c>
      <c r="G22" s="44">
        <v>2</v>
      </c>
      <c r="H22" s="129">
        <f>IF(B$15=0,0,G22/B$15)</f>
        <v>4.2826552462526769E-3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 t="shared" si="2"/>
        <v>-3.0083333333333306</v>
      </c>
      <c r="P22" s="115">
        <v>60</v>
      </c>
      <c r="Q22" s="103">
        <v>-180.49999999999983</v>
      </c>
    </row>
    <row r="23" spans="1:17" x14ac:dyDescent="0.45">
      <c r="A23" s="52" t="s">
        <v>177</v>
      </c>
      <c r="B23" s="136">
        <f>IF($B$15-B$14=0,0,C23/($B$15-B$14))</f>
        <v>8494.1580756013755</v>
      </c>
      <c r="C23" s="137">
        <v>2471800</v>
      </c>
      <c r="E23" s="59" t="s">
        <v>90</v>
      </c>
      <c r="F23" s="56" t="s">
        <v>45</v>
      </c>
      <c r="G23" s="44">
        <v>2</v>
      </c>
      <c r="H23" s="129">
        <f>IF(B$15=0,0,G23/B$15)</f>
        <v>4.2826552462526769E-3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 t="shared" si="2"/>
        <v>-13.496610169491529</v>
      </c>
      <c r="P23" s="115">
        <v>118</v>
      </c>
      <c r="Q23" s="103">
        <v>-1592.6000000000004</v>
      </c>
    </row>
    <row r="24" spans="1:17" x14ac:dyDescent="0.45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2.1413276231263384E-3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-7936.259541984733</v>
      </c>
      <c r="C25" s="137">
        <v>-2079300</v>
      </c>
      <c r="E25" s="59" t="s">
        <v>77</v>
      </c>
      <c r="F25" s="56" t="s">
        <v>32</v>
      </c>
      <c r="G25" s="44">
        <v>1</v>
      </c>
      <c r="H25" s="129">
        <f>IF(B$15=0,0,G25/B$15)</f>
        <v>2.1413276231263384E-3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84</v>
      </c>
      <c r="F26" s="56" t="s">
        <v>39</v>
      </c>
      <c r="G26" s="44">
        <v>1</v>
      </c>
      <c r="H26" s="129">
        <f>IF(B$15=0,0,G26/B$15)</f>
        <v>2.1413276231263384E-3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3</v>
      </c>
      <c r="E27" s="59" t="s">
        <v>95</v>
      </c>
      <c r="F27" s="56" t="s">
        <v>50</v>
      </c>
      <c r="G27" s="44">
        <v>1</v>
      </c>
      <c r="H27" s="129">
        <f>IF(B$15=0,0,G27/B$15)</f>
        <v>2.1413276231263384E-3</v>
      </c>
      <c r="I27" s="90">
        <v>4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4.0513166779203242E-3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7.922912205567452E-2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90</v>
      </c>
      <c r="C33" s="37">
        <f t="shared" ref="C33:C44" si="3">IF(B$15=0,0,B33/B$15)</f>
        <v>0.19271948608137046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0.21413276231263384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93</v>
      </c>
      <c r="C35" s="37">
        <f t="shared" si="3"/>
        <v>0.19914346895074947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65</v>
      </c>
      <c r="C36" s="37">
        <f t="shared" si="3"/>
        <v>0.13918629550321199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3"/>
        <v>9.421841541755889E-2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3"/>
        <v>3.2119914346895075E-2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3"/>
        <v>1.9271948608137045E-2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3"/>
        <v>1.284796573875803E-2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2.1413276231263384E-3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3"/>
        <v>6.4239828693790149E-3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8.5653104925053538E-3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</sheetData>
  <sortState xmlns:xlrd2="http://schemas.microsoft.com/office/spreadsheetml/2017/richdata2" ref="E2:I18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87FD-D8CB-4D8C-8262-C26FE9BC2246}">
  <sheetPr codeName="Sheet13"/>
  <dimension ref="A1:Q1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5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5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5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5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5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4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5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 x14ac:dyDescent="0.45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36</v>
      </c>
      <c r="C35" s="37">
        <f t="shared" si="3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3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3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FB1D-B857-407D-974E-6FD1B46B4F40}">
  <sheetPr codeName="Sheet15"/>
  <dimension ref="A1:Q15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154</v>
      </c>
      <c r="C2" s="155"/>
      <c r="E2" s="58" t="s">
        <v>66</v>
      </c>
      <c r="F2" s="55" t="s">
        <v>22</v>
      </c>
      <c r="G2" s="43">
        <v>313</v>
      </c>
      <c r="H2" s="128">
        <f>IF(B$15=0,0,G2/B$15)</f>
        <v>0.91520467836257313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1796.0784313725489</v>
      </c>
      <c r="P2" s="114">
        <v>153</v>
      </c>
      <c r="Q2" s="98">
        <v>274800</v>
      </c>
    </row>
    <row r="3" spans="1:17" x14ac:dyDescent="0.45">
      <c r="A3" s="51" t="s">
        <v>8</v>
      </c>
      <c r="B3" s="156">
        <v>1238</v>
      </c>
      <c r="C3" s="157"/>
      <c r="E3" s="59" t="s">
        <v>72</v>
      </c>
      <c r="F3" s="56" t="s">
        <v>27</v>
      </c>
      <c r="G3" s="44">
        <v>194</v>
      </c>
      <c r="H3" s="129">
        <f>IF(B$15=0,0,G3/B$15)</f>
        <v>0.56725146198830412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-2311.4093959731545</v>
      </c>
      <c r="P3" s="115">
        <v>149</v>
      </c>
      <c r="Q3" s="99">
        <v>-344400</v>
      </c>
    </row>
    <row r="4" spans="1:17" x14ac:dyDescent="0.45">
      <c r="A4" s="51" t="s">
        <v>6</v>
      </c>
      <c r="B4" s="158">
        <v>699.00000000000057</v>
      </c>
      <c r="C4" s="159"/>
      <c r="E4" s="59" t="s">
        <v>64</v>
      </c>
      <c r="F4" s="56" t="s">
        <v>20</v>
      </c>
      <c r="G4" s="44">
        <v>182</v>
      </c>
      <c r="H4" s="129">
        <f>IF(B$15=0,0,G4/B$15)</f>
        <v>0.53216374269005851</v>
      </c>
      <c r="I4" s="90">
        <v>7</v>
      </c>
      <c r="K4" s="36">
        <v>2</v>
      </c>
      <c r="L4" s="95">
        <v>-67.3</v>
      </c>
      <c r="N4" s="111" t="s">
        <v>132</v>
      </c>
      <c r="O4" s="118">
        <f t="shared" si="0"/>
        <v>181.4814814814815</v>
      </c>
      <c r="P4" s="115">
        <v>135</v>
      </c>
      <c r="Q4" s="99">
        <v>24500</v>
      </c>
    </row>
    <row r="5" spans="1:17" x14ac:dyDescent="0.45">
      <c r="A5" s="51" t="s">
        <v>7</v>
      </c>
      <c r="B5" s="160">
        <f>IF(B$2=0,0,B$4/B$2)</f>
        <v>4.5389610389610429</v>
      </c>
      <c r="C5" s="161"/>
      <c r="E5" s="59" t="s">
        <v>67</v>
      </c>
      <c r="F5" s="56" t="s">
        <v>23</v>
      </c>
      <c r="G5" s="44">
        <v>133</v>
      </c>
      <c r="H5" s="129">
        <f>IF(B$15=0,0,G5/B$15)</f>
        <v>0.3888888888888889</v>
      </c>
      <c r="I5" s="90">
        <v>5</v>
      </c>
      <c r="K5" s="36">
        <v>3</v>
      </c>
      <c r="L5" s="95">
        <v>-113.8</v>
      </c>
      <c r="N5" s="111" t="s">
        <v>133</v>
      </c>
      <c r="O5" s="118">
        <f t="shared" si="0"/>
        <v>2197.5806451612902</v>
      </c>
      <c r="P5" s="115">
        <v>124</v>
      </c>
      <c r="Q5" s="99">
        <v>272500</v>
      </c>
    </row>
    <row r="6" spans="1:17" x14ac:dyDescent="0.45">
      <c r="A6" s="51" t="s">
        <v>1</v>
      </c>
      <c r="B6" s="150">
        <f>IF(B$2=0,0,(B$7*1+B$8*2+B$9*3)/B$2)</f>
        <v>1.9090909090909092</v>
      </c>
      <c r="C6" s="151"/>
      <c r="E6" s="59" t="s">
        <v>68</v>
      </c>
      <c r="F6" s="56" t="s">
        <v>12</v>
      </c>
      <c r="G6" s="44">
        <v>133</v>
      </c>
      <c r="H6" s="129">
        <f>IF(B$15=0,0,G6/B$15)</f>
        <v>0.3888888888888889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1542.8571428571429</v>
      </c>
      <c r="P6" s="115">
        <v>112</v>
      </c>
      <c r="Q6" s="99">
        <v>172800</v>
      </c>
    </row>
    <row r="7" spans="1:17" x14ac:dyDescent="0.45">
      <c r="A7" s="51" t="s">
        <v>2</v>
      </c>
      <c r="B7" s="44">
        <v>62</v>
      </c>
      <c r="C7" s="37">
        <f t="shared" ref="C7:C10" si="1">IF(B$2=0,0,B7/B$2)</f>
        <v>0.40259740259740262</v>
      </c>
      <c r="E7" s="59" t="s">
        <v>166</v>
      </c>
      <c r="F7" s="56" t="s">
        <v>167</v>
      </c>
      <c r="G7" s="44">
        <v>130</v>
      </c>
      <c r="H7" s="129">
        <f>IF(B$15=0,0,G7/B$15)</f>
        <v>0.38011695906432746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514.11764705882354</v>
      </c>
      <c r="P7" s="116">
        <v>85</v>
      </c>
      <c r="Q7" s="100">
        <v>43700</v>
      </c>
    </row>
    <row r="8" spans="1:17" x14ac:dyDescent="0.45">
      <c r="A8" s="51" t="s">
        <v>3</v>
      </c>
      <c r="B8" s="44">
        <v>44</v>
      </c>
      <c r="C8" s="37">
        <f t="shared" si="1"/>
        <v>0.2857142857142857</v>
      </c>
      <c r="E8" s="59" t="s">
        <v>89</v>
      </c>
      <c r="F8" s="56" t="s">
        <v>44</v>
      </c>
      <c r="G8" s="44">
        <v>86</v>
      </c>
      <c r="H8" s="129">
        <f>IF(B$15=0,0,G8/B$15)</f>
        <v>0.25146198830409355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0.31168831168831168</v>
      </c>
      <c r="E9" s="59" t="s">
        <v>69</v>
      </c>
      <c r="F9" s="56" t="s">
        <v>24</v>
      </c>
      <c r="G9" s="44">
        <v>68</v>
      </c>
      <c r="H9" s="129">
        <f>IF(B$15=0,0,G9/B$15)</f>
        <v>0.19883040935672514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0.12337662337662338</v>
      </c>
      <c r="E10" s="59" t="s">
        <v>65</v>
      </c>
      <c r="F10" s="56" t="s">
        <v>21</v>
      </c>
      <c r="G10" s="44">
        <v>47</v>
      </c>
      <c r="H10" s="129">
        <f>IF(B$15=0,0,G10/B$15)</f>
        <v>0.13742690058479531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-8.1488372093023251</v>
      </c>
      <c r="P10" s="114">
        <v>43</v>
      </c>
      <c r="Q10" s="102">
        <v>-350.4</v>
      </c>
    </row>
    <row r="11" spans="1:17" x14ac:dyDescent="0.45">
      <c r="A11" s="54" t="s">
        <v>121</v>
      </c>
      <c r="B11" s="47">
        <v>364</v>
      </c>
      <c r="C11" s="42">
        <f>IF(B$3=0,0,B11/B$3)</f>
        <v>0.2940226171243942</v>
      </c>
      <c r="E11" s="59" t="s">
        <v>70</v>
      </c>
      <c r="F11" s="56" t="s">
        <v>25</v>
      </c>
      <c r="G11" s="44">
        <v>43</v>
      </c>
      <c r="H11" s="129">
        <f>IF(B$15=0,0,G11/B$15)</f>
        <v>0.12573099415204678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7.5534482758620678</v>
      </c>
      <c r="P11" s="115">
        <v>58</v>
      </c>
      <c r="Q11" s="103">
        <v>438.09999999999991</v>
      </c>
    </row>
    <row r="12" spans="1:17" x14ac:dyDescent="0.45">
      <c r="A12" s="51" t="s">
        <v>118</v>
      </c>
      <c r="B12" s="44">
        <v>231</v>
      </c>
      <c r="C12" s="37">
        <f>IF(B$3=0,0,B12/B$3)</f>
        <v>0.18659127625201938</v>
      </c>
      <c r="E12" s="59" t="s">
        <v>71</v>
      </c>
      <c r="F12" s="56" t="s">
        <v>26</v>
      </c>
      <c r="G12" s="44">
        <v>21</v>
      </c>
      <c r="H12" s="129">
        <f>IF(B$15=0,0,G12/B$15)</f>
        <v>6.1403508771929821E-2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11.533962264150945</v>
      </c>
      <c r="P12" s="116">
        <v>53</v>
      </c>
      <c r="Q12" s="104">
        <v>611.30000000000007</v>
      </c>
    </row>
    <row r="13" spans="1:17" x14ac:dyDescent="0.45">
      <c r="A13" s="50" t="s">
        <v>123</v>
      </c>
      <c r="B13" s="43">
        <f>B19</f>
        <v>198</v>
      </c>
      <c r="C13" s="35">
        <f>IF(B$11=0,0,B13/B$11)</f>
        <v>0.54395604395604391</v>
      </c>
      <c r="E13" s="59" t="s">
        <v>162</v>
      </c>
      <c r="F13" s="56" t="s">
        <v>163</v>
      </c>
      <c r="G13" s="44">
        <v>17</v>
      </c>
      <c r="H13" s="129">
        <f>IF(B$15=0,0,G13/B$15)</f>
        <v>4.9707602339181284E-2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90</v>
      </c>
      <c r="C14" s="35">
        <f>IF(B$12=0,0,B14/B$12)</f>
        <v>0.38961038961038963</v>
      </c>
      <c r="E14" s="59" t="s">
        <v>83</v>
      </c>
      <c r="F14" s="56" t="s">
        <v>38</v>
      </c>
      <c r="G14" s="44">
        <v>12</v>
      </c>
      <c r="H14" s="129">
        <f>IF(B$15=0,0,G14/B$15)</f>
        <v>3.5087719298245612E-2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342</v>
      </c>
      <c r="C15" s="35">
        <f>IF(B$3=0,0,B15/B$3)</f>
        <v>0.27625201938610661</v>
      </c>
      <c r="E15" s="59" t="s">
        <v>86</v>
      </c>
      <c r="F15" s="56" t="s">
        <v>41</v>
      </c>
      <c r="G15" s="44">
        <v>12</v>
      </c>
      <c r="H15" s="129">
        <f>IF(B$15=0,0,G15/B$15)</f>
        <v>3.5087719298245612E-2</v>
      </c>
      <c r="I15" s="90">
        <v>9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214</v>
      </c>
      <c r="C16" s="37">
        <f>IF(B$3=0,0,B16/B$3)</f>
        <v>0.172859450726979</v>
      </c>
      <c r="E16" s="59" t="s">
        <v>91</v>
      </c>
      <c r="F16" s="56" t="s">
        <v>46</v>
      </c>
      <c r="G16" s="44">
        <v>8</v>
      </c>
      <c r="H16" s="129">
        <f>IF(B$15=0,0,G16/B$15)</f>
        <v>2.3391812865497075E-2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30.121875000000003</v>
      </c>
      <c r="P16" s="115">
        <v>32</v>
      </c>
      <c r="Q16" s="103">
        <v>963.90000000000009</v>
      </c>
    </row>
    <row r="17" spans="1:17" x14ac:dyDescent="0.45">
      <c r="A17" s="51" t="s">
        <v>12</v>
      </c>
      <c r="B17" s="44">
        <v>175</v>
      </c>
      <c r="C17" s="37">
        <f>IF(B$15=0,0,B17/B$15)</f>
        <v>0.51169590643274854</v>
      </c>
      <c r="E17" s="59" t="s">
        <v>81</v>
      </c>
      <c r="F17" s="56" t="s">
        <v>36</v>
      </c>
      <c r="G17" s="44">
        <v>6</v>
      </c>
      <c r="H17" s="129">
        <f>IF(B$15=0,0,G17/B$15)</f>
        <v>1.7543859649122806E-2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19.176470588235297</v>
      </c>
      <c r="P17" s="115">
        <v>34</v>
      </c>
      <c r="Q17" s="103">
        <v>652.00000000000011</v>
      </c>
    </row>
    <row r="18" spans="1:17" x14ac:dyDescent="0.45">
      <c r="A18" s="51" t="s">
        <v>11</v>
      </c>
      <c r="B18" s="44">
        <v>167</v>
      </c>
      <c r="C18" s="37">
        <f>IF(B$15=0,0,B18/B$15)</f>
        <v>0.48830409356725146</v>
      </c>
      <c r="E18" s="59" t="s">
        <v>92</v>
      </c>
      <c r="F18" s="56" t="s">
        <v>47</v>
      </c>
      <c r="G18" s="44">
        <v>6</v>
      </c>
      <c r="H18" s="129">
        <f>IF(B$15=0,0,G18/B$15)</f>
        <v>1.7543859649122806E-2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198</v>
      </c>
      <c r="C19" s="37">
        <f>IF(B$15=0,0,B19/B$15)</f>
        <v>0.57894736842105265</v>
      </c>
      <c r="E19" s="59" t="s">
        <v>78</v>
      </c>
      <c r="F19" s="56" t="s">
        <v>33</v>
      </c>
      <c r="G19" s="44">
        <v>5</v>
      </c>
      <c r="H19" s="129">
        <f>IF(B$15=0,0,G19/B$15)</f>
        <v>1.4619883040935672E-2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90</v>
      </c>
      <c r="C20" s="37">
        <f>IF(B$15=0,0,B20/B$15)</f>
        <v>0.26315789473684209</v>
      </c>
      <c r="E20" s="59" t="s">
        <v>79</v>
      </c>
      <c r="F20" s="56" t="s">
        <v>34</v>
      </c>
      <c r="G20" s="44">
        <v>4</v>
      </c>
      <c r="H20" s="129">
        <f>IF(B$15=0,0,G20/B$15)</f>
        <v>1.1695906432748537E-2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3.008333333333332</v>
      </c>
      <c r="P20" s="115">
        <v>60</v>
      </c>
      <c r="Q20" s="103">
        <v>180.49999999999991</v>
      </c>
    </row>
    <row r="21" spans="1:17" x14ac:dyDescent="0.45">
      <c r="A21" s="51" t="s">
        <v>194</v>
      </c>
      <c r="B21" s="44">
        <v>54</v>
      </c>
      <c r="C21" s="37">
        <f>IF(B$15=0,0,B21/B$15)</f>
        <v>0.15789473684210525</v>
      </c>
      <c r="E21" s="59" t="s">
        <v>85</v>
      </c>
      <c r="F21" s="56" t="s">
        <v>40</v>
      </c>
      <c r="G21" s="44">
        <v>4</v>
      </c>
      <c r="H21" s="129">
        <f>IF(B$15=0,0,G21/B$15)</f>
        <v>1.1695906432748537E-2</v>
      </c>
      <c r="I21" s="90">
        <v>3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11169.883040935672</v>
      </c>
      <c r="C22" s="39">
        <v>3820100</v>
      </c>
      <c r="E22" s="59" t="s">
        <v>84</v>
      </c>
      <c r="F22" s="56" t="s">
        <v>39</v>
      </c>
      <c r="G22" s="44">
        <v>3</v>
      </c>
      <c r="H22" s="129">
        <f>IF(B$15=0,0,G22/B$15)</f>
        <v>8.771929824561403E-3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11796.825396825398</v>
      </c>
      <c r="C23" s="137">
        <v>2972800</v>
      </c>
      <c r="E23" s="59" t="s">
        <v>73</v>
      </c>
      <c r="F23" s="56" t="s">
        <v>28</v>
      </c>
      <c r="G23" s="44">
        <v>2</v>
      </c>
      <c r="H23" s="129">
        <f>IF(B$15=0,0,G23/B$15)</f>
        <v>5.8479532163742687E-3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-5.6106060606060613</v>
      </c>
      <c r="P23" s="115">
        <v>66</v>
      </c>
      <c r="Q23" s="103">
        <v>-370.30000000000007</v>
      </c>
    </row>
    <row r="24" spans="1:17" x14ac:dyDescent="0.45">
      <c r="A24" s="52" t="s">
        <v>178</v>
      </c>
      <c r="B24" s="136">
        <f>IF(B$14=0,0,C24/B$14)</f>
        <v>9414.4444444444453</v>
      </c>
      <c r="C24" s="137">
        <v>847300</v>
      </c>
      <c r="E24" s="59" t="s">
        <v>75</v>
      </c>
      <c r="F24" s="56" t="s">
        <v>30</v>
      </c>
      <c r="G24" s="44">
        <v>2</v>
      </c>
      <c r="H24" s="129">
        <f>IF(B$15=0,0,G24/B$15)</f>
        <v>5.8479532163742687E-3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-8370.5607476635505</v>
      </c>
      <c r="C25" s="137">
        <v>-1791300</v>
      </c>
      <c r="E25" s="59" t="s">
        <v>77</v>
      </c>
      <c r="F25" s="56" t="s">
        <v>32</v>
      </c>
      <c r="G25" s="44">
        <v>2</v>
      </c>
      <c r="H25" s="129">
        <f>IF(B$15=0,0,G25/B$15)</f>
        <v>5.8479532163742687E-3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90</v>
      </c>
      <c r="F26" s="56" t="s">
        <v>45</v>
      </c>
      <c r="G26" s="44">
        <v>2</v>
      </c>
      <c r="H26" s="129">
        <f>IF(B$15=0,0,G26/B$15)</f>
        <v>5.8479532163742687E-3</v>
      </c>
      <c r="I26" s="90">
        <v>1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2</v>
      </c>
      <c r="E27" s="59" t="s">
        <v>88</v>
      </c>
      <c r="F27" s="56" t="s">
        <v>43</v>
      </c>
      <c r="G27" s="44">
        <v>1</v>
      </c>
      <c r="H27" s="129">
        <f>IF(B$15=0,0,G27/B$15)</f>
        <v>2.9239766081871343E-3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2.9239766081871343E-3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2.9239766081871343E-3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1.6155088852988692E-3</v>
      </c>
      <c r="E30" s="59" t="s">
        <v>97</v>
      </c>
      <c r="F30" s="56" t="s">
        <v>52</v>
      </c>
      <c r="G30" s="44">
        <v>1</v>
      </c>
      <c r="H30" s="129">
        <f>IF(B$15=0,0,G30/B$15)</f>
        <v>2.9239766081871343E-3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10</v>
      </c>
      <c r="C32" s="141">
        <f>IF(B$15=0,0,B32/B$15)</f>
        <v>2.9239766081871343E-2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26</v>
      </c>
      <c r="C33" s="37">
        <f t="shared" ref="C33:C44" si="2">IF(B$15=0,0,B33/B$15)</f>
        <v>7.6023391812865493E-2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45</v>
      </c>
      <c r="C34" s="37">
        <f>IF(B$15=0,0,B34/B$15)</f>
        <v>0.13157894736842105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64</v>
      </c>
      <c r="C35" s="37">
        <f t="shared" si="2"/>
        <v>0.1871345029239766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73</v>
      </c>
      <c r="C36" s="37">
        <f t="shared" si="2"/>
        <v>0.21345029239766081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48</v>
      </c>
      <c r="C37" s="37">
        <f t="shared" si="2"/>
        <v>0.14035087719298245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25</v>
      </c>
      <c r="C38" s="37">
        <f t="shared" si="2"/>
        <v>7.3099415204678359E-2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22</v>
      </c>
      <c r="C39" s="37">
        <f t="shared" si="2"/>
        <v>6.4327485380116955E-2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11</v>
      </c>
      <c r="C40" s="37">
        <f t="shared" si="2"/>
        <v>3.2163742690058478E-2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8.771929824561403E-3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8.771929824561403E-3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2.9239766081871343E-3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3.2163742690058478E-2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  <row r="154" spans="11:12" x14ac:dyDescent="0.45">
      <c r="K154" s="36">
        <v>152</v>
      </c>
      <c r="L154" s="95">
        <v>623.50000000000057</v>
      </c>
    </row>
    <row r="155" spans="11:12" x14ac:dyDescent="0.45">
      <c r="K155" s="36">
        <v>153</v>
      </c>
      <c r="L155" s="95">
        <v>682.50000000000057</v>
      </c>
    </row>
    <row r="156" spans="11:12" x14ac:dyDescent="0.45">
      <c r="K156" s="36">
        <v>154</v>
      </c>
      <c r="L156" s="95">
        <v>699.00000000000057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957E-DF58-4023-8538-060820AA4179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99D-43A3-4724-B803-33133A565841}">
  <sheetPr codeName="Sheet19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5">
      <c r="A3" s="51" t="s">
        <v>8</v>
      </c>
      <c r="B3" s="156">
        <v>606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5">
      <c r="A4" s="51" t="s">
        <v>6</v>
      </c>
      <c r="B4" s="158">
        <v>-864.60000000000025</v>
      </c>
      <c r="C4" s="159"/>
      <c r="E4" s="59" t="s">
        <v>64</v>
      </c>
      <c r="F4" s="56" t="s">
        <v>20</v>
      </c>
      <c r="G4" s="44">
        <v>62</v>
      </c>
      <c r="H4" s="129">
        <f>IF(B$15=0,0,G4/B$15)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5">
      <c r="A5" s="51" t="s">
        <v>7</v>
      </c>
      <c r="B5" s="160">
        <f>IF(B$2=0,0,B$4/B$2)</f>
        <v>-11.84383561643836</v>
      </c>
      <c r="C5" s="161"/>
      <c r="E5" s="59" t="s">
        <v>166</v>
      </c>
      <c r="F5" s="56" t="s">
        <v>167</v>
      </c>
      <c r="G5" s="44">
        <v>53</v>
      </c>
      <c r="H5" s="129">
        <f>IF(B$15=0,0,G5/B$15)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5">
      <c r="A6" s="51" t="s">
        <v>1</v>
      </c>
      <c r="B6" s="150">
        <f>IF(B$2=0,0,(B$7*1+B$8*2+B$9*3)/B$2)</f>
        <v>2.3013698630136985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0.28000000000000003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IF(B$15=0,0,G7/B$15)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5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IF(B$15=0,0,G8/B$15)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IF(B$15=0,0,G9/B$15)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0.17808219178082191</v>
      </c>
      <c r="E10" s="59" t="s">
        <v>71</v>
      </c>
      <c r="F10" s="56" t="s">
        <v>26</v>
      </c>
      <c r="G10" s="44">
        <v>13</v>
      </c>
      <c r="H10" s="129">
        <f>IF(B$15=0,0,G10/B$15)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5">
      <c r="A11" s="54" t="s">
        <v>121</v>
      </c>
      <c r="B11" s="47">
        <v>128</v>
      </c>
      <c r="C11" s="42">
        <f>IF(B$3=0,0,B11/B$3)</f>
        <v>0.21122112211221122</v>
      </c>
      <c r="E11" s="59" t="s">
        <v>69</v>
      </c>
      <c r="F11" s="56" t="s">
        <v>24</v>
      </c>
      <c r="G11" s="44">
        <v>12</v>
      </c>
      <c r="H11" s="129">
        <f>IF(B$15=0,0,G11/B$15)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138</v>
      </c>
      <c r="C12" s="37">
        <f>IF(B$3=0,0,B12/B$3)</f>
        <v>0.22772277227722773</v>
      </c>
      <c r="E12" s="59" t="s">
        <v>70</v>
      </c>
      <c r="F12" s="56" t="s">
        <v>25</v>
      </c>
      <c r="G12" s="44">
        <v>12</v>
      </c>
      <c r="H12" s="129">
        <f>IF(B$15=0,0,G12/B$15)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5">
      <c r="A13" s="50" t="s">
        <v>123</v>
      </c>
      <c r="B13" s="43">
        <f>B19</f>
        <v>65</v>
      </c>
      <c r="C13" s="35">
        <f>IF(B$11=0,0,B13/B$11)</f>
        <v>0.5078125</v>
      </c>
      <c r="E13" s="59" t="s">
        <v>81</v>
      </c>
      <c r="F13" s="56" t="s">
        <v>36</v>
      </c>
      <c r="G13" s="44">
        <v>9</v>
      </c>
      <c r="H13" s="129">
        <f>IF(B$15=0,0,G13/B$15)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0.41304347826086957</v>
      </c>
      <c r="E14" s="59" t="s">
        <v>83</v>
      </c>
      <c r="F14" s="56" t="s">
        <v>38</v>
      </c>
      <c r="G14" s="44">
        <v>9</v>
      </c>
      <c r="H14" s="129">
        <f>IF(B$15=0,0,G14/B$15)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150</v>
      </c>
      <c r="C15" s="35">
        <f>IF(B$3=0,0,B15/B$3)</f>
        <v>0.24752475247524752</v>
      </c>
      <c r="E15" s="59" t="s">
        <v>86</v>
      </c>
      <c r="F15" s="56" t="s">
        <v>41</v>
      </c>
      <c r="G15" s="44">
        <v>8</v>
      </c>
      <c r="H15" s="129">
        <f>IF(B$15=0,0,G15/B$15)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>IF(P15=0,0,Q15/P15)</f>
        <v>7.0285714285714267</v>
      </c>
      <c r="P15" s="114">
        <v>21</v>
      </c>
      <c r="Q15" s="102">
        <v>147.59999999999997</v>
      </c>
    </row>
    <row r="16" spans="1:17" x14ac:dyDescent="0.45">
      <c r="A16" s="51" t="s">
        <v>13</v>
      </c>
      <c r="B16" s="44">
        <v>109</v>
      </c>
      <c r="C16" s="37">
        <f>IF(B$3=0,0,B16/B$3)</f>
        <v>0.17986798679867988</v>
      </c>
      <c r="E16" s="59" t="s">
        <v>91</v>
      </c>
      <c r="F16" s="56" t="s">
        <v>46</v>
      </c>
      <c r="G16" s="44">
        <v>3</v>
      </c>
      <c r="H16" s="129">
        <f>IF(B$15=0,0,G16/B$15)</f>
        <v>0.02</v>
      </c>
      <c r="I16" s="90">
        <v>4</v>
      </c>
      <c r="K16" s="36">
        <v>14</v>
      </c>
      <c r="L16" s="95">
        <v>-266.90000000000003</v>
      </c>
      <c r="N16" s="111" t="s">
        <v>301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69</v>
      </c>
      <c r="C17" s="37">
        <f>IF(B$15=0,0,B17/B$15)</f>
        <v>0.46</v>
      </c>
      <c r="E17" s="59" t="s">
        <v>78</v>
      </c>
      <c r="F17" s="56" t="s">
        <v>33</v>
      </c>
      <c r="G17" s="44">
        <v>2</v>
      </c>
      <c r="H17" s="129">
        <f>IF(B$15=0,0,G17/B$15)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>IF(P17=0,0,Q17/P17)</f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81</v>
      </c>
      <c r="C18" s="37">
        <f>IF(B$15=0,0,B18/B$15)</f>
        <v>0.54</v>
      </c>
      <c r="E18" s="59" t="s">
        <v>73</v>
      </c>
      <c r="F18" s="56" t="s">
        <v>28</v>
      </c>
      <c r="G18" s="44">
        <v>1</v>
      </c>
      <c r="H18" s="129">
        <f>IF(B$15=0,0,G18/B$15)</f>
        <v>6.6666666666666671E-3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65</v>
      </c>
      <c r="C19" s="37">
        <f>IF(B$15=0,0,B19/B$15)</f>
        <v>0.43333333333333335</v>
      </c>
      <c r="E19" s="59" t="s">
        <v>74</v>
      </c>
      <c r="F19" s="56" t="s">
        <v>29</v>
      </c>
      <c r="G19" s="44">
        <v>1</v>
      </c>
      <c r="H19" s="129">
        <f>IF(B$15=0,0,G19/B$15)</f>
        <v>6.6666666666666671E-3</v>
      </c>
      <c r="I19" s="90">
        <v>2</v>
      </c>
      <c r="K19" s="36">
        <v>17</v>
      </c>
      <c r="L19" s="95">
        <v>-352.60000000000008</v>
      </c>
      <c r="N19" s="111" t="s">
        <v>171</v>
      </c>
      <c r="O19" s="121">
        <f>IF(P19=0,0,Q19/P19)</f>
        <v>-16.860714285714284</v>
      </c>
      <c r="P19" s="115">
        <v>28</v>
      </c>
      <c r="Q19" s="103">
        <v>-472.09999999999997</v>
      </c>
    </row>
    <row r="20" spans="1:17" x14ac:dyDescent="0.45">
      <c r="A20" s="51" t="s">
        <v>193</v>
      </c>
      <c r="B20" s="44">
        <v>57</v>
      </c>
      <c r="C20" s="37">
        <f>IF(B$15=0,0,B20/B$15)</f>
        <v>0.38</v>
      </c>
      <c r="E20" s="59" t="s">
        <v>79</v>
      </c>
      <c r="F20" s="56" t="s">
        <v>34</v>
      </c>
      <c r="G20" s="44">
        <v>1</v>
      </c>
      <c r="H20" s="129">
        <f>IF(B$15=0,0,G20/B$15)</f>
        <v>6.6666666666666671E-3</v>
      </c>
      <c r="I20" s="90">
        <v>10</v>
      </c>
      <c r="K20" s="36">
        <v>18</v>
      </c>
      <c r="L20" s="95">
        <v>-355.50000000000006</v>
      </c>
      <c r="N20" s="111" t="s">
        <v>256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0.18666666666666668</v>
      </c>
      <c r="E21" s="59" t="s">
        <v>92</v>
      </c>
      <c r="F21" s="56" t="s">
        <v>47</v>
      </c>
      <c r="G21" s="44">
        <v>1</v>
      </c>
      <c r="H21" s="129">
        <f>IF(B$15=0,0,G21/B$15)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>IF(P21=0,0,Q21/P21)</f>
        <v>-19.176470588235293</v>
      </c>
      <c r="P21" s="115">
        <v>34</v>
      </c>
      <c r="Q21" s="103">
        <v>-652</v>
      </c>
    </row>
    <row r="22" spans="1:17" x14ac:dyDescent="0.45">
      <c r="A22" s="51" t="s">
        <v>5</v>
      </c>
      <c r="B22" s="48">
        <f>IF(B$15=0,0,C22/B$15)</f>
        <v>8326.6666666666661</v>
      </c>
      <c r="C22" s="39">
        <v>1249000</v>
      </c>
      <c r="E22" s="59" t="s">
        <v>95</v>
      </c>
      <c r="F22" s="56" t="s">
        <v>50</v>
      </c>
      <c r="G22" s="44">
        <v>1</v>
      </c>
      <c r="H22" s="129">
        <f>IF(B$15=0,0,G22/B$15)</f>
        <v>6.6666666666666671E-3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>IF(P22=0,0,Q22/P22)</f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8810.7526881720423</v>
      </c>
      <c r="C23" s="137">
        <v>819400</v>
      </c>
      <c r="E23" s="59" t="s">
        <v>162</v>
      </c>
      <c r="F23" s="56" t="s">
        <v>163</v>
      </c>
      <c r="G23" s="44">
        <v>1</v>
      </c>
      <c r="H23" s="129">
        <f>IF(B$15=0,0,G23/B$15)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>IF(P23=0,0,Q23/P23)</f>
        <v>-28.712000000000018</v>
      </c>
      <c r="P23" s="115">
        <v>25</v>
      </c>
      <c r="Q23" s="103">
        <v>-717.80000000000041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>IF(P24=0,0,Q24/P24)</f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-8488.9908256880735</v>
      </c>
      <c r="C25" s="137">
        <v>-925300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  <c r="N25" s="111" t="s">
        <v>232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4.9504950495049506E-3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0.08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27</v>
      </c>
      <c r="C33" s="37">
        <f t="shared" ref="C33:C44" si="2">IF(B$15=0,0,B33/B$15)</f>
        <v>0.18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27</v>
      </c>
      <c r="C35" s="37">
        <f t="shared" si="2"/>
        <v>0.18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2"/>
        <v>0.14666666666666667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2"/>
        <v>0.08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6.6666666666666666E-2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2"/>
        <v>0.04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6.6666666666666671E-3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1</v>
      </c>
      <c r="C42" s="37">
        <f t="shared" si="2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  <row r="73" spans="11:12" x14ac:dyDescent="0.45">
      <c r="K73" s="36">
        <v>71</v>
      </c>
      <c r="L73" s="95">
        <v>-786.20000000000016</v>
      </c>
    </row>
    <row r="74" spans="11:12" x14ac:dyDescent="0.45">
      <c r="K74" s="36">
        <v>72</v>
      </c>
      <c r="L74" s="95">
        <v>-848.4000000000002</v>
      </c>
    </row>
    <row r="75" spans="11:12" x14ac:dyDescent="0.45">
      <c r="K75" s="36">
        <v>73</v>
      </c>
      <c r="L75" s="95">
        <v>-864.60000000000025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C94-9A1C-4140-8A05-224BA4C90134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3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3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3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3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3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E19A-F94F-44BF-AACA-A978A9152EA8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CDD4-198D-4FFF-BD0A-1737F269EB6C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BC95-B629-407D-8C84-22877C2E922E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9E61-8335-4BDF-8082-8516406D7F15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6263-97E6-44A3-AB84-55DBF23BBD5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4A60-502A-41D6-86A6-E33635DFCE9B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C3E7-0217-4EA3-A65A-DF1ED3D8AC7B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A943-FE00-4B22-A7DB-9DF5E64CE9AA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8654-3E43-4362-A693-8843650322E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8BF5-546F-473D-91FF-C4D90007158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CB68-EB3D-4937-8295-9899C99E1F0A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783-0D0A-4144-BD26-DE4F76DBADD5}">
  <sheetPr codeName="Sheet20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5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5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5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36AD-EBC4-4024-8886-9D4E027F08E8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1E9C-05CF-4415-B844-FBE1D9FD5245}">
  <sheetPr codeName="Sheet16"/>
  <dimension ref="A1:Q15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5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5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5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33D2-537B-49D8-9312-DA8AD39FE737}">
  <sheetPr codeName="Sheet14"/>
  <dimension ref="A1:Q1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392-6715-4E25-8D4E-AF79D6B2F398}">
  <sheetPr codeName="Sheet12"/>
  <dimension ref="A1:Q18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6637-A616-4943-81C4-BA82095FC88E}">
  <sheetPr codeName="Sheet10"/>
  <dimension ref="A1:Q20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5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5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8BE9-CB30-4768-B77F-9BC2DBDF8E07}">
  <sheetPr codeName="Sheet8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5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BA59-4BFE-43DD-B559-D7033676116D}">
  <sheetPr codeName="Sheet6"/>
  <dimension ref="A1:Q34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5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5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5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2020-02-04T14:46:29Z</dcterms:modified>
</cp:coreProperties>
</file>