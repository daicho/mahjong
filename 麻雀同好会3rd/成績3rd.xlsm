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3B44E70A-93A2-4005-9056-7BEB020F4AA1}" xr6:coauthVersionLast="41" xr6:coauthVersionMax="41" xr10:uidLastSave="{00000000-0000-0000-0000-000000000000}"/>
  <bookViews>
    <workbookView xWindow="-110" yWindow="-110" windowWidth="18220" windowHeight="116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ともき" sheetId="6141" r:id="rId17"/>
    <sheet name="たか" sheetId="6143" r:id="rId18"/>
    <sheet name="ゆう" sheetId="6145" r:id="rId19"/>
    <sheet name="ゆう2" sheetId="6146" state="hidden" r:id="rId20"/>
    <sheet name="たか2" sheetId="6144" state="hidden" r:id="rId21"/>
    <sheet name="ともき2" sheetId="6142" state="hidden" r:id="rId22"/>
    <sheet name="いっしー2" sheetId="6140" state="hidden" r:id="rId23"/>
    <sheet name="ほたに2" sheetId="6138" state="hidden" r:id="rId24"/>
    <sheet name="ぱぱ2" sheetId="6136" state="hidden" r:id="rId25"/>
    <sheet name="のり2" sheetId="6134" state="hidden" r:id="rId26"/>
    <sheet name="まっつん2" sheetId="6132" state="hidden" r:id="rId27"/>
    <sheet name="れんたろう2" sheetId="6130" state="hidden" r:id="rId28"/>
    <sheet name="りくと2" sheetId="6128" state="hidden" r:id="rId29"/>
    <sheet name="ただ2" sheetId="6126" state="hidden" r:id="rId30"/>
    <sheet name="だいち2" sheetId="6124" state="hidden" r:id="rId31"/>
    <sheet name="たかの2" sheetId="6122" state="hidden" r:id="rId32"/>
    <sheet name="全体2" sheetId="6120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21" l="1"/>
  <c r="O20" i="6141"/>
  <c r="O17" i="6143" l="1"/>
  <c r="O15" i="6145" l="1"/>
  <c r="O16" i="6145"/>
  <c r="C30" i="6145"/>
  <c r="B25" i="6145"/>
  <c r="C16" i="6145"/>
  <c r="B15" i="6145"/>
  <c r="H49" i="6145" s="1"/>
  <c r="B14" i="6145"/>
  <c r="B24" i="6145" s="1"/>
  <c r="B13" i="6145"/>
  <c r="C13" i="6145" s="1"/>
  <c r="O12" i="6145"/>
  <c r="C12" i="6145"/>
  <c r="O11" i="6145"/>
  <c r="C11" i="6145"/>
  <c r="O10" i="6145"/>
  <c r="C10" i="6145"/>
  <c r="C9" i="6145"/>
  <c r="C8" i="6145"/>
  <c r="O7" i="6145"/>
  <c r="C7" i="6145"/>
  <c r="O6" i="6145"/>
  <c r="B6" i="6145"/>
  <c r="O5" i="6145"/>
  <c r="B5" i="6145"/>
  <c r="O4" i="6145"/>
  <c r="O3" i="6145"/>
  <c r="O2" i="6145"/>
  <c r="O16" i="6133"/>
  <c r="O15" i="6143"/>
  <c r="O16" i="6143"/>
  <c r="C30" i="6143"/>
  <c r="B25" i="6143"/>
  <c r="C16" i="6143"/>
  <c r="B15" i="6143"/>
  <c r="H51" i="6143" s="1"/>
  <c r="B14" i="6143"/>
  <c r="B24" i="6143" s="1"/>
  <c r="B13" i="6143"/>
  <c r="C13" i="6143" s="1"/>
  <c r="O12" i="6143"/>
  <c r="C12" i="6143"/>
  <c r="O11" i="6143"/>
  <c r="C11" i="6143"/>
  <c r="O10" i="6143"/>
  <c r="C10" i="6143"/>
  <c r="C9" i="6143"/>
  <c r="C8" i="6143"/>
  <c r="O7" i="6143"/>
  <c r="C7" i="6143"/>
  <c r="O6" i="6143"/>
  <c r="B6" i="6143"/>
  <c r="O5" i="6143"/>
  <c r="B5" i="6143"/>
  <c r="O4" i="6143"/>
  <c r="O3" i="6143"/>
  <c r="O2" i="6143"/>
  <c r="O15" i="6119"/>
  <c r="H17" i="6143" l="1"/>
  <c r="C14" i="6143"/>
  <c r="H9" i="6143"/>
  <c r="H2" i="6143"/>
  <c r="C14" i="6145"/>
  <c r="C44" i="6145"/>
  <c r="H12" i="6145"/>
  <c r="C19" i="6145"/>
  <c r="H10" i="6145"/>
  <c r="H33" i="6145"/>
  <c r="H13" i="6145"/>
  <c r="H2" i="6145"/>
  <c r="H17" i="6145"/>
  <c r="H38" i="6145"/>
  <c r="H21" i="6145"/>
  <c r="H6" i="6145"/>
  <c r="H46" i="6145"/>
  <c r="H39" i="6145"/>
  <c r="H15" i="6145"/>
  <c r="H34" i="6145"/>
  <c r="H29" i="6145"/>
  <c r="H47" i="6145"/>
  <c r="C34" i="6145"/>
  <c r="H3" i="6145"/>
  <c r="C36" i="6145"/>
  <c r="H28" i="6145"/>
  <c r="C21" i="6145"/>
  <c r="H40" i="6145"/>
  <c r="H7" i="6145"/>
  <c r="H23" i="6145"/>
  <c r="H41" i="6145"/>
  <c r="C17" i="6145"/>
  <c r="B22" i="6145"/>
  <c r="H31" i="6145"/>
  <c r="H36" i="6145"/>
  <c r="C42" i="6145"/>
  <c r="H50" i="6145"/>
  <c r="H27" i="6145"/>
  <c r="C15" i="6145"/>
  <c r="H48" i="6145"/>
  <c r="H4" i="6145"/>
  <c r="H19" i="6145"/>
  <c r="H25" i="6145"/>
  <c r="H37" i="6145"/>
  <c r="H42" i="6145"/>
  <c r="H51" i="6145"/>
  <c r="H44" i="6145"/>
  <c r="C20" i="6145"/>
  <c r="C40" i="6145"/>
  <c r="H18" i="6145"/>
  <c r="H35" i="6145"/>
  <c r="H9" i="6145"/>
  <c r="C32" i="6145"/>
  <c r="H8" i="6145"/>
  <c r="H14" i="6145"/>
  <c r="C18" i="6145"/>
  <c r="H32" i="6145"/>
  <c r="C38" i="6145"/>
  <c r="H43" i="6145"/>
  <c r="H52" i="6145"/>
  <c r="H20" i="6145"/>
  <c r="H24" i="6145"/>
  <c r="H11" i="6145"/>
  <c r="C33" i="6145"/>
  <c r="C37" i="6145"/>
  <c r="C41" i="6145"/>
  <c r="H45" i="6145"/>
  <c r="B23" i="6145"/>
  <c r="H16" i="6145"/>
  <c r="H5" i="6145"/>
  <c r="H22" i="6145"/>
  <c r="H26" i="6145"/>
  <c r="H30" i="6145"/>
  <c r="C35" i="6145"/>
  <c r="C39" i="6145"/>
  <c r="C43" i="6145"/>
  <c r="H24" i="6143"/>
  <c r="H7" i="6143"/>
  <c r="B22" i="6143"/>
  <c r="H33" i="6143"/>
  <c r="H52" i="6143"/>
  <c r="H35" i="6143"/>
  <c r="H39" i="6143"/>
  <c r="C40" i="6143"/>
  <c r="H8" i="6143"/>
  <c r="H28" i="6143"/>
  <c r="H41" i="6143"/>
  <c r="H20" i="6143"/>
  <c r="H29" i="6143"/>
  <c r="C18" i="6143"/>
  <c r="C44" i="6143"/>
  <c r="H43" i="6143"/>
  <c r="H10" i="6143"/>
  <c r="C20" i="6143"/>
  <c r="C32" i="6143"/>
  <c r="H45" i="6143"/>
  <c r="C36" i="6143"/>
  <c r="H49" i="6143"/>
  <c r="C15" i="6143"/>
  <c r="H37" i="6143"/>
  <c r="H5" i="6143"/>
  <c r="H21" i="6143"/>
  <c r="H25" i="6143"/>
  <c r="H12" i="6143"/>
  <c r="C33" i="6143"/>
  <c r="C37" i="6143"/>
  <c r="C41" i="6143"/>
  <c r="H46" i="6143"/>
  <c r="C19" i="6143"/>
  <c r="B23" i="6143"/>
  <c r="H30" i="6143"/>
  <c r="H34" i="6143"/>
  <c r="H38" i="6143"/>
  <c r="H42" i="6143"/>
  <c r="H47" i="6143"/>
  <c r="H11" i="6143"/>
  <c r="H15" i="6143"/>
  <c r="H3" i="6143"/>
  <c r="H6" i="6143"/>
  <c r="H18" i="6143"/>
  <c r="H22" i="6143"/>
  <c r="H26" i="6143"/>
  <c r="H13" i="6143"/>
  <c r="C34" i="6143"/>
  <c r="C38" i="6143"/>
  <c r="C42" i="6143"/>
  <c r="H48" i="6143"/>
  <c r="H16" i="6143"/>
  <c r="H19" i="6143"/>
  <c r="H23" i="6143"/>
  <c r="H27" i="6143"/>
  <c r="H31" i="6143"/>
  <c r="C35" i="6143"/>
  <c r="C39" i="6143"/>
  <c r="C43" i="6143"/>
  <c r="H50" i="6143"/>
  <c r="H4" i="6143"/>
  <c r="H14" i="6143"/>
  <c r="C17" i="6143"/>
  <c r="C21" i="6143"/>
  <c r="H32" i="6143"/>
  <c r="H36" i="6143"/>
  <c r="H40" i="6143"/>
  <c r="H44" i="6143"/>
  <c r="O19" i="6141"/>
  <c r="O16" i="6123"/>
  <c r="O16" i="6125" l="1"/>
  <c r="O18" i="6141"/>
  <c r="O21" i="6141"/>
  <c r="O19" i="6127"/>
  <c r="O23" i="6135" l="1"/>
  <c r="O15" i="6141"/>
  <c r="O23" i="6129" l="1"/>
  <c r="O17" i="6141"/>
  <c r="O16" i="6141"/>
  <c r="C30" i="6141"/>
  <c r="B25" i="6141"/>
  <c r="B24" i="6141"/>
  <c r="C16" i="6141"/>
  <c r="B15" i="6141"/>
  <c r="H51" i="6141" s="1"/>
  <c r="B14" i="6141"/>
  <c r="C14" i="6141" s="1"/>
  <c r="B13" i="6141"/>
  <c r="C13" i="6141" s="1"/>
  <c r="O12" i="6141"/>
  <c r="C12" i="6141"/>
  <c r="O11" i="6141"/>
  <c r="C11" i="6141"/>
  <c r="O10" i="6141"/>
  <c r="C10" i="6141"/>
  <c r="C9" i="6141"/>
  <c r="C8" i="6141"/>
  <c r="O7" i="6141"/>
  <c r="C7" i="6141"/>
  <c r="O6" i="6141"/>
  <c r="B6" i="6141"/>
  <c r="O5" i="6141"/>
  <c r="B5" i="6141"/>
  <c r="O4" i="6141"/>
  <c r="O3" i="6141"/>
  <c r="O2" i="6141"/>
  <c r="O18" i="6133"/>
  <c r="O20" i="6119"/>
  <c r="H27" i="6141" l="1"/>
  <c r="C18" i="6141"/>
  <c r="H24" i="6141"/>
  <c r="H4" i="6141"/>
  <c r="H28" i="6141"/>
  <c r="H13" i="6141"/>
  <c r="H37" i="6141"/>
  <c r="H41" i="6141"/>
  <c r="C38" i="6141"/>
  <c r="C40" i="6141"/>
  <c r="H20" i="6141"/>
  <c r="B22" i="6141"/>
  <c r="C15" i="6141"/>
  <c r="H45" i="6141"/>
  <c r="C32" i="6141"/>
  <c r="C44" i="6141"/>
  <c r="H2" i="6141"/>
  <c r="H15" i="6141"/>
  <c r="H10" i="6141"/>
  <c r="H3" i="6141"/>
  <c r="H30" i="6141"/>
  <c r="H14" i="6141"/>
  <c r="H33" i="6141"/>
  <c r="H8" i="6141"/>
  <c r="H21" i="6141"/>
  <c r="C34" i="6141"/>
  <c r="C36" i="6141"/>
  <c r="H52" i="6141"/>
  <c r="H23" i="6141"/>
  <c r="H26" i="6141"/>
  <c r="H9" i="6141"/>
  <c r="C33" i="6141"/>
  <c r="C37" i="6141"/>
  <c r="C41" i="6141"/>
  <c r="H46" i="6141"/>
  <c r="H7" i="6141"/>
  <c r="H6" i="6141"/>
  <c r="H12" i="6141"/>
  <c r="H18" i="6141"/>
  <c r="C19" i="6141"/>
  <c r="B23" i="6141"/>
  <c r="H29" i="6141"/>
  <c r="H34" i="6141"/>
  <c r="H38" i="6141"/>
  <c r="H42" i="6141"/>
  <c r="H47" i="6141"/>
  <c r="C42" i="6141"/>
  <c r="H48" i="6141"/>
  <c r="H11" i="6141"/>
  <c r="C20" i="6141"/>
  <c r="H35" i="6141"/>
  <c r="H39" i="6141"/>
  <c r="H43" i="6141"/>
  <c r="H49" i="6141"/>
  <c r="H19" i="6141"/>
  <c r="H22" i="6141"/>
  <c r="H25" i="6141"/>
  <c r="H16" i="6141"/>
  <c r="H31" i="6141"/>
  <c r="C35" i="6141"/>
  <c r="C39" i="6141"/>
  <c r="C43" i="6141"/>
  <c r="H50" i="6141"/>
  <c r="H5" i="6141"/>
  <c r="H17" i="6141"/>
  <c r="C17" i="6141"/>
  <c r="C21" i="6141"/>
  <c r="H32" i="6141"/>
  <c r="H36" i="6141"/>
  <c r="H40" i="6141"/>
  <c r="H44" i="6141"/>
  <c r="O16" i="6131"/>
  <c r="O17" i="6139"/>
  <c r="O23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20" i="6133"/>
  <c r="O26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2" i="6121" l="1"/>
  <c r="O16" i="6129"/>
  <c r="O15" i="6129" l="1"/>
  <c r="O19" i="6137"/>
  <c r="O15" i="6127" l="1"/>
  <c r="O21" i="6133"/>
  <c r="O16" i="6137" l="1"/>
  <c r="O23" i="6127"/>
  <c r="O21" i="6121" l="1"/>
  <c r="O17" i="6123"/>
  <c r="O15" i="6133"/>
  <c r="O23" i="6133"/>
  <c r="O19" i="6131" l="1"/>
  <c r="O18" i="6135"/>
  <c r="O17" i="6125" l="1"/>
  <c r="O17" i="6131"/>
  <c r="O19" i="6133"/>
  <c r="O22" i="6133"/>
  <c r="O16" i="6121" l="1"/>
  <c r="O17" i="6135"/>
  <c r="O19" i="6135"/>
  <c r="O18" i="6127"/>
  <c r="O21" i="6125" l="1"/>
  <c r="O21" i="6129"/>
  <c r="O19" i="6129" l="1"/>
  <c r="O22" i="6123"/>
  <c r="O25" i="6133"/>
  <c r="O17" i="6137"/>
  <c r="O15" i="6137"/>
  <c r="O21" i="6135"/>
  <c r="O15" i="6125" l="1"/>
  <c r="O22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6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20" i="6123" l="1"/>
  <c r="O20" i="6127"/>
  <c r="O19" i="6123" l="1"/>
  <c r="O20" i="6131"/>
  <c r="O23" i="6131"/>
  <c r="O17" i="6121"/>
  <c r="O18" i="6125"/>
  <c r="O16" i="6127"/>
  <c r="O22" i="6127"/>
  <c r="O19" i="6121"/>
  <c r="O19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7" i="6119"/>
  <c r="O17" i="6133"/>
  <c r="O24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21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2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10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9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4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3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21" i="6127"/>
  <c r="O17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3" i="6119"/>
  <c r="O24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4" i="6129"/>
  <c r="H23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3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2" i="6129"/>
  <c r="H8" i="6129"/>
  <c r="C33" i="6129"/>
  <c r="C37" i="6129"/>
  <c r="C41" i="6129"/>
  <c r="H47" i="6129"/>
  <c r="H4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9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5" i="6127"/>
  <c r="H26" i="6127"/>
  <c r="H14" i="6127"/>
  <c r="H32" i="6127"/>
  <c r="C35" i="6127"/>
  <c r="C39" i="6127"/>
  <c r="C43" i="6127"/>
  <c r="H51" i="6127"/>
  <c r="H16" i="6127"/>
  <c r="H3" i="6127"/>
  <c r="H9" i="6127"/>
  <c r="H18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3" i="6125" l="1"/>
  <c r="O20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1" i="6123"/>
  <c r="O18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9" i="6119"/>
  <c r="O18" i="6121"/>
  <c r="O20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2" i="6119"/>
  <c r="O25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8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9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20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19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7" i="6123"/>
  <c r="H44" i="6123"/>
  <c r="H46" i="6123"/>
  <c r="H7" i="6123"/>
  <c r="H45" i="6123"/>
  <c r="H23" i="6123"/>
  <c r="H11" i="6123"/>
  <c r="H26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7" i="6123"/>
  <c r="H25" i="6123"/>
  <c r="H21" i="6123"/>
  <c r="C34" i="6123"/>
  <c r="C38" i="6123"/>
  <c r="C42" i="6123"/>
  <c r="H49" i="6123"/>
  <c r="H18" i="6123"/>
  <c r="H15" i="6123"/>
  <c r="H33" i="6123"/>
  <c r="H12" i="6123"/>
  <c r="H22" i="6123"/>
  <c r="C35" i="6123"/>
  <c r="C39" i="6123"/>
  <c r="C43" i="6123"/>
  <c r="H51" i="6123"/>
  <c r="H13" i="6123"/>
  <c r="H24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5" i="6121"/>
  <c r="H26" i="6121"/>
  <c r="H34" i="6121"/>
  <c r="H41" i="6121"/>
  <c r="H42" i="6121"/>
  <c r="H35" i="6121"/>
  <c r="H43" i="6121"/>
  <c r="H47" i="6121"/>
  <c r="H18" i="6121"/>
  <c r="H36" i="6121"/>
  <c r="H44" i="6121"/>
  <c r="H5" i="6121"/>
  <c r="H10" i="6121"/>
  <c r="H19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4" i="6121"/>
  <c r="H40" i="6121"/>
  <c r="H51" i="6121"/>
  <c r="H27" i="6121"/>
  <c r="H23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7" i="6121"/>
  <c r="C34" i="6121"/>
  <c r="C38" i="6121"/>
  <c r="C42" i="6121"/>
  <c r="H48" i="6121"/>
  <c r="H20" i="6121"/>
  <c r="H22" i="6121"/>
  <c r="H28" i="6121"/>
  <c r="H15" i="6121"/>
  <c r="H32" i="6121"/>
  <c r="C35" i="6121"/>
  <c r="C39" i="6121"/>
  <c r="C43" i="6121"/>
  <c r="H50" i="6121"/>
  <c r="H9" i="6121"/>
  <c r="H16" i="6121"/>
  <c r="H11" i="6121"/>
  <c r="H30" i="6121"/>
  <c r="C32" i="6121"/>
  <c r="C36" i="6121"/>
  <c r="C40" i="6121"/>
  <c r="C44" i="6121"/>
  <c r="H11" i="6119"/>
  <c r="C19" i="6119"/>
  <c r="C20" i="6119"/>
  <c r="H30" i="6119"/>
  <c r="H35" i="6119"/>
  <c r="H29" i="6119"/>
  <c r="H42" i="6119"/>
  <c r="C44" i="6119"/>
  <c r="H17" i="6119"/>
  <c r="H34" i="6119"/>
  <c r="H23" i="6119"/>
  <c r="C40" i="6119"/>
  <c r="H49" i="6119"/>
  <c r="H27" i="6119"/>
  <c r="H6" i="6119"/>
  <c r="H14" i="6119"/>
  <c r="H12" i="6119"/>
  <c r="H48" i="6119"/>
  <c r="C21" i="6119"/>
  <c r="H18" i="6119"/>
  <c r="H43" i="6119"/>
  <c r="H2" i="6119"/>
  <c r="H3" i="6119"/>
  <c r="C36" i="6119"/>
  <c r="H8" i="6119"/>
  <c r="H40" i="6119"/>
  <c r="H15" i="6119"/>
  <c r="C34" i="6119"/>
  <c r="H10" i="6119"/>
  <c r="H28" i="6119"/>
  <c r="H50" i="6119"/>
  <c r="C17" i="6119"/>
  <c r="B22" i="6119"/>
  <c r="H31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5" i="6119"/>
  <c r="H41" i="6119"/>
  <c r="H7" i="6119"/>
  <c r="H22" i="6119"/>
  <c r="C18" i="6119"/>
  <c r="H38" i="6119"/>
  <c r="C38" i="6119"/>
  <c r="H46" i="6119"/>
  <c r="H52" i="6119"/>
  <c r="H36" i="6119"/>
  <c r="H24" i="6119"/>
  <c r="H9" i="6119"/>
  <c r="C33" i="6119"/>
  <c r="C37" i="6119"/>
  <c r="C41" i="6119"/>
  <c r="H47" i="6119"/>
  <c r="B23" i="6119"/>
  <c r="H20" i="6119"/>
  <c r="H16" i="6119"/>
  <c r="H37" i="6119"/>
  <c r="H13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<sst xmlns="http://schemas.openxmlformats.org/spreadsheetml/2006/main" count="3774" uniqueCount="284">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</sst>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回&quot;"/>
    <numFmt numFmtId="165" formatCode="\+0.0;\-0.0;\±0"/>
    <numFmt numFmtId="166" formatCode="0.00\ &quot;位&quot;"/>
    <numFmt numFmtId="167" formatCode="0.0%"/>
    <numFmt numFmtId="168" formatCode="yyyy/mm/dd\ hh:mm"/>
    <numFmt numFmtId="169" formatCode="0\ &quot;個&quot;"/>
    <numFmt numFmtId="170" formatCode="0&quot;位&quot;"/>
    <numFmt numFmtId="171" formatCode="0\ &quot;位&quot;"/>
    <numFmt numFmtId="172" formatCode="\+0.00;\-0.00;\±0"/>
    <numFmt numFmtId="173" formatCode="\+0;\-0;\±0"/>
    <numFmt numFmtId="174" formatCode="0.0000"/>
    <numFmt numFmtId="175" formatCode="0.0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8" fontId="0" fillId="0" borderId="0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167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64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66" fontId="0" fillId="0" borderId="0" xfId="0" applyNumberFormat="1" applyAlignment="1">
      <alignment horizontal="center" vertical="center" shrinkToFit="1"/>
    </xf>
    <xf numFmtId="170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70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65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66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0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65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66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 shrinkToFit="1"/>
    </xf>
    <xf numFmtId="171" fontId="0" fillId="0" borderId="3" xfId="0" applyNumberFormat="1" applyBorder="1" applyAlignment="1">
      <alignment horizontal="center" vertical="center" shrinkToFit="1"/>
    </xf>
    <xf numFmtId="171" fontId="0" fillId="0" borderId="5" xfId="0" applyNumberFormat="1" applyBorder="1" applyAlignment="1">
      <alignment horizontal="center" vertical="center" shrinkToFit="1"/>
    </xf>
    <xf numFmtId="172" fontId="0" fillId="0" borderId="32" xfId="0" applyNumberFormat="1" applyBorder="1" applyAlignment="1">
      <alignment horizontal="center" vertical="center" shrinkToFit="1"/>
    </xf>
    <xf numFmtId="172" fontId="0" fillId="0" borderId="35" xfId="0" applyNumberFormat="1" applyBorder="1" applyAlignment="1">
      <alignment horizontal="center" vertical="center" shrinkToFit="1"/>
    </xf>
    <xf numFmtId="165" fontId="0" fillId="0" borderId="6" xfId="0" applyNumberFormat="1" applyBorder="1" applyAlignment="1">
      <alignment horizontal="center" vertical="center" shrinkToFit="1"/>
    </xf>
    <xf numFmtId="165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64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64" fontId="4" fillId="0" borderId="41" xfId="0" applyNumberFormat="1" applyFont="1" applyBorder="1" applyAlignment="1">
      <alignment horizontal="center" vertical="center" shrinkToFit="1"/>
    </xf>
    <xf numFmtId="164" fontId="4" fillId="0" borderId="42" xfId="0" applyNumberFormat="1" applyFont="1" applyBorder="1" applyAlignment="1">
      <alignment horizontal="center" vertical="center" shrinkToFit="1"/>
    </xf>
    <xf numFmtId="164" fontId="4" fillId="0" borderId="43" xfId="0" applyNumberFormat="1" applyFont="1" applyBorder="1" applyAlignment="1">
      <alignment horizontal="center" vertical="center" shrinkToFit="1"/>
    </xf>
    <xf numFmtId="173" fontId="0" fillId="0" borderId="1" xfId="0" applyNumberFormat="1" applyBorder="1" applyAlignment="1">
      <alignment horizontal="center" vertical="center" shrinkToFit="1"/>
    </xf>
    <xf numFmtId="173" fontId="0" fillId="0" borderId="2" xfId="0" applyNumberFormat="1" applyBorder="1" applyAlignment="1">
      <alignment horizontal="center" vertical="center" shrinkToFit="1"/>
    </xf>
    <xf numFmtId="173" fontId="0" fillId="0" borderId="4" xfId="0" applyNumberFormat="1" applyBorder="1" applyAlignment="1">
      <alignment horizontal="center" vertical="center" shrinkToFit="1"/>
    </xf>
    <xf numFmtId="172" fontId="0" fillId="0" borderId="1" xfId="0" applyNumberFormat="1" applyBorder="1" applyAlignment="1">
      <alignment horizontal="center" vertical="center" shrinkToFit="1"/>
    </xf>
    <xf numFmtId="172" fontId="0" fillId="0" borderId="2" xfId="0" applyNumberFormat="1" applyBorder="1" applyAlignment="1">
      <alignment horizontal="center" vertical="center" shrinkToFit="1"/>
    </xf>
    <xf numFmtId="172" fontId="0" fillId="0" borderId="4" xfId="0" applyNumberFormat="1" applyBorder="1" applyAlignment="1">
      <alignment horizontal="center" vertical="center" shrinkToFit="1"/>
    </xf>
    <xf numFmtId="173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75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64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71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7" xfId="0" applyNumberFormat="1" applyBorder="1" applyAlignment="1">
      <alignment horizontal="center" vertical="center" shrinkToFit="1"/>
    </xf>
    <xf numFmtId="167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69" fontId="0" fillId="0" borderId="23" xfId="0" applyNumberFormat="1" applyBorder="1" applyAlignment="1">
      <alignment horizontal="center" vertical="center" shrinkToFit="1"/>
    </xf>
    <xf numFmtId="169" fontId="0" fillId="0" borderId="24" xfId="0" applyNumberFormat="1" applyBorder="1" applyAlignment="1">
      <alignment horizontal="center" vertical="center" shrinkToFit="1"/>
    </xf>
    <xf numFmtId="166" fontId="0" fillId="0" borderId="25" xfId="0" applyNumberFormat="1" applyBorder="1" applyAlignment="1">
      <alignment horizontal="center" vertical="center" shrinkToFit="1"/>
    </xf>
    <xf numFmtId="166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6" xfId="0" applyNumberFormat="1" applyBorder="1" applyAlignment="1">
      <alignment horizontal="center" vertical="center" shrinkToFit="1"/>
    </xf>
    <xf numFmtId="165" fontId="0" fillId="0" borderId="25" xfId="0" applyNumberFormat="1" applyBorder="1" applyAlignment="1">
      <alignment horizontal="center" vertical="center" shrinkToFit="1"/>
    </xf>
    <xf numFmtId="165" fontId="0" fillId="0" borderId="26" xfId="0" applyNumberFormat="1" applyBorder="1" applyAlignment="1">
      <alignment horizontal="center" vertical="center" shrinkToFit="1"/>
    </xf>
    <xf numFmtId="172" fontId="0" fillId="0" borderId="25" xfId="0" applyNumberFormat="1" applyBorder="1" applyAlignment="1">
      <alignment horizontal="center" vertical="center" shrinkToFit="1"/>
    </xf>
    <xf numFmtId="172" fontId="0" fillId="0" borderId="26" xfId="0" applyNumberFormat="1" applyBorder="1" applyAlignment="1">
      <alignment horizontal="center" vertical="center" shrinkToFit="1"/>
    </xf>
    <xf numFmtId="174" fontId="0" fillId="0" borderId="29" xfId="0" applyNumberFormat="1" applyBorder="1" applyAlignment="1">
      <alignment horizontal="center" vertical="center" shrinkToFit="1"/>
    </xf>
    <xf numFmtId="174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74" fontId="0" fillId="0" borderId="38" xfId="0" applyNumberFormat="1" applyBorder="1" applyAlignment="1">
      <alignment horizontal="center" vertical="center" shrinkToFit="1"/>
    </xf>
    <xf numFmtId="174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全体!$K$2:$K$752</c:f>
              <c:numCache>
                <c:formatCode>General</c:formatCode>
                <c:ptCount val="7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</c:numCache>
            </c:numRef>
          </c:xVal>
          <c:yVal>
            <c:numRef>
              <c:f>全体!$L$2:$L$752</c:f>
              <c:numCache>
                <c:formatCode>\+0.0;\-0.0;\±0</c:formatCode>
                <c:ptCount val="75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-26.773761713520749</c:v>
                </c:pt>
                <c:pt idx="1">
                  <c:v>12.244897959183673</c:v>
                </c:pt>
                <c:pt idx="2">
                  <c:v>-10.144927536231885</c:v>
                </c:pt>
                <c:pt idx="3">
                  <c:v>9.2165898617511512</c:v>
                </c:pt>
                <c:pt idx="4">
                  <c:v>8.3752093802345051</c:v>
                </c:pt>
                <c:pt idx="5">
                  <c:v>12.121212121212121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139</c:v>
                </c:pt>
                <c:pt idx="1">
                  <c:v>311</c:v>
                </c:pt>
                <c:pt idx="2">
                  <c:v>365</c:v>
                </c:pt>
                <c:pt idx="3">
                  <c:v>324</c:v>
                </c:pt>
                <c:pt idx="4">
                  <c:v>296</c:v>
                </c:pt>
                <c:pt idx="5">
                  <c:v>194</c:v>
                </c:pt>
                <c:pt idx="6">
                  <c:v>101</c:v>
                </c:pt>
                <c:pt idx="7">
                  <c:v>52</c:v>
                </c:pt>
                <c:pt idx="8">
                  <c:v>22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たかの!$L$2:$L$69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1441.7910447761194</c:v>
                </c:pt>
                <c:pt idx="1">
                  <c:v>-2021.2121212121212</c:v>
                </c:pt>
                <c:pt idx="2">
                  <c:v>-1348.4375</c:v>
                </c:pt>
                <c:pt idx="3">
                  <c:v>-1325</c:v>
                </c:pt>
                <c:pt idx="4">
                  <c:v>-83.050847457627114</c:v>
                </c:pt>
                <c:pt idx="5">
                  <c:v>-2321.5686274509803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37</c:v>
                </c:pt>
                <c:pt idx="2">
                  <c:v>34</c:v>
                </c:pt>
                <c:pt idx="3">
                  <c:v>24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だいち!$K$2:$K$153</c:f>
              <c:numCache>
                <c:formatCode>General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だいち!$L$2:$L$153</c:f>
              <c:numCache>
                <c:formatCode>\+0.0;\-0.0;\±0</c:formatCode>
                <c:ptCount val="15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1066.6666666666667</c:v>
                </c:pt>
                <c:pt idx="1">
                  <c:v>929.93197278911566</c:v>
                </c:pt>
                <c:pt idx="2">
                  <c:v>856.0283687943263</c:v>
                </c:pt>
                <c:pt idx="3">
                  <c:v>122.90076335877863</c:v>
                </c:pt>
                <c:pt idx="4">
                  <c:v>2178.5123966942147</c:v>
                </c:pt>
                <c:pt idx="5">
                  <c:v>1932.3232323232323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39</c:v>
                </c:pt>
                <c:pt idx="1">
                  <c:v>75</c:v>
                </c:pt>
                <c:pt idx="2">
                  <c:v>90</c:v>
                </c:pt>
                <c:pt idx="3">
                  <c:v>77</c:v>
                </c:pt>
                <c:pt idx="4">
                  <c:v>61</c:v>
                </c:pt>
                <c:pt idx="5">
                  <c:v>40</c:v>
                </c:pt>
                <c:pt idx="6">
                  <c:v>21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ただ!$L$2:$L$134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-1558.7786259541986</c:v>
                </c:pt>
                <c:pt idx="1">
                  <c:v>1651.937984496124</c:v>
                </c:pt>
                <c:pt idx="2">
                  <c:v>-283.89830508474574</c:v>
                </c:pt>
                <c:pt idx="3">
                  <c:v>317.85714285714283</c:v>
                </c:pt>
                <c:pt idx="4">
                  <c:v>-960.78431372549016</c:v>
                </c:pt>
                <c:pt idx="5">
                  <c:v>1518.3908045977012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53</c:v>
                </c:pt>
                <c:pt idx="2">
                  <c:v>69</c:v>
                </c:pt>
                <c:pt idx="3">
                  <c:v>72</c:v>
                </c:pt>
                <c:pt idx="4">
                  <c:v>50</c:v>
                </c:pt>
                <c:pt idx="5">
                  <c:v>38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りくと!$L$2:$L$91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-193.18181818181819</c:v>
                </c:pt>
                <c:pt idx="1">
                  <c:v>-1228.409090909091</c:v>
                </c:pt>
                <c:pt idx="2">
                  <c:v>618.29268292682923</c:v>
                </c:pt>
                <c:pt idx="3">
                  <c:v>-385.18518518518516</c:v>
                </c:pt>
                <c:pt idx="4">
                  <c:v>-2725</c:v>
                </c:pt>
                <c:pt idx="5">
                  <c:v>-1295.3846153846155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39</c:v>
                </c:pt>
                <c:pt idx="2">
                  <c:v>48</c:v>
                </c:pt>
                <c:pt idx="3">
                  <c:v>32</c:v>
                </c:pt>
                <c:pt idx="4">
                  <c:v>35</c:v>
                </c:pt>
                <c:pt idx="5">
                  <c:v>22</c:v>
                </c:pt>
                <c:pt idx="6">
                  <c:v>13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れんたろう!$L$2:$L$102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1424</c:v>
                </c:pt>
                <c:pt idx="1">
                  <c:v>-1321.4285714285713</c:v>
                </c:pt>
                <c:pt idx="2">
                  <c:v>-332.58426966292137</c:v>
                </c:pt>
                <c:pt idx="3">
                  <c:v>2781.1764705882351</c:v>
                </c:pt>
                <c:pt idx="4">
                  <c:v>294.73684210526318</c:v>
                </c:pt>
                <c:pt idx="5">
                  <c:v>18.64406779661017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19</c:v>
                </c:pt>
                <c:pt idx="2">
                  <c:v>29</c:v>
                </c:pt>
                <c:pt idx="3">
                  <c:v>40</c:v>
                </c:pt>
                <c:pt idx="4">
                  <c:v>56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442.34234234234236</c:v>
                </c:pt>
                <c:pt idx="1">
                  <c:v>332.40740740740739</c:v>
                </c:pt>
                <c:pt idx="2">
                  <c:v>658.82352941176475</c:v>
                </c:pt>
                <c:pt idx="3">
                  <c:v>98.924731182795696</c:v>
                </c:pt>
                <c:pt idx="4">
                  <c:v>-69.512195121951223</c:v>
                </c:pt>
                <c:pt idx="5">
                  <c:v>-801.42857142857144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51</c:v>
                </c:pt>
                <c:pt idx="3">
                  <c:v>46</c:v>
                </c:pt>
                <c:pt idx="4">
                  <c:v>40</c:v>
                </c:pt>
                <c:pt idx="5">
                  <c:v>31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-2033.9622641509434</c:v>
                </c:pt>
                <c:pt idx="1">
                  <c:v>303.77358490566036</c:v>
                </c:pt>
                <c:pt idx="2">
                  <c:v>-1852.9411764705883</c:v>
                </c:pt>
                <c:pt idx="3">
                  <c:v>-3045.6521739130435</c:v>
                </c:pt>
                <c:pt idx="4">
                  <c:v>-1734.090909090909</c:v>
                </c:pt>
                <c:pt idx="5">
                  <c:v>-2083.3333333333335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24</c:v>
                </c:pt>
                <c:pt idx="3">
                  <c:v>15</c:v>
                </c:pt>
                <c:pt idx="4">
                  <c:v>15</c:v>
                </c:pt>
                <c:pt idx="5">
                  <c:v>7</c:v>
                </c:pt>
                <c:pt idx="6">
                  <c:v>8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1-416F-AA73-CF0DA93A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-2366.6666666666665</c:v>
                </c:pt>
                <c:pt idx="1">
                  <c:v>-133.33333333333334</c:v>
                </c:pt>
                <c:pt idx="2">
                  <c:v>-3966.6666666666665</c:v>
                </c:pt>
                <c:pt idx="3">
                  <c:v>4783.333333333333</c:v>
                </c:pt>
                <c:pt idx="4">
                  <c:v>-3220</c:v>
                </c:pt>
                <c:pt idx="5">
                  <c:v>2675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3-42BE-BB81-9FC0B4AE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5-4AEC-99E9-FEBC1C790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BB-4B8B-85F8-FA62F1A82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-600</c:v>
                </c:pt>
                <c:pt idx="1">
                  <c:v>5200</c:v>
                </c:pt>
                <c:pt idx="2">
                  <c:v>13366.666666666666</c:v>
                </c:pt>
                <c:pt idx="3">
                  <c:v>-2266.6666666666665</c:v>
                </c:pt>
                <c:pt idx="4">
                  <c:v>433.33333333333331</c:v>
                </c:pt>
                <c:pt idx="5">
                  <c:v>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9-4A23-BDD3-BEDA11F4C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99-4FFD-98B6-0CE3EC70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9-4630-9BF4-CE672C6F8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-2900</c:v>
                </c:pt>
                <c:pt idx="1">
                  <c:v>-2666.6666666666665</c:v>
                </c:pt>
                <c:pt idx="2">
                  <c:v>-4750</c:v>
                </c:pt>
                <c:pt idx="3">
                  <c:v>5250</c:v>
                </c:pt>
                <c:pt idx="4">
                  <c:v>-3000</c:v>
                </c:pt>
                <c:pt idx="5">
                  <c:v>-3000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1-4DAD-9E32-B360D09EA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6-4E81-B35F-DFD509D7D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ともき2!$B$3:$B$9</c:f>
              <c:numCache>
                <c:formatCode>\+0.0;\-0.0;\±0</c:formatCode>
                <c:ptCount val="7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3.419486915845482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ともき2!$C$3:$C$9</c:f>
              <c:numCache>
                <c:formatCode>\+0.0;\-0.0;\±0</c:formatCode>
                <c:ptCount val="7"/>
                <c:pt idx="1">
                  <c:v>17.600000000000001</c:v>
                </c:pt>
                <c:pt idx="2">
                  <c:v>13.9</c:v>
                </c:pt>
                <c:pt idx="3">
                  <c:v>6.8</c:v>
                </c:pt>
                <c:pt idx="4">
                  <c:v>13.275</c:v>
                </c:pt>
                <c:pt idx="5">
                  <c:v>5.7200000000000006</c:v>
                </c:pt>
                <c:pt idx="6">
                  <c:v>-2.9666666666666663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4.559315887793976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ともき2!$D$3:$D$9</c:f>
              <c:numCache>
                <c:formatCode>0.00\ "位"</c:formatCode>
                <c:ptCount val="7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ともき2!$E$3:$E$9</c:f>
              <c:numCache>
                <c:formatCode>0.0%</c:formatCode>
                <c:ptCount val="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ともき2!$F$3:$F$9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ともき2!$G$3:$G$9</c:f>
              <c:numCache>
                <c:formatCode>0.0%</c:formatCode>
                <c:ptCount val="7"/>
                <c:pt idx="1">
                  <c:v>0.66666666666666663</c:v>
                </c:pt>
                <c:pt idx="2">
                  <c:v>0.47058823529411764</c:v>
                </c:pt>
                <c:pt idx="3">
                  <c:v>0.37931034482758619</c:v>
                </c:pt>
                <c:pt idx="4">
                  <c:v>0.39473684210526316</c:v>
                </c:pt>
                <c:pt idx="5">
                  <c:v>0.35555555555555557</c:v>
                </c:pt>
                <c:pt idx="6">
                  <c:v>0.32075471698113206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95654962321628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ともき2!$H$3:$H$9</c:f>
              <c:numCache>
                <c:formatCode>0.0%</c:formatCode>
                <c:ptCount val="7"/>
                <c:pt idx="1">
                  <c:v>0.16666666666666666</c:v>
                </c:pt>
                <c:pt idx="2">
                  <c:v>5.8823529411764705E-2</c:v>
                </c:pt>
                <c:pt idx="3">
                  <c:v>6.8965517241379309E-2</c:v>
                </c:pt>
                <c:pt idx="4">
                  <c:v>7.8947368421052627E-2</c:v>
                </c:pt>
                <c:pt idx="5">
                  <c:v>8.8888888888888892E-2</c:v>
                </c:pt>
                <c:pt idx="6">
                  <c:v>0.11320754716981132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62898829565496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ともき2!$I$3:$I$9</c:f>
              <c:numCache>
                <c:formatCode>0</c:formatCode>
                <c:ptCount val="7"/>
                <c:pt idx="1">
                  <c:v>3900</c:v>
                </c:pt>
                <c:pt idx="2">
                  <c:v>5575</c:v>
                </c:pt>
                <c:pt idx="3">
                  <c:v>6427.272727272727</c:v>
                </c:pt>
                <c:pt idx="4">
                  <c:v>6793.333333333333</c:v>
                </c:pt>
                <c:pt idx="5">
                  <c:v>6868.75</c:v>
                </c:pt>
                <c:pt idx="6">
                  <c:v>6935.2941176470586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8403.19956616052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ともき2!$J$3:$J$9</c:f>
              <c:numCache>
                <c:formatCode>0</c:formatCode>
                <c:ptCount val="7"/>
                <c:pt idx="1">
                  <c:v>-8000</c:v>
                </c:pt>
                <c:pt idx="2">
                  <c:v>-8000</c:v>
                </c:pt>
                <c:pt idx="3">
                  <c:v>-5600</c:v>
                </c:pt>
                <c:pt idx="4">
                  <c:v>-4700</c:v>
                </c:pt>
                <c:pt idx="5">
                  <c:v>-6525</c:v>
                </c:pt>
                <c:pt idx="6">
                  <c:v>-8500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7774.80314960629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ともき2!$K$3:$K$9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ともき2!$L$3:$L$9</c:f>
              <c:numCache>
                <c:formatCode>0.0%</c:formatCode>
                <c:ptCount val="7"/>
                <c:pt idx="1">
                  <c:v>0.66666666666666663</c:v>
                </c:pt>
                <c:pt idx="2">
                  <c:v>0.52941176470588236</c:v>
                </c:pt>
                <c:pt idx="3">
                  <c:v>0.37931034482758619</c:v>
                </c:pt>
                <c:pt idx="4">
                  <c:v>0.34210526315789475</c:v>
                </c:pt>
                <c:pt idx="5">
                  <c:v>0.31111111111111112</c:v>
                </c:pt>
                <c:pt idx="6">
                  <c:v>0.32075471698113206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54449254449254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ともき2!$M$3:$M$9</c:f>
              <c:numCache>
                <c:formatCode>0.0%</c:formatCode>
                <c:ptCount val="7"/>
                <c:pt idx="1">
                  <c:v>0</c:v>
                </c:pt>
                <c:pt idx="2">
                  <c:v>0.17647058823529413</c:v>
                </c:pt>
                <c:pt idx="3">
                  <c:v>0.13793103448275862</c:v>
                </c:pt>
                <c:pt idx="4">
                  <c:v>0.18421052631578946</c:v>
                </c:pt>
                <c:pt idx="5">
                  <c:v>0.15555555555555556</c:v>
                </c:pt>
                <c:pt idx="6">
                  <c:v>0.13207547169811321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29116562449895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ともき2!$N$3:$N$9</c:f>
              <c:numCache>
                <c:formatCode>0.0%</c:formatCode>
                <c:ptCount val="7"/>
                <c:pt idx="1">
                  <c:v>1</c:v>
                </c:pt>
                <c:pt idx="2">
                  <c:v>0.66666666666666663</c:v>
                </c:pt>
                <c:pt idx="3">
                  <c:v>0.63636363636363635</c:v>
                </c:pt>
                <c:pt idx="4">
                  <c:v>0.69230769230769229</c:v>
                </c:pt>
                <c:pt idx="5">
                  <c:v>0.7142857142857143</c:v>
                </c:pt>
                <c:pt idx="6">
                  <c:v>0.6470588235294118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557655954631379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ともき2!$O$3:$O$9</c:f>
              <c:numCache>
                <c:formatCode>0.0%</c:formatCode>
                <c:ptCount val="7"/>
                <c:pt idx="1">
                  <c:v>0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22673198040587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ともき2!$P$3:$P$9</c:f>
              <c:numCache>
                <c:formatCode>0.0%</c:formatCode>
                <c:ptCount val="7"/>
                <c:pt idx="1">
                  <c:v>0.25</c:v>
                </c:pt>
                <c:pt idx="2">
                  <c:v>0.125</c:v>
                </c:pt>
                <c:pt idx="3">
                  <c:v>0.36363636363636365</c:v>
                </c:pt>
                <c:pt idx="4">
                  <c:v>0.4</c:v>
                </c:pt>
                <c:pt idx="5">
                  <c:v>0.375</c:v>
                </c:pt>
                <c:pt idx="6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43600867678958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4.5"/>
  <cols>
    <col min="1" max="1" width="13" style="1" customWidth="1"/>
    <col min="2" max="3" width="9" style="1" customWidth="1"/>
    <col min="4" max="4" width="3.6328125" style="1" customWidth="1"/>
    <col min="5" max="5" width="3.63281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328125" style="1" customWidth="1"/>
    <col min="11" max="11" width="3.453125" style="5" customWidth="1"/>
    <col min="12" max="12" width="9" style="95" customWidth="1"/>
    <col min="13" max="13" width="3.6328125" style="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1"/>
  </cols>
  <sheetData>
    <row r="1" spans="1:17">
      <c r="A1" s="18" t="s">
        <v>0</v>
      </c>
      <c r="B1" s="160"/>
      <c r="C1" s="161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>
      <c r="A2" s="19" t="s">
        <v>9</v>
      </c>
      <c r="B2" s="162">
        <v>0</v>
      </c>
      <c r="C2" s="163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>
      <c r="A3" s="20" t="s">
        <v>8</v>
      </c>
      <c r="B3" s="164">
        <v>0</v>
      </c>
      <c r="C3" s="165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>
      <c r="A4" s="20" t="s">
        <v>6</v>
      </c>
      <c r="B4" s="166">
        <v>0</v>
      </c>
      <c r="C4" s="167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>
      <c r="A5" s="20" t="s">
        <v>7</v>
      </c>
      <c r="B5" s="168">
        <f>IF(B$2=0,0,B$4/B$2)</f>
        <v>0</v>
      </c>
      <c r="C5" s="169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>
      <c r="A6" s="20" t="s">
        <v>1</v>
      </c>
      <c r="B6" s="158">
        <f>IF(B$2=0,0,(B$7*1+B$8*2+B$9*3)/B$2)</f>
        <v>0</v>
      </c>
      <c r="C6" s="159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>
      <c r="A28" s="86" t="s">
        <v>138</v>
      </c>
      <c r="B28" s="156">
        <v>0</v>
      </c>
      <c r="C28" s="157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>
      <c r="A29" s="54" t="s">
        <v>192</v>
      </c>
      <c r="B29" s="154">
        <v>-1000000</v>
      </c>
      <c r="C29" s="155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7"/>
  <sheetViews>
    <sheetView workbookViewId="0"/>
  </sheetViews>
  <sheetFormatPr defaultColWidth="9" defaultRowHeight="14.5"/>
  <cols>
    <col min="1" max="1" width="19.1796875" style="28" customWidth="1"/>
    <col min="2" max="2" width="19.1796875" style="29" customWidth="1"/>
    <col min="3" max="16384" width="9" style="28"/>
  </cols>
  <sheetData>
    <row r="1" spans="1:12">
      <c r="A1" s="27">
        <v>32874</v>
      </c>
      <c r="B1" s="27">
        <v>2958465</v>
      </c>
    </row>
    <row r="2" spans="1:12">
      <c r="A2" s="28" t="s">
        <v>218</v>
      </c>
      <c r="B2" s="29">
        <v>43737.495439814818</v>
      </c>
      <c r="C2" s="28" t="s">
        <v>128</v>
      </c>
      <c r="D2" s="28" t="s">
        <v>129</v>
      </c>
    </row>
    <row r="3" spans="1:12">
      <c r="A3" s="28" t="s">
        <v>219</v>
      </c>
      <c r="B3" s="29">
        <v>43737.495439814818</v>
      </c>
      <c r="C3" s="28" t="s">
        <v>128</v>
      </c>
    </row>
    <row r="4" spans="1:12">
      <c r="A4" s="28" t="s">
        <v>220</v>
      </c>
      <c r="B4" s="29">
        <v>43737.495439814818</v>
      </c>
      <c r="C4" s="28" t="s">
        <v>128</v>
      </c>
    </row>
    <row r="5" spans="1:12">
      <c r="A5" s="28" t="s">
        <v>221</v>
      </c>
      <c r="B5" s="29">
        <v>43737.495439814818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>
      <c r="A6" s="28" t="s">
        <v>222</v>
      </c>
      <c r="B6" s="29">
        <v>43737.495439814818</v>
      </c>
      <c r="C6" s="28" t="s">
        <v>128</v>
      </c>
      <c r="D6" s="28" t="s">
        <v>129</v>
      </c>
      <c r="E6" s="28" t="s">
        <v>173</v>
      </c>
    </row>
    <row r="7" spans="1:12">
      <c r="A7" s="28" t="s">
        <v>223</v>
      </c>
      <c r="B7" s="29">
        <v>43742.970972222225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>
      <c r="A8" s="28" t="s">
        <v>227</v>
      </c>
      <c r="B8" s="29">
        <v>43742.970972222225</v>
      </c>
      <c r="C8" s="28" t="s">
        <v>128</v>
      </c>
    </row>
    <row r="9" spans="1:12">
      <c r="A9" s="28" t="s">
        <v>229</v>
      </c>
      <c r="B9" s="29">
        <v>43742.970972222225</v>
      </c>
      <c r="C9" s="28" t="s">
        <v>129</v>
      </c>
      <c r="D9" s="28" t="s">
        <v>173</v>
      </c>
      <c r="E9" s="28" t="s">
        <v>128</v>
      </c>
    </row>
    <row r="10" spans="1:12">
      <c r="A10" s="28" t="s">
        <v>230</v>
      </c>
      <c r="B10" s="29">
        <v>43742.970972222225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>
      <c r="A11" s="28" t="s">
        <v>231</v>
      </c>
      <c r="B11" s="29">
        <v>43742.970972222225</v>
      </c>
      <c r="C11" s="28" t="s">
        <v>128</v>
      </c>
    </row>
    <row r="12" spans="1:12">
      <c r="A12" s="28" t="s">
        <v>232</v>
      </c>
      <c r="B12" s="29">
        <v>43742.970972222225</v>
      </c>
      <c r="C12" s="28" t="s">
        <v>128</v>
      </c>
      <c r="D12" s="28" t="s">
        <v>129</v>
      </c>
      <c r="E12" s="28" t="s">
        <v>173</v>
      </c>
    </row>
    <row r="13" spans="1:12">
      <c r="A13" s="28" t="s">
        <v>233</v>
      </c>
      <c r="B13" s="29">
        <v>43742.970972222225</v>
      </c>
      <c r="C13" s="28" t="s">
        <v>128</v>
      </c>
      <c r="D13" s="28" t="s">
        <v>129</v>
      </c>
    </row>
    <row r="14" spans="1:12">
      <c r="A14" s="28" t="s">
        <v>234</v>
      </c>
      <c r="B14" s="29">
        <v>43745.944965277777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>
      <c r="A15" s="28" t="s">
        <v>235</v>
      </c>
      <c r="B15" s="29">
        <v>43743.069490740738</v>
      </c>
      <c r="C15" s="28" t="s">
        <v>128</v>
      </c>
      <c r="D15" s="28" t="s">
        <v>129</v>
      </c>
    </row>
    <row r="16" spans="1:12">
      <c r="A16" s="28" t="s">
        <v>236</v>
      </c>
      <c r="B16" s="29">
        <v>43745.944965277777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>
      <c r="A17" s="28" t="s">
        <v>237</v>
      </c>
      <c r="B17" s="29">
        <v>43745.944965277777</v>
      </c>
      <c r="C17" s="28" t="s">
        <v>128</v>
      </c>
      <c r="D17" s="28" t="s">
        <v>129</v>
      </c>
    </row>
    <row r="18" spans="1:12">
      <c r="A18" s="28" t="s">
        <v>238</v>
      </c>
      <c r="B18" s="29">
        <v>43744.985231481478</v>
      </c>
      <c r="C18" s="28" t="s">
        <v>128</v>
      </c>
    </row>
    <row r="19" spans="1:12">
      <c r="A19" s="28" t="s">
        <v>239</v>
      </c>
      <c r="B19" s="29">
        <v>43745.990891203706</v>
      </c>
      <c r="C19" s="28" t="s">
        <v>128</v>
      </c>
    </row>
    <row r="20" spans="1:12">
      <c r="A20" s="28" t="s">
        <v>240</v>
      </c>
      <c r="B20" s="29">
        <v>43790.470069444447</v>
      </c>
      <c r="C20" s="28" t="s">
        <v>128</v>
      </c>
      <c r="D20" s="28" t="s">
        <v>129</v>
      </c>
    </row>
    <row r="21" spans="1:12">
      <c r="A21" s="28" t="s">
        <v>241</v>
      </c>
      <c r="B21" s="29">
        <v>43790.470069444447</v>
      </c>
      <c r="C21" s="28" t="s">
        <v>128</v>
      </c>
    </row>
    <row r="22" spans="1:12">
      <c r="A22" s="28" t="s">
        <v>242</v>
      </c>
      <c r="B22" s="29">
        <v>43790.470069444447</v>
      </c>
      <c r="C22" s="28" t="s">
        <v>128</v>
      </c>
      <c r="D22" s="28" t="s">
        <v>129</v>
      </c>
      <c r="E22" s="28" t="s">
        <v>173</v>
      </c>
    </row>
    <row r="23" spans="1:12">
      <c r="A23" s="28" t="s">
        <v>243</v>
      </c>
      <c r="B23" s="29">
        <v>43807.985439814816</v>
      </c>
      <c r="C23" s="28" t="s">
        <v>128</v>
      </c>
    </row>
    <row r="24" spans="1:12">
      <c r="A24" s="28" t="s">
        <v>244</v>
      </c>
      <c r="B24" s="29">
        <v>43790.470069444447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>
      <c r="A25" s="28" t="s">
        <v>245</v>
      </c>
      <c r="B25" s="29">
        <v>43790.470069444447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>
      <c r="A26" s="28" t="s">
        <v>246</v>
      </c>
      <c r="B26" s="29">
        <v>43790.470069444447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>
      <c r="A27" s="28" t="s">
        <v>247</v>
      </c>
      <c r="B27" s="29">
        <v>43790.470069444447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>
      <c r="A28" s="28" t="s">
        <v>248</v>
      </c>
      <c r="B28" s="29">
        <v>43807.985439814816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>
      <c r="A29" s="28" t="s">
        <v>200</v>
      </c>
      <c r="B29" s="29">
        <v>43790.470069444447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>
      <c r="A30" s="28" t="s">
        <v>201</v>
      </c>
      <c r="B30" s="29">
        <v>43790.470069444447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>
      <c r="A31" s="28" t="s">
        <v>202</v>
      </c>
      <c r="B31" s="29">
        <v>43790.470069444447</v>
      </c>
      <c r="C31" s="28" t="s">
        <v>128</v>
      </c>
      <c r="D31" s="28" t="s">
        <v>129</v>
      </c>
      <c r="E31" s="28" t="s">
        <v>173</v>
      </c>
    </row>
    <row r="32" spans="1:12">
      <c r="A32" s="28" t="s">
        <v>204</v>
      </c>
      <c r="B32" s="29">
        <v>43790.470069444447</v>
      </c>
      <c r="C32" s="28" t="s">
        <v>128</v>
      </c>
      <c r="D32" s="28" t="s">
        <v>129</v>
      </c>
      <c r="E32" s="28" t="s">
        <v>173</v>
      </c>
    </row>
    <row r="33" spans="1:9">
      <c r="A33" s="28" t="s">
        <v>205</v>
      </c>
      <c r="B33" s="29">
        <v>43790.470069444447</v>
      </c>
      <c r="C33" s="28" t="s">
        <v>128</v>
      </c>
      <c r="D33" s="28" t="s">
        <v>129</v>
      </c>
      <c r="E33" s="28" t="s">
        <v>173</v>
      </c>
    </row>
    <row r="34" spans="1:9">
      <c r="A34" s="28" t="s">
        <v>206</v>
      </c>
      <c r="B34" s="29">
        <v>43790.470069444447</v>
      </c>
      <c r="C34" s="28" t="s">
        <v>128</v>
      </c>
      <c r="D34" s="28" t="s">
        <v>129</v>
      </c>
      <c r="E34" s="28" t="s">
        <v>173</v>
      </c>
    </row>
    <row r="35" spans="1:9">
      <c r="A35" s="28" t="s">
        <v>207</v>
      </c>
      <c r="B35" s="29">
        <v>43790.470069444447</v>
      </c>
      <c r="C35" s="28" t="s">
        <v>128</v>
      </c>
      <c r="D35" s="28" t="s">
        <v>129</v>
      </c>
      <c r="E35" s="28" t="s">
        <v>173</v>
      </c>
    </row>
    <row r="36" spans="1:9">
      <c r="A36" s="28" t="s">
        <v>208</v>
      </c>
      <c r="B36" s="29">
        <v>43790.470069444447</v>
      </c>
      <c r="C36" s="28" t="s">
        <v>128</v>
      </c>
      <c r="D36" s="28" t="s">
        <v>129</v>
      </c>
    </row>
    <row r="37" spans="1:9">
      <c r="A37" s="28" t="s">
        <v>209</v>
      </c>
      <c r="B37" s="29">
        <v>43790.470069444447</v>
      </c>
      <c r="C37" s="28" t="s">
        <v>128</v>
      </c>
      <c r="D37" s="28" t="s">
        <v>129</v>
      </c>
      <c r="E37" s="28" t="s">
        <v>173</v>
      </c>
    </row>
    <row r="38" spans="1:9">
      <c r="A38" s="28" t="s">
        <v>210</v>
      </c>
      <c r="B38" s="29">
        <v>43790.470069444447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>
      <c r="A39" s="28" t="s">
        <v>211</v>
      </c>
      <c r="B39" s="29">
        <v>43790.470069444447</v>
      </c>
      <c r="C39" s="28" t="s">
        <v>128</v>
      </c>
      <c r="D39" s="28" t="s">
        <v>129</v>
      </c>
      <c r="E39" s="28" t="s">
        <v>173</v>
      </c>
    </row>
    <row r="40" spans="1:9">
      <c r="A40" s="28" t="s">
        <v>212</v>
      </c>
      <c r="B40" s="29">
        <v>43790.470069444447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>
      <c r="A41" s="28" t="s">
        <v>213</v>
      </c>
      <c r="B41" s="29">
        <v>43790.470069444447</v>
      </c>
      <c r="C41" s="28" t="s">
        <v>128</v>
      </c>
    </row>
    <row r="42" spans="1:9">
      <c r="A42" s="28" t="s">
        <v>214</v>
      </c>
      <c r="B42" s="29">
        <v>43790.470069444447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>
      <c r="A43" s="28" t="s">
        <v>215</v>
      </c>
      <c r="B43" s="29">
        <v>43790.470069444447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>
      <c r="A44" s="28" t="s">
        <v>216</v>
      </c>
      <c r="B44" s="29">
        <v>43790.470069444447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>
      <c r="A45" s="28" t="s">
        <v>217</v>
      </c>
      <c r="B45" s="29">
        <v>43790.470069444447</v>
      </c>
      <c r="C45" s="28" t="s">
        <v>128</v>
      </c>
      <c r="D45" s="28" t="s">
        <v>129</v>
      </c>
    </row>
    <row r="46" spans="1:9">
      <c r="A46" s="28" t="s">
        <v>249</v>
      </c>
      <c r="B46" s="29">
        <v>43790.470069444447</v>
      </c>
      <c r="C46" s="28" t="s">
        <v>128</v>
      </c>
      <c r="D46" s="28" t="s">
        <v>129</v>
      </c>
    </row>
    <row r="47" spans="1:9">
      <c r="A47" s="28" t="s">
        <v>250</v>
      </c>
      <c r="B47" s="29">
        <v>43790.470069444447</v>
      </c>
      <c r="C47" s="28" t="s">
        <v>128</v>
      </c>
    </row>
    <row r="48" spans="1:9">
      <c r="A48" s="28" t="s">
        <v>251</v>
      </c>
      <c r="B48" s="29">
        <v>43790.470069444447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>
      <c r="A49" s="28" t="s">
        <v>252</v>
      </c>
      <c r="B49" s="29">
        <v>43790.470069444447</v>
      </c>
      <c r="C49" s="28" t="s">
        <v>128</v>
      </c>
      <c r="D49" s="28" t="s">
        <v>129</v>
      </c>
    </row>
    <row r="50" spans="1:9">
      <c r="A50" s="28" t="s">
        <v>253</v>
      </c>
      <c r="B50" s="29">
        <v>43790.470069444447</v>
      </c>
      <c r="C50" s="28" t="s">
        <v>128</v>
      </c>
    </row>
    <row r="51" spans="1:9">
      <c r="A51" s="28" t="s">
        <v>254</v>
      </c>
      <c r="B51" s="29">
        <v>43790.470069444447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>
      <c r="A52" s="28" t="s">
        <v>255</v>
      </c>
      <c r="B52" s="29">
        <v>43790.470069444447</v>
      </c>
      <c r="C52" s="28" t="s">
        <v>128</v>
      </c>
      <c r="D52" s="28" t="s">
        <v>129</v>
      </c>
    </row>
    <row r="53" spans="1:9">
      <c r="A53" s="28" t="s">
        <v>256</v>
      </c>
      <c r="B53" s="29">
        <v>43790.470069444447</v>
      </c>
      <c r="C53" s="28" t="s">
        <v>128</v>
      </c>
    </row>
    <row r="54" spans="1:9">
      <c r="A54" s="28" t="s">
        <v>257</v>
      </c>
      <c r="B54" s="29">
        <v>43790.470069444447</v>
      </c>
      <c r="C54" s="28" t="s">
        <v>128</v>
      </c>
      <c r="D54" s="28" t="s">
        <v>129</v>
      </c>
    </row>
    <row r="55" spans="1:9">
      <c r="A55" s="28" t="s">
        <v>258</v>
      </c>
      <c r="B55" s="29">
        <v>43790.470069444447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>
      <c r="A56" s="28" t="s">
        <v>259</v>
      </c>
      <c r="B56" s="29">
        <v>43790.470069444447</v>
      </c>
      <c r="C56" s="28" t="s">
        <v>128</v>
      </c>
    </row>
    <row r="57" spans="1:9">
      <c r="A57" s="28" t="s">
        <v>260</v>
      </c>
      <c r="B57" s="29">
        <v>43790.470069444447</v>
      </c>
      <c r="C57" s="28" t="s">
        <v>128</v>
      </c>
    </row>
    <row r="58" spans="1:9">
      <c r="A58" s="28" t="s">
        <v>261</v>
      </c>
      <c r="B58" s="29">
        <v>43790.470069444447</v>
      </c>
      <c r="C58" s="28" t="s">
        <v>128</v>
      </c>
      <c r="D58" s="28" t="s">
        <v>129</v>
      </c>
    </row>
    <row r="59" spans="1:9">
      <c r="A59" s="28" t="s">
        <v>262</v>
      </c>
      <c r="B59" s="29">
        <v>43790.470069444447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>
      <c r="A60" s="28" t="s">
        <v>263</v>
      </c>
      <c r="B60" s="29">
        <v>43790.470069444447</v>
      </c>
      <c r="C60" s="28" t="s">
        <v>128</v>
      </c>
    </row>
    <row r="61" spans="1:9">
      <c r="A61" s="28" t="s">
        <v>264</v>
      </c>
      <c r="B61" s="29">
        <v>43790.470069444447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>
      <c r="A62" s="28" t="s">
        <v>265</v>
      </c>
      <c r="B62" s="29">
        <v>43790.470069444447</v>
      </c>
      <c r="C62" s="28" t="s">
        <v>128</v>
      </c>
    </row>
    <row r="63" spans="1:9">
      <c r="A63" s="28" t="s">
        <v>266</v>
      </c>
      <c r="B63" s="29">
        <v>43793.717893518522</v>
      </c>
      <c r="C63" s="28" t="s">
        <v>128</v>
      </c>
    </row>
    <row r="64" spans="1:9">
      <c r="A64" s="28" t="s">
        <v>267</v>
      </c>
      <c r="B64" s="29">
        <v>43793.717893518522</v>
      </c>
      <c r="C64" s="28" t="s">
        <v>128</v>
      </c>
      <c r="D64" s="28" t="s">
        <v>129</v>
      </c>
    </row>
    <row r="65" spans="1:12">
      <c r="A65" s="28" t="s">
        <v>268</v>
      </c>
      <c r="B65" s="29">
        <v>43807.985439814816</v>
      </c>
      <c r="C65" s="28" t="s">
        <v>128</v>
      </c>
      <c r="D65" s="28" t="s">
        <v>129</v>
      </c>
      <c r="E65" s="28" t="s">
        <v>173</v>
      </c>
    </row>
    <row r="66" spans="1:12">
      <c r="A66" s="28" t="s">
        <v>269</v>
      </c>
      <c r="B66" s="29">
        <v>43807.985439814816</v>
      </c>
      <c r="C66" s="28" t="s">
        <v>128</v>
      </c>
    </row>
    <row r="67" spans="1:12">
      <c r="A67" s="28" t="s">
        <v>270</v>
      </c>
      <c r="B67" s="29">
        <v>43807.985439814816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>
      <c r="A68" s="28" t="s">
        <v>271</v>
      </c>
      <c r="B68" s="29">
        <v>43807.985439814816</v>
      </c>
      <c r="C68" s="28" t="s">
        <v>128</v>
      </c>
      <c r="D68" s="28" t="s">
        <v>129</v>
      </c>
      <c r="E68" s="28" t="s">
        <v>173</v>
      </c>
    </row>
    <row r="69" spans="1:12">
      <c r="A69" s="28" t="s">
        <v>272</v>
      </c>
      <c r="B69" s="29">
        <v>43807.985439814816</v>
      </c>
      <c r="C69" s="28" t="s">
        <v>128</v>
      </c>
      <c r="D69" s="28" t="s">
        <v>129</v>
      </c>
      <c r="E69" s="28" t="s">
        <v>173</v>
      </c>
    </row>
    <row r="70" spans="1:12">
      <c r="A70" s="28" t="s">
        <v>273</v>
      </c>
      <c r="B70" s="29">
        <v>43807.985439814816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>
      <c r="A71" s="28" t="s">
        <v>275</v>
      </c>
      <c r="B71" s="29">
        <v>43807.985439814816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>
      <c r="A72" s="28" t="s">
        <v>276</v>
      </c>
      <c r="B72" s="29">
        <v>43807.985439814816</v>
      </c>
      <c r="C72" s="28" t="s">
        <v>128</v>
      </c>
      <c r="D72" s="28" t="s">
        <v>129</v>
      </c>
    </row>
    <row r="73" spans="1:12">
      <c r="A73" s="28" t="s">
        <v>277</v>
      </c>
      <c r="B73" s="29">
        <v>43807.985439814816</v>
      </c>
      <c r="C73" s="28" t="s">
        <v>128</v>
      </c>
    </row>
    <row r="74" spans="1:12">
      <c r="A74" s="28" t="s">
        <v>278</v>
      </c>
      <c r="B74" s="29">
        <v>43807.985439814816</v>
      </c>
      <c r="C74" s="28" t="s">
        <v>128</v>
      </c>
    </row>
    <row r="75" spans="1:12">
      <c r="A75" s="28" t="s">
        <v>279</v>
      </c>
      <c r="B75" s="29">
        <v>43807.985439814816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>
      <c r="A76" s="28" t="s">
        <v>282</v>
      </c>
      <c r="B76" s="29">
        <v>43808.031099537038</v>
      </c>
      <c r="C76" s="28" t="s">
        <v>128</v>
      </c>
    </row>
    <row r="77" spans="1:12">
      <c r="A77" s="28" t="s">
        <v>283</v>
      </c>
      <c r="B77" s="29">
        <v>43809.033738425926</v>
      </c>
      <c r="C77" s="28" t="s">
        <v>128</v>
      </c>
      <c r="D77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6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4.5"/>
  <cols>
    <col min="1" max="1" width="11" customWidth="1"/>
    <col min="2" max="2" width="9" customWidth="1"/>
  </cols>
  <sheetData>
    <row r="1" spans="1:2">
      <c r="A1" t="s">
        <v>141</v>
      </c>
      <c r="B1">
        <v>750</v>
      </c>
    </row>
    <row r="2" spans="1:2">
      <c r="A2" t="s">
        <v>161</v>
      </c>
      <c r="B2">
        <v>67</v>
      </c>
    </row>
    <row r="3" spans="1:2">
      <c r="A3" t="s">
        <v>126</v>
      </c>
      <c r="B3">
        <v>151</v>
      </c>
    </row>
    <row r="4" spans="1:2">
      <c r="A4" t="s">
        <v>127</v>
      </c>
      <c r="B4">
        <v>132</v>
      </c>
    </row>
    <row r="5" spans="1:2">
      <c r="A5" t="s">
        <v>172</v>
      </c>
      <c r="B5">
        <v>89</v>
      </c>
    </row>
    <row r="6" spans="1:2">
      <c r="A6" t="s">
        <v>170</v>
      </c>
      <c r="B6">
        <v>100</v>
      </c>
    </row>
    <row r="7" spans="1:2">
      <c r="A7" t="s">
        <v>171</v>
      </c>
      <c r="B7">
        <v>111</v>
      </c>
    </row>
    <row r="8" spans="1:2">
      <c r="A8" t="s">
        <v>197</v>
      </c>
      <c r="B8">
        <v>53</v>
      </c>
    </row>
    <row r="9" spans="1:2">
      <c r="A9" t="s">
        <v>196</v>
      </c>
      <c r="B9">
        <v>25</v>
      </c>
    </row>
    <row r="10" spans="1:2">
      <c r="A10" t="s">
        <v>228</v>
      </c>
      <c r="B10">
        <v>7</v>
      </c>
    </row>
    <row r="11" spans="1:2">
      <c r="A11" t="s">
        <v>203</v>
      </c>
      <c r="B11">
        <v>2</v>
      </c>
    </row>
    <row r="12" spans="1:2">
      <c r="A12" t="s">
        <v>274</v>
      </c>
      <c r="B12">
        <v>6</v>
      </c>
    </row>
    <row r="13" spans="1:2">
      <c r="A13" t="s">
        <v>281</v>
      </c>
      <c r="B13">
        <v>4</v>
      </c>
    </row>
    <row r="14" spans="1:2">
      <c r="A14" t="s">
        <v>280</v>
      </c>
      <c r="B14">
        <v>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4.5"/>
  <cols>
    <col min="1" max="1" width="6" style="78" customWidth="1"/>
    <col min="2" max="2" width="10.7265625" style="79" customWidth="1"/>
    <col min="3" max="3" width="10.7265625" style="80" customWidth="1"/>
    <col min="4" max="4" width="10.7265625" style="81" customWidth="1"/>
    <col min="5" max="5" width="10.7265625" style="93" customWidth="1"/>
    <col min="6" max="6" width="10.7265625" style="81" customWidth="1"/>
    <col min="7" max="7" width="10.7265625" style="82" customWidth="1"/>
    <col min="8" max="8" width="10.7265625" style="81" customWidth="1"/>
    <col min="9" max="9" width="10.7265625" style="83" customWidth="1"/>
    <col min="10" max="10" width="10.7265625" style="81" customWidth="1"/>
    <col min="11" max="11" width="10.7265625" style="83" customWidth="1"/>
    <col min="12" max="12" width="10.7265625" style="81" customWidth="1"/>
    <col min="13" max="13" width="10.7265625" style="84" customWidth="1"/>
    <col min="14" max="14" width="10.7265625" style="81" customWidth="1"/>
    <col min="15" max="15" width="10.7265625" style="84" customWidth="1"/>
    <col min="16" max="16" width="10.7265625" style="81" customWidth="1"/>
    <col min="17" max="17" width="10.7265625" style="85" customWidth="1"/>
    <col min="18" max="18" width="10.7265625" style="81" customWidth="1"/>
    <col min="19" max="19" width="10.7265625" style="85" customWidth="1"/>
    <col min="20" max="20" width="10.7265625" style="81" customWidth="1"/>
    <col min="21" max="21" width="10.7265625" style="83" customWidth="1"/>
    <col min="22" max="22" width="10.7265625" style="81" customWidth="1"/>
    <col min="23" max="23" width="10.7265625" style="84" customWidth="1"/>
    <col min="24" max="24" width="10.7265625" style="81" customWidth="1"/>
    <col min="25" max="25" width="10.7265625" style="84" customWidth="1"/>
    <col min="26" max="26" width="10.7265625" style="81" customWidth="1"/>
    <col min="27" max="27" width="10.7265625" style="84" customWidth="1"/>
    <col min="28" max="28" width="10.7265625" style="81" customWidth="1"/>
    <col min="29" max="29" width="10.7265625" style="84" customWidth="1"/>
    <col min="30" max="30" width="10.7265625" style="81" customWidth="1"/>
    <col min="31" max="31" width="10.7265625" style="84" customWidth="1"/>
    <col min="32" max="32" width="10.7265625" style="81" customWidth="1"/>
    <col min="33" max="33" width="10.7265625" style="88" customWidth="1"/>
    <col min="34" max="16384" width="9" style="69"/>
  </cols>
  <sheetData>
    <row r="1" spans="1:33">
      <c r="A1" s="68"/>
      <c r="B1" s="172" t="s">
        <v>6</v>
      </c>
      <c r="C1" s="173"/>
      <c r="D1" s="172" t="s">
        <v>7</v>
      </c>
      <c r="E1" s="173"/>
      <c r="F1" s="172" t="s">
        <v>15</v>
      </c>
      <c r="G1" s="173"/>
      <c r="H1" s="172" t="s">
        <v>14</v>
      </c>
      <c r="I1" s="173"/>
      <c r="J1" s="172" t="s">
        <v>155</v>
      </c>
      <c r="K1" s="173"/>
      <c r="L1" s="172" t="s">
        <v>145</v>
      </c>
      <c r="M1" s="173"/>
      <c r="N1" s="172" t="s">
        <v>146</v>
      </c>
      <c r="O1" s="173"/>
      <c r="P1" s="172" t="s">
        <v>5</v>
      </c>
      <c r="Q1" s="173"/>
      <c r="R1" s="172" t="s">
        <v>16</v>
      </c>
      <c r="S1" s="173"/>
      <c r="T1" s="172" t="s">
        <v>17</v>
      </c>
      <c r="U1" s="173"/>
      <c r="V1" s="172" t="s">
        <v>122</v>
      </c>
      <c r="W1" s="173"/>
      <c r="X1" s="172" t="s">
        <v>119</v>
      </c>
      <c r="Y1" s="173"/>
      <c r="Z1" s="172" t="s">
        <v>125</v>
      </c>
      <c r="AA1" s="173"/>
      <c r="AB1" s="172" t="s">
        <v>147</v>
      </c>
      <c r="AC1" s="173"/>
      <c r="AD1" s="172" t="s">
        <v>140</v>
      </c>
      <c r="AE1" s="173"/>
      <c r="AF1" s="172" t="s">
        <v>192</v>
      </c>
      <c r="AG1" s="173"/>
    </row>
    <row r="2" spans="1:33">
      <c r="A2" s="68" t="s">
        <v>154</v>
      </c>
      <c r="B2" s="174"/>
      <c r="C2" s="175"/>
      <c r="D2" s="174"/>
      <c r="E2" s="175"/>
      <c r="F2" s="170">
        <v>0.98916561323580543</v>
      </c>
      <c r="G2" s="171"/>
      <c r="H2" s="170">
        <v>0.84971265873051205</v>
      </c>
      <c r="I2" s="171"/>
      <c r="J2" s="170">
        <v>0.90722920781878857</v>
      </c>
      <c r="K2" s="171"/>
      <c r="L2" s="170">
        <v>0.79763882837991695</v>
      </c>
      <c r="M2" s="171"/>
      <c r="N2" s="170">
        <v>0.5601053301742932</v>
      </c>
      <c r="O2" s="171"/>
      <c r="P2" s="170">
        <v>0.53137725680629888</v>
      </c>
      <c r="Q2" s="171"/>
      <c r="R2" s="170">
        <v>-1.2745929264370725E-2</v>
      </c>
      <c r="S2" s="171"/>
      <c r="T2" s="170">
        <v>0.56673365813958476</v>
      </c>
      <c r="U2" s="171"/>
      <c r="V2" s="170">
        <v>0.57625171147091847</v>
      </c>
      <c r="W2" s="171"/>
      <c r="X2" s="170">
        <v>-6.1521501002440936E-2</v>
      </c>
      <c r="Y2" s="171"/>
      <c r="Z2" s="170">
        <v>0.49165930854825052</v>
      </c>
      <c r="AA2" s="171"/>
      <c r="AB2" s="170">
        <v>0.28415815258537908</v>
      </c>
      <c r="AC2" s="171"/>
      <c r="AD2" s="170">
        <v>7.8829607726195045E-2</v>
      </c>
      <c r="AE2" s="171"/>
      <c r="AF2" s="170">
        <v>0.82717303096681527</v>
      </c>
      <c r="AG2" s="171"/>
    </row>
    <row r="3" spans="1:33">
      <c r="A3" s="70">
        <v>1</v>
      </c>
      <c r="B3" s="71" t="s">
        <v>126</v>
      </c>
      <c r="C3" s="72">
        <v>1213.5000000000002</v>
      </c>
      <c r="D3" s="73" t="s">
        <v>281</v>
      </c>
      <c r="E3" s="92">
        <v>27.475000000000001</v>
      </c>
      <c r="F3" s="73" t="s">
        <v>203</v>
      </c>
      <c r="G3" s="74">
        <v>1.5</v>
      </c>
      <c r="H3" s="73" t="s">
        <v>281</v>
      </c>
      <c r="I3" s="75">
        <v>0.75</v>
      </c>
      <c r="J3" s="73" t="s">
        <v>203</v>
      </c>
      <c r="K3" s="75">
        <v>0</v>
      </c>
      <c r="L3" s="73" t="s">
        <v>281</v>
      </c>
      <c r="M3" s="76">
        <v>0.5</v>
      </c>
      <c r="N3" s="73" t="s">
        <v>203</v>
      </c>
      <c r="O3" s="76">
        <v>6.6666666666666666E-2</v>
      </c>
      <c r="P3" s="73" t="s">
        <v>170</v>
      </c>
      <c r="Q3" s="77">
        <v>10834.375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0.46666666666666667</v>
      </c>
      <c r="X3" s="73" t="s">
        <v>228</v>
      </c>
      <c r="Y3" s="76">
        <v>0.35483870967741937</v>
      </c>
      <c r="Z3" s="73" t="s">
        <v>281</v>
      </c>
      <c r="AA3" s="76">
        <v>0.7857142857142857</v>
      </c>
      <c r="AB3" s="73" t="s">
        <v>203</v>
      </c>
      <c r="AC3" s="76">
        <v>1</v>
      </c>
      <c r="AD3" s="73" t="s">
        <v>280</v>
      </c>
      <c r="AE3" s="76">
        <v>0.66666666666666663</v>
      </c>
      <c r="AF3" s="73" t="s">
        <v>126</v>
      </c>
      <c r="AG3" s="87">
        <v>149100</v>
      </c>
    </row>
    <row r="4" spans="1:33">
      <c r="A4" s="78">
        <v>2</v>
      </c>
      <c r="B4" s="79" t="s">
        <v>170</v>
      </c>
      <c r="C4" s="80">
        <v>350.30000000000018</v>
      </c>
      <c r="D4" s="81" t="s">
        <v>203</v>
      </c>
      <c r="E4" s="93">
        <v>13.1</v>
      </c>
      <c r="F4" s="81" t="s">
        <v>281</v>
      </c>
      <c r="G4" s="82">
        <v>1.5</v>
      </c>
      <c r="H4" s="81" t="s">
        <v>203</v>
      </c>
      <c r="I4" s="83">
        <v>0.5</v>
      </c>
      <c r="J4" s="81" t="s">
        <v>281</v>
      </c>
      <c r="K4" s="83">
        <v>0.25</v>
      </c>
      <c r="L4" s="81" t="s">
        <v>203</v>
      </c>
      <c r="M4" s="84">
        <v>0.46666666666666667</v>
      </c>
      <c r="N4" s="81" t="s">
        <v>281</v>
      </c>
      <c r="O4" s="84">
        <v>0.1</v>
      </c>
      <c r="P4" s="81" t="s">
        <v>280</v>
      </c>
      <c r="Q4" s="85">
        <v>10666.666666666666</v>
      </c>
      <c r="R4" s="81" t="s">
        <v>280</v>
      </c>
      <c r="S4" s="85">
        <v>-7316.666666666667</v>
      </c>
      <c r="T4" s="81" t="s">
        <v>281</v>
      </c>
      <c r="U4" s="83">
        <v>0</v>
      </c>
      <c r="V4" s="81" t="s">
        <v>280</v>
      </c>
      <c r="W4" s="84">
        <v>0.33333333333333331</v>
      </c>
      <c r="X4" s="81" t="s">
        <v>203</v>
      </c>
      <c r="Y4" s="84">
        <v>0.33333333333333331</v>
      </c>
      <c r="Z4" s="81" t="s">
        <v>274</v>
      </c>
      <c r="AA4" s="84">
        <v>0.6470588235294118</v>
      </c>
      <c r="AB4" s="81" t="s">
        <v>281</v>
      </c>
      <c r="AC4" s="84">
        <v>0.8</v>
      </c>
      <c r="AD4" s="81" t="s">
        <v>196</v>
      </c>
      <c r="AE4" s="84">
        <v>0.5714285714285714</v>
      </c>
      <c r="AF4" s="81" t="s">
        <v>141</v>
      </c>
      <c r="AG4" s="88">
        <v>149100</v>
      </c>
    </row>
    <row r="5" spans="1:33">
      <c r="A5" s="78">
        <v>3</v>
      </c>
      <c r="B5" s="79" t="s">
        <v>281</v>
      </c>
      <c r="C5" s="80">
        <v>109.9</v>
      </c>
      <c r="D5" s="81" t="s">
        <v>126</v>
      </c>
      <c r="E5" s="93">
        <v>8.0364238410596034</v>
      </c>
      <c r="F5" s="81" t="s">
        <v>126</v>
      </c>
      <c r="G5" s="82">
        <v>1.8079470198675496</v>
      </c>
      <c r="H5" s="81" t="s">
        <v>126</v>
      </c>
      <c r="I5" s="83">
        <v>0.45033112582781459</v>
      </c>
      <c r="J5" s="81" t="s">
        <v>126</v>
      </c>
      <c r="K5" s="83">
        <v>0.25827814569536423</v>
      </c>
      <c r="L5" s="81" t="s">
        <v>126</v>
      </c>
      <c r="M5" s="84">
        <v>0.34359805510534847</v>
      </c>
      <c r="N5" s="81" t="s">
        <v>274</v>
      </c>
      <c r="O5" s="84">
        <v>0.11320754716981132</v>
      </c>
      <c r="P5" s="81" t="s">
        <v>171</v>
      </c>
      <c r="Q5" s="85">
        <v>8524.8062015503874</v>
      </c>
      <c r="R5" s="81" t="s">
        <v>171</v>
      </c>
      <c r="S5" s="85">
        <v>-7440.4958677685954</v>
      </c>
      <c r="T5" s="81" t="s">
        <v>126</v>
      </c>
      <c r="U5" s="83">
        <v>4.6357615894039736E-2</v>
      </c>
      <c r="V5" s="81" t="s">
        <v>274</v>
      </c>
      <c r="W5" s="84">
        <v>0.32075471698113206</v>
      </c>
      <c r="X5" s="81" t="s">
        <v>127</v>
      </c>
      <c r="Y5" s="84">
        <v>0.30505415162454874</v>
      </c>
      <c r="Z5" s="81" t="s">
        <v>126</v>
      </c>
      <c r="AA5" s="84">
        <v>0.6</v>
      </c>
      <c r="AB5" s="81" t="s">
        <v>274</v>
      </c>
      <c r="AC5" s="84">
        <v>0.7142857142857143</v>
      </c>
      <c r="AD5" s="81" t="s">
        <v>170</v>
      </c>
      <c r="AE5" s="84">
        <v>0.5223214285714286</v>
      </c>
      <c r="AF5" s="81" t="s">
        <v>170</v>
      </c>
      <c r="AG5" s="88">
        <v>122100</v>
      </c>
    </row>
    <row r="6" spans="1:33">
      <c r="A6" s="78">
        <v>4</v>
      </c>
      <c r="B6" s="79" t="s">
        <v>171</v>
      </c>
      <c r="C6" s="80">
        <v>106.3</v>
      </c>
      <c r="D6" s="81" t="s">
        <v>170</v>
      </c>
      <c r="E6" s="93">
        <v>3.5030000000000019</v>
      </c>
      <c r="F6" s="81" t="s">
        <v>170</v>
      </c>
      <c r="G6" s="82">
        <v>1.93</v>
      </c>
      <c r="H6" s="81" t="s">
        <v>228</v>
      </c>
      <c r="I6" s="83">
        <v>0.42857142857142855</v>
      </c>
      <c r="J6" s="81" t="s">
        <v>171</v>
      </c>
      <c r="K6" s="83">
        <v>0.27927927927927926</v>
      </c>
      <c r="L6" s="81" t="s">
        <v>274</v>
      </c>
      <c r="M6" s="84">
        <v>0.32075471698113206</v>
      </c>
      <c r="N6" s="81" t="s">
        <v>126</v>
      </c>
      <c r="O6" s="84">
        <v>0.13209076175040518</v>
      </c>
      <c r="P6" s="81" t="s">
        <v>127</v>
      </c>
      <c r="Q6" s="85">
        <v>8440.2985074626868</v>
      </c>
      <c r="R6" s="81" t="s">
        <v>172</v>
      </c>
      <c r="S6" s="85">
        <v>-7477.1428571428569</v>
      </c>
      <c r="T6" s="81" t="s">
        <v>171</v>
      </c>
      <c r="U6" s="83">
        <v>7.2072072072072071E-2</v>
      </c>
      <c r="V6" s="81" t="s">
        <v>170</v>
      </c>
      <c r="W6" s="84">
        <v>0.31467661691542287</v>
      </c>
      <c r="X6" s="81" t="s">
        <v>161</v>
      </c>
      <c r="Y6" s="84">
        <v>0.2533783783783784</v>
      </c>
      <c r="Z6" s="81" t="s">
        <v>196</v>
      </c>
      <c r="AA6" s="84">
        <v>0.59677419354838712</v>
      </c>
      <c r="AB6" s="81" t="s">
        <v>126</v>
      </c>
      <c r="AC6" s="84">
        <v>0.49300699300699302</v>
      </c>
      <c r="AD6" s="81" t="s">
        <v>172</v>
      </c>
      <c r="AE6" s="84">
        <v>0.46226415094339623</v>
      </c>
      <c r="AF6" s="81" t="s">
        <v>171</v>
      </c>
      <c r="AG6" s="88">
        <v>101400</v>
      </c>
    </row>
    <row r="7" spans="1:33">
      <c r="A7" s="78">
        <v>5</v>
      </c>
      <c r="B7" s="79" t="s">
        <v>127</v>
      </c>
      <c r="C7" s="80">
        <v>90.399999999999807</v>
      </c>
      <c r="D7" s="81" t="s">
        <v>171</v>
      </c>
      <c r="E7" s="93">
        <v>0.95765765765765765</v>
      </c>
      <c r="F7" s="81" t="s">
        <v>127</v>
      </c>
      <c r="G7" s="82">
        <v>1.946969696969697</v>
      </c>
      <c r="H7" s="81" t="s">
        <v>170</v>
      </c>
      <c r="I7" s="83">
        <v>0.39</v>
      </c>
      <c r="J7" s="81" t="s">
        <v>127</v>
      </c>
      <c r="K7" s="83">
        <v>0.29545454545454547</v>
      </c>
      <c r="L7" s="81" t="s">
        <v>127</v>
      </c>
      <c r="M7" s="84">
        <v>0.30234657039711194</v>
      </c>
      <c r="N7" s="81" t="s">
        <v>171</v>
      </c>
      <c r="O7" s="84">
        <v>0.13610798650168729</v>
      </c>
      <c r="P7" s="81" t="s">
        <v>141</v>
      </c>
      <c r="Q7" s="85">
        <v>8403.1995661605215</v>
      </c>
      <c r="R7" s="81" t="s">
        <v>161</v>
      </c>
      <c r="S7" s="85">
        <v>-7673.1182795698924</v>
      </c>
      <c r="T7" s="81" t="s">
        <v>161</v>
      </c>
      <c r="U7" s="83">
        <v>7.4626865671641784E-2</v>
      </c>
      <c r="V7" s="81" t="s">
        <v>172</v>
      </c>
      <c r="W7" s="84">
        <v>0.28174603174603174</v>
      </c>
      <c r="X7" s="81" t="s">
        <v>126</v>
      </c>
      <c r="Y7" s="84">
        <v>0.23176661264181522</v>
      </c>
      <c r="Z7" s="81" t="s">
        <v>171</v>
      </c>
      <c r="AA7" s="84">
        <v>0.57740585774058573</v>
      </c>
      <c r="AB7" s="81" t="s">
        <v>171</v>
      </c>
      <c r="AC7" s="84">
        <v>0.43076923076923079</v>
      </c>
      <c r="AD7" s="81" t="s">
        <v>197</v>
      </c>
      <c r="AE7" s="84">
        <v>0.44954128440366975</v>
      </c>
      <c r="AF7" s="81" t="s">
        <v>196</v>
      </c>
      <c r="AG7" s="88">
        <v>95200</v>
      </c>
    </row>
    <row r="8" spans="1:33">
      <c r="A8" s="78">
        <v>6</v>
      </c>
      <c r="B8" s="79" t="s">
        <v>203</v>
      </c>
      <c r="C8" s="80">
        <v>26.2</v>
      </c>
      <c r="D8" s="81" t="s">
        <v>127</v>
      </c>
      <c r="E8" s="93">
        <v>0.68484848484848337</v>
      </c>
      <c r="F8" s="81" t="s">
        <v>141</v>
      </c>
      <c r="G8" s="82">
        <v>2</v>
      </c>
      <c r="H8" s="81" t="s">
        <v>196</v>
      </c>
      <c r="I8" s="83">
        <v>0.36</v>
      </c>
      <c r="J8" s="81" t="s">
        <v>170</v>
      </c>
      <c r="K8" s="83">
        <v>0.32</v>
      </c>
      <c r="L8" s="81" t="s">
        <v>141</v>
      </c>
      <c r="M8" s="84">
        <v>0.29565496232162897</v>
      </c>
      <c r="N8" s="81" t="s">
        <v>161</v>
      </c>
      <c r="O8" s="84">
        <v>0.1570945945945946</v>
      </c>
      <c r="P8" s="81" t="s">
        <v>281</v>
      </c>
      <c r="Q8" s="85">
        <v>8393.3333333333339</v>
      </c>
      <c r="R8" s="81" t="s">
        <v>126</v>
      </c>
      <c r="S8" s="85">
        <v>-7676.687116564417</v>
      </c>
      <c r="T8" s="81" t="s">
        <v>172</v>
      </c>
      <c r="U8" s="83">
        <v>7.8651685393258425E-2</v>
      </c>
      <c r="V8" s="81" t="s">
        <v>171</v>
      </c>
      <c r="W8" s="84">
        <v>0.26884139482564678</v>
      </c>
      <c r="X8" s="81" t="s">
        <v>141</v>
      </c>
      <c r="Y8" s="84">
        <v>0.22911656244989578</v>
      </c>
      <c r="Z8" s="81" t="s">
        <v>141</v>
      </c>
      <c r="AA8" s="84">
        <v>0.55765595463137996</v>
      </c>
      <c r="AB8" s="81" t="s">
        <v>197</v>
      </c>
      <c r="AC8" s="84">
        <v>0.42268041237113402</v>
      </c>
      <c r="AD8" s="81" t="s">
        <v>171</v>
      </c>
      <c r="AE8" s="84">
        <v>0.44573643410852715</v>
      </c>
      <c r="AF8" s="81" t="s">
        <v>127</v>
      </c>
      <c r="AG8" s="88">
        <v>91800</v>
      </c>
    </row>
    <row r="9" spans="1:33">
      <c r="A9" s="78">
        <v>7</v>
      </c>
      <c r="B9" s="79" t="s">
        <v>141</v>
      </c>
      <c r="C9" s="80">
        <v>-3.4194869158454821E-14</v>
      </c>
      <c r="D9" s="81" t="s">
        <v>141</v>
      </c>
      <c r="E9" s="93">
        <v>-4.5593158877939763E-17</v>
      </c>
      <c r="F9" s="81" t="s">
        <v>274</v>
      </c>
      <c r="G9" s="82">
        <v>2</v>
      </c>
      <c r="H9" s="81" t="s">
        <v>127</v>
      </c>
      <c r="I9" s="83">
        <v>0.34848484848484851</v>
      </c>
      <c r="J9" s="81" t="s">
        <v>141</v>
      </c>
      <c r="K9" s="83">
        <v>0.33333333333333331</v>
      </c>
      <c r="L9" s="81" t="s">
        <v>171</v>
      </c>
      <c r="M9" s="84">
        <v>0.29021372328458944</v>
      </c>
      <c r="N9" s="81" t="s">
        <v>141</v>
      </c>
      <c r="O9" s="84">
        <v>0.16289882956549623</v>
      </c>
      <c r="P9" s="81" t="s">
        <v>196</v>
      </c>
      <c r="Q9" s="85">
        <v>8385.7142857142862</v>
      </c>
      <c r="R9" s="81" t="s">
        <v>141</v>
      </c>
      <c r="S9" s="85">
        <v>-7774.8031496062995</v>
      </c>
      <c r="T9" s="81" t="s">
        <v>141</v>
      </c>
      <c r="U9" s="83">
        <v>0.1</v>
      </c>
      <c r="V9" s="81" t="s">
        <v>126</v>
      </c>
      <c r="W9" s="84">
        <v>0.26742301458670986</v>
      </c>
      <c r="X9" s="81" t="s">
        <v>197</v>
      </c>
      <c r="Y9" s="84">
        <v>0.2255813953488372</v>
      </c>
      <c r="Z9" s="81" t="s">
        <v>170</v>
      </c>
      <c r="AA9" s="84">
        <v>0.55731225296442688</v>
      </c>
      <c r="AB9" s="81" t="s">
        <v>141</v>
      </c>
      <c r="AC9" s="84">
        <v>0.42267319804058784</v>
      </c>
      <c r="AD9" s="81" t="s">
        <v>141</v>
      </c>
      <c r="AE9" s="84">
        <v>0.44360086767895879</v>
      </c>
      <c r="AF9" s="81" t="s">
        <v>161</v>
      </c>
      <c r="AG9" s="88">
        <v>86900</v>
      </c>
    </row>
    <row r="10" spans="1:33">
      <c r="A10" s="78">
        <v>8</v>
      </c>
      <c r="B10" s="79" t="s">
        <v>274</v>
      </c>
      <c r="C10" s="80">
        <v>-17.799999999999997</v>
      </c>
      <c r="D10" s="81" t="s">
        <v>196</v>
      </c>
      <c r="E10" s="93">
        <v>-1.8280000000000001</v>
      </c>
      <c r="F10" s="81" t="s">
        <v>171</v>
      </c>
      <c r="G10" s="82">
        <v>2.0180180180180178</v>
      </c>
      <c r="H10" s="81" t="s">
        <v>141</v>
      </c>
      <c r="I10" s="83">
        <v>0.33333333333333331</v>
      </c>
      <c r="J10" s="81" t="s">
        <v>274</v>
      </c>
      <c r="K10" s="83">
        <v>0.33333333333333331</v>
      </c>
      <c r="L10" s="81" t="s">
        <v>172</v>
      </c>
      <c r="M10" s="84">
        <v>0.28042328042328041</v>
      </c>
      <c r="N10" s="81" t="s">
        <v>196</v>
      </c>
      <c r="O10" s="84">
        <v>0.17499999999999999</v>
      </c>
      <c r="P10" s="81" t="s">
        <v>126</v>
      </c>
      <c r="Q10" s="85">
        <v>8161.3207547169814</v>
      </c>
      <c r="R10" s="81" t="s">
        <v>127</v>
      </c>
      <c r="S10" s="85">
        <v>-7874.8792270531403</v>
      </c>
      <c r="T10" s="81" t="s">
        <v>170</v>
      </c>
      <c r="U10" s="83">
        <v>0.11</v>
      </c>
      <c r="V10" s="81" t="s">
        <v>203</v>
      </c>
      <c r="W10" s="84">
        <v>0.26666666666666666</v>
      </c>
      <c r="X10" s="81" t="s">
        <v>171</v>
      </c>
      <c r="Y10" s="84">
        <v>0.21934758155230596</v>
      </c>
      <c r="Z10" s="81" t="s">
        <v>172</v>
      </c>
      <c r="AA10" s="84">
        <v>0.5539906103286385</v>
      </c>
      <c r="AB10" s="81" t="s">
        <v>172</v>
      </c>
      <c r="AC10" s="84">
        <v>0.41447368421052633</v>
      </c>
      <c r="AD10" s="81" t="s">
        <v>126</v>
      </c>
      <c r="AE10" s="84">
        <v>0.419811320754717</v>
      </c>
      <c r="AF10" s="81" t="s">
        <v>197</v>
      </c>
      <c r="AG10" s="88">
        <v>85100</v>
      </c>
    </row>
    <row r="11" spans="1:33">
      <c r="A11" s="78">
        <v>9</v>
      </c>
      <c r="B11" s="79" t="s">
        <v>196</v>
      </c>
      <c r="C11" s="80">
        <v>-45.7</v>
      </c>
      <c r="D11" s="81" t="s">
        <v>274</v>
      </c>
      <c r="E11" s="93">
        <v>-2.9666666666666663</v>
      </c>
      <c r="F11" s="81" t="s">
        <v>196</v>
      </c>
      <c r="G11" s="82">
        <v>2.04</v>
      </c>
      <c r="H11" s="81" t="s">
        <v>274</v>
      </c>
      <c r="I11" s="83">
        <v>0.33333333333333331</v>
      </c>
      <c r="J11" s="81" t="s">
        <v>280</v>
      </c>
      <c r="K11" s="83">
        <v>0.33333333333333331</v>
      </c>
      <c r="L11" s="81" t="s">
        <v>170</v>
      </c>
      <c r="M11" s="84">
        <v>0.27860696517412936</v>
      </c>
      <c r="N11" s="81" t="s">
        <v>170</v>
      </c>
      <c r="O11" s="84">
        <v>0.17537313432835822</v>
      </c>
      <c r="P11" s="81" t="s">
        <v>197</v>
      </c>
      <c r="Q11" s="85">
        <v>7900</v>
      </c>
      <c r="R11" s="81" t="s">
        <v>281</v>
      </c>
      <c r="S11" s="85">
        <v>-7900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0.20105820105820105</v>
      </c>
      <c r="Z11" s="81" t="s">
        <v>228</v>
      </c>
      <c r="AA11" s="84">
        <v>0.53333333333333333</v>
      </c>
      <c r="AB11" s="81" t="s">
        <v>161</v>
      </c>
      <c r="AC11" s="84">
        <v>0.40666666666666668</v>
      </c>
      <c r="AD11" s="81" t="s">
        <v>127</v>
      </c>
      <c r="AE11" s="84">
        <v>0.41492537313432837</v>
      </c>
      <c r="AF11" s="81" t="s">
        <v>281</v>
      </c>
      <c r="AG11" s="88">
        <v>70900</v>
      </c>
    </row>
    <row r="12" spans="1:33">
      <c r="A12" s="78">
        <v>10</v>
      </c>
      <c r="B12" s="79" t="s">
        <v>280</v>
      </c>
      <c r="C12" s="80">
        <v>-66.400000000000006</v>
      </c>
      <c r="D12" s="81" t="s">
        <v>172</v>
      </c>
      <c r="E12" s="93">
        <v>-5.7898876404494386</v>
      </c>
      <c r="F12" s="81" t="s">
        <v>228</v>
      </c>
      <c r="G12" s="82">
        <v>2.1428571428571428</v>
      </c>
      <c r="H12" s="81" t="s">
        <v>161</v>
      </c>
      <c r="I12" s="83">
        <v>0.31343283582089554</v>
      </c>
      <c r="J12" s="81" t="s">
        <v>172</v>
      </c>
      <c r="K12" s="83">
        <v>0.3707865168539326</v>
      </c>
      <c r="L12" s="81" t="s">
        <v>161</v>
      </c>
      <c r="M12" s="84">
        <v>0.27364864864864863</v>
      </c>
      <c r="N12" s="81" t="s">
        <v>172</v>
      </c>
      <c r="O12" s="84">
        <v>0.18518518518518517</v>
      </c>
      <c r="P12" s="81" t="s">
        <v>172</v>
      </c>
      <c r="Q12" s="85">
        <v>7730.1886792452833</v>
      </c>
      <c r="R12" s="81" t="s">
        <v>203</v>
      </c>
      <c r="S12" s="85">
        <v>-8000</v>
      </c>
      <c r="T12" s="81" t="s">
        <v>127</v>
      </c>
      <c r="U12" s="83">
        <v>0.13636363636363635</v>
      </c>
      <c r="V12" s="81" t="s">
        <v>141</v>
      </c>
      <c r="W12" s="84">
        <v>0.25444925444925443</v>
      </c>
      <c r="X12" s="81" t="s">
        <v>281</v>
      </c>
      <c r="Y12" s="84">
        <v>0.16666666666666666</v>
      </c>
      <c r="Z12" s="81" t="s">
        <v>197</v>
      </c>
      <c r="AA12" s="84">
        <v>0.53260869565217395</v>
      </c>
      <c r="AB12" s="81" t="s">
        <v>170</v>
      </c>
      <c r="AC12" s="84">
        <v>0.39393939393939392</v>
      </c>
      <c r="AD12" s="81" t="s">
        <v>274</v>
      </c>
      <c r="AE12" s="84">
        <v>0.41176470588235292</v>
      </c>
      <c r="AF12" s="81" t="s">
        <v>172</v>
      </c>
      <c r="AG12" s="88">
        <v>69500</v>
      </c>
    </row>
    <row r="13" spans="1:33">
      <c r="A13" s="78">
        <v>11</v>
      </c>
      <c r="B13" s="79" t="s">
        <v>228</v>
      </c>
      <c r="C13" s="80">
        <v>-104.80000000000001</v>
      </c>
      <c r="D13" s="81" t="s">
        <v>161</v>
      </c>
      <c r="E13" s="93">
        <v>-7.3731343283582111</v>
      </c>
      <c r="F13" s="81" t="s">
        <v>172</v>
      </c>
      <c r="G13" s="82">
        <v>2.1460674157303372</v>
      </c>
      <c r="H13" s="81" t="s">
        <v>171</v>
      </c>
      <c r="I13" s="83">
        <v>0.26126126126126126</v>
      </c>
      <c r="J13" s="81" t="s">
        <v>196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0.18682310469314078</v>
      </c>
      <c r="P13" s="81" t="s">
        <v>228</v>
      </c>
      <c r="Q13" s="85">
        <v>7473.333333333333</v>
      </c>
      <c r="R13" s="81" t="s">
        <v>197</v>
      </c>
      <c r="S13" s="85">
        <v>-8064.1975308641977</v>
      </c>
      <c r="T13" s="81" t="s">
        <v>274</v>
      </c>
      <c r="U13" s="83">
        <v>0.16666666666666666</v>
      </c>
      <c r="V13" s="81" t="s">
        <v>228</v>
      </c>
      <c r="W13" s="84">
        <v>0.24193548387096775</v>
      </c>
      <c r="X13" s="81" t="s">
        <v>280</v>
      </c>
      <c r="Y13" s="84">
        <v>0.16666666666666666</v>
      </c>
      <c r="Z13" s="81" t="s">
        <v>161</v>
      </c>
      <c r="AA13" s="84">
        <v>0.51162790697674421</v>
      </c>
      <c r="AB13" s="81" t="s">
        <v>127</v>
      </c>
      <c r="AC13" s="84">
        <v>0.38165680473372782</v>
      </c>
      <c r="AD13" s="81" t="s">
        <v>161</v>
      </c>
      <c r="AE13" s="84">
        <v>0.40123456790123457</v>
      </c>
      <c r="AF13" s="81" t="s">
        <v>228</v>
      </c>
      <c r="AG13" s="88">
        <v>59500</v>
      </c>
    </row>
    <row r="14" spans="1:33">
      <c r="A14" s="78">
        <v>12</v>
      </c>
      <c r="B14" s="79" t="s">
        <v>161</v>
      </c>
      <c r="C14" s="80">
        <v>-494.00000000000017</v>
      </c>
      <c r="D14" s="81" t="s">
        <v>197</v>
      </c>
      <c r="E14" s="93">
        <v>-12.313207547169812</v>
      </c>
      <c r="F14" s="81" t="s">
        <v>161</v>
      </c>
      <c r="G14" s="82">
        <v>2.1641791044776117</v>
      </c>
      <c r="H14" s="81" t="s">
        <v>172</v>
      </c>
      <c r="I14" s="83">
        <v>0.2247191011235955</v>
      </c>
      <c r="J14" s="81" t="s">
        <v>161</v>
      </c>
      <c r="K14" s="83">
        <v>0.47761194029850745</v>
      </c>
      <c r="L14" s="81" t="s">
        <v>197</v>
      </c>
      <c r="M14" s="84">
        <v>0.25348837209302327</v>
      </c>
      <c r="N14" s="81" t="s">
        <v>197</v>
      </c>
      <c r="O14" s="84">
        <v>0.1883720930232558</v>
      </c>
      <c r="P14" s="81" t="s">
        <v>203</v>
      </c>
      <c r="Q14" s="85">
        <v>7385.7142857142853</v>
      </c>
      <c r="R14" s="81" t="s">
        <v>170</v>
      </c>
      <c r="S14" s="85">
        <v>-8365.9574468085102</v>
      </c>
      <c r="T14" s="81" t="s">
        <v>197</v>
      </c>
      <c r="U14" s="83">
        <v>0.18867924528301888</v>
      </c>
      <c r="V14" s="81" t="s">
        <v>127</v>
      </c>
      <c r="W14" s="84">
        <v>0.2292418772563177</v>
      </c>
      <c r="X14" s="81" t="s">
        <v>170</v>
      </c>
      <c r="Y14" s="84">
        <v>0.16417910447761194</v>
      </c>
      <c r="Z14" s="81" t="s">
        <v>203</v>
      </c>
      <c r="AA14" s="84">
        <v>0.5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274</v>
      </c>
      <c r="AG14" s="88">
        <v>57700</v>
      </c>
    </row>
    <row r="15" spans="1:33">
      <c r="A15" s="78">
        <v>13</v>
      </c>
      <c r="B15" s="79" t="s">
        <v>172</v>
      </c>
      <c r="C15" s="80">
        <v>-515.30000000000007</v>
      </c>
      <c r="D15" s="81" t="s">
        <v>228</v>
      </c>
      <c r="E15" s="93">
        <v>-14.971428571428573</v>
      </c>
      <c r="F15" s="81" t="s">
        <v>197</v>
      </c>
      <c r="G15" s="82">
        <v>2.3207547169811322</v>
      </c>
      <c r="H15" s="81" t="s">
        <v>197</v>
      </c>
      <c r="I15" s="83">
        <v>0.16981132075471697</v>
      </c>
      <c r="J15" s="81" t="s">
        <v>197</v>
      </c>
      <c r="K15" s="83">
        <v>0.49056603773584906</v>
      </c>
      <c r="L15" s="81" t="s">
        <v>228</v>
      </c>
      <c r="M15" s="84">
        <v>0.24193548387096775</v>
      </c>
      <c r="N15" s="81" t="s">
        <v>228</v>
      </c>
      <c r="O15" s="84">
        <v>0.19354838709677419</v>
      </c>
      <c r="P15" s="81" t="s">
        <v>274</v>
      </c>
      <c r="Q15" s="85">
        <v>6935.2941176470586</v>
      </c>
      <c r="R15" s="81" t="s">
        <v>274</v>
      </c>
      <c r="S15" s="85">
        <v>-8500</v>
      </c>
      <c r="T15" s="81" t="s">
        <v>280</v>
      </c>
      <c r="U15" s="83">
        <v>0.33333333333333331</v>
      </c>
      <c r="V15" s="81" t="s">
        <v>197</v>
      </c>
      <c r="W15" s="84">
        <v>0.21395348837209302</v>
      </c>
      <c r="X15" s="81" t="s">
        <v>196</v>
      </c>
      <c r="Y15" s="84">
        <v>0.15</v>
      </c>
      <c r="Z15" s="81" t="s">
        <v>127</v>
      </c>
      <c r="AA15" s="84">
        <v>0.49606299212598426</v>
      </c>
      <c r="AB15" s="81" t="s">
        <v>228</v>
      </c>
      <c r="AC15" s="84">
        <v>0.27272727272727271</v>
      </c>
      <c r="AD15" s="81" t="s">
        <v>281</v>
      </c>
      <c r="AE15" s="84">
        <v>0.33333333333333331</v>
      </c>
      <c r="AF15" s="81" t="s">
        <v>203</v>
      </c>
      <c r="AG15" s="88">
        <v>52800</v>
      </c>
    </row>
    <row r="16" spans="1:33">
      <c r="A16" s="78">
        <v>14</v>
      </c>
      <c r="B16" s="79" t="s">
        <v>197</v>
      </c>
      <c r="C16" s="80">
        <v>-652.6</v>
      </c>
      <c r="D16" s="81" t="s">
        <v>280</v>
      </c>
      <c r="E16" s="93">
        <v>-22.133333333333336</v>
      </c>
      <c r="F16" s="81" t="s">
        <v>280</v>
      </c>
      <c r="G16" s="82">
        <v>2.3333333333333335</v>
      </c>
      <c r="H16" s="81" t="s">
        <v>280</v>
      </c>
      <c r="I16" s="83">
        <v>0</v>
      </c>
      <c r="J16" s="81" t="s">
        <v>228</v>
      </c>
      <c r="K16" s="83">
        <v>0.5714285714285714</v>
      </c>
      <c r="L16" s="81" t="s">
        <v>280</v>
      </c>
      <c r="M16" s="84">
        <v>0.125</v>
      </c>
      <c r="N16" s="81" t="s">
        <v>280</v>
      </c>
      <c r="O16" s="84">
        <v>0.25</v>
      </c>
      <c r="P16" s="81" t="s">
        <v>161</v>
      </c>
      <c r="Q16" s="85">
        <v>6873.4567901234568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0.14527027027027026</v>
      </c>
      <c r="X16" s="81" t="s">
        <v>274</v>
      </c>
      <c r="Y16" s="84">
        <v>0.13207547169811321</v>
      </c>
      <c r="Z16" s="81" t="s">
        <v>280</v>
      </c>
      <c r="AA16" s="84">
        <v>0.25</v>
      </c>
      <c r="AB16" s="81" t="s">
        <v>280</v>
      </c>
      <c r="AC16" s="84">
        <v>0.25</v>
      </c>
      <c r="AD16" s="81" t="s">
        <v>203</v>
      </c>
      <c r="AE16" s="84">
        <v>0.2857142857142857</v>
      </c>
      <c r="AF16" s="81" t="s">
        <v>280</v>
      </c>
      <c r="AG16" s="88">
        <v>36300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7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141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750</v>
      </c>
      <c r="C2" s="163"/>
      <c r="E2" s="58" t="s">
        <v>66</v>
      </c>
      <c r="F2" s="55" t="s">
        <v>22</v>
      </c>
      <c r="G2" s="43">
        <v>1404</v>
      </c>
      <c r="H2" s="128">
        <f>IF(B$15=0,0,G2/B$15)</f>
        <v>0.76138828633405642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-26.773761713520749</v>
      </c>
      <c r="P2" s="114">
        <v>747</v>
      </c>
      <c r="Q2" s="98">
        <v>-20000</v>
      </c>
    </row>
    <row r="3" spans="1:17">
      <c r="A3" s="51" t="s">
        <v>8</v>
      </c>
      <c r="B3" s="164">
        <v>6237</v>
      </c>
      <c r="C3" s="165"/>
      <c r="E3" s="59" t="s">
        <v>72</v>
      </c>
      <c r="F3" s="56" t="s">
        <v>27</v>
      </c>
      <c r="G3" s="44">
        <v>993</v>
      </c>
      <c r="H3" s="129">
        <f>IF(B$15=0,0,G3/B$15)</f>
        <v>0.53850325379609543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12.244897959183673</v>
      </c>
      <c r="P3" s="115">
        <v>735</v>
      </c>
      <c r="Q3" s="99">
        <v>9000</v>
      </c>
    </row>
    <row r="4" spans="1:17">
      <c r="A4" s="51" t="s">
        <v>6</v>
      </c>
      <c r="B4" s="166">
        <v>-3.4194869158454821E-14</v>
      </c>
      <c r="C4" s="167"/>
      <c r="E4" s="59" t="s">
        <v>64</v>
      </c>
      <c r="F4" s="56" t="s">
        <v>20</v>
      </c>
      <c r="G4" s="44">
        <v>854</v>
      </c>
      <c r="H4" s="129">
        <f>IF(B$15=0,0,G4/B$15)</f>
        <v>0.46312364425162689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-10.144927536231885</v>
      </c>
      <c r="P4" s="115">
        <v>690</v>
      </c>
      <c r="Q4" s="99">
        <v>-7000</v>
      </c>
    </row>
    <row r="5" spans="1:17">
      <c r="A5" s="51" t="s">
        <v>7</v>
      </c>
      <c r="B5" s="168">
        <f>IF(B$2=0,0,B$4/B$2)</f>
        <v>-4.5593158877939763E-17</v>
      </c>
      <c r="C5" s="169"/>
      <c r="E5" s="59" t="s">
        <v>166</v>
      </c>
      <c r="F5" s="56" t="s">
        <v>167</v>
      </c>
      <c r="G5" s="44">
        <v>731</v>
      </c>
      <c r="H5" s="129">
        <f>IF(B$15=0,0,G5/B$15)</f>
        <v>0.39642082429501085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9.2165898617511512</v>
      </c>
      <c r="P5" s="115">
        <v>651</v>
      </c>
      <c r="Q5" s="99">
        <v>6000</v>
      </c>
    </row>
    <row r="6" spans="1:17">
      <c r="A6" s="51" t="s">
        <v>1</v>
      </c>
      <c r="B6" s="158">
        <f>IF(B$2=0,0,(B$7*1+B$8*2+B$9*3)/B$2)</f>
        <v>2</v>
      </c>
      <c r="C6" s="159"/>
      <c r="E6" s="59" t="s">
        <v>68</v>
      </c>
      <c r="F6" s="56" t="s">
        <v>12</v>
      </c>
      <c r="G6" s="44">
        <v>570</v>
      </c>
      <c r="H6" s="129">
        <f>IF(B$15=0,0,G6/B$15)</f>
        <v>0.30911062906724512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8.3752093802345051</v>
      </c>
      <c r="P6" s="115">
        <v>597</v>
      </c>
      <c r="Q6" s="99">
        <v>5000</v>
      </c>
    </row>
    <row r="7" spans="1:17">
      <c r="A7" s="51" t="s">
        <v>2</v>
      </c>
      <c r="B7" s="44">
        <v>250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527</v>
      </c>
      <c r="H7" s="129">
        <f>IF(B$15=0,0,G7/B$15)</f>
        <v>0.28579175704989151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12.121212121212121</v>
      </c>
      <c r="P7" s="116">
        <v>495</v>
      </c>
      <c r="Q7" s="100">
        <v>6000</v>
      </c>
    </row>
    <row r="8" spans="1:17">
      <c r="A8" s="51" t="s">
        <v>3</v>
      </c>
      <c r="B8" s="44">
        <v>250</v>
      </c>
      <c r="C8" s="37">
        <f t="shared" si="1"/>
        <v>0.33333333333333331</v>
      </c>
      <c r="E8" s="59" t="s">
        <v>69</v>
      </c>
      <c r="F8" s="56" t="s">
        <v>24</v>
      </c>
      <c r="G8" s="44">
        <v>272</v>
      </c>
      <c r="H8" s="129">
        <f>IF(B$15=0,0,G8/B$15)</f>
        <v>0.1475054229934924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>
      <c r="A9" s="52" t="s">
        <v>4</v>
      </c>
      <c r="B9" s="45">
        <v>250</v>
      </c>
      <c r="C9" s="38">
        <f t="shared" si="1"/>
        <v>0.33333333333333331</v>
      </c>
      <c r="E9" s="59" t="s">
        <v>89</v>
      </c>
      <c r="F9" s="56" t="s">
        <v>44</v>
      </c>
      <c r="G9" s="44">
        <v>245</v>
      </c>
      <c r="H9" s="129">
        <f>IF(B$15=0,0,G9/B$15)</f>
        <v>0.13286334056399132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75</v>
      </c>
      <c r="C10" s="40">
        <f t="shared" si="1"/>
        <v>0.1</v>
      </c>
      <c r="E10" s="59" t="s">
        <v>65</v>
      </c>
      <c r="F10" s="56" t="s">
        <v>21</v>
      </c>
      <c r="G10" s="44">
        <v>198</v>
      </c>
      <c r="H10" s="129">
        <f>IF(B$15=0,0,G10/B$15)</f>
        <v>0.10737527114967461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-1.7392000000000007</v>
      </c>
      <c r="P10" s="114">
        <v>250</v>
      </c>
      <c r="Q10" s="102">
        <v>-434.80000000000018</v>
      </c>
    </row>
    <row r="11" spans="1:17">
      <c r="A11" s="54" t="s">
        <v>121</v>
      </c>
      <c r="B11" s="47">
        <v>1587</v>
      </c>
      <c r="C11" s="42">
        <f>IF(B$3=0,0,B11/B$3)</f>
        <v>0.25444925444925443</v>
      </c>
      <c r="E11" s="59" t="s">
        <v>70</v>
      </c>
      <c r="F11" s="56" t="s">
        <v>25</v>
      </c>
      <c r="G11" s="44">
        <v>168</v>
      </c>
      <c r="H11" s="129">
        <f>IF(B$15=0,0,G11/B$15)</f>
        <v>9.1106290672451198E-2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0.66800000000000004</v>
      </c>
      <c r="P11" s="115">
        <v>250</v>
      </c>
      <c r="Q11" s="103">
        <v>167</v>
      </c>
    </row>
    <row r="12" spans="1:17">
      <c r="A12" s="51" t="s">
        <v>118</v>
      </c>
      <c r="B12" s="44">
        <v>1429</v>
      </c>
      <c r="C12" s="37">
        <f>IF(B$3=0,0,B12/B$3)</f>
        <v>0.22911656244989578</v>
      </c>
      <c r="E12" s="59" t="s">
        <v>71</v>
      </c>
      <c r="F12" s="56" t="s">
        <v>26</v>
      </c>
      <c r="G12" s="44">
        <v>146</v>
      </c>
      <c r="H12" s="129">
        <f>IF(B$15=0,0,G12/B$15)</f>
        <v>7.9175704989154008E-2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1.0711999999999995</v>
      </c>
      <c r="P12" s="116">
        <v>250</v>
      </c>
      <c r="Q12" s="104">
        <v>267.7999999999999</v>
      </c>
    </row>
    <row r="13" spans="1:17">
      <c r="A13" s="50" t="s">
        <v>123</v>
      </c>
      <c r="B13" s="43">
        <f>B19</f>
        <v>885</v>
      </c>
      <c r="C13" s="35">
        <f>IF(B$11=0,0,B13/B$11)</f>
        <v>0.55765595463137996</v>
      </c>
      <c r="E13" s="59" t="s">
        <v>86</v>
      </c>
      <c r="F13" s="56" t="s">
        <v>41</v>
      </c>
      <c r="G13" s="44">
        <v>98</v>
      </c>
      <c r="H13" s="129">
        <f>IF(B$15=0,0,G13/B$15)</f>
        <v>5.3145336225596529E-2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604</v>
      </c>
      <c r="C14" s="35">
        <f>IF(B$12=0,0,B14/B$12)</f>
        <v>0.42267319804058784</v>
      </c>
      <c r="E14" s="59" t="s">
        <v>83</v>
      </c>
      <c r="F14" s="56" t="s">
        <v>38</v>
      </c>
      <c r="G14" s="44">
        <v>95</v>
      </c>
      <c r="H14" s="129">
        <f>IF(B$15=0,0,G14/B$15)</f>
        <v>5.1518438177874187E-2</v>
      </c>
      <c r="I14" s="90">
        <v>8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1844</v>
      </c>
      <c r="C15" s="35">
        <f>IF(B$3=0,0,B15/B$3)</f>
        <v>0.29565496232162897</v>
      </c>
      <c r="E15" s="59" t="s">
        <v>162</v>
      </c>
      <c r="F15" s="56" t="s">
        <v>163</v>
      </c>
      <c r="G15" s="44">
        <v>44</v>
      </c>
      <c r="H15" s="129">
        <f>IF(B$15=0,0,G15/B$15)</f>
        <v>2.3861171366594359E-2</v>
      </c>
      <c r="I15" s="90">
        <v>3</v>
      </c>
      <c r="K15" s="36">
        <v>13</v>
      </c>
      <c r="L15" s="95">
        <v>-1.7</v>
      </c>
      <c r="N15" s="110" t="s">
        <v>280</v>
      </c>
      <c r="O15" s="120">
        <f>IF(P15=0,0,Q15/P15)</f>
        <v>33.20000000000001</v>
      </c>
      <c r="P15" s="114">
        <v>6</v>
      </c>
      <c r="Q15" s="102">
        <v>199.20000000000005</v>
      </c>
    </row>
    <row r="16" spans="1:17">
      <c r="A16" s="51" t="s">
        <v>13</v>
      </c>
      <c r="B16" s="44">
        <v>1016</v>
      </c>
      <c r="C16" s="37">
        <f>IF(B$3=0,0,B16/B$3)</f>
        <v>0.16289882956549623</v>
      </c>
      <c r="E16" s="59" t="s">
        <v>78</v>
      </c>
      <c r="F16" s="56" t="s">
        <v>33</v>
      </c>
      <c r="G16" s="44">
        <v>43</v>
      </c>
      <c r="H16" s="129">
        <f>IF(B$15=0,0,G16/B$15)</f>
        <v>2.3318872017353578E-2</v>
      </c>
      <c r="I16" s="90">
        <v>6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>
      <c r="A17" s="51" t="s">
        <v>12</v>
      </c>
      <c r="B17" s="44">
        <v>818</v>
      </c>
      <c r="C17" s="37">
        <f>IF(B$15=0,0,B17/B$15)</f>
        <v>0.44360086767895879</v>
      </c>
      <c r="E17" s="59" t="s">
        <v>81</v>
      </c>
      <c r="F17" s="56" t="s">
        <v>36</v>
      </c>
      <c r="G17" s="44">
        <v>34</v>
      </c>
      <c r="H17" s="129">
        <f>IF(B$15=0,0,G17/B$15)</f>
        <v>1.843817787418655E-2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18.469811320754705</v>
      </c>
      <c r="P17" s="115">
        <v>106</v>
      </c>
      <c r="Q17" s="103">
        <v>1957.7999999999986</v>
      </c>
    </row>
    <row r="18" spans="1:17">
      <c r="A18" s="51" t="s">
        <v>11</v>
      </c>
      <c r="B18" s="44">
        <v>1026</v>
      </c>
      <c r="C18" s="37">
        <f>IF(B$15=0,0,B18/B$15)</f>
        <v>0.55639913232104121</v>
      </c>
      <c r="E18" s="59" t="s">
        <v>91</v>
      </c>
      <c r="F18" s="56" t="s">
        <v>46</v>
      </c>
      <c r="G18" s="44">
        <v>25</v>
      </c>
      <c r="H18" s="129">
        <f>IF(B$15=0,0,G18/B$15)</f>
        <v>1.3557483731019523E-2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8.6848314606741539</v>
      </c>
      <c r="P18" s="115">
        <v>178</v>
      </c>
      <c r="Q18" s="103">
        <v>1545.8999999999994</v>
      </c>
    </row>
    <row r="19" spans="1:17">
      <c r="A19" s="51" t="s">
        <v>195</v>
      </c>
      <c r="B19" s="44">
        <v>885</v>
      </c>
      <c r="C19" s="37">
        <f>IF(B$15=0,0,B19/B$15)</f>
        <v>0.47993492407809113</v>
      </c>
      <c r="E19" s="59" t="s">
        <v>79</v>
      </c>
      <c r="F19" s="56" t="s">
        <v>34</v>
      </c>
      <c r="G19" s="44">
        <v>24</v>
      </c>
      <c r="H19" s="129">
        <f>IF(B$15=0,0,G19/B$15)</f>
        <v>1.3015184381778741E-2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8.114788732394361</v>
      </c>
      <c r="P19" s="115">
        <v>142</v>
      </c>
      <c r="Q19" s="103">
        <v>1152.2999999999993</v>
      </c>
    </row>
    <row r="20" spans="1:17">
      <c r="A20" s="51" t="s">
        <v>193</v>
      </c>
      <c r="B20" s="44">
        <v>604</v>
      </c>
      <c r="C20" s="37">
        <f>IF(B$15=0,0,B20/B$15)</f>
        <v>0.32754880694143168</v>
      </c>
      <c r="E20" s="59" t="s">
        <v>75</v>
      </c>
      <c r="F20" s="56" t="s">
        <v>30</v>
      </c>
      <c r="G20" s="44">
        <v>14</v>
      </c>
      <c r="H20" s="129">
        <f>IF(B$15=0,0,G20/B$15)</f>
        <v>7.5921908893709323E-3</v>
      </c>
      <c r="I20" s="90">
        <v>4</v>
      </c>
      <c r="K20" s="36">
        <v>18</v>
      </c>
      <c r="L20" s="95">
        <v>0</v>
      </c>
      <c r="N20" s="111" t="s">
        <v>274</v>
      </c>
      <c r="O20" s="121">
        <f>IF(P20=0,0,Q20/P20)</f>
        <v>4.4499999999999975</v>
      </c>
      <c r="P20" s="115">
        <v>12</v>
      </c>
      <c r="Q20" s="103">
        <v>53.39999999999997</v>
      </c>
    </row>
    <row r="21" spans="1:17">
      <c r="A21" s="51" t="s">
        <v>194</v>
      </c>
      <c r="B21" s="44">
        <v>355</v>
      </c>
      <c r="C21" s="37">
        <f>IF(B$15=0,0,B21/B$15)</f>
        <v>0.19251626898047722</v>
      </c>
      <c r="E21" s="59" t="s">
        <v>92</v>
      </c>
      <c r="F21" s="56" t="s">
        <v>47</v>
      </c>
      <c r="G21" s="44">
        <v>11</v>
      </c>
      <c r="H21" s="129">
        <f>IF(B$15=0,0,G21/B$15)</f>
        <v>5.9652928416485899E-3</v>
      </c>
      <c r="I21" s="90">
        <v>5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>
      <c r="A22" s="51" t="s">
        <v>5</v>
      </c>
      <c r="B22" s="48">
        <f>IF(B$15=0,0,C22/B$15)</f>
        <v>8403.1995661605215</v>
      </c>
      <c r="C22" s="39">
        <v>15495500</v>
      </c>
      <c r="E22" s="59" t="s">
        <v>73</v>
      </c>
      <c r="F22" s="56" t="s">
        <v>28</v>
      </c>
      <c r="G22" s="44">
        <v>8</v>
      </c>
      <c r="H22" s="129">
        <f>IF(B$15=0,0,G22/B$15)</f>
        <v>4.3383947939262474E-3</v>
      </c>
      <c r="I22" s="90">
        <v>3</v>
      </c>
      <c r="K22" s="36">
        <v>20</v>
      </c>
      <c r="L22" s="95">
        <v>-61.199999999999996</v>
      </c>
      <c r="N22" s="111" t="s">
        <v>127</v>
      </c>
      <c r="O22" s="121">
        <f>IF(P22=0,0,Q22/P22)</f>
        <v>-1.0272727272727318</v>
      </c>
      <c r="P22" s="115">
        <v>264</v>
      </c>
      <c r="Q22" s="103">
        <v>-271.20000000000118</v>
      </c>
    </row>
    <row r="23" spans="1:17">
      <c r="A23" s="52" t="s">
        <v>177</v>
      </c>
      <c r="B23" s="136">
        <f>IF($B$15-B$14=0,0,C23/($B$15-B$14))</f>
        <v>9048.6290322580644</v>
      </c>
      <c r="C23" s="137">
        <v>11220300</v>
      </c>
      <c r="E23" s="59" t="s">
        <v>74</v>
      </c>
      <c r="F23" s="56" t="s">
        <v>29</v>
      </c>
      <c r="G23" s="44">
        <v>8</v>
      </c>
      <c r="H23" s="129">
        <f>IF(B$15=0,0,G23/B$15)</f>
        <v>4.3383947939262474E-3</v>
      </c>
      <c r="I23" s="90">
        <v>5</v>
      </c>
      <c r="K23" s="36">
        <v>21</v>
      </c>
      <c r="L23" s="95">
        <v>7.1054273576010019E-15</v>
      </c>
      <c r="N23" s="111" t="s">
        <v>171</v>
      </c>
      <c r="O23" s="121">
        <f>IF(P23=0,0,Q23/P23)</f>
        <v>-1.4364864864864872</v>
      </c>
      <c r="P23" s="115">
        <v>222</v>
      </c>
      <c r="Q23" s="103">
        <v>-318.90000000000015</v>
      </c>
    </row>
    <row r="24" spans="1:17">
      <c r="A24" s="52" t="s">
        <v>178</v>
      </c>
      <c r="B24" s="136">
        <f>IF(B$14=0,0,C24/B$14)</f>
        <v>7078.1456953642382</v>
      </c>
      <c r="C24" s="137">
        <v>4275200</v>
      </c>
      <c r="E24" s="59" t="s">
        <v>84</v>
      </c>
      <c r="F24" s="56" t="s">
        <v>39</v>
      </c>
      <c r="G24" s="44">
        <v>7</v>
      </c>
      <c r="H24" s="129">
        <f>IF(B$15=0,0,G24/B$15)</f>
        <v>3.7960954446854662E-3</v>
      </c>
      <c r="I24" s="90">
        <v>4</v>
      </c>
      <c r="K24" s="36">
        <v>22</v>
      </c>
      <c r="L24" s="95">
        <v>-25.099999999999994</v>
      </c>
      <c r="N24" s="111" t="s">
        <v>170</v>
      </c>
      <c r="O24" s="121">
        <f>IF(P24=0,0,Q24/P24)</f>
        <v>-5.2544999999999966</v>
      </c>
      <c r="P24" s="115">
        <v>200</v>
      </c>
      <c r="Q24" s="103">
        <v>-1050.8999999999994</v>
      </c>
    </row>
    <row r="25" spans="1:17">
      <c r="A25" s="52" t="s">
        <v>176</v>
      </c>
      <c r="B25" s="136">
        <f>IF(B$16=0,0,C25/B$16)</f>
        <v>-7774.8031496062995</v>
      </c>
      <c r="C25" s="137">
        <v>-7899200</v>
      </c>
      <c r="E25" s="59" t="s">
        <v>85</v>
      </c>
      <c r="F25" s="56" t="s">
        <v>40</v>
      </c>
      <c r="G25" s="44">
        <v>7</v>
      </c>
      <c r="H25" s="129">
        <f>IF(B$15=0,0,G25/B$15)</f>
        <v>3.7960954446854662E-3</v>
      </c>
      <c r="I25" s="90">
        <v>6</v>
      </c>
      <c r="K25" s="36">
        <v>23</v>
      </c>
      <c r="L25" s="95">
        <v>-26.799999999999994</v>
      </c>
      <c r="N25" s="111" t="s">
        <v>126</v>
      </c>
      <c r="O25" s="121">
        <f>IF(P25=0,0,Q25/P25)</f>
        <v>-12.054635761589397</v>
      </c>
      <c r="P25" s="115">
        <v>302</v>
      </c>
      <c r="Q25" s="103">
        <v>-3640.4999999999982</v>
      </c>
    </row>
    <row r="26" spans="1:17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5</v>
      </c>
      <c r="H26" s="129">
        <f>IF(B$15=0,0,G26/B$15)</f>
        <v>2.7114967462039045E-3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>
      <c r="A27" s="51" t="s">
        <v>165</v>
      </c>
      <c r="B27" s="44">
        <v>31</v>
      </c>
      <c r="C27" s="131">
        <v>9</v>
      </c>
      <c r="E27" s="59" t="s">
        <v>88</v>
      </c>
      <c r="F27" s="56" t="s">
        <v>43</v>
      </c>
      <c r="G27" s="44">
        <v>5</v>
      </c>
      <c r="H27" s="129">
        <f>IF(B$15=0,0,G27/B$15)</f>
        <v>2.7114967462039045E-3</v>
      </c>
      <c r="I27" s="90">
        <v>4</v>
      </c>
      <c r="K27" s="36">
        <v>25</v>
      </c>
      <c r="L27" s="95">
        <v>15.000000000000007</v>
      </c>
    </row>
    <row r="28" spans="1:17">
      <c r="A28" s="86" t="s">
        <v>138</v>
      </c>
      <c r="B28" s="156">
        <v>8</v>
      </c>
      <c r="C28" s="157"/>
      <c r="E28" s="59" t="s">
        <v>90</v>
      </c>
      <c r="F28" s="56" t="s">
        <v>45</v>
      </c>
      <c r="G28" s="44">
        <v>4</v>
      </c>
      <c r="H28" s="129">
        <f>IF(B$15=0,0,G28/B$15)</f>
        <v>2.1691973969631237E-3</v>
      </c>
      <c r="I28" s="90">
        <v>4</v>
      </c>
      <c r="K28" s="36">
        <v>26</v>
      </c>
      <c r="L28" s="95">
        <v>0.60000000000000675</v>
      </c>
    </row>
    <row r="29" spans="1:17">
      <c r="A29" s="54" t="s">
        <v>192</v>
      </c>
      <c r="B29" s="154">
        <v>149100</v>
      </c>
      <c r="C29" s="155"/>
      <c r="E29" s="59" t="s">
        <v>95</v>
      </c>
      <c r="F29" s="56" t="s">
        <v>50</v>
      </c>
      <c r="G29" s="44">
        <v>4</v>
      </c>
      <c r="H29" s="129">
        <f>IF(B$15=0,0,G29/B$15)</f>
        <v>2.1691973969631237E-3</v>
      </c>
      <c r="I29" s="90">
        <v>4</v>
      </c>
      <c r="K29" s="36">
        <v>27</v>
      </c>
      <c r="L29" s="95">
        <v>6.7723604502134549E-15</v>
      </c>
    </row>
    <row r="30" spans="1:17">
      <c r="A30" s="53" t="s">
        <v>139</v>
      </c>
      <c r="B30" s="61">
        <v>16</v>
      </c>
      <c r="C30" s="40">
        <f>IF(B$3=0,0,B30/B$3)</f>
        <v>2.5653358986692321E-3</v>
      </c>
      <c r="E30" s="59" t="s">
        <v>87</v>
      </c>
      <c r="F30" s="56" t="s">
        <v>42</v>
      </c>
      <c r="G30" s="44">
        <v>3</v>
      </c>
      <c r="H30" s="129">
        <f>IF(B$15=0,0,G30/B$15)</f>
        <v>1.6268980477223427E-3</v>
      </c>
      <c r="I30" s="90">
        <v>4</v>
      </c>
      <c r="K30" s="36">
        <v>28</v>
      </c>
      <c r="L30" s="95">
        <v>-30.199999999999992</v>
      </c>
    </row>
    <row r="31" spans="1:17">
      <c r="E31" s="59" t="s">
        <v>93</v>
      </c>
      <c r="F31" s="56" t="s">
        <v>48</v>
      </c>
      <c r="G31" s="44">
        <v>3</v>
      </c>
      <c r="H31" s="129">
        <f>IF(B$15=0,0,G31/B$15)</f>
        <v>1.6268980477223427E-3</v>
      </c>
      <c r="I31" s="90">
        <v>4</v>
      </c>
      <c r="K31" s="36">
        <v>29</v>
      </c>
      <c r="L31" s="95">
        <v>-2.3999999999999915</v>
      </c>
    </row>
    <row r="32" spans="1:17">
      <c r="A32" s="86" t="s">
        <v>183</v>
      </c>
      <c r="B32" s="144">
        <v>139</v>
      </c>
      <c r="C32" s="141">
        <f>IF(B$15=0,0,B32/B$15)</f>
        <v>7.537960954446854E-2</v>
      </c>
      <c r="E32" s="59" t="s">
        <v>97</v>
      </c>
      <c r="F32" s="56" t="s">
        <v>52</v>
      </c>
      <c r="G32" s="44">
        <v>1</v>
      </c>
      <c r="H32" s="129">
        <f>IF(B$15=0,0,G32/B$15)</f>
        <v>5.4229934924078093E-4</v>
      </c>
      <c r="I32" s="90">
        <v>2</v>
      </c>
      <c r="K32" s="36">
        <v>30</v>
      </c>
      <c r="L32" s="95">
        <v>8.4376949871511897E-15</v>
      </c>
    </row>
    <row r="33" spans="1:12">
      <c r="A33" s="51" t="s">
        <v>179</v>
      </c>
      <c r="B33" s="44">
        <v>311</v>
      </c>
      <c r="C33" s="37">
        <f t="shared" ref="C33:C44" si="2">IF(B$15=0,0,B33/B$15)</f>
        <v>0.16865509761388287</v>
      </c>
      <c r="E33" s="59" t="s">
        <v>101</v>
      </c>
      <c r="F33" s="56" t="s">
        <v>56</v>
      </c>
      <c r="G33" s="44">
        <v>1</v>
      </c>
      <c r="H33" s="129">
        <f>IF(B$15=0,0,G33/B$15)</f>
        <v>5.4229934924078093E-4</v>
      </c>
      <c r="I33" s="90">
        <v>2</v>
      </c>
      <c r="K33" s="36">
        <v>31</v>
      </c>
      <c r="L33" s="95">
        <v>12.500000000000009</v>
      </c>
    </row>
    <row r="34" spans="1:12">
      <c r="A34" s="51" t="s">
        <v>180</v>
      </c>
      <c r="B34" s="145">
        <v>365</v>
      </c>
      <c r="C34" s="37">
        <f>IF(B$15=0,0,B34/B$15)</f>
        <v>0.19793926247288504</v>
      </c>
      <c r="E34" s="59" t="s">
        <v>106</v>
      </c>
      <c r="F34" s="56" t="s">
        <v>113</v>
      </c>
      <c r="G34" s="44">
        <v>1</v>
      </c>
      <c r="H34" s="129">
        <f>IF(B$15=0,0,G34/B$15)</f>
        <v>5.4229934924078093E-4</v>
      </c>
      <c r="I34" s="90">
        <v>2</v>
      </c>
      <c r="K34" s="36">
        <v>32</v>
      </c>
      <c r="L34" s="95">
        <v>47.300000000000004</v>
      </c>
    </row>
    <row r="35" spans="1:12">
      <c r="A35" s="51" t="s">
        <v>181</v>
      </c>
      <c r="B35" s="145">
        <v>324</v>
      </c>
      <c r="C35" s="37">
        <f t="shared" si="2"/>
        <v>0.175704989154013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>
      <c r="A36" s="51" t="s">
        <v>182</v>
      </c>
      <c r="B36" s="145">
        <v>296</v>
      </c>
      <c r="C36" s="37">
        <f t="shared" si="2"/>
        <v>0.16052060737527116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>
      <c r="A37" s="51" t="s">
        <v>184</v>
      </c>
      <c r="B37" s="145">
        <v>194</v>
      </c>
      <c r="C37" s="37">
        <f t="shared" si="2"/>
        <v>0.1052060737527115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>
      <c r="A38" s="51" t="s">
        <v>185</v>
      </c>
      <c r="B38" s="145">
        <v>101</v>
      </c>
      <c r="C38" s="37">
        <f t="shared" si="2"/>
        <v>5.4772234273318871E-2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>
      <c r="A39" s="51" t="s">
        <v>186</v>
      </c>
      <c r="B39" s="145">
        <v>52</v>
      </c>
      <c r="C39" s="37">
        <f t="shared" si="2"/>
        <v>2.8199566160520606E-2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>
      <c r="A40" s="51" t="s">
        <v>187</v>
      </c>
      <c r="B40" s="145">
        <v>22</v>
      </c>
      <c r="C40" s="37">
        <f t="shared" si="2"/>
        <v>1.193058568329718E-2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>
      <c r="A41" s="51" t="s">
        <v>188</v>
      </c>
      <c r="B41" s="145">
        <v>7</v>
      </c>
      <c r="C41" s="37">
        <f t="shared" si="2"/>
        <v>3.7960954446854662E-3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>
      <c r="A42" s="51" t="s">
        <v>189</v>
      </c>
      <c r="B42" s="145">
        <v>6</v>
      </c>
      <c r="C42" s="37">
        <f t="shared" si="2"/>
        <v>3.2537960954446853E-3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>
      <c r="A43" s="51" t="s">
        <v>190</v>
      </c>
      <c r="B43" s="145">
        <v>6</v>
      </c>
      <c r="C43" s="37">
        <f t="shared" si="2"/>
        <v>3.2537960954446853E-3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>
      <c r="A44" s="53" t="s">
        <v>191</v>
      </c>
      <c r="B44" s="140">
        <v>21</v>
      </c>
      <c r="C44" s="40">
        <f t="shared" si="2"/>
        <v>1.13882863340564E-2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>
      <c r="K53" s="36">
        <v>51</v>
      </c>
      <c r="L53" s="95">
        <v>1.4210854715202004E-14</v>
      </c>
    </row>
    <row r="54" spans="5:12">
      <c r="K54" s="36">
        <v>52</v>
      </c>
      <c r="L54" s="95">
        <v>-5.8999999999999861</v>
      </c>
    </row>
    <row r="55" spans="5:12">
      <c r="K55" s="36">
        <v>53</v>
      </c>
      <c r="L55" s="95">
        <v>-29.399999999999984</v>
      </c>
    </row>
    <row r="56" spans="5:12">
      <c r="K56" s="36">
        <v>54</v>
      </c>
      <c r="L56" s="95">
        <v>1.4210854715202004E-14</v>
      </c>
    </row>
    <row r="57" spans="5:12">
      <c r="K57" s="36">
        <v>55</v>
      </c>
      <c r="L57" s="95">
        <v>-42.999999999999986</v>
      </c>
    </row>
    <row r="58" spans="5:12">
      <c r="K58" s="36">
        <v>56</v>
      </c>
      <c r="L58" s="95">
        <v>-54.199999999999989</v>
      </c>
    </row>
    <row r="59" spans="5:12">
      <c r="K59" s="36">
        <v>57</v>
      </c>
      <c r="L59" s="95">
        <v>1.4210854715202004E-14</v>
      </c>
    </row>
    <row r="60" spans="5:12">
      <c r="K60" s="36">
        <v>58</v>
      </c>
      <c r="L60" s="95">
        <v>7.6000000000000139</v>
      </c>
    </row>
    <row r="61" spans="5:12">
      <c r="K61" s="36">
        <v>59</v>
      </c>
      <c r="L61" s="95">
        <v>-35.399999999999984</v>
      </c>
    </row>
    <row r="62" spans="5:12">
      <c r="K62" s="36">
        <v>60</v>
      </c>
      <c r="L62" s="95">
        <v>1.4210854715202004E-14</v>
      </c>
    </row>
    <row r="63" spans="5:12">
      <c r="K63" s="36">
        <v>61</v>
      </c>
      <c r="L63" s="95">
        <v>66.800000000000011</v>
      </c>
    </row>
    <row r="64" spans="5:12">
      <c r="K64" s="36">
        <v>62</v>
      </c>
      <c r="L64" s="95">
        <v>6.7000000000000099</v>
      </c>
    </row>
    <row r="65" spans="11:12">
      <c r="K65" s="36">
        <v>63</v>
      </c>
      <c r="L65" s="95">
        <v>9.7699626167013776E-15</v>
      </c>
    </row>
    <row r="66" spans="11:12">
      <c r="K66" s="36">
        <v>64</v>
      </c>
      <c r="L66" s="95">
        <v>-49.499999999999993</v>
      </c>
    </row>
    <row r="67" spans="11:12">
      <c r="K67" s="36">
        <v>65</v>
      </c>
      <c r="L67" s="95">
        <v>-30.799999999999994</v>
      </c>
    </row>
    <row r="68" spans="11:12">
      <c r="K68" s="36">
        <v>66</v>
      </c>
      <c r="L68" s="95">
        <v>7.1054273576010019E-15</v>
      </c>
    </row>
    <row r="69" spans="11:12">
      <c r="K69" s="36">
        <v>67</v>
      </c>
      <c r="L69" s="95">
        <v>66.400000000000006</v>
      </c>
    </row>
    <row r="70" spans="11:12">
      <c r="K70" s="36">
        <v>68</v>
      </c>
      <c r="L70" s="95">
        <v>17.700000000000003</v>
      </c>
    </row>
    <row r="71" spans="11:12">
      <c r="K71" s="36">
        <v>69</v>
      </c>
      <c r="L71" s="95">
        <v>3.5527136788005009E-15</v>
      </c>
    </row>
    <row r="72" spans="11:12">
      <c r="K72" s="36">
        <v>70</v>
      </c>
      <c r="L72" s="95">
        <v>17.700000000000003</v>
      </c>
    </row>
    <row r="73" spans="11:12">
      <c r="K73" s="36">
        <v>71</v>
      </c>
      <c r="L73" s="95">
        <v>-28.799999999999997</v>
      </c>
    </row>
    <row r="74" spans="11:12">
      <c r="K74" s="36">
        <v>72</v>
      </c>
      <c r="L74" s="95">
        <v>3.5527136788005009E-15</v>
      </c>
    </row>
    <row r="75" spans="11:12">
      <c r="K75" s="36">
        <v>73</v>
      </c>
      <c r="L75" s="95">
        <v>7.5000000000000036</v>
      </c>
    </row>
    <row r="76" spans="11:12">
      <c r="K76" s="36">
        <v>74</v>
      </c>
      <c r="L76" s="95">
        <v>28.600000000000005</v>
      </c>
    </row>
    <row r="77" spans="11:12">
      <c r="K77" s="36">
        <v>75</v>
      </c>
      <c r="L77" s="95">
        <v>3.5527136788005009E-15</v>
      </c>
    </row>
    <row r="78" spans="11:12">
      <c r="K78" s="36">
        <v>76</v>
      </c>
      <c r="L78" s="95">
        <v>39.5</v>
      </c>
    </row>
    <row r="79" spans="11:12">
      <c r="K79" s="36">
        <v>77</v>
      </c>
      <c r="L79" s="95">
        <v>-7</v>
      </c>
    </row>
    <row r="80" spans="11:12">
      <c r="K80" s="36">
        <v>78</v>
      </c>
      <c r="L80" s="95">
        <v>0</v>
      </c>
    </row>
    <row r="81" spans="11:12">
      <c r="K81" s="36">
        <v>79</v>
      </c>
      <c r="L81" s="95">
        <v>-45.1</v>
      </c>
    </row>
    <row r="82" spans="11:12">
      <c r="K82" s="36">
        <v>80</v>
      </c>
      <c r="L82" s="95">
        <v>-39.200000000000003</v>
      </c>
    </row>
    <row r="83" spans="11:12">
      <c r="K83" s="36">
        <v>81</v>
      </c>
      <c r="L83" s="95">
        <v>0</v>
      </c>
    </row>
    <row r="84" spans="11:12">
      <c r="K84" s="36">
        <v>82</v>
      </c>
      <c r="L84" s="95">
        <v>17.7</v>
      </c>
    </row>
    <row r="85" spans="11:12">
      <c r="K85" s="36">
        <v>83</v>
      </c>
      <c r="L85" s="95">
        <v>-28.8</v>
      </c>
    </row>
    <row r="86" spans="11:12">
      <c r="K86" s="36">
        <v>84</v>
      </c>
      <c r="L86" s="95">
        <v>0</v>
      </c>
    </row>
    <row r="87" spans="11:12">
      <c r="K87" s="36">
        <v>85</v>
      </c>
      <c r="L87" s="95">
        <v>42.9</v>
      </c>
    </row>
    <row r="88" spans="11:12">
      <c r="K88" s="36">
        <v>86</v>
      </c>
      <c r="L88" s="95">
        <v>-0.80000000000000426</v>
      </c>
    </row>
    <row r="89" spans="11:12">
      <c r="K89" s="36">
        <v>87</v>
      </c>
      <c r="L89" s="95">
        <v>-4.2188474935755949E-15</v>
      </c>
    </row>
    <row r="90" spans="11:12">
      <c r="K90" s="36">
        <v>88</v>
      </c>
      <c r="L90" s="95">
        <v>-58.000000000000007</v>
      </c>
    </row>
    <row r="91" spans="11:12">
      <c r="K91" s="36">
        <v>89</v>
      </c>
      <c r="L91" s="95">
        <v>-7.1054273576010019E-15</v>
      </c>
    </row>
    <row r="92" spans="11:12">
      <c r="K92" s="36">
        <v>90</v>
      </c>
      <c r="L92" s="95">
        <v>-7.1054273576010019E-15</v>
      </c>
    </row>
    <row r="93" spans="11:12">
      <c r="K93" s="36">
        <v>91</v>
      </c>
      <c r="L93" s="95">
        <v>-26.400000000000006</v>
      </c>
    </row>
    <row r="94" spans="11:12">
      <c r="K94" s="36">
        <v>92</v>
      </c>
      <c r="L94" s="95">
        <v>-26.900000000000006</v>
      </c>
    </row>
    <row r="95" spans="11:12">
      <c r="K95" s="36">
        <v>93</v>
      </c>
      <c r="L95" s="95">
        <v>-7.1054273576010019E-15</v>
      </c>
    </row>
    <row r="96" spans="11:12">
      <c r="K96" s="36">
        <v>94</v>
      </c>
      <c r="L96" s="95">
        <v>-34.900000000000006</v>
      </c>
    </row>
    <row r="97" spans="11:12">
      <c r="K97" s="36">
        <v>95</v>
      </c>
      <c r="L97" s="95">
        <v>-8.100000000000005</v>
      </c>
    </row>
    <row r="98" spans="11:12">
      <c r="K98" s="36">
        <v>96</v>
      </c>
      <c r="L98" s="95">
        <v>-5.3290705182007514E-15</v>
      </c>
    </row>
    <row r="99" spans="11:12">
      <c r="K99" s="36">
        <v>97</v>
      </c>
      <c r="L99" s="95">
        <v>34.29999999999999</v>
      </c>
    </row>
    <row r="100" spans="11:12">
      <c r="K100" s="36">
        <v>98</v>
      </c>
      <c r="L100" s="95">
        <v>31.499999999999989</v>
      </c>
    </row>
    <row r="101" spans="11:12">
      <c r="K101" s="36">
        <v>99</v>
      </c>
      <c r="L101" s="95">
        <v>-1.0658141036401503E-14</v>
      </c>
    </row>
    <row r="102" spans="11:12">
      <c r="K102" s="36">
        <v>100</v>
      </c>
      <c r="L102" s="95">
        <v>34.499999999999986</v>
      </c>
    </row>
    <row r="103" spans="11:12">
      <c r="K103" s="36">
        <v>101</v>
      </c>
      <c r="L103" s="95">
        <v>46.899999999999984</v>
      </c>
    </row>
    <row r="104" spans="11:12">
      <c r="K104" s="36">
        <v>102</v>
      </c>
      <c r="L104" s="95">
        <v>-1.4210854715202004E-14</v>
      </c>
    </row>
    <row r="105" spans="11:12">
      <c r="K105" s="36">
        <v>103</v>
      </c>
      <c r="L105" s="95">
        <v>-49.400000000000013</v>
      </c>
    </row>
    <row r="106" spans="11:12">
      <c r="K106" s="36">
        <v>104</v>
      </c>
      <c r="L106" s="95">
        <v>-18.000000000000014</v>
      </c>
    </row>
    <row r="107" spans="11:12">
      <c r="K107" s="36">
        <v>105</v>
      </c>
      <c r="L107" s="95">
        <v>-1.4210854715202004E-14</v>
      </c>
    </row>
    <row r="108" spans="11:12">
      <c r="K108" s="36">
        <v>106</v>
      </c>
      <c r="L108" s="95">
        <v>-10.800000000000015</v>
      </c>
    </row>
    <row r="109" spans="11:12">
      <c r="K109" s="36">
        <v>107</v>
      </c>
      <c r="L109" s="95">
        <v>-56.90000000000002</v>
      </c>
    </row>
    <row r="110" spans="11:12">
      <c r="K110" s="36">
        <v>108</v>
      </c>
      <c r="L110" s="95">
        <v>-2.1316282072803006E-14</v>
      </c>
    </row>
    <row r="111" spans="11:12">
      <c r="K111" s="36">
        <v>109</v>
      </c>
      <c r="L111" s="95">
        <v>7.6999999999999789</v>
      </c>
    </row>
    <row r="112" spans="11:12">
      <c r="K112" s="36">
        <v>110</v>
      </c>
      <c r="L112" s="95">
        <v>-22.700000000000021</v>
      </c>
    </row>
    <row r="113" spans="11:12">
      <c r="K113" s="36">
        <v>111</v>
      </c>
      <c r="L113" s="95">
        <v>-2.1316282072803006E-14</v>
      </c>
    </row>
    <row r="114" spans="11:12">
      <c r="K114" s="36">
        <v>112</v>
      </c>
      <c r="L114" s="95">
        <v>2.4999999999999787</v>
      </c>
    </row>
    <row r="115" spans="11:12">
      <c r="K115" s="36">
        <v>113</v>
      </c>
      <c r="L115" s="95">
        <v>23.999999999999979</v>
      </c>
    </row>
    <row r="116" spans="11:12">
      <c r="K116" s="36">
        <v>114</v>
      </c>
      <c r="L116" s="95">
        <v>-2.1316282072803006E-14</v>
      </c>
    </row>
    <row r="117" spans="11:12">
      <c r="K117" s="36">
        <v>115</v>
      </c>
      <c r="L117" s="95">
        <v>33.09999999999998</v>
      </c>
    </row>
    <row r="118" spans="11:12">
      <c r="K118" s="36">
        <v>116</v>
      </c>
      <c r="L118" s="95">
        <v>6.6999999999999815</v>
      </c>
    </row>
    <row r="119" spans="11:12">
      <c r="K119" s="36">
        <v>117</v>
      </c>
      <c r="L119" s="95">
        <v>-1.865174681370263E-14</v>
      </c>
    </row>
    <row r="120" spans="11:12">
      <c r="K120" s="36">
        <v>118</v>
      </c>
      <c r="L120" s="95">
        <v>-44.200000000000024</v>
      </c>
    </row>
    <row r="121" spans="11:12">
      <c r="K121" s="36">
        <v>119</v>
      </c>
      <c r="L121" s="95">
        <v>-30.800000000000026</v>
      </c>
    </row>
    <row r="122" spans="11:12">
      <c r="K122" s="36">
        <v>120</v>
      </c>
      <c r="L122" s="95">
        <v>-2.4868995751603507E-14</v>
      </c>
    </row>
    <row r="123" spans="11:12">
      <c r="K123" s="36">
        <v>121</v>
      </c>
      <c r="L123" s="95">
        <v>-55.800000000000026</v>
      </c>
    </row>
    <row r="124" spans="11:12">
      <c r="K124" s="36">
        <v>122</v>
      </c>
      <c r="L124" s="95">
        <v>-50.500000000000028</v>
      </c>
    </row>
    <row r="125" spans="11:12">
      <c r="K125" s="36">
        <v>123</v>
      </c>
      <c r="L125" s="95">
        <v>-2.8421709430404007E-14</v>
      </c>
    </row>
    <row r="126" spans="11:12">
      <c r="K126" s="36">
        <v>124</v>
      </c>
      <c r="L126" s="95">
        <v>31.699999999999971</v>
      </c>
    </row>
    <row r="127" spans="11:12">
      <c r="K127" s="36">
        <v>125</v>
      </c>
      <c r="L127" s="95">
        <v>-8.6000000000000263</v>
      </c>
    </row>
    <row r="128" spans="11:12">
      <c r="K128" s="36">
        <v>126</v>
      </c>
      <c r="L128" s="95">
        <v>-2.6645352591003757E-14</v>
      </c>
    </row>
    <row r="129" spans="11:12">
      <c r="K129" s="36">
        <v>127</v>
      </c>
      <c r="L129" s="95">
        <v>-3.4000000000000266</v>
      </c>
    </row>
    <row r="130" spans="11:12">
      <c r="K130" s="36">
        <v>128</v>
      </c>
      <c r="L130" s="95">
        <v>-24.700000000000028</v>
      </c>
    </row>
    <row r="131" spans="11:12">
      <c r="K131" s="36">
        <v>129</v>
      </c>
      <c r="L131" s="95">
        <v>-2.8421709430404007E-14</v>
      </c>
    </row>
    <row r="132" spans="11:12">
      <c r="K132" s="36">
        <v>130</v>
      </c>
      <c r="L132" s="95">
        <v>-16.700000000000028</v>
      </c>
    </row>
    <row r="133" spans="11:12">
      <c r="K133" s="36">
        <v>131</v>
      </c>
      <c r="L133" s="95">
        <v>-15.100000000000028</v>
      </c>
    </row>
    <row r="134" spans="11:12">
      <c r="K134" s="36">
        <v>132</v>
      </c>
      <c r="L134" s="95">
        <v>-2.8421709430404007E-14</v>
      </c>
    </row>
    <row r="135" spans="11:12">
      <c r="K135" s="36">
        <v>133</v>
      </c>
      <c r="L135" s="95">
        <v>-2.8000000000000282</v>
      </c>
    </row>
    <row r="136" spans="11:12">
      <c r="K136" s="36">
        <v>134</v>
      </c>
      <c r="L136" s="95">
        <v>14.099999999999969</v>
      </c>
    </row>
    <row r="137" spans="11:12">
      <c r="K137" s="36">
        <v>135</v>
      </c>
      <c r="L137" s="95">
        <v>-3.0198066269804258E-14</v>
      </c>
    </row>
    <row r="138" spans="11:12">
      <c r="K138" s="36">
        <v>136</v>
      </c>
      <c r="L138" s="95">
        <v>-43.800000000000026</v>
      </c>
    </row>
    <row r="139" spans="11:12">
      <c r="K139" s="36">
        <v>137</v>
      </c>
      <c r="L139" s="95">
        <v>6.1999999999999744</v>
      </c>
    </row>
    <row r="140" spans="11:12">
      <c r="K140" s="36">
        <v>138</v>
      </c>
      <c r="L140" s="95">
        <v>-2.5757174171303632E-14</v>
      </c>
    </row>
    <row r="141" spans="11:12">
      <c r="K141" s="36">
        <v>139</v>
      </c>
      <c r="L141" s="95">
        <v>-35.300000000000026</v>
      </c>
    </row>
    <row r="142" spans="11:12">
      <c r="K142" s="36">
        <v>140</v>
      </c>
      <c r="L142" s="95">
        <v>7.2999999999999758</v>
      </c>
    </row>
    <row r="143" spans="11:12">
      <c r="K143" s="36">
        <v>141</v>
      </c>
      <c r="L143" s="95">
        <v>-2.3980817331903381E-14</v>
      </c>
    </row>
    <row r="144" spans="11:12">
      <c r="K144" s="36">
        <v>142</v>
      </c>
      <c r="L144" s="95">
        <v>60.09999999999998</v>
      </c>
    </row>
    <row r="145" spans="11:12">
      <c r="K145" s="36">
        <v>143</v>
      </c>
      <c r="L145" s="95">
        <v>50.399999999999977</v>
      </c>
    </row>
    <row r="146" spans="11:12">
      <c r="K146" s="36">
        <v>144</v>
      </c>
      <c r="L146" s="95">
        <v>-2.1316282072803006E-14</v>
      </c>
    </row>
    <row r="147" spans="11:12">
      <c r="K147" s="36">
        <v>145</v>
      </c>
      <c r="L147" s="95">
        <v>-53.100000000000023</v>
      </c>
    </row>
    <row r="148" spans="11:12">
      <c r="K148" s="36">
        <v>146</v>
      </c>
      <c r="L148" s="95">
        <v>-53.200000000000024</v>
      </c>
    </row>
    <row r="149" spans="11:12">
      <c r="K149" s="36">
        <v>147</v>
      </c>
      <c r="L149" s="95">
        <v>-2.1316282072803006E-14</v>
      </c>
    </row>
    <row r="150" spans="11:12">
      <c r="K150" s="36">
        <v>148</v>
      </c>
      <c r="L150" s="95">
        <v>-21.90000000000002</v>
      </c>
    </row>
    <row r="151" spans="11:12">
      <c r="K151" s="36">
        <v>149</v>
      </c>
      <c r="L151" s="95">
        <v>7.9999999999999787</v>
      </c>
    </row>
    <row r="152" spans="11:12">
      <c r="K152" s="36">
        <v>150</v>
      </c>
      <c r="L152" s="95">
        <v>-2.1316282072803006E-14</v>
      </c>
    </row>
    <row r="153" spans="11:12">
      <c r="K153" s="36">
        <v>151</v>
      </c>
      <c r="L153" s="95">
        <v>45.899999999999977</v>
      </c>
    </row>
    <row r="154" spans="11:12">
      <c r="K154" s="36">
        <v>152</v>
      </c>
      <c r="L154" s="95">
        <v>45.699999999999974</v>
      </c>
    </row>
    <row r="155" spans="11:12">
      <c r="K155" s="36">
        <v>153</v>
      </c>
      <c r="L155" s="95">
        <v>-2.8421709430404007E-14</v>
      </c>
    </row>
    <row r="156" spans="11:12">
      <c r="K156" s="36">
        <v>154</v>
      </c>
      <c r="L156" s="95">
        <v>-27.10000000000003</v>
      </c>
    </row>
    <row r="157" spans="11:12">
      <c r="K157" s="36">
        <v>155</v>
      </c>
      <c r="L157" s="95">
        <v>-5.8000000000000291</v>
      </c>
    </row>
    <row r="158" spans="11:12">
      <c r="K158" s="36">
        <v>156</v>
      </c>
      <c r="L158" s="95">
        <v>-2.9309887850104133E-14</v>
      </c>
    </row>
    <row r="159" spans="11:12">
      <c r="K159" s="36">
        <v>157</v>
      </c>
      <c r="L159" s="95">
        <v>11.39999999999997</v>
      </c>
    </row>
    <row r="160" spans="11:12">
      <c r="K160" s="36">
        <v>158</v>
      </c>
      <c r="L160" s="95">
        <v>-25.300000000000033</v>
      </c>
    </row>
    <row r="161" spans="11:12">
      <c r="K161" s="36">
        <v>159</v>
      </c>
      <c r="L161" s="95">
        <v>-3.1974423109204508E-14</v>
      </c>
    </row>
    <row r="162" spans="11:12">
      <c r="K162" s="36">
        <v>160</v>
      </c>
      <c r="L162" s="95">
        <v>21.999999999999968</v>
      </c>
    </row>
    <row r="163" spans="11:12">
      <c r="K163" s="36">
        <v>161</v>
      </c>
      <c r="L163" s="95">
        <v>16.599999999999966</v>
      </c>
    </row>
    <row r="164" spans="11:12">
      <c r="K164" s="36">
        <v>162</v>
      </c>
      <c r="L164" s="95">
        <v>-3.5527136788005009E-14</v>
      </c>
    </row>
    <row r="165" spans="11:12">
      <c r="K165" s="36">
        <v>163</v>
      </c>
      <c r="L165" s="95">
        <v>40.399999999999963</v>
      </c>
    </row>
    <row r="166" spans="11:12">
      <c r="K166" s="36">
        <v>164</v>
      </c>
      <c r="L166" s="95">
        <v>45.799999999999962</v>
      </c>
    </row>
    <row r="167" spans="11:12">
      <c r="K167" s="36">
        <v>165</v>
      </c>
      <c r="L167" s="95">
        <v>-3.5527136788005009E-14</v>
      </c>
    </row>
    <row r="168" spans="11:12">
      <c r="K168" s="36">
        <v>166</v>
      </c>
      <c r="L168" s="95">
        <v>-32.600000000000037</v>
      </c>
    </row>
    <row r="169" spans="11:12">
      <c r="K169" s="36">
        <v>167</v>
      </c>
      <c r="L169" s="95">
        <v>-47.900000000000034</v>
      </c>
    </row>
    <row r="170" spans="11:12">
      <c r="K170" s="36">
        <v>168</v>
      </c>
      <c r="L170" s="95">
        <v>-3.5527136788005009E-14</v>
      </c>
    </row>
    <row r="171" spans="11:12">
      <c r="K171" s="36">
        <v>169</v>
      </c>
      <c r="L171" s="95">
        <v>1.9999999999999645</v>
      </c>
    </row>
    <row r="172" spans="11:12">
      <c r="K172" s="36">
        <v>170</v>
      </c>
      <c r="L172" s="95">
        <v>14.999999999999964</v>
      </c>
    </row>
    <row r="173" spans="11:12">
      <c r="K173" s="36">
        <v>171</v>
      </c>
      <c r="L173" s="95">
        <v>-3.5527136788005009E-14</v>
      </c>
    </row>
    <row r="174" spans="11:12">
      <c r="K174" s="36">
        <v>172</v>
      </c>
      <c r="L174" s="95">
        <v>-0.50000000000003553</v>
      </c>
    </row>
    <row r="175" spans="11:12">
      <c r="K175" s="36">
        <v>173</v>
      </c>
      <c r="L175" s="95">
        <v>34.899999999999963</v>
      </c>
    </row>
    <row r="176" spans="11:12">
      <c r="K176" s="36">
        <v>174</v>
      </c>
      <c r="L176" s="95">
        <v>-3.5527136788005009E-14</v>
      </c>
    </row>
    <row r="177" spans="11:12">
      <c r="K177" s="36">
        <v>175</v>
      </c>
      <c r="L177" s="95">
        <v>4.8999999999999648</v>
      </c>
    </row>
    <row r="178" spans="11:12">
      <c r="K178" s="36">
        <v>176</v>
      </c>
      <c r="L178" s="95">
        <v>49.19999999999996</v>
      </c>
    </row>
    <row r="179" spans="11:12">
      <c r="K179" s="36">
        <v>177</v>
      </c>
      <c r="L179" s="95">
        <v>-4.2632564145606011E-14</v>
      </c>
    </row>
    <row r="180" spans="11:12">
      <c r="K180" s="36">
        <v>178</v>
      </c>
      <c r="L180" s="95">
        <v>-31.300000000000043</v>
      </c>
    </row>
    <row r="181" spans="11:12">
      <c r="K181" s="36">
        <v>179</v>
      </c>
      <c r="L181" s="95">
        <v>-25.300000000000043</v>
      </c>
    </row>
    <row r="182" spans="11:12">
      <c r="K182" s="36">
        <v>180</v>
      </c>
      <c r="L182" s="95">
        <v>-4.2632564145606011E-14</v>
      </c>
    </row>
    <row r="183" spans="11:12">
      <c r="K183" s="36">
        <v>181</v>
      </c>
      <c r="L183" s="95">
        <v>-23.900000000000041</v>
      </c>
    </row>
    <row r="184" spans="11:12">
      <c r="K184" s="36">
        <v>182</v>
      </c>
      <c r="L184" s="95">
        <v>-22.000000000000043</v>
      </c>
    </row>
    <row r="185" spans="11:12">
      <c r="K185" s="36">
        <v>183</v>
      </c>
      <c r="L185" s="95">
        <v>-4.2632564145606011E-14</v>
      </c>
    </row>
    <row r="186" spans="11:12">
      <c r="K186" s="36">
        <v>184</v>
      </c>
      <c r="L186" s="95">
        <v>-1.9000000000000425</v>
      </c>
    </row>
    <row r="187" spans="11:12">
      <c r="K187" s="36">
        <v>185</v>
      </c>
      <c r="L187" s="95">
        <v>36.799999999999962</v>
      </c>
    </row>
    <row r="188" spans="11:12">
      <c r="K188" s="36">
        <v>186</v>
      </c>
      <c r="L188" s="95">
        <v>-3.5527136788005009E-14</v>
      </c>
    </row>
    <row r="189" spans="11:12">
      <c r="K189" s="36">
        <v>187</v>
      </c>
      <c r="L189" s="95">
        <v>-40.700000000000038</v>
      </c>
    </row>
    <row r="190" spans="11:12">
      <c r="K190" s="36">
        <v>188</v>
      </c>
      <c r="L190" s="95">
        <v>-33.400000000000041</v>
      </c>
    </row>
    <row r="191" spans="11:12">
      <c r="K191" s="36">
        <v>189</v>
      </c>
      <c r="L191" s="95">
        <v>-4.2632564145606011E-14</v>
      </c>
    </row>
    <row r="192" spans="11:12">
      <c r="K192" s="36">
        <v>190</v>
      </c>
      <c r="L192" s="95">
        <v>-30.500000000000043</v>
      </c>
    </row>
    <row r="193" spans="11:12">
      <c r="K193" s="36">
        <v>191</v>
      </c>
      <c r="L193" s="95">
        <v>0.29999999999995808</v>
      </c>
    </row>
    <row r="194" spans="11:12">
      <c r="K194" s="36">
        <v>192</v>
      </c>
      <c r="L194" s="95">
        <v>-4.1910919179599659E-14</v>
      </c>
    </row>
    <row r="195" spans="11:12">
      <c r="K195" s="36">
        <v>193</v>
      </c>
      <c r="L195" s="95">
        <v>52.099999999999959</v>
      </c>
    </row>
    <row r="196" spans="11:12">
      <c r="K196" s="36">
        <v>194</v>
      </c>
      <c r="L196" s="95">
        <v>49.299999999999962</v>
      </c>
    </row>
    <row r="197" spans="11:12">
      <c r="K197" s="36">
        <v>195</v>
      </c>
      <c r="L197" s="95">
        <v>-3.5527136788005009E-14</v>
      </c>
    </row>
    <row r="198" spans="11:12">
      <c r="K198" s="36">
        <v>196</v>
      </c>
      <c r="L198" s="95">
        <v>-5.6000000000000352</v>
      </c>
    </row>
    <row r="199" spans="11:12">
      <c r="K199" s="36">
        <v>197</v>
      </c>
      <c r="L199" s="95">
        <v>-28.200000000000038</v>
      </c>
    </row>
    <row r="200" spans="11:12">
      <c r="K200" s="36">
        <v>198</v>
      </c>
      <c r="L200" s="95">
        <v>-3.907985046680551E-14</v>
      </c>
    </row>
    <row r="201" spans="11:12">
      <c r="K201" s="36">
        <v>199</v>
      </c>
      <c r="L201" s="95">
        <v>-22.000000000000039</v>
      </c>
    </row>
    <row r="202" spans="11:12">
      <c r="K202" s="36">
        <v>200</v>
      </c>
      <c r="L202" s="95">
        <v>-20.900000000000038</v>
      </c>
    </row>
    <row r="203" spans="11:12">
      <c r="K203" s="36">
        <v>201</v>
      </c>
      <c r="L203" s="95">
        <v>-3.907985046680551E-14</v>
      </c>
    </row>
    <row r="204" spans="11:12">
      <c r="K204" s="36">
        <v>202</v>
      </c>
      <c r="L204" s="95">
        <v>-1.0000000000000391</v>
      </c>
    </row>
    <row r="205" spans="11:12">
      <c r="K205" s="36">
        <v>203</v>
      </c>
      <c r="L205" s="95">
        <v>18.399999999999959</v>
      </c>
    </row>
    <row r="206" spans="11:12">
      <c r="K206" s="36">
        <v>204</v>
      </c>
      <c r="L206" s="95">
        <v>-3.907985046680551E-14</v>
      </c>
    </row>
    <row r="207" spans="11:12">
      <c r="K207" s="36">
        <v>205</v>
      </c>
      <c r="L207" s="95">
        <v>-47.200000000000045</v>
      </c>
    </row>
    <row r="208" spans="11:12">
      <c r="K208" s="36">
        <v>206</v>
      </c>
      <c r="L208" s="95">
        <v>-56.700000000000045</v>
      </c>
    </row>
    <row r="209" spans="11:12">
      <c r="K209" s="36">
        <v>207</v>
      </c>
      <c r="L209" s="95">
        <v>-4.2632564145606011E-14</v>
      </c>
    </row>
    <row r="210" spans="11:12">
      <c r="K210" s="36">
        <v>208</v>
      </c>
      <c r="L210" s="95">
        <v>-45.500000000000043</v>
      </c>
    </row>
    <row r="211" spans="11:12">
      <c r="K211" s="36">
        <v>209</v>
      </c>
      <c r="L211" s="95">
        <v>-7.4000000000000412</v>
      </c>
    </row>
    <row r="212" spans="11:12">
      <c r="K212" s="36">
        <v>210</v>
      </c>
      <c r="L212" s="95">
        <v>-4.0856207306205761E-14</v>
      </c>
    </row>
    <row r="213" spans="11:12">
      <c r="K213" s="36">
        <v>211</v>
      </c>
      <c r="L213" s="95">
        <v>-31.80000000000004</v>
      </c>
    </row>
    <row r="214" spans="11:12">
      <c r="K214" s="36">
        <v>212</v>
      </c>
      <c r="L214" s="95">
        <v>-26.30000000000004</v>
      </c>
    </row>
    <row r="215" spans="11:12">
      <c r="K215" s="36">
        <v>213</v>
      </c>
      <c r="L215" s="95">
        <v>-3.907985046680551E-14</v>
      </c>
    </row>
    <row r="216" spans="11:12">
      <c r="K216" s="36">
        <v>214</v>
      </c>
      <c r="L216" s="95">
        <v>22.999999999999961</v>
      </c>
    </row>
    <row r="217" spans="11:12">
      <c r="K217" s="36">
        <v>215</v>
      </c>
      <c r="L217" s="95">
        <v>22.599999999999962</v>
      </c>
    </row>
    <row r="218" spans="11:12">
      <c r="K218" s="36">
        <v>216</v>
      </c>
      <c r="L218" s="95">
        <v>-3.907985046680551E-14</v>
      </c>
    </row>
    <row r="219" spans="11:12">
      <c r="K219" s="36">
        <v>217</v>
      </c>
      <c r="L219" s="95">
        <v>-18.700000000000038</v>
      </c>
    </row>
    <row r="220" spans="11:12">
      <c r="K220" s="36">
        <v>218</v>
      </c>
      <c r="L220" s="95">
        <v>31.399999999999963</v>
      </c>
    </row>
    <row r="221" spans="11:12">
      <c r="K221" s="36">
        <v>219</v>
      </c>
      <c r="L221" s="95">
        <v>-3.5527136788005009E-14</v>
      </c>
    </row>
    <row r="222" spans="11:12">
      <c r="K222" s="36">
        <v>220</v>
      </c>
      <c r="L222" s="95">
        <v>11.499999999999964</v>
      </c>
    </row>
    <row r="223" spans="11:12">
      <c r="K223" s="36">
        <v>221</v>
      </c>
      <c r="L223" s="95">
        <v>-1.3000000000000362</v>
      </c>
    </row>
    <row r="224" spans="11:12">
      <c r="K224" s="36">
        <v>222</v>
      </c>
      <c r="L224" s="95">
        <v>-3.6193270602780103E-14</v>
      </c>
    </row>
    <row r="225" spans="11:12">
      <c r="K225" s="36">
        <v>223</v>
      </c>
      <c r="L225" s="95">
        <v>-41.100000000000037</v>
      </c>
    </row>
    <row r="226" spans="11:12">
      <c r="K226" s="36">
        <v>224</v>
      </c>
      <c r="L226" s="95">
        <v>-1.0000000000000355</v>
      </c>
    </row>
    <row r="227" spans="11:12">
      <c r="K227" s="36">
        <v>225</v>
      </c>
      <c r="L227" s="95">
        <v>-3.5527136788005009E-14</v>
      </c>
    </row>
    <row r="228" spans="11:12">
      <c r="K228" s="36">
        <v>226</v>
      </c>
      <c r="L228" s="95">
        <v>61.899999999999963</v>
      </c>
    </row>
    <row r="229" spans="11:12">
      <c r="K229" s="36">
        <v>227</v>
      </c>
      <c r="L229" s="95">
        <v>16.099999999999966</v>
      </c>
    </row>
    <row r="230" spans="11:12">
      <c r="K230" s="36">
        <v>228</v>
      </c>
      <c r="L230" s="95">
        <v>-3.5527136788005009E-14</v>
      </c>
    </row>
    <row r="231" spans="11:12">
      <c r="K231" s="36">
        <v>229</v>
      </c>
      <c r="L231" s="95">
        <v>-30.700000000000035</v>
      </c>
    </row>
    <row r="232" spans="11:12">
      <c r="K232" s="36">
        <v>230</v>
      </c>
      <c r="L232" s="95">
        <v>-8.9000000000000341</v>
      </c>
    </row>
    <row r="233" spans="11:12">
      <c r="K233" s="36">
        <v>231</v>
      </c>
      <c r="L233" s="95">
        <v>-3.3750779948604759E-14</v>
      </c>
    </row>
    <row r="234" spans="11:12">
      <c r="K234" s="36">
        <v>232</v>
      </c>
      <c r="L234" s="95">
        <v>4.5999999999999659</v>
      </c>
    </row>
    <row r="235" spans="11:12">
      <c r="K235" s="36">
        <v>233</v>
      </c>
      <c r="L235" s="95">
        <v>-43.800000000000033</v>
      </c>
    </row>
    <row r="236" spans="11:12">
      <c r="K236" s="36">
        <v>234</v>
      </c>
      <c r="L236" s="95">
        <v>-3.5527136788005009E-14</v>
      </c>
    </row>
    <row r="237" spans="11:12">
      <c r="K237" s="36">
        <v>235</v>
      </c>
      <c r="L237" s="95">
        <v>2.7999999999999643</v>
      </c>
    </row>
    <row r="238" spans="11:12">
      <c r="K238" s="36">
        <v>236</v>
      </c>
      <c r="L238" s="95">
        <v>-12.900000000000034</v>
      </c>
    </row>
    <row r="239" spans="11:12">
      <c r="K239" s="36">
        <v>237</v>
      </c>
      <c r="L239" s="95">
        <v>-3.3750779948604759E-14</v>
      </c>
    </row>
    <row r="240" spans="11:12">
      <c r="K240" s="36">
        <v>238</v>
      </c>
      <c r="L240" s="95">
        <v>46.899999999999963</v>
      </c>
    </row>
    <row r="241" spans="11:12">
      <c r="K241" s="36">
        <v>239</v>
      </c>
      <c r="L241" s="95">
        <v>49.299999999999962</v>
      </c>
    </row>
    <row r="242" spans="11:12">
      <c r="K242" s="36">
        <v>240</v>
      </c>
      <c r="L242" s="95">
        <v>-3.5527136788005009E-14</v>
      </c>
    </row>
    <row r="243" spans="11:12">
      <c r="K243" s="36">
        <v>241</v>
      </c>
      <c r="L243" s="95">
        <v>10.499999999999964</v>
      </c>
    </row>
    <row r="244" spans="11:12">
      <c r="K244" s="36">
        <v>242</v>
      </c>
      <c r="L244" s="95">
        <v>36.999999999999964</v>
      </c>
    </row>
    <row r="245" spans="11:12">
      <c r="K245" s="36">
        <v>243</v>
      </c>
      <c r="L245" s="95">
        <v>-3.5527136788005009E-14</v>
      </c>
    </row>
    <row r="246" spans="11:12">
      <c r="K246" s="36">
        <v>244</v>
      </c>
      <c r="L246" s="95">
        <v>34.099999999999966</v>
      </c>
    </row>
    <row r="247" spans="11:12">
      <c r="K247" s="36">
        <v>245</v>
      </c>
      <c r="L247" s="95">
        <v>47.799999999999969</v>
      </c>
    </row>
    <row r="248" spans="11:12">
      <c r="K248" s="36">
        <v>246</v>
      </c>
      <c r="L248" s="95">
        <v>-2.8421709430404007E-14</v>
      </c>
    </row>
    <row r="249" spans="11:12">
      <c r="K249" s="36">
        <v>247</v>
      </c>
      <c r="L249" s="95">
        <v>-47.300000000000026</v>
      </c>
    </row>
    <row r="250" spans="11:12">
      <c r="K250" s="36">
        <v>248</v>
      </c>
      <c r="L250" s="95">
        <v>-42.700000000000024</v>
      </c>
    </row>
    <row r="251" spans="11:12">
      <c r="K251" s="36">
        <v>249</v>
      </c>
      <c r="L251" s="95">
        <v>-2.1316282072803006E-14</v>
      </c>
    </row>
    <row r="252" spans="11:12">
      <c r="K252" s="36">
        <v>250</v>
      </c>
      <c r="L252" s="95">
        <v>-32.300000000000018</v>
      </c>
    </row>
    <row r="253" spans="11:12">
      <c r="K253" s="36">
        <v>251</v>
      </c>
      <c r="L253" s="95">
        <v>-5.2000000000000171</v>
      </c>
    </row>
    <row r="254" spans="11:12">
      <c r="K254" s="36">
        <v>252</v>
      </c>
      <c r="L254" s="95">
        <v>-1.6875389974302379E-14</v>
      </c>
    </row>
    <row r="255" spans="11:12">
      <c r="K255" s="36">
        <v>253</v>
      </c>
      <c r="L255" s="95">
        <v>-2.9000000000000168</v>
      </c>
    </row>
    <row r="256" spans="11:12">
      <c r="K256" s="36">
        <v>254</v>
      </c>
      <c r="L256" s="95">
        <v>15.099999999999984</v>
      </c>
    </row>
    <row r="257" spans="11:12">
      <c r="K257" s="36">
        <v>255</v>
      </c>
      <c r="L257" s="95">
        <v>-1.5987211554602254E-14</v>
      </c>
    </row>
    <row r="258" spans="11:12">
      <c r="K258" s="36">
        <v>256</v>
      </c>
      <c r="L258" s="95">
        <v>-45.100000000000016</v>
      </c>
    </row>
    <row r="259" spans="11:12">
      <c r="K259" s="36">
        <v>257</v>
      </c>
      <c r="L259" s="95">
        <v>8.3999999999999844</v>
      </c>
    </row>
    <row r="260" spans="11:12">
      <c r="K260" s="36">
        <v>258</v>
      </c>
      <c r="L260" s="95">
        <v>-1.5987211554602254E-14</v>
      </c>
    </row>
    <row r="261" spans="11:12">
      <c r="K261" s="36">
        <v>259</v>
      </c>
      <c r="L261" s="95">
        <v>-27.500000000000014</v>
      </c>
    </row>
    <row r="262" spans="11:12">
      <c r="K262" s="36">
        <v>260</v>
      </c>
      <c r="L262" s="95">
        <v>-7.0000000000000142</v>
      </c>
    </row>
    <row r="263" spans="11:12">
      <c r="K263" s="36">
        <v>261</v>
      </c>
      <c r="L263" s="95">
        <v>-1.4210854715202004E-14</v>
      </c>
    </row>
    <row r="264" spans="11:12">
      <c r="K264" s="36">
        <v>262</v>
      </c>
      <c r="L264" s="95">
        <v>6.0999999999999854</v>
      </c>
    </row>
    <row r="265" spans="11:12">
      <c r="K265" s="36">
        <v>263</v>
      </c>
      <c r="L265" s="95">
        <v>-26.100000000000016</v>
      </c>
    </row>
    <row r="266" spans="11:12">
      <c r="K266" s="36">
        <v>264</v>
      </c>
      <c r="L266" s="95">
        <v>-1.4210854715202004E-14</v>
      </c>
    </row>
    <row r="267" spans="11:12">
      <c r="K267" s="36">
        <v>265</v>
      </c>
      <c r="L267" s="95">
        <v>14.099999999999985</v>
      </c>
    </row>
    <row r="268" spans="11:12">
      <c r="K268" s="36">
        <v>266</v>
      </c>
      <c r="L268" s="95">
        <v>16.499999999999986</v>
      </c>
    </row>
    <row r="269" spans="11:12">
      <c r="K269" s="36">
        <v>267</v>
      </c>
      <c r="L269" s="95">
        <v>-1.4210854715202004E-14</v>
      </c>
    </row>
    <row r="270" spans="11:12">
      <c r="K270" s="36">
        <v>268</v>
      </c>
      <c r="L270" s="95">
        <v>4.4999999999999858</v>
      </c>
    </row>
    <row r="271" spans="11:12">
      <c r="K271" s="36">
        <v>269</v>
      </c>
      <c r="L271" s="95">
        <v>-21.100000000000016</v>
      </c>
    </row>
    <row r="272" spans="11:12">
      <c r="K272" s="36">
        <v>270</v>
      </c>
      <c r="L272" s="95">
        <v>-1.4210854715202004E-14</v>
      </c>
    </row>
    <row r="273" spans="11:12">
      <c r="K273" s="36">
        <v>271</v>
      </c>
      <c r="L273" s="95">
        <v>-2.1000000000000143</v>
      </c>
    </row>
    <row r="274" spans="11:12">
      <c r="K274" s="36">
        <v>272</v>
      </c>
      <c r="L274" s="95">
        <v>-28.100000000000016</v>
      </c>
    </row>
    <row r="275" spans="11:12">
      <c r="K275" s="36">
        <v>273</v>
      </c>
      <c r="L275" s="95">
        <v>-1.4210854715202004E-14</v>
      </c>
    </row>
    <row r="276" spans="11:12">
      <c r="K276" s="36">
        <v>274</v>
      </c>
      <c r="L276" s="95">
        <v>0.79999999999998583</v>
      </c>
    </row>
    <row r="277" spans="11:12">
      <c r="K277" s="36">
        <v>275</v>
      </c>
      <c r="L277" s="95">
        <v>-26.200000000000014</v>
      </c>
    </row>
    <row r="278" spans="11:12">
      <c r="K278" s="36">
        <v>276</v>
      </c>
      <c r="L278" s="95">
        <v>-1.4210854715202004E-14</v>
      </c>
    </row>
    <row r="279" spans="11:12">
      <c r="K279" s="36">
        <v>277</v>
      </c>
      <c r="L279" s="95">
        <v>-5.5000000000000142</v>
      </c>
    </row>
    <row r="280" spans="11:12">
      <c r="K280" s="36">
        <v>278</v>
      </c>
      <c r="L280" s="95">
        <v>-22.300000000000015</v>
      </c>
    </row>
    <row r="281" spans="11:12">
      <c r="K281" s="36">
        <v>279</v>
      </c>
      <c r="L281" s="95">
        <v>-1.4210854715202004E-14</v>
      </c>
    </row>
    <row r="282" spans="11:12">
      <c r="K282" s="36">
        <v>280</v>
      </c>
      <c r="L282" s="95">
        <v>47.399999999999984</v>
      </c>
    </row>
    <row r="283" spans="11:12">
      <c r="K283" s="36">
        <v>281</v>
      </c>
      <c r="L283" s="95">
        <v>51.499999999999986</v>
      </c>
    </row>
    <row r="284" spans="11:12">
      <c r="K284" s="36">
        <v>282</v>
      </c>
      <c r="L284" s="95">
        <v>-1.4210854715202004E-14</v>
      </c>
    </row>
    <row r="285" spans="11:12">
      <c r="K285" s="36">
        <v>283</v>
      </c>
      <c r="L285" s="95">
        <v>6.7999999999999856</v>
      </c>
    </row>
    <row r="286" spans="11:12">
      <c r="K286" s="36">
        <v>284</v>
      </c>
      <c r="L286" s="95">
        <v>-24.500000000000014</v>
      </c>
    </row>
    <row r="287" spans="11:12">
      <c r="K287" s="36">
        <v>285</v>
      </c>
      <c r="L287" s="95">
        <v>-1.4210854715202004E-14</v>
      </c>
    </row>
    <row r="288" spans="11:12">
      <c r="K288" s="36">
        <v>286</v>
      </c>
      <c r="L288" s="95">
        <v>6.7999999999999856</v>
      </c>
    </row>
    <row r="289" spans="11:12">
      <c r="K289" s="36">
        <v>287</v>
      </c>
      <c r="L289" s="95">
        <v>31.599999999999987</v>
      </c>
    </row>
    <row r="290" spans="11:12">
      <c r="K290" s="36">
        <v>288</v>
      </c>
      <c r="L290" s="95">
        <v>-1.4210854715202004E-14</v>
      </c>
    </row>
    <row r="291" spans="11:12">
      <c r="K291" s="36">
        <v>289</v>
      </c>
      <c r="L291" s="95">
        <v>-16.100000000000016</v>
      </c>
    </row>
    <row r="292" spans="11:12">
      <c r="K292" s="36">
        <v>290</v>
      </c>
      <c r="L292" s="95">
        <v>26.899999999999984</v>
      </c>
    </row>
    <row r="293" spans="11:12">
      <c r="K293" s="36">
        <v>291</v>
      </c>
      <c r="L293" s="95">
        <v>-1.4210854715202004E-14</v>
      </c>
    </row>
    <row r="294" spans="11:12">
      <c r="K294" s="36">
        <v>292</v>
      </c>
      <c r="L294" s="95">
        <v>6.5999999999999854</v>
      </c>
    </row>
    <row r="295" spans="11:12">
      <c r="K295" s="36">
        <v>293</v>
      </c>
      <c r="L295" s="95">
        <v>28.799999999999983</v>
      </c>
    </row>
    <row r="296" spans="11:12">
      <c r="K296" s="36">
        <v>294</v>
      </c>
      <c r="L296" s="95">
        <v>-1.7763568394002505E-14</v>
      </c>
    </row>
    <row r="297" spans="11:12">
      <c r="K297" s="36">
        <v>295</v>
      </c>
      <c r="L297" s="95">
        <v>4.3999999999999826</v>
      </c>
    </row>
    <row r="298" spans="11:12">
      <c r="K298" s="36">
        <v>296</v>
      </c>
      <c r="L298" s="95">
        <v>20.299999999999983</v>
      </c>
    </row>
    <row r="299" spans="11:12">
      <c r="K299" s="36">
        <v>297</v>
      </c>
      <c r="L299" s="95">
        <v>-1.7763568394002505E-14</v>
      </c>
    </row>
    <row r="300" spans="11:12">
      <c r="K300" s="36">
        <v>298</v>
      </c>
      <c r="L300" s="95">
        <v>18.299999999999983</v>
      </c>
    </row>
    <row r="301" spans="11:12">
      <c r="K301" s="36">
        <v>299</v>
      </c>
      <c r="L301" s="95">
        <v>16.699999999999982</v>
      </c>
    </row>
    <row r="302" spans="11:12">
      <c r="K302" s="36">
        <v>300</v>
      </c>
      <c r="L302" s="95">
        <v>-1.7763568394002505E-14</v>
      </c>
    </row>
    <row r="303" spans="11:12">
      <c r="K303" s="36">
        <v>301</v>
      </c>
      <c r="L303" s="95">
        <v>19.199999999999982</v>
      </c>
    </row>
    <row r="304" spans="11:12">
      <c r="K304" s="36">
        <v>302</v>
      </c>
      <c r="L304" s="95">
        <v>27.799999999999983</v>
      </c>
    </row>
    <row r="305" spans="11:12">
      <c r="K305" s="36">
        <v>303</v>
      </c>
      <c r="L305" s="95">
        <v>-1.7763568394002505E-14</v>
      </c>
    </row>
    <row r="306" spans="11:12">
      <c r="K306" s="36">
        <v>304</v>
      </c>
      <c r="L306" s="95">
        <v>12.399999999999983</v>
      </c>
    </row>
    <row r="307" spans="11:12">
      <c r="K307" s="36">
        <v>305</v>
      </c>
      <c r="L307" s="95">
        <v>12.999999999999982</v>
      </c>
    </row>
    <row r="308" spans="11:12">
      <c r="K308" s="36">
        <v>306</v>
      </c>
      <c r="L308" s="95">
        <v>-1.7763568394002505E-14</v>
      </c>
    </row>
    <row r="309" spans="11:12">
      <c r="K309" s="36">
        <v>307</v>
      </c>
      <c r="L309" s="95">
        <v>61.499999999999986</v>
      </c>
    </row>
    <row r="310" spans="11:12">
      <c r="K310" s="36">
        <v>308</v>
      </c>
      <c r="L310" s="95">
        <v>8.7999999999999829</v>
      </c>
    </row>
    <row r="311" spans="11:12">
      <c r="K311" s="36">
        <v>309</v>
      </c>
      <c r="L311" s="95">
        <v>-1.7763568394002505E-14</v>
      </c>
    </row>
    <row r="312" spans="11:12">
      <c r="K312" s="36">
        <v>310</v>
      </c>
      <c r="L312" s="95">
        <v>-2.0000000000000178</v>
      </c>
    </row>
    <row r="313" spans="11:12">
      <c r="K313" s="36">
        <v>311</v>
      </c>
      <c r="L313" s="95">
        <v>35.199999999999989</v>
      </c>
    </row>
    <row r="314" spans="11:12">
      <c r="K314" s="36">
        <v>312</v>
      </c>
      <c r="L314" s="95">
        <v>-1.4210854715202004E-14</v>
      </c>
    </row>
    <row r="315" spans="11:12">
      <c r="K315" s="36">
        <v>313</v>
      </c>
      <c r="L315" s="95">
        <v>30.499999999999986</v>
      </c>
    </row>
    <row r="316" spans="11:12">
      <c r="K316" s="36">
        <v>314</v>
      </c>
      <c r="L316" s="95">
        <v>34.899999999999984</v>
      </c>
    </row>
    <row r="317" spans="11:12">
      <c r="K317" s="36">
        <v>315</v>
      </c>
      <c r="L317" s="95">
        <v>-1.4210854715202004E-14</v>
      </c>
    </row>
    <row r="318" spans="11:12">
      <c r="K318" s="36">
        <v>316</v>
      </c>
      <c r="L318" s="95">
        <v>12.199999999999985</v>
      </c>
    </row>
    <row r="319" spans="11:12">
      <c r="K319" s="36">
        <v>317</v>
      </c>
      <c r="L319" s="95">
        <v>-40.600000000000009</v>
      </c>
    </row>
    <row r="320" spans="11:12">
      <c r="K320" s="36">
        <v>318</v>
      </c>
      <c r="L320" s="95">
        <v>-7.1054273576010019E-15</v>
      </c>
    </row>
    <row r="321" spans="11:12">
      <c r="K321" s="36">
        <v>319</v>
      </c>
      <c r="L321" s="95">
        <v>32.399999999999991</v>
      </c>
    </row>
    <row r="322" spans="11:12">
      <c r="K322" s="36">
        <v>320</v>
      </c>
      <c r="L322" s="95">
        <v>47.999999999999993</v>
      </c>
    </row>
    <row r="323" spans="11:12">
      <c r="K323" s="36">
        <v>321</v>
      </c>
      <c r="L323" s="95">
        <v>-7.1054273576010019E-15</v>
      </c>
    </row>
    <row r="324" spans="11:12">
      <c r="K324" s="36">
        <v>322</v>
      </c>
      <c r="L324" s="95">
        <v>55.099999999999994</v>
      </c>
    </row>
    <row r="325" spans="11:12">
      <c r="K325" s="36">
        <v>323</v>
      </c>
      <c r="L325" s="95">
        <v>35.099999999999994</v>
      </c>
    </row>
    <row r="326" spans="11:12">
      <c r="K326" s="36">
        <v>324</v>
      </c>
      <c r="L326" s="95">
        <v>-7.1054273576010019E-15</v>
      </c>
    </row>
    <row r="327" spans="11:12">
      <c r="K327" s="36">
        <v>325</v>
      </c>
      <c r="L327" s="95">
        <v>40.899999999999991</v>
      </c>
    </row>
    <row r="328" spans="11:12">
      <c r="K328" s="36">
        <v>326</v>
      </c>
      <c r="L328" s="95">
        <v>31.699999999999992</v>
      </c>
    </row>
    <row r="329" spans="11:12">
      <c r="K329" s="36">
        <v>327</v>
      </c>
      <c r="L329" s="95">
        <v>-7.1054273576010019E-15</v>
      </c>
    </row>
    <row r="330" spans="11:12">
      <c r="K330" s="36">
        <v>328</v>
      </c>
      <c r="L330" s="95">
        <v>-1.400000000000007</v>
      </c>
    </row>
    <row r="331" spans="11:12">
      <c r="K331" s="36">
        <v>329</v>
      </c>
      <c r="L331" s="95">
        <v>-18.400000000000006</v>
      </c>
    </row>
    <row r="332" spans="11:12">
      <c r="K332" s="36">
        <v>330</v>
      </c>
      <c r="L332" s="95">
        <v>-7.1054273576010019E-15</v>
      </c>
    </row>
    <row r="333" spans="11:12">
      <c r="K333" s="36">
        <v>331</v>
      </c>
      <c r="L333" s="95">
        <v>-8.7000000000000064</v>
      </c>
    </row>
    <row r="334" spans="11:12">
      <c r="K334" s="36">
        <v>332</v>
      </c>
      <c r="L334" s="95">
        <v>-35.500000000000007</v>
      </c>
    </row>
    <row r="335" spans="11:12">
      <c r="K335" s="36">
        <v>333</v>
      </c>
      <c r="L335" s="95">
        <v>-7.1054273576010019E-15</v>
      </c>
    </row>
    <row r="336" spans="11:12">
      <c r="K336" s="36">
        <v>334</v>
      </c>
      <c r="L336" s="95">
        <v>28.799999999999994</v>
      </c>
    </row>
    <row r="337" spans="11:12">
      <c r="K337" s="36">
        <v>335</v>
      </c>
      <c r="L337" s="95">
        <v>41.399999999999991</v>
      </c>
    </row>
    <row r="338" spans="11:12">
      <c r="K338" s="36">
        <v>336</v>
      </c>
      <c r="L338" s="95">
        <v>-7.1054273576010019E-15</v>
      </c>
    </row>
    <row r="339" spans="11:12">
      <c r="K339" s="36">
        <v>337</v>
      </c>
      <c r="L339" s="95">
        <v>12.599999999999993</v>
      </c>
    </row>
    <row r="340" spans="11:12">
      <c r="K340" s="36">
        <v>338</v>
      </c>
      <c r="L340" s="95">
        <v>-28.700000000000003</v>
      </c>
    </row>
    <row r="341" spans="11:12">
      <c r="K341" s="36">
        <v>339</v>
      </c>
      <c r="L341" s="95">
        <v>-3.5527136788005009E-15</v>
      </c>
    </row>
    <row r="342" spans="11:12">
      <c r="K342" s="36">
        <v>340</v>
      </c>
      <c r="L342" s="95">
        <v>14.899999999999997</v>
      </c>
    </row>
    <row r="343" spans="11:12">
      <c r="K343" s="36">
        <v>341</v>
      </c>
      <c r="L343" s="95">
        <v>42.699999999999996</v>
      </c>
    </row>
    <row r="344" spans="11:12">
      <c r="K344" s="36">
        <v>342</v>
      </c>
      <c r="L344" s="95">
        <v>-7.1054273576010019E-15</v>
      </c>
    </row>
    <row r="345" spans="11:12">
      <c r="K345" s="36">
        <v>343</v>
      </c>
      <c r="L345" s="95">
        <v>-24.000000000000007</v>
      </c>
    </row>
    <row r="346" spans="11:12">
      <c r="K346" s="36">
        <v>344</v>
      </c>
      <c r="L346" s="95">
        <v>-25.600000000000009</v>
      </c>
    </row>
    <row r="347" spans="11:12">
      <c r="K347" s="36">
        <v>345</v>
      </c>
      <c r="L347" s="95">
        <v>-7.1054273576010019E-15</v>
      </c>
    </row>
    <row r="348" spans="11:12">
      <c r="K348" s="36">
        <v>346</v>
      </c>
      <c r="L348" s="95">
        <v>3.9999999999999929</v>
      </c>
    </row>
    <row r="349" spans="11:12">
      <c r="K349" s="36">
        <v>347</v>
      </c>
      <c r="L349" s="95">
        <v>-24.100000000000009</v>
      </c>
    </row>
    <row r="350" spans="11:12">
      <c r="K350" s="36">
        <v>348</v>
      </c>
      <c r="L350" s="95">
        <v>-7.1054273576010019E-15</v>
      </c>
    </row>
    <row r="351" spans="11:12">
      <c r="K351" s="36">
        <v>349</v>
      </c>
      <c r="L351" s="95">
        <v>-4.5000000000000071</v>
      </c>
    </row>
    <row r="352" spans="11:12">
      <c r="K352" s="36">
        <v>350</v>
      </c>
      <c r="L352" s="95">
        <v>-34.500000000000007</v>
      </c>
    </row>
    <row r="353" spans="11:12">
      <c r="K353" s="36">
        <v>351</v>
      </c>
      <c r="L353" s="95">
        <v>-7.1054273576010019E-15</v>
      </c>
    </row>
    <row r="354" spans="11:12">
      <c r="K354" s="36">
        <v>352</v>
      </c>
      <c r="L354" s="95">
        <v>-30.500000000000007</v>
      </c>
    </row>
    <row r="355" spans="11:12">
      <c r="K355" s="36">
        <v>353</v>
      </c>
      <c r="L355" s="95">
        <v>-33.800000000000004</v>
      </c>
    </row>
    <row r="356" spans="11:12">
      <c r="K356" s="36">
        <v>354</v>
      </c>
      <c r="L356" s="95">
        <v>-7.1054273576010019E-15</v>
      </c>
    </row>
    <row r="357" spans="11:12">
      <c r="K357" s="36">
        <v>355</v>
      </c>
      <c r="L357" s="95">
        <v>-31.300000000000008</v>
      </c>
    </row>
    <row r="358" spans="11:12">
      <c r="K358" s="36">
        <v>356</v>
      </c>
      <c r="L358" s="95">
        <v>-6.5000000000000071</v>
      </c>
    </row>
    <row r="359" spans="11:12">
      <c r="K359" s="36">
        <v>357</v>
      </c>
      <c r="L359" s="95">
        <v>-7.1054273576010019E-15</v>
      </c>
    </row>
    <row r="360" spans="11:12">
      <c r="K360" s="36">
        <v>358</v>
      </c>
      <c r="L360" s="95">
        <v>-22.400000000000006</v>
      </c>
    </row>
    <row r="361" spans="11:12">
      <c r="K361" s="36">
        <v>359</v>
      </c>
      <c r="L361" s="95">
        <v>3.0999999999999943</v>
      </c>
    </row>
    <row r="362" spans="11:12">
      <c r="K362" s="36">
        <v>360</v>
      </c>
      <c r="L362" s="95">
        <v>-5.773159728050814E-15</v>
      </c>
    </row>
    <row r="363" spans="11:12">
      <c r="K363" s="36">
        <v>361</v>
      </c>
      <c r="L363" s="95">
        <v>1.2999999999999943</v>
      </c>
    </row>
    <row r="364" spans="11:12">
      <c r="K364" s="36">
        <v>362</v>
      </c>
      <c r="L364" s="95">
        <v>26.099999999999994</v>
      </c>
    </row>
    <row r="365" spans="11:12">
      <c r="K365" s="36">
        <v>363</v>
      </c>
      <c r="L365" s="95">
        <v>-7.1054273576010019E-15</v>
      </c>
    </row>
    <row r="366" spans="11:12">
      <c r="K366" s="36">
        <v>364</v>
      </c>
      <c r="L366" s="95">
        <v>5.5999999999999925</v>
      </c>
    </row>
    <row r="367" spans="11:12">
      <c r="K367" s="36">
        <v>365</v>
      </c>
      <c r="L367" s="95">
        <v>-19.400000000000006</v>
      </c>
    </row>
    <row r="368" spans="11:12">
      <c r="K368" s="36">
        <v>366</v>
      </c>
      <c r="L368" s="95">
        <v>-7.1054273576010019E-15</v>
      </c>
    </row>
    <row r="369" spans="11:12">
      <c r="K369" s="36">
        <v>367</v>
      </c>
      <c r="L369" s="95">
        <v>14.799999999999994</v>
      </c>
    </row>
    <row r="370" spans="11:12">
      <c r="K370" s="36">
        <v>368</v>
      </c>
      <c r="L370" s="95">
        <v>14.199999999999994</v>
      </c>
    </row>
    <row r="371" spans="11:12">
      <c r="K371" s="36">
        <v>369</v>
      </c>
      <c r="L371" s="95">
        <v>-5.3290705182007514E-15</v>
      </c>
    </row>
    <row r="372" spans="11:12">
      <c r="K372" s="36">
        <v>370</v>
      </c>
      <c r="L372" s="95">
        <v>-42.300000000000004</v>
      </c>
    </row>
    <row r="373" spans="11:12">
      <c r="K373" s="36">
        <v>371</v>
      </c>
      <c r="L373" s="95">
        <v>-49.1</v>
      </c>
    </row>
    <row r="374" spans="11:12">
      <c r="K374" s="36">
        <v>372</v>
      </c>
      <c r="L374" s="95">
        <v>0</v>
      </c>
    </row>
    <row r="375" spans="11:12">
      <c r="K375" s="36">
        <v>373</v>
      </c>
      <c r="L375" s="95">
        <v>11.4</v>
      </c>
    </row>
    <row r="376" spans="11:12">
      <c r="K376" s="36">
        <v>374</v>
      </c>
      <c r="L376" s="95">
        <v>53.4</v>
      </c>
    </row>
    <row r="377" spans="11:12">
      <c r="K377" s="36">
        <v>375</v>
      </c>
      <c r="L377" s="95">
        <v>0</v>
      </c>
    </row>
    <row r="378" spans="11:12">
      <c r="K378" s="36">
        <v>376</v>
      </c>
      <c r="L378" s="95">
        <v>22.2</v>
      </c>
    </row>
    <row r="379" spans="11:12">
      <c r="K379" s="36">
        <v>377</v>
      </c>
      <c r="L379" s="95">
        <v>-9.4000000000000021</v>
      </c>
    </row>
    <row r="380" spans="11:12">
      <c r="K380" s="36">
        <v>378</v>
      </c>
      <c r="L380" s="95">
        <v>-1.7763568394002505E-15</v>
      </c>
    </row>
    <row r="381" spans="11:12">
      <c r="K381" s="36">
        <v>379</v>
      </c>
      <c r="L381" s="95">
        <v>9.0999999999999979</v>
      </c>
    </row>
    <row r="382" spans="11:12">
      <c r="K382" s="36">
        <v>380</v>
      </c>
      <c r="L382" s="95">
        <v>-20.400000000000002</v>
      </c>
    </row>
    <row r="383" spans="11:12">
      <c r="K383" s="36">
        <v>381</v>
      </c>
      <c r="L383" s="95">
        <v>-3.5527136788005009E-15</v>
      </c>
    </row>
    <row r="384" spans="11:12">
      <c r="K384" s="36">
        <v>382</v>
      </c>
      <c r="L384" s="95">
        <v>-36.100000000000009</v>
      </c>
    </row>
    <row r="385" spans="11:12">
      <c r="K385" s="36">
        <v>383</v>
      </c>
      <c r="L385" s="95">
        <v>-7.3000000000000078</v>
      </c>
    </row>
    <row r="386" spans="11:12">
      <c r="K386" s="36">
        <v>384</v>
      </c>
      <c r="L386" s="95">
        <v>-7.9936057773011271E-15</v>
      </c>
    </row>
    <row r="387" spans="11:12">
      <c r="K387" s="36">
        <v>385</v>
      </c>
      <c r="L387" s="95">
        <v>-3.000000000000008</v>
      </c>
    </row>
    <row r="388" spans="11:12">
      <c r="K388" s="36">
        <v>386</v>
      </c>
      <c r="L388" s="95">
        <v>-31.500000000000007</v>
      </c>
    </row>
    <row r="389" spans="11:12">
      <c r="K389" s="36">
        <v>387</v>
      </c>
      <c r="L389" s="95">
        <v>-7.1054273576010019E-15</v>
      </c>
    </row>
    <row r="390" spans="11:12">
      <c r="K390" s="36">
        <v>388</v>
      </c>
      <c r="L390" s="95">
        <v>32.499999999999993</v>
      </c>
    </row>
    <row r="391" spans="11:12">
      <c r="K391" s="36">
        <v>389</v>
      </c>
      <c r="L391" s="95">
        <v>21.299999999999994</v>
      </c>
    </row>
    <row r="392" spans="11:12">
      <c r="K392" s="36">
        <v>390</v>
      </c>
      <c r="L392" s="95">
        <v>-7.1054273576010019E-15</v>
      </c>
    </row>
    <row r="393" spans="11:12">
      <c r="K393" s="36">
        <v>391</v>
      </c>
      <c r="L393" s="95">
        <v>-22.400000000000006</v>
      </c>
    </row>
    <row r="394" spans="11:12">
      <c r="K394" s="36">
        <v>392</v>
      </c>
      <c r="L394" s="95">
        <v>-69.100000000000009</v>
      </c>
    </row>
    <row r="395" spans="11:12">
      <c r="K395" s="36">
        <v>393</v>
      </c>
      <c r="L395" s="95">
        <v>-1.4210854715202004E-14</v>
      </c>
    </row>
    <row r="396" spans="11:12">
      <c r="K396" s="36">
        <v>394</v>
      </c>
      <c r="L396" s="95">
        <v>15.199999999999985</v>
      </c>
    </row>
    <row r="397" spans="11:12">
      <c r="K397" s="36">
        <v>395</v>
      </c>
      <c r="L397" s="95">
        <v>18.299999999999986</v>
      </c>
    </row>
    <row r="398" spans="11:12">
      <c r="K398" s="36">
        <v>396</v>
      </c>
      <c r="L398" s="95">
        <v>-1.4210854715202004E-14</v>
      </c>
    </row>
    <row r="399" spans="11:12">
      <c r="K399" s="36">
        <v>397</v>
      </c>
      <c r="L399" s="95">
        <v>1.5999999999999859</v>
      </c>
    </row>
    <row r="400" spans="11:12">
      <c r="K400" s="36">
        <v>398</v>
      </c>
      <c r="L400" s="95">
        <v>-48.900000000000013</v>
      </c>
    </row>
    <row r="401" spans="11:12">
      <c r="K401" s="36">
        <v>399</v>
      </c>
      <c r="L401" s="95">
        <v>-1.4210854715202004E-14</v>
      </c>
    </row>
    <row r="402" spans="11:12">
      <c r="K402" s="36">
        <v>400</v>
      </c>
      <c r="L402" s="95">
        <v>26.799999999999986</v>
      </c>
    </row>
    <row r="403" spans="11:12">
      <c r="K403" s="36">
        <v>401</v>
      </c>
      <c r="L403" s="95">
        <v>40.099999999999987</v>
      </c>
    </row>
    <row r="404" spans="11:12">
      <c r="K404" s="36">
        <v>402</v>
      </c>
      <c r="L404" s="95">
        <v>-1.4210854715202004E-14</v>
      </c>
    </row>
    <row r="405" spans="11:12">
      <c r="K405" s="36">
        <v>403</v>
      </c>
      <c r="L405" s="95">
        <v>-21.300000000000015</v>
      </c>
    </row>
    <row r="406" spans="11:12">
      <c r="K406" s="36">
        <v>404</v>
      </c>
      <c r="L406" s="95">
        <v>-4.7000000000000135</v>
      </c>
    </row>
    <row r="407" spans="11:12">
      <c r="K407" s="36">
        <v>405</v>
      </c>
      <c r="L407" s="95">
        <v>-1.3322676295501878E-14</v>
      </c>
    </row>
    <row r="408" spans="11:12">
      <c r="K408" s="36">
        <v>406</v>
      </c>
      <c r="L408" s="95">
        <v>-29.900000000000013</v>
      </c>
    </row>
    <row r="409" spans="11:12">
      <c r="K409" s="36">
        <v>407</v>
      </c>
      <c r="L409" s="95">
        <v>-5.1000000000000121</v>
      </c>
    </row>
    <row r="410" spans="11:12">
      <c r="K410" s="36">
        <v>408</v>
      </c>
      <c r="L410" s="95">
        <v>-1.2434497875801753E-14</v>
      </c>
    </row>
    <row r="411" spans="11:12">
      <c r="K411" s="36">
        <v>409</v>
      </c>
      <c r="L411" s="95">
        <v>-13.800000000000013</v>
      </c>
    </row>
    <row r="412" spans="11:12">
      <c r="K412" s="36">
        <v>410</v>
      </c>
      <c r="L412" s="95">
        <v>-39.300000000000011</v>
      </c>
    </row>
    <row r="413" spans="11:12">
      <c r="K413" s="36">
        <v>411</v>
      </c>
      <c r="L413" s="95">
        <v>-1.4210854715202004E-14</v>
      </c>
    </row>
    <row r="414" spans="11:12">
      <c r="K414" s="36">
        <v>412</v>
      </c>
      <c r="L414" s="95">
        <v>10.899999999999986</v>
      </c>
    </row>
    <row r="415" spans="11:12">
      <c r="K415" s="36">
        <v>413</v>
      </c>
      <c r="L415" s="95">
        <v>55.899999999999984</v>
      </c>
    </row>
    <row r="416" spans="11:12">
      <c r="K416" s="36">
        <v>414</v>
      </c>
      <c r="L416" s="95">
        <v>-1.4210854715202004E-14</v>
      </c>
    </row>
    <row r="417" spans="11:12">
      <c r="K417" s="36">
        <v>415</v>
      </c>
      <c r="L417" s="95">
        <v>5.9999999999999858</v>
      </c>
    </row>
    <row r="418" spans="11:12">
      <c r="K418" s="36">
        <v>416</v>
      </c>
      <c r="L418" s="95">
        <v>-23.600000000000016</v>
      </c>
    </row>
    <row r="419" spans="11:12">
      <c r="K419" s="36">
        <v>417</v>
      </c>
      <c r="L419" s="95">
        <v>-1.4210854715202004E-14</v>
      </c>
    </row>
    <row r="420" spans="11:12">
      <c r="K420" s="36">
        <v>418</v>
      </c>
      <c r="L420" s="95">
        <v>-15.300000000000015</v>
      </c>
    </row>
    <row r="421" spans="11:12">
      <c r="K421" s="36">
        <v>419</v>
      </c>
      <c r="L421" s="95">
        <v>1.7999999999999865</v>
      </c>
    </row>
    <row r="422" spans="11:12">
      <c r="K422" s="36">
        <v>420</v>
      </c>
      <c r="L422" s="95">
        <v>-1.354472090042691E-14</v>
      </c>
    </row>
    <row r="423" spans="11:12">
      <c r="K423" s="36">
        <v>421</v>
      </c>
      <c r="L423" s="95">
        <v>34.599999999999987</v>
      </c>
    </row>
    <row r="424" spans="11:12">
      <c r="K424" s="36">
        <v>422</v>
      </c>
      <c r="L424" s="95">
        <v>-19.900000000000013</v>
      </c>
    </row>
    <row r="425" spans="11:12">
      <c r="K425" s="36">
        <v>423</v>
      </c>
      <c r="L425" s="95">
        <v>-1.4210854715202004E-14</v>
      </c>
    </row>
    <row r="426" spans="11:12">
      <c r="K426" s="36">
        <v>424</v>
      </c>
      <c r="L426" s="95">
        <v>-6.5000000000000142</v>
      </c>
    </row>
    <row r="427" spans="11:12">
      <c r="K427" s="36">
        <v>425</v>
      </c>
      <c r="L427" s="95">
        <v>36.699999999999989</v>
      </c>
    </row>
    <row r="428" spans="11:12">
      <c r="K428" s="36">
        <v>426</v>
      </c>
      <c r="L428" s="95">
        <v>-1.4210854715202004E-14</v>
      </c>
    </row>
    <row r="429" spans="11:12">
      <c r="K429" s="36">
        <v>427</v>
      </c>
      <c r="L429" s="95">
        <v>-25.300000000000015</v>
      </c>
    </row>
    <row r="430" spans="11:12">
      <c r="K430" s="36">
        <v>428</v>
      </c>
      <c r="L430" s="95">
        <v>-20.600000000000016</v>
      </c>
    </row>
    <row r="431" spans="11:12">
      <c r="K431" s="36">
        <v>429</v>
      </c>
      <c r="L431" s="95">
        <v>-1.4210854715202004E-14</v>
      </c>
    </row>
    <row r="432" spans="11:12">
      <c r="K432" s="36">
        <v>430</v>
      </c>
      <c r="L432" s="95">
        <v>-20.900000000000013</v>
      </c>
    </row>
    <row r="433" spans="11:12">
      <c r="K433" s="36">
        <v>431</v>
      </c>
      <c r="L433" s="95">
        <v>-4.0000000000000142</v>
      </c>
    </row>
    <row r="434" spans="11:12">
      <c r="K434" s="36">
        <v>432</v>
      </c>
      <c r="L434" s="95">
        <v>-1.4210854715202004E-14</v>
      </c>
    </row>
    <row r="435" spans="11:12">
      <c r="K435" s="36">
        <v>433</v>
      </c>
      <c r="L435" s="95">
        <v>16.499999999999986</v>
      </c>
    </row>
    <row r="436" spans="11:12">
      <c r="K436" s="36">
        <v>434</v>
      </c>
      <c r="L436" s="95">
        <v>0.59999999999998543</v>
      </c>
    </row>
    <row r="437" spans="11:12">
      <c r="K437" s="36">
        <v>435</v>
      </c>
      <c r="L437" s="95">
        <v>-1.4543921622589551E-14</v>
      </c>
    </row>
    <row r="438" spans="11:12">
      <c r="K438" s="36">
        <v>436</v>
      </c>
      <c r="L438" s="95">
        <v>3.4999999999999853</v>
      </c>
    </row>
    <row r="439" spans="11:12">
      <c r="K439" s="36">
        <v>437</v>
      </c>
      <c r="L439" s="95">
        <v>38.999999999999986</v>
      </c>
    </row>
    <row r="440" spans="11:12">
      <c r="K440" s="36">
        <v>438</v>
      </c>
      <c r="L440" s="95">
        <v>-1.4210854715202004E-14</v>
      </c>
    </row>
    <row r="441" spans="11:12">
      <c r="K441" s="36">
        <v>439</v>
      </c>
      <c r="L441" s="95">
        <v>-33.000000000000014</v>
      </c>
    </row>
    <row r="442" spans="11:12">
      <c r="K442" s="36">
        <v>440</v>
      </c>
      <c r="L442" s="95">
        <v>45.59999999999998</v>
      </c>
    </row>
    <row r="443" spans="11:12">
      <c r="K443" s="36">
        <v>441</v>
      </c>
      <c r="L443" s="95">
        <v>-2.1316282072803006E-14</v>
      </c>
    </row>
    <row r="444" spans="11:12">
      <c r="K444" s="36">
        <v>442</v>
      </c>
      <c r="L444" s="95">
        <v>-24.100000000000023</v>
      </c>
    </row>
    <row r="445" spans="11:12">
      <c r="K445" s="36">
        <v>443</v>
      </c>
      <c r="L445" s="95">
        <v>-23.800000000000022</v>
      </c>
    </row>
    <row r="446" spans="11:12">
      <c r="K446" s="36">
        <v>444</v>
      </c>
      <c r="L446" s="95">
        <v>-2.1316282072803006E-14</v>
      </c>
    </row>
    <row r="447" spans="11:12">
      <c r="K447" s="36">
        <v>445</v>
      </c>
      <c r="L447" s="95">
        <v>10.299999999999979</v>
      </c>
    </row>
    <row r="448" spans="11:12">
      <c r="K448" s="36">
        <v>446</v>
      </c>
      <c r="L448" s="95">
        <v>45.399999999999977</v>
      </c>
    </row>
    <row r="449" spans="11:12">
      <c r="K449" s="36">
        <v>447</v>
      </c>
      <c r="L449" s="95">
        <v>-2.1316282072803006E-14</v>
      </c>
    </row>
    <row r="450" spans="11:12">
      <c r="K450" s="36">
        <v>448</v>
      </c>
      <c r="L450" s="95">
        <v>26.699999999999978</v>
      </c>
    </row>
    <row r="451" spans="11:12">
      <c r="K451" s="36">
        <v>449</v>
      </c>
      <c r="L451" s="95">
        <v>22.299999999999976</v>
      </c>
    </row>
    <row r="452" spans="11:12">
      <c r="K452" s="36">
        <v>450</v>
      </c>
      <c r="L452" s="95">
        <v>-2.4868995751603507E-14</v>
      </c>
    </row>
    <row r="453" spans="11:12">
      <c r="K453" s="36">
        <v>451</v>
      </c>
      <c r="L453" s="95">
        <v>-28.900000000000023</v>
      </c>
    </row>
    <row r="454" spans="11:12">
      <c r="K454" s="36">
        <v>452</v>
      </c>
      <c r="L454" s="95">
        <v>-43.100000000000023</v>
      </c>
    </row>
    <row r="455" spans="11:12">
      <c r="K455" s="36">
        <v>453</v>
      </c>
      <c r="L455" s="95">
        <v>-2.1316282072803006E-14</v>
      </c>
    </row>
    <row r="456" spans="11:12">
      <c r="K456" s="36">
        <v>454</v>
      </c>
      <c r="L456" s="95">
        <v>21.499999999999979</v>
      </c>
    </row>
    <row r="457" spans="11:12">
      <c r="K457" s="36">
        <v>455</v>
      </c>
      <c r="L457" s="95">
        <v>23.999999999999979</v>
      </c>
    </row>
    <row r="458" spans="11:12">
      <c r="K458" s="36">
        <v>456</v>
      </c>
      <c r="L458" s="95">
        <v>-2.1316282072803006E-14</v>
      </c>
    </row>
    <row r="459" spans="11:12">
      <c r="K459" s="36">
        <v>457</v>
      </c>
      <c r="L459" s="95">
        <v>-25.100000000000023</v>
      </c>
    </row>
    <row r="460" spans="11:12">
      <c r="K460" s="36">
        <v>458</v>
      </c>
      <c r="L460" s="95">
        <v>4.9999999999999787</v>
      </c>
    </row>
    <row r="461" spans="11:12">
      <c r="K461" s="36">
        <v>459</v>
      </c>
      <c r="L461" s="95">
        <v>-2.1316282072803006E-14</v>
      </c>
    </row>
    <row r="462" spans="11:12">
      <c r="K462" s="36">
        <v>460</v>
      </c>
      <c r="L462" s="95">
        <v>2.9999999999999787</v>
      </c>
    </row>
    <row r="463" spans="11:12">
      <c r="K463" s="36">
        <v>461</v>
      </c>
      <c r="L463" s="95">
        <v>37.09999999999998</v>
      </c>
    </row>
    <row r="464" spans="11:12">
      <c r="K464" s="36">
        <v>462</v>
      </c>
      <c r="L464" s="95">
        <v>-2.1316282072803006E-14</v>
      </c>
    </row>
    <row r="465" spans="11:12">
      <c r="K465" s="36">
        <v>463</v>
      </c>
      <c r="L465" s="95">
        <v>-1.9000000000000212</v>
      </c>
    </row>
    <row r="466" spans="11:12">
      <c r="K466" s="36">
        <v>464</v>
      </c>
      <c r="L466" s="95">
        <v>-27.700000000000021</v>
      </c>
    </row>
    <row r="467" spans="11:12">
      <c r="K467" s="36">
        <v>465</v>
      </c>
      <c r="L467" s="95">
        <v>-2.1316282072803006E-14</v>
      </c>
    </row>
    <row r="468" spans="11:12">
      <c r="K468" s="36">
        <v>466</v>
      </c>
      <c r="L468" s="95">
        <v>35.899999999999977</v>
      </c>
    </row>
    <row r="469" spans="11:12">
      <c r="K469" s="36">
        <v>467</v>
      </c>
      <c r="L469" s="95">
        <v>45.199999999999974</v>
      </c>
    </row>
    <row r="470" spans="11:12">
      <c r="K470" s="36">
        <v>468</v>
      </c>
      <c r="L470" s="95">
        <v>-2.8421709430404007E-14</v>
      </c>
    </row>
    <row r="471" spans="11:12">
      <c r="K471" s="36">
        <v>469</v>
      </c>
      <c r="L471" s="95">
        <v>37.39999999999997</v>
      </c>
    </row>
    <row r="472" spans="11:12">
      <c r="K472" s="36">
        <v>470</v>
      </c>
      <c r="L472" s="95">
        <v>59.099999999999966</v>
      </c>
    </row>
    <row r="473" spans="11:12">
      <c r="K473" s="36">
        <v>471</v>
      </c>
      <c r="L473" s="95">
        <v>-3.5527136788005009E-14</v>
      </c>
    </row>
    <row r="474" spans="11:12">
      <c r="K474" s="36">
        <v>472</v>
      </c>
      <c r="L474" s="95">
        <v>-3.5000000000000355</v>
      </c>
    </row>
    <row r="475" spans="11:12">
      <c r="K475" s="36">
        <v>473</v>
      </c>
      <c r="L475" s="95">
        <v>15.999999999999964</v>
      </c>
    </row>
    <row r="476" spans="11:12">
      <c r="K476" s="36">
        <v>474</v>
      </c>
      <c r="L476" s="95">
        <v>-3.5527136788005009E-14</v>
      </c>
    </row>
    <row r="477" spans="11:12">
      <c r="K477" s="36">
        <v>475</v>
      </c>
      <c r="L477" s="95">
        <v>28.099999999999966</v>
      </c>
    </row>
    <row r="478" spans="11:12">
      <c r="K478" s="36">
        <v>476</v>
      </c>
      <c r="L478" s="95">
        <v>41.699999999999967</v>
      </c>
    </row>
    <row r="479" spans="11:12">
      <c r="K479" s="36">
        <v>477</v>
      </c>
      <c r="L479" s="95">
        <v>-3.5527136788005009E-14</v>
      </c>
    </row>
    <row r="480" spans="11:12">
      <c r="K480" s="36">
        <v>478</v>
      </c>
      <c r="L480" s="95">
        <v>51.899999999999963</v>
      </c>
    </row>
    <row r="481" spans="11:12">
      <c r="K481" s="36">
        <v>479</v>
      </c>
      <c r="L481" s="95">
        <v>2.3999999999999631</v>
      </c>
    </row>
    <row r="482" spans="11:12">
      <c r="K482" s="36">
        <v>480</v>
      </c>
      <c r="L482" s="95">
        <v>-3.6859404417555197E-14</v>
      </c>
    </row>
    <row r="483" spans="11:12">
      <c r="K483" s="36">
        <v>481</v>
      </c>
      <c r="L483" s="95">
        <v>-17.100000000000037</v>
      </c>
    </row>
    <row r="484" spans="11:12">
      <c r="K484" s="36">
        <v>482</v>
      </c>
      <c r="L484" s="95">
        <v>-21.900000000000038</v>
      </c>
    </row>
    <row r="485" spans="11:12">
      <c r="K485" s="36">
        <v>483</v>
      </c>
      <c r="L485" s="95">
        <v>-3.907985046680551E-14</v>
      </c>
    </row>
    <row r="486" spans="11:12">
      <c r="K486" s="36">
        <v>484</v>
      </c>
      <c r="L486" s="95">
        <v>-46.100000000000037</v>
      </c>
    </row>
    <row r="487" spans="11:12">
      <c r="K487" s="36">
        <v>485</v>
      </c>
      <c r="L487" s="95">
        <v>-41.900000000000034</v>
      </c>
    </row>
    <row r="488" spans="11:12">
      <c r="K488" s="36">
        <v>486</v>
      </c>
      <c r="L488" s="95">
        <v>-3.5527136788005009E-14</v>
      </c>
    </row>
    <row r="489" spans="11:12">
      <c r="K489" s="36">
        <v>487</v>
      </c>
      <c r="L489" s="95">
        <v>-30.300000000000036</v>
      </c>
    </row>
    <row r="490" spans="11:12">
      <c r="K490" s="36">
        <v>488</v>
      </c>
      <c r="L490" s="95">
        <v>16.499999999999961</v>
      </c>
    </row>
    <row r="491" spans="11:12">
      <c r="K491" s="36">
        <v>489</v>
      </c>
      <c r="L491" s="95">
        <v>-3.907985046680551E-14</v>
      </c>
    </row>
    <row r="492" spans="11:12">
      <c r="K492" s="36">
        <v>490</v>
      </c>
      <c r="L492" s="95">
        <v>-36.600000000000037</v>
      </c>
    </row>
    <row r="493" spans="11:12">
      <c r="K493" s="36">
        <v>491</v>
      </c>
      <c r="L493" s="95">
        <v>-49.000000000000036</v>
      </c>
    </row>
    <row r="494" spans="11:12">
      <c r="K494" s="36">
        <v>492</v>
      </c>
      <c r="L494" s="95">
        <v>-3.5527136788005009E-14</v>
      </c>
    </row>
    <row r="495" spans="11:12">
      <c r="K495" s="36">
        <v>493</v>
      </c>
      <c r="L495" s="95">
        <v>-48.600000000000037</v>
      </c>
    </row>
    <row r="496" spans="11:12">
      <c r="K496" s="36">
        <v>494</v>
      </c>
      <c r="L496" s="95">
        <v>-44.400000000000034</v>
      </c>
    </row>
    <row r="497" spans="11:12">
      <c r="K497" s="36">
        <v>495</v>
      </c>
      <c r="L497" s="95">
        <v>-3.5527136788005009E-14</v>
      </c>
    </row>
    <row r="498" spans="11:12">
      <c r="K498" s="36">
        <v>496</v>
      </c>
      <c r="L498" s="95">
        <v>-9.6000000000000352</v>
      </c>
    </row>
    <row r="499" spans="11:12">
      <c r="K499" s="36">
        <v>497</v>
      </c>
      <c r="L499" s="95">
        <v>40.19999999999996</v>
      </c>
    </row>
    <row r="500" spans="11:12">
      <c r="K500" s="36">
        <v>498</v>
      </c>
      <c r="L500" s="95">
        <v>-4.2632564145606011E-14</v>
      </c>
    </row>
    <row r="501" spans="11:12">
      <c r="K501" s="36">
        <v>499</v>
      </c>
      <c r="L501" s="95">
        <v>-48.80000000000004</v>
      </c>
    </row>
    <row r="502" spans="11:12">
      <c r="K502" s="36">
        <v>500</v>
      </c>
      <c r="L502" s="95">
        <v>-50.000000000000043</v>
      </c>
    </row>
    <row r="503" spans="11:12">
      <c r="K503" s="36">
        <v>501</v>
      </c>
      <c r="L503" s="95">
        <v>-4.2632564145606011E-14</v>
      </c>
    </row>
    <row r="504" spans="11:12">
      <c r="K504" s="36">
        <v>502</v>
      </c>
      <c r="L504" s="95">
        <v>-11.400000000000043</v>
      </c>
    </row>
    <row r="505" spans="11:12">
      <c r="K505" s="36">
        <v>503</v>
      </c>
      <c r="L505" s="95">
        <v>33.69999999999996</v>
      </c>
    </row>
    <row r="506" spans="11:12">
      <c r="K506" s="36">
        <v>504</v>
      </c>
      <c r="L506" s="95">
        <v>-4.2632564145606011E-14</v>
      </c>
    </row>
    <row r="507" spans="11:12">
      <c r="K507" s="36">
        <v>505</v>
      </c>
      <c r="L507" s="95">
        <v>124.09999999999995</v>
      </c>
    </row>
    <row r="508" spans="11:12">
      <c r="K508" s="36">
        <v>506</v>
      </c>
      <c r="L508" s="95">
        <v>132.89999999999995</v>
      </c>
    </row>
    <row r="509" spans="11:12">
      <c r="K509" s="36">
        <v>507</v>
      </c>
      <c r="L509" s="95">
        <v>-5.6843418860808015E-14</v>
      </c>
    </row>
    <row r="510" spans="11:12">
      <c r="K510" s="36">
        <v>508</v>
      </c>
      <c r="L510" s="95">
        <v>22.399999999999942</v>
      </c>
    </row>
    <row r="511" spans="11:12">
      <c r="K511" s="36">
        <v>509</v>
      </c>
      <c r="L511" s="95">
        <v>29.399999999999942</v>
      </c>
    </row>
    <row r="512" spans="11:12">
      <c r="K512" s="36">
        <v>510</v>
      </c>
      <c r="L512" s="95">
        <v>-5.6843418860808015E-14</v>
      </c>
    </row>
    <row r="513" spans="11:12">
      <c r="K513" s="36">
        <v>511</v>
      </c>
      <c r="L513" s="95">
        <v>13.599999999999943</v>
      </c>
    </row>
    <row r="514" spans="11:12">
      <c r="K514" s="36">
        <v>512</v>
      </c>
      <c r="L514" s="95">
        <v>-0.50000000000005684</v>
      </c>
    </row>
    <row r="515" spans="11:12">
      <c r="K515" s="36">
        <v>513</v>
      </c>
      <c r="L515" s="95">
        <v>-5.6843418860808015E-14</v>
      </c>
    </row>
    <row r="516" spans="11:12">
      <c r="K516" s="36">
        <v>514</v>
      </c>
      <c r="L516" s="95">
        <v>-48.20000000000006</v>
      </c>
    </row>
    <row r="517" spans="11:12">
      <c r="K517" s="36">
        <v>515</v>
      </c>
      <c r="L517" s="95">
        <v>-70.600000000000051</v>
      </c>
    </row>
    <row r="518" spans="11:12">
      <c r="K518" s="36">
        <v>516</v>
      </c>
      <c r="L518" s="95">
        <v>-5.6843418860808015E-14</v>
      </c>
    </row>
    <row r="519" spans="11:12">
      <c r="K519" s="36">
        <v>517</v>
      </c>
      <c r="L519" s="95">
        <v>44.499999999999943</v>
      </c>
    </row>
    <row r="520" spans="11:12">
      <c r="K520" s="36">
        <v>518</v>
      </c>
      <c r="L520" s="95">
        <v>30.999999999999943</v>
      </c>
    </row>
    <row r="521" spans="11:12">
      <c r="K521" s="36">
        <v>519</v>
      </c>
      <c r="L521" s="95">
        <v>-5.6843418860808015E-14</v>
      </c>
    </row>
    <row r="522" spans="11:12">
      <c r="K522" s="36">
        <v>520</v>
      </c>
      <c r="L522" s="95">
        <v>16.999999999999943</v>
      </c>
    </row>
    <row r="523" spans="11:12">
      <c r="K523" s="36">
        <v>521</v>
      </c>
      <c r="L523" s="95">
        <v>-6.6000000000000583</v>
      </c>
    </row>
    <row r="524" spans="11:12">
      <c r="K524" s="36">
        <v>522</v>
      </c>
      <c r="L524" s="95">
        <v>-5.8619775700208265E-14</v>
      </c>
    </row>
    <row r="525" spans="11:12">
      <c r="K525" s="36">
        <v>523</v>
      </c>
      <c r="L525" s="95">
        <v>3.1999999999999416</v>
      </c>
    </row>
    <row r="526" spans="11:12">
      <c r="K526" s="36">
        <v>524</v>
      </c>
      <c r="L526" s="95">
        <v>-26.400000000000059</v>
      </c>
    </row>
    <row r="527" spans="11:12">
      <c r="K527" s="36">
        <v>525</v>
      </c>
      <c r="L527" s="95">
        <v>-6.0396132539608516E-14</v>
      </c>
    </row>
    <row r="528" spans="11:12">
      <c r="K528" s="36">
        <v>526</v>
      </c>
      <c r="L528" s="95">
        <v>-52.300000000000054</v>
      </c>
    </row>
    <row r="529" spans="11:12">
      <c r="K529" s="36">
        <v>527</v>
      </c>
      <c r="L529" s="95">
        <v>-11.500000000000057</v>
      </c>
    </row>
    <row r="530" spans="11:12">
      <c r="K530" s="36">
        <v>528</v>
      </c>
      <c r="L530" s="95">
        <v>-5.6843418860808015E-14</v>
      </c>
    </row>
    <row r="531" spans="11:12">
      <c r="K531" s="36">
        <v>529</v>
      </c>
      <c r="L531" s="95">
        <v>-22.800000000000058</v>
      </c>
    </row>
    <row r="532" spans="11:12">
      <c r="K532" s="36">
        <v>530</v>
      </c>
      <c r="L532" s="95">
        <v>-70.600000000000051</v>
      </c>
    </row>
    <row r="533" spans="11:12">
      <c r="K533" s="36">
        <v>531</v>
      </c>
      <c r="L533" s="95">
        <v>-5.6843418860808015E-14</v>
      </c>
    </row>
    <row r="534" spans="11:12">
      <c r="K534" s="36">
        <v>532</v>
      </c>
      <c r="L534" s="95">
        <v>5.799999999999943</v>
      </c>
    </row>
    <row r="535" spans="11:12">
      <c r="K535" s="36">
        <v>533</v>
      </c>
      <c r="L535" s="95">
        <v>-16.300000000000058</v>
      </c>
    </row>
    <row r="536" spans="11:12">
      <c r="K536" s="36">
        <v>534</v>
      </c>
      <c r="L536" s="95">
        <v>-5.6843418860808015E-14</v>
      </c>
    </row>
    <row r="537" spans="11:12">
      <c r="K537" s="36">
        <v>535</v>
      </c>
      <c r="L537" s="95">
        <v>-41.100000000000058</v>
      </c>
    </row>
    <row r="538" spans="11:12">
      <c r="K538" s="36">
        <v>536</v>
      </c>
      <c r="L538" s="95">
        <v>5.7999999999999403</v>
      </c>
    </row>
    <row r="539" spans="11:12">
      <c r="K539" s="36">
        <v>537</v>
      </c>
      <c r="L539" s="95">
        <v>-5.9507954119908391E-14</v>
      </c>
    </row>
    <row r="540" spans="11:12">
      <c r="K540" s="36">
        <v>538</v>
      </c>
      <c r="L540" s="95">
        <v>-56.400000000000055</v>
      </c>
    </row>
    <row r="541" spans="11:12">
      <c r="K541" s="36">
        <v>539</v>
      </c>
      <c r="L541" s="95">
        <v>-7.4000000000000554</v>
      </c>
    </row>
    <row r="542" spans="11:12">
      <c r="K542" s="36">
        <v>540</v>
      </c>
      <c r="L542" s="95">
        <v>-5.5067062021407764E-14</v>
      </c>
    </row>
    <row r="543" spans="11:12">
      <c r="K543" s="36">
        <v>541</v>
      </c>
      <c r="L543" s="95">
        <v>36.199999999999946</v>
      </c>
    </row>
    <row r="544" spans="11:12">
      <c r="K544" s="36">
        <v>542</v>
      </c>
      <c r="L544" s="95">
        <v>43.299999999999947</v>
      </c>
    </row>
    <row r="545" spans="11:12">
      <c r="K545" s="36">
        <v>543</v>
      </c>
      <c r="L545" s="95">
        <v>-4.9737991503207013E-14</v>
      </c>
    </row>
    <row r="546" spans="11:12">
      <c r="K546" s="36">
        <v>544</v>
      </c>
      <c r="L546" s="95">
        <v>-26.400000000000048</v>
      </c>
    </row>
    <row r="547" spans="11:12">
      <c r="K547" s="36">
        <v>545</v>
      </c>
      <c r="L547" s="95">
        <v>-25.00000000000005</v>
      </c>
    </row>
    <row r="548" spans="11:12">
      <c r="K548" s="36">
        <v>546</v>
      </c>
      <c r="L548" s="95">
        <v>-4.9737991503207013E-14</v>
      </c>
    </row>
    <row r="549" spans="11:12">
      <c r="K549" s="36">
        <v>547</v>
      </c>
      <c r="L549" s="95">
        <v>-13.100000000000049</v>
      </c>
    </row>
    <row r="550" spans="11:12">
      <c r="K550" s="36">
        <v>548</v>
      </c>
      <c r="L550" s="95">
        <v>36.099999999999952</v>
      </c>
    </row>
    <row r="551" spans="11:12">
      <c r="K551" s="36">
        <v>549</v>
      </c>
      <c r="L551" s="95">
        <v>-4.9737991503207013E-14</v>
      </c>
    </row>
    <row r="552" spans="11:12">
      <c r="K552" s="36">
        <v>550</v>
      </c>
      <c r="L552" s="95">
        <v>-3.9000000000000496</v>
      </c>
    </row>
    <row r="553" spans="11:12">
      <c r="K553" s="36">
        <v>551</v>
      </c>
      <c r="L553" s="95">
        <v>-19.200000000000049</v>
      </c>
    </row>
    <row r="554" spans="11:12">
      <c r="K554" s="36">
        <v>552</v>
      </c>
      <c r="L554" s="95">
        <v>-4.9737991503207013E-14</v>
      </c>
    </row>
    <row r="555" spans="11:12">
      <c r="K555" s="36">
        <v>553</v>
      </c>
      <c r="L555" s="95">
        <v>-49.00000000000005</v>
      </c>
    </row>
    <row r="556" spans="11:12">
      <c r="K556" s="36">
        <v>554</v>
      </c>
      <c r="L556" s="95">
        <v>12.99999999999995</v>
      </c>
    </row>
    <row r="557" spans="11:12">
      <c r="K557" s="36">
        <v>555</v>
      </c>
      <c r="L557" s="95">
        <v>-4.9737991503207013E-14</v>
      </c>
    </row>
    <row r="558" spans="11:12">
      <c r="K558" s="36">
        <v>556</v>
      </c>
      <c r="L558" s="95">
        <v>-19.50000000000005</v>
      </c>
    </row>
    <row r="559" spans="11:12">
      <c r="K559" s="36">
        <v>557</v>
      </c>
      <c r="L559" s="95">
        <v>-16.80000000000005</v>
      </c>
    </row>
    <row r="560" spans="11:12">
      <c r="K560" s="36">
        <v>558</v>
      </c>
      <c r="L560" s="95">
        <v>-4.9737991503207013E-14</v>
      </c>
    </row>
    <row r="561" spans="11:12">
      <c r="K561" s="36">
        <v>559</v>
      </c>
      <c r="L561" s="95">
        <v>37.799999999999947</v>
      </c>
    </row>
    <row r="562" spans="11:12">
      <c r="K562" s="36">
        <v>560</v>
      </c>
      <c r="L562" s="95">
        <v>-7.7000000000000526</v>
      </c>
    </row>
    <row r="563" spans="11:12">
      <c r="K563" s="36">
        <v>561</v>
      </c>
      <c r="L563" s="95">
        <v>-5.2402526762307389E-14</v>
      </c>
    </row>
    <row r="564" spans="11:12">
      <c r="K564" s="36">
        <v>562</v>
      </c>
      <c r="L564" s="95">
        <v>-18.400000000000052</v>
      </c>
    </row>
    <row r="565" spans="11:12">
      <c r="K565" s="36">
        <v>563</v>
      </c>
      <c r="L565" s="95">
        <v>-59.200000000000045</v>
      </c>
    </row>
    <row r="566" spans="11:12">
      <c r="K566" s="36">
        <v>564</v>
      </c>
      <c r="L566" s="95">
        <v>-4.2632564145606011E-14</v>
      </c>
    </row>
    <row r="567" spans="11:12">
      <c r="K567" s="36">
        <v>565</v>
      </c>
      <c r="L567" s="95">
        <v>1.0999999999999575</v>
      </c>
    </row>
    <row r="568" spans="11:12">
      <c r="K568" s="36">
        <v>566</v>
      </c>
      <c r="L568" s="95">
        <v>44.799999999999962</v>
      </c>
    </row>
    <row r="569" spans="11:12">
      <c r="K569" s="36">
        <v>567</v>
      </c>
      <c r="L569" s="95">
        <v>-3.5527136788005009E-14</v>
      </c>
    </row>
    <row r="570" spans="11:12">
      <c r="K570" s="36">
        <v>568</v>
      </c>
      <c r="L570" s="95">
        <v>1.0999999999999646</v>
      </c>
    </row>
    <row r="571" spans="11:12">
      <c r="K571" s="36">
        <v>569</v>
      </c>
      <c r="L571" s="95">
        <v>25.099999999999966</v>
      </c>
    </row>
    <row r="572" spans="11:12">
      <c r="K572" s="36">
        <v>570</v>
      </c>
      <c r="L572" s="95">
        <v>-3.5527136788005009E-14</v>
      </c>
    </row>
    <row r="573" spans="11:12">
      <c r="K573" s="36">
        <v>571</v>
      </c>
      <c r="L573" s="95">
        <v>-0.10000000000003553</v>
      </c>
    </row>
    <row r="574" spans="11:12">
      <c r="K574" s="36">
        <v>572</v>
      </c>
      <c r="L574" s="95">
        <v>-35.80000000000004</v>
      </c>
    </row>
    <row r="575" spans="11:12">
      <c r="K575" s="36">
        <v>573</v>
      </c>
      <c r="L575" s="95">
        <v>-4.2632564145606011E-14</v>
      </c>
    </row>
    <row r="576" spans="11:12">
      <c r="K576" s="36">
        <v>574</v>
      </c>
      <c r="L576" s="95">
        <v>-22.500000000000043</v>
      </c>
    </row>
    <row r="577" spans="11:12">
      <c r="K577" s="36">
        <v>575</v>
      </c>
      <c r="L577" s="95">
        <v>-30.400000000000041</v>
      </c>
    </row>
    <row r="578" spans="11:12">
      <c r="K578" s="36">
        <v>576</v>
      </c>
      <c r="L578" s="95">
        <v>-4.2632564145606011E-14</v>
      </c>
    </row>
    <row r="579" spans="11:12">
      <c r="K579" s="36">
        <v>577</v>
      </c>
      <c r="L579" s="95">
        <v>-87.400000000000048</v>
      </c>
    </row>
    <row r="580" spans="11:12">
      <c r="K580" s="36">
        <v>578</v>
      </c>
      <c r="L580" s="95">
        <v>9.699999999999946</v>
      </c>
    </row>
    <row r="581" spans="11:12">
      <c r="K581" s="36">
        <v>579</v>
      </c>
      <c r="L581" s="95">
        <v>-5.3290705182007514E-14</v>
      </c>
    </row>
    <row r="582" spans="11:12">
      <c r="K582" s="36">
        <v>580</v>
      </c>
      <c r="L582" s="95">
        <v>25.899999999999945</v>
      </c>
    </row>
    <row r="583" spans="11:12">
      <c r="K583" s="36">
        <v>581</v>
      </c>
      <c r="L583" s="95">
        <v>2.7999999999999439</v>
      </c>
    </row>
    <row r="584" spans="11:12">
      <c r="K584" s="36">
        <v>582</v>
      </c>
      <c r="L584" s="95">
        <v>-5.595524044110789E-14</v>
      </c>
    </row>
    <row r="585" spans="11:12">
      <c r="K585" s="36">
        <v>583</v>
      </c>
      <c r="L585" s="95">
        <v>-12.900000000000055</v>
      </c>
    </row>
    <row r="586" spans="11:12">
      <c r="K586" s="36">
        <v>584</v>
      </c>
      <c r="L586" s="95">
        <v>32.299999999999947</v>
      </c>
    </row>
    <row r="587" spans="11:12">
      <c r="K587" s="36">
        <v>585</v>
      </c>
      <c r="L587" s="95">
        <v>-4.9737991503207013E-14</v>
      </c>
    </row>
    <row r="588" spans="11:12">
      <c r="K588" s="36">
        <v>586</v>
      </c>
      <c r="L588" s="95">
        <v>35.99999999999995</v>
      </c>
    </row>
    <row r="589" spans="11:12">
      <c r="K589" s="36">
        <v>587</v>
      </c>
      <c r="L589" s="95">
        <v>-12.800000000000047</v>
      </c>
    </row>
    <row r="590" spans="11:12">
      <c r="K590" s="36">
        <v>588</v>
      </c>
      <c r="L590" s="95">
        <v>-4.6185277824406512E-14</v>
      </c>
    </row>
    <row r="591" spans="11:12">
      <c r="K591" s="36">
        <v>589</v>
      </c>
      <c r="L591" s="95">
        <v>20.399999999999952</v>
      </c>
    </row>
    <row r="592" spans="11:12">
      <c r="K592" s="36">
        <v>590</v>
      </c>
      <c r="L592" s="95">
        <v>-30.700000000000049</v>
      </c>
    </row>
    <row r="593" spans="11:12">
      <c r="K593" s="36">
        <v>591</v>
      </c>
      <c r="L593" s="95">
        <v>-4.9737991503207013E-14</v>
      </c>
    </row>
    <row r="594" spans="11:12">
      <c r="K594" s="36">
        <v>592</v>
      </c>
      <c r="L594" s="95">
        <v>-60.300000000000047</v>
      </c>
    </row>
    <row r="595" spans="11:12">
      <c r="K595" s="36">
        <v>593</v>
      </c>
      <c r="L595" s="95">
        <v>-0.3000000000000469</v>
      </c>
    </row>
    <row r="596" spans="11:12">
      <c r="K596" s="36">
        <v>594</v>
      </c>
      <c r="L596" s="95">
        <v>-4.6906922790412864E-14</v>
      </c>
    </row>
    <row r="597" spans="11:12">
      <c r="K597" s="36">
        <v>595</v>
      </c>
      <c r="L597" s="95">
        <v>-45.600000000000051</v>
      </c>
    </row>
    <row r="598" spans="11:12">
      <c r="K598" s="36">
        <v>596</v>
      </c>
      <c r="L598" s="95">
        <v>9.5999999999999517</v>
      </c>
    </row>
    <row r="599" spans="11:12">
      <c r="K599" s="36">
        <v>597</v>
      </c>
      <c r="L599" s="95">
        <v>-4.7961634663806763E-14</v>
      </c>
    </row>
    <row r="600" spans="11:12">
      <c r="K600" s="36">
        <v>598</v>
      </c>
      <c r="L600" s="95">
        <v>28.899999999999949</v>
      </c>
    </row>
    <row r="601" spans="11:12">
      <c r="K601" s="36">
        <v>599</v>
      </c>
      <c r="L601" s="95">
        <v>27.899999999999949</v>
      </c>
    </row>
    <row r="602" spans="11:12">
      <c r="K602" s="36">
        <v>600</v>
      </c>
      <c r="L602" s="95">
        <v>-4.9737991503207013E-14</v>
      </c>
    </row>
    <row r="603" spans="11:12">
      <c r="K603" s="36">
        <v>601</v>
      </c>
      <c r="L603" s="95">
        <v>-31.50000000000005</v>
      </c>
    </row>
    <row r="604" spans="11:12">
      <c r="K604" s="36">
        <v>602</v>
      </c>
      <c r="L604" s="95">
        <v>-38.400000000000048</v>
      </c>
    </row>
    <row r="605" spans="11:12">
      <c r="K605" s="36">
        <v>603</v>
      </c>
      <c r="L605" s="95">
        <v>-4.9737991503207013E-14</v>
      </c>
    </row>
    <row r="606" spans="11:12">
      <c r="K606" s="36">
        <v>604</v>
      </c>
      <c r="L606" s="95">
        <v>33.49999999999995</v>
      </c>
    </row>
    <row r="607" spans="11:12">
      <c r="K607" s="36">
        <v>605</v>
      </c>
      <c r="L607" s="95">
        <v>0.6999999999999531</v>
      </c>
    </row>
    <row r="608" spans="11:12">
      <c r="K608" s="36">
        <v>606</v>
      </c>
      <c r="L608" s="95">
        <v>-4.6851411639181606E-14</v>
      </c>
    </row>
    <row r="609" spans="11:12">
      <c r="K609" s="36">
        <v>607</v>
      </c>
      <c r="L609" s="95">
        <v>11.999999999999954</v>
      </c>
    </row>
    <row r="610" spans="11:12">
      <c r="K610" s="36">
        <v>608</v>
      </c>
      <c r="L610" s="95">
        <v>38.299999999999955</v>
      </c>
    </row>
    <row r="611" spans="11:12">
      <c r="K611" s="36">
        <v>609</v>
      </c>
      <c r="L611" s="95">
        <v>-4.2632564145606011E-14</v>
      </c>
    </row>
    <row r="612" spans="11:12">
      <c r="K612" s="36">
        <v>610</v>
      </c>
      <c r="L612" s="95">
        <v>7.3999999999999577</v>
      </c>
    </row>
    <row r="613" spans="11:12">
      <c r="K613" s="36">
        <v>611</v>
      </c>
      <c r="L613" s="95">
        <v>26.799999999999955</v>
      </c>
    </row>
    <row r="614" spans="11:12">
      <c r="K614" s="36">
        <v>612</v>
      </c>
      <c r="L614" s="95">
        <v>-4.6185277824406512E-14</v>
      </c>
    </row>
    <row r="615" spans="11:12">
      <c r="K615" s="36">
        <v>613</v>
      </c>
      <c r="L615" s="95">
        <v>-26.800000000000047</v>
      </c>
    </row>
    <row r="616" spans="11:12">
      <c r="K616" s="36">
        <v>614</v>
      </c>
      <c r="L616" s="95">
        <v>-5.3000000000000469</v>
      </c>
    </row>
    <row r="617" spans="11:12">
      <c r="K617" s="36">
        <v>615</v>
      </c>
      <c r="L617" s="95">
        <v>-4.7073456244106637E-14</v>
      </c>
    </row>
    <row r="618" spans="11:12">
      <c r="K618" s="36">
        <v>616</v>
      </c>
      <c r="L618" s="95">
        <v>-20.200000000000045</v>
      </c>
    </row>
    <row r="619" spans="11:12">
      <c r="K619" s="36">
        <v>617</v>
      </c>
      <c r="L619" s="95">
        <v>-28.900000000000045</v>
      </c>
    </row>
    <row r="620" spans="11:12">
      <c r="K620" s="36">
        <v>618</v>
      </c>
      <c r="L620" s="95">
        <v>-4.6185277824406512E-14</v>
      </c>
    </row>
    <row r="621" spans="11:12">
      <c r="K621" s="36">
        <v>619</v>
      </c>
      <c r="L621" s="95">
        <v>-22.600000000000048</v>
      </c>
    </row>
    <row r="622" spans="11:12">
      <c r="K622" s="36">
        <v>620</v>
      </c>
      <c r="L622" s="95">
        <v>-20.000000000000046</v>
      </c>
    </row>
    <row r="623" spans="11:12">
      <c r="K623" s="36">
        <v>621</v>
      </c>
      <c r="L623" s="95">
        <v>-4.6185277824406512E-14</v>
      </c>
    </row>
    <row r="624" spans="11:12">
      <c r="K624" s="36">
        <v>622</v>
      </c>
      <c r="L624" s="95">
        <v>42.299999999999955</v>
      </c>
    </row>
    <row r="625" spans="11:12">
      <c r="K625" s="36">
        <v>623</v>
      </c>
      <c r="L625" s="95">
        <v>46.999999999999957</v>
      </c>
    </row>
    <row r="626" spans="11:12">
      <c r="K626" s="36">
        <v>624</v>
      </c>
      <c r="L626" s="95">
        <v>-4.2632564145606011E-14</v>
      </c>
    </row>
    <row r="627" spans="11:12">
      <c r="K627" s="36">
        <v>625</v>
      </c>
      <c r="L627" s="95">
        <v>-21.600000000000044</v>
      </c>
    </row>
    <row r="628" spans="11:12">
      <c r="K628" s="36">
        <v>626</v>
      </c>
      <c r="L628" s="95">
        <v>0.59999999999995524</v>
      </c>
    </row>
    <row r="629" spans="11:12">
      <c r="K629" s="36">
        <v>627</v>
      </c>
      <c r="L629" s="95">
        <v>-4.4741987892393809E-14</v>
      </c>
    </row>
    <row r="630" spans="11:12">
      <c r="K630" s="36">
        <v>628</v>
      </c>
      <c r="L630" s="95">
        <v>1.0999999999999552</v>
      </c>
    </row>
    <row r="631" spans="11:12">
      <c r="K631" s="36">
        <v>629</v>
      </c>
      <c r="L631" s="95">
        <v>-47.400000000000048</v>
      </c>
    </row>
    <row r="632" spans="11:12">
      <c r="K632" s="36">
        <v>630</v>
      </c>
      <c r="L632" s="95">
        <v>-4.9737991503207013E-14</v>
      </c>
    </row>
    <row r="633" spans="11:12">
      <c r="K633" s="36">
        <v>631</v>
      </c>
      <c r="L633" s="95">
        <v>-55.50000000000005</v>
      </c>
    </row>
    <row r="634" spans="11:12">
      <c r="K634" s="36">
        <v>632</v>
      </c>
      <c r="L634" s="95">
        <v>-66.200000000000045</v>
      </c>
    </row>
    <row r="635" spans="11:12">
      <c r="K635" s="36">
        <v>633</v>
      </c>
      <c r="L635" s="95">
        <v>-4.2632564145606011E-14</v>
      </c>
    </row>
    <row r="636" spans="11:12">
      <c r="K636" s="36">
        <v>634</v>
      </c>
      <c r="L636" s="95">
        <v>54.19999999999996</v>
      </c>
    </row>
    <row r="637" spans="11:12">
      <c r="K637" s="36">
        <v>635</v>
      </c>
      <c r="L637" s="95">
        <v>48.69999999999996</v>
      </c>
    </row>
    <row r="638" spans="11:12">
      <c r="K638" s="36">
        <v>636</v>
      </c>
      <c r="L638" s="95">
        <v>-4.2632564145606011E-14</v>
      </c>
    </row>
    <row r="639" spans="11:12">
      <c r="K639" s="36">
        <v>637</v>
      </c>
      <c r="L639" s="95">
        <v>15.699999999999957</v>
      </c>
    </row>
    <row r="640" spans="11:12">
      <c r="K640" s="36">
        <v>638</v>
      </c>
      <c r="L640" s="95">
        <v>18.299999999999958</v>
      </c>
    </row>
    <row r="641" spans="11:12">
      <c r="K641" s="36">
        <v>639</v>
      </c>
      <c r="L641" s="95">
        <v>-4.2632564145606011E-14</v>
      </c>
    </row>
    <row r="642" spans="11:12">
      <c r="K642" s="36">
        <v>640</v>
      </c>
      <c r="L642" s="95">
        <v>26.799999999999958</v>
      </c>
    </row>
    <row r="643" spans="11:12">
      <c r="K643" s="36">
        <v>641</v>
      </c>
      <c r="L643" s="95">
        <v>-14.900000000000045</v>
      </c>
    </row>
    <row r="644" spans="11:12">
      <c r="K644" s="36">
        <v>642</v>
      </c>
      <c r="L644" s="95">
        <v>-4.4408920985006262E-14</v>
      </c>
    </row>
    <row r="645" spans="11:12">
      <c r="K645" s="36">
        <v>643</v>
      </c>
      <c r="L645" s="95">
        <v>57.799999999999955</v>
      </c>
    </row>
    <row r="646" spans="11:12">
      <c r="K646" s="36">
        <v>644</v>
      </c>
      <c r="L646" s="95">
        <v>45.199999999999953</v>
      </c>
    </row>
    <row r="647" spans="11:12">
      <c r="K647" s="36">
        <v>645</v>
      </c>
      <c r="L647" s="95">
        <v>-4.9737991503207013E-14</v>
      </c>
    </row>
    <row r="648" spans="11:12">
      <c r="K648" s="36">
        <v>646</v>
      </c>
      <c r="L648" s="95">
        <v>-4.5000000000000497</v>
      </c>
    </row>
    <row r="649" spans="11:12">
      <c r="K649" s="36">
        <v>647</v>
      </c>
      <c r="L649" s="95">
        <v>-28.80000000000005</v>
      </c>
    </row>
    <row r="650" spans="11:12">
      <c r="K650" s="36">
        <v>648</v>
      </c>
      <c r="L650" s="95">
        <v>-4.9737991503207013E-14</v>
      </c>
    </row>
    <row r="651" spans="11:12">
      <c r="K651" s="36">
        <v>649</v>
      </c>
      <c r="L651" s="95">
        <v>-19.700000000000049</v>
      </c>
    </row>
    <row r="652" spans="11:12">
      <c r="K652" s="36">
        <v>650</v>
      </c>
      <c r="L652" s="95">
        <v>-1.6000000000000476</v>
      </c>
    </row>
    <row r="653" spans="11:12">
      <c r="K653" s="36">
        <v>651</v>
      </c>
      <c r="L653" s="95">
        <v>-4.75175454539567E-14</v>
      </c>
    </row>
    <row r="654" spans="11:12">
      <c r="K654" s="36">
        <v>652</v>
      </c>
      <c r="L654" s="95">
        <v>-46.800000000000047</v>
      </c>
    </row>
    <row r="655" spans="11:12">
      <c r="K655" s="36">
        <v>653</v>
      </c>
      <c r="L655" s="95">
        <v>29.599999999999959</v>
      </c>
    </row>
    <row r="656" spans="11:12">
      <c r="K656" s="36">
        <v>654</v>
      </c>
      <c r="L656" s="95">
        <v>-4.2632564145606011E-14</v>
      </c>
    </row>
    <row r="657" spans="11:12">
      <c r="K657" s="36">
        <v>655</v>
      </c>
      <c r="L657" s="95">
        <v>36.799999999999955</v>
      </c>
    </row>
    <row r="658" spans="11:12">
      <c r="K658" s="36">
        <v>656</v>
      </c>
      <c r="L658" s="95">
        <v>0.89999999999995595</v>
      </c>
    </row>
    <row r="659" spans="11:12">
      <c r="K659" s="36">
        <v>657</v>
      </c>
      <c r="L659" s="95">
        <v>-4.4075854077618715E-14</v>
      </c>
    </row>
    <row r="660" spans="11:12">
      <c r="K660" s="36">
        <v>658</v>
      </c>
      <c r="L660" s="95">
        <v>0.5999999999999559</v>
      </c>
    </row>
    <row r="661" spans="11:12">
      <c r="K661" s="36">
        <v>659</v>
      </c>
      <c r="L661" s="95">
        <v>18.699999999999957</v>
      </c>
    </row>
    <row r="662" spans="11:12">
      <c r="K662" s="36">
        <v>660</v>
      </c>
      <c r="L662" s="95">
        <v>-4.2632564145606011E-14</v>
      </c>
    </row>
    <row r="663" spans="11:12">
      <c r="K663" s="36">
        <v>661</v>
      </c>
      <c r="L663" s="95">
        <v>-18.500000000000043</v>
      </c>
    </row>
    <row r="664" spans="11:12">
      <c r="K664" s="36">
        <v>662</v>
      </c>
      <c r="L664" s="95">
        <v>-63.600000000000044</v>
      </c>
    </row>
    <row r="665" spans="11:12">
      <c r="K665" s="36">
        <v>663</v>
      </c>
      <c r="L665" s="95">
        <v>-4.2632564145606011E-14</v>
      </c>
    </row>
    <row r="666" spans="11:12">
      <c r="K666" s="36">
        <v>664</v>
      </c>
      <c r="L666" s="95">
        <v>35.19999999999996</v>
      </c>
    </row>
    <row r="667" spans="11:12">
      <c r="K667" s="36">
        <v>665</v>
      </c>
      <c r="L667" s="95">
        <v>-11.500000000000043</v>
      </c>
    </row>
    <row r="668" spans="11:12">
      <c r="K668" s="36">
        <v>666</v>
      </c>
      <c r="L668" s="95">
        <v>-4.2632564145606011E-14</v>
      </c>
    </row>
    <row r="669" spans="11:12">
      <c r="K669" s="36">
        <v>667</v>
      </c>
      <c r="L669" s="95">
        <v>28.899999999999956</v>
      </c>
    </row>
    <row r="670" spans="11:12">
      <c r="K670" s="36">
        <v>668</v>
      </c>
      <c r="L670" s="95">
        <v>25.399999999999956</v>
      </c>
    </row>
    <row r="671" spans="11:12">
      <c r="K671" s="36">
        <v>669</v>
      </c>
      <c r="L671" s="95">
        <v>-4.2632564145606011E-14</v>
      </c>
    </row>
    <row r="672" spans="11:12">
      <c r="K672" s="36">
        <v>670</v>
      </c>
      <c r="L672" s="95">
        <v>3.2999999999999572</v>
      </c>
    </row>
    <row r="673" spans="11:12">
      <c r="K673" s="36">
        <v>671</v>
      </c>
      <c r="L673" s="95">
        <v>22.699999999999957</v>
      </c>
    </row>
    <row r="674" spans="11:12">
      <c r="K674" s="36">
        <v>672</v>
      </c>
      <c r="L674" s="95">
        <v>-4.2632564145606011E-14</v>
      </c>
    </row>
    <row r="675" spans="11:12">
      <c r="K675" s="36">
        <v>673</v>
      </c>
      <c r="L675" s="95">
        <v>8.9999999999999574</v>
      </c>
    </row>
    <row r="676" spans="11:12">
      <c r="K676" s="36">
        <v>674</v>
      </c>
      <c r="L676" s="95">
        <v>-43.600000000000044</v>
      </c>
    </row>
    <row r="677" spans="11:12">
      <c r="K677" s="36">
        <v>675</v>
      </c>
      <c r="L677" s="95">
        <v>-4.2632564145606011E-14</v>
      </c>
    </row>
    <row r="678" spans="11:12">
      <c r="K678" s="36">
        <v>676</v>
      </c>
      <c r="L678" s="95">
        <v>27.399999999999956</v>
      </c>
    </row>
    <row r="679" spans="11:12">
      <c r="K679" s="36">
        <v>677</v>
      </c>
      <c r="L679" s="95">
        <v>41.999999999999957</v>
      </c>
    </row>
    <row r="680" spans="11:12">
      <c r="K680" s="36">
        <v>678</v>
      </c>
      <c r="L680" s="95">
        <v>-4.2632564145606011E-14</v>
      </c>
    </row>
    <row r="681" spans="11:12">
      <c r="K681" s="36">
        <v>679</v>
      </c>
      <c r="L681" s="95">
        <v>-22.300000000000043</v>
      </c>
    </row>
    <row r="682" spans="11:12">
      <c r="K682" s="36">
        <v>680</v>
      </c>
      <c r="L682" s="95">
        <v>-17.100000000000044</v>
      </c>
    </row>
    <row r="683" spans="11:12">
      <c r="K683" s="36">
        <v>681</v>
      </c>
      <c r="L683" s="95">
        <v>-4.2632564145606011E-14</v>
      </c>
    </row>
    <row r="684" spans="11:12">
      <c r="K684" s="36">
        <v>682</v>
      </c>
      <c r="L684" s="95">
        <v>-5.0000000000000426</v>
      </c>
    </row>
    <row r="685" spans="11:12">
      <c r="K685" s="36">
        <v>683</v>
      </c>
      <c r="L685" s="95">
        <v>19.999999999999957</v>
      </c>
    </row>
    <row r="686" spans="11:12">
      <c r="K686" s="36">
        <v>684</v>
      </c>
      <c r="L686" s="95">
        <v>-4.2632564145606011E-14</v>
      </c>
    </row>
    <row r="687" spans="11:12">
      <c r="K687" s="36">
        <v>685</v>
      </c>
      <c r="L687" s="95">
        <v>47.499999999999957</v>
      </c>
    </row>
    <row r="688" spans="11:12">
      <c r="K688" s="36">
        <v>686</v>
      </c>
      <c r="L688" s="95">
        <v>45.499999999999957</v>
      </c>
    </row>
    <row r="689" spans="11:12">
      <c r="K689" s="36">
        <v>687</v>
      </c>
      <c r="L689" s="95">
        <v>-4.2632564145606011E-14</v>
      </c>
    </row>
    <row r="690" spans="11:12">
      <c r="K690" s="36">
        <v>688</v>
      </c>
      <c r="L690" s="95">
        <v>4.1999999999999575</v>
      </c>
    </row>
    <row r="691" spans="11:12">
      <c r="K691" s="36">
        <v>689</v>
      </c>
      <c r="L691" s="95">
        <v>26.199999999999957</v>
      </c>
    </row>
    <row r="692" spans="11:12">
      <c r="K692" s="36">
        <v>690</v>
      </c>
      <c r="L692" s="95">
        <v>-4.2632564145606011E-14</v>
      </c>
    </row>
    <row r="693" spans="11:12">
      <c r="K693" s="36">
        <v>691</v>
      </c>
      <c r="L693" s="95">
        <v>46.19999999999996</v>
      </c>
    </row>
    <row r="694" spans="11:12">
      <c r="K694" s="36">
        <v>692</v>
      </c>
      <c r="L694" s="95">
        <v>-5.3000000000000398</v>
      </c>
    </row>
    <row r="695" spans="11:12">
      <c r="K695" s="36">
        <v>693</v>
      </c>
      <c r="L695" s="95">
        <v>-3.9968028886505635E-14</v>
      </c>
    </row>
    <row r="696" spans="11:12">
      <c r="K696" s="36">
        <v>694</v>
      </c>
      <c r="L696" s="95">
        <v>5.5999999999999597</v>
      </c>
    </row>
    <row r="697" spans="11:12">
      <c r="K697" s="36">
        <v>695</v>
      </c>
      <c r="L697" s="95">
        <v>23.19999999999996</v>
      </c>
    </row>
    <row r="698" spans="11:12">
      <c r="K698" s="36">
        <v>696</v>
      </c>
      <c r="L698" s="95">
        <v>-3.907985046680551E-14</v>
      </c>
    </row>
    <row r="699" spans="11:12">
      <c r="K699" s="36">
        <v>697</v>
      </c>
      <c r="L699" s="95">
        <v>3.8999999999999608</v>
      </c>
    </row>
    <row r="700" spans="11:12">
      <c r="K700" s="36">
        <v>698</v>
      </c>
      <c r="L700" s="95">
        <v>-36.30000000000004</v>
      </c>
    </row>
    <row r="701" spans="11:12">
      <c r="K701" s="36">
        <v>699</v>
      </c>
      <c r="L701" s="95">
        <v>-4.2632564145606011E-14</v>
      </c>
    </row>
    <row r="702" spans="11:12">
      <c r="K702" s="36">
        <v>700</v>
      </c>
      <c r="L702" s="95">
        <v>-7.0000000000000426</v>
      </c>
    </row>
    <row r="703" spans="11:12">
      <c r="K703" s="36">
        <v>701</v>
      </c>
      <c r="L703" s="95">
        <v>-35.700000000000045</v>
      </c>
    </row>
    <row r="704" spans="11:12">
      <c r="K704" s="36">
        <v>702</v>
      </c>
      <c r="L704" s="95">
        <v>-4.2632564145606011E-14</v>
      </c>
    </row>
    <row r="705" spans="11:12">
      <c r="K705" s="36">
        <v>703</v>
      </c>
      <c r="L705" s="95">
        <v>-7.1000000000000423</v>
      </c>
    </row>
    <row r="706" spans="11:12">
      <c r="K706" s="36">
        <v>704</v>
      </c>
      <c r="L706" s="95">
        <v>17.599999999999959</v>
      </c>
    </row>
    <row r="707" spans="11:12">
      <c r="K707" s="36">
        <v>705</v>
      </c>
      <c r="L707" s="95">
        <v>-4.2632564145606011E-14</v>
      </c>
    </row>
    <row r="708" spans="11:12">
      <c r="K708" s="36">
        <v>706</v>
      </c>
      <c r="L708" s="95">
        <v>32.999999999999957</v>
      </c>
    </row>
    <row r="709" spans="11:12">
      <c r="K709" s="36">
        <v>707</v>
      </c>
      <c r="L709" s="95">
        <v>33.099999999999959</v>
      </c>
    </row>
    <row r="710" spans="11:12">
      <c r="K710" s="36">
        <v>708</v>
      </c>
      <c r="L710" s="95">
        <v>-4.2632564145606011E-14</v>
      </c>
    </row>
    <row r="711" spans="11:12">
      <c r="K711" s="36">
        <v>709</v>
      </c>
      <c r="L711" s="95">
        <v>-12.100000000000042</v>
      </c>
    </row>
    <row r="712" spans="11:12">
      <c r="K712" s="36">
        <v>710</v>
      </c>
      <c r="L712" s="95">
        <v>-12.800000000000042</v>
      </c>
    </row>
    <row r="713" spans="11:12">
      <c r="K713" s="36">
        <v>711</v>
      </c>
      <c r="L713" s="95">
        <v>-4.0856207306205761E-14</v>
      </c>
    </row>
    <row r="714" spans="11:12">
      <c r="K714" s="36">
        <v>712</v>
      </c>
      <c r="L714" s="95">
        <v>-13.800000000000042</v>
      </c>
    </row>
    <row r="715" spans="11:12">
      <c r="K715" s="36">
        <v>713</v>
      </c>
      <c r="L715" s="95">
        <v>0.49999999999995914</v>
      </c>
    </row>
    <row r="716" spans="11:12">
      <c r="K716" s="36">
        <v>714</v>
      </c>
      <c r="L716" s="95">
        <v>-4.0856207306205761E-14</v>
      </c>
    </row>
    <row r="717" spans="11:12">
      <c r="K717" s="36">
        <v>715</v>
      </c>
      <c r="L717" s="95">
        <v>-2.8000000000000407</v>
      </c>
    </row>
    <row r="718" spans="11:12">
      <c r="K718" s="36">
        <v>716</v>
      </c>
      <c r="L718" s="95">
        <v>-15.700000000000042</v>
      </c>
    </row>
    <row r="719" spans="11:12">
      <c r="K719" s="36">
        <v>717</v>
      </c>
      <c r="L719" s="95">
        <v>-4.2632564145606011E-14</v>
      </c>
    </row>
    <row r="720" spans="11:12">
      <c r="K720" s="36">
        <v>718</v>
      </c>
      <c r="L720" s="95">
        <v>10.199999999999957</v>
      </c>
    </row>
    <row r="721" spans="11:12">
      <c r="K721" s="36">
        <v>719</v>
      </c>
      <c r="L721" s="95">
        <v>-37.700000000000045</v>
      </c>
    </row>
    <row r="722" spans="11:12">
      <c r="K722" s="36">
        <v>720</v>
      </c>
      <c r="L722" s="95">
        <v>-4.2632564145606011E-14</v>
      </c>
    </row>
    <row r="723" spans="11:12">
      <c r="K723" s="36">
        <v>721</v>
      </c>
      <c r="L723" s="95">
        <v>-30.900000000000041</v>
      </c>
    </row>
    <row r="724" spans="11:12">
      <c r="K724" s="36">
        <v>722</v>
      </c>
      <c r="L724" s="95">
        <v>-9.2000000000000419</v>
      </c>
    </row>
    <row r="725" spans="11:12">
      <c r="K725" s="36">
        <v>723</v>
      </c>
      <c r="L725" s="95">
        <v>-4.2632564145606011E-14</v>
      </c>
    </row>
    <row r="726" spans="11:12">
      <c r="K726" s="36">
        <v>724</v>
      </c>
      <c r="L726" s="95">
        <v>-49.500000000000043</v>
      </c>
    </row>
    <row r="727" spans="11:12">
      <c r="K727" s="36">
        <v>725</v>
      </c>
      <c r="L727" s="95">
        <v>-56.900000000000041</v>
      </c>
    </row>
    <row r="728" spans="11:12">
      <c r="K728" s="36">
        <v>726</v>
      </c>
      <c r="L728" s="95">
        <v>-4.2632564145606011E-14</v>
      </c>
    </row>
    <row r="729" spans="11:12">
      <c r="K729" s="36">
        <v>727</v>
      </c>
      <c r="L729" s="95">
        <v>-36.400000000000041</v>
      </c>
    </row>
    <row r="730" spans="11:12">
      <c r="K730" s="36">
        <v>728</v>
      </c>
      <c r="L730" s="95">
        <v>-32.700000000000038</v>
      </c>
    </row>
    <row r="731" spans="11:12">
      <c r="K731" s="36">
        <v>729</v>
      </c>
      <c r="L731" s="95">
        <v>-3.5527136788005009E-14</v>
      </c>
    </row>
    <row r="732" spans="11:12">
      <c r="K732" s="36">
        <v>730</v>
      </c>
      <c r="L732" s="95">
        <v>34.999999999999964</v>
      </c>
    </row>
    <row r="733" spans="11:12">
      <c r="K733" s="36">
        <v>731</v>
      </c>
      <c r="L733" s="95">
        <v>-1.3000000000000327</v>
      </c>
    </row>
    <row r="734" spans="11:12">
      <c r="K734" s="36">
        <v>732</v>
      </c>
      <c r="L734" s="95">
        <v>-3.2640556923979602E-14</v>
      </c>
    </row>
    <row r="735" spans="11:12">
      <c r="K735" s="36">
        <v>733</v>
      </c>
      <c r="L735" s="95">
        <v>-16.600000000000033</v>
      </c>
    </row>
    <row r="736" spans="11:12">
      <c r="K736" s="36">
        <v>734</v>
      </c>
      <c r="L736" s="95">
        <v>-14.600000000000033</v>
      </c>
    </row>
    <row r="737" spans="11:12">
      <c r="K737" s="36">
        <v>735</v>
      </c>
      <c r="L737" s="95">
        <v>-3.3750779948604759E-14</v>
      </c>
    </row>
    <row r="738" spans="11:12">
      <c r="K738" s="36">
        <v>736</v>
      </c>
      <c r="L738" s="95">
        <v>45.899999999999963</v>
      </c>
    </row>
    <row r="739" spans="11:12">
      <c r="K739" s="36">
        <v>737</v>
      </c>
      <c r="L739" s="95">
        <v>10.499999999999964</v>
      </c>
    </row>
    <row r="740" spans="11:12">
      <c r="K740" s="36">
        <v>738</v>
      </c>
      <c r="L740" s="95">
        <v>-3.5527136788005009E-14</v>
      </c>
    </row>
    <row r="741" spans="11:12">
      <c r="K741" s="36">
        <v>739</v>
      </c>
      <c r="L741" s="95">
        <v>45.599999999999966</v>
      </c>
    </row>
    <row r="742" spans="11:12">
      <c r="K742" s="36">
        <v>740</v>
      </c>
      <c r="L742" s="95">
        <v>57.199999999999967</v>
      </c>
    </row>
    <row r="743" spans="11:12">
      <c r="K743" s="36">
        <v>741</v>
      </c>
      <c r="L743" s="95">
        <v>-3.5527136788005009E-14</v>
      </c>
    </row>
    <row r="744" spans="11:12">
      <c r="K744" s="36">
        <v>742</v>
      </c>
      <c r="L744" s="95">
        <v>11.399999999999965</v>
      </c>
    </row>
    <row r="745" spans="11:12">
      <c r="K745" s="36">
        <v>743</v>
      </c>
      <c r="L745" s="95">
        <v>49.499999999999964</v>
      </c>
    </row>
    <row r="746" spans="11:12">
      <c r="K746" s="36">
        <v>744</v>
      </c>
      <c r="L746" s="95">
        <v>-3.5527136788005009E-14</v>
      </c>
    </row>
    <row r="747" spans="11:12">
      <c r="K747" s="36">
        <v>745</v>
      </c>
      <c r="L747" s="95">
        <v>-3.8000000000000353</v>
      </c>
    </row>
    <row r="748" spans="11:12">
      <c r="K748" s="36">
        <v>746</v>
      </c>
      <c r="L748" s="95">
        <v>-28.300000000000036</v>
      </c>
    </row>
    <row r="749" spans="11:12">
      <c r="K749" s="36">
        <v>747</v>
      </c>
      <c r="L749" s="95">
        <v>-3.5527136788005009E-14</v>
      </c>
    </row>
    <row r="750" spans="11:12">
      <c r="K750" s="36">
        <v>748</v>
      </c>
      <c r="L750" s="95">
        <v>42.499999999999964</v>
      </c>
    </row>
    <row r="751" spans="11:12">
      <c r="K751" s="36">
        <v>749</v>
      </c>
      <c r="L751" s="95">
        <v>-3.9000000000000341</v>
      </c>
    </row>
    <row r="752" spans="11:12">
      <c r="K752" s="36">
        <v>750</v>
      </c>
      <c r="L752" s="95">
        <v>-3.4194869158454821E-14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9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161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67</v>
      </c>
      <c r="C2" s="163"/>
      <c r="E2" s="58" t="s">
        <v>66</v>
      </c>
      <c r="F2" s="55" t="s">
        <v>22</v>
      </c>
      <c r="G2" s="43">
        <v>120</v>
      </c>
      <c r="H2" s="128">
        <f>IF(B$15=0,0,G2/B$15)</f>
        <v>0.7407407407407407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1441.7910447761194</v>
      </c>
      <c r="P2" s="114">
        <v>67</v>
      </c>
      <c r="Q2" s="98">
        <v>96600</v>
      </c>
    </row>
    <row r="3" spans="1:17">
      <c r="A3" s="51" t="s">
        <v>8</v>
      </c>
      <c r="B3" s="164">
        <v>592</v>
      </c>
      <c r="C3" s="165"/>
      <c r="E3" s="59" t="s">
        <v>72</v>
      </c>
      <c r="F3" s="56" t="s">
        <v>27</v>
      </c>
      <c r="G3" s="44">
        <v>90</v>
      </c>
      <c r="H3" s="129">
        <f>IF(B$15=0,0,G3/B$15)</f>
        <v>0.55555555555555558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-2021.2121212121212</v>
      </c>
      <c r="P3" s="115">
        <v>66</v>
      </c>
      <c r="Q3" s="99">
        <v>-133400</v>
      </c>
    </row>
    <row r="4" spans="1:17">
      <c r="A4" s="51" t="s">
        <v>6</v>
      </c>
      <c r="B4" s="166">
        <v>-494.00000000000017</v>
      </c>
      <c r="C4" s="167"/>
      <c r="E4" s="59" t="s">
        <v>166</v>
      </c>
      <c r="F4" s="56" t="s">
        <v>167</v>
      </c>
      <c r="G4" s="44">
        <v>66</v>
      </c>
      <c r="H4" s="129">
        <f>IF(B$15=0,0,G4/B$15)</f>
        <v>0.40740740740740738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-1348.4375</v>
      </c>
      <c r="P4" s="115">
        <v>64</v>
      </c>
      <c r="Q4" s="99">
        <v>-86300</v>
      </c>
    </row>
    <row r="5" spans="1:17">
      <c r="A5" s="51" t="s">
        <v>7</v>
      </c>
      <c r="B5" s="168">
        <f>IF(B$2=0,0,B$4/B$2)</f>
        <v>-7.3731343283582111</v>
      </c>
      <c r="C5" s="169"/>
      <c r="E5" s="59" t="s">
        <v>64</v>
      </c>
      <c r="F5" s="56" t="s">
        <v>20</v>
      </c>
      <c r="G5" s="44">
        <v>42</v>
      </c>
      <c r="H5" s="129">
        <f>IF(B$15=0,0,G5/B$15)</f>
        <v>0.25925925925925924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-1325</v>
      </c>
      <c r="P5" s="115">
        <v>60</v>
      </c>
      <c r="Q5" s="99">
        <v>-79500</v>
      </c>
    </row>
    <row r="6" spans="1:17">
      <c r="A6" s="51" t="s">
        <v>1</v>
      </c>
      <c r="B6" s="158">
        <f>IF(B$2=0,0,(B$7*1+B$8*2+B$9*3)/B$2)</f>
        <v>2.1641791044776117</v>
      </c>
      <c r="C6" s="159"/>
      <c r="E6" s="59" t="s">
        <v>68</v>
      </c>
      <c r="F6" s="56" t="s">
        <v>12</v>
      </c>
      <c r="G6" s="44">
        <v>42</v>
      </c>
      <c r="H6" s="129">
        <f>IF(B$15=0,0,G6/B$15)</f>
        <v>0.25925925925925924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-83.050847457627114</v>
      </c>
      <c r="P6" s="115">
        <v>59</v>
      </c>
      <c r="Q6" s="99">
        <v>-4900</v>
      </c>
    </row>
    <row r="7" spans="1:17">
      <c r="A7" s="51" t="s">
        <v>2</v>
      </c>
      <c r="B7" s="44">
        <v>21</v>
      </c>
      <c r="C7" s="37">
        <f t="shared" ref="C7:C10" si="1">IF(B$2=0,0,B7/B$2)</f>
        <v>0.31343283582089554</v>
      </c>
      <c r="E7" s="59" t="s">
        <v>69</v>
      </c>
      <c r="F7" s="56" t="s">
        <v>24</v>
      </c>
      <c r="G7" s="44">
        <v>32</v>
      </c>
      <c r="H7" s="129">
        <f>IF(B$15=0,0,G7/B$15)</f>
        <v>0.19753086419753085</v>
      </c>
      <c r="I7" s="90">
        <v>5</v>
      </c>
      <c r="K7" s="36">
        <v>5</v>
      </c>
      <c r="L7" s="95">
        <v>-55.8</v>
      </c>
      <c r="N7" s="112" t="s">
        <v>135</v>
      </c>
      <c r="O7" s="119">
        <f t="shared" si="0"/>
        <v>-2321.5686274509803</v>
      </c>
      <c r="P7" s="116">
        <v>51</v>
      </c>
      <c r="Q7" s="100">
        <v>-118400</v>
      </c>
    </row>
    <row r="8" spans="1:17">
      <c r="A8" s="51" t="s">
        <v>3</v>
      </c>
      <c r="B8" s="44">
        <v>14</v>
      </c>
      <c r="C8" s="37">
        <f t="shared" si="1"/>
        <v>0.20895522388059701</v>
      </c>
      <c r="E8" s="59" t="s">
        <v>67</v>
      </c>
      <c r="F8" s="56" t="s">
        <v>23</v>
      </c>
      <c r="G8" s="44">
        <v>24</v>
      </c>
      <c r="H8" s="129">
        <f>IF(B$15=0,0,G8/B$15)</f>
        <v>0.14814814814814814</v>
      </c>
      <c r="I8" s="90">
        <v>14</v>
      </c>
      <c r="K8" s="36">
        <v>6</v>
      </c>
      <c r="L8" s="95">
        <v>-40.799999999999997</v>
      </c>
      <c r="N8" s="41"/>
      <c r="O8" s="123"/>
      <c r="P8" s="107"/>
      <c r="Q8" s="105"/>
    </row>
    <row r="9" spans="1:17">
      <c r="A9" s="52" t="s">
        <v>4</v>
      </c>
      <c r="B9" s="45">
        <v>32</v>
      </c>
      <c r="C9" s="38">
        <f t="shared" si="1"/>
        <v>0.47761194029850745</v>
      </c>
      <c r="E9" s="59" t="s">
        <v>70</v>
      </c>
      <c r="F9" s="56" t="s">
        <v>25</v>
      </c>
      <c r="G9" s="44">
        <v>19</v>
      </c>
      <c r="H9" s="129">
        <f>IF(B$15=0,0,G9/B$15)</f>
        <v>0.11728395061728394</v>
      </c>
      <c r="I9" s="90">
        <v>5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5</v>
      </c>
      <c r="C10" s="40">
        <f t="shared" si="1"/>
        <v>7.4626865671641784E-2</v>
      </c>
      <c r="E10" s="59" t="s">
        <v>71</v>
      </c>
      <c r="F10" s="56" t="s">
        <v>26</v>
      </c>
      <c r="G10" s="44">
        <v>17</v>
      </c>
      <c r="H10" s="129">
        <f>IF(B$15=0,0,G10/B$15)</f>
        <v>0.10493827160493827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>
      <c r="A11" s="54" t="s">
        <v>121</v>
      </c>
      <c r="B11" s="47">
        <v>86</v>
      </c>
      <c r="C11" s="42">
        <f>IF(B$3=0,0,B11/B$3)</f>
        <v>0.14527027027027026</v>
      </c>
      <c r="E11" s="59" t="s">
        <v>83</v>
      </c>
      <c r="F11" s="56" t="s">
        <v>38</v>
      </c>
      <c r="G11" s="44">
        <v>13</v>
      </c>
      <c r="H11" s="129">
        <f>IF(B$15=0,0,G11/B$15)</f>
        <v>8.0246913580246909E-2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>
      <c r="A12" s="51" t="s">
        <v>118</v>
      </c>
      <c r="B12" s="44">
        <v>150</v>
      </c>
      <c r="C12" s="37">
        <f>IF(B$3=0,0,B12/B$3)</f>
        <v>0.2533783783783784</v>
      </c>
      <c r="E12" s="59" t="s">
        <v>65</v>
      </c>
      <c r="F12" s="56" t="s">
        <v>21</v>
      </c>
      <c r="G12" s="44">
        <v>9</v>
      </c>
      <c r="H12" s="129">
        <f>IF(B$15=0,0,G12/B$15)</f>
        <v>5.5555555555555552E-2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-0.67391304347826031</v>
      </c>
      <c r="P12" s="116">
        <v>23</v>
      </c>
      <c r="Q12" s="104">
        <v>-15.499999999999988</v>
      </c>
    </row>
    <row r="13" spans="1:17">
      <c r="A13" s="50" t="s">
        <v>123</v>
      </c>
      <c r="B13" s="43">
        <f>B19</f>
        <v>44</v>
      </c>
      <c r="C13" s="35">
        <f>IF(B$11=0,0,B13/B$11)</f>
        <v>0.51162790697674421</v>
      </c>
      <c r="E13" s="59" t="s">
        <v>89</v>
      </c>
      <c r="F13" s="56" t="s">
        <v>44</v>
      </c>
      <c r="G13" s="44">
        <v>9</v>
      </c>
      <c r="H13" s="129">
        <f>IF(B$15=0,0,G13/B$15)</f>
        <v>5.5555555555555552E-2</v>
      </c>
      <c r="I13" s="90">
        <v>14</v>
      </c>
      <c r="K13" s="36">
        <v>11</v>
      </c>
      <c r="L13" s="95">
        <v>-35.5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61</v>
      </c>
      <c r="C14" s="35">
        <f>IF(B$12=0,0,B14/B$12)</f>
        <v>0.40666666666666668</v>
      </c>
      <c r="E14" s="59" t="s">
        <v>81</v>
      </c>
      <c r="F14" s="56" t="s">
        <v>36</v>
      </c>
      <c r="G14" s="44">
        <v>6</v>
      </c>
      <c r="H14" s="129">
        <f>IF(B$15=0,0,G14/B$15)</f>
        <v>3.7037037037037035E-2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162</v>
      </c>
      <c r="C15" s="35">
        <f>IF(B$3=0,0,B15/B$3)</f>
        <v>0.27364864864864863</v>
      </c>
      <c r="E15" s="59" t="s">
        <v>86</v>
      </c>
      <c r="F15" s="56" t="s">
        <v>41</v>
      </c>
      <c r="G15" s="44">
        <v>5</v>
      </c>
      <c r="H15" s="129">
        <f>IF(B$15=0,0,G15/B$15)</f>
        <v>3.0864197530864196E-2</v>
      </c>
      <c r="I15" s="90">
        <v>11</v>
      </c>
      <c r="K15" s="36">
        <v>13</v>
      </c>
      <c r="L15" s="95">
        <v>-66.2</v>
      </c>
      <c r="N15" s="110" t="s">
        <v>274</v>
      </c>
      <c r="O15" s="120">
        <f>IF(P15=0,0,Q15/P15)</f>
        <v>51.55</v>
      </c>
      <c r="P15" s="114">
        <v>2</v>
      </c>
      <c r="Q15" s="102">
        <v>103.1</v>
      </c>
    </row>
    <row r="16" spans="1:17">
      <c r="A16" s="51" t="s">
        <v>13</v>
      </c>
      <c r="B16" s="44">
        <v>93</v>
      </c>
      <c r="C16" s="37">
        <f>IF(B$3=0,0,B16/B$3)</f>
        <v>0.1570945945945946</v>
      </c>
      <c r="E16" s="59" t="s">
        <v>79</v>
      </c>
      <c r="F16" s="56" t="s">
        <v>34</v>
      </c>
      <c r="G16" s="44">
        <v>3</v>
      </c>
      <c r="H16" s="129">
        <f>IF(B$15=0,0,G16/B$15)</f>
        <v>1.8518518518518517E-2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>
      <c r="A17" s="51" t="s">
        <v>12</v>
      </c>
      <c r="B17" s="44">
        <v>65</v>
      </c>
      <c r="C17" s="37">
        <f>IF(B$15=0,0,B17/B$15)</f>
        <v>0.40123456790123457</v>
      </c>
      <c r="E17" s="59" t="s">
        <v>91</v>
      </c>
      <c r="F17" s="56" t="s">
        <v>46</v>
      </c>
      <c r="G17" s="44">
        <v>3</v>
      </c>
      <c r="H17" s="129">
        <f>IF(B$15=0,0,G17/B$15)</f>
        <v>1.8518518518518517E-2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>IF(P17=0,0,Q17/P17)</f>
        <v>-3.9454545454545453</v>
      </c>
      <c r="P17" s="115">
        <v>22</v>
      </c>
      <c r="Q17" s="103">
        <v>-86.8</v>
      </c>
    </row>
    <row r="18" spans="1:17">
      <c r="A18" s="51" t="s">
        <v>11</v>
      </c>
      <c r="B18" s="44">
        <v>97</v>
      </c>
      <c r="C18" s="37">
        <f>IF(B$15=0,0,B18/B$15)</f>
        <v>0.59876543209876543</v>
      </c>
      <c r="E18" s="59" t="s">
        <v>74</v>
      </c>
      <c r="F18" s="56" t="s">
        <v>29</v>
      </c>
      <c r="G18" s="44">
        <v>2</v>
      </c>
      <c r="H18" s="129">
        <f>IF(B$15=0,0,G18/B$15)</f>
        <v>1.2345679012345678E-2</v>
      </c>
      <c r="I18" s="90">
        <v>1</v>
      </c>
      <c r="K18" s="36">
        <v>16</v>
      </c>
      <c r="L18" s="95">
        <v>-70.600000000000009</v>
      </c>
      <c r="N18" s="111" t="s">
        <v>127</v>
      </c>
      <c r="O18" s="121">
        <f>IF(P18=0,0,Q18/P18)</f>
        <v>-4.1851851851851869</v>
      </c>
      <c r="P18" s="115">
        <v>27</v>
      </c>
      <c r="Q18" s="103">
        <v>-113.00000000000004</v>
      </c>
    </row>
    <row r="19" spans="1:17">
      <c r="A19" s="51" t="s">
        <v>195</v>
      </c>
      <c r="B19" s="44">
        <v>44</v>
      </c>
      <c r="C19" s="37">
        <f>IF(B$15=0,0,B19/B$15)</f>
        <v>0.27160493827160492</v>
      </c>
      <c r="E19" s="59" t="s">
        <v>88</v>
      </c>
      <c r="F19" s="56" t="s">
        <v>43</v>
      </c>
      <c r="G19" s="44">
        <v>2</v>
      </c>
      <c r="H19" s="129">
        <f>IF(B$15=0,0,G19/B$15)</f>
        <v>1.2345679012345678E-2</v>
      </c>
      <c r="I19" s="90">
        <v>1</v>
      </c>
      <c r="K19" s="36">
        <v>17</v>
      </c>
      <c r="L19" s="95">
        <v>-65.2</v>
      </c>
      <c r="N19" s="111" t="s">
        <v>172</v>
      </c>
      <c r="O19" s="121">
        <f>IF(P19=0,0,Q19/P19)</f>
        <v>-6.0625000000000036</v>
      </c>
      <c r="P19" s="115">
        <v>16</v>
      </c>
      <c r="Q19" s="103">
        <v>-97.000000000000057</v>
      </c>
    </row>
    <row r="20" spans="1:17">
      <c r="A20" s="51" t="s">
        <v>193</v>
      </c>
      <c r="B20" s="44">
        <v>61</v>
      </c>
      <c r="C20" s="37">
        <f>IF(B$15=0,0,B20/B$15)</f>
        <v>0.37654320987654322</v>
      </c>
      <c r="E20" s="59" t="s">
        <v>75</v>
      </c>
      <c r="F20" s="56" t="s">
        <v>30</v>
      </c>
      <c r="G20" s="44">
        <v>1</v>
      </c>
      <c r="H20" s="129">
        <f>IF(B$15=0,0,G20/B$15)</f>
        <v>6.1728395061728392E-3</v>
      </c>
      <c r="I20" s="90">
        <v>5</v>
      </c>
      <c r="K20" s="36">
        <v>18</v>
      </c>
      <c r="L20" s="95">
        <v>-80.2</v>
      </c>
      <c r="N20" s="111" t="s">
        <v>126</v>
      </c>
      <c r="O20" s="121">
        <f>IF(P20=0,0,Q20/P20)</f>
        <v>-11.200000000000001</v>
      </c>
      <c r="P20" s="115">
        <v>35</v>
      </c>
      <c r="Q20" s="103">
        <v>-392.00000000000006</v>
      </c>
    </row>
    <row r="21" spans="1:17">
      <c r="A21" s="51" t="s">
        <v>194</v>
      </c>
      <c r="B21" s="44">
        <v>57</v>
      </c>
      <c r="C21" s="37">
        <f>IF(B$15=0,0,B21/B$15)</f>
        <v>0.35185185185185186</v>
      </c>
      <c r="E21" s="59" t="s">
        <v>77</v>
      </c>
      <c r="F21" s="56" t="s">
        <v>32</v>
      </c>
      <c r="G21" s="44">
        <v>1</v>
      </c>
      <c r="H21" s="129">
        <f>IF(B$15=0,0,G21/B$15)</f>
        <v>6.1728395061728392E-3</v>
      </c>
      <c r="I21" s="90">
        <v>2</v>
      </c>
      <c r="K21" s="36">
        <v>19</v>
      </c>
      <c r="L21" s="95">
        <v>-115.1</v>
      </c>
      <c r="N21" s="111" t="s">
        <v>197</v>
      </c>
      <c r="O21" s="121">
        <f>IF(P21=0,0,Q21/P21)</f>
        <v>-34.137499999999996</v>
      </c>
      <c r="P21" s="115">
        <v>8</v>
      </c>
      <c r="Q21" s="103">
        <v>-273.09999999999997</v>
      </c>
    </row>
    <row r="22" spans="1:17">
      <c r="A22" s="51" t="s">
        <v>5</v>
      </c>
      <c r="B22" s="48">
        <f>IF(B$15=0,0,C22/B$15)</f>
        <v>6873.4567901234568</v>
      </c>
      <c r="C22" s="39">
        <v>1113500</v>
      </c>
      <c r="E22" s="59" t="s">
        <v>78</v>
      </c>
      <c r="F22" s="56" t="s">
        <v>33</v>
      </c>
      <c r="G22" s="44">
        <v>1</v>
      </c>
      <c r="H22" s="129">
        <f>IF(B$15=0,0,G22/B$15)</f>
        <v>6.1728395061728392E-3</v>
      </c>
      <c r="I22" s="90">
        <v>10</v>
      </c>
      <c r="K22" s="36">
        <v>20</v>
      </c>
      <c r="L22" s="95">
        <v>-88.8</v>
      </c>
      <c r="N22" s="111" t="s">
        <v>170</v>
      </c>
      <c r="O22" s="121">
        <f>IF(P22=0,0,Q22/P22)</f>
        <v>-37.1</v>
      </c>
      <c r="P22" s="115">
        <v>18</v>
      </c>
      <c r="Q22" s="103">
        <v>-667.80000000000007</v>
      </c>
    </row>
    <row r="23" spans="1:17">
      <c r="A23" s="52" t="s">
        <v>177</v>
      </c>
      <c r="B23" s="136">
        <f>IF($B$15-B$14=0,0,C23/($B$15-B$14))</f>
        <v>7337.6237623762372</v>
      </c>
      <c r="C23" s="137">
        <v>741100</v>
      </c>
      <c r="E23" s="59" t="s">
        <v>84</v>
      </c>
      <c r="F23" s="56" t="s">
        <v>39</v>
      </c>
      <c r="G23" s="44">
        <v>1</v>
      </c>
      <c r="H23" s="129">
        <f>IF(B$15=0,0,G23/B$15)</f>
        <v>6.1728395061728392E-3</v>
      </c>
      <c r="I23" s="90">
        <v>3</v>
      </c>
      <c r="K23" s="36">
        <v>21</v>
      </c>
      <c r="L23" s="95">
        <v>-111.4</v>
      </c>
    </row>
    <row r="24" spans="1:17">
      <c r="A24" s="52" t="s">
        <v>178</v>
      </c>
      <c r="B24" s="136">
        <f>IF(B$14=0,0,C24/B$14)</f>
        <v>6104.9180327868853</v>
      </c>
      <c r="C24" s="137">
        <v>372400</v>
      </c>
      <c r="E24" s="59" t="s">
        <v>93</v>
      </c>
      <c r="F24" s="56" t="s">
        <v>48</v>
      </c>
      <c r="G24" s="44">
        <v>1</v>
      </c>
      <c r="H24" s="129">
        <f>IF(B$15=0,0,G24/B$15)</f>
        <v>6.1728395061728392E-3</v>
      </c>
      <c r="I24" s="90">
        <v>1</v>
      </c>
      <c r="K24" s="36">
        <v>22</v>
      </c>
      <c r="L24" s="95">
        <v>-142.80000000000001</v>
      </c>
    </row>
    <row r="25" spans="1:17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>
      <c r="A26" s="51" t="s">
        <v>164</v>
      </c>
      <c r="B26" s="44">
        <v>5</v>
      </c>
      <c r="C26" s="131">
        <v>0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>
      <c r="A27" s="51" t="s">
        <v>165</v>
      </c>
      <c r="B27" s="44">
        <v>32</v>
      </c>
      <c r="C27" s="131">
        <v>24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>
      <c r="A28" s="86" t="s">
        <v>138</v>
      </c>
      <c r="B28" s="156">
        <v>6</v>
      </c>
      <c r="C28" s="157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>
      <c r="A29" s="54" t="s">
        <v>192</v>
      </c>
      <c r="B29" s="154">
        <v>86900</v>
      </c>
      <c r="C29" s="155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-125.20000000000002</v>
      </c>
    </row>
    <row r="30" spans="1:17">
      <c r="A30" s="53" t="s">
        <v>139</v>
      </c>
      <c r="B30" s="61">
        <v>2</v>
      </c>
      <c r="C30" s="40">
        <f>IF(B$3=0,0,B30/B$3)</f>
        <v>3.3783783783783786E-3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-124.40000000000002</v>
      </c>
    </row>
    <row r="31" spans="1:17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>
      <c r="A32" s="86" t="s">
        <v>183</v>
      </c>
      <c r="B32" s="144">
        <v>21</v>
      </c>
      <c r="C32" s="141">
        <f>IF(B$15=0,0,B32/B$15)</f>
        <v>0.12962962962962962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>
      <c r="A33" s="51" t="s">
        <v>179</v>
      </c>
      <c r="B33" s="44">
        <v>37</v>
      </c>
      <c r="C33" s="37">
        <f t="shared" ref="C33:C44" si="2">IF(B$15=0,0,B33/B$15)</f>
        <v>0.22839506172839505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>
      <c r="A34" s="51" t="s">
        <v>180</v>
      </c>
      <c r="B34" s="145">
        <v>34</v>
      </c>
      <c r="C34" s="37">
        <f>IF(B$15=0,0,B34/B$15)</f>
        <v>0.20987654320987653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>
      <c r="A35" s="51" t="s">
        <v>181</v>
      </c>
      <c r="B35" s="145">
        <v>24</v>
      </c>
      <c r="C35" s="37">
        <f t="shared" si="2"/>
        <v>0.14814814814814814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>
      <c r="A36" s="51" t="s">
        <v>182</v>
      </c>
      <c r="B36" s="145">
        <v>17</v>
      </c>
      <c r="C36" s="37">
        <f t="shared" si="2"/>
        <v>0.10493827160493827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>
      <c r="A37" s="51" t="s">
        <v>184</v>
      </c>
      <c r="B37" s="145">
        <v>14</v>
      </c>
      <c r="C37" s="37">
        <f t="shared" si="2"/>
        <v>8.6419753086419748E-2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>
      <c r="A38" s="51" t="s">
        <v>185</v>
      </c>
      <c r="B38" s="145">
        <v>9</v>
      </c>
      <c r="C38" s="37">
        <f t="shared" si="2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>
      <c r="A39" s="51" t="s">
        <v>186</v>
      </c>
      <c r="B39" s="145">
        <v>5</v>
      </c>
      <c r="C39" s="37">
        <f t="shared" si="2"/>
        <v>3.0864197530864196E-2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>
      <c r="A44" s="53" t="s">
        <v>191</v>
      </c>
      <c r="B44" s="140">
        <v>1</v>
      </c>
      <c r="C44" s="40">
        <f t="shared" si="2"/>
        <v>6.1728395061728392E-3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>
      <c r="K53" s="36">
        <v>51</v>
      </c>
      <c r="L53" s="95">
        <v>-273.60000000000008</v>
      </c>
    </row>
    <row r="54" spans="5:12">
      <c r="K54" s="36">
        <v>52</v>
      </c>
      <c r="L54" s="95">
        <v>-296.10000000000008</v>
      </c>
    </row>
    <row r="55" spans="5:12">
      <c r="K55" s="36">
        <v>53</v>
      </c>
      <c r="L55" s="95">
        <v>-383.50000000000011</v>
      </c>
    </row>
    <row r="56" spans="5:12">
      <c r="K56" s="36">
        <v>54</v>
      </c>
      <c r="L56" s="95">
        <v>-415.00000000000011</v>
      </c>
    </row>
    <row r="57" spans="5:12">
      <c r="K57" s="36">
        <v>55</v>
      </c>
      <c r="L57" s="95">
        <v>-381.50000000000011</v>
      </c>
    </row>
    <row r="58" spans="5:12">
      <c r="K58" s="36">
        <v>56</v>
      </c>
      <c r="L58" s="95">
        <v>-369.50000000000011</v>
      </c>
    </row>
    <row r="59" spans="5:12">
      <c r="K59" s="36">
        <v>57</v>
      </c>
      <c r="L59" s="95">
        <v>-389.2000000000001</v>
      </c>
    </row>
    <row r="60" spans="5:12">
      <c r="K60" s="36">
        <v>58</v>
      </c>
      <c r="L60" s="95">
        <v>-436.00000000000011</v>
      </c>
    </row>
    <row r="61" spans="5:12">
      <c r="K61" s="36">
        <v>59</v>
      </c>
      <c r="L61" s="95">
        <v>-399.2000000000001</v>
      </c>
    </row>
    <row r="62" spans="5:12">
      <c r="K62" s="36">
        <v>60</v>
      </c>
      <c r="L62" s="95">
        <v>-444.30000000000013</v>
      </c>
    </row>
    <row r="63" spans="5:12">
      <c r="K63" s="36">
        <v>61</v>
      </c>
      <c r="L63" s="95">
        <v>-491.00000000000011</v>
      </c>
    </row>
    <row r="64" spans="5:12">
      <c r="K64" s="36">
        <v>62</v>
      </c>
      <c r="L64" s="95">
        <v>-482.00000000000011</v>
      </c>
    </row>
    <row r="65" spans="11:12">
      <c r="K65" s="36">
        <v>63</v>
      </c>
      <c r="L65" s="95">
        <v>-522.20000000000016</v>
      </c>
    </row>
    <row r="66" spans="11:12">
      <c r="K66" s="36">
        <v>64</v>
      </c>
      <c r="L66" s="95">
        <v>-550.9000000000002</v>
      </c>
    </row>
    <row r="67" spans="11:12">
      <c r="K67" s="36">
        <v>65</v>
      </c>
      <c r="L67" s="95">
        <v>-526.20000000000016</v>
      </c>
    </row>
    <row r="68" spans="11:12">
      <c r="K68" s="36">
        <v>66</v>
      </c>
      <c r="L68" s="95">
        <v>-497.90000000000015</v>
      </c>
    </row>
    <row r="69" spans="11:12">
      <c r="K69" s="36">
        <v>67</v>
      </c>
      <c r="L69" s="95">
        <v>-494.00000000000017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53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126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151</v>
      </c>
      <c r="C2" s="163"/>
      <c r="E2" s="58" t="s">
        <v>66</v>
      </c>
      <c r="F2" s="55" t="s">
        <v>22</v>
      </c>
      <c r="G2" s="43">
        <v>283</v>
      </c>
      <c r="H2" s="128">
        <f>IF(B$15=0,0,G2/B$15)</f>
        <v>0.66745283018867929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1066.6666666666667</v>
      </c>
      <c r="P2" s="114">
        <v>150</v>
      </c>
      <c r="Q2" s="98">
        <v>160000</v>
      </c>
    </row>
    <row r="3" spans="1:17">
      <c r="A3" s="51" t="s">
        <v>8</v>
      </c>
      <c r="B3" s="164">
        <v>1234</v>
      </c>
      <c r="C3" s="165"/>
      <c r="E3" s="59" t="s">
        <v>72</v>
      </c>
      <c r="F3" s="56" t="s">
        <v>27</v>
      </c>
      <c r="G3" s="44">
        <v>222</v>
      </c>
      <c r="H3" s="129">
        <f>IF(B$15=0,0,G3/B$15)</f>
        <v>0.52358490566037741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929.93197278911566</v>
      </c>
      <c r="P3" s="115">
        <v>147</v>
      </c>
      <c r="Q3" s="99">
        <v>136700</v>
      </c>
    </row>
    <row r="4" spans="1:17">
      <c r="A4" s="51" t="s">
        <v>6</v>
      </c>
      <c r="B4" s="166">
        <v>1213.5000000000002</v>
      </c>
      <c r="C4" s="167"/>
      <c r="E4" s="59" t="s">
        <v>64</v>
      </c>
      <c r="F4" s="56" t="s">
        <v>20</v>
      </c>
      <c r="G4" s="44">
        <v>188</v>
      </c>
      <c r="H4" s="129">
        <f>IF(B$15=0,0,G4/B$15)</f>
        <v>0.44339622641509435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856.0283687943263</v>
      </c>
      <c r="P4" s="115">
        <v>141</v>
      </c>
      <c r="Q4" s="99">
        <v>120700</v>
      </c>
    </row>
    <row r="5" spans="1:17">
      <c r="A5" s="51" t="s">
        <v>7</v>
      </c>
      <c r="B5" s="168">
        <f>IF(B$2=0,0,B$4/B$2)</f>
        <v>8.0364238410596034</v>
      </c>
      <c r="C5" s="169"/>
      <c r="E5" s="59" t="s">
        <v>166</v>
      </c>
      <c r="F5" s="56" t="s">
        <v>167</v>
      </c>
      <c r="G5" s="44">
        <v>161</v>
      </c>
      <c r="H5" s="129">
        <f>IF(B$15=0,0,G5/B$15)</f>
        <v>0.37971698113207547</v>
      </c>
      <c r="I5" s="90">
        <v>9</v>
      </c>
      <c r="K5" s="36">
        <v>3</v>
      </c>
      <c r="L5" s="95">
        <v>40.400000000000006</v>
      </c>
      <c r="N5" s="111" t="s">
        <v>133</v>
      </c>
      <c r="O5" s="118">
        <f t="shared" si="0"/>
        <v>122.90076335877863</v>
      </c>
      <c r="P5" s="115">
        <v>131</v>
      </c>
      <c r="Q5" s="99">
        <v>16100</v>
      </c>
    </row>
    <row r="6" spans="1:17">
      <c r="A6" s="51" t="s">
        <v>1</v>
      </c>
      <c r="B6" s="158">
        <f>IF(B$2=0,0,(B$7*1+B$8*2+B$9*3)/B$2)</f>
        <v>1.8079470198675496</v>
      </c>
      <c r="C6" s="159"/>
      <c r="E6" s="59" t="s">
        <v>68</v>
      </c>
      <c r="F6" s="56" t="s">
        <v>12</v>
      </c>
      <c r="G6" s="44">
        <v>118</v>
      </c>
      <c r="H6" s="129">
        <f>IF(B$15=0,0,G6/B$15)</f>
        <v>0.27830188679245282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2178.5123966942147</v>
      </c>
      <c r="P6" s="115">
        <v>121</v>
      </c>
      <c r="Q6" s="99">
        <v>263600</v>
      </c>
    </row>
    <row r="7" spans="1:17">
      <c r="A7" s="51" t="s">
        <v>2</v>
      </c>
      <c r="B7" s="44">
        <v>68</v>
      </c>
      <c r="C7" s="37">
        <f t="shared" ref="C7:C10" si="1">IF(B$2=0,0,B7/B$2)</f>
        <v>0.45033112582781459</v>
      </c>
      <c r="E7" s="59" t="s">
        <v>67</v>
      </c>
      <c r="F7" s="56" t="s">
        <v>23</v>
      </c>
      <c r="G7" s="44">
        <v>107</v>
      </c>
      <c r="H7" s="129">
        <f>IF(B$15=0,0,G7/B$15)</f>
        <v>0.25235849056603776</v>
      </c>
      <c r="I7" s="90">
        <v>11</v>
      </c>
      <c r="K7" s="36">
        <v>5</v>
      </c>
      <c r="L7" s="95">
        <v>99.9</v>
      </c>
      <c r="N7" s="112" t="s">
        <v>135</v>
      </c>
      <c r="O7" s="119">
        <f t="shared" si="0"/>
        <v>1932.3232323232323</v>
      </c>
      <c r="P7" s="116">
        <v>99</v>
      </c>
      <c r="Q7" s="100">
        <v>191300</v>
      </c>
    </row>
    <row r="8" spans="1:17">
      <c r="A8" s="51" t="s">
        <v>3</v>
      </c>
      <c r="B8" s="44">
        <v>44</v>
      </c>
      <c r="C8" s="37">
        <f t="shared" si="1"/>
        <v>0.29139072847682118</v>
      </c>
      <c r="E8" s="59" t="s">
        <v>89</v>
      </c>
      <c r="F8" s="56" t="s">
        <v>44</v>
      </c>
      <c r="G8" s="44">
        <v>61</v>
      </c>
      <c r="H8" s="129">
        <f>IF(B$15=0,0,G8/B$15)</f>
        <v>0.14386792452830188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>
      <c r="A9" s="52" t="s">
        <v>4</v>
      </c>
      <c r="B9" s="45">
        <v>39</v>
      </c>
      <c r="C9" s="38">
        <f t="shared" si="1"/>
        <v>0.25827814569536423</v>
      </c>
      <c r="E9" s="59" t="s">
        <v>69</v>
      </c>
      <c r="F9" s="56" t="s">
        <v>24</v>
      </c>
      <c r="G9" s="44">
        <v>57</v>
      </c>
      <c r="H9" s="129">
        <f>IF(B$15=0,0,G9/B$15)</f>
        <v>0.13443396226415094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7</v>
      </c>
      <c r="C10" s="40">
        <f t="shared" si="1"/>
        <v>4.6357615894039736E-2</v>
      </c>
      <c r="E10" s="59" t="s">
        <v>65</v>
      </c>
      <c r="F10" s="56" t="s">
        <v>21</v>
      </c>
      <c r="G10" s="44">
        <v>48</v>
      </c>
      <c r="H10" s="129">
        <f>IF(B$15=0,0,G10/B$15)</f>
        <v>0.11320754716981132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12.976190476190471</v>
      </c>
      <c r="P10" s="114">
        <v>42</v>
      </c>
      <c r="Q10" s="102">
        <v>544.99999999999977</v>
      </c>
    </row>
    <row r="11" spans="1:17">
      <c r="A11" s="54" t="s">
        <v>121</v>
      </c>
      <c r="B11" s="47">
        <v>330</v>
      </c>
      <c r="C11" s="42">
        <f>IF(B$3=0,0,B11/B$3)</f>
        <v>0.26742301458670986</v>
      </c>
      <c r="E11" s="59" t="s">
        <v>71</v>
      </c>
      <c r="F11" s="56" t="s">
        <v>26</v>
      </c>
      <c r="G11" s="44">
        <v>29</v>
      </c>
      <c r="H11" s="129">
        <f>IF(B$15=0,0,G11/B$15)</f>
        <v>6.8396226415094338E-2</v>
      </c>
      <c r="I11" s="90">
        <v>8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>
      <c r="A12" s="51" t="s">
        <v>118</v>
      </c>
      <c r="B12" s="44">
        <v>286</v>
      </c>
      <c r="C12" s="37">
        <f>IF(B$3=0,0,B12/B$3)</f>
        <v>0.23176661264181522</v>
      </c>
      <c r="E12" s="59" t="s">
        <v>86</v>
      </c>
      <c r="F12" s="56" t="s">
        <v>41</v>
      </c>
      <c r="G12" s="44">
        <v>28</v>
      </c>
      <c r="H12" s="129">
        <f>IF(B$15=0,0,G12/B$15)</f>
        <v>6.6037735849056603E-2</v>
      </c>
      <c r="I12" s="90">
        <v>3</v>
      </c>
      <c r="K12" s="36">
        <v>10</v>
      </c>
      <c r="L12" s="95">
        <v>158.19999999999999</v>
      </c>
      <c r="N12" s="112" t="s">
        <v>159</v>
      </c>
      <c r="O12" s="122">
        <f>IF(P12=0,0,Q12/P12)</f>
        <v>9.4642857142857117</v>
      </c>
      <c r="P12" s="116">
        <v>56</v>
      </c>
      <c r="Q12" s="104">
        <v>529.99999999999989</v>
      </c>
    </row>
    <row r="13" spans="1:17">
      <c r="A13" s="50" t="s">
        <v>123</v>
      </c>
      <c r="B13" s="43">
        <f>B19</f>
        <v>198</v>
      </c>
      <c r="C13" s="35">
        <f>IF(B$11=0,0,B13/B$11)</f>
        <v>0.6</v>
      </c>
      <c r="E13" s="59" t="s">
        <v>70</v>
      </c>
      <c r="F13" s="56" t="s">
        <v>25</v>
      </c>
      <c r="G13" s="44">
        <v>24</v>
      </c>
      <c r="H13" s="129">
        <f>IF(B$15=0,0,G13/B$15)</f>
        <v>5.6603773584905662E-2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141</v>
      </c>
      <c r="C14" s="35">
        <f>IF(B$12=0,0,B14/B$12)</f>
        <v>0.49300699300699302</v>
      </c>
      <c r="E14" s="59" t="s">
        <v>83</v>
      </c>
      <c r="F14" s="56" t="s">
        <v>38</v>
      </c>
      <c r="G14" s="44">
        <v>21</v>
      </c>
      <c r="H14" s="129">
        <f>IF(B$15=0,0,G14/B$15)</f>
        <v>4.9528301886792456E-2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424</v>
      </c>
      <c r="C15" s="35">
        <f>IF(B$3=0,0,B15/B$3)</f>
        <v>0.34359805510534847</v>
      </c>
      <c r="E15" s="59" t="s">
        <v>78</v>
      </c>
      <c r="F15" s="56" t="s">
        <v>33</v>
      </c>
      <c r="G15" s="44">
        <v>15</v>
      </c>
      <c r="H15" s="129">
        <f>IF(B$15=0,0,G15/B$15)</f>
        <v>3.5377358490566037E-2</v>
      </c>
      <c r="I15" s="90">
        <v>3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>
      <c r="A16" s="51" t="s">
        <v>13</v>
      </c>
      <c r="B16" s="44">
        <v>163</v>
      </c>
      <c r="C16" s="37">
        <f>IF(B$3=0,0,B16/B$3)</f>
        <v>0.13209076175040518</v>
      </c>
      <c r="E16" s="59" t="s">
        <v>162</v>
      </c>
      <c r="F16" s="56" t="s">
        <v>163</v>
      </c>
      <c r="G16" s="44">
        <v>13</v>
      </c>
      <c r="H16" s="129">
        <f>IF(B$15=0,0,G16/B$15)</f>
        <v>3.0660377358490566E-2</v>
      </c>
      <c r="I16" s="90">
        <v>2</v>
      </c>
      <c r="K16" s="36">
        <v>14</v>
      </c>
      <c r="L16" s="95">
        <v>240.09999999999997</v>
      </c>
      <c r="N16" s="111" t="s">
        <v>274</v>
      </c>
      <c r="O16" s="121">
        <f>IF(P16=0,0,Q16/P16)</f>
        <v>29.949999999999996</v>
      </c>
      <c r="P16" s="115">
        <v>2</v>
      </c>
      <c r="Q16" s="103">
        <v>59.899999999999991</v>
      </c>
    </row>
    <row r="17" spans="1:17">
      <c r="A17" s="51" t="s">
        <v>12</v>
      </c>
      <c r="B17" s="44">
        <v>178</v>
      </c>
      <c r="C17" s="37">
        <f>IF(B$15=0,0,B17/B$15)</f>
        <v>0.419811320754717</v>
      </c>
      <c r="E17" s="59" t="s">
        <v>81</v>
      </c>
      <c r="F17" s="56" t="s">
        <v>36</v>
      </c>
      <c r="G17" s="44">
        <v>6</v>
      </c>
      <c r="H17" s="129">
        <f>IF(B$15=0,0,G17/B$15)</f>
        <v>1.4150943396226415E-2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>IF(P17=0,0,Q17/P17)</f>
        <v>27.288235294117644</v>
      </c>
      <c r="P17" s="115">
        <v>17</v>
      </c>
      <c r="Q17" s="103">
        <v>463.9</v>
      </c>
    </row>
    <row r="18" spans="1:17">
      <c r="A18" s="51" t="s">
        <v>11</v>
      </c>
      <c r="B18" s="44">
        <v>246</v>
      </c>
      <c r="C18" s="37">
        <f>IF(B$15=0,0,B18/B$15)</f>
        <v>0.58018867924528306</v>
      </c>
      <c r="E18" s="59" t="s">
        <v>75</v>
      </c>
      <c r="F18" s="56" t="s">
        <v>30</v>
      </c>
      <c r="G18" s="44">
        <v>5</v>
      </c>
      <c r="H18" s="129">
        <f>IF(B$15=0,0,G18/B$15)</f>
        <v>1.179245283018868E-2</v>
      </c>
      <c r="I18" s="90">
        <v>3</v>
      </c>
      <c r="K18" s="36">
        <v>16</v>
      </c>
      <c r="L18" s="95">
        <v>323.69999999999993</v>
      </c>
      <c r="N18" s="111" t="s">
        <v>127</v>
      </c>
      <c r="O18" s="121">
        <f>IF(P18=0,0,Q18/P18)</f>
        <v>13.324175824175827</v>
      </c>
      <c r="P18" s="115">
        <v>91</v>
      </c>
      <c r="Q18" s="103">
        <v>1212.5000000000002</v>
      </c>
    </row>
    <row r="19" spans="1:17">
      <c r="A19" s="51" t="s">
        <v>195</v>
      </c>
      <c r="B19" s="44">
        <v>198</v>
      </c>
      <c r="C19" s="37">
        <f>IF(B$15=0,0,B19/B$15)</f>
        <v>0.46698113207547171</v>
      </c>
      <c r="E19" s="59" t="s">
        <v>77</v>
      </c>
      <c r="F19" s="56" t="s">
        <v>32</v>
      </c>
      <c r="G19" s="44">
        <v>3</v>
      </c>
      <c r="H19" s="129">
        <f>IF(B$15=0,0,G19/B$15)</f>
        <v>7.0754716981132077E-3</v>
      </c>
      <c r="I19" s="90">
        <v>1</v>
      </c>
      <c r="K19" s="36">
        <v>17</v>
      </c>
      <c r="L19" s="95">
        <v>359.09999999999991</v>
      </c>
      <c r="N19" s="111" t="s">
        <v>171</v>
      </c>
      <c r="O19" s="121">
        <f>IF(P19=0,0,Q19/P19)</f>
        <v>13.271698113207547</v>
      </c>
      <c r="P19" s="115">
        <v>53</v>
      </c>
      <c r="Q19" s="103">
        <v>703.4</v>
      </c>
    </row>
    <row r="20" spans="1:17">
      <c r="A20" s="51" t="s">
        <v>193</v>
      </c>
      <c r="B20" s="44">
        <v>141</v>
      </c>
      <c r="C20" s="37">
        <f>IF(B$15=0,0,B20/B$15)</f>
        <v>0.33254716981132076</v>
      </c>
      <c r="E20" s="59" t="s">
        <v>84</v>
      </c>
      <c r="F20" s="56" t="s">
        <v>39</v>
      </c>
      <c r="G20" s="44">
        <v>3</v>
      </c>
      <c r="H20" s="129">
        <f>IF(B$15=0,0,G20/B$15)</f>
        <v>7.0754716981132077E-3</v>
      </c>
      <c r="I20" s="90">
        <v>2</v>
      </c>
      <c r="K20" s="36">
        <v>18</v>
      </c>
      <c r="L20" s="95">
        <v>352.39999999999992</v>
      </c>
      <c r="N20" s="111" t="s">
        <v>172</v>
      </c>
      <c r="O20" s="121">
        <f>IF(P20=0,0,Q20/P20)</f>
        <v>12.07090909090909</v>
      </c>
      <c r="P20" s="115">
        <v>55</v>
      </c>
      <c r="Q20" s="103">
        <v>663.9</v>
      </c>
    </row>
    <row r="21" spans="1:17">
      <c r="A21" s="51" t="s">
        <v>194</v>
      </c>
      <c r="B21" s="44">
        <v>85</v>
      </c>
      <c r="C21" s="37">
        <f>IF(B$15=0,0,B21/B$15)</f>
        <v>0.20047169811320756</v>
      </c>
      <c r="E21" s="59" t="s">
        <v>91</v>
      </c>
      <c r="F21" s="56" t="s">
        <v>46</v>
      </c>
      <c r="G21" s="44">
        <v>3</v>
      </c>
      <c r="H21" s="129">
        <f>IF(B$15=0,0,G21/B$15)</f>
        <v>7.0754716981132077E-3</v>
      </c>
      <c r="I21" s="90">
        <v>8</v>
      </c>
      <c r="K21" s="36">
        <v>19</v>
      </c>
      <c r="L21" s="95">
        <v>383.19999999999993</v>
      </c>
      <c r="N21" s="111" t="s">
        <v>161</v>
      </c>
      <c r="O21" s="121">
        <f>IF(P21=0,0,Q21/P21)</f>
        <v>11.755555555555556</v>
      </c>
      <c r="P21" s="115">
        <v>36</v>
      </c>
      <c r="Q21" s="103">
        <v>423.20000000000005</v>
      </c>
    </row>
    <row r="22" spans="1:17">
      <c r="A22" s="51" t="s">
        <v>5</v>
      </c>
      <c r="B22" s="48">
        <f>IF(B$15=0,0,C22/B$15)</f>
        <v>8161.3207547169814</v>
      </c>
      <c r="C22" s="39">
        <v>3460400</v>
      </c>
      <c r="E22" s="59" t="s">
        <v>92</v>
      </c>
      <c r="F22" s="56" t="s">
        <v>47</v>
      </c>
      <c r="G22" s="44">
        <v>3</v>
      </c>
      <c r="H22" s="129">
        <f>IF(B$15=0,0,G22/B$15)</f>
        <v>7.0754716981132077E-3</v>
      </c>
      <c r="I22" s="90">
        <v>4</v>
      </c>
      <c r="K22" s="36">
        <v>20</v>
      </c>
      <c r="L22" s="95">
        <v>365.49999999999994</v>
      </c>
      <c r="N22" s="111" t="s">
        <v>170</v>
      </c>
      <c r="O22" s="121">
        <f>IF(P22=0,0,Q22/P22)</f>
        <v>-3.4128205128205127</v>
      </c>
      <c r="P22" s="115">
        <v>39</v>
      </c>
      <c r="Q22" s="103">
        <v>-133.1</v>
      </c>
    </row>
    <row r="23" spans="1:17">
      <c r="A23" s="52" t="s">
        <v>177</v>
      </c>
      <c r="B23" s="136">
        <f>IF($B$15-B$14=0,0,C23/($B$15-B$14))</f>
        <v>8586.2190812720855</v>
      </c>
      <c r="C23" s="137">
        <v>2429900</v>
      </c>
      <c r="E23" s="59" t="s">
        <v>74</v>
      </c>
      <c r="F23" s="56" t="s">
        <v>29</v>
      </c>
      <c r="G23" s="44">
        <v>2</v>
      </c>
      <c r="H23" s="129">
        <f>IF(B$15=0,0,G23/B$15)</f>
        <v>4.7169811320754715E-3</v>
      </c>
      <c r="I23" s="90">
        <v>4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>
      <c r="A24" s="52" t="s">
        <v>178</v>
      </c>
      <c r="B24" s="136">
        <f>IF(B$14=0,0,C24/B$14)</f>
        <v>7308.510638297872</v>
      </c>
      <c r="C24" s="137">
        <v>1030500</v>
      </c>
      <c r="E24" s="59" t="s">
        <v>79</v>
      </c>
      <c r="F24" s="56" t="s">
        <v>34</v>
      </c>
      <c r="G24" s="44">
        <v>2</v>
      </c>
      <c r="H24" s="129">
        <f>IF(B$15=0,0,G24/B$15)</f>
        <v>4.7169811320754715E-3</v>
      </c>
      <c r="I24" s="90">
        <v>9</v>
      </c>
      <c r="K24" s="36">
        <v>22</v>
      </c>
      <c r="L24" s="95">
        <v>414.2999999999999</v>
      </c>
    </row>
    <row r="25" spans="1:17">
      <c r="A25" s="52" t="s">
        <v>176</v>
      </c>
      <c r="B25" s="136">
        <f>IF(B$16=0,0,C25/B$16)</f>
        <v>-7676.687116564417</v>
      </c>
      <c r="C25" s="137">
        <v>-1251300</v>
      </c>
      <c r="E25" s="59" t="s">
        <v>85</v>
      </c>
      <c r="F25" s="56" t="s">
        <v>40</v>
      </c>
      <c r="G25" s="44">
        <v>2</v>
      </c>
      <c r="H25" s="129">
        <f>IF(B$15=0,0,G25/B$15)</f>
        <v>4.7169811320754715E-3</v>
      </c>
      <c r="I25" s="90">
        <v>4</v>
      </c>
      <c r="K25" s="36">
        <v>23</v>
      </c>
      <c r="L25" s="95">
        <v>356.2999999999999</v>
      </c>
    </row>
    <row r="26" spans="1:17">
      <c r="A26" s="51" t="s">
        <v>164</v>
      </c>
      <c r="B26" s="44">
        <v>6</v>
      </c>
      <c r="C26" s="131">
        <v>2</v>
      </c>
      <c r="E26" s="59" t="s">
        <v>88</v>
      </c>
      <c r="F26" s="56" t="s">
        <v>43</v>
      </c>
      <c r="G26" s="44">
        <v>2</v>
      </c>
      <c r="H26" s="129">
        <f>IF(B$15=0,0,G26/B$15)</f>
        <v>4.7169811320754715E-3</v>
      </c>
      <c r="I26" s="90">
        <v>2</v>
      </c>
      <c r="K26" s="36">
        <v>24</v>
      </c>
      <c r="L26" s="95">
        <v>329.89999999999992</v>
      </c>
    </row>
    <row r="27" spans="1:17">
      <c r="A27" s="51" t="s">
        <v>165</v>
      </c>
      <c r="B27" s="44">
        <v>43</v>
      </c>
      <c r="C27" s="131">
        <v>10</v>
      </c>
      <c r="E27" s="59" t="s">
        <v>95</v>
      </c>
      <c r="F27" s="56" t="s">
        <v>50</v>
      </c>
      <c r="G27" s="44">
        <v>2</v>
      </c>
      <c r="H27" s="129">
        <f>IF(B$15=0,0,G27/B$15)</f>
        <v>4.7169811320754715E-3</v>
      </c>
      <c r="I27" s="90">
        <v>2</v>
      </c>
      <c r="K27" s="36">
        <v>25</v>
      </c>
      <c r="L27" s="95">
        <v>294.99999999999994</v>
      </c>
    </row>
    <row r="28" spans="1:17">
      <c r="A28" s="86" t="s">
        <v>138</v>
      </c>
      <c r="B28" s="156">
        <v>7</v>
      </c>
      <c r="C28" s="157"/>
      <c r="E28" s="59" t="s">
        <v>90</v>
      </c>
      <c r="F28" s="56" t="s">
        <v>45</v>
      </c>
      <c r="G28" s="44">
        <v>1</v>
      </c>
      <c r="H28" s="129">
        <f>IF(B$15=0,0,G28/B$15)</f>
        <v>2.3584905660377358E-3</v>
      </c>
      <c r="I28" s="90">
        <v>3</v>
      </c>
      <c r="K28" s="36">
        <v>26</v>
      </c>
      <c r="L28" s="95">
        <v>329.29999999999995</v>
      </c>
    </row>
    <row r="29" spans="1:17">
      <c r="A29" s="54" t="s">
        <v>192</v>
      </c>
      <c r="B29" s="154">
        <v>149100</v>
      </c>
      <c r="C29" s="155"/>
      <c r="E29" s="59" t="s">
        <v>106</v>
      </c>
      <c r="F29" s="56" t="s">
        <v>113</v>
      </c>
      <c r="G29" s="44">
        <v>1</v>
      </c>
      <c r="H29" s="129">
        <f>IF(B$15=0,0,G29/B$15)</f>
        <v>2.3584905660377358E-3</v>
      </c>
      <c r="I29" s="90">
        <v>1</v>
      </c>
      <c r="K29" s="36">
        <v>27</v>
      </c>
      <c r="L29" s="95">
        <v>362.4</v>
      </c>
    </row>
    <row r="30" spans="1:17">
      <c r="A30" s="53" t="s">
        <v>139</v>
      </c>
      <c r="B30" s="61">
        <v>1</v>
      </c>
      <c r="C30" s="40">
        <f>IF(B$3=0,0,B30/B$3)</f>
        <v>8.1037277147487841E-4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>
      <c r="A32" s="86" t="s">
        <v>183</v>
      </c>
      <c r="B32" s="144">
        <v>39</v>
      </c>
      <c r="C32" s="141">
        <f>IF(B$15=0,0,B32/B$15)</f>
        <v>9.1981132075471692E-2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>
      <c r="A33" s="51" t="s">
        <v>179</v>
      </c>
      <c r="B33" s="44">
        <v>75</v>
      </c>
      <c r="C33" s="37">
        <f t="shared" ref="C33:C44" si="2">IF(B$15=0,0,B33/B$15)</f>
        <v>0.17688679245283018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>
      <c r="A34" s="51" t="s">
        <v>180</v>
      </c>
      <c r="B34" s="145">
        <v>90</v>
      </c>
      <c r="C34" s="37">
        <f>IF(B$15=0,0,B34/B$15)</f>
        <v>0.21226415094339623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349.39999999999992</v>
      </c>
    </row>
    <row r="35" spans="1:12">
      <c r="A35" s="51" t="s">
        <v>181</v>
      </c>
      <c r="B35" s="145">
        <v>77</v>
      </c>
      <c r="C35" s="37">
        <f t="shared" si="2"/>
        <v>0.18160377358490565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>
      <c r="A36" s="51" t="s">
        <v>182</v>
      </c>
      <c r="B36" s="145">
        <v>61</v>
      </c>
      <c r="C36" s="37">
        <f t="shared" si="2"/>
        <v>0.14386792452830188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>
      <c r="A37" s="51" t="s">
        <v>184</v>
      </c>
      <c r="B37" s="145">
        <v>40</v>
      </c>
      <c r="C37" s="37">
        <f t="shared" si="2"/>
        <v>9.4339622641509441E-2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>
      <c r="A38" s="51" t="s">
        <v>185</v>
      </c>
      <c r="B38" s="145">
        <v>21</v>
      </c>
      <c r="C38" s="37">
        <f t="shared" si="2"/>
        <v>4.9528301886792456E-2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>
      <c r="A39" s="51" t="s">
        <v>186</v>
      </c>
      <c r="B39" s="145">
        <v>6</v>
      </c>
      <c r="C39" s="37">
        <f t="shared" si="2"/>
        <v>1.4150943396226415E-2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>
      <c r="A40" s="51" t="s">
        <v>187</v>
      </c>
      <c r="B40" s="145">
        <v>8</v>
      </c>
      <c r="C40" s="37">
        <f t="shared" si="2"/>
        <v>1.8867924528301886E-2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>
      <c r="A43" s="51" t="s">
        <v>190</v>
      </c>
      <c r="B43" s="145">
        <v>1</v>
      </c>
      <c r="C43" s="37">
        <f t="shared" si="2"/>
        <v>2.3584905660377358E-3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>
      <c r="A44" s="53" t="s">
        <v>191</v>
      </c>
      <c r="B44" s="140">
        <v>6</v>
      </c>
      <c r="C44" s="40">
        <f t="shared" si="2"/>
        <v>1.4150943396226415E-2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>
      <c r="K53" s="36">
        <v>51</v>
      </c>
      <c r="L53" s="95">
        <v>500.7999999999999</v>
      </c>
    </row>
    <row r="54" spans="5:12">
      <c r="K54" s="36">
        <v>52</v>
      </c>
      <c r="L54" s="95">
        <v>534.89999999999986</v>
      </c>
    </row>
    <row r="55" spans="5:12">
      <c r="K55" s="36">
        <v>53</v>
      </c>
      <c r="L55" s="95">
        <v>539.49999999999989</v>
      </c>
    </row>
    <row r="56" spans="5:12">
      <c r="K56" s="36">
        <v>54</v>
      </c>
      <c r="L56" s="95">
        <v>566.59999999999991</v>
      </c>
    </row>
    <row r="57" spans="5:12">
      <c r="K57" s="36">
        <v>55</v>
      </c>
      <c r="L57" s="95">
        <v>584.59999999999991</v>
      </c>
    </row>
    <row r="58" spans="5:12">
      <c r="K58" s="36">
        <v>56</v>
      </c>
      <c r="L58" s="95">
        <v>590.69999999999993</v>
      </c>
    </row>
    <row r="59" spans="5:12">
      <c r="K59" s="36">
        <v>57</v>
      </c>
      <c r="L59" s="95">
        <v>593.09999999999991</v>
      </c>
    </row>
    <row r="60" spans="5:12">
      <c r="K60" s="36">
        <v>58</v>
      </c>
      <c r="L60" s="95">
        <v>597.59999999999991</v>
      </c>
    </row>
    <row r="61" spans="5:12">
      <c r="K61" s="36">
        <v>59</v>
      </c>
      <c r="L61" s="95">
        <v>571.59999999999991</v>
      </c>
    </row>
    <row r="62" spans="5:12">
      <c r="K62" s="36">
        <v>60</v>
      </c>
      <c r="L62" s="95">
        <v>544.59999999999991</v>
      </c>
    </row>
    <row r="63" spans="5:12">
      <c r="K63" s="36">
        <v>61</v>
      </c>
      <c r="L63" s="95">
        <v>527.79999999999995</v>
      </c>
    </row>
    <row r="64" spans="5:12">
      <c r="K64" s="36">
        <v>62</v>
      </c>
      <c r="L64" s="95">
        <v>531.9</v>
      </c>
    </row>
    <row r="65" spans="11:12">
      <c r="K65" s="36">
        <v>63</v>
      </c>
      <c r="L65" s="95">
        <v>500.59999999999997</v>
      </c>
    </row>
    <row r="66" spans="11:12">
      <c r="K66" s="36">
        <v>64</v>
      </c>
      <c r="L66" s="95">
        <v>518.9</v>
      </c>
    </row>
    <row r="67" spans="11:12">
      <c r="K67" s="36">
        <v>65</v>
      </c>
      <c r="L67" s="95">
        <v>538.1</v>
      </c>
    </row>
    <row r="68" spans="11:12">
      <c r="K68" s="36">
        <v>66</v>
      </c>
      <c r="L68" s="95">
        <v>538.70000000000005</v>
      </c>
    </row>
    <row r="69" spans="11:12">
      <c r="K69" s="36">
        <v>67</v>
      </c>
      <c r="L69" s="95">
        <v>503.50000000000006</v>
      </c>
    </row>
    <row r="70" spans="11:12">
      <c r="K70" s="36">
        <v>68</v>
      </c>
      <c r="L70" s="95">
        <v>544.1</v>
      </c>
    </row>
    <row r="71" spans="11:12">
      <c r="K71" s="36">
        <v>69</v>
      </c>
      <c r="L71" s="95">
        <v>576.5</v>
      </c>
    </row>
    <row r="72" spans="11:12">
      <c r="K72" s="36">
        <v>70</v>
      </c>
      <c r="L72" s="95">
        <v>544.79999999999995</v>
      </c>
    </row>
    <row r="73" spans="11:12">
      <c r="K73" s="36">
        <v>71</v>
      </c>
      <c r="L73" s="95">
        <v>502.09999999999997</v>
      </c>
    </row>
    <row r="74" spans="11:12">
      <c r="K74" s="36">
        <v>72</v>
      </c>
      <c r="L74" s="95">
        <v>526.19999999999993</v>
      </c>
    </row>
    <row r="75" spans="11:12">
      <c r="K75" s="36">
        <v>73</v>
      </c>
      <c r="L75" s="95">
        <v>550.99999999999989</v>
      </c>
    </row>
    <row r="76" spans="11:12">
      <c r="K76" s="36">
        <v>74</v>
      </c>
      <c r="L76" s="95">
        <v>576.49999999999989</v>
      </c>
    </row>
    <row r="77" spans="11:12">
      <c r="K77" s="36">
        <v>75</v>
      </c>
      <c r="L77" s="95">
        <v>601.29999999999984</v>
      </c>
    </row>
    <row r="78" spans="11:12">
      <c r="K78" s="36">
        <v>76</v>
      </c>
      <c r="L78" s="95">
        <v>576.29999999999984</v>
      </c>
    </row>
    <row r="79" spans="11:12">
      <c r="K79" s="36">
        <v>77</v>
      </c>
      <c r="L79" s="95">
        <v>546.79999999999984</v>
      </c>
    </row>
    <row r="80" spans="11:12">
      <c r="K80" s="36">
        <v>78</v>
      </c>
      <c r="L80" s="95">
        <v>579.29999999999984</v>
      </c>
    </row>
    <row r="81" spans="11:12">
      <c r="K81" s="36">
        <v>79</v>
      </c>
      <c r="L81" s="95">
        <v>556.89999999999986</v>
      </c>
    </row>
    <row r="82" spans="11:12">
      <c r="K82" s="36">
        <v>80</v>
      </c>
      <c r="L82" s="95">
        <v>572.09999999999991</v>
      </c>
    </row>
    <row r="83" spans="11:12">
      <c r="K83" s="36">
        <v>81</v>
      </c>
      <c r="L83" s="95">
        <v>521.59999999999991</v>
      </c>
    </row>
    <row r="84" spans="11:12">
      <c r="K84" s="36">
        <v>82</v>
      </c>
      <c r="L84" s="95">
        <v>548.39999999999986</v>
      </c>
    </row>
    <row r="85" spans="11:12">
      <c r="K85" s="36">
        <v>83</v>
      </c>
      <c r="L85" s="95">
        <v>546.59999999999991</v>
      </c>
    </row>
    <row r="86" spans="11:12">
      <c r="K86" s="36">
        <v>84</v>
      </c>
      <c r="L86" s="95">
        <v>566.49999999999989</v>
      </c>
    </row>
    <row r="87" spans="11:12">
      <c r="K87" s="36">
        <v>85</v>
      </c>
      <c r="L87" s="95">
        <v>529.79999999999984</v>
      </c>
    </row>
    <row r="88" spans="11:12">
      <c r="K88" s="36">
        <v>86</v>
      </c>
      <c r="L88" s="95">
        <v>550.39999999999986</v>
      </c>
    </row>
    <row r="89" spans="11:12">
      <c r="K89" s="36">
        <v>87</v>
      </c>
      <c r="L89" s="95">
        <v>554.39999999999986</v>
      </c>
    </row>
    <row r="90" spans="11:12">
      <c r="K90" s="36">
        <v>88</v>
      </c>
      <c r="L90" s="95">
        <v>570.89999999999986</v>
      </c>
    </row>
    <row r="91" spans="11:12">
      <c r="K91" s="36">
        <v>89</v>
      </c>
      <c r="L91" s="95">
        <v>531.89999999999986</v>
      </c>
    </row>
    <row r="92" spans="11:12">
      <c r="K92" s="36">
        <v>90</v>
      </c>
      <c r="L92" s="95">
        <v>486.29999999999984</v>
      </c>
    </row>
    <row r="93" spans="11:12">
      <c r="K93" s="36">
        <v>91</v>
      </c>
      <c r="L93" s="95">
        <v>520.39999999999986</v>
      </c>
    </row>
    <row r="94" spans="11:12">
      <c r="K94" s="36">
        <v>92</v>
      </c>
      <c r="L94" s="95">
        <v>548.09999999999991</v>
      </c>
    </row>
    <row r="95" spans="11:12">
      <c r="K95" s="36">
        <v>93</v>
      </c>
      <c r="L95" s="95">
        <v>583.99999999999989</v>
      </c>
    </row>
    <row r="96" spans="11:12">
      <c r="K96" s="36">
        <v>94</v>
      </c>
      <c r="L96" s="95">
        <v>605.69999999999993</v>
      </c>
    </row>
    <row r="97" spans="11:12">
      <c r="K97" s="36">
        <v>95</v>
      </c>
      <c r="L97" s="95">
        <v>625.19999999999993</v>
      </c>
    </row>
    <row r="98" spans="11:12">
      <c r="K98" s="36">
        <v>96</v>
      </c>
      <c r="L98" s="95">
        <v>638.79999999999995</v>
      </c>
    </row>
    <row r="99" spans="11:12">
      <c r="K99" s="36">
        <v>97</v>
      </c>
      <c r="L99" s="95">
        <v>680.69999999999993</v>
      </c>
    </row>
    <row r="100" spans="11:12">
      <c r="K100" s="36">
        <v>98</v>
      </c>
      <c r="L100" s="95">
        <v>664.19999999999993</v>
      </c>
    </row>
    <row r="101" spans="11:12">
      <c r="K101" s="36">
        <v>99</v>
      </c>
      <c r="L101" s="95">
        <v>713.19999999999993</v>
      </c>
    </row>
    <row r="102" spans="11:12">
      <c r="K102" s="36">
        <v>100</v>
      </c>
      <c r="L102" s="95">
        <v>757.59999999999991</v>
      </c>
    </row>
    <row r="103" spans="11:12">
      <c r="K103" s="36">
        <v>101</v>
      </c>
      <c r="L103" s="95">
        <v>717.39999999999986</v>
      </c>
    </row>
    <row r="104" spans="11:12">
      <c r="K104" s="36">
        <v>102</v>
      </c>
      <c r="L104" s="95">
        <v>767.39999999999986</v>
      </c>
    </row>
    <row r="105" spans="11:12">
      <c r="K105" s="36">
        <v>103</v>
      </c>
      <c r="L105" s="95">
        <v>891.49999999999989</v>
      </c>
    </row>
    <row r="106" spans="11:12">
      <c r="K106" s="36">
        <v>104</v>
      </c>
      <c r="L106" s="95">
        <v>898.49999999999989</v>
      </c>
    </row>
    <row r="107" spans="11:12">
      <c r="K107" s="36">
        <v>105</v>
      </c>
      <c r="L107" s="95">
        <v>884.39999999999986</v>
      </c>
    </row>
    <row r="108" spans="11:12">
      <c r="K108" s="36">
        <v>106</v>
      </c>
      <c r="L108" s="95">
        <v>954.99999999999989</v>
      </c>
    </row>
    <row r="109" spans="11:12">
      <c r="K109" s="36">
        <v>107</v>
      </c>
      <c r="L109" s="95">
        <v>923.99999999999989</v>
      </c>
    </row>
    <row r="110" spans="11:12">
      <c r="K110" s="36">
        <v>108</v>
      </c>
      <c r="L110" s="95">
        <v>900.39999999999986</v>
      </c>
    </row>
    <row r="111" spans="11:12">
      <c r="K111" s="36">
        <v>109</v>
      </c>
      <c r="L111" s="95">
        <v>903.59999999999991</v>
      </c>
    </row>
    <row r="112" spans="11:12">
      <c r="K112" s="36">
        <v>110</v>
      </c>
      <c r="L112" s="95">
        <v>915.09999999999991</v>
      </c>
    </row>
    <row r="113" spans="11:12">
      <c r="K113" s="36">
        <v>111</v>
      </c>
      <c r="L113" s="95">
        <v>985.69999999999993</v>
      </c>
    </row>
    <row r="114" spans="11:12">
      <c r="K114" s="36">
        <v>112</v>
      </c>
      <c r="L114" s="95">
        <v>991.49999999999989</v>
      </c>
    </row>
    <row r="115" spans="11:12">
      <c r="K115" s="36">
        <v>113</v>
      </c>
      <c r="L115" s="95">
        <v>1038.3999999999999</v>
      </c>
    </row>
    <row r="116" spans="11:12">
      <c r="K116" s="36">
        <v>114</v>
      </c>
      <c r="L116" s="95">
        <v>1045.8</v>
      </c>
    </row>
    <row r="117" spans="11:12">
      <c r="K117" s="36">
        <v>115</v>
      </c>
      <c r="L117" s="95">
        <v>1047.2</v>
      </c>
    </row>
    <row r="118" spans="11:12">
      <c r="K118" s="36">
        <v>116</v>
      </c>
      <c r="L118" s="95">
        <v>1043.3</v>
      </c>
    </row>
    <row r="119" spans="11:12">
      <c r="K119" s="36">
        <v>117</v>
      </c>
      <c r="L119" s="95">
        <v>1060.0999999999999</v>
      </c>
    </row>
    <row r="120" spans="11:12">
      <c r="K120" s="36">
        <v>118</v>
      </c>
      <c r="L120" s="95">
        <v>1067.8</v>
      </c>
    </row>
    <row r="121" spans="11:12">
      <c r="K121" s="36">
        <v>119</v>
      </c>
      <c r="L121" s="95">
        <v>1027</v>
      </c>
    </row>
    <row r="122" spans="11:12">
      <c r="K122" s="36">
        <v>120</v>
      </c>
      <c r="L122" s="95">
        <v>1070.7</v>
      </c>
    </row>
    <row r="123" spans="11:12">
      <c r="K123" s="36">
        <v>121</v>
      </c>
      <c r="L123" s="95">
        <v>1071.8</v>
      </c>
    </row>
    <row r="124" spans="11:12">
      <c r="K124" s="36">
        <v>122</v>
      </c>
      <c r="L124" s="95">
        <v>1110.2</v>
      </c>
    </row>
    <row r="125" spans="11:12">
      <c r="K125" s="36">
        <v>123</v>
      </c>
      <c r="L125" s="95">
        <v>1077.4000000000001</v>
      </c>
    </row>
    <row r="126" spans="11:12">
      <c r="K126" s="36">
        <v>124</v>
      </c>
      <c r="L126" s="95">
        <v>1103.7</v>
      </c>
    </row>
    <row r="127" spans="11:12">
      <c r="K127" s="36">
        <v>125</v>
      </c>
      <c r="L127" s="95">
        <v>1125.2</v>
      </c>
    </row>
    <row r="128" spans="11:12">
      <c r="K128" s="36">
        <v>126</v>
      </c>
      <c r="L128" s="95">
        <v>1116.5</v>
      </c>
    </row>
    <row r="129" spans="11:12">
      <c r="K129" s="36">
        <v>127</v>
      </c>
      <c r="L129" s="95">
        <v>1093.9000000000001</v>
      </c>
    </row>
    <row r="130" spans="11:12">
      <c r="K130" s="36">
        <v>128</v>
      </c>
      <c r="L130" s="95">
        <v>1098.6000000000001</v>
      </c>
    </row>
    <row r="131" spans="11:12">
      <c r="K131" s="36">
        <v>129</v>
      </c>
      <c r="L131" s="95">
        <v>1120.8000000000002</v>
      </c>
    </row>
    <row r="132" spans="11:12">
      <c r="K132" s="36">
        <v>130</v>
      </c>
      <c r="L132" s="95">
        <v>1072.3000000000002</v>
      </c>
    </row>
    <row r="133" spans="11:12">
      <c r="K133" s="36">
        <v>131</v>
      </c>
      <c r="L133" s="95">
        <v>1138.5000000000002</v>
      </c>
    </row>
    <row r="134" spans="11:12">
      <c r="K134" s="36">
        <v>132</v>
      </c>
      <c r="L134" s="95">
        <v>1192.7000000000003</v>
      </c>
    </row>
    <row r="135" spans="11:12">
      <c r="K135" s="36">
        <v>133</v>
      </c>
      <c r="L135" s="95">
        <v>1208.4000000000003</v>
      </c>
    </row>
    <row r="136" spans="11:12">
      <c r="K136" s="36">
        <v>134</v>
      </c>
      <c r="L136" s="95">
        <v>1166.7000000000003</v>
      </c>
    </row>
    <row r="137" spans="11:12">
      <c r="K137" s="36">
        <v>135</v>
      </c>
      <c r="L137" s="95">
        <v>1154.1000000000004</v>
      </c>
    </row>
    <row r="138" spans="11:12">
      <c r="K138" s="36">
        <v>136</v>
      </c>
      <c r="L138" s="95">
        <v>1129.8000000000004</v>
      </c>
    </row>
    <row r="139" spans="11:12">
      <c r="K139" s="36">
        <v>137</v>
      </c>
      <c r="L139" s="95">
        <v>1111.1000000000004</v>
      </c>
    </row>
    <row r="140" spans="11:12">
      <c r="K140" s="36">
        <v>138</v>
      </c>
      <c r="L140" s="95">
        <v>1174.7000000000003</v>
      </c>
    </row>
    <row r="141" spans="11:12">
      <c r="K141" s="36">
        <v>139</v>
      </c>
      <c r="L141" s="95">
        <v>1218.3000000000002</v>
      </c>
    </row>
    <row r="142" spans="11:12">
      <c r="K142" s="36">
        <v>140</v>
      </c>
      <c r="L142" s="95">
        <v>1245.7000000000003</v>
      </c>
    </row>
    <row r="143" spans="11:12">
      <c r="K143" s="36">
        <v>141</v>
      </c>
      <c r="L143" s="95">
        <v>1262.8000000000002</v>
      </c>
    </row>
    <row r="144" spans="11:12">
      <c r="K144" s="36">
        <v>142</v>
      </c>
      <c r="L144" s="95">
        <v>1242.8000000000002</v>
      </c>
    </row>
    <row r="145" spans="11:12">
      <c r="K145" s="36">
        <v>143</v>
      </c>
      <c r="L145" s="95">
        <v>1197.3000000000002</v>
      </c>
    </row>
    <row r="146" spans="11:12">
      <c r="K146" s="36">
        <v>144</v>
      </c>
      <c r="L146" s="95">
        <v>1171.1000000000001</v>
      </c>
    </row>
    <row r="147" spans="11:12">
      <c r="K147" s="36">
        <v>145</v>
      </c>
      <c r="L147" s="95">
        <v>1175.0000000000002</v>
      </c>
    </row>
    <row r="148" spans="11:12">
      <c r="K148" s="36">
        <v>146</v>
      </c>
      <c r="L148" s="95">
        <v>1172.2000000000003</v>
      </c>
    </row>
    <row r="149" spans="11:12">
      <c r="K149" s="36">
        <v>147</v>
      </c>
      <c r="L149" s="95">
        <v>1141.3000000000002</v>
      </c>
    </row>
    <row r="150" spans="11:12">
      <c r="K150" s="36">
        <v>148</v>
      </c>
      <c r="L150" s="95">
        <v>1145.0000000000002</v>
      </c>
    </row>
    <row r="151" spans="11:12">
      <c r="K151" s="36">
        <v>149</v>
      </c>
      <c r="L151" s="95">
        <v>1159.6000000000001</v>
      </c>
    </row>
    <row r="152" spans="11:12">
      <c r="K152" s="36">
        <v>150</v>
      </c>
      <c r="L152" s="95">
        <v>1171.0000000000002</v>
      </c>
    </row>
    <row r="153" spans="11:12">
      <c r="K153" s="36">
        <v>151</v>
      </c>
      <c r="L153" s="95">
        <v>1213.5000000000002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34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127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132</v>
      </c>
      <c r="C2" s="163"/>
      <c r="E2" s="58" t="s">
        <v>66</v>
      </c>
      <c r="F2" s="55" t="s">
        <v>22</v>
      </c>
      <c r="G2" s="43">
        <v>280</v>
      </c>
      <c r="H2" s="128">
        <f>IF(B$15=0,0,G2/B$15)</f>
        <v>0.83582089552238803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-1558.7786259541986</v>
      </c>
      <c r="P2" s="114">
        <v>131</v>
      </c>
      <c r="Q2" s="98">
        <v>-204200</v>
      </c>
    </row>
    <row r="3" spans="1:17">
      <c r="A3" s="51" t="s">
        <v>8</v>
      </c>
      <c r="B3" s="164">
        <v>1108</v>
      </c>
      <c r="C3" s="165"/>
      <c r="E3" s="59" t="s">
        <v>72</v>
      </c>
      <c r="F3" s="56" t="s">
        <v>27</v>
      </c>
      <c r="G3" s="44">
        <v>192</v>
      </c>
      <c r="H3" s="129">
        <f>IF(B$15=0,0,G3/B$15)</f>
        <v>0.57313432835820899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1651.937984496124</v>
      </c>
      <c r="P3" s="115">
        <v>129</v>
      </c>
      <c r="Q3" s="99">
        <v>213100</v>
      </c>
    </row>
    <row r="4" spans="1:17">
      <c r="A4" s="51" t="s">
        <v>6</v>
      </c>
      <c r="B4" s="166">
        <v>90.399999999999807</v>
      </c>
      <c r="C4" s="167"/>
      <c r="E4" s="59" t="s">
        <v>166</v>
      </c>
      <c r="F4" s="56" t="s">
        <v>167</v>
      </c>
      <c r="G4" s="44">
        <v>134</v>
      </c>
      <c r="H4" s="129">
        <f>IF(B$15=0,0,G4/B$15)</f>
        <v>0.4</v>
      </c>
      <c r="I4" s="90">
        <v>4</v>
      </c>
      <c r="K4" s="36">
        <v>2</v>
      </c>
      <c r="L4" s="95">
        <v>-34.299999999999997</v>
      </c>
      <c r="N4" s="111" t="s">
        <v>132</v>
      </c>
      <c r="O4" s="118">
        <f t="shared" si="0"/>
        <v>-283.89830508474574</v>
      </c>
      <c r="P4" s="115">
        <v>118</v>
      </c>
      <c r="Q4" s="99">
        <v>-33500</v>
      </c>
    </row>
    <row r="5" spans="1:17">
      <c r="A5" s="51" t="s">
        <v>7</v>
      </c>
      <c r="B5" s="168">
        <f>IF(B$2=0,0,B$4/B$2)</f>
        <v>0.68484848484848337</v>
      </c>
      <c r="C5" s="169"/>
      <c r="E5" s="59" t="s">
        <v>64</v>
      </c>
      <c r="F5" s="56" t="s">
        <v>20</v>
      </c>
      <c r="G5" s="44">
        <v>127</v>
      </c>
      <c r="H5" s="129">
        <f>IF(B$15=0,0,G5/B$15)</f>
        <v>0.37910447761194027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317.85714285714283</v>
      </c>
      <c r="P5" s="115">
        <v>112</v>
      </c>
      <c r="Q5" s="99">
        <v>35600</v>
      </c>
    </row>
    <row r="6" spans="1:17">
      <c r="A6" s="51" t="s">
        <v>1</v>
      </c>
      <c r="B6" s="158">
        <f>IF(B$2=0,0,(B$7*1+B$8*2+B$9*3)/B$2)</f>
        <v>1.946969696969697</v>
      </c>
      <c r="C6" s="159"/>
      <c r="E6" s="59" t="s">
        <v>68</v>
      </c>
      <c r="F6" s="56" t="s">
        <v>12</v>
      </c>
      <c r="G6" s="44">
        <v>92</v>
      </c>
      <c r="H6" s="129">
        <f>IF(B$15=0,0,G6/B$15)</f>
        <v>0.2746268656716418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-960.78431372549016</v>
      </c>
      <c r="P6" s="115">
        <v>102</v>
      </c>
      <c r="Q6" s="99">
        <v>-98000</v>
      </c>
    </row>
    <row r="7" spans="1:17">
      <c r="A7" s="51" t="s">
        <v>2</v>
      </c>
      <c r="B7" s="44">
        <v>46</v>
      </c>
      <c r="C7" s="37">
        <f t="shared" ref="C7:C10" si="1">IF(B$2=0,0,B7/B$2)</f>
        <v>0.34848484848484851</v>
      </c>
      <c r="E7" s="59" t="s">
        <v>67</v>
      </c>
      <c r="F7" s="56" t="s">
        <v>23</v>
      </c>
      <c r="G7" s="44">
        <v>71</v>
      </c>
      <c r="H7" s="129">
        <f>IF(B$15=0,0,G7/B$15)</f>
        <v>0.21194029850746268</v>
      </c>
      <c r="I7" s="90">
        <v>13</v>
      </c>
      <c r="K7" s="36">
        <v>5</v>
      </c>
      <c r="L7" s="95">
        <v>-11.299999999999994</v>
      </c>
      <c r="N7" s="112" t="s">
        <v>135</v>
      </c>
      <c r="O7" s="119">
        <f t="shared" si="0"/>
        <v>1518.3908045977012</v>
      </c>
      <c r="P7" s="116">
        <v>87</v>
      </c>
      <c r="Q7" s="100">
        <v>132100</v>
      </c>
    </row>
    <row r="8" spans="1:17">
      <c r="A8" s="51" t="s">
        <v>3</v>
      </c>
      <c r="B8" s="44">
        <v>47</v>
      </c>
      <c r="C8" s="37">
        <f t="shared" si="1"/>
        <v>0.35606060606060608</v>
      </c>
      <c r="E8" s="59" t="s">
        <v>69</v>
      </c>
      <c r="F8" s="56" t="s">
        <v>24</v>
      </c>
      <c r="G8" s="44">
        <v>41</v>
      </c>
      <c r="H8" s="129">
        <f>IF(B$15=0,0,G8/B$15)</f>
        <v>0.12238805970149254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>
      <c r="A9" s="52" t="s">
        <v>4</v>
      </c>
      <c r="B9" s="45">
        <v>39</v>
      </c>
      <c r="C9" s="38">
        <f t="shared" si="1"/>
        <v>0.29545454545454547</v>
      </c>
      <c r="E9" s="59" t="s">
        <v>89</v>
      </c>
      <c r="F9" s="56" t="s">
        <v>44</v>
      </c>
      <c r="G9" s="44">
        <v>40</v>
      </c>
      <c r="H9" s="129">
        <f>IF(B$15=0,0,G9/B$15)</f>
        <v>0.11940298507462686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18</v>
      </c>
      <c r="C10" s="40">
        <f t="shared" si="1"/>
        <v>0.13636363636363635</v>
      </c>
      <c r="E10" s="59" t="s">
        <v>71</v>
      </c>
      <c r="F10" s="56" t="s">
        <v>26</v>
      </c>
      <c r="G10" s="44">
        <v>32</v>
      </c>
      <c r="H10" s="129">
        <f>IF(B$15=0,0,G10/B$15)</f>
        <v>9.5522388059701493E-2</v>
      </c>
      <c r="I10" s="90">
        <v>5</v>
      </c>
      <c r="K10" s="36">
        <v>8</v>
      </c>
      <c r="L10" s="95">
        <v>-56.79999999999999</v>
      </c>
      <c r="N10" s="110" t="s">
        <v>157</v>
      </c>
      <c r="O10" s="120">
        <f>IF(P10=0,0,Q10/P10)</f>
        <v>2.1800000000000006</v>
      </c>
      <c r="P10" s="114">
        <v>35</v>
      </c>
      <c r="Q10" s="102">
        <v>76.300000000000026</v>
      </c>
    </row>
    <row r="11" spans="1:17">
      <c r="A11" s="54" t="s">
        <v>121</v>
      </c>
      <c r="B11" s="47">
        <v>254</v>
      </c>
      <c r="C11" s="42">
        <f>IF(B$3=0,0,B11/B$3)</f>
        <v>0.2292418772563177</v>
      </c>
      <c r="E11" s="59" t="s">
        <v>70</v>
      </c>
      <c r="F11" s="56" t="s">
        <v>25</v>
      </c>
      <c r="G11" s="44">
        <v>30</v>
      </c>
      <c r="H11" s="129">
        <f>IF(B$15=0,0,G11/B$15)</f>
        <v>8.9552238805970144E-2</v>
      </c>
      <c r="I11" s="90">
        <v>10</v>
      </c>
      <c r="K11" s="36">
        <v>9</v>
      </c>
      <c r="L11" s="95">
        <v>-83.699999999999989</v>
      </c>
      <c r="N11" s="111" t="s">
        <v>158</v>
      </c>
      <c r="O11" s="121">
        <f>IF(P11=0,0,Q11/P11)</f>
        <v>5.2133333333333347</v>
      </c>
      <c r="P11" s="115">
        <v>45</v>
      </c>
      <c r="Q11" s="103">
        <v>234.60000000000005</v>
      </c>
    </row>
    <row r="12" spans="1:17">
      <c r="A12" s="51" t="s">
        <v>118</v>
      </c>
      <c r="B12" s="44">
        <v>338</v>
      </c>
      <c r="C12" s="37">
        <f>IF(B$3=0,0,B12/B$3)</f>
        <v>0.30505415162454874</v>
      </c>
      <c r="E12" s="59" t="s">
        <v>65</v>
      </c>
      <c r="F12" s="56" t="s">
        <v>21</v>
      </c>
      <c r="G12" s="44">
        <v>29</v>
      </c>
      <c r="H12" s="129">
        <f>IF(B$15=0,0,G12/B$15)</f>
        <v>8.6567164179104483E-2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>
      <c r="A13" s="50" t="s">
        <v>123</v>
      </c>
      <c r="B13" s="43">
        <f>B19</f>
        <v>126</v>
      </c>
      <c r="C13" s="35">
        <f>IF(B$11=0,0,B13/B$11)</f>
        <v>0.49606299212598426</v>
      </c>
      <c r="E13" s="59" t="s">
        <v>86</v>
      </c>
      <c r="F13" s="56" t="s">
        <v>41</v>
      </c>
      <c r="G13" s="44">
        <v>22</v>
      </c>
      <c r="H13" s="129">
        <f>IF(B$15=0,0,G13/B$15)</f>
        <v>6.5671641791044774E-2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129</v>
      </c>
      <c r="C14" s="35">
        <f>IF(B$12=0,0,B14/B$12)</f>
        <v>0.38165680473372782</v>
      </c>
      <c r="E14" s="59" t="s">
        <v>83</v>
      </c>
      <c r="F14" s="56" t="s">
        <v>38</v>
      </c>
      <c r="G14" s="44">
        <v>19</v>
      </c>
      <c r="H14" s="129">
        <f>IF(B$15=0,0,G14/B$15)</f>
        <v>5.6716417910447764E-2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335</v>
      </c>
      <c r="C15" s="35">
        <f>IF(B$3=0,0,B15/B$3)</f>
        <v>0.30234657039711194</v>
      </c>
      <c r="E15" s="59" t="s">
        <v>78</v>
      </c>
      <c r="F15" s="56" t="s">
        <v>33</v>
      </c>
      <c r="G15" s="44">
        <v>9</v>
      </c>
      <c r="H15" s="129">
        <f>IF(B$15=0,0,G15/B$15)</f>
        <v>2.6865671641791045E-2</v>
      </c>
      <c r="I15" s="90">
        <v>5</v>
      </c>
      <c r="K15" s="36">
        <v>13</v>
      </c>
      <c r="L15" s="95">
        <v>-86.8</v>
      </c>
      <c r="N15" s="110" t="s">
        <v>228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>
      <c r="A16" s="51" t="s">
        <v>13</v>
      </c>
      <c r="B16" s="44">
        <v>207</v>
      </c>
      <c r="C16" s="37">
        <f>IF(B$3=0,0,B16/B$3)</f>
        <v>0.18682310469314078</v>
      </c>
      <c r="E16" s="59" t="s">
        <v>91</v>
      </c>
      <c r="F16" s="56" t="s">
        <v>46</v>
      </c>
      <c r="G16" s="44">
        <v>9</v>
      </c>
      <c r="H16" s="129">
        <f>IF(B$15=0,0,G16/B$15)</f>
        <v>2.6865671641791045E-2</v>
      </c>
      <c r="I16" s="90">
        <v>2</v>
      </c>
      <c r="K16" s="36">
        <v>14</v>
      </c>
      <c r="L16" s="95">
        <v>-138.4</v>
      </c>
      <c r="N16" s="111" t="s">
        <v>274</v>
      </c>
      <c r="O16" s="121">
        <f t="shared" si="2"/>
        <v>64.3</v>
      </c>
      <c r="P16" s="115">
        <v>1</v>
      </c>
      <c r="Q16" s="103">
        <v>64.3</v>
      </c>
    </row>
    <row r="17" spans="1:17">
      <c r="A17" s="51" t="s">
        <v>12</v>
      </c>
      <c r="B17" s="44">
        <v>139</v>
      </c>
      <c r="C17" s="37">
        <f>IF(B$15=0,0,B17/B$15)</f>
        <v>0.41492537313432837</v>
      </c>
      <c r="E17" s="59" t="s">
        <v>81</v>
      </c>
      <c r="F17" s="56" t="s">
        <v>36</v>
      </c>
      <c r="G17" s="44">
        <v>8</v>
      </c>
      <c r="H17" s="129">
        <f>IF(B$15=0,0,G17/B$15)</f>
        <v>2.3880597014925373E-2</v>
      </c>
      <c r="I17" s="90">
        <v>2</v>
      </c>
      <c r="K17" s="36">
        <v>15</v>
      </c>
      <c r="L17" s="95">
        <v>-144.30000000000001</v>
      </c>
      <c r="N17" s="111" t="s">
        <v>197</v>
      </c>
      <c r="O17" s="121">
        <f t="shared" si="2"/>
        <v>16.62857142857143</v>
      </c>
      <c r="P17" s="115">
        <v>14</v>
      </c>
      <c r="Q17" s="103">
        <v>232.8</v>
      </c>
    </row>
    <row r="18" spans="1:17">
      <c r="A18" s="51" t="s">
        <v>11</v>
      </c>
      <c r="B18" s="44">
        <v>196</v>
      </c>
      <c r="C18" s="37">
        <f>IF(B$15=0,0,B18/B$15)</f>
        <v>0.58507462686567169</v>
      </c>
      <c r="E18" s="59" t="s">
        <v>79</v>
      </c>
      <c r="F18" s="56" t="s">
        <v>34</v>
      </c>
      <c r="G18" s="44">
        <v>6</v>
      </c>
      <c r="H18" s="129">
        <f>IF(B$15=0,0,G18/B$15)</f>
        <v>1.7910447761194031E-2</v>
      </c>
      <c r="I18" s="90">
        <v>5</v>
      </c>
      <c r="K18" s="36">
        <v>16</v>
      </c>
      <c r="L18" s="95">
        <v>-187.3</v>
      </c>
      <c r="N18" s="111" t="s">
        <v>172</v>
      </c>
      <c r="O18" s="121">
        <f t="shared" si="2"/>
        <v>15.928260869565211</v>
      </c>
      <c r="P18" s="115">
        <v>46</v>
      </c>
      <c r="Q18" s="103">
        <v>732.6999999999997</v>
      </c>
    </row>
    <row r="19" spans="1:17">
      <c r="A19" s="51" t="s">
        <v>195</v>
      </c>
      <c r="B19" s="44">
        <v>126</v>
      </c>
      <c r="C19" s="37">
        <f>IF(B$15=0,0,B19/B$15)</f>
        <v>0.37611940298507462</v>
      </c>
      <c r="E19" s="59" t="s">
        <v>162</v>
      </c>
      <c r="F19" s="56" t="s">
        <v>163</v>
      </c>
      <c r="G19" s="44">
        <v>4</v>
      </c>
      <c r="H19" s="129">
        <f>IF(B$15=0,0,G19/B$15)</f>
        <v>1.1940298507462687E-2</v>
      </c>
      <c r="I19" s="90">
        <v>7</v>
      </c>
      <c r="K19" s="36">
        <v>17</v>
      </c>
      <c r="L19" s="95">
        <v>-179.70000000000002</v>
      </c>
      <c r="N19" s="111" t="s">
        <v>196</v>
      </c>
      <c r="O19" s="121">
        <f t="shared" si="2"/>
        <v>13.5</v>
      </c>
      <c r="P19" s="115">
        <v>5</v>
      </c>
      <c r="Q19" s="103">
        <v>67.5</v>
      </c>
    </row>
    <row r="20" spans="1:17">
      <c r="A20" s="51" t="s">
        <v>193</v>
      </c>
      <c r="B20" s="44">
        <v>129</v>
      </c>
      <c r="C20" s="37">
        <f>IF(B$15=0,0,B20/B$15)</f>
        <v>0.38507462686567162</v>
      </c>
      <c r="E20" s="59" t="s">
        <v>92</v>
      </c>
      <c r="F20" s="56" t="s">
        <v>47</v>
      </c>
      <c r="G20" s="44">
        <v>3</v>
      </c>
      <c r="H20" s="129">
        <f>IF(B$15=0,0,G20/B$15)</f>
        <v>8.9552238805970154E-3</v>
      </c>
      <c r="I20" s="90">
        <v>3</v>
      </c>
      <c r="K20" s="36">
        <v>18</v>
      </c>
      <c r="L20" s="95">
        <v>-112.90000000000002</v>
      </c>
      <c r="N20" s="111" t="s">
        <v>161</v>
      </c>
      <c r="O20" s="121">
        <f t="shared" si="2"/>
        <v>4.1851851851851842</v>
      </c>
      <c r="P20" s="115">
        <v>27</v>
      </c>
      <c r="Q20" s="103">
        <v>112.99999999999999</v>
      </c>
    </row>
    <row r="21" spans="1:17">
      <c r="A21" s="51" t="s">
        <v>194</v>
      </c>
      <c r="B21" s="44">
        <v>80</v>
      </c>
      <c r="C21" s="37">
        <f>IF(B$15=0,0,B21/B$15)</f>
        <v>0.23880597014925373</v>
      </c>
      <c r="E21" s="59" t="s">
        <v>74</v>
      </c>
      <c r="F21" s="56" t="s">
        <v>29</v>
      </c>
      <c r="G21" s="44">
        <v>2</v>
      </c>
      <c r="H21" s="129">
        <f>IF(B$15=0,0,G21/B$15)</f>
        <v>5.9701492537313433E-3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 t="shared" si="2"/>
        <v>3.5842105263157951</v>
      </c>
      <c r="P21" s="115">
        <v>38</v>
      </c>
      <c r="Q21" s="103">
        <v>136.20000000000022</v>
      </c>
    </row>
    <row r="22" spans="1:17">
      <c r="A22" s="51" t="s">
        <v>5</v>
      </c>
      <c r="B22" s="48">
        <f>IF(B$15=0,0,C22/B$15)</f>
        <v>8440.2985074626868</v>
      </c>
      <c r="C22" s="39">
        <v>2827500</v>
      </c>
      <c r="E22" s="59" t="s">
        <v>75</v>
      </c>
      <c r="F22" s="56" t="s">
        <v>30</v>
      </c>
      <c r="G22" s="44">
        <v>2</v>
      </c>
      <c r="H22" s="129">
        <f>IF(B$15=0,0,G22/B$15)</f>
        <v>5.9701492537313433E-3</v>
      </c>
      <c r="I22" s="90">
        <v>6</v>
      </c>
      <c r="K22" s="36">
        <v>20</v>
      </c>
      <c r="L22" s="95">
        <v>-96.000000000000028</v>
      </c>
      <c r="N22" s="111" t="s">
        <v>171</v>
      </c>
      <c r="O22" s="121">
        <f t="shared" si="2"/>
        <v>-0.33499999999999791</v>
      </c>
      <c r="P22" s="115">
        <v>40</v>
      </c>
      <c r="Q22" s="103">
        <v>-13.399999999999917</v>
      </c>
    </row>
    <row r="23" spans="1:17">
      <c r="A23" s="52" t="s">
        <v>177</v>
      </c>
      <c r="B23" s="136">
        <f>IF($B$15-B$14=0,0,C23/($B$15-B$14))</f>
        <v>9148.5436893203878</v>
      </c>
      <c r="C23" s="137">
        <v>1884600</v>
      </c>
      <c r="E23" s="59" t="s">
        <v>73</v>
      </c>
      <c r="F23" s="56" t="s">
        <v>28</v>
      </c>
      <c r="G23" s="44">
        <v>1</v>
      </c>
      <c r="H23" s="129">
        <f>IF(B$15=0,0,G23/B$15)</f>
        <v>2.9850746268656717E-3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 t="shared" si="2"/>
        <v>-13.324175824175827</v>
      </c>
      <c r="P23" s="115">
        <v>91</v>
      </c>
      <c r="Q23" s="103">
        <v>-1212.5000000000002</v>
      </c>
    </row>
    <row r="24" spans="1:17">
      <c r="A24" s="52" t="s">
        <v>178</v>
      </c>
      <c r="B24" s="136">
        <f>IF(B$14=0,0,C24/B$14)</f>
        <v>7309.3023255813951</v>
      </c>
      <c r="C24" s="137">
        <v>942900</v>
      </c>
      <c r="E24" s="59" t="s">
        <v>77</v>
      </c>
      <c r="F24" s="56" t="s">
        <v>32</v>
      </c>
      <c r="G24" s="44">
        <v>1</v>
      </c>
      <c r="H24" s="129">
        <f>IF(B$15=0,0,G24/B$15)</f>
        <v>2.9850746268656717E-3</v>
      </c>
      <c r="I24" s="90">
        <v>3</v>
      </c>
      <c r="K24" s="36">
        <v>22</v>
      </c>
      <c r="L24" s="95">
        <v>-38.400000000000034</v>
      </c>
    </row>
    <row r="25" spans="1:17">
      <c r="A25" s="52" t="s">
        <v>176</v>
      </c>
      <c r="B25" s="136">
        <f>IF(B$16=0,0,C25/B$16)</f>
        <v>-7874.8792270531403</v>
      </c>
      <c r="C25" s="137">
        <v>-1630100</v>
      </c>
      <c r="E25" s="59" t="s">
        <v>84</v>
      </c>
      <c r="F25" s="56" t="s">
        <v>39</v>
      </c>
      <c r="G25" s="44">
        <v>1</v>
      </c>
      <c r="H25" s="129">
        <f>IF(B$15=0,0,G25/B$15)</f>
        <v>2.9850746268656717E-3</v>
      </c>
      <c r="I25" s="90">
        <v>5</v>
      </c>
      <c r="K25" s="36">
        <v>23</v>
      </c>
      <c r="L25" s="95">
        <v>-37.600000000000037</v>
      </c>
    </row>
    <row r="26" spans="1:17">
      <c r="A26" s="51" t="s">
        <v>164</v>
      </c>
      <c r="B26" s="44">
        <v>7</v>
      </c>
      <c r="C26" s="131">
        <v>2</v>
      </c>
      <c r="E26" s="59" t="s">
        <v>90</v>
      </c>
      <c r="F26" s="56" t="s">
        <v>45</v>
      </c>
      <c r="G26" s="44">
        <v>1</v>
      </c>
      <c r="H26" s="129">
        <f>IF(B$15=0,0,G26/B$15)</f>
        <v>2.9850746268656717E-3</v>
      </c>
      <c r="I26" s="90">
        <v>2</v>
      </c>
      <c r="K26" s="36">
        <v>24</v>
      </c>
      <c r="L26" s="95">
        <v>-37.600000000000037</v>
      </c>
    </row>
    <row r="27" spans="1:17">
      <c r="A27" s="51" t="s">
        <v>165</v>
      </c>
      <c r="B27" s="44">
        <v>30</v>
      </c>
      <c r="C27" s="131">
        <v>6</v>
      </c>
      <c r="E27" s="59" t="s">
        <v>95</v>
      </c>
      <c r="F27" s="56" t="s">
        <v>50</v>
      </c>
      <c r="G27" s="44">
        <v>1</v>
      </c>
      <c r="H27" s="129">
        <f>IF(B$15=0,0,G27/B$15)</f>
        <v>2.9850746268656717E-3</v>
      </c>
      <c r="I27" s="90">
        <v>3</v>
      </c>
      <c r="K27" s="36">
        <v>25</v>
      </c>
      <c r="L27" s="95">
        <v>-10.700000000000038</v>
      </c>
    </row>
    <row r="28" spans="1:17">
      <c r="A28" s="86" t="s">
        <v>138</v>
      </c>
      <c r="B28" s="156">
        <v>8</v>
      </c>
      <c r="C28" s="157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>
      <c r="A29" s="54" t="s">
        <v>192</v>
      </c>
      <c r="B29" s="154">
        <v>91800</v>
      </c>
      <c r="C29" s="155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>
      <c r="A30" s="53" t="s">
        <v>139</v>
      </c>
      <c r="B30" s="61">
        <v>4</v>
      </c>
      <c r="C30" s="40">
        <f>IF(B$3=0,0,B30/B$3)</f>
        <v>3.6101083032490976E-3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>
      <c r="A32" s="86" t="s">
        <v>183</v>
      </c>
      <c r="B32" s="144">
        <v>23</v>
      </c>
      <c r="C32" s="141">
        <f>IF(B$15=0,0,B32/B$15)</f>
        <v>6.8656716417910449E-2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>
      <c r="A33" s="51" t="s">
        <v>179</v>
      </c>
      <c r="B33" s="44">
        <v>53</v>
      </c>
      <c r="C33" s="37">
        <f t="shared" ref="C33:C44" si="3">IF(B$15=0,0,B33/B$15)</f>
        <v>0.15820895522388059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>
      <c r="A34" s="51" t="s">
        <v>180</v>
      </c>
      <c r="B34" s="145">
        <v>69</v>
      </c>
      <c r="C34" s="37">
        <f>IF(B$15=0,0,B34/B$15)</f>
        <v>0.20597014925373133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>
      <c r="A35" s="51" t="s">
        <v>181</v>
      </c>
      <c r="B35" s="145">
        <v>72</v>
      </c>
      <c r="C35" s="37">
        <f t="shared" si="3"/>
        <v>0.21492537313432836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>
      <c r="A36" s="51" t="s">
        <v>182</v>
      </c>
      <c r="B36" s="145">
        <v>50</v>
      </c>
      <c r="C36" s="37">
        <f t="shared" si="3"/>
        <v>0.14925373134328357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>
      <c r="A37" s="51" t="s">
        <v>184</v>
      </c>
      <c r="B37" s="145">
        <v>38</v>
      </c>
      <c r="C37" s="37">
        <f t="shared" si="3"/>
        <v>0.11343283582089553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>
      <c r="A38" s="51" t="s">
        <v>185</v>
      </c>
      <c r="B38" s="145">
        <v>10</v>
      </c>
      <c r="C38" s="37">
        <f t="shared" si="3"/>
        <v>2.9850746268656716E-2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>
      <c r="A39" s="51" t="s">
        <v>186</v>
      </c>
      <c r="B39" s="145">
        <v>8</v>
      </c>
      <c r="C39" s="37">
        <f t="shared" si="3"/>
        <v>2.3880597014925373E-2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>
      <c r="A40" s="51" t="s">
        <v>187</v>
      </c>
      <c r="B40" s="145">
        <v>5</v>
      </c>
      <c r="C40" s="37">
        <f t="shared" si="3"/>
        <v>1.4925373134328358E-2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>
      <c r="A41" s="51" t="s">
        <v>188</v>
      </c>
      <c r="B41" s="145">
        <v>1</v>
      </c>
      <c r="C41" s="37">
        <f t="shared" si="3"/>
        <v>2.9850746268656717E-3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>
      <c r="A42" s="51" t="s">
        <v>189</v>
      </c>
      <c r="B42" s="145">
        <v>2</v>
      </c>
      <c r="C42" s="37">
        <f t="shared" si="3"/>
        <v>5.9701492537313433E-3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>
      <c r="A44" s="53" t="s">
        <v>191</v>
      </c>
      <c r="B44" s="140">
        <v>4</v>
      </c>
      <c r="C44" s="40">
        <f t="shared" si="3"/>
        <v>1.1940298507462687E-2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>
      <c r="K53" s="36">
        <v>51</v>
      </c>
      <c r="L53" s="95">
        <v>269.99999999999983</v>
      </c>
    </row>
    <row r="54" spans="5:12">
      <c r="K54" s="36">
        <v>52</v>
      </c>
      <c r="L54" s="95">
        <v>298.09999999999985</v>
      </c>
    </row>
    <row r="55" spans="5:12">
      <c r="K55" s="36">
        <v>53</v>
      </c>
      <c r="L55" s="95">
        <v>324.29999999999984</v>
      </c>
    </row>
    <row r="56" spans="5:12">
      <c r="K56" s="36">
        <v>54</v>
      </c>
      <c r="L56" s="95">
        <v>346.59999999999985</v>
      </c>
    </row>
    <row r="57" spans="5:12">
      <c r="K57" s="36">
        <v>55</v>
      </c>
      <c r="L57" s="95">
        <v>295.09999999999985</v>
      </c>
    </row>
    <row r="58" spans="5:12">
      <c r="K58" s="36">
        <v>56</v>
      </c>
      <c r="L58" s="95">
        <v>319.89999999999986</v>
      </c>
    </row>
    <row r="59" spans="5:12">
      <c r="K59" s="36">
        <v>57</v>
      </c>
      <c r="L59" s="95">
        <v>291.09999999999985</v>
      </c>
    </row>
    <row r="60" spans="5:12">
      <c r="K60" s="36">
        <v>58</v>
      </c>
      <c r="L60" s="95">
        <v>274.39999999999986</v>
      </c>
    </row>
    <row r="61" spans="5:12">
      <c r="K61" s="36">
        <v>59</v>
      </c>
      <c r="L61" s="95">
        <v>261.39999999999986</v>
      </c>
    </row>
    <row r="62" spans="5:12">
      <c r="K62" s="36">
        <v>60</v>
      </c>
      <c r="L62" s="95">
        <v>208.69999999999987</v>
      </c>
    </row>
    <row r="63" spans="5:12">
      <c r="K63" s="36">
        <v>61</v>
      </c>
      <c r="L63" s="95">
        <v>245.89999999999986</v>
      </c>
    </row>
    <row r="64" spans="5:12">
      <c r="K64" s="36">
        <v>62</v>
      </c>
      <c r="L64" s="95">
        <v>193.09999999999985</v>
      </c>
    </row>
    <row r="65" spans="11:12">
      <c r="K65" s="36">
        <v>63</v>
      </c>
      <c r="L65" s="95">
        <v>248.19999999999985</v>
      </c>
    </row>
    <row r="66" spans="11:12">
      <c r="K66" s="36">
        <v>64</v>
      </c>
      <c r="L66" s="95">
        <v>238.99999999999986</v>
      </c>
    </row>
    <row r="67" spans="11:12">
      <c r="K67" s="36">
        <v>65</v>
      </c>
      <c r="L67" s="95">
        <v>274.49999999999989</v>
      </c>
    </row>
    <row r="68" spans="11:12">
      <c r="K68" s="36">
        <v>66</v>
      </c>
      <c r="L68" s="95">
        <v>287.09999999999991</v>
      </c>
    </row>
    <row r="69" spans="11:12">
      <c r="K69" s="36">
        <v>67</v>
      </c>
      <c r="L69" s="95">
        <v>315.7999999999999</v>
      </c>
    </row>
    <row r="70" spans="11:12">
      <c r="K70" s="36">
        <v>68</v>
      </c>
      <c r="L70" s="95">
        <v>350.2999999999999</v>
      </c>
    </row>
    <row r="71" spans="11:12">
      <c r="K71" s="36">
        <v>69</v>
      </c>
      <c r="L71" s="95">
        <v>384.09999999999991</v>
      </c>
    </row>
    <row r="72" spans="11:12">
      <c r="K72" s="36">
        <v>70</v>
      </c>
      <c r="L72" s="95">
        <v>390.59999999999991</v>
      </c>
    </row>
    <row r="73" spans="11:12">
      <c r="K73" s="36">
        <v>71</v>
      </c>
      <c r="L73" s="95">
        <v>387.49999999999989</v>
      </c>
    </row>
    <row r="74" spans="11:12">
      <c r="K74" s="36">
        <v>72</v>
      </c>
      <c r="L74" s="95">
        <v>361.39999999999986</v>
      </c>
    </row>
    <row r="75" spans="11:12">
      <c r="K75" s="36">
        <v>73</v>
      </c>
      <c r="L75" s="95">
        <v>380.79999999999984</v>
      </c>
    </row>
    <row r="76" spans="11:12">
      <c r="K76" s="36">
        <v>74</v>
      </c>
      <c r="L76" s="95">
        <v>327.39999999999986</v>
      </c>
    </row>
    <row r="77" spans="11:12">
      <c r="K77" s="36">
        <v>75</v>
      </c>
      <c r="L77" s="95">
        <v>336.79999999999984</v>
      </c>
    </row>
    <row r="78" spans="11:12">
      <c r="K78" s="36">
        <v>76</v>
      </c>
      <c r="L78" s="95">
        <v>344.09999999999985</v>
      </c>
    </row>
    <row r="79" spans="11:12">
      <c r="K79" s="36">
        <v>77</v>
      </c>
      <c r="L79" s="95">
        <v>375.59999999999985</v>
      </c>
    </row>
    <row r="80" spans="11:12">
      <c r="K80" s="36">
        <v>78</v>
      </c>
      <c r="L80" s="95">
        <v>377.19999999999987</v>
      </c>
    </row>
    <row r="81" spans="11:12">
      <c r="K81" s="36">
        <v>79</v>
      </c>
      <c r="L81" s="95">
        <v>390.49999999999989</v>
      </c>
    </row>
    <row r="82" spans="11:12">
      <c r="K82" s="36">
        <v>80</v>
      </c>
      <c r="L82" s="95">
        <v>369.19999999999987</v>
      </c>
    </row>
    <row r="83" spans="11:12">
      <c r="K83" s="36">
        <v>81</v>
      </c>
      <c r="L83" s="95">
        <v>374.2999999999999</v>
      </c>
    </row>
    <row r="84" spans="11:12">
      <c r="K84" s="36">
        <v>82</v>
      </c>
      <c r="L84" s="95">
        <v>344.69999999999987</v>
      </c>
    </row>
    <row r="85" spans="11:12">
      <c r="K85" s="36">
        <v>83</v>
      </c>
      <c r="L85" s="95">
        <v>328.7999999999999</v>
      </c>
    </row>
    <row r="86" spans="11:12">
      <c r="K86" s="36">
        <v>84</v>
      </c>
      <c r="L86" s="95">
        <v>283.59999999999991</v>
      </c>
    </row>
    <row r="87" spans="11:12">
      <c r="K87" s="36">
        <v>85</v>
      </c>
      <c r="L87" s="95">
        <v>320.99999999999989</v>
      </c>
    </row>
    <row r="88" spans="11:12">
      <c r="K88" s="36">
        <v>86</v>
      </c>
      <c r="L88" s="95">
        <v>317.49999999999989</v>
      </c>
    </row>
    <row r="89" spans="11:12">
      <c r="K89" s="36">
        <v>87</v>
      </c>
      <c r="L89" s="95">
        <v>369.39999999999986</v>
      </c>
    </row>
    <row r="90" spans="11:12">
      <c r="K90" s="36">
        <v>88</v>
      </c>
      <c r="L90" s="95">
        <v>352.29999999999984</v>
      </c>
    </row>
    <row r="91" spans="11:12">
      <c r="K91" s="36">
        <v>89</v>
      </c>
      <c r="L91" s="95">
        <v>356.49999999999983</v>
      </c>
    </row>
    <row r="92" spans="11:12">
      <c r="K92" s="36">
        <v>90</v>
      </c>
      <c r="L92" s="95">
        <v>326.19999999999982</v>
      </c>
    </row>
    <row r="93" spans="11:12">
      <c r="K93" s="36">
        <v>91</v>
      </c>
      <c r="L93" s="95">
        <v>316.5999999999998</v>
      </c>
    </row>
    <row r="94" spans="11:12">
      <c r="K94" s="36">
        <v>92</v>
      </c>
      <c r="L94" s="95">
        <v>267.79999999999978</v>
      </c>
    </row>
    <row r="95" spans="11:12">
      <c r="K95" s="36">
        <v>93</v>
      </c>
      <c r="L95" s="95">
        <v>234.0999999999998</v>
      </c>
    </row>
    <row r="96" spans="11:12">
      <c r="K96" s="36">
        <v>94</v>
      </c>
      <c r="L96" s="95">
        <v>101.19999999999979</v>
      </c>
    </row>
    <row r="97" spans="11:12">
      <c r="K97" s="36">
        <v>95</v>
      </c>
      <c r="L97" s="95">
        <v>71.799999999999784</v>
      </c>
    </row>
    <row r="98" spans="11:12">
      <c r="K98" s="36">
        <v>96</v>
      </c>
      <c r="L98" s="95">
        <v>72.299999999999784</v>
      </c>
    </row>
    <row r="99" spans="11:12">
      <c r="K99" s="36">
        <v>97</v>
      </c>
      <c r="L99" s="95">
        <v>49.899999999999785</v>
      </c>
    </row>
    <row r="100" spans="11:12">
      <c r="K100" s="36">
        <v>98</v>
      </c>
      <c r="L100" s="95">
        <v>36.399999999999785</v>
      </c>
    </row>
    <row r="101" spans="11:12">
      <c r="K101" s="36">
        <v>99</v>
      </c>
      <c r="L101" s="95">
        <v>42.999999999999787</v>
      </c>
    </row>
    <row r="102" spans="11:12">
      <c r="K102" s="36">
        <v>100</v>
      </c>
      <c r="L102" s="95">
        <v>13.399999999999785</v>
      </c>
    </row>
    <row r="103" spans="11:12">
      <c r="K103" s="36">
        <v>101</v>
      </c>
      <c r="L103" s="95">
        <v>-34.400000000000212</v>
      </c>
    </row>
    <row r="104" spans="11:12">
      <c r="K104" s="36">
        <v>102</v>
      </c>
      <c r="L104" s="95">
        <v>-56.500000000000213</v>
      </c>
    </row>
    <row r="105" spans="11:12">
      <c r="K105" s="36">
        <v>103</v>
      </c>
      <c r="L105" s="95">
        <v>-31.500000000000213</v>
      </c>
    </row>
    <row r="106" spans="11:12">
      <c r="K106" s="36">
        <v>104</v>
      </c>
      <c r="L106" s="95">
        <v>-49.900000000000212</v>
      </c>
    </row>
    <row r="107" spans="11:12">
      <c r="K107" s="36">
        <v>105</v>
      </c>
      <c r="L107" s="95">
        <v>-48.80000000000021</v>
      </c>
    </row>
    <row r="108" spans="11:12">
      <c r="K108" s="36">
        <v>106</v>
      </c>
      <c r="L108" s="95">
        <v>-48.900000000000212</v>
      </c>
    </row>
    <row r="109" spans="11:12">
      <c r="K109" s="36">
        <v>107</v>
      </c>
      <c r="L109" s="95">
        <v>-18.500000000000213</v>
      </c>
    </row>
    <row r="110" spans="11:12">
      <c r="K110" s="36">
        <v>108</v>
      </c>
      <c r="L110" s="95">
        <v>-28.200000000000212</v>
      </c>
    </row>
    <row r="111" spans="11:12">
      <c r="K111" s="36">
        <v>109</v>
      </c>
      <c r="L111" s="95">
        <v>31.799999999999788</v>
      </c>
    </row>
    <row r="112" spans="11:12">
      <c r="K112" s="36">
        <v>110</v>
      </c>
      <c r="L112" s="95">
        <v>86.999999999999787</v>
      </c>
    </row>
    <row r="113" spans="11:12">
      <c r="K113" s="36">
        <v>111</v>
      </c>
      <c r="L113" s="95">
        <v>85.999999999999787</v>
      </c>
    </row>
    <row r="114" spans="11:12">
      <c r="K114" s="36">
        <v>112</v>
      </c>
      <c r="L114" s="95">
        <v>85.299999999999784</v>
      </c>
    </row>
    <row r="115" spans="11:12">
      <c r="K115" s="36">
        <v>113</v>
      </c>
      <c r="L115" s="95">
        <v>104.69999999999979</v>
      </c>
    </row>
    <row r="116" spans="11:12">
      <c r="K116" s="36">
        <v>114</v>
      </c>
      <c r="L116" s="95">
        <v>109.99999999999979</v>
      </c>
    </row>
    <row r="117" spans="11:12">
      <c r="K117" s="36">
        <v>115</v>
      </c>
      <c r="L117" s="95">
        <v>138.89999999999978</v>
      </c>
    </row>
    <row r="118" spans="11:12">
      <c r="K118" s="36">
        <v>116</v>
      </c>
      <c r="L118" s="95">
        <v>141.49999999999977</v>
      </c>
    </row>
    <row r="119" spans="11:12">
      <c r="K119" s="36">
        <v>117</v>
      </c>
      <c r="L119" s="95">
        <v>94.499999999999773</v>
      </c>
    </row>
    <row r="120" spans="11:12">
      <c r="K120" s="36">
        <v>118</v>
      </c>
      <c r="L120" s="95">
        <v>93.899999999999778</v>
      </c>
    </row>
    <row r="121" spans="11:12">
      <c r="K121" s="36">
        <v>119</v>
      </c>
      <c r="L121" s="95">
        <v>141.29999999999978</v>
      </c>
    </row>
    <row r="122" spans="11:12">
      <c r="K122" s="36">
        <v>120</v>
      </c>
      <c r="L122" s="95">
        <v>130.5999999999998</v>
      </c>
    </row>
    <row r="123" spans="11:12">
      <c r="K123" s="36">
        <v>121</v>
      </c>
      <c r="L123" s="95">
        <v>125.0999999999998</v>
      </c>
    </row>
    <row r="124" spans="11:12">
      <c r="K124" s="36">
        <v>122</v>
      </c>
      <c r="L124" s="95">
        <v>127.69999999999979</v>
      </c>
    </row>
    <row r="125" spans="11:12">
      <c r="K125" s="36">
        <v>123</v>
      </c>
      <c r="L125" s="95">
        <v>154.4999999999998</v>
      </c>
    </row>
    <row r="126" spans="11:12">
      <c r="K126" s="36">
        <v>124</v>
      </c>
      <c r="L126" s="95">
        <v>172.5999999999998</v>
      </c>
    </row>
    <row r="127" spans="11:12">
      <c r="K127" s="36">
        <v>125</v>
      </c>
      <c r="L127" s="95">
        <v>119.9999999999998</v>
      </c>
    </row>
    <row r="128" spans="11:12">
      <c r="K128" s="36">
        <v>126</v>
      </c>
      <c r="L128" s="95">
        <v>77.999999999999801</v>
      </c>
    </row>
    <row r="129" spans="11:12">
      <c r="K129" s="36">
        <v>127</v>
      </c>
      <c r="L129" s="95">
        <v>83.199999999999804</v>
      </c>
    </row>
    <row r="130" spans="11:12">
      <c r="K130" s="36">
        <v>128</v>
      </c>
      <c r="L130" s="95">
        <v>31.699999999999804</v>
      </c>
    </row>
    <row r="131" spans="11:12">
      <c r="K131" s="36">
        <v>129</v>
      </c>
      <c r="L131" s="95">
        <v>24.699999999999804</v>
      </c>
    </row>
    <row r="132" spans="11:12">
      <c r="K132" s="36">
        <v>130</v>
      </c>
      <c r="L132" s="95">
        <v>11.799999999999804</v>
      </c>
    </row>
    <row r="133" spans="11:12">
      <c r="K133" s="36">
        <v>131</v>
      </c>
      <c r="L133" s="95">
        <v>33.499999999999801</v>
      </c>
    </row>
    <row r="134" spans="11:12">
      <c r="K134" s="36">
        <v>132</v>
      </c>
      <c r="L134" s="95">
        <v>90.399999999999807</v>
      </c>
    </row>
  </sheetData>
  <sortState xmlns:xlrd2="http://schemas.microsoft.com/office/spreadsheetml/2017/richdata2" ref="E2:I13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91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172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89</v>
      </c>
      <c r="C2" s="163"/>
      <c r="E2" s="58" t="s">
        <v>66</v>
      </c>
      <c r="F2" s="55" t="s">
        <v>22</v>
      </c>
      <c r="G2" s="43">
        <v>166</v>
      </c>
      <c r="H2" s="128">
        <f>IF(B$15=0,0,G2/B$15)</f>
        <v>0.78301886792452835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-193.18181818181819</v>
      </c>
      <c r="P2" s="114">
        <v>88</v>
      </c>
      <c r="Q2" s="98">
        <v>-17000</v>
      </c>
    </row>
    <row r="3" spans="1:17">
      <c r="A3" s="51" t="s">
        <v>8</v>
      </c>
      <c r="B3" s="164">
        <v>756</v>
      </c>
      <c r="C3" s="165"/>
      <c r="E3" s="59" t="s">
        <v>64</v>
      </c>
      <c r="F3" s="56" t="s">
        <v>20</v>
      </c>
      <c r="G3" s="44">
        <v>119</v>
      </c>
      <c r="H3" s="129">
        <f>IF(B$15=0,0,G3/B$15)</f>
        <v>0.56132075471698117</v>
      </c>
      <c r="I3" s="90">
        <v>6</v>
      </c>
      <c r="K3" s="36">
        <v>1</v>
      </c>
      <c r="L3" s="95">
        <v>-37.799999999999997</v>
      </c>
      <c r="N3" s="111" t="s">
        <v>131</v>
      </c>
      <c r="O3" s="118">
        <f t="shared" si="0"/>
        <v>-1228.409090909091</v>
      </c>
      <c r="P3" s="115">
        <v>88</v>
      </c>
      <c r="Q3" s="99">
        <v>-108100</v>
      </c>
    </row>
    <row r="4" spans="1:17">
      <c r="A4" s="51" t="s">
        <v>6</v>
      </c>
      <c r="B4" s="166">
        <v>-515.30000000000007</v>
      </c>
      <c r="C4" s="167"/>
      <c r="E4" s="59" t="s">
        <v>72</v>
      </c>
      <c r="F4" s="56" t="s">
        <v>27</v>
      </c>
      <c r="G4" s="44">
        <v>107</v>
      </c>
      <c r="H4" s="129">
        <f>IF(B$15=0,0,G4/B$15)</f>
        <v>0.50471698113207553</v>
      </c>
      <c r="I4" s="90">
        <v>10</v>
      </c>
      <c r="K4" s="36">
        <v>2</v>
      </c>
      <c r="L4" s="95">
        <v>-30.099999999999998</v>
      </c>
      <c r="N4" s="111" t="s">
        <v>132</v>
      </c>
      <c r="O4" s="118">
        <f t="shared" si="0"/>
        <v>618.29268292682923</v>
      </c>
      <c r="P4" s="115">
        <v>82</v>
      </c>
      <c r="Q4" s="99">
        <v>50700</v>
      </c>
    </row>
    <row r="5" spans="1:17">
      <c r="A5" s="51" t="s">
        <v>7</v>
      </c>
      <c r="B5" s="168">
        <f>IF(B$2=0,0,B$4/B$2)</f>
        <v>-5.7898876404494386</v>
      </c>
      <c r="C5" s="169"/>
      <c r="E5" s="59" t="s">
        <v>166</v>
      </c>
      <c r="F5" s="56" t="s">
        <v>167</v>
      </c>
      <c r="G5" s="44">
        <v>88</v>
      </c>
      <c r="H5" s="129">
        <f>IF(B$15=0,0,G5/B$15)</f>
        <v>0.41509433962264153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-385.18518518518516</v>
      </c>
      <c r="P5" s="115">
        <v>81</v>
      </c>
      <c r="Q5" s="99">
        <v>-31200</v>
      </c>
    </row>
    <row r="6" spans="1:17">
      <c r="A6" s="51" t="s">
        <v>1</v>
      </c>
      <c r="B6" s="158">
        <f>IF(B$2=0,0,(B$7*1+B$8*2+B$9*3)/B$2)</f>
        <v>2.1460674157303372</v>
      </c>
      <c r="C6" s="159"/>
      <c r="E6" s="59" t="s">
        <v>68</v>
      </c>
      <c r="F6" s="56" t="s">
        <v>12</v>
      </c>
      <c r="G6" s="44">
        <v>72</v>
      </c>
      <c r="H6" s="129">
        <f>IF(B$15=0,0,G6/B$15)</f>
        <v>0.33962264150943394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-2725</v>
      </c>
      <c r="P6" s="115">
        <v>76</v>
      </c>
      <c r="Q6" s="99">
        <v>-207100</v>
      </c>
    </row>
    <row r="7" spans="1:17">
      <c r="A7" s="51" t="s">
        <v>2</v>
      </c>
      <c r="B7" s="44">
        <v>20</v>
      </c>
      <c r="C7" s="37">
        <f t="shared" ref="C7:C10" si="1">IF(B$2=0,0,B7/B$2)</f>
        <v>0.2247191011235955</v>
      </c>
      <c r="E7" s="59" t="s">
        <v>67</v>
      </c>
      <c r="F7" s="56" t="s">
        <v>23</v>
      </c>
      <c r="G7" s="44">
        <v>62</v>
      </c>
      <c r="H7" s="129">
        <f>IF(B$15=0,0,G7/B$15)</f>
        <v>0.29245283018867924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-1295.3846153846155</v>
      </c>
      <c r="P7" s="116">
        <v>65</v>
      </c>
      <c r="Q7" s="100">
        <v>-84200</v>
      </c>
    </row>
    <row r="8" spans="1:17">
      <c r="A8" s="51" t="s">
        <v>3</v>
      </c>
      <c r="B8" s="44">
        <v>36</v>
      </c>
      <c r="C8" s="37">
        <f t="shared" si="1"/>
        <v>0.4044943820224719</v>
      </c>
      <c r="E8" s="59" t="s">
        <v>69</v>
      </c>
      <c r="F8" s="56" t="s">
        <v>24</v>
      </c>
      <c r="G8" s="44">
        <v>30</v>
      </c>
      <c r="H8" s="129">
        <f>IF(B$15=0,0,G8/B$15)</f>
        <v>0.14150943396226415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>
      <c r="A9" s="52" t="s">
        <v>4</v>
      </c>
      <c r="B9" s="45">
        <v>33</v>
      </c>
      <c r="C9" s="38">
        <f t="shared" si="1"/>
        <v>0.3707865168539326</v>
      </c>
      <c r="E9" s="59" t="s">
        <v>70</v>
      </c>
      <c r="F9" s="56" t="s">
        <v>25</v>
      </c>
      <c r="G9" s="44">
        <v>26</v>
      </c>
      <c r="H9" s="129">
        <f>IF(B$15=0,0,G9/B$15)</f>
        <v>0.12264150943396226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7</v>
      </c>
      <c r="C10" s="40">
        <f t="shared" si="1"/>
        <v>7.8651685393258425E-2</v>
      </c>
      <c r="E10" s="59" t="s">
        <v>65</v>
      </c>
      <c r="F10" s="56" t="s">
        <v>21</v>
      </c>
      <c r="G10" s="44">
        <v>25</v>
      </c>
      <c r="H10" s="129">
        <f>IF(B$15=0,0,G10/B$15)</f>
        <v>0.11792452830188679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-3.9861111111111125</v>
      </c>
      <c r="P10" s="114">
        <v>36</v>
      </c>
      <c r="Q10" s="102">
        <v>-143.50000000000006</v>
      </c>
    </row>
    <row r="11" spans="1:17">
      <c r="A11" s="54" t="s">
        <v>121</v>
      </c>
      <c r="B11" s="47">
        <v>213</v>
      </c>
      <c r="C11" s="42">
        <f>IF(B$3=0,0,B11/B$3)</f>
        <v>0.28174603174603174</v>
      </c>
      <c r="E11" s="59" t="s">
        <v>89</v>
      </c>
      <c r="F11" s="56" t="s">
        <v>44</v>
      </c>
      <c r="G11" s="44">
        <v>25</v>
      </c>
      <c r="H11" s="129">
        <f>IF(B$15=0,0,G11/B$15)</f>
        <v>0.11792452830188679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-6.0320000000000018</v>
      </c>
      <c r="P11" s="115">
        <v>25</v>
      </c>
      <c r="Q11" s="103">
        <v>-150.80000000000004</v>
      </c>
    </row>
    <row r="12" spans="1:17">
      <c r="A12" s="51" t="s">
        <v>118</v>
      </c>
      <c r="B12" s="44">
        <v>152</v>
      </c>
      <c r="C12" s="37">
        <f>IF(B$3=0,0,B12/B$3)</f>
        <v>0.20105820105820105</v>
      </c>
      <c r="E12" s="59" t="s">
        <v>83</v>
      </c>
      <c r="F12" s="56" t="s">
        <v>38</v>
      </c>
      <c r="G12" s="44">
        <v>11</v>
      </c>
      <c r="H12" s="129">
        <f>IF(B$15=0,0,G12/B$15)</f>
        <v>5.1886792452830191E-2</v>
      </c>
      <c r="I12" s="90">
        <v>7</v>
      </c>
      <c r="K12" s="36">
        <v>10</v>
      </c>
      <c r="L12" s="95">
        <v>-117.19999999999999</v>
      </c>
      <c r="N12" s="112" t="s">
        <v>159</v>
      </c>
      <c r="O12" s="122">
        <f>IF(P12=0,0,Q12/P12)</f>
        <v>-7.8928571428571406</v>
      </c>
      <c r="P12" s="116">
        <v>28</v>
      </c>
      <c r="Q12" s="104">
        <v>-220.99999999999994</v>
      </c>
    </row>
    <row r="13" spans="1:17">
      <c r="A13" s="50" t="s">
        <v>123</v>
      </c>
      <c r="B13" s="43">
        <f>B19</f>
        <v>118</v>
      </c>
      <c r="C13" s="35">
        <f>IF(B$11=0,0,B13/B$11)</f>
        <v>0.5539906103286385</v>
      </c>
      <c r="E13" s="59" t="s">
        <v>71</v>
      </c>
      <c r="F13" s="56" t="s">
        <v>26</v>
      </c>
      <c r="G13" s="44">
        <v>9</v>
      </c>
      <c r="H13" s="129">
        <f>IF(B$15=0,0,G13/B$15)</f>
        <v>4.2452830188679243E-2</v>
      </c>
      <c r="I13" s="90">
        <v>13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63</v>
      </c>
      <c r="C14" s="35">
        <f>IF(B$12=0,0,B14/B$12)</f>
        <v>0.41447368421052633</v>
      </c>
      <c r="E14" s="59" t="s">
        <v>86</v>
      </c>
      <c r="F14" s="56" t="s">
        <v>41</v>
      </c>
      <c r="G14" s="44">
        <v>9</v>
      </c>
      <c r="H14" s="129">
        <f>IF(B$15=0,0,G14/B$15)</f>
        <v>4.2452830188679243E-2</v>
      </c>
      <c r="I14" s="90">
        <v>9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212</v>
      </c>
      <c r="C15" s="35">
        <f>IF(B$3=0,0,B15/B$3)</f>
        <v>0.28042328042328041</v>
      </c>
      <c r="E15" s="59" t="s">
        <v>78</v>
      </c>
      <c r="F15" s="56" t="s">
        <v>33</v>
      </c>
      <c r="G15" s="44">
        <v>7</v>
      </c>
      <c r="H15" s="129">
        <f>IF(B$15=0,0,G15/B$15)</f>
        <v>3.3018867924528301E-2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>
      <c r="A16" s="51" t="s">
        <v>13</v>
      </c>
      <c r="B16" s="44">
        <v>140</v>
      </c>
      <c r="C16" s="37">
        <f>IF(B$3=0,0,B16/B$3)</f>
        <v>0.18518518518518517</v>
      </c>
      <c r="E16" s="59" t="s">
        <v>162</v>
      </c>
      <c r="F16" s="56" t="s">
        <v>163</v>
      </c>
      <c r="G16" s="44">
        <v>4</v>
      </c>
      <c r="H16" s="129">
        <f>IF(B$15=0,0,G16/B$15)</f>
        <v>1.8867924528301886E-2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>IF(P16=0,0,Q16/P16)</f>
        <v>6.0625000000000036</v>
      </c>
      <c r="P16" s="115">
        <v>16</v>
      </c>
      <c r="Q16" s="103">
        <v>97.000000000000057</v>
      </c>
    </row>
    <row r="17" spans="1:17">
      <c r="A17" s="51" t="s">
        <v>12</v>
      </c>
      <c r="B17" s="44">
        <v>98</v>
      </c>
      <c r="C17" s="37">
        <f>IF(B$15=0,0,B17/B$15)</f>
        <v>0.46226415094339623</v>
      </c>
      <c r="E17" s="59" t="s">
        <v>75</v>
      </c>
      <c r="F17" s="56" t="s">
        <v>30</v>
      </c>
      <c r="G17" s="44">
        <v>3</v>
      </c>
      <c r="H17" s="129">
        <f>IF(B$15=0,0,G17/B$15)</f>
        <v>1.4150943396226415E-2</v>
      </c>
      <c r="I17" s="90">
        <v>2</v>
      </c>
      <c r="K17" s="36">
        <v>15</v>
      </c>
      <c r="L17" s="95">
        <v>-221.5</v>
      </c>
      <c r="N17" s="111" t="s">
        <v>170</v>
      </c>
      <c r="O17" s="121">
        <f>IF(P17=0,0,Q17/P17)</f>
        <v>2.5450000000000008</v>
      </c>
      <c r="P17" s="115">
        <v>20</v>
      </c>
      <c r="Q17" s="103">
        <v>50.90000000000002</v>
      </c>
    </row>
    <row r="18" spans="1:17">
      <c r="A18" s="51" t="s">
        <v>11</v>
      </c>
      <c r="B18" s="44">
        <v>114</v>
      </c>
      <c r="C18" s="37">
        <f>IF(B$15=0,0,B18/B$15)</f>
        <v>0.53773584905660377</v>
      </c>
      <c r="E18" s="59" t="s">
        <v>79</v>
      </c>
      <c r="F18" s="56" t="s">
        <v>34</v>
      </c>
      <c r="G18" s="44">
        <v>3</v>
      </c>
      <c r="H18" s="129">
        <f>IF(B$15=0,0,G18/B$15)</f>
        <v>1.4150943396226415E-2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>
      <c r="A19" s="51" t="s">
        <v>195</v>
      </c>
      <c r="B19" s="44">
        <v>118</v>
      </c>
      <c r="C19" s="37">
        <f>IF(B$15=0,0,B19/B$15)</f>
        <v>0.55660377358490565</v>
      </c>
      <c r="E19" s="59" t="s">
        <v>81</v>
      </c>
      <c r="F19" s="56" t="s">
        <v>36</v>
      </c>
      <c r="G19" s="44">
        <v>3</v>
      </c>
      <c r="H19" s="129">
        <f>IF(B$15=0,0,G19/B$15)</f>
        <v>1.4150943396226415E-2</v>
      </c>
      <c r="I19" s="90">
        <v>8</v>
      </c>
      <c r="K19" s="36">
        <v>17</v>
      </c>
      <c r="L19" s="95">
        <v>-251.4</v>
      </c>
      <c r="N19" s="111" t="s">
        <v>274</v>
      </c>
      <c r="O19" s="121">
        <f>IF(P19=0,0,Q19/P19)</f>
        <v>-10.7</v>
      </c>
      <c r="P19" s="115">
        <v>2</v>
      </c>
      <c r="Q19" s="103">
        <v>-21.4</v>
      </c>
    </row>
    <row r="20" spans="1:17">
      <c r="A20" s="51" t="s">
        <v>193</v>
      </c>
      <c r="B20" s="44">
        <v>63</v>
      </c>
      <c r="C20" s="37">
        <f>IF(B$15=0,0,B20/B$15)</f>
        <v>0.29716981132075471</v>
      </c>
      <c r="E20" s="59" t="s">
        <v>91</v>
      </c>
      <c r="F20" s="56" t="s">
        <v>46</v>
      </c>
      <c r="G20" s="44">
        <v>1</v>
      </c>
      <c r="H20" s="129">
        <f>IF(B$15=0,0,G20/B$15)</f>
        <v>4.7169811320754715E-3</v>
      </c>
      <c r="I20" s="90">
        <v>9</v>
      </c>
      <c r="K20" s="36">
        <v>18</v>
      </c>
      <c r="L20" s="95">
        <v>-240</v>
      </c>
      <c r="N20" s="111" t="s">
        <v>126</v>
      </c>
      <c r="O20" s="121">
        <f>IF(P20=0,0,Q20/P20)</f>
        <v>-12.070909090909092</v>
      </c>
      <c r="P20" s="115">
        <v>55</v>
      </c>
      <c r="Q20" s="103">
        <v>-663.90000000000009</v>
      </c>
    </row>
    <row r="21" spans="1:17">
      <c r="A21" s="51" t="s">
        <v>194</v>
      </c>
      <c r="B21" s="44">
        <v>31</v>
      </c>
      <c r="C21" s="37">
        <f>IF(B$15=0,0,B21/B$15)</f>
        <v>0.14622641509433962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171</v>
      </c>
      <c r="O21" s="121">
        <f>IF(P21=0,0,Q21/P21)</f>
        <v>-13.237499999999999</v>
      </c>
      <c r="P21" s="115">
        <v>24</v>
      </c>
      <c r="Q21" s="103">
        <v>-317.7</v>
      </c>
    </row>
    <row r="22" spans="1:17">
      <c r="A22" s="51" t="s">
        <v>5</v>
      </c>
      <c r="B22" s="48">
        <f>IF(B$15=0,0,C22/B$15)</f>
        <v>7730.1886792452833</v>
      </c>
      <c r="C22" s="39">
        <v>1638800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127</v>
      </c>
      <c r="O22" s="121">
        <f>IF(P22=0,0,Q22/P22)</f>
        <v>-15.928260869565211</v>
      </c>
      <c r="P22" s="115">
        <v>46</v>
      </c>
      <c r="Q22" s="103">
        <v>-732.6999999999997</v>
      </c>
    </row>
    <row r="23" spans="1:17">
      <c r="A23" s="52" t="s">
        <v>177</v>
      </c>
      <c r="B23" s="136">
        <f>IF($B$15-B$14=0,0,C23/($B$15-B$14))</f>
        <v>8335.5704697986585</v>
      </c>
      <c r="C23" s="137">
        <v>1242000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>
      <c r="A24" s="52" t="s">
        <v>178</v>
      </c>
      <c r="B24" s="136">
        <f>IF(B$14=0,0,C24/B$14)</f>
        <v>6298.4126984126988</v>
      </c>
      <c r="C24" s="137">
        <v>396800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>
      <c r="A25" s="52" t="s">
        <v>176</v>
      </c>
      <c r="B25" s="136">
        <f>IF(B$16=0,0,C25/B$16)</f>
        <v>-7477.1428571428569</v>
      </c>
      <c r="C25" s="137">
        <v>-1046800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>
      <c r="A28" s="86" t="s">
        <v>138</v>
      </c>
      <c r="B28" s="156">
        <v>8</v>
      </c>
      <c r="C28" s="157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>
      <c r="A29" s="54" t="s">
        <v>192</v>
      </c>
      <c r="B29" s="154">
        <v>69500</v>
      </c>
      <c r="C29" s="155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-163.00000000000003</v>
      </c>
    </row>
    <row r="30" spans="1:17">
      <c r="A30" s="53" t="s">
        <v>139</v>
      </c>
      <c r="B30" s="61">
        <v>3</v>
      </c>
      <c r="C30" s="40">
        <f>IF(B$3=0,0,B30/B$3)</f>
        <v>3.968253968253968E-3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>
      <c r="A32" s="86" t="s">
        <v>183</v>
      </c>
      <c r="B32" s="144">
        <v>15</v>
      </c>
      <c r="C32" s="141">
        <f>IF(B$15=0,0,B32/B$15)</f>
        <v>7.0754716981132074E-2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>
      <c r="A33" s="51" t="s">
        <v>179</v>
      </c>
      <c r="B33" s="44">
        <v>39</v>
      </c>
      <c r="C33" s="37">
        <f t="shared" ref="C33:C44" si="2">IF(B$15=0,0,B33/B$15)</f>
        <v>0.18396226415094338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>
      <c r="A34" s="51" t="s">
        <v>180</v>
      </c>
      <c r="B34" s="145">
        <v>48</v>
      </c>
      <c r="C34" s="37">
        <f>IF(B$15=0,0,B34/B$15)</f>
        <v>0.22641509433962265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>
      <c r="A35" s="51" t="s">
        <v>181</v>
      </c>
      <c r="B35" s="145">
        <v>32</v>
      </c>
      <c r="C35" s="37">
        <f t="shared" si="2"/>
        <v>0.15094339622641509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>
      <c r="A36" s="51" t="s">
        <v>182</v>
      </c>
      <c r="B36" s="145">
        <v>35</v>
      </c>
      <c r="C36" s="37">
        <f t="shared" si="2"/>
        <v>0.1650943396226415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>
      <c r="A37" s="51" t="s">
        <v>184</v>
      </c>
      <c r="B37" s="145">
        <v>22</v>
      </c>
      <c r="C37" s="37">
        <f t="shared" si="2"/>
        <v>0.10377358490566038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>
      <c r="A38" s="51" t="s">
        <v>185</v>
      </c>
      <c r="B38" s="145">
        <v>13</v>
      </c>
      <c r="C38" s="37">
        <f t="shared" si="2"/>
        <v>6.1320754716981132E-2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>
      <c r="A39" s="51" t="s">
        <v>186</v>
      </c>
      <c r="B39" s="145">
        <v>4</v>
      </c>
      <c r="C39" s="37">
        <f t="shared" si="2"/>
        <v>1.8867924528301886E-2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>
      <c r="A40" s="51" t="s">
        <v>187</v>
      </c>
      <c r="B40" s="145">
        <v>1</v>
      </c>
      <c r="C40" s="37">
        <f t="shared" si="2"/>
        <v>4.7169811320754715E-3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>
      <c r="A42" s="51" t="s">
        <v>189</v>
      </c>
      <c r="B42" s="145">
        <v>1</v>
      </c>
      <c r="C42" s="37">
        <f t="shared" si="2"/>
        <v>4.7169811320754715E-3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>
      <c r="A43" s="51" t="s">
        <v>190</v>
      </c>
      <c r="B43" s="145">
        <v>2</v>
      </c>
      <c r="C43" s="37">
        <f t="shared" si="2"/>
        <v>9.433962264150943E-3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>
      <c r="K53" s="36">
        <v>51</v>
      </c>
      <c r="L53" s="95">
        <v>-414.7999999999999</v>
      </c>
    </row>
    <row r="54" spans="5:12">
      <c r="K54" s="36">
        <v>52</v>
      </c>
      <c r="L54" s="95">
        <v>-403.89999999999992</v>
      </c>
    </row>
    <row r="55" spans="5:12">
      <c r="K55" s="36">
        <v>53</v>
      </c>
      <c r="L55" s="95">
        <v>-386.7999999999999</v>
      </c>
    </row>
    <row r="56" spans="5:12">
      <c r="K56" s="36">
        <v>54</v>
      </c>
      <c r="L56" s="95">
        <v>-441.2999999999999</v>
      </c>
    </row>
    <row r="57" spans="5:12">
      <c r="K57" s="36">
        <v>55</v>
      </c>
      <c r="L57" s="95">
        <v>-398.09999999999991</v>
      </c>
    </row>
    <row r="58" spans="5:12">
      <c r="K58" s="36">
        <v>56</v>
      </c>
      <c r="L58" s="95">
        <v>-393.39999999999992</v>
      </c>
    </row>
    <row r="59" spans="5:12">
      <c r="K59" s="36">
        <v>57</v>
      </c>
      <c r="L59" s="95">
        <v>-376.49999999999994</v>
      </c>
    </row>
    <row r="60" spans="5:12">
      <c r="K60" s="36">
        <v>58</v>
      </c>
      <c r="L60" s="95">
        <v>-373.49999999999994</v>
      </c>
    </row>
    <row r="61" spans="5:12">
      <c r="K61" s="36">
        <v>59</v>
      </c>
      <c r="L61" s="95">
        <v>-399.29999999999995</v>
      </c>
    </row>
    <row r="62" spans="5:12">
      <c r="K62" s="36">
        <v>60</v>
      </c>
      <c r="L62" s="95">
        <v>-448.79999999999995</v>
      </c>
    </row>
    <row r="63" spans="5:12">
      <c r="K63" s="36">
        <v>61</v>
      </c>
      <c r="L63" s="95">
        <v>-453.59999999999997</v>
      </c>
    </row>
    <row r="64" spans="5:12">
      <c r="K64" s="36">
        <v>62</v>
      </c>
      <c r="L64" s="95">
        <v>-501.79999999999995</v>
      </c>
    </row>
    <row r="65" spans="11:12">
      <c r="K65" s="36">
        <v>63</v>
      </c>
      <c r="L65" s="95">
        <v>-457.29999999999995</v>
      </c>
    </row>
    <row r="66" spans="11:12">
      <c r="K66" s="36">
        <v>64</v>
      </c>
      <c r="L66" s="95">
        <v>-421.09999999999997</v>
      </c>
    </row>
    <row r="67" spans="11:12">
      <c r="K67" s="36">
        <v>65</v>
      </c>
      <c r="L67" s="95">
        <v>-465.9</v>
      </c>
    </row>
    <row r="68" spans="11:12">
      <c r="K68" s="36">
        <v>66</v>
      </c>
      <c r="L68" s="95">
        <v>-441.9</v>
      </c>
    </row>
    <row r="69" spans="11:12">
      <c r="K69" s="36">
        <v>67</v>
      </c>
      <c r="L69" s="95">
        <v>-477.59999999999997</v>
      </c>
    </row>
    <row r="70" spans="11:12">
      <c r="K70" s="36">
        <v>68</v>
      </c>
      <c r="L70" s="95">
        <v>-477.29999999999995</v>
      </c>
    </row>
    <row r="71" spans="11:12">
      <c r="K71" s="36">
        <v>69</v>
      </c>
      <c r="L71" s="95">
        <v>-486.9</v>
      </c>
    </row>
    <row r="72" spans="11:12">
      <c r="K72" s="36">
        <v>70</v>
      </c>
      <c r="L72" s="95">
        <v>-458</v>
      </c>
    </row>
    <row r="73" spans="11:12">
      <c r="K73" s="36">
        <v>71</v>
      </c>
      <c r="L73" s="95">
        <v>-484.8</v>
      </c>
    </row>
    <row r="74" spans="11:12">
      <c r="K74" s="36">
        <v>72</v>
      </c>
      <c r="L74" s="95">
        <v>-506.40000000000003</v>
      </c>
    </row>
    <row r="75" spans="11:12">
      <c r="K75" s="36">
        <v>73</v>
      </c>
      <c r="L75" s="95">
        <v>-505.3</v>
      </c>
    </row>
    <row r="76" spans="11:12">
      <c r="K76" s="36">
        <v>74</v>
      </c>
      <c r="L76" s="95">
        <v>-490.40000000000003</v>
      </c>
    </row>
    <row r="77" spans="11:12">
      <c r="K77" s="36">
        <v>75</v>
      </c>
      <c r="L77" s="95">
        <v>-489.8</v>
      </c>
    </row>
    <row r="78" spans="11:12">
      <c r="K78" s="36">
        <v>76</v>
      </c>
      <c r="L78" s="95">
        <v>-493.3</v>
      </c>
    </row>
    <row r="79" spans="11:12">
      <c r="K79" s="36">
        <v>77</v>
      </c>
      <c r="L79" s="95">
        <v>-473.90000000000003</v>
      </c>
    </row>
    <row r="80" spans="11:12">
      <c r="K80" s="36">
        <v>78</v>
      </c>
      <c r="L80" s="95">
        <v>-459.3</v>
      </c>
    </row>
    <row r="81" spans="11:12">
      <c r="K81" s="36">
        <v>79</v>
      </c>
      <c r="L81" s="95">
        <v>-481.6</v>
      </c>
    </row>
    <row r="82" spans="11:12">
      <c r="K82" s="36">
        <v>80</v>
      </c>
      <c r="L82" s="95">
        <v>-486.6</v>
      </c>
    </row>
    <row r="83" spans="11:12">
      <c r="K83" s="36">
        <v>81</v>
      </c>
      <c r="L83" s="95">
        <v>-504.20000000000005</v>
      </c>
    </row>
    <row r="84" spans="11:12">
      <c r="K84" s="36">
        <v>82</v>
      </c>
      <c r="L84" s="95">
        <v>-537.30000000000007</v>
      </c>
    </row>
    <row r="85" spans="11:12">
      <c r="K85" s="36">
        <v>83</v>
      </c>
      <c r="L85" s="95">
        <v>-524.50000000000011</v>
      </c>
    </row>
    <row r="86" spans="11:12">
      <c r="K86" s="36">
        <v>84</v>
      </c>
      <c r="L86" s="95">
        <v>-525.00000000000011</v>
      </c>
    </row>
    <row r="87" spans="11:12">
      <c r="K87" s="36">
        <v>85</v>
      </c>
      <c r="L87" s="95">
        <v>-509.30000000000013</v>
      </c>
    </row>
    <row r="88" spans="11:12">
      <c r="K88" s="36">
        <v>86</v>
      </c>
      <c r="L88" s="95">
        <v>-500.10000000000014</v>
      </c>
    </row>
    <row r="89" spans="11:12">
      <c r="K89" s="36">
        <v>87</v>
      </c>
      <c r="L89" s="95">
        <v>-549.60000000000014</v>
      </c>
    </row>
    <row r="90" spans="11:12">
      <c r="K90" s="36">
        <v>88</v>
      </c>
      <c r="L90" s="95">
        <v>-511.50000000000011</v>
      </c>
    </row>
    <row r="91" spans="11:12">
      <c r="K91" s="36">
        <v>89</v>
      </c>
      <c r="L91" s="95">
        <v>-515.30000000000007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102"/>
  <sheetViews>
    <sheetView showGridLines="0" zoomScaleNormal="100" workbookViewId="0">
      <selection activeCell="O20" sqref="O20"/>
    </sheetView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170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100</v>
      </c>
      <c r="C2" s="163"/>
      <c r="E2" s="58" t="s">
        <v>66</v>
      </c>
      <c r="F2" s="55" t="s">
        <v>22</v>
      </c>
      <c r="G2" s="43">
        <v>188</v>
      </c>
      <c r="H2" s="128">
        <f>IF(B$15=0,0,G2/B$15)</f>
        <v>0.8392857142857143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1424</v>
      </c>
      <c r="P2" s="114">
        <v>100</v>
      </c>
      <c r="Q2" s="98">
        <v>142400</v>
      </c>
    </row>
    <row r="3" spans="1:17">
      <c r="A3" s="51" t="s">
        <v>8</v>
      </c>
      <c r="B3" s="164">
        <v>804</v>
      </c>
      <c r="C3" s="165"/>
      <c r="E3" s="59" t="s">
        <v>64</v>
      </c>
      <c r="F3" s="56" t="s">
        <v>20</v>
      </c>
      <c r="G3" s="44">
        <v>126</v>
      </c>
      <c r="H3" s="129">
        <f>IF(B$15=0,0,G3/B$15)</f>
        <v>0.5625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-1321.4285714285713</v>
      </c>
      <c r="P3" s="115">
        <v>98</v>
      </c>
      <c r="Q3" s="99">
        <v>-129500</v>
      </c>
    </row>
    <row r="4" spans="1:17">
      <c r="A4" s="51" t="s">
        <v>6</v>
      </c>
      <c r="B4" s="166">
        <v>350.30000000000018</v>
      </c>
      <c r="C4" s="167"/>
      <c r="E4" s="59" t="s">
        <v>72</v>
      </c>
      <c r="F4" s="56" t="s">
        <v>27</v>
      </c>
      <c r="G4" s="44">
        <v>124</v>
      </c>
      <c r="H4" s="129">
        <f>IF(B$15=0,0,G4/B$15)</f>
        <v>0.5535714285714286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-332.58426966292137</v>
      </c>
      <c r="P4" s="115">
        <v>89</v>
      </c>
      <c r="Q4" s="99">
        <v>-29600</v>
      </c>
    </row>
    <row r="5" spans="1:17">
      <c r="A5" s="51" t="s">
        <v>7</v>
      </c>
      <c r="B5" s="168">
        <f>IF(B$2=0,0,B$4/B$2)</f>
        <v>3.5030000000000019</v>
      </c>
      <c r="C5" s="169"/>
      <c r="E5" s="59" t="s">
        <v>67</v>
      </c>
      <c r="F5" s="56" t="s">
        <v>23</v>
      </c>
      <c r="G5" s="44">
        <v>98</v>
      </c>
      <c r="H5" s="129">
        <f>IF(B$15=0,0,G5/B$15)</f>
        <v>0.4375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2781.1764705882351</v>
      </c>
      <c r="P5" s="115">
        <v>85</v>
      </c>
      <c r="Q5" s="99">
        <v>236400</v>
      </c>
    </row>
    <row r="6" spans="1:17">
      <c r="A6" s="51" t="s">
        <v>1</v>
      </c>
      <c r="B6" s="158">
        <f>IF(B$2=0,0,(B$7*1+B$8*2+B$9*3)/B$2)</f>
        <v>1.93</v>
      </c>
      <c r="C6" s="159"/>
      <c r="E6" s="59" t="s">
        <v>68</v>
      </c>
      <c r="F6" s="56" t="s">
        <v>12</v>
      </c>
      <c r="G6" s="44">
        <v>91</v>
      </c>
      <c r="H6" s="129">
        <f>IF(B$15=0,0,G6/B$15)</f>
        <v>0.40625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294.73684210526318</v>
      </c>
      <c r="P6" s="115">
        <v>76</v>
      </c>
      <c r="Q6" s="99">
        <v>22400</v>
      </c>
    </row>
    <row r="7" spans="1:17">
      <c r="A7" s="51" t="s">
        <v>2</v>
      </c>
      <c r="B7" s="44">
        <v>39</v>
      </c>
      <c r="C7" s="37">
        <f t="shared" ref="C7:C10" si="1">IF(B$2=0,0,B7/B$2)</f>
        <v>0.39</v>
      </c>
      <c r="E7" s="59" t="s">
        <v>166</v>
      </c>
      <c r="F7" s="56" t="s">
        <v>167</v>
      </c>
      <c r="G7" s="44">
        <v>86</v>
      </c>
      <c r="H7" s="129">
        <f>IF(B$15=0,0,G7/B$15)</f>
        <v>0.38392857142857145</v>
      </c>
      <c r="I7" s="90">
        <v>7</v>
      </c>
      <c r="K7" s="36">
        <v>5</v>
      </c>
      <c r="L7" s="95">
        <v>-118.3</v>
      </c>
      <c r="N7" s="112" t="s">
        <v>135</v>
      </c>
      <c r="O7" s="119">
        <f t="shared" si="0"/>
        <v>18.64406779661017</v>
      </c>
      <c r="P7" s="116">
        <v>59</v>
      </c>
      <c r="Q7" s="100">
        <v>1100</v>
      </c>
    </row>
    <row r="8" spans="1:17">
      <c r="A8" s="51" t="s">
        <v>3</v>
      </c>
      <c r="B8" s="44">
        <v>29</v>
      </c>
      <c r="C8" s="37">
        <f t="shared" si="1"/>
        <v>0.28999999999999998</v>
      </c>
      <c r="E8" s="59" t="s">
        <v>89</v>
      </c>
      <c r="F8" s="56" t="s">
        <v>44</v>
      </c>
      <c r="G8" s="44">
        <v>52</v>
      </c>
      <c r="H8" s="129">
        <f>IF(B$15=0,0,G8/B$15)</f>
        <v>0.23214285714285715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>
      <c r="A9" s="52" t="s">
        <v>4</v>
      </c>
      <c r="B9" s="45">
        <v>32</v>
      </c>
      <c r="C9" s="38">
        <f t="shared" si="1"/>
        <v>0.32</v>
      </c>
      <c r="E9" s="59" t="s">
        <v>69</v>
      </c>
      <c r="F9" s="56" t="s">
        <v>24</v>
      </c>
      <c r="G9" s="44">
        <v>48</v>
      </c>
      <c r="H9" s="129">
        <f>IF(B$15=0,0,G9/B$15)</f>
        <v>0.21428571428571427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11</v>
      </c>
      <c r="C10" s="40">
        <f t="shared" si="1"/>
        <v>0.11</v>
      </c>
      <c r="E10" s="59" t="s">
        <v>65</v>
      </c>
      <c r="F10" s="56" t="s">
        <v>21</v>
      </c>
      <c r="G10" s="44">
        <v>33</v>
      </c>
      <c r="H10" s="129">
        <f>IF(B$15=0,0,G10/B$15)</f>
        <v>0.14732142857142858</v>
      </c>
      <c r="I10" s="90">
        <v>5</v>
      </c>
      <c r="K10" s="36">
        <v>8</v>
      </c>
      <c r="L10" s="95">
        <v>-110.19999999999999</v>
      </c>
      <c r="N10" s="110" t="s">
        <v>157</v>
      </c>
      <c r="O10" s="120">
        <f>IF(P10=0,0,Q10/P10)</f>
        <v>-0.51071428571428545</v>
      </c>
      <c r="P10" s="114">
        <v>28</v>
      </c>
      <c r="Q10" s="102">
        <v>-14.299999999999994</v>
      </c>
    </row>
    <row r="11" spans="1:17">
      <c r="A11" s="54" t="s">
        <v>121</v>
      </c>
      <c r="B11" s="47">
        <v>253</v>
      </c>
      <c r="C11" s="42">
        <f>IF(B$3=0,0,B11/B$3)</f>
        <v>0.31467661691542287</v>
      </c>
      <c r="E11" s="59" t="s">
        <v>70</v>
      </c>
      <c r="F11" s="56" t="s">
        <v>25</v>
      </c>
      <c r="G11" s="44">
        <v>24</v>
      </c>
      <c r="H11" s="129">
        <f>IF(B$15=0,0,G11/B$15)</f>
        <v>0.10714285714285714</v>
      </c>
      <c r="I11" s="90">
        <v>8</v>
      </c>
      <c r="K11" s="36">
        <v>9</v>
      </c>
      <c r="L11" s="95">
        <v>-120.99999999999999</v>
      </c>
      <c r="N11" s="111" t="s">
        <v>158</v>
      </c>
      <c r="O11" s="121">
        <f>IF(P11=0,0,Q11/P11)</f>
        <v>5.9499999999999993</v>
      </c>
      <c r="P11" s="115">
        <v>40</v>
      </c>
      <c r="Q11" s="103">
        <v>237.99999999999997</v>
      </c>
    </row>
    <row r="12" spans="1:17">
      <c r="A12" s="51" t="s">
        <v>118</v>
      </c>
      <c r="B12" s="44">
        <v>132</v>
      </c>
      <c r="C12" s="37">
        <f>IF(B$3=0,0,B12/B$3)</f>
        <v>0.16417910447761194</v>
      </c>
      <c r="E12" s="59" t="s">
        <v>162</v>
      </c>
      <c r="F12" s="56" t="s">
        <v>163</v>
      </c>
      <c r="G12" s="44">
        <v>16</v>
      </c>
      <c r="H12" s="129">
        <f>IF(B$15=0,0,G12/B$15)</f>
        <v>7.1428571428571425E-2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3.9562500000000003</v>
      </c>
      <c r="P12" s="116">
        <v>32</v>
      </c>
      <c r="Q12" s="104">
        <v>126.60000000000001</v>
      </c>
    </row>
    <row r="13" spans="1:17">
      <c r="A13" s="50" t="s">
        <v>123</v>
      </c>
      <c r="B13" s="43">
        <f>B19</f>
        <v>141</v>
      </c>
      <c r="C13" s="35">
        <f>IF(B$11=0,0,B13/B$11)</f>
        <v>0.55731225296442688</v>
      </c>
      <c r="E13" s="59" t="s">
        <v>71</v>
      </c>
      <c r="F13" s="56" t="s">
        <v>26</v>
      </c>
      <c r="G13" s="44">
        <v>12</v>
      </c>
      <c r="H13" s="129">
        <f>IF(B$15=0,0,G13/B$15)</f>
        <v>5.3571428571428568E-2</v>
      </c>
      <c r="I13" s="90">
        <v>12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52</v>
      </c>
      <c r="C14" s="35">
        <f>IF(B$12=0,0,B14/B$12)</f>
        <v>0.39393939393939392</v>
      </c>
      <c r="E14" s="59" t="s">
        <v>83</v>
      </c>
      <c r="F14" s="56" t="s">
        <v>38</v>
      </c>
      <c r="G14" s="44">
        <v>7</v>
      </c>
      <c r="H14" s="129">
        <f>IF(B$15=0,0,G14/B$15)</f>
        <v>3.125E-2</v>
      </c>
      <c r="I14" s="90">
        <v>12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224</v>
      </c>
      <c r="C15" s="35">
        <f>IF(B$3=0,0,B15/B$3)</f>
        <v>0.27860696517412936</v>
      </c>
      <c r="E15" s="59" t="s">
        <v>86</v>
      </c>
      <c r="F15" s="56" t="s">
        <v>41</v>
      </c>
      <c r="G15" s="44">
        <v>7</v>
      </c>
      <c r="H15" s="129">
        <f>IF(B$15=0,0,G15/B$15)</f>
        <v>3.125E-2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>
      <c r="A16" s="51" t="s">
        <v>13</v>
      </c>
      <c r="B16" s="44">
        <v>141</v>
      </c>
      <c r="C16" s="37">
        <f>IF(B$3=0,0,B16/B$3)</f>
        <v>0.17537313432835822</v>
      </c>
      <c r="E16" s="59" t="s">
        <v>81</v>
      </c>
      <c r="F16" s="56" t="s">
        <v>36</v>
      </c>
      <c r="G16" s="44">
        <v>4</v>
      </c>
      <c r="H16" s="129">
        <f>IF(B$15=0,0,G16/B$15)</f>
        <v>1.7857142857142856E-2</v>
      </c>
      <c r="I16" s="90">
        <v>5</v>
      </c>
      <c r="K16" s="36">
        <v>14</v>
      </c>
      <c r="L16" s="95">
        <v>-86.499999999999972</v>
      </c>
      <c r="N16" s="111" t="s">
        <v>161</v>
      </c>
      <c r="O16" s="121">
        <f t="shared" si="2"/>
        <v>37.1</v>
      </c>
      <c r="P16" s="115">
        <v>18</v>
      </c>
      <c r="Q16" s="103">
        <v>667.80000000000007</v>
      </c>
    </row>
    <row r="17" spans="1:17">
      <c r="A17" s="51" t="s">
        <v>12</v>
      </c>
      <c r="B17" s="44">
        <v>117</v>
      </c>
      <c r="C17" s="37">
        <f>IF(B$15=0,0,B17/B$15)</f>
        <v>0.5223214285714286</v>
      </c>
      <c r="E17" s="59" t="s">
        <v>91</v>
      </c>
      <c r="F17" s="56" t="s">
        <v>46</v>
      </c>
      <c r="G17" s="44">
        <v>4</v>
      </c>
      <c r="H17" s="129">
        <f>IF(B$15=0,0,G17/B$15)</f>
        <v>1.7857142857142856E-2</v>
      </c>
      <c r="I17" s="90">
        <v>5</v>
      </c>
      <c r="K17" s="36">
        <v>15</v>
      </c>
      <c r="L17" s="95">
        <v>-101.79999999999997</v>
      </c>
      <c r="N17" s="111" t="s">
        <v>197</v>
      </c>
      <c r="O17" s="121">
        <f t="shared" si="2"/>
        <v>9.4086956521739165</v>
      </c>
      <c r="P17" s="115">
        <v>23</v>
      </c>
      <c r="Q17" s="103">
        <v>216.40000000000006</v>
      </c>
    </row>
    <row r="18" spans="1:17">
      <c r="A18" s="51" t="s">
        <v>11</v>
      </c>
      <c r="B18" s="44">
        <v>107</v>
      </c>
      <c r="C18" s="37">
        <f>IF(B$15=0,0,B18/B$15)</f>
        <v>0.47767857142857145</v>
      </c>
      <c r="E18" s="59" t="s">
        <v>92</v>
      </c>
      <c r="F18" s="56" t="s">
        <v>47</v>
      </c>
      <c r="G18" s="44">
        <v>4</v>
      </c>
      <c r="H18" s="129">
        <f>IF(B$15=0,0,G18/B$15)</f>
        <v>1.7857142857142856E-2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 t="shared" si="2"/>
        <v>6.0122448979591834</v>
      </c>
      <c r="P18" s="115">
        <v>49</v>
      </c>
      <c r="Q18" s="103">
        <v>294.59999999999997</v>
      </c>
    </row>
    <row r="19" spans="1:17">
      <c r="A19" s="51" t="s">
        <v>195</v>
      </c>
      <c r="B19" s="44">
        <v>141</v>
      </c>
      <c r="C19" s="37">
        <f>IF(B$15=0,0,B19/B$15)</f>
        <v>0.6294642857142857</v>
      </c>
      <c r="E19" s="59" t="s">
        <v>73</v>
      </c>
      <c r="F19" s="56" t="s">
        <v>28</v>
      </c>
      <c r="G19" s="44">
        <v>2</v>
      </c>
      <c r="H19" s="129">
        <f>IF(B$15=0,0,G19/B$15)</f>
        <v>8.9285714285714281E-3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3.4128205128205105</v>
      </c>
      <c r="P19" s="115">
        <v>39</v>
      </c>
      <c r="Q19" s="103">
        <v>133.09999999999991</v>
      </c>
    </row>
    <row r="20" spans="1:17">
      <c r="A20" s="51" t="s">
        <v>193</v>
      </c>
      <c r="B20" s="44">
        <v>52</v>
      </c>
      <c r="C20" s="37">
        <f>IF(B$15=0,0,B20/B$15)</f>
        <v>0.23214285714285715</v>
      </c>
      <c r="E20" s="59" t="s">
        <v>78</v>
      </c>
      <c r="F20" s="56" t="s">
        <v>33</v>
      </c>
      <c r="G20" s="44">
        <v>2</v>
      </c>
      <c r="H20" s="129">
        <f>IF(B$15=0,0,G20/B$15)</f>
        <v>8.9285714285714281E-3</v>
      </c>
      <c r="I20" s="90">
        <v>9</v>
      </c>
      <c r="K20" s="36">
        <v>18</v>
      </c>
      <c r="L20" s="95">
        <v>-24.999999999999968</v>
      </c>
      <c r="N20" s="111" t="s">
        <v>172</v>
      </c>
      <c r="O20" s="121">
        <f t="shared" si="2"/>
        <v>-2.5450000000000008</v>
      </c>
      <c r="P20" s="115">
        <v>20</v>
      </c>
      <c r="Q20" s="103">
        <v>-50.90000000000002</v>
      </c>
    </row>
    <row r="21" spans="1:17">
      <c r="A21" s="51" t="s">
        <v>194</v>
      </c>
      <c r="B21" s="44">
        <v>31</v>
      </c>
      <c r="C21" s="37">
        <f>IF(B$15=0,0,B21/B$15)</f>
        <v>0.13839285714285715</v>
      </c>
      <c r="E21" s="59" t="s">
        <v>79</v>
      </c>
      <c r="F21" s="56" t="s">
        <v>34</v>
      </c>
      <c r="G21" s="44">
        <v>2</v>
      </c>
      <c r="H21" s="129">
        <f>IF(B$15=0,0,G21/B$15)</f>
        <v>8.9285714285714281E-3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-3.584210526315792</v>
      </c>
      <c r="P21" s="115">
        <v>38</v>
      </c>
      <c r="Q21" s="103">
        <v>-136.2000000000001</v>
      </c>
    </row>
    <row r="22" spans="1:17">
      <c r="A22" s="51" t="s">
        <v>5</v>
      </c>
      <c r="B22" s="48">
        <f>IF(B$15=0,0,C22/B$15)</f>
        <v>10834.375</v>
      </c>
      <c r="C22" s="39">
        <v>2426900</v>
      </c>
      <c r="E22" s="59" t="s">
        <v>84</v>
      </c>
      <c r="F22" s="56" t="s">
        <v>39</v>
      </c>
      <c r="G22" s="44">
        <v>2</v>
      </c>
      <c r="H22" s="129">
        <f>IF(B$15=0,0,G22/B$15)</f>
        <v>8.9285714285714281E-3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 t="shared" si="2"/>
        <v>-14.099999999999998</v>
      </c>
      <c r="P22" s="115">
        <v>8</v>
      </c>
      <c r="Q22" s="103">
        <v>-112.79999999999998</v>
      </c>
    </row>
    <row r="23" spans="1:17">
      <c r="A23" s="52" t="s">
        <v>177</v>
      </c>
      <c r="B23" s="136">
        <f>IF($B$15-B$14=0,0,C23/($B$15-B$14))</f>
        <v>11547.674418604651</v>
      </c>
      <c r="C23" s="137">
        <v>1986200</v>
      </c>
      <c r="E23" s="59" t="s">
        <v>90</v>
      </c>
      <c r="F23" s="56" t="s">
        <v>45</v>
      </c>
      <c r="G23" s="44">
        <v>2</v>
      </c>
      <c r="H23" s="129">
        <f>IF(B$15=0,0,G23/B$15)</f>
        <v>8.9285714285714281E-3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 t="shared" si="2"/>
        <v>-27.466666666666665</v>
      </c>
      <c r="P23" s="115">
        <v>3</v>
      </c>
      <c r="Q23" s="103">
        <v>-82.399999999999991</v>
      </c>
    </row>
    <row r="24" spans="1:17">
      <c r="A24" s="52" t="s">
        <v>178</v>
      </c>
      <c r="B24" s="136">
        <f>IF(B$14=0,0,C24/B$14)</f>
        <v>8475</v>
      </c>
      <c r="C24" s="137">
        <v>440700</v>
      </c>
      <c r="E24" s="59" t="s">
        <v>75</v>
      </c>
      <c r="F24" s="56" t="s">
        <v>30</v>
      </c>
      <c r="G24" s="44">
        <v>1</v>
      </c>
      <c r="H24" s="129">
        <f>IF(B$15=0,0,G24/B$15)</f>
        <v>4.464285714285714E-3</v>
      </c>
      <c r="I24" s="90">
        <v>7</v>
      </c>
      <c r="K24" s="36">
        <v>22</v>
      </c>
      <c r="L24" s="95">
        <v>-21.799999999999969</v>
      </c>
    </row>
    <row r="25" spans="1:17">
      <c r="A25" s="52" t="s">
        <v>176</v>
      </c>
      <c r="B25" s="136">
        <f>IF(B$16=0,0,C25/B$16)</f>
        <v>-8365.9574468085102</v>
      </c>
      <c r="C25" s="137">
        <v>-1179600</v>
      </c>
      <c r="E25" s="59" t="s">
        <v>85</v>
      </c>
      <c r="F25" s="56" t="s">
        <v>40</v>
      </c>
      <c r="G25" s="44">
        <v>1</v>
      </c>
      <c r="H25" s="129">
        <f>IF(B$15=0,0,G25/B$15)</f>
        <v>4.464285714285714E-3</v>
      </c>
      <c r="I25" s="90">
        <v>5</v>
      </c>
      <c r="K25" s="36">
        <v>23</v>
      </c>
      <c r="L25" s="95">
        <v>-10.299999999999969</v>
      </c>
    </row>
    <row r="26" spans="1:17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4.464285714285714E-3</v>
      </c>
      <c r="I26" s="90">
        <v>2</v>
      </c>
      <c r="K26" s="36">
        <v>24</v>
      </c>
      <c r="L26" s="95">
        <v>-51.39999999999997</v>
      </c>
    </row>
    <row r="27" spans="1:17">
      <c r="A27" s="51" t="s">
        <v>165</v>
      </c>
      <c r="B27" s="44">
        <v>25</v>
      </c>
      <c r="C27" s="131">
        <v>5</v>
      </c>
      <c r="E27" s="59" t="s">
        <v>97</v>
      </c>
      <c r="F27" s="56" t="s">
        <v>52</v>
      </c>
      <c r="G27" s="44">
        <v>1</v>
      </c>
      <c r="H27" s="129">
        <f>IF(B$15=0,0,G27/B$15)</f>
        <v>4.464285714285714E-3</v>
      </c>
      <c r="I27" s="90">
        <v>1</v>
      </c>
      <c r="K27" s="36">
        <v>25</v>
      </c>
      <c r="L27" s="95">
        <v>-37.699999999999974</v>
      </c>
    </row>
    <row r="28" spans="1:17">
      <c r="A28" s="86" t="s">
        <v>138</v>
      </c>
      <c r="B28" s="156">
        <v>8</v>
      </c>
      <c r="C28" s="157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>
      <c r="A29" s="54" t="s">
        <v>192</v>
      </c>
      <c r="B29" s="154">
        <v>122100</v>
      </c>
      <c r="C29" s="155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>
      <c r="A30" s="53" t="s">
        <v>139</v>
      </c>
      <c r="B30" s="61">
        <v>1</v>
      </c>
      <c r="C30" s="40">
        <f>IF(B$3=0,0,B30/B$3)</f>
        <v>1.2437810945273632E-3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>
      <c r="A32" s="86" t="s">
        <v>183</v>
      </c>
      <c r="B32" s="144">
        <v>5</v>
      </c>
      <c r="C32" s="141">
        <f>IF(B$15=0,0,B32/B$15)</f>
        <v>2.2321428571428572E-2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>
      <c r="A33" s="51" t="s">
        <v>179</v>
      </c>
      <c r="B33" s="44">
        <v>19</v>
      </c>
      <c r="C33" s="37">
        <f t="shared" ref="C33:C44" si="3">IF(B$15=0,0,B33/B$15)</f>
        <v>8.4821428571428575E-2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73.900000000000034</v>
      </c>
    </row>
    <row r="34" spans="1:12">
      <c r="A34" s="51" t="s">
        <v>180</v>
      </c>
      <c r="B34" s="145">
        <v>29</v>
      </c>
      <c r="C34" s="37">
        <f>IF(B$15=0,0,B34/B$15)</f>
        <v>0.12946428571428573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>
      <c r="A35" s="51" t="s">
        <v>181</v>
      </c>
      <c r="B35" s="145">
        <v>40</v>
      </c>
      <c r="C35" s="37">
        <f t="shared" si="3"/>
        <v>0.17857142857142858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>
      <c r="A36" s="51" t="s">
        <v>182</v>
      </c>
      <c r="B36" s="145">
        <v>56</v>
      </c>
      <c r="C36" s="37">
        <f t="shared" si="3"/>
        <v>0.25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>
      <c r="A37" s="51" t="s">
        <v>184</v>
      </c>
      <c r="B37" s="145">
        <v>25</v>
      </c>
      <c r="C37" s="37">
        <f t="shared" si="3"/>
        <v>0.11160714285714286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>
      <c r="A38" s="51" t="s">
        <v>185</v>
      </c>
      <c r="B38" s="145">
        <v>20</v>
      </c>
      <c r="C38" s="37">
        <f t="shared" si="3"/>
        <v>8.9285714285714288E-2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>
      <c r="A39" s="51" t="s">
        <v>186</v>
      </c>
      <c r="B39" s="145">
        <v>15</v>
      </c>
      <c r="C39" s="37">
        <f t="shared" si="3"/>
        <v>6.6964285714285712E-2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>
      <c r="A40" s="51" t="s">
        <v>187</v>
      </c>
      <c r="B40" s="145">
        <v>4</v>
      </c>
      <c r="C40" s="37">
        <f t="shared" si="3"/>
        <v>1.7857142857142856E-2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>
      <c r="A41" s="51" t="s">
        <v>188</v>
      </c>
      <c r="B41" s="145">
        <v>2</v>
      </c>
      <c r="C41" s="37">
        <f t="shared" si="3"/>
        <v>8.9285714285714281E-3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>
      <c r="A42" s="51" t="s">
        <v>189</v>
      </c>
      <c r="B42" s="145">
        <v>2</v>
      </c>
      <c r="C42" s="37">
        <f t="shared" si="3"/>
        <v>8.9285714285714281E-3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>
      <c r="A43" s="51" t="s">
        <v>190</v>
      </c>
      <c r="B43" s="145">
        <v>1</v>
      </c>
      <c r="C43" s="37">
        <f t="shared" si="3"/>
        <v>4.464285714285714E-3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>
      <c r="A44" s="53" t="s">
        <v>191</v>
      </c>
      <c r="B44" s="140">
        <v>6</v>
      </c>
      <c r="C44" s="40">
        <f t="shared" si="3"/>
        <v>2.6785714285714284E-2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>
      <c r="K53" s="36">
        <v>51</v>
      </c>
      <c r="L53" s="95">
        <v>282.10000000000008</v>
      </c>
    </row>
    <row r="54" spans="5:12">
      <c r="K54" s="36">
        <v>52</v>
      </c>
      <c r="L54" s="95">
        <v>325.2000000000001</v>
      </c>
    </row>
    <row r="55" spans="5:12">
      <c r="K55" s="36">
        <v>53</v>
      </c>
      <c r="L55" s="95">
        <v>301.2000000000001</v>
      </c>
    </row>
    <row r="56" spans="5:12">
      <c r="K56" s="36">
        <v>54</v>
      </c>
      <c r="L56" s="95">
        <v>296.2000000000001</v>
      </c>
    </row>
    <row r="57" spans="5:12">
      <c r="K57" s="36">
        <v>55</v>
      </c>
      <c r="L57" s="95">
        <v>259.10000000000008</v>
      </c>
    </row>
    <row r="58" spans="5:12">
      <c r="K58" s="36">
        <v>56</v>
      </c>
      <c r="L58" s="95">
        <v>246.70000000000007</v>
      </c>
    </row>
    <row r="59" spans="5:12">
      <c r="K59" s="36">
        <v>57</v>
      </c>
      <c r="L59" s="95">
        <v>291.80000000000007</v>
      </c>
    </row>
    <row r="60" spans="5:12">
      <c r="K60" s="36">
        <v>58</v>
      </c>
      <c r="L60" s="95">
        <v>308.80000000000007</v>
      </c>
    </row>
    <row r="61" spans="5:12">
      <c r="K61" s="36">
        <v>59</v>
      </c>
      <c r="L61" s="95">
        <v>357.80000000000007</v>
      </c>
    </row>
    <row r="62" spans="5:12">
      <c r="K62" s="36">
        <v>60</v>
      </c>
      <c r="L62" s="95">
        <v>364.90000000000009</v>
      </c>
    </row>
    <row r="63" spans="5:12">
      <c r="K63" s="36">
        <v>61</v>
      </c>
      <c r="L63" s="95">
        <v>351.80000000000007</v>
      </c>
    </row>
    <row r="64" spans="5:12">
      <c r="K64" s="36">
        <v>62</v>
      </c>
      <c r="L64" s="95">
        <v>338.80000000000007</v>
      </c>
    </row>
    <row r="65" spans="11:12">
      <c r="K65" s="36">
        <v>63</v>
      </c>
      <c r="L65" s="95">
        <v>319.30000000000007</v>
      </c>
    </row>
    <row r="66" spans="11:12">
      <c r="K66" s="36">
        <v>64</v>
      </c>
      <c r="L66" s="95">
        <v>273.80000000000007</v>
      </c>
    </row>
    <row r="67" spans="11:12">
      <c r="K67" s="36">
        <v>65</v>
      </c>
      <c r="L67" s="95">
        <v>333.00000000000006</v>
      </c>
    </row>
    <row r="68" spans="11:12">
      <c r="K68" s="36">
        <v>66</v>
      </c>
      <c r="L68" s="95">
        <v>368.80000000000007</v>
      </c>
    </row>
    <row r="69" spans="11:12">
      <c r="K69" s="36">
        <v>67</v>
      </c>
      <c r="L69" s="95">
        <v>360.90000000000009</v>
      </c>
    </row>
    <row r="70" spans="11:12">
      <c r="K70" s="36">
        <v>68</v>
      </c>
      <c r="L70" s="95">
        <v>458.00000000000011</v>
      </c>
    </row>
    <row r="71" spans="11:12">
      <c r="K71" s="36">
        <v>69</v>
      </c>
      <c r="L71" s="95">
        <v>455.2000000000001</v>
      </c>
    </row>
    <row r="72" spans="11:12">
      <c r="K72" s="36">
        <v>70</v>
      </c>
      <c r="L72" s="95">
        <v>422.90000000000009</v>
      </c>
    </row>
    <row r="73" spans="11:12">
      <c r="K73" s="36">
        <v>71</v>
      </c>
      <c r="L73" s="95">
        <v>435.7000000000001</v>
      </c>
    </row>
    <row r="74" spans="11:12">
      <c r="K74" s="36">
        <v>72</v>
      </c>
      <c r="L74" s="95">
        <v>466.40000000000009</v>
      </c>
    </row>
    <row r="75" spans="11:12">
      <c r="K75" s="36">
        <v>73</v>
      </c>
      <c r="L75" s="95">
        <v>406.10000000000008</v>
      </c>
    </row>
    <row r="76" spans="11:12">
      <c r="K76" s="36">
        <v>74</v>
      </c>
      <c r="L76" s="95">
        <v>360.50000000000006</v>
      </c>
    </row>
    <row r="77" spans="11:12">
      <c r="K77" s="36">
        <v>75</v>
      </c>
      <c r="L77" s="95">
        <v>332.60000000000008</v>
      </c>
    </row>
    <row r="78" spans="11:12">
      <c r="K78" s="36">
        <v>76</v>
      </c>
      <c r="L78" s="95">
        <v>325.7000000000001</v>
      </c>
    </row>
    <row r="79" spans="11:12">
      <c r="K79" s="36">
        <v>77</v>
      </c>
      <c r="L79" s="95">
        <v>368.00000000000011</v>
      </c>
    </row>
    <row r="80" spans="11:12">
      <c r="K80" s="36">
        <v>78</v>
      </c>
      <c r="L80" s="95">
        <v>312.50000000000011</v>
      </c>
    </row>
    <row r="81" spans="11:12">
      <c r="K81" s="36">
        <v>79</v>
      </c>
      <c r="L81" s="95">
        <v>263.80000000000013</v>
      </c>
    </row>
    <row r="82" spans="11:12">
      <c r="K82" s="36">
        <v>80</v>
      </c>
      <c r="L82" s="95">
        <v>245.50000000000011</v>
      </c>
    </row>
    <row r="83" spans="11:12">
      <c r="K83" s="36">
        <v>81</v>
      </c>
      <c r="L83" s="95">
        <v>200.30000000000013</v>
      </c>
    </row>
    <row r="84" spans="11:12">
      <c r="K84" s="36">
        <v>82</v>
      </c>
      <c r="L84" s="95">
        <v>229.10000000000014</v>
      </c>
    </row>
    <row r="85" spans="11:12">
      <c r="K85" s="36">
        <v>83</v>
      </c>
      <c r="L85" s="95">
        <v>230.70000000000013</v>
      </c>
    </row>
    <row r="86" spans="11:12">
      <c r="K86" s="36">
        <v>84</v>
      </c>
      <c r="L86" s="95">
        <v>201.10000000000014</v>
      </c>
    </row>
    <row r="87" spans="11:12">
      <c r="K87" s="36">
        <v>85</v>
      </c>
      <c r="L87" s="95">
        <v>200.20000000000013</v>
      </c>
    </row>
    <row r="88" spans="11:12">
      <c r="K88" s="36">
        <v>86</v>
      </c>
      <c r="L88" s="95">
        <v>211.70000000000013</v>
      </c>
    </row>
    <row r="89" spans="11:12">
      <c r="K89" s="36">
        <v>87</v>
      </c>
      <c r="L89" s="95">
        <v>186.30000000000013</v>
      </c>
    </row>
    <row r="90" spans="11:12">
      <c r="K90" s="36">
        <v>88</v>
      </c>
      <c r="L90" s="95">
        <v>163.60000000000014</v>
      </c>
    </row>
    <row r="91" spans="11:12">
      <c r="K91" s="36">
        <v>89</v>
      </c>
      <c r="L91" s="95">
        <v>188.60000000000014</v>
      </c>
    </row>
    <row r="92" spans="11:12">
      <c r="K92" s="36">
        <v>90</v>
      </c>
      <c r="L92" s="95">
        <v>236.10000000000014</v>
      </c>
    </row>
    <row r="93" spans="11:12">
      <c r="K93" s="36">
        <v>91</v>
      </c>
      <c r="L93" s="95">
        <v>240.30000000000013</v>
      </c>
    </row>
    <row r="94" spans="11:12">
      <c r="K94" s="36">
        <v>92</v>
      </c>
      <c r="L94" s="95">
        <v>286.50000000000011</v>
      </c>
    </row>
    <row r="95" spans="11:12">
      <c r="K95" s="36">
        <v>93</v>
      </c>
      <c r="L95" s="95">
        <v>263.30000000000013</v>
      </c>
    </row>
    <row r="96" spans="11:12">
      <c r="K96" s="36">
        <v>94</v>
      </c>
      <c r="L96" s="95">
        <v>299.60000000000014</v>
      </c>
    </row>
    <row r="97" spans="11:12">
      <c r="K97" s="36">
        <v>95</v>
      </c>
      <c r="L97" s="95">
        <v>335.30000000000013</v>
      </c>
    </row>
    <row r="98" spans="11:12">
      <c r="K98" s="36">
        <v>96</v>
      </c>
      <c r="L98" s="95">
        <v>335.40000000000015</v>
      </c>
    </row>
    <row r="99" spans="11:12">
      <c r="K99" s="36">
        <v>97</v>
      </c>
      <c r="L99" s="95">
        <v>334.70000000000016</v>
      </c>
    </row>
    <row r="100" spans="11:12">
      <c r="K100" s="36">
        <v>98</v>
      </c>
      <c r="L100" s="95">
        <v>349.00000000000017</v>
      </c>
    </row>
    <row r="101" spans="11:12">
      <c r="K101" s="36">
        <v>99</v>
      </c>
      <c r="L101" s="95">
        <v>386.70000000000016</v>
      </c>
    </row>
    <row r="102" spans="11:12">
      <c r="K102" s="36">
        <v>100</v>
      </c>
      <c r="L102" s="95">
        <v>350.30000000000018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13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171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111</v>
      </c>
      <c r="C2" s="163"/>
      <c r="E2" s="58" t="s">
        <v>66</v>
      </c>
      <c r="F2" s="55" t="s">
        <v>22</v>
      </c>
      <c r="G2" s="43">
        <v>196</v>
      </c>
      <c r="H2" s="128">
        <f>IF(B$15=0,0,G2/B$15)</f>
        <v>0.75968992248062017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442.34234234234236</v>
      </c>
      <c r="P2" s="114">
        <v>111</v>
      </c>
      <c r="Q2" s="98">
        <v>49100</v>
      </c>
    </row>
    <row r="3" spans="1:17">
      <c r="A3" s="51" t="s">
        <v>8</v>
      </c>
      <c r="B3" s="164">
        <v>889</v>
      </c>
      <c r="C3" s="165"/>
      <c r="E3" s="59" t="s">
        <v>72</v>
      </c>
      <c r="F3" s="56" t="s">
        <v>27</v>
      </c>
      <c r="G3" s="44">
        <v>142</v>
      </c>
      <c r="H3" s="129">
        <f>IF(B$15=0,0,G3/B$15)</f>
        <v>0.55038759689922478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332.40740740740739</v>
      </c>
      <c r="P3" s="115">
        <v>108</v>
      </c>
      <c r="Q3" s="99">
        <v>35900</v>
      </c>
    </row>
    <row r="4" spans="1:17">
      <c r="A4" s="51" t="s">
        <v>6</v>
      </c>
      <c r="B4" s="166">
        <v>106.3</v>
      </c>
      <c r="C4" s="167"/>
      <c r="E4" s="59" t="s">
        <v>64</v>
      </c>
      <c r="F4" s="56" t="s">
        <v>20</v>
      </c>
      <c r="G4" s="44">
        <v>132</v>
      </c>
      <c r="H4" s="129">
        <f>IF(B$15=0,0,G4/B$15)</f>
        <v>0.51162790697674421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658.82352941176475</v>
      </c>
      <c r="P4" s="115">
        <v>102</v>
      </c>
      <c r="Q4" s="99">
        <v>67200</v>
      </c>
    </row>
    <row r="5" spans="1:17">
      <c r="A5" s="51" t="s">
        <v>7</v>
      </c>
      <c r="B5" s="168">
        <f>IF(B$2=0,0,B$4/B$2)</f>
        <v>0.95765765765765765</v>
      </c>
      <c r="C5" s="169"/>
      <c r="E5" s="59" t="s">
        <v>166</v>
      </c>
      <c r="F5" s="56" t="s">
        <v>167</v>
      </c>
      <c r="G5" s="44">
        <v>118</v>
      </c>
      <c r="H5" s="129">
        <f>IF(B$15=0,0,G5/B$15)</f>
        <v>0.4573643410852713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98.924731182795696</v>
      </c>
      <c r="P5" s="115">
        <v>93</v>
      </c>
      <c r="Q5" s="99">
        <v>9200</v>
      </c>
    </row>
    <row r="6" spans="1:17">
      <c r="A6" s="51" t="s">
        <v>1</v>
      </c>
      <c r="B6" s="158">
        <f>IF(B$2=0,0,(B$7*1+B$8*2+B$9*3)/B$2)</f>
        <v>2.0180180180180178</v>
      </c>
      <c r="C6" s="159"/>
      <c r="E6" s="59" t="s">
        <v>67</v>
      </c>
      <c r="F6" s="56" t="s">
        <v>23</v>
      </c>
      <c r="G6" s="44">
        <v>96</v>
      </c>
      <c r="H6" s="129">
        <f>IF(B$15=0,0,G6/B$15)</f>
        <v>0.37209302325581395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-69.512195121951223</v>
      </c>
      <c r="P6" s="115">
        <v>82</v>
      </c>
      <c r="Q6" s="99">
        <v>-5700</v>
      </c>
    </row>
    <row r="7" spans="1:17">
      <c r="A7" s="51" t="s">
        <v>2</v>
      </c>
      <c r="B7" s="44">
        <v>29</v>
      </c>
      <c r="C7" s="37">
        <f t="shared" ref="C7:C10" si="1">IF(B$2=0,0,B7/B$2)</f>
        <v>0.26126126126126126</v>
      </c>
      <c r="E7" s="59" t="s">
        <v>68</v>
      </c>
      <c r="F7" s="56" t="s">
        <v>12</v>
      </c>
      <c r="G7" s="44">
        <v>86</v>
      </c>
      <c r="H7" s="129">
        <f>IF(B$15=0,0,G7/B$15)</f>
        <v>0.33333333333333331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-801.42857142857144</v>
      </c>
      <c r="P7" s="116">
        <v>70</v>
      </c>
      <c r="Q7" s="100">
        <v>-56100</v>
      </c>
    </row>
    <row r="8" spans="1:17">
      <c r="A8" s="51" t="s">
        <v>3</v>
      </c>
      <c r="B8" s="44">
        <v>51</v>
      </c>
      <c r="C8" s="37">
        <f t="shared" si="1"/>
        <v>0.45945945945945948</v>
      </c>
      <c r="E8" s="59" t="s">
        <v>69</v>
      </c>
      <c r="F8" s="56" t="s">
        <v>24</v>
      </c>
      <c r="G8" s="44">
        <v>36</v>
      </c>
      <c r="H8" s="129">
        <f>IF(B$15=0,0,G8/B$15)</f>
        <v>0.13953488372093023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>
      <c r="A9" s="52" t="s">
        <v>4</v>
      </c>
      <c r="B9" s="45">
        <v>31</v>
      </c>
      <c r="C9" s="38">
        <f t="shared" si="1"/>
        <v>0.27927927927927926</v>
      </c>
      <c r="E9" s="59" t="s">
        <v>89</v>
      </c>
      <c r="F9" s="56" t="s">
        <v>44</v>
      </c>
      <c r="G9" s="44">
        <v>29</v>
      </c>
      <c r="H9" s="129">
        <f>IF(B$15=0,0,G9/B$15)</f>
        <v>0.1124031007751938</v>
      </c>
      <c r="I9" s="90">
        <v>11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8</v>
      </c>
      <c r="C10" s="40">
        <f t="shared" si="1"/>
        <v>7.2072072072072071E-2</v>
      </c>
      <c r="E10" s="59" t="s">
        <v>71</v>
      </c>
      <c r="F10" s="56" t="s">
        <v>26</v>
      </c>
      <c r="G10" s="44">
        <v>26</v>
      </c>
      <c r="H10" s="129">
        <f>IF(B$15=0,0,G10/B$15)</f>
        <v>0.10077519379844961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0.3645833333333332</v>
      </c>
      <c r="P10" s="114">
        <v>48</v>
      </c>
      <c r="Q10" s="102">
        <v>17.499999999999993</v>
      </c>
    </row>
    <row r="11" spans="1:17">
      <c r="A11" s="54" t="s">
        <v>121</v>
      </c>
      <c r="B11" s="47">
        <v>239</v>
      </c>
      <c r="C11" s="42">
        <f>IF(B$3=0,0,B11/B$3)</f>
        <v>0.26884139482564678</v>
      </c>
      <c r="E11" s="59" t="s">
        <v>65</v>
      </c>
      <c r="F11" s="56" t="s">
        <v>21</v>
      </c>
      <c r="G11" s="44">
        <v>22</v>
      </c>
      <c r="H11" s="129">
        <f>IF(B$15=0,0,G11/B$15)</f>
        <v>8.5271317829457363E-2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3.1852941176470595</v>
      </c>
      <c r="P11" s="115">
        <v>34</v>
      </c>
      <c r="Q11" s="103">
        <v>108.30000000000003</v>
      </c>
    </row>
    <row r="12" spans="1:17">
      <c r="A12" s="51" t="s">
        <v>118</v>
      </c>
      <c r="B12" s="44">
        <v>195</v>
      </c>
      <c r="C12" s="37">
        <f>IF(B$3=0,0,B12/B$3)</f>
        <v>0.21934758155230596</v>
      </c>
      <c r="E12" s="59" t="s">
        <v>70</v>
      </c>
      <c r="F12" s="56" t="s">
        <v>25</v>
      </c>
      <c r="G12" s="44">
        <v>20</v>
      </c>
      <c r="H12" s="129">
        <f>IF(B$15=0,0,G12/B$15)</f>
        <v>7.7519379844961239E-2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-0.67241379310344851</v>
      </c>
      <c r="P12" s="116">
        <v>29</v>
      </c>
      <c r="Q12" s="104">
        <v>-19.500000000000007</v>
      </c>
    </row>
    <row r="13" spans="1:17">
      <c r="A13" s="50" t="s">
        <v>123</v>
      </c>
      <c r="B13" s="43">
        <f>B19</f>
        <v>138</v>
      </c>
      <c r="C13" s="35">
        <f>IF(B$11=0,0,B13/B$11)</f>
        <v>0.57740585774058573</v>
      </c>
      <c r="E13" s="59" t="s">
        <v>86</v>
      </c>
      <c r="F13" s="56" t="s">
        <v>41</v>
      </c>
      <c r="G13" s="44">
        <v>14</v>
      </c>
      <c r="H13" s="129">
        <f>IF(B$15=0,0,G13/B$15)</f>
        <v>5.4263565891472867E-2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84</v>
      </c>
      <c r="C14" s="35">
        <f>IF(B$12=0,0,B14/B$12)</f>
        <v>0.43076923076923079</v>
      </c>
      <c r="E14" s="59" t="s">
        <v>83</v>
      </c>
      <c r="F14" s="56" t="s">
        <v>38</v>
      </c>
      <c r="G14" s="44">
        <v>11</v>
      </c>
      <c r="H14" s="129">
        <f>IF(B$15=0,0,G14/B$15)</f>
        <v>4.2635658914728682E-2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258</v>
      </c>
      <c r="C15" s="35">
        <f>IF(B$3=0,0,B15/B$3)</f>
        <v>0.29021372328458944</v>
      </c>
      <c r="E15" s="59" t="s">
        <v>79</v>
      </c>
      <c r="F15" s="56" t="s">
        <v>34</v>
      </c>
      <c r="G15" s="44">
        <v>6</v>
      </c>
      <c r="H15" s="129">
        <f>IF(B$15=0,0,G15/B$15)</f>
        <v>2.3255813953488372E-2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>
      <c r="A16" s="51" t="s">
        <v>13</v>
      </c>
      <c r="B16" s="44">
        <v>121</v>
      </c>
      <c r="C16" s="37">
        <f>IF(B$3=0,0,B16/B$3)</f>
        <v>0.13610798650168729</v>
      </c>
      <c r="E16" s="59" t="s">
        <v>162</v>
      </c>
      <c r="F16" s="56" t="s">
        <v>163</v>
      </c>
      <c r="G16" s="44">
        <v>6</v>
      </c>
      <c r="H16" s="129">
        <f>IF(B$15=0,0,G16/B$15)</f>
        <v>2.3255813953488372E-2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>
      <c r="A17" s="51" t="s">
        <v>12</v>
      </c>
      <c r="B17" s="44">
        <v>115</v>
      </c>
      <c r="C17" s="37">
        <f>IF(B$15=0,0,B17/B$15)</f>
        <v>0.44573643410852715</v>
      </c>
      <c r="E17" s="59" t="s">
        <v>73</v>
      </c>
      <c r="F17" s="56" t="s">
        <v>28</v>
      </c>
      <c r="G17" s="44">
        <v>5</v>
      </c>
      <c r="H17" s="129">
        <f>IF(B$15=0,0,G17/B$15)</f>
        <v>1.937984496124031E-2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25.104347826086954</v>
      </c>
      <c r="P17" s="115">
        <v>23</v>
      </c>
      <c r="Q17" s="103">
        <v>577.4</v>
      </c>
    </row>
    <row r="18" spans="1:17">
      <c r="A18" s="51" t="s">
        <v>11</v>
      </c>
      <c r="B18" s="44">
        <v>143</v>
      </c>
      <c r="C18" s="37">
        <f>IF(B$15=0,0,B18/B$15)</f>
        <v>0.55426356589147285</v>
      </c>
      <c r="E18" s="59" t="s">
        <v>81</v>
      </c>
      <c r="F18" s="56" t="s">
        <v>36</v>
      </c>
      <c r="G18" s="44">
        <v>4</v>
      </c>
      <c r="H18" s="129">
        <f>IF(B$15=0,0,G18/B$15)</f>
        <v>1.5503875968992248E-2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>
      <c r="A19" s="51" t="s">
        <v>195</v>
      </c>
      <c r="B19" s="44">
        <v>138</v>
      </c>
      <c r="C19" s="37">
        <f>IF(B$15=0,0,B19/B$15)</f>
        <v>0.53488372093023251</v>
      </c>
      <c r="E19" s="59" t="s">
        <v>78</v>
      </c>
      <c r="F19" s="56" t="s">
        <v>33</v>
      </c>
      <c r="G19" s="44">
        <v>3</v>
      </c>
      <c r="H19" s="129">
        <f>IF(B$15=0,0,G19/B$15)</f>
        <v>1.1627906976744186E-2</v>
      </c>
      <c r="I19" s="90">
        <v>7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>
      <c r="A20" s="51" t="s">
        <v>193</v>
      </c>
      <c r="B20" s="44">
        <v>84</v>
      </c>
      <c r="C20" s="37">
        <f>IF(B$15=0,0,B20/B$15)</f>
        <v>0.32558139534883723</v>
      </c>
      <c r="E20" s="59" t="s">
        <v>85</v>
      </c>
      <c r="F20" s="56" t="s">
        <v>40</v>
      </c>
      <c r="G20" s="44">
        <v>2</v>
      </c>
      <c r="H20" s="129">
        <f>IF(B$15=0,0,G20/B$15)</f>
        <v>7.7519379844961239E-3</v>
      </c>
      <c r="I20" s="90">
        <v>3</v>
      </c>
      <c r="K20" s="36">
        <v>18</v>
      </c>
      <c r="L20" s="95">
        <v>-62.399999999999991</v>
      </c>
      <c r="N20" s="111" t="s">
        <v>161</v>
      </c>
      <c r="O20" s="121">
        <f t="shared" si="2"/>
        <v>3.9454545454545458</v>
      </c>
      <c r="P20" s="115">
        <v>22</v>
      </c>
      <c r="Q20" s="103">
        <v>86.800000000000011</v>
      </c>
    </row>
    <row r="21" spans="1:17">
      <c r="A21" s="51" t="s">
        <v>194</v>
      </c>
      <c r="B21" s="44">
        <v>36</v>
      </c>
      <c r="C21" s="37">
        <f>IF(B$15=0,0,B21/B$15)</f>
        <v>0.13953488372093023</v>
      </c>
      <c r="E21" s="59" t="s">
        <v>91</v>
      </c>
      <c r="F21" s="56" t="s">
        <v>46</v>
      </c>
      <c r="G21" s="44">
        <v>2</v>
      </c>
      <c r="H21" s="129">
        <f>IF(B$15=0,0,G21/B$15)</f>
        <v>7.7519379844961239E-3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>
      <c r="A22" s="51" t="s">
        <v>5</v>
      </c>
      <c r="B22" s="48">
        <f>IF(B$15=0,0,C22/B$15)</f>
        <v>8524.8062015503874</v>
      </c>
      <c r="C22" s="39">
        <v>2199400</v>
      </c>
      <c r="E22" s="59" t="s">
        <v>74</v>
      </c>
      <c r="F22" s="56" t="s">
        <v>29</v>
      </c>
      <c r="G22" s="44">
        <v>1</v>
      </c>
      <c r="H22" s="129">
        <f>IF(B$15=0,0,G22/B$15)</f>
        <v>3.875968992248062E-3</v>
      </c>
      <c r="I22" s="90">
        <v>6</v>
      </c>
      <c r="K22" s="36">
        <v>20</v>
      </c>
      <c r="L22" s="95">
        <v>-93.199999999999989</v>
      </c>
      <c r="N22" s="111" t="s">
        <v>170</v>
      </c>
      <c r="O22" s="121">
        <f t="shared" si="2"/>
        <v>-6.0122448979591843</v>
      </c>
      <c r="P22" s="115">
        <v>49</v>
      </c>
      <c r="Q22" s="103">
        <v>-294.60000000000002</v>
      </c>
    </row>
    <row r="23" spans="1:17">
      <c r="A23" s="52" t="s">
        <v>177</v>
      </c>
      <c r="B23" s="136">
        <f>IF($B$15-B$14=0,0,C23/($B$15-B$14))</f>
        <v>9363.7931034482754</v>
      </c>
      <c r="C23" s="137">
        <v>1629300</v>
      </c>
      <c r="E23" s="59" t="s">
        <v>75</v>
      </c>
      <c r="F23" s="56" t="s">
        <v>30</v>
      </c>
      <c r="G23" s="44">
        <v>1</v>
      </c>
      <c r="H23" s="129">
        <f>IF(B$15=0,0,G23/B$15)</f>
        <v>3.875968992248062E-3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 t="shared" si="2"/>
        <v>-13.271698113207547</v>
      </c>
      <c r="P23" s="115">
        <v>53</v>
      </c>
      <c r="Q23" s="103">
        <v>-703.4</v>
      </c>
    </row>
    <row r="24" spans="1:17">
      <c r="A24" s="52" t="s">
        <v>178</v>
      </c>
      <c r="B24" s="136">
        <f>IF(B$14=0,0,C24/B$14)</f>
        <v>6786.9047619047615</v>
      </c>
      <c r="C24" s="137">
        <v>570100</v>
      </c>
      <c r="E24" s="59" t="s">
        <v>87</v>
      </c>
      <c r="F24" s="56" t="s">
        <v>42</v>
      </c>
      <c r="G24" s="44">
        <v>1</v>
      </c>
      <c r="H24" s="129">
        <f>IF(B$15=0,0,G24/B$15)</f>
        <v>3.875968992248062E-3</v>
      </c>
      <c r="I24" s="90">
        <v>3</v>
      </c>
      <c r="K24" s="36">
        <v>22</v>
      </c>
      <c r="L24" s="95">
        <v>-66.999999999999986</v>
      </c>
    </row>
    <row r="25" spans="1:17">
      <c r="A25" s="52" t="s">
        <v>176</v>
      </c>
      <c r="B25" s="136">
        <f>IF(B$16=0,0,C25/B$16)</f>
        <v>-7440.4958677685954</v>
      </c>
      <c r="C25" s="137">
        <v>-900300</v>
      </c>
      <c r="E25" s="59" t="s">
        <v>88</v>
      </c>
      <c r="F25" s="56" t="s">
        <v>43</v>
      </c>
      <c r="G25" s="44">
        <v>1</v>
      </c>
      <c r="H25" s="129">
        <f>IF(B$15=0,0,G25/B$15)</f>
        <v>3.875968992248062E-3</v>
      </c>
      <c r="I25" s="90">
        <v>3</v>
      </c>
      <c r="K25" s="36">
        <v>23</v>
      </c>
      <c r="L25" s="95">
        <v>-59.599999999999987</v>
      </c>
    </row>
    <row r="26" spans="1:17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3.875968992248062E-3</v>
      </c>
      <c r="I26" s="90">
        <v>3</v>
      </c>
      <c r="K26" s="36">
        <v>24</v>
      </c>
      <c r="L26" s="95">
        <v>-91.399999999999991</v>
      </c>
    </row>
    <row r="27" spans="1:17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3.875968992248062E-3</v>
      </c>
      <c r="I27" s="90">
        <v>1</v>
      </c>
      <c r="K27" s="36">
        <v>25</v>
      </c>
      <c r="L27" s="95">
        <v>-41.29999999999999</v>
      </c>
    </row>
    <row r="28" spans="1:17">
      <c r="A28" s="86" t="s">
        <v>138</v>
      </c>
      <c r="B28" s="156">
        <v>8</v>
      </c>
      <c r="C28" s="157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>
      <c r="A29" s="54" t="s">
        <v>192</v>
      </c>
      <c r="B29" s="154">
        <v>101400</v>
      </c>
      <c r="C29" s="155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>
      <c r="A30" s="53" t="s">
        <v>139</v>
      </c>
      <c r="B30" s="61">
        <v>2</v>
      </c>
      <c r="C30" s="40">
        <f>IF(B$3=0,0,B30/B$3)</f>
        <v>2.2497187851518562E-3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>
      <c r="A32" s="86" t="s">
        <v>183</v>
      </c>
      <c r="B32" s="144">
        <v>15</v>
      </c>
      <c r="C32" s="141">
        <f>IF(B$15=0,0,B32/B$15)</f>
        <v>5.8139534883720929E-2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>
      <c r="A33" s="51" t="s">
        <v>179</v>
      </c>
      <c r="B33" s="44">
        <v>46</v>
      </c>
      <c r="C33" s="37">
        <f t="shared" ref="C33:C44" si="3">IF(B$15=0,0,B33/B$15)</f>
        <v>0.17829457364341086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>
      <c r="A34" s="51" t="s">
        <v>180</v>
      </c>
      <c r="B34" s="145">
        <v>51</v>
      </c>
      <c r="C34" s="37">
        <f>IF(B$15=0,0,B34/B$15)</f>
        <v>0.19767441860465115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>
      <c r="A35" s="51" t="s">
        <v>181</v>
      </c>
      <c r="B35" s="145">
        <v>46</v>
      </c>
      <c r="C35" s="37">
        <f t="shared" si="3"/>
        <v>0.17829457364341086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>
      <c r="A36" s="51" t="s">
        <v>182</v>
      </c>
      <c r="B36" s="145">
        <v>40</v>
      </c>
      <c r="C36" s="37">
        <f t="shared" si="3"/>
        <v>0.15503875968992248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>
      <c r="A37" s="51" t="s">
        <v>184</v>
      </c>
      <c r="B37" s="145">
        <v>31</v>
      </c>
      <c r="C37" s="37">
        <f t="shared" si="3"/>
        <v>0.12015503875968993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>
      <c r="A38" s="51" t="s">
        <v>185</v>
      </c>
      <c r="B38" s="145">
        <v>12</v>
      </c>
      <c r="C38" s="37">
        <f t="shared" si="3"/>
        <v>4.6511627906976744E-2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>
      <c r="A39" s="51" t="s">
        <v>186</v>
      </c>
      <c r="B39" s="145">
        <v>7</v>
      </c>
      <c r="C39" s="37">
        <f t="shared" si="3"/>
        <v>2.7131782945736434E-2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>
      <c r="A40" s="51" t="s">
        <v>187</v>
      </c>
      <c r="B40" s="145">
        <v>3</v>
      </c>
      <c r="C40" s="37">
        <f t="shared" si="3"/>
        <v>1.1627906976744186E-2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>
      <c r="A41" s="51" t="s">
        <v>188</v>
      </c>
      <c r="B41" s="145">
        <v>2</v>
      </c>
      <c r="C41" s="37">
        <f t="shared" si="3"/>
        <v>7.7519379844961239E-3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>
      <c r="A42" s="51" t="s">
        <v>189</v>
      </c>
      <c r="B42" s="145">
        <v>1</v>
      </c>
      <c r="C42" s="37">
        <f t="shared" si="3"/>
        <v>3.875968992248062E-3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>
      <c r="A43" s="51" t="s">
        <v>190</v>
      </c>
      <c r="B43" s="145">
        <v>2</v>
      </c>
      <c r="C43" s="37">
        <f t="shared" si="3"/>
        <v>7.7519379844961239E-3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>
      <c r="A44" s="53" t="s">
        <v>191</v>
      </c>
      <c r="B44" s="140">
        <v>2</v>
      </c>
      <c r="C44" s="40">
        <f t="shared" si="3"/>
        <v>7.7519379844961239E-3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>
      <c r="K53" s="36">
        <v>51</v>
      </c>
      <c r="L53" s="95">
        <v>-0.29999999999997673</v>
      </c>
    </row>
    <row r="54" spans="5:12">
      <c r="K54" s="36">
        <v>52</v>
      </c>
      <c r="L54" s="95">
        <v>8.800000000000022</v>
      </c>
    </row>
    <row r="55" spans="5:12">
      <c r="K55" s="36">
        <v>53</v>
      </c>
      <c r="L55" s="95">
        <v>5.800000000000022</v>
      </c>
    </row>
    <row r="56" spans="5:12">
      <c r="K56" s="36">
        <v>54</v>
      </c>
      <c r="L56" s="95">
        <v>-12.499999999999979</v>
      </c>
    </row>
    <row r="57" spans="5:12">
      <c r="K57" s="36">
        <v>55</v>
      </c>
      <c r="L57" s="95">
        <v>36.40000000000002</v>
      </c>
    </row>
    <row r="58" spans="5:12">
      <c r="K58" s="36">
        <v>56</v>
      </c>
      <c r="L58" s="95">
        <v>-3.6999999999999815</v>
      </c>
    </row>
    <row r="59" spans="5:12">
      <c r="K59" s="36">
        <v>57</v>
      </c>
      <c r="L59" s="95">
        <v>12.90000000000002</v>
      </c>
    </row>
    <row r="60" spans="5:12">
      <c r="K60" s="36">
        <v>58</v>
      </c>
      <c r="L60" s="95">
        <v>37.700000000000017</v>
      </c>
    </row>
    <row r="61" spans="5:12">
      <c r="K61" s="36">
        <v>59</v>
      </c>
      <c r="L61" s="95">
        <v>77.000000000000014</v>
      </c>
    </row>
    <row r="62" spans="5:12">
      <c r="K62" s="36">
        <v>60</v>
      </c>
      <c r="L62" s="95">
        <v>21.100000000000016</v>
      </c>
    </row>
    <row r="63" spans="5:12">
      <c r="K63" s="36">
        <v>61</v>
      </c>
      <c r="L63" s="95">
        <v>27.100000000000016</v>
      </c>
    </row>
    <row r="64" spans="5:12">
      <c r="K64" s="36">
        <v>62</v>
      </c>
      <c r="L64" s="95">
        <v>11.800000000000015</v>
      </c>
    </row>
    <row r="65" spans="11:12">
      <c r="K65" s="36">
        <v>63</v>
      </c>
      <c r="L65" s="95">
        <v>46.40000000000002</v>
      </c>
    </row>
    <row r="66" spans="11:12">
      <c r="K66" s="36">
        <v>64</v>
      </c>
      <c r="L66" s="95">
        <v>39.90000000000002</v>
      </c>
    </row>
    <row r="67" spans="11:12">
      <c r="K67" s="36">
        <v>65</v>
      </c>
      <c r="L67" s="95">
        <v>14.600000000000019</v>
      </c>
    </row>
    <row r="68" spans="11:12">
      <c r="K68" s="36">
        <v>66</v>
      </c>
      <c r="L68" s="95">
        <v>-6.2999999999999794</v>
      </c>
    </row>
    <row r="69" spans="11:12">
      <c r="K69" s="36">
        <v>67</v>
      </c>
      <c r="L69" s="95">
        <v>-2.7999999999999794</v>
      </c>
    </row>
    <row r="70" spans="11:12">
      <c r="K70" s="36">
        <v>68</v>
      </c>
      <c r="L70" s="95">
        <v>-35.799999999999983</v>
      </c>
    </row>
    <row r="71" spans="11:12">
      <c r="K71" s="36">
        <v>69</v>
      </c>
      <c r="L71" s="95">
        <v>-59.899999999999984</v>
      </c>
    </row>
    <row r="72" spans="11:12">
      <c r="K72" s="36">
        <v>70</v>
      </c>
      <c r="L72" s="95">
        <v>-49.59999999999998</v>
      </c>
    </row>
    <row r="73" spans="11:12">
      <c r="K73" s="36">
        <v>71</v>
      </c>
      <c r="L73" s="95">
        <v>-53.999999999999979</v>
      </c>
    </row>
    <row r="74" spans="11:12">
      <c r="K74" s="36">
        <v>72</v>
      </c>
      <c r="L74" s="95">
        <v>-68.199999999999974</v>
      </c>
    </row>
    <row r="75" spans="11:12">
      <c r="K75" s="36">
        <v>73</v>
      </c>
      <c r="L75" s="95">
        <v>-65.699999999999974</v>
      </c>
    </row>
    <row r="76" spans="11:12">
      <c r="K76" s="36">
        <v>74</v>
      </c>
      <c r="L76" s="95">
        <v>-35.599999999999973</v>
      </c>
    </row>
    <row r="77" spans="11:12">
      <c r="K77" s="36">
        <v>75</v>
      </c>
      <c r="L77" s="95">
        <v>-37.499999999999972</v>
      </c>
    </row>
    <row r="78" spans="11:12">
      <c r="K78" s="36">
        <v>76</v>
      </c>
      <c r="L78" s="95">
        <v>-28.199999999999971</v>
      </c>
    </row>
    <row r="79" spans="11:12">
      <c r="K79" s="36">
        <v>77</v>
      </c>
      <c r="L79" s="95">
        <v>-87.299999999999969</v>
      </c>
    </row>
    <row r="80" spans="11:12">
      <c r="K80" s="36">
        <v>78</v>
      </c>
      <c r="L80" s="95">
        <v>-133.39999999999998</v>
      </c>
    </row>
    <row r="81" spans="11:12">
      <c r="K81" s="36">
        <v>79</v>
      </c>
      <c r="L81" s="95">
        <v>-169.99999999999997</v>
      </c>
    </row>
    <row r="82" spans="11:12">
      <c r="K82" s="36">
        <v>80</v>
      </c>
      <c r="L82" s="95">
        <v>-165.79999999999998</v>
      </c>
    </row>
    <row r="83" spans="11:12">
      <c r="K83" s="36">
        <v>81</v>
      </c>
      <c r="L83" s="95">
        <v>-115.99999999999999</v>
      </c>
    </row>
    <row r="84" spans="11:12">
      <c r="K84" s="36">
        <v>82</v>
      </c>
      <c r="L84" s="95">
        <v>-117.19999999999999</v>
      </c>
    </row>
    <row r="85" spans="11:12">
      <c r="K85" s="36">
        <v>83</v>
      </c>
      <c r="L85" s="95">
        <v>-128.6</v>
      </c>
    </row>
    <row r="86" spans="11:12">
      <c r="K86" s="36">
        <v>84</v>
      </c>
      <c r="L86" s="95">
        <v>-119.8</v>
      </c>
    </row>
    <row r="87" spans="11:12">
      <c r="K87" s="36">
        <v>85</v>
      </c>
      <c r="L87" s="95">
        <v>-97.4</v>
      </c>
    </row>
    <row r="88" spans="11:12">
      <c r="K88" s="36">
        <v>86</v>
      </c>
      <c r="L88" s="95">
        <v>-83.800000000000011</v>
      </c>
    </row>
    <row r="89" spans="11:12">
      <c r="K89" s="36">
        <v>87</v>
      </c>
      <c r="L89" s="95">
        <v>-57.400000000000013</v>
      </c>
    </row>
    <row r="90" spans="11:12">
      <c r="K90" s="36">
        <v>88</v>
      </c>
      <c r="L90" s="95">
        <v>-63.20000000000001</v>
      </c>
    </row>
    <row r="91" spans="11:12">
      <c r="K91" s="36">
        <v>89</v>
      </c>
      <c r="L91" s="95">
        <v>-119.60000000000001</v>
      </c>
    </row>
    <row r="92" spans="11:12">
      <c r="K92" s="36">
        <v>90</v>
      </c>
      <c r="L92" s="95">
        <v>-57.600000000000009</v>
      </c>
    </row>
    <row r="93" spans="11:12">
      <c r="K93" s="36">
        <v>91</v>
      </c>
      <c r="L93" s="95">
        <v>-54.900000000000006</v>
      </c>
    </row>
    <row r="94" spans="11:12">
      <c r="K94" s="36">
        <v>92</v>
      </c>
      <c r="L94" s="95">
        <v>-17.100000000000009</v>
      </c>
    </row>
    <row r="95" spans="11:12">
      <c r="K95" s="36">
        <v>93</v>
      </c>
      <c r="L95" s="95">
        <v>8.7999999999999901</v>
      </c>
    </row>
    <row r="96" spans="11:12">
      <c r="K96" s="36">
        <v>94</v>
      </c>
      <c r="L96" s="95">
        <v>-4.1000000000000103</v>
      </c>
    </row>
    <row r="97" spans="11:12">
      <c r="K97" s="36">
        <v>95</v>
      </c>
      <c r="L97" s="95">
        <v>31.899999999999991</v>
      </c>
    </row>
    <row r="98" spans="11:12">
      <c r="K98" s="36">
        <v>96</v>
      </c>
      <c r="L98" s="95">
        <v>52.29999999999999</v>
      </c>
    </row>
    <row r="99" spans="11:12">
      <c r="K99" s="36">
        <v>97</v>
      </c>
      <c r="L99" s="95">
        <v>13.999999999999993</v>
      </c>
    </row>
    <row r="100" spans="11:12">
      <c r="K100" s="36">
        <v>98</v>
      </c>
      <c r="L100" s="95">
        <v>21.399999999999991</v>
      </c>
    </row>
    <row r="101" spans="11:12">
      <c r="K101" s="36">
        <v>99</v>
      </c>
      <c r="L101" s="95">
        <v>-5.4000000000000092</v>
      </c>
    </row>
    <row r="102" spans="11:12">
      <c r="K102" s="36">
        <v>100</v>
      </c>
      <c r="L102" s="95">
        <v>-25.600000000000009</v>
      </c>
    </row>
    <row r="103" spans="11:12">
      <c r="K103" s="36">
        <v>101</v>
      </c>
      <c r="L103" s="95">
        <v>32.199999999999989</v>
      </c>
    </row>
    <row r="104" spans="11:12">
      <c r="K104" s="36">
        <v>102</v>
      </c>
      <c r="L104" s="95">
        <v>27.699999999999989</v>
      </c>
    </row>
    <row r="105" spans="11:12">
      <c r="K105" s="36">
        <v>103</v>
      </c>
      <c r="L105" s="95">
        <v>45.79999999999999</v>
      </c>
    </row>
    <row r="106" spans="11:12">
      <c r="K106" s="36">
        <v>104</v>
      </c>
      <c r="L106" s="95">
        <v>122.19999999999999</v>
      </c>
    </row>
    <row r="107" spans="11:12">
      <c r="K107" s="36">
        <v>105</v>
      </c>
      <c r="L107" s="95">
        <v>86.299999999999983</v>
      </c>
    </row>
    <row r="108" spans="11:12">
      <c r="K108" s="36">
        <v>106</v>
      </c>
      <c r="L108" s="95">
        <v>84.299999999999983</v>
      </c>
    </row>
    <row r="109" spans="11:12">
      <c r="K109" s="36">
        <v>107</v>
      </c>
      <c r="L109" s="95">
        <v>106.29999999999998</v>
      </c>
    </row>
    <row r="110" spans="11:12">
      <c r="K110" s="36">
        <v>108</v>
      </c>
      <c r="L110" s="95">
        <v>99.199999999999989</v>
      </c>
    </row>
    <row r="111" spans="11:12">
      <c r="K111" s="36">
        <v>109</v>
      </c>
      <c r="L111" s="95">
        <v>132.19999999999999</v>
      </c>
    </row>
    <row r="112" spans="11:12">
      <c r="K112" s="36">
        <v>110</v>
      </c>
      <c r="L112" s="95">
        <v>120.1</v>
      </c>
    </row>
    <row r="113" spans="11:12">
      <c r="K113" s="36">
        <v>111</v>
      </c>
      <c r="L113" s="95">
        <v>106.3</v>
      </c>
    </row>
  </sheetData>
  <sortState xmlns:xlrd2="http://schemas.microsoft.com/office/spreadsheetml/2017/richdata2" ref="E2:I11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5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197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53</v>
      </c>
      <c r="C2" s="163"/>
      <c r="E2" s="58" t="s">
        <v>66</v>
      </c>
      <c r="F2" s="55" t="s">
        <v>22</v>
      </c>
      <c r="G2" s="43">
        <v>70</v>
      </c>
      <c r="H2" s="128">
        <f>IF(B$15=0,0,G2/B$15)</f>
        <v>0.64220183486238536</v>
      </c>
      <c r="I2" s="89">
        <v>12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-2033.9622641509434</v>
      </c>
      <c r="P2" s="114">
        <v>53</v>
      </c>
      <c r="Q2" s="98">
        <v>-107800</v>
      </c>
    </row>
    <row r="3" spans="1:17">
      <c r="A3" s="51" t="s">
        <v>8</v>
      </c>
      <c r="B3" s="164">
        <v>430</v>
      </c>
      <c r="C3" s="165"/>
      <c r="E3" s="59" t="s">
        <v>72</v>
      </c>
      <c r="F3" s="56" t="s">
        <v>27</v>
      </c>
      <c r="G3" s="44">
        <v>67</v>
      </c>
      <c r="H3" s="129">
        <f>IF(B$15=0,0,G3/B$15)</f>
        <v>0.61467889908256879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303.77358490566036</v>
      </c>
      <c r="P3" s="115">
        <v>53</v>
      </c>
      <c r="Q3" s="99">
        <v>16100</v>
      </c>
    </row>
    <row r="4" spans="1:17">
      <c r="A4" s="51" t="s">
        <v>6</v>
      </c>
      <c r="B4" s="166">
        <v>-652.6</v>
      </c>
      <c r="C4" s="167"/>
      <c r="E4" s="59" t="s">
        <v>64</v>
      </c>
      <c r="F4" s="56" t="s">
        <v>20</v>
      </c>
      <c r="G4" s="44">
        <v>48</v>
      </c>
      <c r="H4" s="129">
        <f>IF(B$15=0,0,G4/B$15)</f>
        <v>0.44036697247706424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-1852.9411764705883</v>
      </c>
      <c r="P4" s="115">
        <v>51</v>
      </c>
      <c r="Q4" s="99">
        <v>-94500</v>
      </c>
    </row>
    <row r="5" spans="1:17">
      <c r="A5" s="51" t="s">
        <v>7</v>
      </c>
      <c r="B5" s="168">
        <f>IF(B$2=0,0,B$4/B$2)</f>
        <v>-12.313207547169812</v>
      </c>
      <c r="C5" s="169"/>
      <c r="E5" s="59" t="s">
        <v>166</v>
      </c>
      <c r="F5" s="56" t="s">
        <v>167</v>
      </c>
      <c r="G5" s="44">
        <v>40</v>
      </c>
      <c r="H5" s="129">
        <f>IF(B$15=0,0,G5/B$15)</f>
        <v>0.3669724770642202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-3045.6521739130435</v>
      </c>
      <c r="P5" s="115">
        <v>46</v>
      </c>
      <c r="Q5" s="99">
        <v>-140100</v>
      </c>
    </row>
    <row r="6" spans="1:17">
      <c r="A6" s="51" t="s">
        <v>1</v>
      </c>
      <c r="B6" s="158">
        <f>IF(B$2=0,0,(B$7*1+B$8*2+B$9*3)/B$2)</f>
        <v>2.3207547169811322</v>
      </c>
      <c r="C6" s="159"/>
      <c r="E6" s="59" t="s">
        <v>67</v>
      </c>
      <c r="F6" s="56" t="s">
        <v>23</v>
      </c>
      <c r="G6" s="44">
        <v>29</v>
      </c>
      <c r="H6" s="129">
        <f>IF(B$15=0,0,G6/B$15)</f>
        <v>0.26605504587155965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-1734.090909090909</v>
      </c>
      <c r="P6" s="115">
        <v>44</v>
      </c>
      <c r="Q6" s="99">
        <v>-76300</v>
      </c>
    </row>
    <row r="7" spans="1:17">
      <c r="A7" s="51" t="s">
        <v>2</v>
      </c>
      <c r="B7" s="44">
        <v>9</v>
      </c>
      <c r="C7" s="37">
        <f t="shared" ref="C7:C10" si="1">IF(B$2=0,0,B7/B$2)</f>
        <v>0.16981132075471697</v>
      </c>
      <c r="E7" s="59" t="s">
        <v>68</v>
      </c>
      <c r="F7" s="56" t="s">
        <v>12</v>
      </c>
      <c r="G7" s="44">
        <v>28</v>
      </c>
      <c r="H7" s="129">
        <f>IF(B$15=0,0,G7/B$15)</f>
        <v>0.25688073394495414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-2083.3333333333335</v>
      </c>
      <c r="P7" s="116">
        <v>36</v>
      </c>
      <c r="Q7" s="100">
        <v>-75000</v>
      </c>
    </row>
    <row r="8" spans="1:17">
      <c r="A8" s="51" t="s">
        <v>3</v>
      </c>
      <c r="B8" s="44">
        <v>18</v>
      </c>
      <c r="C8" s="37">
        <f t="shared" si="1"/>
        <v>0.33962264150943394</v>
      </c>
      <c r="E8" s="59" t="s">
        <v>89</v>
      </c>
      <c r="F8" s="56" t="s">
        <v>44</v>
      </c>
      <c r="G8" s="44">
        <v>15</v>
      </c>
      <c r="H8" s="129">
        <f>IF(B$15=0,0,G8/B$15)</f>
        <v>0.13761467889908258</v>
      </c>
      <c r="I8" s="90">
        <v>5</v>
      </c>
      <c r="K8" s="36">
        <v>6</v>
      </c>
      <c r="L8" s="95">
        <v>-159.6</v>
      </c>
      <c r="N8" s="41"/>
      <c r="O8" s="123"/>
      <c r="P8" s="107"/>
      <c r="Q8" s="105"/>
    </row>
    <row r="9" spans="1:17">
      <c r="A9" s="52" t="s">
        <v>4</v>
      </c>
      <c r="B9" s="45">
        <v>26</v>
      </c>
      <c r="C9" s="38">
        <f t="shared" si="1"/>
        <v>0.49056603773584906</v>
      </c>
      <c r="E9" s="59" t="s">
        <v>65</v>
      </c>
      <c r="F9" s="56" t="s">
        <v>21</v>
      </c>
      <c r="G9" s="44">
        <v>13</v>
      </c>
      <c r="H9" s="129">
        <f>IF(B$15=0,0,G9/B$15)</f>
        <v>0.11926605504587157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10</v>
      </c>
      <c r="C10" s="40">
        <f t="shared" si="1"/>
        <v>0.18867924528301888</v>
      </c>
      <c r="E10" s="59" t="s">
        <v>70</v>
      </c>
      <c r="F10" s="56" t="s">
        <v>25</v>
      </c>
      <c r="G10" s="44">
        <v>12</v>
      </c>
      <c r="H10" s="129">
        <f>IF(B$15=0,0,G10/B$15)</f>
        <v>0.11009174311926606</v>
      </c>
      <c r="I10" s="90">
        <v>7</v>
      </c>
      <c r="K10" s="36">
        <v>8</v>
      </c>
      <c r="L10" s="95">
        <v>-152.6</v>
      </c>
      <c r="N10" s="110" t="s">
        <v>157</v>
      </c>
      <c r="O10" s="120">
        <f>IF(P10=0,0,Q10/P10)</f>
        <v>-21.695454545454542</v>
      </c>
      <c r="P10" s="114">
        <v>22</v>
      </c>
      <c r="Q10" s="102">
        <v>-477.29999999999995</v>
      </c>
    </row>
    <row r="11" spans="1:17">
      <c r="A11" s="54" t="s">
        <v>121</v>
      </c>
      <c r="B11" s="47">
        <v>92</v>
      </c>
      <c r="C11" s="42">
        <f>IF(B$3=0,0,B11/B$3)</f>
        <v>0.21395348837209302</v>
      </c>
      <c r="E11" s="59" t="s">
        <v>71</v>
      </c>
      <c r="F11" s="56" t="s">
        <v>26</v>
      </c>
      <c r="G11" s="44">
        <v>11</v>
      </c>
      <c r="H11" s="129">
        <f>IF(B$15=0,0,G11/B$15)</f>
        <v>0.10091743119266056</v>
      </c>
      <c r="I11" s="90">
        <v>3</v>
      </c>
      <c r="K11" s="36">
        <v>9</v>
      </c>
      <c r="L11" s="95">
        <v>-150.6</v>
      </c>
      <c r="N11" s="111" t="s">
        <v>158</v>
      </c>
      <c r="O11" s="121">
        <f>IF(P11=0,0,Q11/P11)</f>
        <v>-3.9999999999999991</v>
      </c>
      <c r="P11" s="115">
        <v>15</v>
      </c>
      <c r="Q11" s="103">
        <v>-59.999999999999986</v>
      </c>
    </row>
    <row r="12" spans="1:17">
      <c r="A12" s="51" t="s">
        <v>118</v>
      </c>
      <c r="B12" s="44">
        <v>97</v>
      </c>
      <c r="C12" s="37">
        <f>IF(B$3=0,0,B12/B$3)</f>
        <v>0.2255813953488372</v>
      </c>
      <c r="E12" s="59" t="s">
        <v>69</v>
      </c>
      <c r="F12" s="56" t="s">
        <v>24</v>
      </c>
      <c r="G12" s="44">
        <v>8</v>
      </c>
      <c r="H12" s="129">
        <f>IF(B$15=0,0,G12/B$15)</f>
        <v>7.3394495412844041E-2</v>
      </c>
      <c r="I12" s="90">
        <v>11</v>
      </c>
      <c r="K12" s="36">
        <v>10</v>
      </c>
      <c r="L12" s="95">
        <v>-151.1</v>
      </c>
      <c r="N12" s="112" t="s">
        <v>159</v>
      </c>
      <c r="O12" s="122">
        <f>IF(P12=0,0,Q12/P12)</f>
        <v>-7.2062499999999998</v>
      </c>
      <c r="P12" s="116">
        <v>16</v>
      </c>
      <c r="Q12" s="104">
        <v>-115.3</v>
      </c>
    </row>
    <row r="13" spans="1:17">
      <c r="A13" s="50" t="s">
        <v>123</v>
      </c>
      <c r="B13" s="43">
        <f>B19</f>
        <v>49</v>
      </c>
      <c r="C13" s="35">
        <f>IF(B$11=0,0,B13/B$11)</f>
        <v>0.53260869565217395</v>
      </c>
      <c r="E13" s="59" t="s">
        <v>86</v>
      </c>
      <c r="F13" s="56" t="s">
        <v>41</v>
      </c>
      <c r="G13" s="44">
        <v>8</v>
      </c>
      <c r="H13" s="129">
        <f>IF(B$15=0,0,G13/B$15)</f>
        <v>7.3394495412844041E-2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41</v>
      </c>
      <c r="C14" s="35">
        <f>IF(B$12=0,0,B14/B$12)</f>
        <v>0.42268041237113402</v>
      </c>
      <c r="E14" s="59" t="s">
        <v>83</v>
      </c>
      <c r="F14" s="56" t="s">
        <v>38</v>
      </c>
      <c r="G14" s="44">
        <v>7</v>
      </c>
      <c r="H14" s="129">
        <f>IF(B$15=0,0,G14/B$15)</f>
        <v>6.4220183486238536E-2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109</v>
      </c>
      <c r="C15" s="35">
        <f>IF(B$3=0,0,B15/B$3)</f>
        <v>0.25348837209302327</v>
      </c>
      <c r="E15" s="59" t="s">
        <v>81</v>
      </c>
      <c r="F15" s="56" t="s">
        <v>36</v>
      </c>
      <c r="G15" s="44">
        <v>2</v>
      </c>
      <c r="H15" s="129">
        <f>IF(B$15=0,0,G15/B$15)</f>
        <v>1.834862385321101E-2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8.7583333333333275</v>
      </c>
      <c r="P15" s="114">
        <v>12</v>
      </c>
      <c r="Q15" s="102">
        <v>105.09999999999994</v>
      </c>
    </row>
    <row r="16" spans="1:17">
      <c r="A16" s="51" t="s">
        <v>13</v>
      </c>
      <c r="B16" s="44">
        <v>81</v>
      </c>
      <c r="C16" s="37">
        <f>IF(B$3=0,0,B16/B$3)</f>
        <v>0.1883720930232558</v>
      </c>
      <c r="E16" s="59" t="s">
        <v>91</v>
      </c>
      <c r="F16" s="56" t="s">
        <v>46</v>
      </c>
      <c r="G16" s="44">
        <v>2</v>
      </c>
      <c r="H16" s="129">
        <f>IF(B$15=0,0,G16/B$15)</f>
        <v>1.834862385321101E-2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>
      <c r="A17" s="51" t="s">
        <v>12</v>
      </c>
      <c r="B17" s="44">
        <v>49</v>
      </c>
      <c r="C17" s="37">
        <f>IF(B$15=0,0,B17/B$15)</f>
        <v>0.44954128440366975</v>
      </c>
      <c r="E17" s="59" t="s">
        <v>74</v>
      </c>
      <c r="F17" s="56" t="s">
        <v>29</v>
      </c>
      <c r="G17" s="44">
        <v>1</v>
      </c>
      <c r="H17" s="129">
        <f>IF(B$15=0,0,G17/B$15)</f>
        <v>9.1743119266055051E-3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-9.4086956521739129</v>
      </c>
      <c r="P17" s="115">
        <v>23</v>
      </c>
      <c r="Q17" s="103">
        <v>-216.4</v>
      </c>
    </row>
    <row r="18" spans="1:17">
      <c r="A18" s="51" t="s">
        <v>11</v>
      </c>
      <c r="B18" s="44">
        <v>60</v>
      </c>
      <c r="C18" s="37">
        <f>IF(B$15=0,0,B18/B$15)</f>
        <v>0.55045871559633031</v>
      </c>
      <c r="E18" s="59" t="s">
        <v>78</v>
      </c>
      <c r="F18" s="56" t="s">
        <v>33</v>
      </c>
      <c r="G18" s="44">
        <v>1</v>
      </c>
      <c r="H18" s="129">
        <f>IF(B$15=0,0,G18/B$15)</f>
        <v>9.1743119266055051E-3</v>
      </c>
      <c r="I18" s="90">
        <v>8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>
      <c r="A19" s="51" t="s">
        <v>195</v>
      </c>
      <c r="B19" s="44">
        <v>49</v>
      </c>
      <c r="C19" s="37">
        <f>IF(B$15=0,0,B19/B$15)</f>
        <v>0.44954128440366975</v>
      </c>
      <c r="E19" s="59" t="s">
        <v>92</v>
      </c>
      <c r="F19" s="56" t="s">
        <v>47</v>
      </c>
      <c r="G19" s="44">
        <v>1</v>
      </c>
      <c r="H19" s="129">
        <f>IF(B$15=0,0,G19/B$15)</f>
        <v>9.1743119266055051E-3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>
      <c r="A20" s="51" t="s">
        <v>193</v>
      </c>
      <c r="B20" s="44">
        <v>41</v>
      </c>
      <c r="C20" s="37">
        <f>IF(B$15=0,0,B20/B$15)</f>
        <v>0.37614678899082571</v>
      </c>
      <c r="E20" s="59" t="s">
        <v>95</v>
      </c>
      <c r="F20" s="56" t="s">
        <v>50</v>
      </c>
      <c r="G20" s="44">
        <v>1</v>
      </c>
      <c r="H20" s="129">
        <f>IF(B$15=0,0,G20/B$15)</f>
        <v>9.1743119266055051E-3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>
      <c r="A21" s="51" t="s">
        <v>194</v>
      </c>
      <c r="B21" s="44">
        <v>19</v>
      </c>
      <c r="C21" s="37">
        <f>IF(B$15=0,0,B21/B$15)</f>
        <v>0.1743119266055046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172</v>
      </c>
      <c r="O21" s="121">
        <f t="shared" si="2"/>
        <v>-24.274999999999999</v>
      </c>
      <c r="P21" s="115">
        <v>4</v>
      </c>
      <c r="Q21" s="103">
        <v>-97.1</v>
      </c>
    </row>
    <row r="22" spans="1:17">
      <c r="A22" s="51" t="s">
        <v>5</v>
      </c>
      <c r="B22" s="48">
        <f>IF(B$15=0,0,C22/B$15)</f>
        <v>7900</v>
      </c>
      <c r="C22" s="39">
        <v>861100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171</v>
      </c>
      <c r="O22" s="121">
        <f t="shared" si="2"/>
        <v>-25.104347826086954</v>
      </c>
      <c r="P22" s="115">
        <v>23</v>
      </c>
      <c r="Q22" s="103">
        <v>-577.4</v>
      </c>
    </row>
    <row r="23" spans="1:17">
      <c r="A23" s="52" t="s">
        <v>177</v>
      </c>
      <c r="B23" s="136">
        <f>IF($B$15-B$14=0,0,C23/($B$15-B$14))</f>
        <v>8408.823529411764</v>
      </c>
      <c r="C23" s="137">
        <v>571800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126</v>
      </c>
      <c r="O23" s="121">
        <f t="shared" si="2"/>
        <v>-27.288235294117648</v>
      </c>
      <c r="P23" s="115">
        <v>17</v>
      </c>
      <c r="Q23" s="103">
        <v>-463.90000000000003</v>
      </c>
    </row>
    <row r="24" spans="1:17">
      <c r="A24" s="52" t="s">
        <v>178</v>
      </c>
      <c r="B24" s="136">
        <f>IF(B$14=0,0,C24/B$14)</f>
        <v>7056.0975609756097</v>
      </c>
      <c r="C24" s="137">
        <v>289300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>
      <c r="A25" s="52" t="s">
        <v>176</v>
      </c>
      <c r="B25" s="136">
        <f>IF(B$16=0,0,C25/B$16)</f>
        <v>-8064.1975308641977</v>
      </c>
      <c r="C25" s="137">
        <v>-653200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>
      <c r="A28" s="86" t="s">
        <v>138</v>
      </c>
      <c r="B28" s="156">
        <v>6</v>
      </c>
      <c r="C28" s="157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>
      <c r="A29" s="54" t="s">
        <v>192</v>
      </c>
      <c r="B29" s="154">
        <v>85100</v>
      </c>
      <c r="C29" s="155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-418.80000000000013</v>
      </c>
    </row>
    <row r="30" spans="1:17">
      <c r="A30" s="53" t="s">
        <v>139</v>
      </c>
      <c r="B30" s="61">
        <v>1</v>
      </c>
      <c r="C30" s="40">
        <f>IF(B$3=0,0,B30/B$3)</f>
        <v>2.3255813953488372E-3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-447.30000000000013</v>
      </c>
    </row>
    <row r="31" spans="1:17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>
      <c r="A32" s="86" t="s">
        <v>183</v>
      </c>
      <c r="B32" s="144">
        <v>9</v>
      </c>
      <c r="C32" s="141">
        <f>IF(B$15=0,0,B32/B$15)</f>
        <v>8.2568807339449546E-2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>
      <c r="A33" s="51" t="s">
        <v>179</v>
      </c>
      <c r="B33" s="44">
        <v>23</v>
      </c>
      <c r="C33" s="37">
        <f t="shared" ref="C33:C44" si="3">IF(B$15=0,0,B33/B$15)</f>
        <v>0.21100917431192662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>
      <c r="A34" s="51" t="s">
        <v>180</v>
      </c>
      <c r="B34" s="145">
        <v>24</v>
      </c>
      <c r="C34" s="37">
        <f>IF(B$15=0,0,B34/B$15)</f>
        <v>0.22018348623853212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>
      <c r="A35" s="51" t="s">
        <v>181</v>
      </c>
      <c r="B35" s="145">
        <v>15</v>
      </c>
      <c r="C35" s="37">
        <f t="shared" si="3"/>
        <v>0.13761467889908258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>
      <c r="A36" s="51" t="s">
        <v>182</v>
      </c>
      <c r="B36" s="145">
        <v>15</v>
      </c>
      <c r="C36" s="37">
        <f t="shared" si="3"/>
        <v>0.13761467889908258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>
      <c r="A37" s="51" t="s">
        <v>184</v>
      </c>
      <c r="B37" s="145">
        <v>7</v>
      </c>
      <c r="C37" s="37">
        <f t="shared" si="3"/>
        <v>6.4220183486238536E-2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>
      <c r="A38" s="51" t="s">
        <v>185</v>
      </c>
      <c r="B38" s="145">
        <v>8</v>
      </c>
      <c r="C38" s="37">
        <f t="shared" si="3"/>
        <v>7.3394495412844041E-2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>
      <c r="A39" s="51" t="s">
        <v>186</v>
      </c>
      <c r="B39" s="145">
        <v>5</v>
      </c>
      <c r="C39" s="37">
        <f t="shared" si="3"/>
        <v>4.5871559633027525E-2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>
      <c r="A41" s="51" t="s">
        <v>188</v>
      </c>
      <c r="B41" s="145">
        <v>1</v>
      </c>
      <c r="C41" s="37">
        <f t="shared" si="3"/>
        <v>9.1743119266055051E-3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>
      <c r="A44" s="53" t="s">
        <v>191</v>
      </c>
      <c r="B44" s="140">
        <v>2</v>
      </c>
      <c r="C44" s="40">
        <f t="shared" si="3"/>
        <v>1.834862385321101E-2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-581.30000000000007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>
      <c r="K53" s="36">
        <v>51</v>
      </c>
      <c r="L53" s="95">
        <v>-614.70000000000005</v>
      </c>
    </row>
    <row r="54" spans="5:12">
      <c r="K54" s="36">
        <v>52</v>
      </c>
      <c r="L54" s="95">
        <v>-603.1</v>
      </c>
    </row>
    <row r="55" spans="5:12">
      <c r="K55" s="36">
        <v>53</v>
      </c>
      <c r="L55" s="95">
        <v>-652.6</v>
      </c>
    </row>
  </sheetData>
  <sortState xmlns:xlrd2="http://schemas.microsoft.com/office/spreadsheetml/2017/richdata2" ref="E2:I5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196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25</v>
      </c>
      <c r="C2" s="163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>
      <c r="A3" s="51" t="s">
        <v>8</v>
      </c>
      <c r="B3" s="164">
        <v>240</v>
      </c>
      <c r="C3" s="165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>
      <c r="A4" s="51" t="s">
        <v>6</v>
      </c>
      <c r="B4" s="166">
        <v>-45.7</v>
      </c>
      <c r="C4" s="167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2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>
      <c r="A5" s="51" t="s">
        <v>7</v>
      </c>
      <c r="B5" s="168">
        <f>IF(B$2=0,0,B$4/B$2)</f>
        <v>-1.8280000000000001</v>
      </c>
      <c r="C5" s="169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>
      <c r="A6" s="51" t="s">
        <v>1</v>
      </c>
      <c r="B6" s="158">
        <f>IF(B$2=0,0,(B$7*1+B$8*2+B$9*3)/B$2)</f>
        <v>2.04</v>
      </c>
      <c r="C6" s="159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10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6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12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8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>
      <c r="A28" s="86" t="s">
        <v>138</v>
      </c>
      <c r="B28" s="156">
        <v>7</v>
      </c>
      <c r="C28" s="157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>
      <c r="A29" s="54" t="s">
        <v>192</v>
      </c>
      <c r="B29" s="154">
        <v>95200</v>
      </c>
      <c r="C29" s="155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228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7</v>
      </c>
      <c r="C2" s="163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>
      <c r="A3" s="51" t="s">
        <v>8</v>
      </c>
      <c r="B3" s="164">
        <v>62</v>
      </c>
      <c r="C3" s="165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>
      <c r="A4" s="51" t="s">
        <v>6</v>
      </c>
      <c r="B4" s="166">
        <v>-104.80000000000001</v>
      </c>
      <c r="C4" s="167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>
      <c r="A5" s="51" t="s">
        <v>7</v>
      </c>
      <c r="B5" s="168">
        <f>IF(B$2=0,0,B$4/B$2)</f>
        <v>-14.971428571428573</v>
      </c>
      <c r="C5" s="169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>
      <c r="A6" s="51" t="s">
        <v>1</v>
      </c>
      <c r="B6" s="158">
        <f>IF(B$2=0,0,(B$7*1+B$8*2+B$9*3)/B$2)</f>
        <v>2.1428571428571428</v>
      </c>
      <c r="C6" s="159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11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13</v>
      </c>
      <c r="K8" s="36">
        <v>6</v>
      </c>
      <c r="L8" s="95">
        <v>-59.300000000000011</v>
      </c>
      <c r="N8" s="41"/>
      <c r="O8" s="123"/>
      <c r="P8" s="107"/>
      <c r="Q8" s="105"/>
    </row>
    <row r="9" spans="1:17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12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>
      <c r="A28" s="86" t="s">
        <v>138</v>
      </c>
      <c r="B28" s="156">
        <v>4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59500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203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2</v>
      </c>
      <c r="C2" s="163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>
      <c r="A3" s="51" t="s">
        <v>8</v>
      </c>
      <c r="B3" s="164">
        <v>15</v>
      </c>
      <c r="C3" s="165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13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>
      <c r="A4" s="51" t="s">
        <v>6</v>
      </c>
      <c r="B4" s="166">
        <v>26.2</v>
      </c>
      <c r="C4" s="167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>
      <c r="A5" s="51" t="s">
        <v>7</v>
      </c>
      <c r="B5" s="168">
        <f>IF(B$2=0,0,B$4/B$2)</f>
        <v>13.1</v>
      </c>
      <c r="C5" s="169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>
      <c r="A6" s="51" t="s">
        <v>1</v>
      </c>
      <c r="B6" s="158">
        <f>IF(B$2=0,0,(B$7*1+B$8*2+B$9*3)/B$2)</f>
        <v>1.5</v>
      </c>
      <c r="C6" s="159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12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>
      <c r="A28" s="86" t="s">
        <v>138</v>
      </c>
      <c r="B28" s="156">
        <v>4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52800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EE47-776B-44AA-81BA-0A18D75D0782}">
  <sheetPr codeName="Sheet27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274</v>
      </c>
      <c r="C1" s="161"/>
      <c r="E1" s="125" t="s">
        <v>160</v>
      </c>
      <c r="F1" s="147" t="s">
        <v>115</v>
      </c>
      <c r="G1" s="146" t="s">
        <v>116</v>
      </c>
      <c r="H1" s="126" t="s">
        <v>117</v>
      </c>
      <c r="I1" s="147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6</v>
      </c>
      <c r="C2" s="163"/>
      <c r="E2" s="58" t="s">
        <v>66</v>
      </c>
      <c r="F2" s="55" t="s">
        <v>22</v>
      </c>
      <c r="G2" s="43">
        <v>13</v>
      </c>
      <c r="H2" s="128">
        <f>IF(B$15=0,0,G2/B$15)</f>
        <v>0.76470588235294112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-2366.6666666666665</v>
      </c>
      <c r="P2" s="114">
        <v>6</v>
      </c>
      <c r="Q2" s="98">
        <v>-14200</v>
      </c>
    </row>
    <row r="3" spans="1:17">
      <c r="A3" s="51" t="s">
        <v>8</v>
      </c>
      <c r="B3" s="164">
        <v>53</v>
      </c>
      <c r="C3" s="165"/>
      <c r="E3" s="59" t="s">
        <v>64</v>
      </c>
      <c r="F3" s="56" t="s">
        <v>20</v>
      </c>
      <c r="G3" s="44">
        <v>12</v>
      </c>
      <c r="H3" s="129">
        <f>IF(B$15=0,0,G3/B$15)</f>
        <v>0.70588235294117652</v>
      </c>
      <c r="I3" s="90">
        <v>2</v>
      </c>
      <c r="K3" s="36">
        <v>1</v>
      </c>
      <c r="L3" s="95">
        <v>17.600000000000001</v>
      </c>
      <c r="N3" s="111" t="s">
        <v>131</v>
      </c>
      <c r="O3" s="118">
        <f t="shared" si="0"/>
        <v>-133.33333333333334</v>
      </c>
      <c r="P3" s="115">
        <v>6</v>
      </c>
      <c r="Q3" s="99">
        <v>-800</v>
      </c>
    </row>
    <row r="4" spans="1:17">
      <c r="A4" s="51" t="s">
        <v>6</v>
      </c>
      <c r="B4" s="166">
        <v>-17.799999999999997</v>
      </c>
      <c r="C4" s="167"/>
      <c r="E4" s="59" t="s">
        <v>72</v>
      </c>
      <c r="F4" s="56" t="s">
        <v>27</v>
      </c>
      <c r="G4" s="44">
        <v>9</v>
      </c>
      <c r="H4" s="129">
        <f>IF(B$15=0,0,G4/B$15)</f>
        <v>0.52941176470588236</v>
      </c>
      <c r="I4" s="90">
        <v>8</v>
      </c>
      <c r="K4" s="36">
        <v>2</v>
      </c>
      <c r="L4" s="95">
        <v>27.8</v>
      </c>
      <c r="N4" s="111" t="s">
        <v>132</v>
      </c>
      <c r="O4" s="118">
        <f t="shared" si="0"/>
        <v>-3966.6666666666665</v>
      </c>
      <c r="P4" s="115">
        <v>6</v>
      </c>
      <c r="Q4" s="99">
        <v>-23800</v>
      </c>
    </row>
    <row r="5" spans="1:17">
      <c r="A5" s="51" t="s">
        <v>7</v>
      </c>
      <c r="B5" s="168">
        <f>IF(B$2=0,0,B$4/B$2)</f>
        <v>-2.9666666666666663</v>
      </c>
      <c r="C5" s="169"/>
      <c r="E5" s="59" t="s">
        <v>67</v>
      </c>
      <c r="F5" s="56" t="s">
        <v>23</v>
      </c>
      <c r="G5" s="44">
        <v>4</v>
      </c>
      <c r="H5" s="129">
        <f>IF(B$15=0,0,G5/B$15)</f>
        <v>0.23529411764705882</v>
      </c>
      <c r="I5" s="90">
        <v>12</v>
      </c>
      <c r="K5" s="36">
        <v>3</v>
      </c>
      <c r="L5" s="95">
        <v>20.399999999999999</v>
      </c>
      <c r="N5" s="111" t="s">
        <v>133</v>
      </c>
      <c r="O5" s="118">
        <f t="shared" si="0"/>
        <v>4783.333333333333</v>
      </c>
      <c r="P5" s="115">
        <v>6</v>
      </c>
      <c r="Q5" s="99">
        <v>28700</v>
      </c>
    </row>
    <row r="6" spans="1:17">
      <c r="A6" s="51" t="s">
        <v>1</v>
      </c>
      <c r="B6" s="158">
        <f>IF(B$2=0,0,(B$7*1+B$8*2+B$9*3)/B$2)</f>
        <v>2</v>
      </c>
      <c r="C6" s="159"/>
      <c r="E6" s="59" t="s">
        <v>68</v>
      </c>
      <c r="F6" s="56" t="s">
        <v>12</v>
      </c>
      <c r="G6" s="44">
        <v>4</v>
      </c>
      <c r="H6" s="129">
        <f>IF(B$15=0,0,G6/B$15)</f>
        <v>0.23529411764705882</v>
      </c>
      <c r="I6" s="90">
        <v>12</v>
      </c>
      <c r="K6" s="36">
        <v>4</v>
      </c>
      <c r="L6" s="95">
        <v>53.1</v>
      </c>
      <c r="N6" s="111" t="s">
        <v>134</v>
      </c>
      <c r="O6" s="118">
        <f t="shared" si="0"/>
        <v>-3220</v>
      </c>
      <c r="P6" s="115">
        <v>5</v>
      </c>
      <c r="Q6" s="99">
        <v>-16100</v>
      </c>
    </row>
    <row r="7" spans="1:17">
      <c r="A7" s="51" t="s">
        <v>2</v>
      </c>
      <c r="B7" s="44">
        <v>2</v>
      </c>
      <c r="C7" s="37">
        <f t="shared" ref="C7:C10" si="1">IF(B$2=0,0,B7/B$2)</f>
        <v>0.33333333333333331</v>
      </c>
      <c r="E7" s="59" t="s">
        <v>65</v>
      </c>
      <c r="F7" s="56" t="s">
        <v>21</v>
      </c>
      <c r="G7" s="44">
        <v>3</v>
      </c>
      <c r="H7" s="129">
        <f>IF(B$15=0,0,G7/B$15)</f>
        <v>0.17647058823529413</v>
      </c>
      <c r="I7" s="90">
        <v>4</v>
      </c>
      <c r="K7" s="36">
        <v>5</v>
      </c>
      <c r="L7" s="95">
        <v>28.6</v>
      </c>
      <c r="N7" s="112" t="s">
        <v>135</v>
      </c>
      <c r="O7" s="119">
        <f t="shared" si="0"/>
        <v>2675</v>
      </c>
      <c r="P7" s="116">
        <v>4</v>
      </c>
      <c r="Q7" s="100">
        <v>10700</v>
      </c>
    </row>
    <row r="8" spans="1:17">
      <c r="A8" s="51" t="s">
        <v>3</v>
      </c>
      <c r="B8" s="44">
        <v>2</v>
      </c>
      <c r="C8" s="37">
        <f t="shared" si="1"/>
        <v>0.33333333333333331</v>
      </c>
      <c r="E8" s="59" t="s">
        <v>70</v>
      </c>
      <c r="F8" s="56" t="s">
        <v>25</v>
      </c>
      <c r="G8" s="44">
        <v>2</v>
      </c>
      <c r="H8" s="129">
        <f>IF(B$15=0,0,G8/B$15)</f>
        <v>0.11764705882352941</v>
      </c>
      <c r="I8" s="90">
        <v>4</v>
      </c>
      <c r="K8" s="36">
        <v>6</v>
      </c>
      <c r="L8" s="95">
        <v>-17.799999999999997</v>
      </c>
      <c r="N8" s="41"/>
      <c r="O8" s="123"/>
      <c r="P8" s="107"/>
      <c r="Q8" s="105"/>
    </row>
    <row r="9" spans="1:17">
      <c r="A9" s="52" t="s">
        <v>4</v>
      </c>
      <c r="B9" s="45">
        <v>2</v>
      </c>
      <c r="C9" s="38">
        <f t="shared" si="1"/>
        <v>0.33333333333333331</v>
      </c>
      <c r="E9" s="59" t="s">
        <v>89</v>
      </c>
      <c r="F9" s="56" t="s">
        <v>44</v>
      </c>
      <c r="G9" s="44">
        <v>2</v>
      </c>
      <c r="H9" s="129">
        <f>IF(B$15=0,0,G9/B$15)</f>
        <v>0.11764705882352941</v>
      </c>
      <c r="I9" s="90">
        <v>10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</v>
      </c>
      <c r="C10" s="40">
        <f t="shared" si="1"/>
        <v>0.16666666666666666</v>
      </c>
      <c r="E10" s="59" t="s">
        <v>166</v>
      </c>
      <c r="F10" s="56" t="s">
        <v>167</v>
      </c>
      <c r="G10" s="44">
        <v>2</v>
      </c>
      <c r="H10" s="129">
        <f>IF(B$15=0,0,G10/B$15)</f>
        <v>0.11764705882352941</v>
      </c>
      <c r="I10" s="90">
        <v>13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>
      <c r="A11" s="54" t="s">
        <v>121</v>
      </c>
      <c r="B11" s="47">
        <v>17</v>
      </c>
      <c r="C11" s="42">
        <f>IF(B$3=0,0,B11/B$3)</f>
        <v>0.32075471698113206</v>
      </c>
      <c r="E11" s="59" t="s">
        <v>69</v>
      </c>
      <c r="F11" s="56" t="s">
        <v>24</v>
      </c>
      <c r="G11" s="44">
        <v>1</v>
      </c>
      <c r="H11" s="129">
        <f>IF(B$15=0,0,G11/B$15)</f>
        <v>5.8823529411764705E-2</v>
      </c>
      <c r="I11" s="90">
        <v>13</v>
      </c>
      <c r="N11" s="111" t="s">
        <v>158</v>
      </c>
      <c r="O11" s="121">
        <f>IF(P11=0,0,Q11/P11)</f>
        <v>-17.766666666666666</v>
      </c>
      <c r="P11" s="115">
        <v>3</v>
      </c>
      <c r="Q11" s="103">
        <v>-53.3</v>
      </c>
    </row>
    <row r="12" spans="1:17">
      <c r="A12" s="51" t="s">
        <v>118</v>
      </c>
      <c r="B12" s="44">
        <v>7</v>
      </c>
      <c r="C12" s="37">
        <f>IF(B$3=0,0,B12/B$3)</f>
        <v>0.13207547169811321</v>
      </c>
      <c r="E12" s="59" t="s">
        <v>71</v>
      </c>
      <c r="F12" s="56" t="s">
        <v>26</v>
      </c>
      <c r="G12" s="44">
        <v>1</v>
      </c>
      <c r="H12" s="129">
        <f>IF(B$15=0,0,G12/B$15)</f>
        <v>5.8823529411764705E-2</v>
      </c>
      <c r="I12" s="90">
        <v>11</v>
      </c>
      <c r="N12" s="112" t="s">
        <v>159</v>
      </c>
      <c r="O12" s="122">
        <f>IF(P12=0,0,Q12/P12)</f>
        <v>32.700000000000003</v>
      </c>
      <c r="P12" s="116">
        <v>1</v>
      </c>
      <c r="Q12" s="104">
        <v>32.700000000000003</v>
      </c>
    </row>
    <row r="13" spans="1:17">
      <c r="A13" s="50" t="s">
        <v>123</v>
      </c>
      <c r="B13" s="43">
        <f>B19</f>
        <v>11</v>
      </c>
      <c r="C13" s="35">
        <f>IF(B$11=0,0,B13/B$11)</f>
        <v>0.6470588235294118</v>
      </c>
      <c r="E13" s="59" t="s">
        <v>79</v>
      </c>
      <c r="F13" s="56" t="s">
        <v>34</v>
      </c>
      <c r="G13" s="44">
        <v>1</v>
      </c>
      <c r="H13" s="129">
        <f>IF(B$15=0,0,G13/B$15)</f>
        <v>5.8823529411764705E-2</v>
      </c>
      <c r="I13" s="90">
        <v>2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</v>
      </c>
      <c r="C14" s="35">
        <f>IF(B$12=0,0,B14/B$12)</f>
        <v>0.7142857142857143</v>
      </c>
      <c r="E14" s="59" t="s">
        <v>83</v>
      </c>
      <c r="F14" s="56" t="s">
        <v>38</v>
      </c>
      <c r="G14" s="44">
        <v>1</v>
      </c>
      <c r="H14" s="129">
        <f>IF(B$15=0,0,G14/B$15)</f>
        <v>5.8823529411764705E-2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17</v>
      </c>
      <c r="C15" s="35">
        <f>IF(B$3=0,0,B15/B$3)</f>
        <v>0.32075471698113206</v>
      </c>
      <c r="E15" s="59" t="s">
        <v>85</v>
      </c>
      <c r="F15" s="56" t="s">
        <v>40</v>
      </c>
      <c r="G15" s="44">
        <v>1</v>
      </c>
      <c r="H15" s="129">
        <f>IF(B$15=0,0,G15/B$15)</f>
        <v>5.8823529411764705E-2</v>
      </c>
      <c r="I15" s="90">
        <v>1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>
      <c r="A16" s="51" t="s">
        <v>13</v>
      </c>
      <c r="B16" s="44">
        <v>6</v>
      </c>
      <c r="C16" s="37">
        <f>IF(B$3=0,0,B16/B$3)</f>
        <v>0.11320754716981132</v>
      </c>
      <c r="E16" s="59" t="s">
        <v>86</v>
      </c>
      <c r="F16" s="56" t="s">
        <v>41</v>
      </c>
      <c r="G16" s="44">
        <v>1</v>
      </c>
      <c r="H16" s="129">
        <f>IF(B$15=0,0,G16/B$15)</f>
        <v>5.8823529411764705E-2</v>
      </c>
      <c r="I16" s="90">
        <v>5</v>
      </c>
      <c r="N16" s="111" t="s">
        <v>170</v>
      </c>
      <c r="O16" s="121">
        <f>IF(P16=0,0,Q16/P16)</f>
        <v>27.466666666666669</v>
      </c>
      <c r="P16" s="115">
        <v>3</v>
      </c>
      <c r="Q16" s="103">
        <v>82.4</v>
      </c>
    </row>
    <row r="17" spans="1:17">
      <c r="A17" s="51" t="s">
        <v>12</v>
      </c>
      <c r="B17" s="44">
        <v>7</v>
      </c>
      <c r="C17" s="37">
        <f>IF(B$15=0,0,B17/B$15)</f>
        <v>0.41176470588235292</v>
      </c>
      <c r="E17" s="59" t="s">
        <v>73</v>
      </c>
      <c r="F17" s="56" t="s">
        <v>28</v>
      </c>
      <c r="G17" s="44">
        <v>0</v>
      </c>
      <c r="H17" s="129">
        <f>IF(B$15=0,0,G17/B$15)</f>
        <v>0</v>
      </c>
      <c r="I17" s="90">
        <v>5</v>
      </c>
      <c r="N17" s="111" t="s">
        <v>197</v>
      </c>
      <c r="O17" s="121">
        <f>IF(P17=0,0,Q17/P17)</f>
        <v>12.000000000000002</v>
      </c>
      <c r="P17" s="115">
        <v>1</v>
      </c>
      <c r="Q17" s="103">
        <v>12.000000000000002</v>
      </c>
    </row>
    <row r="18" spans="1:17">
      <c r="A18" s="51" t="s">
        <v>11</v>
      </c>
      <c r="B18" s="44">
        <v>10</v>
      </c>
      <c r="C18" s="37">
        <f>IF(B$15=0,0,B18/B$15)</f>
        <v>0.58823529411764708</v>
      </c>
      <c r="E18" s="59" t="s">
        <v>74</v>
      </c>
      <c r="F18" s="56" t="s">
        <v>29</v>
      </c>
      <c r="G18" s="44">
        <v>0</v>
      </c>
      <c r="H18" s="129">
        <f>IF(B$15=0,0,G18/B$15)</f>
        <v>0</v>
      </c>
      <c r="I18" s="90">
        <v>7</v>
      </c>
      <c r="N18" s="111" t="s">
        <v>172</v>
      </c>
      <c r="O18" s="121">
        <f>IF(P18=0,0,Q18/P18)</f>
        <v>10.700000000000001</v>
      </c>
      <c r="P18" s="115">
        <v>2</v>
      </c>
      <c r="Q18" s="103">
        <v>21.400000000000002</v>
      </c>
    </row>
    <row r="19" spans="1:17">
      <c r="A19" s="51" t="s">
        <v>195</v>
      </c>
      <c r="B19" s="44">
        <v>11</v>
      </c>
      <c r="C19" s="37">
        <f>IF(B$15=0,0,B19/B$15)</f>
        <v>0.6470588235294118</v>
      </c>
      <c r="E19" s="59" t="s">
        <v>75</v>
      </c>
      <c r="F19" s="56" t="s">
        <v>30</v>
      </c>
      <c r="G19" s="44">
        <v>0</v>
      </c>
      <c r="H19" s="129">
        <f>IF(B$15=0,0,G19/B$15)</f>
        <v>0</v>
      </c>
      <c r="I19" s="90">
        <v>9</v>
      </c>
      <c r="N19" s="111" t="s">
        <v>126</v>
      </c>
      <c r="O19" s="121">
        <f>IF(P19=0,0,Q19/P19)</f>
        <v>-29.949999999999996</v>
      </c>
      <c r="P19" s="115">
        <v>2</v>
      </c>
      <c r="Q19" s="103">
        <v>-59.899999999999991</v>
      </c>
    </row>
    <row r="20" spans="1:17">
      <c r="A20" s="51" t="s">
        <v>193</v>
      </c>
      <c r="B20" s="44">
        <v>5</v>
      </c>
      <c r="C20" s="37">
        <f>IF(B$15=0,0,B20/B$15)</f>
        <v>0.29411764705882354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161</v>
      </c>
      <c r="O20" s="121">
        <f>IF(P20=0,0,Q20/P20)</f>
        <v>-51.55</v>
      </c>
      <c r="P20" s="115">
        <v>2</v>
      </c>
      <c r="Q20" s="103">
        <v>-103.1</v>
      </c>
    </row>
    <row r="21" spans="1:17">
      <c r="A21" s="51" t="s">
        <v>194</v>
      </c>
      <c r="B21" s="44">
        <v>1</v>
      </c>
      <c r="C21" s="37">
        <f>IF(B$15=0,0,B21/B$15)</f>
        <v>5.8823529411764705E-2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5</v>
      </c>
      <c r="N21" s="111" t="s">
        <v>127</v>
      </c>
      <c r="O21" s="121">
        <f>IF(P21=0,0,Q21/P21)</f>
        <v>-64.3</v>
      </c>
      <c r="P21" s="115">
        <v>1</v>
      </c>
      <c r="Q21" s="103">
        <v>-64.3</v>
      </c>
    </row>
    <row r="22" spans="1:17">
      <c r="A22" s="51" t="s">
        <v>5</v>
      </c>
      <c r="B22" s="48">
        <f>IF(B$15=0,0,C22/B$15)</f>
        <v>6935.2941176470586</v>
      </c>
      <c r="C22" s="39">
        <v>117900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</row>
    <row r="23" spans="1:17">
      <c r="A23" s="52" t="s">
        <v>177</v>
      </c>
      <c r="B23" s="136">
        <f>IF($B$15-B$14=0,0,C23/($B$15-B$14))</f>
        <v>7400</v>
      </c>
      <c r="C23" s="137">
        <v>88800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5820</v>
      </c>
      <c r="C24" s="137">
        <v>29100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10</v>
      </c>
    </row>
    <row r="25" spans="1:17">
      <c r="A25" s="52" t="s">
        <v>176</v>
      </c>
      <c r="B25" s="136">
        <f>IF(B$16=0,0,C25/B$16)</f>
        <v>-8500</v>
      </c>
      <c r="C25" s="137">
        <v>-51000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>
      <c r="A26" s="51" t="s">
        <v>164</v>
      </c>
      <c r="B26" s="44">
        <v>2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>
      <c r="A27" s="51" t="s">
        <v>165</v>
      </c>
      <c r="B27" s="44">
        <v>20</v>
      </c>
      <c r="C27" s="131">
        <v>1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>
      <c r="A28" s="86" t="s">
        <v>138</v>
      </c>
      <c r="B28" s="156">
        <v>3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57700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48">
        <v>2</v>
      </c>
      <c r="C32" s="141">
        <f>IF(B$15=0,0,B32/B$15)</f>
        <v>0.11764705882352941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3</v>
      </c>
      <c r="C33" s="37">
        <f t="shared" ref="C33:C44" si="2">IF(B$15=0,0,B33/B$15)</f>
        <v>0.17647058823529413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9">
        <v>2</v>
      </c>
      <c r="C34" s="37">
        <f>IF(B$15=0,0,B34/B$15)</f>
        <v>0.11764705882352941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49">
        <v>5</v>
      </c>
      <c r="C35" s="37">
        <f t="shared" si="2"/>
        <v>0.29411764705882354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9">
        <v>3</v>
      </c>
      <c r="C36" s="37">
        <f t="shared" si="2"/>
        <v>0.17647058823529413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9">
        <v>0</v>
      </c>
      <c r="C37" s="37">
        <f t="shared" si="2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9">
        <v>2</v>
      </c>
      <c r="C38" s="37">
        <f t="shared" si="2"/>
        <v>0.11764705882352941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9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9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9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9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9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67970-F7DA-4BAE-ABF8-A3105E3FA1C6}">
  <sheetPr codeName="Sheet29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281</v>
      </c>
      <c r="C1" s="161"/>
      <c r="E1" s="125" t="s">
        <v>160</v>
      </c>
      <c r="F1" s="151" t="s">
        <v>115</v>
      </c>
      <c r="G1" s="150" t="s">
        <v>116</v>
      </c>
      <c r="H1" s="126" t="s">
        <v>117</v>
      </c>
      <c r="I1" s="151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4</v>
      </c>
      <c r="C2" s="163"/>
      <c r="E2" s="58" t="s">
        <v>64</v>
      </c>
      <c r="F2" s="55" t="s">
        <v>20</v>
      </c>
      <c r="G2" s="43">
        <v>11</v>
      </c>
      <c r="H2" s="128">
        <f>IF(B$15=0,0,G2/B$15)</f>
        <v>0.73333333333333328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-600</v>
      </c>
      <c r="P2" s="114">
        <v>4</v>
      </c>
      <c r="Q2" s="98">
        <v>-2400</v>
      </c>
    </row>
    <row r="3" spans="1:17">
      <c r="A3" s="51" t="s">
        <v>8</v>
      </c>
      <c r="B3" s="164">
        <v>30</v>
      </c>
      <c r="C3" s="165"/>
      <c r="E3" s="59" t="s">
        <v>66</v>
      </c>
      <c r="F3" s="56" t="s">
        <v>22</v>
      </c>
      <c r="G3" s="44">
        <v>10</v>
      </c>
      <c r="H3" s="129">
        <f>IF(B$15=0,0,G3/B$15)</f>
        <v>0.66666666666666663</v>
      </c>
      <c r="I3" s="90">
        <v>11</v>
      </c>
      <c r="K3" s="36">
        <v>1</v>
      </c>
      <c r="L3" s="95">
        <v>35</v>
      </c>
      <c r="N3" s="111" t="s">
        <v>131</v>
      </c>
      <c r="O3" s="118">
        <f t="shared" si="0"/>
        <v>5200</v>
      </c>
      <c r="P3" s="115">
        <v>4</v>
      </c>
      <c r="Q3" s="99">
        <v>20800</v>
      </c>
    </row>
    <row r="4" spans="1:17">
      <c r="A4" s="51" t="s">
        <v>6</v>
      </c>
      <c r="B4" s="166">
        <v>109.9</v>
      </c>
      <c r="C4" s="167"/>
      <c r="E4" s="59" t="s">
        <v>67</v>
      </c>
      <c r="F4" s="56" t="s">
        <v>23</v>
      </c>
      <c r="G4" s="44">
        <v>9</v>
      </c>
      <c r="H4" s="129">
        <f>IF(B$15=0,0,G4/B$15)</f>
        <v>0.6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13366.666666666666</v>
      </c>
      <c r="P4" s="115">
        <v>3</v>
      </c>
      <c r="Q4" s="99">
        <v>40100</v>
      </c>
    </row>
    <row r="5" spans="1:17">
      <c r="A5" s="51" t="s">
        <v>7</v>
      </c>
      <c r="B5" s="168">
        <f>IF(B$2=0,0,B$4/B$2)</f>
        <v>27.475000000000001</v>
      </c>
      <c r="C5" s="169"/>
      <c r="E5" s="59" t="s">
        <v>166</v>
      </c>
      <c r="F5" s="56" t="s">
        <v>167</v>
      </c>
      <c r="G5" s="44">
        <v>6</v>
      </c>
      <c r="H5" s="129">
        <f>IF(B$15=0,0,G5/B$15)</f>
        <v>0.4</v>
      </c>
      <c r="I5" s="90">
        <v>4</v>
      </c>
      <c r="K5" s="36">
        <v>3</v>
      </c>
      <c r="L5" s="95">
        <v>64.3</v>
      </c>
      <c r="N5" s="111" t="s">
        <v>133</v>
      </c>
      <c r="O5" s="118">
        <f t="shared" si="0"/>
        <v>-2266.6666666666665</v>
      </c>
      <c r="P5" s="115">
        <v>3</v>
      </c>
      <c r="Q5" s="99">
        <v>-6800</v>
      </c>
    </row>
    <row r="6" spans="1:17">
      <c r="A6" s="51" t="s">
        <v>1</v>
      </c>
      <c r="B6" s="158">
        <f>IF(B$2=0,0,(B$7*1+B$8*2+B$9*3)/B$2)</f>
        <v>1.5</v>
      </c>
      <c r="C6" s="159"/>
      <c r="E6" s="59" t="s">
        <v>72</v>
      </c>
      <c r="F6" s="56" t="s">
        <v>27</v>
      </c>
      <c r="G6" s="44">
        <v>4</v>
      </c>
      <c r="H6" s="129">
        <f>IF(B$15=0,0,G6/B$15)</f>
        <v>0.26666666666666666</v>
      </c>
      <c r="I6" s="90">
        <v>14</v>
      </c>
      <c r="K6" s="36">
        <v>4</v>
      </c>
      <c r="L6" s="95">
        <v>109.9</v>
      </c>
      <c r="N6" s="111" t="s">
        <v>134</v>
      </c>
      <c r="O6" s="118">
        <f t="shared" si="0"/>
        <v>433.33333333333331</v>
      </c>
      <c r="P6" s="115">
        <v>3</v>
      </c>
      <c r="Q6" s="99">
        <v>1300</v>
      </c>
    </row>
    <row r="7" spans="1:17">
      <c r="A7" s="51" t="s">
        <v>2</v>
      </c>
      <c r="B7" s="44">
        <v>3</v>
      </c>
      <c r="C7" s="37">
        <f t="shared" ref="C7:C10" si="1">IF(B$2=0,0,B7/B$2)</f>
        <v>0.75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N7" s="112" t="s">
        <v>135</v>
      </c>
      <c r="O7" s="119">
        <f t="shared" si="0"/>
        <v>2600</v>
      </c>
      <c r="P7" s="116">
        <v>2</v>
      </c>
      <c r="Q7" s="100">
        <v>5200</v>
      </c>
    </row>
    <row r="8" spans="1:17">
      <c r="A8" s="51" t="s">
        <v>3</v>
      </c>
      <c r="B8" s="44">
        <v>0</v>
      </c>
      <c r="C8" s="37">
        <f t="shared" si="1"/>
        <v>0</v>
      </c>
      <c r="E8" s="59" t="s">
        <v>69</v>
      </c>
      <c r="F8" s="56" t="s">
        <v>24</v>
      </c>
      <c r="G8" s="44">
        <v>3</v>
      </c>
      <c r="H8" s="129">
        <f>IF(B$15=0,0,G8/B$15)</f>
        <v>0.2</v>
      </c>
      <c r="I8" s="90">
        <v>4</v>
      </c>
      <c r="N8" s="41"/>
      <c r="O8" s="123"/>
      <c r="P8" s="107"/>
      <c r="Q8" s="105"/>
    </row>
    <row r="9" spans="1:17">
      <c r="A9" s="52" t="s">
        <v>4</v>
      </c>
      <c r="B9" s="45">
        <v>1</v>
      </c>
      <c r="C9" s="38">
        <f t="shared" si="1"/>
        <v>0.25</v>
      </c>
      <c r="E9" s="59" t="s">
        <v>68</v>
      </c>
      <c r="F9" s="56" t="s">
        <v>12</v>
      </c>
      <c r="G9" s="44">
        <v>2</v>
      </c>
      <c r="H9" s="129">
        <f>IF(B$15=0,0,G9/B$15)</f>
        <v>0.13333333333333333</v>
      </c>
      <c r="I9" s="90">
        <v>14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2</v>
      </c>
      <c r="H10" s="129">
        <f>IF(B$15=0,0,G10/B$15)</f>
        <v>0.13333333333333333</v>
      </c>
      <c r="I10" s="90">
        <v>2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>
      <c r="A11" s="54" t="s">
        <v>121</v>
      </c>
      <c r="B11" s="47">
        <v>14</v>
      </c>
      <c r="C11" s="42">
        <f>IF(B$3=0,0,B11/B$3)</f>
        <v>0.46666666666666667</v>
      </c>
      <c r="E11" s="59" t="s">
        <v>71</v>
      </c>
      <c r="F11" s="56" t="s">
        <v>26</v>
      </c>
      <c r="G11" s="44">
        <v>1</v>
      </c>
      <c r="H11" s="129">
        <f>IF(B$15=0,0,G11/B$15)</f>
        <v>6.6666666666666666E-2</v>
      </c>
      <c r="I11" s="90">
        <v>9</v>
      </c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>
      <c r="A12" s="51" t="s">
        <v>118</v>
      </c>
      <c r="B12" s="44">
        <v>5</v>
      </c>
      <c r="C12" s="37">
        <f>IF(B$3=0,0,B12/B$3)</f>
        <v>0.16666666666666666</v>
      </c>
      <c r="E12" s="59" t="s">
        <v>89</v>
      </c>
      <c r="F12" s="56" t="s">
        <v>44</v>
      </c>
      <c r="G12" s="44">
        <v>1</v>
      </c>
      <c r="H12" s="129">
        <f>IF(B$15=0,0,G12/B$15)</f>
        <v>6.6666666666666666E-2</v>
      </c>
      <c r="I12" s="90">
        <v>13</v>
      </c>
      <c r="N12" s="112" t="s">
        <v>159</v>
      </c>
      <c r="O12" s="122">
        <f>IF(P12=0,0,Q12/P12)</f>
        <v>42.166666666666664</v>
      </c>
      <c r="P12" s="116">
        <v>3</v>
      </c>
      <c r="Q12" s="104">
        <v>126.5</v>
      </c>
    </row>
    <row r="13" spans="1:17">
      <c r="A13" s="50" t="s">
        <v>123</v>
      </c>
      <c r="B13" s="43">
        <f>B19</f>
        <v>11</v>
      </c>
      <c r="C13" s="35">
        <f>IF(B$11=0,0,B13/B$11)</f>
        <v>0.7857142857142857</v>
      </c>
      <c r="E13" s="59" t="s">
        <v>91</v>
      </c>
      <c r="F13" s="56" t="s">
        <v>46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4</v>
      </c>
      <c r="C14" s="35">
        <f>IF(B$12=0,0,B14/B$12)</f>
        <v>0.8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15</v>
      </c>
      <c r="C15" s="35">
        <f>IF(B$3=0,0,B15/B$3)</f>
        <v>0.5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280</v>
      </c>
      <c r="O15" s="120">
        <f>IF(P15=0,0,Q15/P15)</f>
        <v>64.3</v>
      </c>
      <c r="P15" s="114">
        <v>3</v>
      </c>
      <c r="Q15" s="102">
        <v>192.89999999999998</v>
      </c>
    </row>
    <row r="16" spans="1:17">
      <c r="A16" s="51" t="s">
        <v>13</v>
      </c>
      <c r="B16" s="44">
        <v>3</v>
      </c>
      <c r="C16" s="37">
        <f>IF(B$3=0,0,B16/B$3)</f>
        <v>0.1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42</v>
      </c>
      <c r="P16" s="115">
        <v>4</v>
      </c>
      <c r="Q16" s="103">
        <v>168</v>
      </c>
    </row>
    <row r="17" spans="1:17">
      <c r="A17" s="51" t="s">
        <v>12</v>
      </c>
      <c r="B17" s="44">
        <v>5</v>
      </c>
      <c r="C17" s="37">
        <f>IF(B$15=0,0,B17/B$15)</f>
        <v>0.33333333333333331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126</v>
      </c>
      <c r="O17" s="121">
        <f>IF(P17=0,0,Q17/P17)</f>
        <v>-31.200000000000003</v>
      </c>
      <c r="P17" s="115">
        <v>1</v>
      </c>
      <c r="Q17" s="103">
        <v>-31.200000000000003</v>
      </c>
    </row>
    <row r="18" spans="1:17">
      <c r="A18" s="51" t="s">
        <v>11</v>
      </c>
      <c r="B18" s="44">
        <v>10</v>
      </c>
      <c r="C18" s="37">
        <f>IF(B$15=0,0,B18/B$15)</f>
        <v>0.66666666666666663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>
      <c r="A19" s="51" t="s">
        <v>195</v>
      </c>
      <c r="B19" s="44">
        <v>11</v>
      </c>
      <c r="C19" s="37">
        <f>IF(B$15=0,0,B19/B$15)</f>
        <v>0.73333333333333328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>
      <c r="A20" s="51" t="s">
        <v>193</v>
      </c>
      <c r="B20" s="44">
        <v>4</v>
      </c>
      <c r="C20" s="37">
        <f>IF(B$15=0,0,B20/B$15)</f>
        <v>0.26666666666666666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>
      <c r="A22" s="51" t="s">
        <v>5</v>
      </c>
      <c r="B22" s="48">
        <f>IF(B$15=0,0,C22/B$15)</f>
        <v>8393.3333333333339</v>
      </c>
      <c r="C22" s="39">
        <v>125900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>
      <c r="A23" s="52" t="s">
        <v>177</v>
      </c>
      <c r="B23" s="136">
        <f>IF($B$15-B$14=0,0,C23/($B$15-B$14))</f>
        <v>8445.454545454546</v>
      </c>
      <c r="C23" s="137">
        <v>92900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8250</v>
      </c>
      <c r="C24" s="137">
        <v>33000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>
      <c r="A25" s="52" t="s">
        <v>176</v>
      </c>
      <c r="B25" s="136">
        <f>IF(B$16=0,0,C25/B$16)</f>
        <v>-7900</v>
      </c>
      <c r="C25" s="137">
        <v>-23700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>
      <c r="A26" s="51" t="s">
        <v>164</v>
      </c>
      <c r="B26" s="44">
        <v>5</v>
      </c>
      <c r="C26" s="131">
        <v>3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>
      <c r="A27" s="51" t="s">
        <v>165</v>
      </c>
      <c r="B27" s="44">
        <v>11</v>
      </c>
      <c r="C27" s="131">
        <v>7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>
      <c r="A28" s="86" t="s">
        <v>138</v>
      </c>
      <c r="B28" s="156">
        <v>5</v>
      </c>
      <c r="C28" s="157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70900</v>
      </c>
      <c r="C29" s="155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52">
        <v>1</v>
      </c>
      <c r="C32" s="141">
        <f>IF(B$15=0,0,B32/B$15)</f>
        <v>6.6666666666666666E-2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53">
        <v>4</v>
      </c>
      <c r="C34" s="37">
        <f>IF(B$15=0,0,B34/B$15)</f>
        <v>0.26666666666666666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53">
        <v>1</v>
      </c>
      <c r="C35" s="37">
        <f t="shared" si="2"/>
        <v>6.6666666666666666E-2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53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53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53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53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53">
        <v>1</v>
      </c>
      <c r="C40" s="37">
        <f t="shared" si="2"/>
        <v>6.6666666666666666E-2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53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53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53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87AEA-AEFB-497A-9F29-20BA7CBDA067}">
  <sheetPr codeName="Sheet32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280</v>
      </c>
      <c r="C1" s="161"/>
      <c r="E1" s="125" t="s">
        <v>160</v>
      </c>
      <c r="F1" s="151" t="s">
        <v>115</v>
      </c>
      <c r="G1" s="150" t="s">
        <v>116</v>
      </c>
      <c r="H1" s="126" t="s">
        <v>117</v>
      </c>
      <c r="I1" s="151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3</v>
      </c>
      <c r="C2" s="163"/>
      <c r="E2" s="58" t="s">
        <v>64</v>
      </c>
      <c r="F2" s="55" t="s">
        <v>20</v>
      </c>
      <c r="G2" s="43">
        <v>2</v>
      </c>
      <c r="H2" s="128">
        <f>IF(B$15=0,0,G2/B$15)</f>
        <v>0.66666666666666663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-2900</v>
      </c>
      <c r="P2" s="114">
        <v>3</v>
      </c>
      <c r="Q2" s="98">
        <v>-8700</v>
      </c>
    </row>
    <row r="3" spans="1:17">
      <c r="A3" s="51" t="s">
        <v>8</v>
      </c>
      <c r="B3" s="164">
        <v>24</v>
      </c>
      <c r="C3" s="165"/>
      <c r="E3" s="59" t="s">
        <v>68</v>
      </c>
      <c r="F3" s="56" t="s">
        <v>12</v>
      </c>
      <c r="G3" s="44">
        <v>2</v>
      </c>
      <c r="H3" s="129">
        <f>IF(B$15=0,0,G3/B$15)</f>
        <v>0.66666666666666663</v>
      </c>
      <c r="I3" s="90">
        <v>1</v>
      </c>
      <c r="K3" s="36">
        <v>1</v>
      </c>
      <c r="L3" s="95">
        <v>1.3</v>
      </c>
      <c r="N3" s="111" t="s">
        <v>131</v>
      </c>
      <c r="O3" s="118">
        <f t="shared" si="0"/>
        <v>-2666.6666666666665</v>
      </c>
      <c r="P3" s="115">
        <v>3</v>
      </c>
      <c r="Q3" s="99">
        <v>-8000</v>
      </c>
    </row>
    <row r="4" spans="1:17">
      <c r="A4" s="51" t="s">
        <v>6</v>
      </c>
      <c r="B4" s="166">
        <v>-66.400000000000006</v>
      </c>
      <c r="C4" s="167"/>
      <c r="E4" s="59" t="s">
        <v>69</v>
      </c>
      <c r="F4" s="56" t="s">
        <v>24</v>
      </c>
      <c r="G4" s="44">
        <v>2</v>
      </c>
      <c r="H4" s="129">
        <f>IF(B$15=0,0,G4/B$15)</f>
        <v>0.66666666666666663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-4750</v>
      </c>
      <c r="P4" s="115">
        <v>2</v>
      </c>
      <c r="Q4" s="99">
        <v>-9500</v>
      </c>
    </row>
    <row r="5" spans="1:17">
      <c r="A5" s="51" t="s">
        <v>7</v>
      </c>
      <c r="B5" s="168">
        <f>IF(B$2=0,0,B$4/B$2)</f>
        <v>-22.133333333333336</v>
      </c>
      <c r="C5" s="169"/>
      <c r="E5" s="59" t="s">
        <v>78</v>
      </c>
      <c r="F5" s="56" t="s">
        <v>33</v>
      </c>
      <c r="G5" s="44">
        <v>2</v>
      </c>
      <c r="H5" s="129">
        <f>IF(B$15=0,0,G5/B$15)</f>
        <v>0.66666666666666663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5250</v>
      </c>
      <c r="P5" s="115">
        <v>2</v>
      </c>
      <c r="Q5" s="99">
        <v>10500</v>
      </c>
    </row>
    <row r="6" spans="1:17">
      <c r="A6" s="51" t="s">
        <v>1</v>
      </c>
      <c r="B6" s="158">
        <f>IF(B$2=0,0,(B$7*1+B$8*2+B$9*3)/B$2)</f>
        <v>2.3333333333333335</v>
      </c>
      <c r="C6" s="159"/>
      <c r="E6" s="59" t="s">
        <v>65</v>
      </c>
      <c r="F6" s="56" t="s">
        <v>21</v>
      </c>
      <c r="G6" s="44">
        <v>1</v>
      </c>
      <c r="H6" s="129">
        <f>IF(B$15=0,0,G6/B$15)</f>
        <v>0.33333333333333331</v>
      </c>
      <c r="I6" s="90">
        <v>1</v>
      </c>
      <c r="N6" s="111" t="s">
        <v>134</v>
      </c>
      <c r="O6" s="118">
        <f t="shared" si="0"/>
        <v>-3000</v>
      </c>
      <c r="P6" s="115">
        <v>2</v>
      </c>
      <c r="Q6" s="99">
        <v>-6000</v>
      </c>
    </row>
    <row r="7" spans="1:17">
      <c r="A7" s="51" t="s">
        <v>2</v>
      </c>
      <c r="B7" s="44">
        <v>0</v>
      </c>
      <c r="C7" s="37">
        <f t="shared" ref="C7:C10" si="1">IF(B$2=0,0,B7/B$2)</f>
        <v>0</v>
      </c>
      <c r="E7" s="59" t="s">
        <v>66</v>
      </c>
      <c r="F7" s="56" t="s">
        <v>22</v>
      </c>
      <c r="G7" s="44">
        <v>1</v>
      </c>
      <c r="H7" s="129">
        <f>IF(B$15=0,0,G7/B$15)</f>
        <v>0.33333333333333331</v>
      </c>
      <c r="I7" s="90">
        <v>14</v>
      </c>
      <c r="N7" s="112" t="s">
        <v>135</v>
      </c>
      <c r="O7" s="119">
        <f t="shared" si="0"/>
        <v>-3000</v>
      </c>
      <c r="P7" s="116">
        <v>1</v>
      </c>
      <c r="Q7" s="100">
        <v>-3000</v>
      </c>
    </row>
    <row r="8" spans="1:17">
      <c r="A8" s="51" t="s">
        <v>3</v>
      </c>
      <c r="B8" s="44">
        <v>2</v>
      </c>
      <c r="C8" s="37">
        <f t="shared" si="1"/>
        <v>0.66666666666666663</v>
      </c>
      <c r="E8" s="59" t="s">
        <v>67</v>
      </c>
      <c r="F8" s="56" t="s">
        <v>23</v>
      </c>
      <c r="G8" s="44">
        <v>1</v>
      </c>
      <c r="H8" s="129">
        <f>IF(B$15=0,0,G8/B$15)</f>
        <v>0.33333333333333331</v>
      </c>
      <c r="I8" s="90">
        <v>6</v>
      </c>
      <c r="N8" s="41"/>
      <c r="O8" s="123"/>
      <c r="P8" s="107"/>
      <c r="Q8" s="105"/>
    </row>
    <row r="9" spans="1:17">
      <c r="A9" s="52" t="s">
        <v>4</v>
      </c>
      <c r="B9" s="45">
        <v>1</v>
      </c>
      <c r="C9" s="38">
        <f t="shared" si="1"/>
        <v>0.33333333333333331</v>
      </c>
      <c r="E9" s="59" t="s">
        <v>72</v>
      </c>
      <c r="F9" s="56" t="s">
        <v>27</v>
      </c>
      <c r="G9" s="44">
        <v>1</v>
      </c>
      <c r="H9" s="129">
        <f>IF(B$15=0,0,G9/B$15)</f>
        <v>0.33333333333333331</v>
      </c>
      <c r="I9" s="90">
        <v>12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</v>
      </c>
      <c r="C10" s="40">
        <f t="shared" si="1"/>
        <v>0.33333333333333331</v>
      </c>
      <c r="E10" s="59" t="s">
        <v>87</v>
      </c>
      <c r="F10" s="56" t="s">
        <v>42</v>
      </c>
      <c r="G10" s="44">
        <v>1</v>
      </c>
      <c r="H10" s="129">
        <f>IF(B$15=0,0,G10/B$15)</f>
        <v>0.33333333333333331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54" t="s">
        <v>121</v>
      </c>
      <c r="B11" s="47">
        <v>8</v>
      </c>
      <c r="C11" s="42">
        <f>IF(B$3=0,0,B11/B$3)</f>
        <v>0.33333333333333331</v>
      </c>
      <c r="E11" s="59" t="s">
        <v>89</v>
      </c>
      <c r="F11" s="56" t="s">
        <v>44</v>
      </c>
      <c r="G11" s="44">
        <v>1</v>
      </c>
      <c r="H11" s="129">
        <f>IF(B$15=0,0,G11/B$15)</f>
        <v>0.33333333333333331</v>
      </c>
      <c r="I11" s="90">
        <v>2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>
      <c r="A12" s="51" t="s">
        <v>118</v>
      </c>
      <c r="B12" s="44">
        <v>4</v>
      </c>
      <c r="C12" s="37">
        <f>IF(B$3=0,0,B12/B$3)</f>
        <v>0.16666666666666666</v>
      </c>
      <c r="E12" s="59" t="s">
        <v>70</v>
      </c>
      <c r="F12" s="56" t="s">
        <v>25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>
      <c r="A13" s="50" t="s">
        <v>123</v>
      </c>
      <c r="B13" s="43">
        <f>B19</f>
        <v>2</v>
      </c>
      <c r="C13" s="35">
        <f>IF(B$11=0,0,B13/B$11)</f>
        <v>0.25</v>
      </c>
      <c r="E13" s="59" t="s">
        <v>71</v>
      </c>
      <c r="F13" s="56" t="s">
        <v>26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</v>
      </c>
      <c r="C14" s="35">
        <f>IF(B$12=0,0,B14/B$12)</f>
        <v>0.25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3</v>
      </c>
      <c r="C15" s="35">
        <f>IF(B$3=0,0,B15/B$3)</f>
        <v>0.125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>
      <c r="A16" s="51" t="s">
        <v>13</v>
      </c>
      <c r="B16" s="44">
        <v>6</v>
      </c>
      <c r="C16" s="37">
        <f>IF(B$3=0,0,B16/B$3)</f>
        <v>0.25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281</v>
      </c>
      <c r="O16" s="121">
        <f>IF(P16=0,0,Q16/P16)</f>
        <v>-64.3</v>
      </c>
      <c r="P16" s="115">
        <v>3</v>
      </c>
      <c r="Q16" s="103">
        <v>-192.9</v>
      </c>
    </row>
    <row r="17" spans="1:9">
      <c r="A17" s="51" t="s">
        <v>12</v>
      </c>
      <c r="B17" s="44">
        <v>2</v>
      </c>
      <c r="C17" s="37">
        <f>IF(B$15=0,0,B17/B$15)</f>
        <v>0.66666666666666663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</row>
    <row r="18" spans="1:9">
      <c r="A18" s="51" t="s">
        <v>11</v>
      </c>
      <c r="B18" s="44">
        <v>1</v>
      </c>
      <c r="C18" s="37">
        <f>IF(B$15=0,0,B18/B$15)</f>
        <v>0.33333333333333331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9">
      <c r="A19" s="51" t="s">
        <v>195</v>
      </c>
      <c r="B19" s="44">
        <v>2</v>
      </c>
      <c r="C19" s="37">
        <f>IF(B$15=0,0,B19/B$15)</f>
        <v>0.66666666666666663</v>
      </c>
      <c r="E19" s="59" t="s">
        <v>79</v>
      </c>
      <c r="F19" s="56" t="s">
        <v>34</v>
      </c>
      <c r="G19" s="44">
        <v>0</v>
      </c>
      <c r="H19" s="129">
        <f>IF(B$15=0,0,G19/B$15)</f>
        <v>0</v>
      </c>
      <c r="I19" s="90">
        <v>10</v>
      </c>
    </row>
    <row r="20" spans="1:9">
      <c r="A20" s="51" t="s">
        <v>193</v>
      </c>
      <c r="B20" s="44">
        <v>1</v>
      </c>
      <c r="C20" s="37">
        <f>IF(B$15=0,0,B20/B$15)</f>
        <v>0.33333333333333331</v>
      </c>
      <c r="E20" s="59" t="s">
        <v>80</v>
      </c>
      <c r="F20" s="56" t="s">
        <v>35</v>
      </c>
      <c r="G20" s="44">
        <v>0</v>
      </c>
      <c r="H20" s="129">
        <f>IF(B$15=0,0,G20/B$15)</f>
        <v>0</v>
      </c>
      <c r="I20" s="90">
        <v>1</v>
      </c>
    </row>
    <row r="21" spans="1:9">
      <c r="A21" s="51" t="s">
        <v>194</v>
      </c>
      <c r="B21" s="44">
        <v>0</v>
      </c>
      <c r="C21" s="37">
        <f>IF(B$15=0,0,B21/B$15)</f>
        <v>0</v>
      </c>
      <c r="E21" s="59" t="s">
        <v>81</v>
      </c>
      <c r="F21" s="56" t="s">
        <v>36</v>
      </c>
      <c r="G21" s="44">
        <v>0</v>
      </c>
      <c r="H21" s="129">
        <f>IF(B$15=0,0,G21/B$15)</f>
        <v>0</v>
      </c>
      <c r="I21" s="90">
        <v>10</v>
      </c>
    </row>
    <row r="22" spans="1:9">
      <c r="A22" s="51" t="s">
        <v>5</v>
      </c>
      <c r="B22" s="48">
        <f>IF(B$15=0,0,C22/B$15)</f>
        <v>10666.666666666666</v>
      </c>
      <c r="C22" s="39">
        <v>32000</v>
      </c>
      <c r="E22" s="59" t="s">
        <v>82</v>
      </c>
      <c r="F22" s="56" t="s">
        <v>37</v>
      </c>
      <c r="G22" s="44">
        <v>0</v>
      </c>
      <c r="H22" s="129">
        <f>IF(B$15=0,0,G22/B$15)</f>
        <v>0</v>
      </c>
      <c r="I22" s="90">
        <v>1</v>
      </c>
    </row>
    <row r="23" spans="1:9">
      <c r="A23" s="52" t="s">
        <v>177</v>
      </c>
      <c r="B23" s="136">
        <f>IF($B$15-B$14=0,0,C23/($B$15-B$14))</f>
        <v>12000</v>
      </c>
      <c r="C23" s="137">
        <v>24000</v>
      </c>
      <c r="E23" s="59" t="s">
        <v>83</v>
      </c>
      <c r="F23" s="56" t="s">
        <v>38</v>
      </c>
      <c r="G23" s="44">
        <v>0</v>
      </c>
      <c r="H23" s="129">
        <f>IF(B$15=0,0,G23/B$15)</f>
        <v>0</v>
      </c>
      <c r="I23" s="90">
        <v>13</v>
      </c>
    </row>
    <row r="24" spans="1:9">
      <c r="A24" s="52" t="s">
        <v>178</v>
      </c>
      <c r="B24" s="136">
        <f>IF(B$14=0,0,C24/B$14)</f>
        <v>8000</v>
      </c>
      <c r="C24" s="137">
        <v>8000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9">
      <c r="A25" s="52" t="s">
        <v>176</v>
      </c>
      <c r="B25" s="136">
        <f>IF(B$16=0,0,C25/B$16)</f>
        <v>-7316.666666666667</v>
      </c>
      <c r="C25" s="137">
        <v>-43900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9">
      <c r="A26" s="51" t="s">
        <v>164</v>
      </c>
      <c r="B26" s="44">
        <v>1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9">
      <c r="A27" s="51" t="s">
        <v>165</v>
      </c>
      <c r="B27" s="44">
        <v>6</v>
      </c>
      <c r="C27" s="131">
        <v>0</v>
      </c>
      <c r="E27" s="59" t="s">
        <v>88</v>
      </c>
      <c r="F27" s="56" t="s">
        <v>43</v>
      </c>
      <c r="G27" s="44">
        <v>0</v>
      </c>
      <c r="H27" s="129">
        <f>IF(B$15=0,0,G27/B$15)</f>
        <v>0</v>
      </c>
      <c r="I27" s="90">
        <v>5</v>
      </c>
    </row>
    <row r="28" spans="1:9">
      <c r="A28" s="86" t="s">
        <v>138</v>
      </c>
      <c r="B28" s="156">
        <v>1</v>
      </c>
      <c r="C28" s="157"/>
      <c r="E28" s="59" t="s">
        <v>90</v>
      </c>
      <c r="F28" s="56" t="s">
        <v>45</v>
      </c>
      <c r="G28" s="44">
        <v>0</v>
      </c>
      <c r="H28" s="129">
        <f>IF(B$15=0,0,G28/B$15)</f>
        <v>0</v>
      </c>
      <c r="I28" s="90">
        <v>5</v>
      </c>
    </row>
    <row r="29" spans="1:9">
      <c r="A29" s="54" t="s">
        <v>192</v>
      </c>
      <c r="B29" s="154">
        <v>36300</v>
      </c>
      <c r="C29" s="155"/>
      <c r="E29" s="59" t="s">
        <v>91</v>
      </c>
      <c r="F29" s="56" t="s">
        <v>46</v>
      </c>
      <c r="G29" s="44">
        <v>0</v>
      </c>
      <c r="H29" s="129">
        <f>IF(B$15=0,0,G29/B$15)</f>
        <v>0</v>
      </c>
      <c r="I29" s="90">
        <v>10</v>
      </c>
    </row>
    <row r="30" spans="1:9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IF(B$15=0,0,G30/B$15)</f>
        <v>0</v>
      </c>
      <c r="I30" s="90">
        <v>6</v>
      </c>
    </row>
    <row r="31" spans="1:9">
      <c r="E31" s="59" t="s">
        <v>93</v>
      </c>
      <c r="F31" s="56" t="s">
        <v>48</v>
      </c>
      <c r="G31" s="44">
        <v>0</v>
      </c>
      <c r="H31" s="129">
        <f>IF(B$15=0,0,G31/B$15)</f>
        <v>0</v>
      </c>
      <c r="I31" s="90">
        <v>5</v>
      </c>
    </row>
    <row r="32" spans="1:9">
      <c r="A32" s="86" t="s">
        <v>183</v>
      </c>
      <c r="B32" s="152">
        <v>0</v>
      </c>
      <c r="C32" s="141">
        <f>IF(B$15=0,0,B32/B$15)</f>
        <v>0</v>
      </c>
      <c r="E32" s="59" t="s">
        <v>94</v>
      </c>
      <c r="F32" s="56" t="s">
        <v>49</v>
      </c>
      <c r="G32" s="44">
        <v>0</v>
      </c>
      <c r="H32" s="129">
        <f>IF(B$15=0,0,G32/B$15)</f>
        <v>0</v>
      </c>
      <c r="I32" s="90">
        <v>1</v>
      </c>
    </row>
    <row r="33" spans="1:9">
      <c r="A33" s="51" t="s">
        <v>179</v>
      </c>
      <c r="B33" s="44">
        <v>0</v>
      </c>
      <c r="C33" s="37">
        <f t="shared" ref="C33:C44" si="2">IF(B$15=0,0,B33/B$15)</f>
        <v>0</v>
      </c>
      <c r="E33" s="59" t="s">
        <v>95</v>
      </c>
      <c r="F33" s="56" t="s">
        <v>50</v>
      </c>
      <c r="G33" s="44">
        <v>0</v>
      </c>
      <c r="H33" s="129">
        <f>IF(B$15=0,0,G33/B$15)</f>
        <v>0</v>
      </c>
      <c r="I33" s="90">
        <v>5</v>
      </c>
    </row>
    <row r="34" spans="1:9">
      <c r="A34" s="51" t="s">
        <v>180</v>
      </c>
      <c r="B34" s="153">
        <v>0</v>
      </c>
      <c r="C34" s="37">
        <f>IF(B$15=0,0,B34/B$15)</f>
        <v>0</v>
      </c>
      <c r="E34" s="59" t="s">
        <v>96</v>
      </c>
      <c r="F34" s="56" t="s">
        <v>51</v>
      </c>
      <c r="G34" s="44">
        <v>0</v>
      </c>
      <c r="H34" s="129">
        <f>IF(B$15=0,0,G34/B$15)</f>
        <v>0</v>
      </c>
      <c r="I34" s="90">
        <v>1</v>
      </c>
    </row>
    <row r="35" spans="1:9">
      <c r="A35" s="51" t="s">
        <v>181</v>
      </c>
      <c r="B35" s="153">
        <v>0</v>
      </c>
      <c r="C35" s="37">
        <f t="shared" si="2"/>
        <v>0</v>
      </c>
      <c r="E35" s="59" t="s">
        <v>97</v>
      </c>
      <c r="F35" s="56" t="s">
        <v>52</v>
      </c>
      <c r="G35" s="44">
        <v>0</v>
      </c>
      <c r="H35" s="129">
        <f>IF(B$15=0,0,G35/B$15)</f>
        <v>0</v>
      </c>
      <c r="I35" s="90">
        <v>3</v>
      </c>
    </row>
    <row r="36" spans="1:9">
      <c r="A36" s="51" t="s">
        <v>182</v>
      </c>
      <c r="B36" s="153">
        <v>1</v>
      </c>
      <c r="C36" s="37">
        <f t="shared" si="2"/>
        <v>0.33333333333333331</v>
      </c>
      <c r="E36" s="59" t="s">
        <v>98</v>
      </c>
      <c r="F36" s="56" t="s">
        <v>53</v>
      </c>
      <c r="G36" s="44">
        <v>0</v>
      </c>
      <c r="H36" s="129">
        <f>IF(B$15=0,0,G36/B$15)</f>
        <v>0</v>
      </c>
      <c r="I36" s="90">
        <v>1</v>
      </c>
    </row>
    <row r="37" spans="1:9">
      <c r="A37" s="51" t="s">
        <v>184</v>
      </c>
      <c r="B37" s="153">
        <v>1</v>
      </c>
      <c r="C37" s="37">
        <f t="shared" si="2"/>
        <v>0.33333333333333331</v>
      </c>
      <c r="E37" s="59" t="s">
        <v>99</v>
      </c>
      <c r="F37" s="56" t="s">
        <v>54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53">
        <v>1</v>
      </c>
      <c r="C38" s="37">
        <f t="shared" si="2"/>
        <v>0.33333333333333331</v>
      </c>
      <c r="E38" s="59" t="s">
        <v>100</v>
      </c>
      <c r="F38" s="56" t="s">
        <v>55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53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IF(B$15=0,0,G39/B$15)</f>
        <v>0</v>
      </c>
      <c r="I39" s="90">
        <v>3</v>
      </c>
    </row>
    <row r="40" spans="1:9">
      <c r="A40" s="51" t="s">
        <v>187</v>
      </c>
      <c r="B40" s="153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IF(B$15=0,0,G40/B$15)</f>
        <v>0</v>
      </c>
      <c r="I40" s="90">
        <v>1</v>
      </c>
    </row>
    <row r="41" spans="1:9">
      <c r="A41" s="51" t="s">
        <v>188</v>
      </c>
      <c r="B41" s="153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53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53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IF(B$15=0,0,G44/B$15)</f>
        <v>0</v>
      </c>
      <c r="I44" s="90">
        <v>3</v>
      </c>
    </row>
    <row r="45" spans="1:9">
      <c r="E45" s="59" t="s">
        <v>107</v>
      </c>
      <c r="F45" s="56" t="s">
        <v>114</v>
      </c>
      <c r="G45" s="44">
        <v>0</v>
      </c>
      <c r="H45" s="129">
        <f>IF(B$15=0,0,G45/B$15)</f>
        <v>0</v>
      </c>
      <c r="I45" s="90">
        <v>1</v>
      </c>
    </row>
    <row r="46" spans="1:9">
      <c r="E46" s="59" t="s">
        <v>108</v>
      </c>
      <c r="F46" s="56" t="s">
        <v>60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109</v>
      </c>
      <c r="F47" s="56" t="s">
        <v>61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110</v>
      </c>
      <c r="F48" s="56" t="s">
        <v>62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111</v>
      </c>
      <c r="F49" s="56" t="s">
        <v>63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162</v>
      </c>
      <c r="F50" s="56" t="s">
        <v>163</v>
      </c>
      <c r="G50" s="44">
        <v>0</v>
      </c>
      <c r="H50" s="129">
        <f>IF(B$15=0,0,G50/B$15)</f>
        <v>0</v>
      </c>
      <c r="I50" s="90">
        <v>8</v>
      </c>
    </row>
    <row r="51" spans="5:9">
      <c r="E51" s="132" t="s">
        <v>166</v>
      </c>
      <c r="F51" s="133" t="s">
        <v>167</v>
      </c>
      <c r="G51" s="45">
        <v>0</v>
      </c>
      <c r="H51" s="134">
        <f>IF(B$15=0,0,G51/B$15)</f>
        <v>0</v>
      </c>
      <c r="I51" s="135">
        <v>14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25AEE-E604-439B-BECC-A1DA40CFAE42}">
  <sheetPr codeName="Sheet33"/>
  <dimension ref="A1:Q6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F5381-4F38-4395-9DFC-9EBAEC992ED4}">
  <sheetPr codeName="Sheet30"/>
  <dimension ref="A1:Q7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CDC9-CF00-4A86-950D-740FA3027C9A}">
  <sheetPr codeName="Sheet28"/>
  <dimension ref="A1:Q9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8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56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4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103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92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5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54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70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53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2019-12-09T15:51:33Z</dcterms:modified>
</cp:coreProperties>
</file>