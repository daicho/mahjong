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7B23857-58EB-4D8C-9864-CC09207022B8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ほたに2" sheetId="5830" state="hidden" r:id="rId16"/>
    <sheet name="ぱぱ2" sheetId="5828" state="hidden" r:id="rId17"/>
    <sheet name="のり2" sheetId="5826" state="hidden" r:id="rId18"/>
    <sheet name="まっつん2" sheetId="5824" state="hidden" r:id="rId19"/>
    <sheet name="れんたろう2" sheetId="5822" state="hidden" r:id="rId20"/>
    <sheet name="りくと2" sheetId="5820" state="hidden" r:id="rId21"/>
    <sheet name="ただ2" sheetId="5818" state="hidden" r:id="rId22"/>
    <sheet name="だいち2" sheetId="5816" state="hidden" r:id="rId23"/>
    <sheet name="たかの2" sheetId="5814" state="hidden" r:id="rId24"/>
    <sheet name="全体2" sheetId="58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813" l="1"/>
  <c r="O16" i="5821"/>
  <c r="O15" i="5821" l="1"/>
  <c r="O19" i="5829"/>
  <c r="O15" i="5819" l="1"/>
  <c r="O18" i="5825"/>
  <c r="O16" i="5829" l="1"/>
  <c r="O22" i="5819"/>
  <c r="O20" i="5813" l="1"/>
  <c r="O16" i="5815"/>
  <c r="O15" i="5825"/>
  <c r="O19" i="5825"/>
  <c r="O21" i="5823" l="1"/>
  <c r="O17" i="5827"/>
  <c r="O16" i="5817" l="1"/>
  <c r="O17" i="5823"/>
  <c r="O20" i="5825"/>
  <c r="O16" i="5825"/>
  <c r="O16" i="5813" l="1"/>
  <c r="O19" i="5827"/>
  <c r="O18" i="5827"/>
  <c r="O17" i="5819"/>
  <c r="O18" i="5817" l="1"/>
  <c r="O21" i="5821"/>
  <c r="O20" i="5821" l="1"/>
  <c r="O21" i="5815"/>
  <c r="O22" i="5825"/>
  <c r="O17" i="5829"/>
  <c r="O15" i="5829"/>
  <c r="O20" i="5827"/>
  <c r="O15" i="5817" l="1"/>
  <c r="O19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19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20" i="5819"/>
  <c r="O17" i="5815" l="1"/>
  <c r="O18" i="5823"/>
  <c r="O22" i="5823"/>
  <c r="O17" i="5813"/>
  <c r="O21" i="5817"/>
  <c r="O16" i="5819"/>
  <c r="O18" i="5819"/>
  <c r="O18" i="5813"/>
  <c r="O17" i="5817"/>
  <c r="O15" i="5815"/>
  <c r="O21" i="5827"/>
  <c r="O22" i="5827"/>
  <c r="O22" i="5821" l="1"/>
  <c r="O17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7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8" i="5825"/>
  <c r="H3" i="5825"/>
  <c r="H4" i="5825"/>
  <c r="H7" i="5825"/>
  <c r="H29" i="5825"/>
  <c r="H2" i="5825"/>
  <c r="H44" i="5825"/>
  <c r="H6" i="5825"/>
  <c r="H16" i="5825"/>
  <c r="H23" i="5825"/>
  <c r="H10" i="5825"/>
  <c r="H26" i="5825"/>
  <c r="H12" i="5825"/>
  <c r="C17" i="5825"/>
  <c r="H36" i="5825"/>
  <c r="H13" i="5825"/>
  <c r="H11" i="5825"/>
  <c r="H30" i="5825"/>
  <c r="H38" i="5825"/>
  <c r="H46" i="5825"/>
  <c r="H17" i="5825"/>
  <c r="H31" i="5825"/>
  <c r="H39" i="5825"/>
  <c r="H47" i="5825"/>
  <c r="H24" i="5825"/>
  <c r="H19" i="5825"/>
  <c r="H9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5" i="5825"/>
  <c r="H5" i="5825"/>
  <c r="H18" i="5825"/>
  <c r="H20" i="5825"/>
  <c r="C18" i="5825"/>
  <c r="B23" i="5825"/>
  <c r="H14" i="5825"/>
  <c r="H35" i="5825"/>
  <c r="H43" i="5825"/>
  <c r="H51" i="5825"/>
  <c r="H21" i="5825"/>
  <c r="C19" i="5825"/>
  <c r="B24" i="5825"/>
  <c r="H37" i="5825"/>
  <c r="H45" i="5825"/>
  <c r="O20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9" i="5821"/>
  <c r="O18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9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7" i="5823"/>
  <c r="H20" i="5823"/>
  <c r="H10" i="5823"/>
  <c r="H11" i="5823"/>
  <c r="H12" i="5823"/>
  <c r="H7" i="5823"/>
  <c r="C17" i="5823"/>
  <c r="H23" i="5823"/>
  <c r="H19" i="5823"/>
  <c r="H13" i="5823"/>
  <c r="H21" i="5823"/>
  <c r="H40" i="5823"/>
  <c r="H47" i="5823"/>
  <c r="H16" i="5823"/>
  <c r="H33" i="5823"/>
  <c r="H41" i="5823"/>
  <c r="H48" i="5823"/>
  <c r="H2" i="5823"/>
  <c r="H34" i="5823"/>
  <c r="H8" i="5823"/>
  <c r="H24" i="5823"/>
  <c r="H15" i="5823"/>
  <c r="H35" i="5823"/>
  <c r="H42" i="5823"/>
  <c r="H50" i="5823"/>
  <c r="H22" i="5823"/>
  <c r="H14" i="5823"/>
  <c r="H29" i="5823"/>
  <c r="H31" i="5823"/>
  <c r="H36" i="5823"/>
  <c r="H43" i="5823"/>
  <c r="H51" i="5823"/>
  <c r="H3" i="5823"/>
  <c r="H28" i="5823"/>
  <c r="H30" i="5823"/>
  <c r="H49" i="5823"/>
  <c r="H6" i="5823"/>
  <c r="H18" i="5823"/>
  <c r="H25" i="5823"/>
  <c r="C18" i="5823"/>
  <c r="B23" i="5823"/>
  <c r="H9" i="5823"/>
  <c r="H37" i="5823"/>
  <c r="H44" i="5823"/>
  <c r="H17" i="5823"/>
  <c r="H32" i="5823"/>
  <c r="H38" i="5823"/>
  <c r="H45" i="5823"/>
  <c r="H5" i="5823"/>
  <c r="H26" i="5823"/>
  <c r="C19" i="5823"/>
  <c r="B24" i="5823"/>
  <c r="H39" i="5823"/>
  <c r="H46" i="5823"/>
  <c r="H19" i="5821"/>
  <c r="H13" i="5821"/>
  <c r="H2" i="5821"/>
  <c r="H40" i="5821"/>
  <c r="H14" i="5821"/>
  <c r="H47" i="5821"/>
  <c r="H6" i="5821"/>
  <c r="H48" i="5821"/>
  <c r="H10" i="5821"/>
  <c r="H17" i="5821"/>
  <c r="H24" i="5821"/>
  <c r="C17" i="5821"/>
  <c r="H15" i="5821"/>
  <c r="H16" i="5821"/>
  <c r="H39" i="5821"/>
  <c r="H49" i="5821"/>
  <c r="H9" i="5821"/>
  <c r="H18" i="5821"/>
  <c r="H11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22" i="5821"/>
  <c r="H3" i="5821"/>
  <c r="H33" i="5821"/>
  <c r="H4" i="5821"/>
  <c r="H12" i="5821"/>
  <c r="H28" i="5821"/>
  <c r="H20" i="5821"/>
  <c r="H21" i="5821"/>
  <c r="H37" i="5821"/>
  <c r="H45" i="5821"/>
  <c r="H7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6" i="5819"/>
  <c r="H28" i="5819"/>
  <c r="H32" i="5819"/>
  <c r="H13" i="5819"/>
  <c r="B24" i="5819"/>
  <c r="H37" i="5819"/>
  <c r="H14" i="5819"/>
  <c r="H15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0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9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3" i="5817"/>
  <c r="H10" i="5817"/>
  <c r="H3" i="5817"/>
  <c r="H6" i="5813"/>
  <c r="H47" i="5817"/>
  <c r="H19" i="5817"/>
  <c r="C17" i="5817"/>
  <c r="H11" i="5817"/>
  <c r="H18" i="5817"/>
  <c r="H2" i="5817"/>
  <c r="H9" i="5817"/>
  <c r="H15" i="5817"/>
  <c r="H39" i="5817"/>
  <c r="H16" i="5817"/>
  <c r="H20" i="5817"/>
  <c r="H40" i="5817"/>
  <c r="H48" i="5817"/>
  <c r="H27" i="5817"/>
  <c r="H30" i="5817"/>
  <c r="H33" i="5817"/>
  <c r="H41" i="5817"/>
  <c r="H49" i="5817"/>
  <c r="H14" i="5817"/>
  <c r="H34" i="5817"/>
  <c r="H42" i="5817"/>
  <c r="H50" i="5817"/>
  <c r="H17" i="5817"/>
  <c r="H28" i="5817"/>
  <c r="H31" i="5817"/>
  <c r="H35" i="5817"/>
  <c r="H43" i="5817"/>
  <c r="H51" i="5817"/>
  <c r="H7" i="5817"/>
  <c r="H22" i="5817"/>
  <c r="H24" i="5817"/>
  <c r="C18" i="5817"/>
  <c r="B23" i="5817"/>
  <c r="H8" i="5817"/>
  <c r="H36" i="5817"/>
  <c r="H44" i="5817"/>
  <c r="H21" i="5817"/>
  <c r="H5" i="5817"/>
  <c r="H12" i="5817"/>
  <c r="H26" i="5817"/>
  <c r="H29" i="5817"/>
  <c r="H32" i="5817"/>
  <c r="H37" i="5817"/>
  <c r="H45" i="5817"/>
  <c r="H4" i="5817"/>
  <c r="H25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7" i="5813"/>
  <c r="H12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16" i="5813"/>
  <c r="C17" i="5813"/>
  <c r="H52" i="5813"/>
  <c r="H18" i="5813"/>
  <c r="H19" i="5813"/>
  <c r="H38" i="5813"/>
  <c r="H46" i="5813"/>
  <c r="H24" i="5813"/>
  <c r="H32" i="5813"/>
  <c r="H39" i="5813"/>
  <c r="H47" i="5813"/>
  <c r="H30" i="5813"/>
  <c r="H48" i="5813"/>
  <c r="H22" i="5813"/>
  <c r="H11" i="5813"/>
  <c r="H41" i="5813"/>
  <c r="H25" i="5813"/>
  <c r="H28" i="5813"/>
  <c r="H15" i="5813"/>
  <c r="H34" i="5813"/>
  <c r="H42" i="5813"/>
  <c r="H50" i="5813"/>
  <c r="H27" i="5813"/>
  <c r="H20" i="5813"/>
  <c r="H40" i="5813"/>
  <c r="H7" i="5813"/>
  <c r="H33" i="5813"/>
  <c r="H49" i="5813"/>
  <c r="H9" i="5813"/>
  <c r="H21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2" i="5811"/>
  <c r="H16" i="5811"/>
  <c r="H14" i="5811"/>
  <c r="H18" i="5811"/>
  <c r="H40" i="5811"/>
  <c r="H47" i="5811"/>
  <c r="H35" i="5811"/>
  <c r="H29" i="5811"/>
  <c r="H30" i="5811"/>
  <c r="H32" i="5811"/>
  <c r="H49" i="5811"/>
  <c r="H3" i="5811"/>
  <c r="H8" i="5811"/>
  <c r="H21" i="5811"/>
  <c r="H13" i="5811"/>
  <c r="H36" i="5811"/>
  <c r="H42" i="5811"/>
  <c r="H50" i="5811"/>
  <c r="H17" i="5811"/>
  <c r="H51" i="5811"/>
  <c r="H26" i="5811"/>
  <c r="H25" i="5811"/>
  <c r="H31" i="5811"/>
  <c r="H43" i="5811"/>
  <c r="H7" i="5811"/>
  <c r="H28" i="5811"/>
  <c r="H33" i="5811"/>
  <c r="C18" i="5811"/>
  <c r="B23" i="5811"/>
  <c r="H9" i="5811"/>
  <c r="H37" i="5811"/>
  <c r="H44" i="5811"/>
  <c r="H19" i="5811"/>
  <c r="H34" i="5811"/>
  <c r="H24" i="5811"/>
  <c r="H27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<sst xmlns="http://schemas.openxmlformats.org/spreadsheetml/2006/main" count="2532" uniqueCount="221">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</sst>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全体!$L$2:$L$338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-21.021021021021021</c:v>
                </c:pt>
                <c:pt idx="1">
                  <c:v>15.576323987538942</c:v>
                </c:pt>
                <c:pt idx="2">
                  <c:v>-35.59870550161812</c:v>
                </c:pt>
                <c:pt idx="3">
                  <c:v>31.25</c:v>
                </c:pt>
                <c:pt idx="4">
                  <c:v>11.111111111111111</c:v>
                </c:pt>
                <c:pt idx="5">
                  <c:v>4.5045045045045047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1557.5757575757575</c:v>
                </c:pt>
                <c:pt idx="1">
                  <c:v>-759.375</c:v>
                </c:pt>
                <c:pt idx="2">
                  <c:v>600</c:v>
                </c:pt>
                <c:pt idx="3">
                  <c:v>-2712.9032258064517</c:v>
                </c:pt>
                <c:pt idx="4">
                  <c:v>-1293.5483870967741</c:v>
                </c:pt>
                <c:pt idx="5">
                  <c:v>-2203.7037037037039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だいち!$L$2:$L$72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201.44927536231884</c:v>
                </c:pt>
                <c:pt idx="1">
                  <c:v>456.06060606060606</c:v>
                </c:pt>
                <c:pt idx="2">
                  <c:v>-383.07692307692309</c:v>
                </c:pt>
                <c:pt idx="3">
                  <c:v>-224.13793103448276</c:v>
                </c:pt>
                <c:pt idx="4">
                  <c:v>3385.7142857142858</c:v>
                </c:pt>
                <c:pt idx="5">
                  <c:v>3468.8888888888887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146.15384615384616</c:v>
                </c:pt>
                <c:pt idx="1">
                  <c:v>-1407.6923076923076</c:v>
                </c:pt>
                <c:pt idx="2">
                  <c:v>1864.8648648648648</c:v>
                </c:pt>
                <c:pt idx="3">
                  <c:v>-1711.4285714285713</c:v>
                </c:pt>
                <c:pt idx="4">
                  <c:v>-3194.1176470588234</c:v>
                </c:pt>
                <c:pt idx="5">
                  <c:v>-2520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ただ!$L$2:$L$68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-1641.5384615384614</c:v>
                </c:pt>
                <c:pt idx="1">
                  <c:v>1607.936507936508</c:v>
                </c:pt>
                <c:pt idx="2">
                  <c:v>635</c:v>
                </c:pt>
                <c:pt idx="3">
                  <c:v>3267.8571428571427</c:v>
                </c:pt>
                <c:pt idx="4">
                  <c:v>-462.2641509433962</c:v>
                </c:pt>
                <c:pt idx="5">
                  <c:v>1239.5348837209303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れんたろう!$L$2:$L$40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2563.1578947368421</c:v>
                </c:pt>
                <c:pt idx="1">
                  <c:v>-2341.6666666666665</c:v>
                </c:pt>
                <c:pt idx="2">
                  <c:v>1414.7058823529412</c:v>
                </c:pt>
                <c:pt idx="3">
                  <c:v>3190.625</c:v>
                </c:pt>
                <c:pt idx="4">
                  <c:v>-2306.8965517241381</c:v>
                </c:pt>
                <c:pt idx="5">
                  <c:v>-722.72727272727275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1421.2765957446809</c:v>
                </c:pt>
                <c:pt idx="1">
                  <c:v>1165.909090909091</c:v>
                </c:pt>
                <c:pt idx="2">
                  <c:v>-2534.1463414634145</c:v>
                </c:pt>
                <c:pt idx="3">
                  <c:v>589.18918918918916</c:v>
                </c:pt>
                <c:pt idx="4">
                  <c:v>-409.375</c:v>
                </c:pt>
                <c:pt idx="5">
                  <c:v>-3.5714285714285716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-3542.8571428571427</c:v>
                </c:pt>
                <c:pt idx="1">
                  <c:v>-1257.1428571428571</c:v>
                </c:pt>
                <c:pt idx="2">
                  <c:v>-1190.4761904761904</c:v>
                </c:pt>
                <c:pt idx="3">
                  <c:v>-5075</c:v>
                </c:pt>
                <c:pt idx="4">
                  <c:v>-1468.421052631579</c:v>
                </c:pt>
                <c:pt idx="5">
                  <c:v>-3656.25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ぱぱ2!$C$3:$C$17</c:f>
              <c:numCache>
                <c:formatCode>\+0.0;\-0.0;\±0</c:formatCode>
                <c:ptCount val="15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14710523095536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ぱぱ2!$D$3:$D$17</c:f>
              <c:numCache>
                <c:formatCode>0.00\ "位"</c:formatCode>
                <c:ptCount val="15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ぱぱ2!$E$3:$E$17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ぱぱ2!$F$3:$F$17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ぱぱ2!$G$3:$G$17</c:f>
              <c:numCache>
                <c:formatCode>0.0%</c:formatCode>
                <c:ptCount val="15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280701754385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ぱぱ2!$H$3:$H$17</c:f>
              <c:numCache>
                <c:formatCode>0.0%</c:formatCode>
                <c:ptCount val="15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017543859649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ぱぱ2!$I$3:$I$17</c:f>
              <c:numCache>
                <c:formatCode>0</c:formatCode>
                <c:ptCount val="15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9.3517406962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ぱぱ2!$J$3:$J$17</c:f>
              <c:numCache>
                <c:formatCode>0</c:formatCode>
                <c:ptCount val="15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40.9663865546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19047619047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ぱぱ2!$L$3:$L$17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19047619047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ぱぱ2!$M$3:$M$17</c:f>
              <c:numCache>
                <c:formatCode>0.0%</c:formatCode>
                <c:ptCount val="15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912280701754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ぱぱ2!$N$3:$N$17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40350877192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ぱぱ2!$O$3:$O$17</c:f>
              <c:numCache>
                <c:formatCode>0.0%</c:formatCode>
                <c:ptCount val="15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160458452722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ぱぱ2!$P$3:$P$17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88372093023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ぱぱ2!$Q$3:$Q$17</c:f>
              <c:numCache>
                <c:formatCode>0.0%</c:formatCode>
                <c:ptCount val="15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76950780312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0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336</v>
      </c>
    </row>
    <row r="2" spans="1:2" x14ac:dyDescent="0.4">
      <c r="A2" t="s">
        <v>166</v>
      </c>
      <c r="B2">
        <v>33</v>
      </c>
    </row>
    <row r="3" spans="1:2" x14ac:dyDescent="0.4">
      <c r="A3" t="s">
        <v>126</v>
      </c>
      <c r="B3">
        <v>70</v>
      </c>
    </row>
    <row r="4" spans="1:2" x14ac:dyDescent="0.4">
      <c r="A4" t="s">
        <v>127</v>
      </c>
      <c r="B4">
        <v>66</v>
      </c>
    </row>
    <row r="5" spans="1:2" x14ac:dyDescent="0.4">
      <c r="A5" t="s">
        <v>179</v>
      </c>
      <c r="B5">
        <v>40</v>
      </c>
    </row>
    <row r="6" spans="1:2" x14ac:dyDescent="0.4">
      <c r="A6" t="s">
        <v>177</v>
      </c>
      <c r="B6">
        <v>38</v>
      </c>
    </row>
    <row r="7" spans="1:2" x14ac:dyDescent="0.4">
      <c r="A7" t="s">
        <v>178</v>
      </c>
      <c r="B7">
        <v>47</v>
      </c>
    </row>
    <row r="8" spans="1:2" x14ac:dyDescent="0.4">
      <c r="A8" t="s">
        <v>182</v>
      </c>
      <c r="B8">
        <v>21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>
      <selection activeCell="M15" sqref="M15"/>
    </sheetView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0.9867766429273378</v>
      </c>
      <c r="G2" s="157"/>
      <c r="H2" s="156">
        <v>0.9233256492461982</v>
      </c>
      <c r="I2" s="157"/>
      <c r="J2" s="156">
        <v>0.98431924410611993</v>
      </c>
      <c r="K2" s="157"/>
      <c r="L2" s="156">
        <v>0.9019327129664243</v>
      </c>
      <c r="M2" s="157"/>
      <c r="N2" s="156">
        <v>0.70134310025751623</v>
      </c>
      <c r="O2" s="157"/>
      <c r="P2" s="156">
        <v>0.45067988047115193</v>
      </c>
      <c r="Q2" s="157"/>
      <c r="R2" s="156">
        <v>0.53136573318616653</v>
      </c>
      <c r="S2" s="157"/>
      <c r="T2" s="156">
        <v>0.45709235773995804</v>
      </c>
      <c r="U2" s="157"/>
      <c r="V2" s="156">
        <v>0.71520699061916737</v>
      </c>
      <c r="W2" s="157"/>
      <c r="X2" s="156">
        <v>0.435328333352823</v>
      </c>
      <c r="Y2" s="157"/>
      <c r="Z2" s="156">
        <v>0.2464493518119085</v>
      </c>
      <c r="AA2" s="157"/>
      <c r="AB2" s="156">
        <v>0.21841535208127066</v>
      </c>
      <c r="AC2" s="157"/>
      <c r="AD2" s="156">
        <v>0.48262569183199788</v>
      </c>
      <c r="AE2" s="157"/>
      <c r="AF2" s="156">
        <v>-0.22174222605859362</v>
      </c>
      <c r="AG2" s="157"/>
      <c r="AH2" s="156">
        <v>0.34993542664348426</v>
      </c>
      <c r="AI2" s="157"/>
    </row>
    <row r="3" spans="1:35" x14ac:dyDescent="0.4">
      <c r="A3" s="70">
        <v>1</v>
      </c>
      <c r="B3" s="71" t="s">
        <v>126</v>
      </c>
      <c r="C3" s="72">
        <v>544.79999999999995</v>
      </c>
      <c r="D3" s="73" t="s">
        <v>126</v>
      </c>
      <c r="E3" s="92">
        <v>7.782857142857142</v>
      </c>
      <c r="F3" s="73" t="s">
        <v>126</v>
      </c>
      <c r="G3" s="74">
        <v>1.7857142857142858</v>
      </c>
      <c r="H3" s="73" t="s">
        <v>126</v>
      </c>
      <c r="I3" s="75">
        <v>0.45714285714285713</v>
      </c>
      <c r="J3" s="73" t="s">
        <v>126</v>
      </c>
      <c r="K3" s="75">
        <v>0.24285714285714285</v>
      </c>
      <c r="L3" s="73" t="s">
        <v>126</v>
      </c>
      <c r="M3" s="76">
        <v>0.33507853403141363</v>
      </c>
      <c r="N3" s="73" t="s">
        <v>181</v>
      </c>
      <c r="O3" s="76">
        <v>0.13380281690140844</v>
      </c>
      <c r="P3" s="73" t="s">
        <v>177</v>
      </c>
      <c r="Q3" s="77">
        <v>10071.764705882353</v>
      </c>
      <c r="R3" s="73" t="s">
        <v>181</v>
      </c>
      <c r="S3" s="77">
        <v>-6800</v>
      </c>
      <c r="T3" s="73" t="s">
        <v>166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0.29180327868852457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126</v>
      </c>
      <c r="AE3" s="76">
        <v>0.48529411764705882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287.09999999999991</v>
      </c>
      <c r="D4" s="81" t="s">
        <v>127</v>
      </c>
      <c r="E4" s="93">
        <v>4.3499999999999988</v>
      </c>
      <c r="F4" s="81" t="s">
        <v>127</v>
      </c>
      <c r="G4" s="82">
        <v>1.8636363636363635</v>
      </c>
      <c r="H4" s="81" t="s">
        <v>195</v>
      </c>
      <c r="I4" s="83">
        <v>0.42857142857142855</v>
      </c>
      <c r="J4" s="81" t="s">
        <v>181</v>
      </c>
      <c r="K4" s="83">
        <v>0.2857142857142857</v>
      </c>
      <c r="L4" s="81" t="s">
        <v>127</v>
      </c>
      <c r="M4" s="84">
        <v>0.3193717277486911</v>
      </c>
      <c r="N4" s="81" t="s">
        <v>126</v>
      </c>
      <c r="O4" s="84">
        <v>0.13787085514834205</v>
      </c>
      <c r="P4" s="81" t="s">
        <v>127</v>
      </c>
      <c r="Q4" s="85">
        <v>8550.8196721311469</v>
      </c>
      <c r="R4" s="81" t="s">
        <v>166</v>
      </c>
      <c r="S4" s="85">
        <v>-6820.833333333333</v>
      </c>
      <c r="T4" s="81" t="s">
        <v>126</v>
      </c>
      <c r="U4" s="83">
        <v>4.2857142857142858E-2</v>
      </c>
      <c r="V4" s="81" t="s">
        <v>181</v>
      </c>
      <c r="W4" s="83">
        <v>0.14285714285714285</v>
      </c>
      <c r="X4" s="81" t="s">
        <v>179</v>
      </c>
      <c r="Y4" s="84">
        <v>0.29142857142857143</v>
      </c>
      <c r="Z4" s="81" t="s">
        <v>127</v>
      </c>
      <c r="AA4" s="84">
        <v>0.32286212914485168</v>
      </c>
      <c r="AB4" s="81" t="s">
        <v>126</v>
      </c>
      <c r="AC4" s="84">
        <v>0.60139860139860135</v>
      </c>
      <c r="AD4" s="81" t="s">
        <v>177</v>
      </c>
      <c r="AE4" s="84">
        <v>0.4838709677419355</v>
      </c>
      <c r="AF4" s="81" t="s">
        <v>182</v>
      </c>
      <c r="AG4" s="84">
        <v>0.48571428571428571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129.30000000000007</v>
      </c>
      <c r="D5" s="81" t="s">
        <v>181</v>
      </c>
      <c r="E5" s="93">
        <v>3.5642857142857145</v>
      </c>
      <c r="F5" s="81" t="s">
        <v>177</v>
      </c>
      <c r="G5" s="82">
        <v>1.868421052631579</v>
      </c>
      <c r="H5" s="81" t="s">
        <v>127</v>
      </c>
      <c r="I5" s="83">
        <v>0.42424242424242425</v>
      </c>
      <c r="J5" s="81" t="s">
        <v>127</v>
      </c>
      <c r="K5" s="83">
        <v>0.2878787878787879</v>
      </c>
      <c r="L5" s="81" t="s">
        <v>143</v>
      </c>
      <c r="M5" s="84">
        <v>0.29228070175438597</v>
      </c>
      <c r="N5" s="81" t="s">
        <v>178</v>
      </c>
      <c r="O5" s="84">
        <v>0.14248704663212436</v>
      </c>
      <c r="P5" s="81" t="s">
        <v>178</v>
      </c>
      <c r="Q5" s="85">
        <v>8305.5045871559632</v>
      </c>
      <c r="R5" s="81" t="s">
        <v>126</v>
      </c>
      <c r="S5" s="85">
        <v>-7192.4050632911394</v>
      </c>
      <c r="T5" s="81" t="s">
        <v>179</v>
      </c>
      <c r="U5" s="83">
        <v>0.05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178</v>
      </c>
      <c r="AA5" s="84">
        <v>0.25647668393782386</v>
      </c>
      <c r="AB5" s="81" t="s">
        <v>179</v>
      </c>
      <c r="AC5" s="84">
        <v>0.59803921568627449</v>
      </c>
      <c r="AD5" s="81" t="s">
        <v>179</v>
      </c>
      <c r="AE5" s="84">
        <v>0.42372881355932202</v>
      </c>
      <c r="AF5" s="81" t="s">
        <v>177</v>
      </c>
      <c r="AG5" s="84">
        <v>0.47058823529411764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177</v>
      </c>
      <c r="E6" s="93">
        <v>3.40263157894737</v>
      </c>
      <c r="F6" s="81" t="s">
        <v>181</v>
      </c>
      <c r="G6" s="82">
        <v>1.9285714285714286</v>
      </c>
      <c r="H6" s="81" t="s">
        <v>177</v>
      </c>
      <c r="I6" s="83">
        <v>0.42105263157894735</v>
      </c>
      <c r="J6" s="81" t="s">
        <v>177</v>
      </c>
      <c r="K6" s="83">
        <v>0.28947368421052633</v>
      </c>
      <c r="L6" s="81" t="s">
        <v>181</v>
      </c>
      <c r="M6" s="84">
        <v>0.28873239436619719</v>
      </c>
      <c r="N6" s="81" t="s">
        <v>177</v>
      </c>
      <c r="O6" s="84">
        <v>0.16393442622950818</v>
      </c>
      <c r="P6" s="81" t="s">
        <v>143</v>
      </c>
      <c r="Q6" s="85">
        <v>8179.3517406962783</v>
      </c>
      <c r="R6" s="81" t="s">
        <v>179</v>
      </c>
      <c r="S6" s="85">
        <v>-7313.04347826087</v>
      </c>
      <c r="T6" s="81" t="s">
        <v>181</v>
      </c>
      <c r="U6" s="83">
        <v>7.1428571428571425E-2</v>
      </c>
      <c r="V6" s="81" t="s">
        <v>127</v>
      </c>
      <c r="W6" s="83">
        <v>0.12121212121212122</v>
      </c>
      <c r="X6" s="81" t="s">
        <v>178</v>
      </c>
      <c r="Y6" s="84">
        <v>0.25129533678756477</v>
      </c>
      <c r="Z6" s="81" t="s">
        <v>143</v>
      </c>
      <c r="AA6" s="84">
        <v>0.24140350877192981</v>
      </c>
      <c r="AB6" s="81" t="s">
        <v>178</v>
      </c>
      <c r="AC6" s="84">
        <v>0.57731958762886593</v>
      </c>
      <c r="AD6" s="81" t="s">
        <v>143</v>
      </c>
      <c r="AE6" s="84">
        <v>0.40988372093023256</v>
      </c>
      <c r="AF6" s="81" t="s">
        <v>166</v>
      </c>
      <c r="AG6" s="84">
        <v>0.43835616438356162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143</v>
      </c>
      <c r="C7" s="80">
        <v>-7.1054273576010019E-15</v>
      </c>
      <c r="D7" s="81" t="s">
        <v>143</v>
      </c>
      <c r="E7" s="93">
        <v>-2.1147105230955362E-17</v>
      </c>
      <c r="F7" s="81" t="s">
        <v>143</v>
      </c>
      <c r="G7" s="82">
        <v>2</v>
      </c>
      <c r="H7" s="81" t="s">
        <v>181</v>
      </c>
      <c r="I7" s="83">
        <v>0.35714285714285715</v>
      </c>
      <c r="J7" s="81" t="s">
        <v>178</v>
      </c>
      <c r="K7" s="83">
        <v>0.2978723404255319</v>
      </c>
      <c r="L7" s="81" t="s">
        <v>179</v>
      </c>
      <c r="M7" s="84">
        <v>0.2857142857142857</v>
      </c>
      <c r="N7" s="81" t="s">
        <v>166</v>
      </c>
      <c r="O7" s="84">
        <v>0.16494845360824742</v>
      </c>
      <c r="P7" s="81" t="s">
        <v>126</v>
      </c>
      <c r="Q7" s="85">
        <v>7869.270833333333</v>
      </c>
      <c r="R7" s="81" t="s">
        <v>143</v>
      </c>
      <c r="S7" s="85">
        <v>-7640.9663865546217</v>
      </c>
      <c r="T7" s="81" t="s">
        <v>178</v>
      </c>
      <c r="U7" s="83">
        <v>8.5106382978723402E-2</v>
      </c>
      <c r="V7" s="81" t="s">
        <v>126</v>
      </c>
      <c r="W7" s="83">
        <v>0.11428571428571428</v>
      </c>
      <c r="X7" s="81" t="s">
        <v>126</v>
      </c>
      <c r="Y7" s="84">
        <v>0.24956369982547993</v>
      </c>
      <c r="Z7" s="81" t="s">
        <v>126</v>
      </c>
      <c r="AA7" s="84">
        <v>0.23734729493891799</v>
      </c>
      <c r="AB7" s="81" t="s">
        <v>143</v>
      </c>
      <c r="AC7" s="84">
        <v>0.56160458452722062</v>
      </c>
      <c r="AD7" s="81" t="s">
        <v>127</v>
      </c>
      <c r="AE7" s="84">
        <v>0.39459459459459462</v>
      </c>
      <c r="AF7" s="81" t="s">
        <v>143</v>
      </c>
      <c r="AG7" s="84">
        <v>0.42376950780312123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178</v>
      </c>
      <c r="C8" s="80">
        <v>-31.099999999999977</v>
      </c>
      <c r="D8" s="81" t="s">
        <v>178</v>
      </c>
      <c r="E8" s="93">
        <v>-0.66170212765957392</v>
      </c>
      <c r="F8" s="81" t="s">
        <v>178</v>
      </c>
      <c r="G8" s="82">
        <v>2.1063829787234041</v>
      </c>
      <c r="H8" s="81" t="s">
        <v>143</v>
      </c>
      <c r="I8" s="83">
        <v>0.33333333333333331</v>
      </c>
      <c r="J8" s="81" t="s">
        <v>143</v>
      </c>
      <c r="K8" s="83">
        <v>0.33333333333333331</v>
      </c>
      <c r="L8" s="81" t="s">
        <v>178</v>
      </c>
      <c r="M8" s="84">
        <v>0.28238341968911918</v>
      </c>
      <c r="N8" s="81" t="s">
        <v>143</v>
      </c>
      <c r="O8" s="84">
        <v>0.16701754385964912</v>
      </c>
      <c r="P8" s="81" t="s">
        <v>181</v>
      </c>
      <c r="Q8" s="85">
        <v>7782.9268292682927</v>
      </c>
      <c r="R8" s="81" t="s">
        <v>127</v>
      </c>
      <c r="S8" s="85">
        <v>-7733.9449541284403</v>
      </c>
      <c r="T8" s="81" t="s">
        <v>143</v>
      </c>
      <c r="U8" s="83">
        <v>0.10119047619047619</v>
      </c>
      <c r="V8" s="81" t="s">
        <v>143</v>
      </c>
      <c r="W8" s="83">
        <v>0.10119047619047619</v>
      </c>
      <c r="X8" s="81" t="s">
        <v>143</v>
      </c>
      <c r="Y8" s="84">
        <v>0.24491228070175439</v>
      </c>
      <c r="Z8" s="81" t="s">
        <v>166</v>
      </c>
      <c r="AA8" s="84">
        <v>0.23367697594501718</v>
      </c>
      <c r="AB8" s="81" t="s">
        <v>127</v>
      </c>
      <c r="AC8" s="84">
        <v>0.55384615384615388</v>
      </c>
      <c r="AD8" s="81" t="s">
        <v>178</v>
      </c>
      <c r="AE8" s="84">
        <v>0.39393939393939392</v>
      </c>
      <c r="AF8" s="81" t="s">
        <v>178</v>
      </c>
      <c r="AG8" s="84">
        <v>0.42201834862385323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-5.5484848484848488</v>
      </c>
      <c r="F9" s="81" t="s">
        <v>195</v>
      </c>
      <c r="G9" s="82">
        <v>2.1428571428571428</v>
      </c>
      <c r="H9" s="81" t="s">
        <v>166</v>
      </c>
      <c r="I9" s="83">
        <v>0.27272727272727271</v>
      </c>
      <c r="J9" s="81" t="s">
        <v>166</v>
      </c>
      <c r="K9" s="83">
        <v>0.42424242424242425</v>
      </c>
      <c r="L9" s="81" t="s">
        <v>177</v>
      </c>
      <c r="M9" s="84">
        <v>0.27868852459016391</v>
      </c>
      <c r="N9" s="81" t="s">
        <v>127</v>
      </c>
      <c r="O9" s="84">
        <v>0.19022687609075042</v>
      </c>
      <c r="P9" s="81" t="s">
        <v>182</v>
      </c>
      <c r="Q9" s="85">
        <v>7562.8571428571431</v>
      </c>
      <c r="R9" s="81" t="s">
        <v>178</v>
      </c>
      <c r="S9" s="85">
        <v>-7827.272727272727</v>
      </c>
      <c r="T9" s="81" t="s">
        <v>177</v>
      </c>
      <c r="U9" s="83">
        <v>0.13157894736842105</v>
      </c>
      <c r="V9" s="81" t="s">
        <v>178</v>
      </c>
      <c r="W9" s="83">
        <v>8.5106382978723402E-2</v>
      </c>
      <c r="X9" s="81" t="s">
        <v>195</v>
      </c>
      <c r="Y9" s="84">
        <v>0.24193548387096775</v>
      </c>
      <c r="Z9" s="81" t="s">
        <v>182</v>
      </c>
      <c r="AA9" s="84">
        <v>0.20833333333333334</v>
      </c>
      <c r="AB9" s="81" t="s">
        <v>195</v>
      </c>
      <c r="AC9" s="84">
        <v>0.53333333333333333</v>
      </c>
      <c r="AD9" s="81" t="s">
        <v>166</v>
      </c>
      <c r="AE9" s="84">
        <v>0.35294117647058826</v>
      </c>
      <c r="AF9" s="81" t="s">
        <v>179</v>
      </c>
      <c r="AG9" s="84">
        <v>0.42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166</v>
      </c>
      <c r="C10" s="80">
        <v>-183.10000000000002</v>
      </c>
      <c r="D10" s="81" t="s">
        <v>179</v>
      </c>
      <c r="E10" s="93">
        <v>-6.7099999999999991</v>
      </c>
      <c r="F10" s="81" t="s">
        <v>166</v>
      </c>
      <c r="G10" s="82">
        <v>2.1515151515151514</v>
      </c>
      <c r="H10" s="81" t="s">
        <v>179</v>
      </c>
      <c r="I10" s="83">
        <v>0.22500000000000001</v>
      </c>
      <c r="J10" s="81" t="s">
        <v>179</v>
      </c>
      <c r="K10" s="83">
        <v>0.42499999999999999</v>
      </c>
      <c r="L10" s="81" t="s">
        <v>166</v>
      </c>
      <c r="M10" s="84">
        <v>0.25085910652920962</v>
      </c>
      <c r="N10" s="81" t="s">
        <v>195</v>
      </c>
      <c r="O10" s="84">
        <v>0.19354838709677419</v>
      </c>
      <c r="P10" s="81" t="s">
        <v>195</v>
      </c>
      <c r="Q10" s="85">
        <v>7473.333333333333</v>
      </c>
      <c r="R10" s="81" t="s">
        <v>177</v>
      </c>
      <c r="S10" s="85">
        <v>-8228</v>
      </c>
      <c r="T10" s="81" t="s">
        <v>127</v>
      </c>
      <c r="U10" s="83">
        <v>0.15151515151515152</v>
      </c>
      <c r="V10" s="81" t="s">
        <v>179</v>
      </c>
      <c r="W10" s="83">
        <v>0.05</v>
      </c>
      <c r="X10" s="81" t="s">
        <v>127</v>
      </c>
      <c r="Y10" s="84">
        <v>0.2268760907504363</v>
      </c>
      <c r="Z10" s="81" t="s">
        <v>177</v>
      </c>
      <c r="AA10" s="84">
        <v>0.20327868852459016</v>
      </c>
      <c r="AB10" s="81" t="s">
        <v>182</v>
      </c>
      <c r="AC10" s="84">
        <v>0.52941176470588236</v>
      </c>
      <c r="AD10" s="81" t="s">
        <v>182</v>
      </c>
      <c r="AE10" s="84">
        <v>0.34285714285714286</v>
      </c>
      <c r="AF10" s="81" t="s">
        <v>126</v>
      </c>
      <c r="AG10" s="84">
        <v>0.41666666666666669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179</v>
      </c>
      <c r="C11" s="80">
        <v>-268.39999999999998</v>
      </c>
      <c r="D11" s="81" t="s">
        <v>195</v>
      </c>
      <c r="E11" s="93">
        <v>-14.971428571428573</v>
      </c>
      <c r="F11" s="81" t="s">
        <v>179</v>
      </c>
      <c r="G11" s="82">
        <v>2.2000000000000002</v>
      </c>
      <c r="H11" s="81" t="s">
        <v>178</v>
      </c>
      <c r="I11" s="83">
        <v>0.19148936170212766</v>
      </c>
      <c r="J11" s="81" t="s">
        <v>182</v>
      </c>
      <c r="K11" s="83">
        <v>0.5714285714285714</v>
      </c>
      <c r="L11" s="81" t="s">
        <v>195</v>
      </c>
      <c r="M11" s="84">
        <v>0.24193548387096775</v>
      </c>
      <c r="N11" s="81" t="s">
        <v>179</v>
      </c>
      <c r="O11" s="84">
        <v>0.19714285714285715</v>
      </c>
      <c r="P11" s="81" t="s">
        <v>179</v>
      </c>
      <c r="Q11" s="85">
        <v>7463</v>
      </c>
      <c r="R11" s="81" t="s">
        <v>182</v>
      </c>
      <c r="S11" s="85">
        <v>-8968.5714285714294</v>
      </c>
      <c r="T11" s="81" t="s">
        <v>182</v>
      </c>
      <c r="U11" s="83">
        <v>0.23809523809523808</v>
      </c>
      <c r="V11" s="81" t="s">
        <v>182</v>
      </c>
      <c r="W11" s="83">
        <v>4.7619047619047616E-2</v>
      </c>
      <c r="X11" s="81" t="s">
        <v>182</v>
      </c>
      <c r="Y11" s="84">
        <v>0.20238095238095238</v>
      </c>
      <c r="Z11" s="81" t="s">
        <v>179</v>
      </c>
      <c r="AA11" s="84">
        <v>0.16857142857142857</v>
      </c>
      <c r="AB11" s="81" t="s">
        <v>166</v>
      </c>
      <c r="AC11" s="84">
        <v>0.52083333333333337</v>
      </c>
      <c r="AD11" s="81" t="s">
        <v>181</v>
      </c>
      <c r="AE11" s="84">
        <v>0.31818181818181818</v>
      </c>
      <c r="AF11" s="81" t="s">
        <v>127</v>
      </c>
      <c r="AG11" s="84">
        <v>0.37704918032786883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-423.7000000000001</v>
      </c>
      <c r="D12" s="81" t="s">
        <v>182</v>
      </c>
      <c r="E12" s="93">
        <v>-20.176190476190481</v>
      </c>
      <c r="F12" s="81" t="s">
        <v>182</v>
      </c>
      <c r="G12" s="82">
        <v>2.5238095238095237</v>
      </c>
      <c r="H12" s="81" t="s">
        <v>182</v>
      </c>
      <c r="I12" s="83">
        <v>4.7619047619047616E-2</v>
      </c>
      <c r="J12" s="81" t="s">
        <v>195</v>
      </c>
      <c r="K12" s="83">
        <v>0.5714285714285714</v>
      </c>
      <c r="L12" s="81" t="s">
        <v>182</v>
      </c>
      <c r="M12" s="84">
        <v>0.20833333333333334</v>
      </c>
      <c r="N12" s="81" t="s">
        <v>182</v>
      </c>
      <c r="O12" s="84">
        <v>0.20833333333333334</v>
      </c>
      <c r="P12" s="81" t="s">
        <v>166</v>
      </c>
      <c r="Q12" s="85">
        <v>7316.4383561643835</v>
      </c>
      <c r="R12" s="81" t="s">
        <v>195</v>
      </c>
      <c r="S12" s="85">
        <v>-9075</v>
      </c>
      <c r="T12" s="81" t="s">
        <v>195</v>
      </c>
      <c r="U12" s="83">
        <v>0.5714285714285714</v>
      </c>
      <c r="V12" s="81" t="s">
        <v>166</v>
      </c>
      <c r="W12" s="83">
        <v>3.0303030303030304E-2</v>
      </c>
      <c r="X12" s="81" t="s">
        <v>166</v>
      </c>
      <c r="Y12" s="84">
        <v>0.16494845360824742</v>
      </c>
      <c r="Z12" s="81" t="s">
        <v>181</v>
      </c>
      <c r="AA12" s="84">
        <v>0.15492957746478872</v>
      </c>
      <c r="AB12" s="81" t="s">
        <v>177</v>
      </c>
      <c r="AC12" s="84">
        <v>0.4606741573033708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3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336</v>
      </c>
      <c r="C2" s="149"/>
      <c r="E2" s="58" t="s">
        <v>66</v>
      </c>
      <c r="F2" s="55" t="s">
        <v>22</v>
      </c>
      <c r="G2" s="43">
        <v>637</v>
      </c>
      <c r="H2" s="128">
        <f>IF(B$17=0,0,G2/B$17)</f>
        <v>0.76470588235294112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-21.021021021021021</v>
      </c>
      <c r="P2" s="114">
        <v>333</v>
      </c>
      <c r="Q2" s="98">
        <v>-7000</v>
      </c>
    </row>
    <row r="3" spans="1:17" x14ac:dyDescent="0.4">
      <c r="A3" s="51" t="s">
        <v>8</v>
      </c>
      <c r="B3" s="150">
        <v>2850</v>
      </c>
      <c r="C3" s="151"/>
      <c r="E3" s="59" t="s">
        <v>72</v>
      </c>
      <c r="F3" s="56" t="s">
        <v>27</v>
      </c>
      <c r="G3" s="44">
        <v>453</v>
      </c>
      <c r="H3" s="129">
        <f>IF(B$17=0,0,G3/B$17)</f>
        <v>0.54381752701080432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15.576323987538942</v>
      </c>
      <c r="P3" s="115">
        <v>321</v>
      </c>
      <c r="Q3" s="99">
        <v>5000</v>
      </c>
    </row>
    <row r="4" spans="1:17" x14ac:dyDescent="0.4">
      <c r="A4" s="51" t="s">
        <v>6</v>
      </c>
      <c r="B4" s="152">
        <v>-7.1054273576010019E-15</v>
      </c>
      <c r="C4" s="153"/>
      <c r="E4" s="59" t="s">
        <v>64</v>
      </c>
      <c r="F4" s="56" t="s">
        <v>20</v>
      </c>
      <c r="G4" s="44">
        <v>380</v>
      </c>
      <c r="H4" s="129">
        <f>IF(B$17=0,0,G4/B$17)</f>
        <v>0.45618247298919568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-35.59870550161812</v>
      </c>
      <c r="P4" s="115">
        <v>309</v>
      </c>
      <c r="Q4" s="99">
        <v>-11000</v>
      </c>
    </row>
    <row r="5" spans="1:17" x14ac:dyDescent="0.4">
      <c r="A5" s="51" t="s">
        <v>7</v>
      </c>
      <c r="B5" s="154">
        <f>IF(B$2=0,0,B$4/B$2)</f>
        <v>-2.1147105230955362E-17</v>
      </c>
      <c r="C5" s="155"/>
      <c r="E5" s="59" t="s">
        <v>171</v>
      </c>
      <c r="F5" s="56" t="s">
        <v>172</v>
      </c>
      <c r="G5" s="44">
        <v>315</v>
      </c>
      <c r="H5" s="129">
        <f>IF(B$17=0,0,G5/B$17)</f>
        <v>0.37815126050420167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31.25</v>
      </c>
      <c r="P5" s="115">
        <v>288</v>
      </c>
      <c r="Q5" s="99">
        <v>9000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250</v>
      </c>
      <c r="H6" s="129">
        <f>IF(B$17=0,0,G6/B$17)</f>
        <v>0.30012004801920766</v>
      </c>
      <c r="I6" s="90">
        <v>7</v>
      </c>
      <c r="K6" s="36">
        <v>4</v>
      </c>
      <c r="L6" s="95">
        <v>24.5</v>
      </c>
      <c r="N6" s="111" t="s">
        <v>134</v>
      </c>
      <c r="O6" s="118">
        <f t="shared" si="0"/>
        <v>11.111111111111111</v>
      </c>
      <c r="P6" s="115">
        <v>270</v>
      </c>
      <c r="Q6" s="99">
        <v>3000</v>
      </c>
    </row>
    <row r="7" spans="1:17" x14ac:dyDescent="0.4">
      <c r="A7" s="51" t="s">
        <v>2</v>
      </c>
      <c r="B7" s="44">
        <v>112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242</v>
      </c>
      <c r="H7" s="129">
        <f>IF(B$17=0,0,G7/B$17)</f>
        <v>0.29051620648259302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4.5045045045045047</v>
      </c>
      <c r="P7" s="116">
        <v>222</v>
      </c>
      <c r="Q7" s="100">
        <v>1000</v>
      </c>
    </row>
    <row r="8" spans="1:17" x14ac:dyDescent="0.4">
      <c r="A8" s="51" t="s">
        <v>3</v>
      </c>
      <c r="B8" s="44">
        <v>112</v>
      </c>
      <c r="C8" s="37">
        <f t="shared" si="1"/>
        <v>0.33333333333333331</v>
      </c>
      <c r="E8" s="59" t="s">
        <v>69</v>
      </c>
      <c r="F8" s="56" t="s">
        <v>24</v>
      </c>
      <c r="G8" s="44">
        <v>116</v>
      </c>
      <c r="H8" s="129">
        <f>IF(B$17=0,0,G8/B$17)</f>
        <v>0.13925570228091236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112</v>
      </c>
      <c r="C9" s="38">
        <f t="shared" si="1"/>
        <v>0.33333333333333331</v>
      </c>
      <c r="E9" s="59" t="s">
        <v>89</v>
      </c>
      <c r="F9" s="56" t="s">
        <v>44</v>
      </c>
      <c r="G9" s="44">
        <v>108</v>
      </c>
      <c r="H9" s="129">
        <f>IF(B$17=0,0,G9/B$17)</f>
        <v>0.12965186074429771</v>
      </c>
      <c r="I9" s="90">
        <v>4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34</v>
      </c>
      <c r="C10" s="38">
        <f t="shared" si="1"/>
        <v>0.10119047619047619</v>
      </c>
      <c r="E10" s="59" t="s">
        <v>65</v>
      </c>
      <c r="F10" s="56" t="s">
        <v>21</v>
      </c>
      <c r="G10" s="44">
        <v>83</v>
      </c>
      <c r="H10" s="129">
        <f>IF(B$17=0,0,G10/B$17)</f>
        <v>9.9639855942376954E-2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1.2312499999999993</v>
      </c>
      <c r="P10" s="114">
        <v>112</v>
      </c>
      <c r="Q10" s="102">
        <v>137.89999999999992</v>
      </c>
    </row>
    <row r="11" spans="1:17" x14ac:dyDescent="0.4">
      <c r="A11" s="52" t="s">
        <v>138</v>
      </c>
      <c r="B11" s="45">
        <v>34</v>
      </c>
      <c r="C11" s="38">
        <f t="shared" si="1"/>
        <v>0.10119047619047619</v>
      </c>
      <c r="E11" s="59" t="s">
        <v>70</v>
      </c>
      <c r="F11" s="56" t="s">
        <v>25</v>
      </c>
      <c r="G11" s="44">
        <v>74</v>
      </c>
      <c r="H11" s="129">
        <f>IF(B$17=0,0,G11/B$17)</f>
        <v>8.883553421368548E-2</v>
      </c>
      <c r="I11" s="90">
        <v>4</v>
      </c>
      <c r="K11" s="36">
        <v>9</v>
      </c>
      <c r="L11" s="95">
        <v>0</v>
      </c>
      <c r="N11" s="111" t="s">
        <v>163</v>
      </c>
      <c r="O11" s="121">
        <f>IF(P11=0,0,Q11/P11)</f>
        <v>1.0866071428571431</v>
      </c>
      <c r="P11" s="115">
        <v>112</v>
      </c>
      <c r="Q11" s="103">
        <v>121.70000000000002</v>
      </c>
    </row>
    <row r="12" spans="1:17" x14ac:dyDescent="0.4">
      <c r="A12" s="53" t="s">
        <v>158</v>
      </c>
      <c r="B12" s="46">
        <v>33</v>
      </c>
      <c r="C12" s="40">
        <f t="shared" si="1"/>
        <v>9.8214285714285712E-2</v>
      </c>
      <c r="E12" s="59" t="s">
        <v>71</v>
      </c>
      <c r="F12" s="56" t="s">
        <v>26</v>
      </c>
      <c r="G12" s="44">
        <v>63</v>
      </c>
      <c r="H12" s="129">
        <f>IF(B$17=0,0,G12/B$17)</f>
        <v>7.5630252100840331E-2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-2.3178571428571431</v>
      </c>
      <c r="P12" s="116">
        <v>112</v>
      </c>
      <c r="Q12" s="104">
        <v>-259.60000000000002</v>
      </c>
    </row>
    <row r="13" spans="1:17" x14ac:dyDescent="0.4">
      <c r="A13" s="54" t="s">
        <v>121</v>
      </c>
      <c r="B13" s="47">
        <v>698</v>
      </c>
      <c r="C13" s="42">
        <f>IF(B$3=0,0,B13/B$3)</f>
        <v>0.24491228070175439</v>
      </c>
      <c r="E13" s="59" t="s">
        <v>83</v>
      </c>
      <c r="F13" s="56" t="s">
        <v>38</v>
      </c>
      <c r="G13" s="44">
        <v>49</v>
      </c>
      <c r="H13" s="129">
        <f>IF(B$17=0,0,G13/B$17)</f>
        <v>5.8823529411764705E-2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688</v>
      </c>
      <c r="C14" s="37">
        <f>IF(B$3=0,0,B14/B$3)</f>
        <v>0.24140350877192981</v>
      </c>
      <c r="E14" s="59" t="s">
        <v>86</v>
      </c>
      <c r="F14" s="56" t="s">
        <v>41</v>
      </c>
      <c r="G14" s="44">
        <v>37</v>
      </c>
      <c r="H14" s="129">
        <f>IF(B$17=0,0,G14/B$17)</f>
        <v>4.441776710684274E-2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392</v>
      </c>
      <c r="C15" s="35">
        <f>IF(B$13=0,0,B15/B$13)</f>
        <v>0.56160458452722062</v>
      </c>
      <c r="E15" s="59" t="s">
        <v>78</v>
      </c>
      <c r="F15" s="56" t="s">
        <v>33</v>
      </c>
      <c r="G15" s="44">
        <v>18</v>
      </c>
      <c r="H15" s="129">
        <f>IF(B$17=0,0,G15/B$17)</f>
        <v>2.1608643457382955E-2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30.264285714285705</v>
      </c>
      <c r="P15" s="114">
        <v>42</v>
      </c>
      <c r="Q15" s="102">
        <v>1271.0999999999997</v>
      </c>
    </row>
    <row r="16" spans="1:17" x14ac:dyDescent="0.4">
      <c r="A16" s="50" t="s">
        <v>124</v>
      </c>
      <c r="B16" s="43">
        <v>282</v>
      </c>
      <c r="C16" s="35">
        <f>IF(B$14=0,0,B16/B$14)</f>
        <v>0.40988372093023256</v>
      </c>
      <c r="E16" s="59" t="s">
        <v>81</v>
      </c>
      <c r="F16" s="56" t="s">
        <v>36</v>
      </c>
      <c r="G16" s="44">
        <v>15</v>
      </c>
      <c r="H16" s="129">
        <f>IF(B$17=0,0,G16/B$17)</f>
        <v>1.800720288115246E-2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833</v>
      </c>
      <c r="C17" s="35">
        <f>IF(B$3=0,0,B17/B$3)</f>
        <v>0.29228070175438597</v>
      </c>
      <c r="E17" s="59" t="s">
        <v>79</v>
      </c>
      <c r="F17" s="56" t="s">
        <v>34</v>
      </c>
      <c r="G17" s="44">
        <v>13</v>
      </c>
      <c r="H17" s="129">
        <f>IF(B$17=0,0,G17/B$17)</f>
        <v>1.5606242496998799E-2</v>
      </c>
      <c r="I17" s="90">
        <v>5</v>
      </c>
      <c r="K17" s="36">
        <v>15</v>
      </c>
      <c r="L17" s="95">
        <v>0</v>
      </c>
      <c r="N17" s="111" t="s">
        <v>179</v>
      </c>
      <c r="O17" s="121">
        <f>IF(P17=0,0,Q17/P17)</f>
        <v>10.065000000000001</v>
      </c>
      <c r="P17" s="115">
        <v>80</v>
      </c>
      <c r="Q17" s="103">
        <v>805.20000000000016</v>
      </c>
    </row>
    <row r="18" spans="1:17" x14ac:dyDescent="0.4">
      <c r="A18" s="51" t="s">
        <v>12</v>
      </c>
      <c r="B18" s="44">
        <v>353</v>
      </c>
      <c r="C18" s="37">
        <f>IF(B$17=0,0,B18/B$17)</f>
        <v>0.42376950780312123</v>
      </c>
      <c r="E18" s="59" t="s">
        <v>91</v>
      </c>
      <c r="F18" s="56" t="s">
        <v>46</v>
      </c>
      <c r="G18" s="44">
        <v>13</v>
      </c>
      <c r="H18" s="129">
        <f>IF(B$17=0,0,G18/B$17)</f>
        <v>1.5606242496998799E-2</v>
      </c>
      <c r="I18" s="90">
        <v>3</v>
      </c>
      <c r="K18" s="36">
        <v>16</v>
      </c>
      <c r="L18" s="95">
        <v>-28.2</v>
      </c>
      <c r="N18" s="111" t="s">
        <v>166</v>
      </c>
      <c r="O18" s="121">
        <f>IF(P18=0,0,Q18/P18)</f>
        <v>8.3227272727272741</v>
      </c>
      <c r="P18" s="115">
        <v>66</v>
      </c>
      <c r="Q18" s="103">
        <v>549.30000000000007</v>
      </c>
    </row>
    <row r="19" spans="1:17" x14ac:dyDescent="0.4">
      <c r="A19" s="51" t="s">
        <v>11</v>
      </c>
      <c r="B19" s="44">
        <v>480</v>
      </c>
      <c r="C19" s="37">
        <f>IF(B$17=0,0,B19/B$17)</f>
        <v>0.57623049219687872</v>
      </c>
      <c r="E19" s="59" t="s">
        <v>167</v>
      </c>
      <c r="F19" s="56" t="s">
        <v>168</v>
      </c>
      <c r="G19" s="44">
        <v>13</v>
      </c>
      <c r="H19" s="129">
        <f>IF(B$17=0,0,G19/B$17)</f>
        <v>1.5606242496998799E-2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0.99255319148936094</v>
      </c>
      <c r="P19" s="115">
        <v>94</v>
      </c>
      <c r="Q19" s="103">
        <v>93.299999999999926</v>
      </c>
    </row>
    <row r="20" spans="1:17" x14ac:dyDescent="0.4">
      <c r="A20" s="51" t="s">
        <v>13</v>
      </c>
      <c r="B20" s="44">
        <v>476</v>
      </c>
      <c r="C20" s="37">
        <f>IF(B$3=0,0,B20/B$3)</f>
        <v>0.16701754385964912</v>
      </c>
      <c r="E20" s="59" t="s">
        <v>92</v>
      </c>
      <c r="F20" s="56" t="s">
        <v>47</v>
      </c>
      <c r="G20" s="44">
        <v>6</v>
      </c>
      <c r="H20" s="129">
        <f>IF(B$17=0,0,G20/B$17)</f>
        <v>7.2028811524609843E-3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-5.1039473684210508</v>
      </c>
      <c r="P20" s="115">
        <v>76</v>
      </c>
      <c r="Q20" s="103">
        <v>-387.89999999999986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5</v>
      </c>
      <c r="H21" s="129">
        <f>IF(B$17=0,0,G21/B$17)</f>
        <v>6.0024009603841539E-3</v>
      </c>
      <c r="I21" s="90">
        <v>4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26</v>
      </c>
      <c r="C22" s="131">
        <v>0</v>
      </c>
      <c r="E22" s="59" t="s">
        <v>74</v>
      </c>
      <c r="F22" s="56" t="s">
        <v>29</v>
      </c>
      <c r="G22" s="44">
        <v>4</v>
      </c>
      <c r="H22" s="129">
        <f>IF(B$17=0,0,G22/B$17)</f>
        <v>4.8019207683073226E-3</v>
      </c>
      <c r="I22" s="90">
        <v>5</v>
      </c>
      <c r="K22" s="36">
        <v>20</v>
      </c>
      <c r="L22" s="95">
        <v>-61.199999999999996</v>
      </c>
      <c r="N22" s="111" t="s">
        <v>127</v>
      </c>
      <c r="O22" s="121">
        <f>IF(P22=0,0,Q22/P22)</f>
        <v>-6.5250000000000057</v>
      </c>
      <c r="P22" s="115">
        <v>132</v>
      </c>
      <c r="Q22" s="103">
        <v>-861.30000000000075</v>
      </c>
    </row>
    <row r="23" spans="1:17" x14ac:dyDescent="0.4">
      <c r="A23" s="51" t="s">
        <v>5</v>
      </c>
      <c r="B23" s="48">
        <f>IF(B$17=0,0,C23/B$17)</f>
        <v>8179.3517406962783</v>
      </c>
      <c r="C23" s="39">
        <v>6813400</v>
      </c>
      <c r="E23" s="59" t="s">
        <v>77</v>
      </c>
      <c r="F23" s="56" t="s">
        <v>32</v>
      </c>
      <c r="G23" s="44">
        <v>4</v>
      </c>
      <c r="H23" s="129">
        <f>IF(B$17=0,0,G23/B$17)</f>
        <v>4.8019207683073226E-3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-11.674285714285709</v>
      </c>
      <c r="P23" s="115">
        <v>140</v>
      </c>
      <c r="Q23" s="103">
        <v>-1634.3999999999992</v>
      </c>
    </row>
    <row r="24" spans="1:17" x14ac:dyDescent="0.4">
      <c r="A24" s="52" t="s">
        <v>216</v>
      </c>
      <c r="B24" s="136">
        <f>IF($B$17-B$16=0,0,C24/($B$17-B$16))</f>
        <v>8731.3974591651549</v>
      </c>
      <c r="C24" s="137">
        <v>4811000</v>
      </c>
      <c r="E24" s="59" t="s">
        <v>85</v>
      </c>
      <c r="F24" s="56" t="s">
        <v>40</v>
      </c>
      <c r="G24" s="44">
        <v>4</v>
      </c>
      <c r="H24" s="129">
        <f>IF(B$17=0,0,G24/B$17)</f>
        <v>4.8019207683073226E-3</v>
      </c>
      <c r="I24" s="90">
        <v>5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7100.7092198581558</v>
      </c>
      <c r="C25" s="137">
        <v>2002400</v>
      </c>
      <c r="E25" s="59" t="s">
        <v>88</v>
      </c>
      <c r="F25" s="56" t="s">
        <v>43</v>
      </c>
      <c r="G25" s="44">
        <v>4</v>
      </c>
      <c r="H25" s="129">
        <f>IF(B$17=0,0,G25/B$17)</f>
        <v>4.8019207683073226E-3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-7640.9663865546217</v>
      </c>
      <c r="C26" s="137">
        <v>-3637100</v>
      </c>
      <c r="E26" s="59" t="s">
        <v>84</v>
      </c>
      <c r="F26" s="56" t="s">
        <v>39</v>
      </c>
      <c r="G26" s="44">
        <v>3</v>
      </c>
      <c r="H26" s="129">
        <f>IF(B$17=0,0,G26/B$17)</f>
        <v>3.6014405762304922E-3</v>
      </c>
      <c r="I26" s="90">
        <v>2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90</v>
      </c>
      <c r="F27" s="56" t="s">
        <v>45</v>
      </c>
      <c r="G27" s="44">
        <v>2</v>
      </c>
      <c r="H27" s="129">
        <f>IF(B$17=0,0,G27/B$17)</f>
        <v>2.4009603841536613E-3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73</v>
      </c>
      <c r="F28" s="56" t="s">
        <v>28</v>
      </c>
      <c r="G28" s="44">
        <v>1</v>
      </c>
      <c r="H28" s="129">
        <f>IF(B$17=0,0,G28/B$17)</f>
        <v>1.2004801920768306E-3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11</v>
      </c>
      <c r="C29" s="40">
        <f>IF(B$3=0,0,B29/B$3)</f>
        <v>3.8596491228070177E-3</v>
      </c>
      <c r="E29" s="59" t="s">
        <v>87</v>
      </c>
      <c r="F29" s="56" t="s">
        <v>42</v>
      </c>
      <c r="G29" s="44">
        <v>1</v>
      </c>
      <c r="H29" s="129">
        <f>IF(B$17=0,0,G29/B$17)</f>
        <v>1.2004801920768306E-3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93</v>
      </c>
      <c r="F30" s="56" t="s">
        <v>48</v>
      </c>
      <c r="G30" s="44">
        <v>1</v>
      </c>
      <c r="H30" s="129">
        <f>IF(B$17=0,0,G30/B$17)</f>
        <v>1.2004801920768306E-3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1</v>
      </c>
      <c r="H31" s="129">
        <f>IF(B$17=0,0,G31/B$17)</f>
        <v>1.2004801920768306E-3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1.2004801920768306E-3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</v>
      </c>
      <c r="C2" s="149"/>
      <c r="E2" s="58" t="s">
        <v>66</v>
      </c>
      <c r="F2" s="55" t="s">
        <v>22</v>
      </c>
      <c r="G2" s="43">
        <v>43</v>
      </c>
      <c r="H2" s="128">
        <f>IF(B$17=0,0,G2/B$17)</f>
        <v>0.58904109589041098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1557.5757575757575</v>
      </c>
      <c r="P2" s="114">
        <v>33</v>
      </c>
      <c r="Q2" s="98">
        <v>51400</v>
      </c>
    </row>
    <row r="3" spans="1:17" x14ac:dyDescent="0.4">
      <c r="A3" s="51" t="s">
        <v>8</v>
      </c>
      <c r="B3" s="150">
        <v>291</v>
      </c>
      <c r="C3" s="151"/>
      <c r="E3" s="59" t="s">
        <v>72</v>
      </c>
      <c r="F3" s="56" t="s">
        <v>27</v>
      </c>
      <c r="G3" s="44">
        <v>39</v>
      </c>
      <c r="H3" s="129">
        <f>IF(B$17=0,0,G3/B$17)</f>
        <v>0.53424657534246578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-759.375</v>
      </c>
      <c r="P3" s="115">
        <v>32</v>
      </c>
      <c r="Q3" s="99">
        <v>-24300</v>
      </c>
    </row>
    <row r="4" spans="1:17" x14ac:dyDescent="0.4">
      <c r="A4" s="51" t="s">
        <v>6</v>
      </c>
      <c r="B4" s="152">
        <v>-183.10000000000002</v>
      </c>
      <c r="C4" s="153"/>
      <c r="E4" s="59" t="s">
        <v>171</v>
      </c>
      <c r="F4" s="56" t="s">
        <v>172</v>
      </c>
      <c r="G4" s="44">
        <v>30</v>
      </c>
      <c r="H4" s="129">
        <f>IF(B$17=0,0,G4/B$17)</f>
        <v>0.41095890410958902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600</v>
      </c>
      <c r="P4" s="115">
        <v>31</v>
      </c>
      <c r="Q4" s="99">
        <v>18600</v>
      </c>
    </row>
    <row r="5" spans="1:17" x14ac:dyDescent="0.4">
      <c r="A5" s="51" t="s">
        <v>7</v>
      </c>
      <c r="B5" s="154">
        <f>IF(B$2=0,0,B$4/B$2)</f>
        <v>-5.5484848484848488</v>
      </c>
      <c r="C5" s="155"/>
      <c r="E5" s="59" t="s">
        <v>64</v>
      </c>
      <c r="F5" s="56" t="s">
        <v>20</v>
      </c>
      <c r="G5" s="44">
        <v>23</v>
      </c>
      <c r="H5" s="129">
        <f>IF(B$17=0,0,G5/B$17)</f>
        <v>0.31506849315068491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-2712.9032258064517</v>
      </c>
      <c r="P5" s="115">
        <v>31</v>
      </c>
      <c r="Q5" s="99">
        <v>-84100</v>
      </c>
    </row>
    <row r="6" spans="1:17" x14ac:dyDescent="0.4">
      <c r="A6" s="51" t="s">
        <v>1</v>
      </c>
      <c r="B6" s="144">
        <f>IF(B$2=0,0,(B$7*1+B$8*2+B$9*3)/B$2)</f>
        <v>2.1515151515151514</v>
      </c>
      <c r="C6" s="145"/>
      <c r="E6" s="59" t="s">
        <v>68</v>
      </c>
      <c r="F6" s="56" t="s">
        <v>12</v>
      </c>
      <c r="G6" s="44">
        <v>22</v>
      </c>
      <c r="H6" s="129">
        <f>IF(B$17=0,0,G6/B$17)</f>
        <v>0.30136986301369861</v>
      </c>
      <c r="I6" s="90">
        <v>6</v>
      </c>
      <c r="K6" s="36">
        <v>4</v>
      </c>
      <c r="L6" s="95">
        <v>-30.7</v>
      </c>
      <c r="N6" s="111" t="s">
        <v>134</v>
      </c>
      <c r="O6" s="118">
        <f t="shared" si="0"/>
        <v>-1293.5483870967741</v>
      </c>
      <c r="P6" s="115">
        <v>31</v>
      </c>
      <c r="Q6" s="99">
        <v>-40100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0.27272727272727271</v>
      </c>
      <c r="E7" s="59" t="s">
        <v>69</v>
      </c>
      <c r="F7" s="56" t="s">
        <v>24</v>
      </c>
      <c r="G7" s="44">
        <v>18</v>
      </c>
      <c r="H7" s="129">
        <f>IF(B$17=0,0,G7/B$17)</f>
        <v>0.24657534246575341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-2203.7037037037039</v>
      </c>
      <c r="P7" s="116">
        <v>27</v>
      </c>
      <c r="Q7" s="100">
        <v>-59500</v>
      </c>
    </row>
    <row r="8" spans="1:17" x14ac:dyDescent="0.4">
      <c r="A8" s="51" t="s">
        <v>3</v>
      </c>
      <c r="B8" s="44">
        <v>10</v>
      </c>
      <c r="C8" s="37">
        <f t="shared" si="1"/>
        <v>0.30303030303030304</v>
      </c>
      <c r="E8" s="59" t="s">
        <v>70</v>
      </c>
      <c r="F8" s="56" t="s">
        <v>25</v>
      </c>
      <c r="G8" s="44">
        <v>11</v>
      </c>
      <c r="H8" s="129">
        <f>IF(B$17=0,0,G8/B$17)</f>
        <v>0.15068493150684931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0.42424242424242425</v>
      </c>
      <c r="E9" s="59" t="s">
        <v>67</v>
      </c>
      <c r="F9" s="56" t="s">
        <v>23</v>
      </c>
      <c r="G9" s="44">
        <v>10</v>
      </c>
      <c r="H9" s="129">
        <f>IF(B$17=0,0,G9/B$17)</f>
        <v>0.13698630136986301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0.1095890410958904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3.0636363636363639</v>
      </c>
      <c r="P10" s="114">
        <v>11</v>
      </c>
      <c r="Q10" s="102">
        <v>33.700000000000003</v>
      </c>
    </row>
    <row r="11" spans="1:17" x14ac:dyDescent="0.4">
      <c r="A11" s="52" t="s">
        <v>138</v>
      </c>
      <c r="B11" s="45">
        <v>1</v>
      </c>
      <c r="C11" s="38">
        <f t="shared" si="1"/>
        <v>3.0303030303030304E-2</v>
      </c>
      <c r="E11" s="59" t="s">
        <v>83</v>
      </c>
      <c r="F11" s="56" t="s">
        <v>38</v>
      </c>
      <c r="G11" s="44">
        <v>8</v>
      </c>
      <c r="H11" s="129">
        <f>IF(B$17=0,0,G11/B$17)</f>
        <v>0.1095890410958904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-19.425000000000001</v>
      </c>
      <c r="P11" s="115">
        <v>8</v>
      </c>
      <c r="Q11" s="103">
        <v>-155.4</v>
      </c>
    </row>
    <row r="12" spans="1:17" x14ac:dyDescent="0.4">
      <c r="A12" s="53" t="s">
        <v>158</v>
      </c>
      <c r="B12" s="46">
        <v>4</v>
      </c>
      <c r="C12" s="40">
        <f t="shared" si="1"/>
        <v>0.12121212121212122</v>
      </c>
      <c r="E12" s="59" t="s">
        <v>65</v>
      </c>
      <c r="F12" s="56" t="s">
        <v>21</v>
      </c>
      <c r="G12" s="44">
        <v>7</v>
      </c>
      <c r="H12" s="129">
        <f>IF(B$17=0,0,G12/B$17)</f>
        <v>9.5890410958904104E-2</v>
      </c>
      <c r="I12" s="90">
        <v>7</v>
      </c>
      <c r="K12" s="36">
        <v>10</v>
      </c>
      <c r="L12" s="95">
        <v>-32.700000000000003</v>
      </c>
      <c r="N12" s="112" t="s">
        <v>164</v>
      </c>
      <c r="O12" s="122">
        <f>IF(P12=0,0,Q12/P12)</f>
        <v>-4.3857142857142852</v>
      </c>
      <c r="P12" s="116">
        <v>14</v>
      </c>
      <c r="Q12" s="104">
        <v>-61.399999999999991</v>
      </c>
    </row>
    <row r="13" spans="1:17" x14ac:dyDescent="0.4">
      <c r="A13" s="54" t="s">
        <v>121</v>
      </c>
      <c r="B13" s="47">
        <v>48</v>
      </c>
      <c r="C13" s="42">
        <f>IF(B$3=0,0,B13/B$3)</f>
        <v>0.16494845360824742</v>
      </c>
      <c r="E13" s="59" t="s">
        <v>89</v>
      </c>
      <c r="F13" s="56" t="s">
        <v>44</v>
      </c>
      <c r="G13" s="44">
        <v>5</v>
      </c>
      <c r="H13" s="129">
        <f>IF(B$17=0,0,G13/B$17)</f>
        <v>6.8493150684931503E-2</v>
      </c>
      <c r="I13" s="90">
        <v>9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68</v>
      </c>
      <c r="C14" s="37">
        <f>IF(B$3=0,0,B14/B$3)</f>
        <v>0.23367697594501718</v>
      </c>
      <c r="E14" s="59" t="s">
        <v>81</v>
      </c>
      <c r="F14" s="56" t="s">
        <v>36</v>
      </c>
      <c r="G14" s="44">
        <v>4</v>
      </c>
      <c r="H14" s="129">
        <f>IF(B$17=0,0,G14/B$17)</f>
        <v>5.4794520547945202E-2</v>
      </c>
      <c r="I14" s="90">
        <v>2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0.52083333333333337</v>
      </c>
      <c r="E15" s="59" t="s">
        <v>88</v>
      </c>
      <c r="F15" s="56" t="s">
        <v>43</v>
      </c>
      <c r="G15" s="44">
        <v>2</v>
      </c>
      <c r="H15" s="129">
        <f>IF(B$17=0,0,G15/B$17)</f>
        <v>2.7397260273972601E-2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24</v>
      </c>
      <c r="C16" s="35">
        <f>IF(B$14=0,0,B16/B$14)</f>
        <v>0.35294117647058826</v>
      </c>
      <c r="E16" s="59" t="s">
        <v>74</v>
      </c>
      <c r="F16" s="56" t="s">
        <v>29</v>
      </c>
      <c r="G16" s="44">
        <v>1</v>
      </c>
      <c r="H16" s="129">
        <f>IF(B$17=0,0,G16/B$17)</f>
        <v>1.3698630136986301E-2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>IF(P16=0,0,Q16/P16)</f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73</v>
      </c>
      <c r="C17" s="35">
        <f>IF(B$3=0,0,B17/B$3)</f>
        <v>0.25085910652920962</v>
      </c>
      <c r="E17" s="59" t="s">
        <v>77</v>
      </c>
      <c r="F17" s="56" t="s">
        <v>32</v>
      </c>
      <c r="G17" s="44">
        <v>1</v>
      </c>
      <c r="H17" s="129">
        <f>IF(B$17=0,0,G17/B$17)</f>
        <v>1.3698630136986301E-2</v>
      </c>
      <c r="I17" s="90">
        <v>2</v>
      </c>
      <c r="K17" s="36">
        <v>15</v>
      </c>
      <c r="L17" s="95">
        <v>-65.2</v>
      </c>
      <c r="N17" s="111" t="s">
        <v>178</v>
      </c>
      <c r="O17" s="121">
        <f>IF(P17=0,0,Q17/P17)</f>
        <v>-5.3124999999999991</v>
      </c>
      <c r="P17" s="115">
        <v>8</v>
      </c>
      <c r="Q17" s="103">
        <v>-42.499999999999993</v>
      </c>
    </row>
    <row r="18" spans="1:17" x14ac:dyDescent="0.4">
      <c r="A18" s="51" t="s">
        <v>12</v>
      </c>
      <c r="B18" s="44">
        <v>32</v>
      </c>
      <c r="C18" s="37">
        <f>IF(B$17=0,0,B18/B$17)</f>
        <v>0.43835616438356162</v>
      </c>
      <c r="E18" s="59" t="s">
        <v>86</v>
      </c>
      <c r="F18" s="56" t="s">
        <v>41</v>
      </c>
      <c r="G18" s="44">
        <v>1</v>
      </c>
      <c r="H18" s="129">
        <f>IF(B$17=0,0,G18/B$17)</f>
        <v>1.3698630136986301E-2</v>
      </c>
      <c r="I18" s="90">
        <v>10</v>
      </c>
      <c r="K18" s="36">
        <v>16</v>
      </c>
      <c r="L18" s="95">
        <v>-70.600000000000009</v>
      </c>
      <c r="N18" s="111" t="s">
        <v>179</v>
      </c>
      <c r="O18" s="121">
        <f>IF(P18=0,0,Q18/P18)</f>
        <v>-10.390909090909092</v>
      </c>
      <c r="P18" s="115">
        <v>11</v>
      </c>
      <c r="Q18" s="103">
        <v>-114.30000000000001</v>
      </c>
    </row>
    <row r="19" spans="1:17" x14ac:dyDescent="0.4">
      <c r="A19" s="51" t="s">
        <v>11</v>
      </c>
      <c r="B19" s="44">
        <v>41</v>
      </c>
      <c r="C19" s="37">
        <f>IF(B$17=0,0,B19/B$17)</f>
        <v>0.56164383561643838</v>
      </c>
      <c r="E19" s="59" t="s">
        <v>91</v>
      </c>
      <c r="F19" s="56" t="s">
        <v>46</v>
      </c>
      <c r="G19" s="44">
        <v>1</v>
      </c>
      <c r="H19" s="129">
        <f>IF(B$17=0,0,G19/B$17)</f>
        <v>1.3698630136986301E-2</v>
      </c>
      <c r="I19" s="90">
        <v>4</v>
      </c>
      <c r="K19" s="36">
        <v>17</v>
      </c>
      <c r="L19" s="95">
        <v>-65.2</v>
      </c>
      <c r="N19" s="111" t="s">
        <v>127</v>
      </c>
      <c r="O19" s="121">
        <f>IF(P19=0,0,Q19/P19)</f>
        <v>-10.6</v>
      </c>
      <c r="P19" s="115">
        <v>16</v>
      </c>
      <c r="Q19" s="103">
        <v>-169.6</v>
      </c>
    </row>
    <row r="20" spans="1:17" x14ac:dyDescent="0.4">
      <c r="A20" s="51" t="s">
        <v>13</v>
      </c>
      <c r="B20" s="44">
        <v>48</v>
      </c>
      <c r="C20" s="37">
        <f>IF(B$3=0,0,B20/B$3)</f>
        <v>0.16494845360824742</v>
      </c>
      <c r="E20" s="59" t="s">
        <v>93</v>
      </c>
      <c r="F20" s="56" t="s">
        <v>48</v>
      </c>
      <c r="G20" s="44">
        <v>1</v>
      </c>
      <c r="H20" s="129">
        <f>IF(B$17=0,0,G20/B$17)</f>
        <v>1.3698630136986301E-2</v>
      </c>
      <c r="I20" s="90">
        <v>1</v>
      </c>
      <c r="K20" s="36">
        <v>18</v>
      </c>
      <c r="L20" s="95">
        <v>-80.2</v>
      </c>
      <c r="N20" s="111" t="s">
        <v>182</v>
      </c>
      <c r="O20" s="121">
        <f>IF(P20=0,0,Q20/P20)</f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-115.1</v>
      </c>
      <c r="N21" s="111" t="s">
        <v>177</v>
      </c>
      <c r="O21" s="121">
        <f>IF(P21=0,0,Q21/P21)</f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7316.4383561643835</v>
      </c>
      <c r="C23" s="39">
        <v>534100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7851.0204081632655</v>
      </c>
      <c r="C24" s="137">
        <v>384700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6225</v>
      </c>
      <c r="C25" s="137">
        <v>149400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-6820.833333333333</v>
      </c>
      <c r="C26" s="137">
        <v>-327400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6.8728522336769758E-3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2"/>
  <sheetViews>
    <sheetView showGridLines="0" zoomScaleNormal="100" workbookViewId="0">
      <selection activeCell="C18" sqref="C18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70</v>
      </c>
      <c r="C2" s="149"/>
      <c r="E2" s="58" t="s">
        <v>66</v>
      </c>
      <c r="F2" s="55" t="s">
        <v>22</v>
      </c>
      <c r="G2" s="43">
        <v>128</v>
      </c>
      <c r="H2" s="128">
        <f>IF(B$17=0,0,G2/B$17)</f>
        <v>0.66666666666666663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201.44927536231884</v>
      </c>
      <c r="P2" s="114">
        <v>69</v>
      </c>
      <c r="Q2" s="98">
        <v>13900</v>
      </c>
    </row>
    <row r="3" spans="1:17" x14ac:dyDescent="0.4">
      <c r="A3" s="51" t="s">
        <v>8</v>
      </c>
      <c r="B3" s="150">
        <v>573</v>
      </c>
      <c r="C3" s="151"/>
      <c r="E3" s="59" t="s">
        <v>72</v>
      </c>
      <c r="F3" s="56" t="s">
        <v>27</v>
      </c>
      <c r="G3" s="44">
        <v>97</v>
      </c>
      <c r="H3" s="129">
        <f>IF(B$17=0,0,G3/B$17)</f>
        <v>0.50520833333333337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0"/>
        <v>456.06060606060606</v>
      </c>
      <c r="P3" s="115">
        <v>66</v>
      </c>
      <c r="Q3" s="99">
        <v>30100</v>
      </c>
    </row>
    <row r="4" spans="1:17" x14ac:dyDescent="0.4">
      <c r="A4" s="51" t="s">
        <v>6</v>
      </c>
      <c r="B4" s="152">
        <v>544.79999999999995</v>
      </c>
      <c r="C4" s="153"/>
      <c r="E4" s="59" t="s">
        <v>64</v>
      </c>
      <c r="F4" s="56" t="s">
        <v>20</v>
      </c>
      <c r="G4" s="44">
        <v>79</v>
      </c>
      <c r="H4" s="129">
        <f>IF(B$17=0,0,G4/B$17)</f>
        <v>0.41145833333333331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-383.07692307692309</v>
      </c>
      <c r="P4" s="115">
        <v>65</v>
      </c>
      <c r="Q4" s="99">
        <v>-24900</v>
      </c>
    </row>
    <row r="5" spans="1:17" x14ac:dyDescent="0.4">
      <c r="A5" s="51" t="s">
        <v>7</v>
      </c>
      <c r="B5" s="154">
        <f>IF(B$2=0,0,B$4/B$2)</f>
        <v>7.782857142857142</v>
      </c>
      <c r="C5" s="155"/>
      <c r="E5" s="59" t="s">
        <v>171</v>
      </c>
      <c r="F5" s="56" t="s">
        <v>172</v>
      </c>
      <c r="G5" s="44">
        <v>63</v>
      </c>
      <c r="H5" s="129">
        <f>IF(B$17=0,0,G5/B$17)</f>
        <v>0.328125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-224.13793103448276</v>
      </c>
      <c r="P5" s="115">
        <v>58</v>
      </c>
      <c r="Q5" s="99">
        <v>-13000</v>
      </c>
    </row>
    <row r="6" spans="1:17" x14ac:dyDescent="0.4">
      <c r="A6" s="51" t="s">
        <v>1</v>
      </c>
      <c r="B6" s="144">
        <f>IF(B$2=0,0,(B$7*1+B$8*2+B$9*3)/B$2)</f>
        <v>1.7857142857142858</v>
      </c>
      <c r="C6" s="145"/>
      <c r="E6" s="59" t="s">
        <v>68</v>
      </c>
      <c r="F6" s="56" t="s">
        <v>12</v>
      </c>
      <c r="G6" s="44">
        <v>53</v>
      </c>
      <c r="H6" s="129">
        <f>IF(B$17=0,0,G6/B$17)</f>
        <v>0.27604166666666669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3385.7142857142858</v>
      </c>
      <c r="P6" s="115">
        <v>56</v>
      </c>
      <c r="Q6" s="99">
        <v>189600</v>
      </c>
    </row>
    <row r="7" spans="1:17" x14ac:dyDescent="0.4">
      <c r="A7" s="51" t="s">
        <v>2</v>
      </c>
      <c r="B7" s="44">
        <v>32</v>
      </c>
      <c r="C7" s="37">
        <f t="shared" ref="C7:C12" si="1">IF(B$2=0,0,B7/B$2)</f>
        <v>0.45714285714285713</v>
      </c>
      <c r="E7" s="59" t="s">
        <v>67</v>
      </c>
      <c r="F7" s="56" t="s">
        <v>23</v>
      </c>
      <c r="G7" s="44">
        <v>52</v>
      </c>
      <c r="H7" s="129">
        <f>IF(B$17=0,0,G7/B$17)</f>
        <v>0.27083333333333331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3468.8888888888887</v>
      </c>
      <c r="P7" s="116">
        <v>45</v>
      </c>
      <c r="Q7" s="100">
        <v>156100</v>
      </c>
    </row>
    <row r="8" spans="1:17" x14ac:dyDescent="0.4">
      <c r="A8" s="51" t="s">
        <v>3</v>
      </c>
      <c r="B8" s="44">
        <v>21</v>
      </c>
      <c r="C8" s="37">
        <f t="shared" si="1"/>
        <v>0.3</v>
      </c>
      <c r="E8" s="59" t="s">
        <v>89</v>
      </c>
      <c r="F8" s="56" t="s">
        <v>44</v>
      </c>
      <c r="G8" s="44">
        <v>34</v>
      </c>
      <c r="H8" s="129">
        <f>IF(B$17=0,0,G8/B$17)</f>
        <v>0.17708333333333334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0.24285714285714285</v>
      </c>
      <c r="E9" s="59" t="s">
        <v>69</v>
      </c>
      <c r="F9" s="56" t="s">
        <v>24</v>
      </c>
      <c r="G9" s="44">
        <v>24</v>
      </c>
      <c r="H9" s="129">
        <f>IF(B$17=0,0,G9/B$17)</f>
        <v>0.125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4.2857142857142858E-2</v>
      </c>
      <c r="E10" s="59" t="s">
        <v>65</v>
      </c>
      <c r="F10" s="56" t="s">
        <v>21</v>
      </c>
      <c r="G10" s="44">
        <v>21</v>
      </c>
      <c r="H10" s="129">
        <f>IF(B$17=0,0,G10/B$17)</f>
        <v>0.109375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12.143750000000001</v>
      </c>
      <c r="P10" s="114">
        <v>16</v>
      </c>
      <c r="Q10" s="102">
        <v>194.3</v>
      </c>
    </row>
    <row r="11" spans="1:17" x14ac:dyDescent="0.4">
      <c r="A11" s="52" t="s">
        <v>138</v>
      </c>
      <c r="B11" s="45">
        <v>8</v>
      </c>
      <c r="C11" s="38">
        <f t="shared" si="1"/>
        <v>0.11428571428571428</v>
      </c>
      <c r="E11" s="59" t="s">
        <v>71</v>
      </c>
      <c r="F11" s="56" t="s">
        <v>26</v>
      </c>
      <c r="G11" s="44">
        <v>13</v>
      </c>
      <c r="H11" s="129">
        <f>IF(B$17=0,0,G11/B$17)</f>
        <v>6.7708333333333329E-2</v>
      </c>
      <c r="I11" s="90">
        <v>7</v>
      </c>
      <c r="K11" s="36">
        <v>9</v>
      </c>
      <c r="L11" s="95">
        <v>180.89999999999998</v>
      </c>
      <c r="N11" s="111" t="s">
        <v>163</v>
      </c>
      <c r="O11" s="121">
        <f>IF(P11=0,0,Q11/P11)</f>
        <v>3.5935483870967748</v>
      </c>
      <c r="P11" s="115">
        <v>31</v>
      </c>
      <c r="Q11" s="103">
        <v>111.40000000000002</v>
      </c>
    </row>
    <row r="12" spans="1:17" x14ac:dyDescent="0.4">
      <c r="A12" s="53" t="s">
        <v>158</v>
      </c>
      <c r="B12" s="46">
        <v>9</v>
      </c>
      <c r="C12" s="40">
        <f t="shared" si="1"/>
        <v>0.12857142857142856</v>
      </c>
      <c r="E12" s="59" t="s">
        <v>70</v>
      </c>
      <c r="F12" s="56" t="s">
        <v>25</v>
      </c>
      <c r="G12" s="44">
        <v>11</v>
      </c>
      <c r="H12" s="129">
        <f>IF(B$17=0,0,G12/B$17)</f>
        <v>5.7291666666666664E-2</v>
      </c>
      <c r="I12" s="90">
        <v>9</v>
      </c>
      <c r="K12" s="36">
        <v>10</v>
      </c>
      <c r="L12" s="95">
        <v>158.19999999999999</v>
      </c>
      <c r="N12" s="112" t="s">
        <v>164</v>
      </c>
      <c r="O12" s="122">
        <f>IF(P12=0,0,Q12/P12)</f>
        <v>10.395652173913041</v>
      </c>
      <c r="P12" s="116">
        <v>23</v>
      </c>
      <c r="Q12" s="104">
        <v>239.09999999999994</v>
      </c>
    </row>
    <row r="13" spans="1:17" x14ac:dyDescent="0.4">
      <c r="A13" s="54" t="s">
        <v>121</v>
      </c>
      <c r="B13" s="47">
        <v>143</v>
      </c>
      <c r="C13" s="42">
        <f>IF(B$3=0,0,B13/B$3)</f>
        <v>0.24956369982547993</v>
      </c>
      <c r="E13" s="59" t="s">
        <v>83</v>
      </c>
      <c r="F13" s="56" t="s">
        <v>38</v>
      </c>
      <c r="G13" s="44">
        <v>10</v>
      </c>
      <c r="H13" s="129">
        <f>IF(B$17=0,0,G13/B$17)</f>
        <v>5.2083333333333336E-2</v>
      </c>
      <c r="I13" s="90">
        <v>7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136</v>
      </c>
      <c r="C14" s="37">
        <f>IF(B$3=0,0,B14/B$3)</f>
        <v>0.23734729493891799</v>
      </c>
      <c r="E14" s="59" t="s">
        <v>86</v>
      </c>
      <c r="F14" s="56" t="s">
        <v>41</v>
      </c>
      <c r="G14" s="44">
        <v>8</v>
      </c>
      <c r="H14" s="129">
        <f>IF(B$17=0,0,G14/B$17)</f>
        <v>4.1666666666666664E-2</v>
      </c>
      <c r="I14" s="90">
        <v>7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86</v>
      </c>
      <c r="C15" s="35">
        <f>IF(B$13=0,0,B15/B$13)</f>
        <v>0.60139860139860135</v>
      </c>
      <c r="E15" s="59" t="s">
        <v>167</v>
      </c>
      <c r="F15" s="56" t="s">
        <v>168</v>
      </c>
      <c r="G15" s="44">
        <v>7</v>
      </c>
      <c r="H15" s="129">
        <f>IF(B$17=0,0,G15/B$17)</f>
        <v>3.6458333333333336E-2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66</v>
      </c>
      <c r="C16" s="35">
        <f>IF(B$14=0,0,B16/B$14)</f>
        <v>0.48529411764705882</v>
      </c>
      <c r="E16" s="59" t="s">
        <v>78</v>
      </c>
      <c r="F16" s="56" t="s">
        <v>33</v>
      </c>
      <c r="G16" s="44">
        <v>5</v>
      </c>
      <c r="H16" s="129">
        <f>IF(B$17=0,0,G16/B$17)</f>
        <v>2.6041666666666668E-2</v>
      </c>
      <c r="I16" s="90">
        <v>4</v>
      </c>
      <c r="K16" s="36">
        <v>14</v>
      </c>
      <c r="L16" s="95">
        <v>240.09999999999997</v>
      </c>
      <c r="N16" s="111" t="s">
        <v>182</v>
      </c>
      <c r="O16" s="121">
        <f>IF(P16=0,0,Q16/P16)</f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192</v>
      </c>
      <c r="C17" s="35">
        <f>IF(B$3=0,0,B17/B$3)</f>
        <v>0.33507853403141363</v>
      </c>
      <c r="E17" s="59" t="s">
        <v>77</v>
      </c>
      <c r="F17" s="56" t="s">
        <v>32</v>
      </c>
      <c r="G17" s="44">
        <v>3</v>
      </c>
      <c r="H17" s="129">
        <f>IF(B$17=0,0,G17/B$17)</f>
        <v>1.5625E-2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18.563157894736854</v>
      </c>
      <c r="P17" s="115">
        <v>19</v>
      </c>
      <c r="Q17" s="103">
        <v>352.70000000000022</v>
      </c>
    </row>
    <row r="18" spans="1:17" x14ac:dyDescent="0.4">
      <c r="A18" s="51" t="s">
        <v>12</v>
      </c>
      <c r="B18" s="44">
        <v>80</v>
      </c>
      <c r="C18" s="37">
        <f>IF(B$17=0,0,B18/B$17)</f>
        <v>0.41666666666666669</v>
      </c>
      <c r="E18" s="59" t="s">
        <v>84</v>
      </c>
      <c r="F18" s="56" t="s">
        <v>39</v>
      </c>
      <c r="G18" s="44">
        <v>3</v>
      </c>
      <c r="H18" s="129">
        <f>IF(B$17=0,0,G18/B$17)</f>
        <v>1.5625E-2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16.326923076923077</v>
      </c>
      <c r="P18" s="115">
        <v>26</v>
      </c>
      <c r="Q18" s="103">
        <v>424.5</v>
      </c>
    </row>
    <row r="19" spans="1:17" x14ac:dyDescent="0.4">
      <c r="A19" s="51" t="s">
        <v>11</v>
      </c>
      <c r="B19" s="44">
        <v>112</v>
      </c>
      <c r="C19" s="37">
        <f>IF(B$17=0,0,B19/B$17)</f>
        <v>0.58333333333333337</v>
      </c>
      <c r="E19" s="59" t="s">
        <v>88</v>
      </c>
      <c r="F19" s="56" t="s">
        <v>43</v>
      </c>
      <c r="G19" s="44">
        <v>2</v>
      </c>
      <c r="H19" s="129">
        <f>IF(B$17=0,0,G19/B$17)</f>
        <v>1.0416666666666666E-2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7.8770833333333341</v>
      </c>
      <c r="P19" s="115">
        <v>48</v>
      </c>
      <c r="Q19" s="103">
        <v>378.1</v>
      </c>
    </row>
    <row r="20" spans="1:17" x14ac:dyDescent="0.4">
      <c r="A20" s="51" t="s">
        <v>13</v>
      </c>
      <c r="B20" s="44">
        <v>79</v>
      </c>
      <c r="C20" s="37">
        <f>IF(B$3=0,0,B20/B$3)</f>
        <v>0.13787085514834205</v>
      </c>
      <c r="E20" s="59" t="s">
        <v>92</v>
      </c>
      <c r="F20" s="56" t="s">
        <v>47</v>
      </c>
      <c r="G20" s="44">
        <v>2</v>
      </c>
      <c r="H20" s="129">
        <f>IF(B$17=0,0,G20/B$17)</f>
        <v>1.0416666666666666E-2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5.208333333333333E-3</v>
      </c>
      <c r="I21" s="90">
        <v>4</v>
      </c>
      <c r="K21" s="36">
        <v>19</v>
      </c>
      <c r="L21" s="95">
        <v>383.19999999999993</v>
      </c>
      <c r="N21" s="111" t="s">
        <v>177</v>
      </c>
      <c r="O21" s="121">
        <f>IF(P21=0,0,Q21/P21)</f>
        <v>-4.9266666666666667</v>
      </c>
      <c r="P21" s="115">
        <v>15</v>
      </c>
      <c r="Q21" s="103">
        <v>-73.900000000000006</v>
      </c>
    </row>
    <row r="22" spans="1:17" x14ac:dyDescent="0.4">
      <c r="A22" s="51" t="s">
        <v>170</v>
      </c>
      <c r="B22" s="44">
        <v>31</v>
      </c>
      <c r="C22" s="131">
        <v>1</v>
      </c>
      <c r="E22" s="59" t="s">
        <v>75</v>
      </c>
      <c r="F22" s="56" t="s">
        <v>30</v>
      </c>
      <c r="G22" s="44">
        <v>1</v>
      </c>
      <c r="H22" s="129">
        <f>IF(B$17=0,0,G22/B$17)</f>
        <v>5.208333333333333E-3</v>
      </c>
      <c r="I22" s="90">
        <v>5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7869.270833333333</v>
      </c>
      <c r="C23" s="39">
        <v>1510900</v>
      </c>
      <c r="E23" s="59" t="s">
        <v>79</v>
      </c>
      <c r="F23" s="56" t="s">
        <v>34</v>
      </c>
      <c r="G23" s="44">
        <v>1</v>
      </c>
      <c r="H23" s="129">
        <f>IF(B$17=0,0,G23/B$17)</f>
        <v>5.208333333333333E-3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7759.5238095238092</v>
      </c>
      <c r="C24" s="137">
        <v>977700</v>
      </c>
      <c r="E24" s="59" t="s">
        <v>81</v>
      </c>
      <c r="F24" s="56" t="s">
        <v>36</v>
      </c>
      <c r="G24" s="44">
        <v>1</v>
      </c>
      <c r="H24" s="129">
        <f>IF(B$17=0,0,G24/B$17)</f>
        <v>5.208333333333333E-3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8078.787878787879</v>
      </c>
      <c r="C25" s="137">
        <v>533200</v>
      </c>
      <c r="E25" s="59" t="s">
        <v>85</v>
      </c>
      <c r="F25" s="56" t="s">
        <v>40</v>
      </c>
      <c r="G25" s="44">
        <v>1</v>
      </c>
      <c r="H25" s="129">
        <f>IF(B$17=0,0,G25/B$17)</f>
        <v>5.208333333333333E-3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-7192.4050632911394</v>
      </c>
      <c r="C26" s="137">
        <v>-568200</v>
      </c>
      <c r="E26" s="59" t="s">
        <v>90</v>
      </c>
      <c r="F26" s="56" t="s">
        <v>45</v>
      </c>
      <c r="G26" s="44">
        <v>1</v>
      </c>
      <c r="H26" s="129">
        <f>IF(B$17=0,0,G26/B$17)</f>
        <v>5.208333333333333E-3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5.208333333333333E-3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5.208333333333333E-3</v>
      </c>
      <c r="I28" s="90">
        <v>1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1.7452006980802793E-3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</sheetData>
  <sortState xmlns:xlrd2="http://schemas.microsoft.com/office/spreadsheetml/2017/richdata2" ref="E2:I7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40</v>
      </c>
      <c r="C2" s="149"/>
      <c r="E2" s="58" t="s">
        <v>66</v>
      </c>
      <c r="F2" s="55" t="s">
        <v>22</v>
      </c>
      <c r="G2" s="43">
        <v>70</v>
      </c>
      <c r="H2" s="128">
        <f>IF(B$17=0,0,G2/B$17)</f>
        <v>0.7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146.15384615384616</v>
      </c>
      <c r="P2" s="114">
        <v>39</v>
      </c>
      <c r="Q2" s="98">
        <v>5700</v>
      </c>
    </row>
    <row r="3" spans="1:17" x14ac:dyDescent="0.4">
      <c r="A3" s="51" t="s">
        <v>8</v>
      </c>
      <c r="B3" s="150">
        <v>350</v>
      </c>
      <c r="C3" s="151"/>
      <c r="E3" s="59" t="s">
        <v>64</v>
      </c>
      <c r="F3" s="56" t="s">
        <v>20</v>
      </c>
      <c r="G3" s="44">
        <v>60</v>
      </c>
      <c r="H3" s="129">
        <f>IF(B$17=0,0,G3/B$17)</f>
        <v>0.6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-1407.6923076923076</v>
      </c>
      <c r="P3" s="115">
        <v>39</v>
      </c>
      <c r="Q3" s="99">
        <v>-54900</v>
      </c>
    </row>
    <row r="4" spans="1:17" x14ac:dyDescent="0.4">
      <c r="A4" s="51" t="s">
        <v>6</v>
      </c>
      <c r="B4" s="152">
        <v>-268.39999999999998</v>
      </c>
      <c r="C4" s="153"/>
      <c r="E4" s="59" t="s">
        <v>72</v>
      </c>
      <c r="F4" s="56" t="s">
        <v>27</v>
      </c>
      <c r="G4" s="44">
        <v>50</v>
      </c>
      <c r="H4" s="129">
        <f>IF(B$17=0,0,G4/B$17)</f>
        <v>0.5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1864.8648648648648</v>
      </c>
      <c r="P4" s="115">
        <v>37</v>
      </c>
      <c r="Q4" s="99">
        <v>69000</v>
      </c>
    </row>
    <row r="5" spans="1:17" x14ac:dyDescent="0.4">
      <c r="A5" s="51" t="s">
        <v>7</v>
      </c>
      <c r="B5" s="154">
        <f>IF(B$2=0,0,B$4/B$2)</f>
        <v>-6.7099999999999991</v>
      </c>
      <c r="C5" s="155"/>
      <c r="E5" s="59" t="s">
        <v>171</v>
      </c>
      <c r="F5" s="56" t="s">
        <v>172</v>
      </c>
      <c r="G5" s="44">
        <v>36</v>
      </c>
      <c r="H5" s="129">
        <f>IF(B$17=0,0,G5/B$17)</f>
        <v>0.36</v>
      </c>
      <c r="I5" s="90">
        <v>6</v>
      </c>
      <c r="K5" s="36">
        <v>3</v>
      </c>
      <c r="L5" s="95">
        <v>-17.599999999999998</v>
      </c>
      <c r="N5" s="111" t="s">
        <v>133</v>
      </c>
      <c r="O5" s="118">
        <f t="shared" si="0"/>
        <v>-1711.4285714285713</v>
      </c>
      <c r="P5" s="115">
        <v>35</v>
      </c>
      <c r="Q5" s="99">
        <v>-59900</v>
      </c>
    </row>
    <row r="6" spans="1:17" x14ac:dyDescent="0.4">
      <c r="A6" s="51" t="s">
        <v>1</v>
      </c>
      <c r="B6" s="144">
        <f>IF(B$2=0,0,(B$7*1+B$8*2+B$9*3)/B$2)</f>
        <v>2.2000000000000002</v>
      </c>
      <c r="C6" s="145"/>
      <c r="E6" s="59" t="s">
        <v>68</v>
      </c>
      <c r="F6" s="56" t="s">
        <v>12</v>
      </c>
      <c r="G6" s="44">
        <v>31</v>
      </c>
      <c r="H6" s="129">
        <f>IF(B$17=0,0,G6/B$17)</f>
        <v>0.31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-3194.1176470588234</v>
      </c>
      <c r="P6" s="115">
        <v>34</v>
      </c>
      <c r="Q6" s="99">
        <v>-108600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0.22500000000000001</v>
      </c>
      <c r="E7" s="59" t="s">
        <v>67</v>
      </c>
      <c r="F7" s="56" t="s">
        <v>23</v>
      </c>
      <c r="G7" s="44">
        <v>30</v>
      </c>
      <c r="H7" s="129">
        <f>IF(B$17=0,0,G7/B$17)</f>
        <v>0.3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-2520</v>
      </c>
      <c r="P7" s="116">
        <v>30</v>
      </c>
      <c r="Q7" s="100">
        <v>-75600</v>
      </c>
    </row>
    <row r="8" spans="1:17" x14ac:dyDescent="0.4">
      <c r="A8" s="51" t="s">
        <v>3</v>
      </c>
      <c r="B8" s="44">
        <v>14</v>
      </c>
      <c r="C8" s="37">
        <f t="shared" si="1"/>
        <v>0.35</v>
      </c>
      <c r="E8" s="59" t="s">
        <v>70</v>
      </c>
      <c r="F8" s="56" t="s">
        <v>25</v>
      </c>
      <c r="G8" s="44">
        <v>16</v>
      </c>
      <c r="H8" s="129">
        <f>IF(B$17=0,0,G8/B$17)</f>
        <v>0.16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0.42499999999999999</v>
      </c>
      <c r="E9" s="59" t="s">
        <v>69</v>
      </c>
      <c r="F9" s="56" t="s">
        <v>24</v>
      </c>
      <c r="G9" s="44">
        <v>14</v>
      </c>
      <c r="H9" s="129">
        <f>IF(B$17=0,0,G9/B$17)</f>
        <v>0.14000000000000001</v>
      </c>
      <c r="I9" s="90">
        <v>4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0.05</v>
      </c>
      <c r="E10" s="59" t="s">
        <v>65</v>
      </c>
      <c r="F10" s="56" t="s">
        <v>21</v>
      </c>
      <c r="G10" s="44">
        <v>11</v>
      </c>
      <c r="H10" s="129">
        <f>IF(B$17=0,0,G10/B$17)</f>
        <v>0.11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2.7533333333333321</v>
      </c>
      <c r="P10" s="114">
        <v>15</v>
      </c>
      <c r="Q10" s="102">
        <v>41.299999999999983</v>
      </c>
    </row>
    <row r="11" spans="1:17" x14ac:dyDescent="0.4">
      <c r="A11" s="52" t="s">
        <v>138</v>
      </c>
      <c r="B11" s="45">
        <v>2</v>
      </c>
      <c r="C11" s="38">
        <f t="shared" si="1"/>
        <v>0.05</v>
      </c>
      <c r="E11" s="59" t="s">
        <v>89</v>
      </c>
      <c r="F11" s="56" t="s">
        <v>44</v>
      </c>
      <c r="G11" s="44">
        <v>8</v>
      </c>
      <c r="H11" s="129">
        <f>IF(B$17=0,0,G11/B$17)</f>
        <v>0.08</v>
      </c>
      <c r="I11" s="90">
        <v>7</v>
      </c>
      <c r="K11" s="36">
        <v>9</v>
      </c>
      <c r="L11" s="95">
        <v>-74.199999999999989</v>
      </c>
      <c r="N11" s="111" t="s">
        <v>163</v>
      </c>
      <c r="O11" s="121">
        <f>IF(P11=0,0,Q11/P11)</f>
        <v>-10.75</v>
      </c>
      <c r="P11" s="115">
        <v>12</v>
      </c>
      <c r="Q11" s="103">
        <v>-129</v>
      </c>
    </row>
    <row r="12" spans="1:17" x14ac:dyDescent="0.4">
      <c r="A12" s="53" t="s">
        <v>158</v>
      </c>
      <c r="B12" s="46">
        <v>3</v>
      </c>
      <c r="C12" s="40">
        <f t="shared" si="1"/>
        <v>7.4999999999999997E-2</v>
      </c>
      <c r="E12" s="59" t="s">
        <v>83</v>
      </c>
      <c r="F12" s="56" t="s">
        <v>38</v>
      </c>
      <c r="G12" s="44">
        <v>7</v>
      </c>
      <c r="H12" s="129">
        <f>IF(B$17=0,0,G12/B$17)</f>
        <v>7.0000000000000007E-2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-13.899999999999999</v>
      </c>
      <c r="P12" s="116">
        <v>13</v>
      </c>
      <c r="Q12" s="104">
        <v>-180.7</v>
      </c>
    </row>
    <row r="13" spans="1:17" x14ac:dyDescent="0.4">
      <c r="A13" s="54" t="s">
        <v>121</v>
      </c>
      <c r="B13" s="47">
        <v>102</v>
      </c>
      <c r="C13" s="42">
        <f>IF(B$3=0,0,B13/B$3)</f>
        <v>0.29142857142857143</v>
      </c>
      <c r="E13" s="59" t="s">
        <v>71</v>
      </c>
      <c r="F13" s="56" t="s">
        <v>26</v>
      </c>
      <c r="G13" s="44">
        <v>5</v>
      </c>
      <c r="H13" s="129">
        <f>IF(B$17=0,0,G13/B$17)</f>
        <v>0.05</v>
      </c>
      <c r="I13" s="90">
        <v>9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59</v>
      </c>
      <c r="C14" s="37">
        <f>IF(B$3=0,0,B14/B$3)</f>
        <v>0.16857142857142857</v>
      </c>
      <c r="E14" s="59" t="s">
        <v>86</v>
      </c>
      <c r="F14" s="56" t="s">
        <v>41</v>
      </c>
      <c r="G14" s="44">
        <v>3</v>
      </c>
      <c r="H14" s="129">
        <f>IF(B$17=0,0,G14/B$17)</f>
        <v>0.03</v>
      </c>
      <c r="I14" s="90">
        <v>9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61</v>
      </c>
      <c r="C15" s="35">
        <f>IF(B$13=0,0,B15/B$13)</f>
        <v>0.59803921568627449</v>
      </c>
      <c r="E15" s="59" t="s">
        <v>75</v>
      </c>
      <c r="F15" s="56" t="s">
        <v>30</v>
      </c>
      <c r="G15" s="44">
        <v>2</v>
      </c>
      <c r="H15" s="129">
        <f>IF(B$17=0,0,G15/B$17)</f>
        <v>0.02</v>
      </c>
      <c r="I15" s="90">
        <v>2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25</v>
      </c>
      <c r="C16" s="35">
        <f>IF(B$14=0,0,B16/B$14)</f>
        <v>0.42372881355932202</v>
      </c>
      <c r="E16" s="59" t="s">
        <v>78</v>
      </c>
      <c r="F16" s="56" t="s">
        <v>33</v>
      </c>
      <c r="G16" s="44">
        <v>2</v>
      </c>
      <c r="H16" s="129">
        <f>IF(B$17=0,0,G16/B$17)</f>
        <v>0.02</v>
      </c>
      <c r="I16" s="90">
        <v>7</v>
      </c>
      <c r="K16" s="36">
        <v>14</v>
      </c>
      <c r="L16" s="95">
        <v>-204.8</v>
      </c>
      <c r="N16" s="111" t="s">
        <v>166</v>
      </c>
      <c r="O16" s="121">
        <f>IF(P16=0,0,Q16/P16)</f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100</v>
      </c>
      <c r="C17" s="35">
        <f>IF(B$3=0,0,B17/B$3)</f>
        <v>0.2857142857142857</v>
      </c>
      <c r="E17" s="59" t="s">
        <v>79</v>
      </c>
      <c r="F17" s="56" t="s">
        <v>34</v>
      </c>
      <c r="G17" s="44">
        <v>2</v>
      </c>
      <c r="H17" s="129">
        <f>IF(B$17=0,0,G17/B$17)</f>
        <v>0.02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>IF(P17=0,0,Q17/P17)</f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42</v>
      </c>
      <c r="C18" s="37">
        <f>IF(B$17=0,0,B18/B$17)</f>
        <v>0.42</v>
      </c>
      <c r="E18" s="59" t="s">
        <v>81</v>
      </c>
      <c r="F18" s="56" t="s">
        <v>36</v>
      </c>
      <c r="G18" s="44">
        <v>2</v>
      </c>
      <c r="H18" s="129">
        <f>IF(B$17=0,0,G18/B$17)</f>
        <v>0.02</v>
      </c>
      <c r="I18" s="90">
        <v>5</v>
      </c>
      <c r="K18" s="36">
        <v>16</v>
      </c>
      <c r="L18" s="95">
        <v>-224.3</v>
      </c>
      <c r="N18" s="111" t="s">
        <v>127</v>
      </c>
      <c r="O18" s="121">
        <f>IF(P18=0,0,Q18/P18)</f>
        <v>-7.0857142857142863</v>
      </c>
      <c r="P18" s="115">
        <v>21</v>
      </c>
      <c r="Q18" s="103">
        <v>-148.80000000000001</v>
      </c>
    </row>
    <row r="19" spans="1:17" x14ac:dyDescent="0.4">
      <c r="A19" s="51" t="s">
        <v>11</v>
      </c>
      <c r="B19" s="44">
        <v>58</v>
      </c>
      <c r="C19" s="37">
        <f>IF(B$17=0,0,B19/B$17)</f>
        <v>0.57999999999999996</v>
      </c>
      <c r="E19" s="59" t="s">
        <v>91</v>
      </c>
      <c r="F19" s="56" t="s">
        <v>46</v>
      </c>
      <c r="G19" s="44">
        <v>1</v>
      </c>
      <c r="H19" s="129">
        <f>IF(B$17=0,0,G19/B$17)</f>
        <v>0.01</v>
      </c>
      <c r="I19" s="90">
        <v>5</v>
      </c>
      <c r="K19" s="36">
        <v>17</v>
      </c>
      <c r="L19" s="95">
        <v>-251.4</v>
      </c>
      <c r="N19" s="111" t="s">
        <v>177</v>
      </c>
      <c r="O19" s="121">
        <f>IF(P19=0,0,Q19/P19)</f>
        <v>-8.1333333333333329</v>
      </c>
      <c r="P19" s="115">
        <v>3</v>
      </c>
      <c r="Q19" s="103">
        <v>-24.4</v>
      </c>
    </row>
    <row r="20" spans="1:17" x14ac:dyDescent="0.4">
      <c r="A20" s="51" t="s">
        <v>13</v>
      </c>
      <c r="B20" s="44">
        <v>69</v>
      </c>
      <c r="C20" s="37">
        <f>IF(B$3=0,0,B20/B$3)</f>
        <v>0.19714285714285715</v>
      </c>
      <c r="E20" s="59" t="s">
        <v>167</v>
      </c>
      <c r="F20" s="56" t="s">
        <v>168</v>
      </c>
      <c r="G20" s="44">
        <v>1</v>
      </c>
      <c r="H20" s="129">
        <f>IF(B$17=0,0,G20/B$17)</f>
        <v>0.01</v>
      </c>
      <c r="I20" s="90">
        <v>6</v>
      </c>
      <c r="K20" s="36">
        <v>18</v>
      </c>
      <c r="L20" s="95">
        <v>-240</v>
      </c>
      <c r="N20" s="111" t="s">
        <v>126</v>
      </c>
      <c r="O20" s="121">
        <f>IF(P20=0,0,Q20/P20)</f>
        <v>-16.32692307692308</v>
      </c>
      <c r="P20" s="115">
        <v>26</v>
      </c>
      <c r="Q20" s="103">
        <v>-424.50000000000006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>IF(P21=0,0,Q21/P21)</f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7463</v>
      </c>
      <c r="C23" s="39">
        <v>746300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8034.666666666667</v>
      </c>
      <c r="C24" s="137">
        <v>602600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5748</v>
      </c>
      <c r="C25" s="137">
        <v>143700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-7313.04347826087</v>
      </c>
      <c r="C26" s="137">
        <v>-504600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5.7142857142857143E-3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6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66</v>
      </c>
      <c r="C2" s="149"/>
      <c r="E2" s="58" t="s">
        <v>66</v>
      </c>
      <c r="F2" s="55" t="s">
        <v>22</v>
      </c>
      <c r="G2" s="43">
        <v>165</v>
      </c>
      <c r="H2" s="128">
        <f>IF(B$17=0,0,G2/B$17)</f>
        <v>0.90163934426229508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-1641.5384615384614</v>
      </c>
      <c r="P2" s="114">
        <v>65</v>
      </c>
      <c r="Q2" s="98">
        <v>-106700</v>
      </c>
    </row>
    <row r="3" spans="1:17" x14ac:dyDescent="0.4">
      <c r="A3" s="51" t="s">
        <v>8</v>
      </c>
      <c r="B3" s="150">
        <v>573</v>
      </c>
      <c r="C3" s="151"/>
      <c r="E3" s="59" t="s">
        <v>72</v>
      </c>
      <c r="F3" s="56" t="s">
        <v>27</v>
      </c>
      <c r="G3" s="44">
        <v>103</v>
      </c>
      <c r="H3" s="129">
        <f>IF(B$17=0,0,G3/B$17)</f>
        <v>0.56284153005464477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1607.936507936508</v>
      </c>
      <c r="P3" s="115">
        <v>63</v>
      </c>
      <c r="Q3" s="99">
        <v>101300</v>
      </c>
    </row>
    <row r="4" spans="1:17" x14ac:dyDescent="0.4">
      <c r="A4" s="51" t="s">
        <v>6</v>
      </c>
      <c r="B4" s="152">
        <v>287.09999999999991</v>
      </c>
      <c r="C4" s="153"/>
      <c r="E4" s="59" t="s">
        <v>171</v>
      </c>
      <c r="F4" s="56" t="s">
        <v>172</v>
      </c>
      <c r="G4" s="44">
        <v>80</v>
      </c>
      <c r="H4" s="129">
        <f>IF(B$17=0,0,G4/B$17)</f>
        <v>0.43715846994535518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635</v>
      </c>
      <c r="P4" s="115">
        <v>60</v>
      </c>
      <c r="Q4" s="99">
        <v>38100</v>
      </c>
    </row>
    <row r="5" spans="1:17" x14ac:dyDescent="0.4">
      <c r="A5" s="51" t="s">
        <v>7</v>
      </c>
      <c r="B5" s="154">
        <f>IF(B$2=0,0,B$4/B$2)</f>
        <v>4.3499999999999988</v>
      </c>
      <c r="C5" s="155"/>
      <c r="E5" s="59" t="s">
        <v>64</v>
      </c>
      <c r="F5" s="56" t="s">
        <v>20</v>
      </c>
      <c r="G5" s="44">
        <v>74</v>
      </c>
      <c r="H5" s="129">
        <f>IF(B$17=0,0,G5/B$17)</f>
        <v>0.40437158469945356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3267.8571428571427</v>
      </c>
      <c r="P5" s="115">
        <v>56</v>
      </c>
      <c r="Q5" s="99">
        <v>183000</v>
      </c>
    </row>
    <row r="6" spans="1:17" x14ac:dyDescent="0.4">
      <c r="A6" s="51" t="s">
        <v>1</v>
      </c>
      <c r="B6" s="144">
        <f>IF(B$2=0,0,(B$7*1+B$8*2+B$9*3)/B$2)</f>
        <v>1.8636363636363635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0.26775956284153007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-462.2641509433962</v>
      </c>
      <c r="P6" s="115">
        <v>53</v>
      </c>
      <c r="Q6" s="99">
        <v>-24500</v>
      </c>
    </row>
    <row r="7" spans="1:17" x14ac:dyDescent="0.4">
      <c r="A7" s="51" t="s">
        <v>2</v>
      </c>
      <c r="B7" s="44">
        <v>28</v>
      </c>
      <c r="C7" s="37">
        <f t="shared" ref="C7:C12" si="1">IF(B$2=0,0,B7/B$2)</f>
        <v>0.42424242424242425</v>
      </c>
      <c r="E7" s="59" t="s">
        <v>67</v>
      </c>
      <c r="F7" s="56" t="s">
        <v>23</v>
      </c>
      <c r="G7" s="44">
        <v>46</v>
      </c>
      <c r="H7" s="129">
        <f>IF(B$17=0,0,G7/B$17)</f>
        <v>0.25136612021857924</v>
      </c>
      <c r="I7" s="90">
        <v>8</v>
      </c>
      <c r="K7" s="36">
        <v>5</v>
      </c>
      <c r="L7" s="95">
        <v>-11.299999999999994</v>
      </c>
      <c r="N7" s="112" t="s">
        <v>135</v>
      </c>
      <c r="O7" s="119">
        <f t="shared" si="0"/>
        <v>1239.5348837209303</v>
      </c>
      <c r="P7" s="116">
        <v>43</v>
      </c>
      <c r="Q7" s="100">
        <v>53300</v>
      </c>
    </row>
    <row r="8" spans="1:17" x14ac:dyDescent="0.4">
      <c r="A8" s="51" t="s">
        <v>3</v>
      </c>
      <c r="B8" s="44">
        <v>19</v>
      </c>
      <c r="C8" s="37">
        <f t="shared" si="1"/>
        <v>0.2878787878787879</v>
      </c>
      <c r="E8" s="59" t="s">
        <v>89</v>
      </c>
      <c r="F8" s="56" t="s">
        <v>44</v>
      </c>
      <c r="G8" s="44">
        <v>23</v>
      </c>
      <c r="H8" s="129">
        <f>IF(B$17=0,0,G8/B$17)</f>
        <v>0.12568306010928962</v>
      </c>
      <c r="I8" s="90">
        <v>5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0.2878787878787879</v>
      </c>
      <c r="E9" s="59" t="s">
        <v>69</v>
      </c>
      <c r="F9" s="56" t="s">
        <v>24</v>
      </c>
      <c r="G9" s="44">
        <v>21</v>
      </c>
      <c r="H9" s="129">
        <f>IF(B$17=0,0,G9/B$17)</f>
        <v>0.11475409836065574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10</v>
      </c>
      <c r="C10" s="38">
        <f t="shared" si="1"/>
        <v>0.15151515151515152</v>
      </c>
      <c r="E10" s="59" t="s">
        <v>65</v>
      </c>
      <c r="F10" s="56" t="s">
        <v>21</v>
      </c>
      <c r="G10" s="44">
        <v>16</v>
      </c>
      <c r="H10" s="129">
        <f>IF(B$17=0,0,G10/B$17)</f>
        <v>8.7431693989071038E-2</v>
      </c>
      <c r="I10" s="90">
        <v>9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0.12121212121212122</v>
      </c>
      <c r="E11" s="59" t="s">
        <v>71</v>
      </c>
      <c r="F11" s="56" t="s">
        <v>26</v>
      </c>
      <c r="G11" s="44">
        <v>16</v>
      </c>
      <c r="H11" s="129">
        <f>IF(B$17=0,0,G11/B$17)</f>
        <v>8.7431693989071038E-2</v>
      </c>
      <c r="I11" s="90">
        <v>3</v>
      </c>
      <c r="K11" s="36">
        <v>9</v>
      </c>
      <c r="L11" s="95">
        <v>-83.699999999999989</v>
      </c>
      <c r="N11" s="111" t="s">
        <v>163</v>
      </c>
      <c r="O11" s="121">
        <f>IF(P11=0,0,Q11/P11)</f>
        <v>10.38421052631579</v>
      </c>
      <c r="P11" s="115">
        <v>19</v>
      </c>
      <c r="Q11" s="103">
        <v>197.3</v>
      </c>
    </row>
    <row r="12" spans="1:17" x14ac:dyDescent="0.4">
      <c r="A12" s="53" t="s">
        <v>158</v>
      </c>
      <c r="B12" s="46">
        <v>14</v>
      </c>
      <c r="C12" s="40">
        <f t="shared" si="1"/>
        <v>0.21212121212121213</v>
      </c>
      <c r="E12" s="59" t="s">
        <v>70</v>
      </c>
      <c r="F12" s="56" t="s">
        <v>25</v>
      </c>
      <c r="G12" s="44">
        <v>15</v>
      </c>
      <c r="H12" s="129">
        <f>IF(B$17=0,0,G12/B$17)</f>
        <v>8.1967213114754092E-2</v>
      </c>
      <c r="I12" s="90">
        <v>5</v>
      </c>
      <c r="K12" s="36">
        <v>10</v>
      </c>
      <c r="L12" s="95">
        <v>-78.399999999999991</v>
      </c>
      <c r="N12" s="112" t="s">
        <v>164</v>
      </c>
      <c r="O12" s="122">
        <f>IF(P12=0,0,Q12/P12)</f>
        <v>-1.2800000000000007</v>
      </c>
      <c r="P12" s="116">
        <v>30</v>
      </c>
      <c r="Q12" s="104">
        <v>-38.40000000000002</v>
      </c>
    </row>
    <row r="13" spans="1:17" x14ac:dyDescent="0.4">
      <c r="A13" s="54" t="s">
        <v>121</v>
      </c>
      <c r="B13" s="47">
        <v>130</v>
      </c>
      <c r="C13" s="42">
        <f>IF(B$3=0,0,B13/B$3)</f>
        <v>0.2268760907504363</v>
      </c>
      <c r="E13" s="59" t="s">
        <v>86</v>
      </c>
      <c r="F13" s="56" t="s">
        <v>41</v>
      </c>
      <c r="G13" s="44">
        <v>11</v>
      </c>
      <c r="H13" s="129">
        <f>IF(B$17=0,0,G13/B$17)</f>
        <v>6.0109289617486336E-2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185</v>
      </c>
      <c r="C14" s="37">
        <f>IF(B$3=0,0,B14/B$3)</f>
        <v>0.32286212914485168</v>
      </c>
      <c r="E14" s="59" t="s">
        <v>83</v>
      </c>
      <c r="F14" s="56" t="s">
        <v>38</v>
      </c>
      <c r="G14" s="44">
        <v>9</v>
      </c>
      <c r="H14" s="129">
        <f>IF(B$17=0,0,G14/B$17)</f>
        <v>4.9180327868852458E-2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72</v>
      </c>
      <c r="C15" s="35">
        <f>IF(B$13=0,0,B15/B$13)</f>
        <v>0.55384615384615388</v>
      </c>
      <c r="E15" s="59" t="s">
        <v>91</v>
      </c>
      <c r="F15" s="56" t="s">
        <v>46</v>
      </c>
      <c r="G15" s="44">
        <v>7</v>
      </c>
      <c r="H15" s="129">
        <f>IF(B$17=0,0,G15/B$17)</f>
        <v>3.825136612021858E-2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73</v>
      </c>
      <c r="C16" s="35">
        <f>IF(B$14=0,0,B16/B$14)</f>
        <v>0.39459459459459462</v>
      </c>
      <c r="E16" s="59" t="s">
        <v>78</v>
      </c>
      <c r="F16" s="56" t="s">
        <v>33</v>
      </c>
      <c r="G16" s="44">
        <v>5</v>
      </c>
      <c r="H16" s="129">
        <f>IF(B$17=0,0,G16/B$17)</f>
        <v>2.7322404371584699E-2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>IF(P16=0,0,Q16/P16)</f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183</v>
      </c>
      <c r="C17" s="35">
        <f>IF(B$3=0,0,B17/B$3)</f>
        <v>0.3193717277486911</v>
      </c>
      <c r="E17" s="59" t="s">
        <v>79</v>
      </c>
      <c r="F17" s="56" t="s">
        <v>34</v>
      </c>
      <c r="G17" s="44">
        <v>5</v>
      </c>
      <c r="H17" s="129">
        <f>IF(B$17=0,0,G17/B$17)</f>
        <v>2.7322404371584699E-2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69</v>
      </c>
      <c r="C18" s="37">
        <f>IF(B$17=0,0,B18/B$17)</f>
        <v>0.37704918032786883</v>
      </c>
      <c r="E18" s="59" t="s">
        <v>81</v>
      </c>
      <c r="F18" s="56" t="s">
        <v>36</v>
      </c>
      <c r="G18" s="44">
        <v>2</v>
      </c>
      <c r="H18" s="129">
        <f>IF(B$17=0,0,G18/B$17)</f>
        <v>1.092896174863388E-2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14.138888888888893</v>
      </c>
      <c r="P18" s="115">
        <v>18</v>
      </c>
      <c r="Q18" s="103">
        <v>254.50000000000009</v>
      </c>
    </row>
    <row r="19" spans="1:17" x14ac:dyDescent="0.4">
      <c r="A19" s="51" t="s">
        <v>11</v>
      </c>
      <c r="B19" s="44">
        <v>114</v>
      </c>
      <c r="C19" s="37">
        <f>IF(B$17=0,0,B19/B$17)</f>
        <v>0.62295081967213117</v>
      </c>
      <c r="E19" s="59" t="s">
        <v>74</v>
      </c>
      <c r="F19" s="56" t="s">
        <v>29</v>
      </c>
      <c r="G19" s="44">
        <v>1</v>
      </c>
      <c r="H19" s="129">
        <f>IF(B$17=0,0,G19/B$17)</f>
        <v>5.4644808743169399E-3</v>
      </c>
      <c r="I19" s="90">
        <v>3</v>
      </c>
      <c r="K19" s="36">
        <v>17</v>
      </c>
      <c r="L19" s="95">
        <v>-179.70000000000002</v>
      </c>
      <c r="N19" s="111" t="s">
        <v>178</v>
      </c>
      <c r="O19" s="121">
        <f>IF(P19=0,0,Q19/P19)</f>
        <v>11.475000000000005</v>
      </c>
      <c r="P19" s="115">
        <v>20</v>
      </c>
      <c r="Q19" s="103">
        <v>229.50000000000009</v>
      </c>
    </row>
    <row r="20" spans="1:17" x14ac:dyDescent="0.4">
      <c r="A20" s="51" t="s">
        <v>13</v>
      </c>
      <c r="B20" s="44">
        <v>109</v>
      </c>
      <c r="C20" s="37">
        <f>IF(B$3=0,0,B20/B$3)</f>
        <v>0.19022687609075042</v>
      </c>
      <c r="E20" s="59" t="s">
        <v>92</v>
      </c>
      <c r="F20" s="56" t="s">
        <v>47</v>
      </c>
      <c r="G20" s="44">
        <v>1</v>
      </c>
      <c r="H20" s="129">
        <f>IF(B$17=0,0,G20/B$17)</f>
        <v>5.4644808743169399E-3</v>
      </c>
      <c r="I20" s="90">
        <v>4</v>
      </c>
      <c r="K20" s="36">
        <v>18</v>
      </c>
      <c r="L20" s="95">
        <v>-112.90000000000002</v>
      </c>
      <c r="N20" s="111" t="s">
        <v>166</v>
      </c>
      <c r="O20" s="121">
        <f>IF(P20=0,0,Q20/P20)</f>
        <v>10.599999999999998</v>
      </c>
      <c r="P20" s="115">
        <v>16</v>
      </c>
      <c r="Q20" s="103">
        <v>169.59999999999997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167</v>
      </c>
      <c r="F21" s="56" t="s">
        <v>168</v>
      </c>
      <c r="G21" s="44">
        <v>1</v>
      </c>
      <c r="H21" s="129">
        <f>IF(B$17=0,0,G21/B$17)</f>
        <v>5.4644808743169399E-3</v>
      </c>
      <c r="I21" s="90">
        <v>7</v>
      </c>
      <c r="K21" s="36">
        <v>19</v>
      </c>
      <c r="L21" s="95">
        <v>-162.40000000000003</v>
      </c>
      <c r="N21" s="111" t="s">
        <v>179</v>
      </c>
      <c r="O21" s="121">
        <f>IF(P21=0,0,Q21/P21)</f>
        <v>7.0857142857142863</v>
      </c>
      <c r="P21" s="115">
        <v>21</v>
      </c>
      <c r="Q21" s="103">
        <v>148.80000000000001</v>
      </c>
    </row>
    <row r="22" spans="1:17" x14ac:dyDescent="0.4">
      <c r="A22" s="51" t="s">
        <v>170</v>
      </c>
      <c r="B22" s="44">
        <v>23</v>
      </c>
      <c r="C22" s="131">
        <v>2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-7.8770833333333323</v>
      </c>
      <c r="P22" s="115">
        <v>48</v>
      </c>
      <c r="Q22" s="103">
        <v>-378.09999999999997</v>
      </c>
    </row>
    <row r="23" spans="1:17" x14ac:dyDescent="0.4">
      <c r="A23" s="51" t="s">
        <v>5</v>
      </c>
      <c r="B23" s="48">
        <f>IF(B$17=0,0,C23/B$17)</f>
        <v>8550.8196721311469</v>
      </c>
      <c r="C23" s="39">
        <v>1564800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9089.0909090909099</v>
      </c>
      <c r="C24" s="137">
        <v>999800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7739.7260273972606</v>
      </c>
      <c r="C25" s="137">
        <v>565000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-7733.9449541284403</v>
      </c>
      <c r="C26" s="137">
        <v>-843000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5.235602094240838E-3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-34.100000000000037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-16.100000000000037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38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0.83529411764705885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2563.1578947368421</v>
      </c>
      <c r="P2" s="114">
        <v>38</v>
      </c>
      <c r="Q2" s="98">
        <v>97400</v>
      </c>
    </row>
    <row r="3" spans="1:17" x14ac:dyDescent="0.4">
      <c r="A3" s="51" t="s">
        <v>8</v>
      </c>
      <c r="B3" s="150">
        <v>305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0.62352941176470589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0"/>
        <v>-2341.6666666666665</v>
      </c>
      <c r="P3" s="115">
        <v>36</v>
      </c>
      <c r="Q3" s="99">
        <v>-84300</v>
      </c>
    </row>
    <row r="4" spans="1:17" x14ac:dyDescent="0.4">
      <c r="A4" s="51" t="s">
        <v>6</v>
      </c>
      <c r="B4" s="152">
        <v>129.30000000000007</v>
      </c>
      <c r="C4" s="153"/>
      <c r="E4" s="59" t="s">
        <v>64</v>
      </c>
      <c r="F4" s="56" t="s">
        <v>20</v>
      </c>
      <c r="G4" s="44">
        <v>40</v>
      </c>
      <c r="H4" s="129">
        <f>IF(B$17=0,0,G4/B$17)</f>
        <v>0.47058823529411764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1414.7058823529412</v>
      </c>
      <c r="P4" s="115">
        <v>34</v>
      </c>
      <c r="Q4" s="99">
        <v>48100</v>
      </c>
    </row>
    <row r="5" spans="1:17" x14ac:dyDescent="0.4">
      <c r="A5" s="51" t="s">
        <v>7</v>
      </c>
      <c r="B5" s="154">
        <f>IF(B$2=0,0,B$4/B$2)</f>
        <v>3.40263157894737</v>
      </c>
      <c r="C5" s="155"/>
      <c r="E5" s="59" t="s">
        <v>67</v>
      </c>
      <c r="F5" s="56" t="s">
        <v>23</v>
      </c>
      <c r="G5" s="44">
        <v>33</v>
      </c>
      <c r="H5" s="129">
        <f>IF(B$17=0,0,G5/B$17)</f>
        <v>0.38823529411764707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3190.625</v>
      </c>
      <c r="P5" s="115">
        <v>32</v>
      </c>
      <c r="Q5" s="99">
        <v>102100</v>
      </c>
    </row>
    <row r="6" spans="1:17" x14ac:dyDescent="0.4">
      <c r="A6" s="51" t="s">
        <v>1</v>
      </c>
      <c r="B6" s="144">
        <f>IF(B$2=0,0,(B$7*1+B$8*2+B$9*3)/B$2)</f>
        <v>1.868421052631579</v>
      </c>
      <c r="C6" s="145"/>
      <c r="E6" s="59" t="s">
        <v>68</v>
      </c>
      <c r="F6" s="56" t="s">
        <v>12</v>
      </c>
      <c r="G6" s="44">
        <v>30</v>
      </c>
      <c r="H6" s="129">
        <f>IF(B$17=0,0,G6/B$17)</f>
        <v>0.35294117647058826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-2306.8965517241381</v>
      </c>
      <c r="P6" s="115">
        <v>29</v>
      </c>
      <c r="Q6" s="99">
        <v>-66900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0.42105263157894735</v>
      </c>
      <c r="E7" s="59" t="s">
        <v>171</v>
      </c>
      <c r="F7" s="56" t="s">
        <v>172</v>
      </c>
      <c r="G7" s="44">
        <v>29</v>
      </c>
      <c r="H7" s="129">
        <f>IF(B$17=0,0,G7/B$17)</f>
        <v>0.3411764705882353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-722.72727272727275</v>
      </c>
      <c r="P7" s="116">
        <v>22</v>
      </c>
      <c r="Q7" s="100">
        <v>-15900</v>
      </c>
    </row>
    <row r="8" spans="1:17" x14ac:dyDescent="0.4">
      <c r="A8" s="51" t="s">
        <v>3</v>
      </c>
      <c r="B8" s="44">
        <v>11</v>
      </c>
      <c r="C8" s="37">
        <f t="shared" si="1"/>
        <v>0.28947368421052633</v>
      </c>
      <c r="E8" s="59" t="s">
        <v>89</v>
      </c>
      <c r="F8" s="56" t="s">
        <v>44</v>
      </c>
      <c r="G8" s="44">
        <v>21</v>
      </c>
      <c r="H8" s="129">
        <f>IF(B$17=0,0,G8/B$17)</f>
        <v>0.24705882352941178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11</v>
      </c>
      <c r="C9" s="38">
        <f t="shared" si="1"/>
        <v>0.28947368421052633</v>
      </c>
      <c r="E9" s="59" t="s">
        <v>69</v>
      </c>
      <c r="F9" s="56" t="s">
        <v>24</v>
      </c>
      <c r="G9" s="44">
        <v>18</v>
      </c>
      <c r="H9" s="129">
        <f>IF(B$17=0,0,G9/B$17)</f>
        <v>0.21176470588235294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0.13157894736842105</v>
      </c>
      <c r="E10" s="59" t="s">
        <v>65</v>
      </c>
      <c r="F10" s="56" t="s">
        <v>21</v>
      </c>
      <c r="G10" s="44">
        <v>8</v>
      </c>
      <c r="H10" s="129">
        <f>IF(B$17=0,0,G10/B$17)</f>
        <v>9.4117647058823528E-2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5.392857142857145</v>
      </c>
      <c r="P10" s="114">
        <v>14</v>
      </c>
      <c r="Q10" s="102">
        <v>75.500000000000028</v>
      </c>
    </row>
    <row r="11" spans="1:17" x14ac:dyDescent="0.4">
      <c r="A11" s="52" t="s">
        <v>138</v>
      </c>
      <c r="B11" s="45">
        <v>7</v>
      </c>
      <c r="C11" s="38">
        <f t="shared" si="1"/>
        <v>0.18421052631578946</v>
      </c>
      <c r="E11" s="59" t="s">
        <v>83</v>
      </c>
      <c r="F11" s="56" t="s">
        <v>38</v>
      </c>
      <c r="G11" s="44">
        <v>6</v>
      </c>
      <c r="H11" s="129">
        <f>IF(B$17=0,0,G11/B$17)</f>
        <v>7.0588235294117646E-2</v>
      </c>
      <c r="I11" s="90">
        <v>3</v>
      </c>
      <c r="K11" s="36">
        <v>9</v>
      </c>
      <c r="L11" s="95">
        <v>-120.99999999999999</v>
      </c>
      <c r="N11" s="111" t="s">
        <v>163</v>
      </c>
      <c r="O11" s="121">
        <f>IF(P11=0,0,Q11/P11)</f>
        <v>5.3187499999999996</v>
      </c>
      <c r="P11" s="115">
        <v>16</v>
      </c>
      <c r="Q11" s="103">
        <v>85.1</v>
      </c>
    </row>
    <row r="12" spans="1:17" x14ac:dyDescent="0.4">
      <c r="A12" s="53" t="s">
        <v>158</v>
      </c>
      <c r="B12" s="46">
        <v>3</v>
      </c>
      <c r="C12" s="40">
        <f t="shared" si="1"/>
        <v>7.8947368421052627E-2</v>
      </c>
      <c r="E12" s="59" t="s">
        <v>70</v>
      </c>
      <c r="F12" s="56" t="s">
        <v>25</v>
      </c>
      <c r="G12" s="44">
        <v>5</v>
      </c>
      <c r="H12" s="129">
        <f>IF(B$17=0,0,G12/B$17)</f>
        <v>5.8823529411764705E-2</v>
      </c>
      <c r="I12" s="90">
        <v>8</v>
      </c>
      <c r="K12" s="36">
        <v>10</v>
      </c>
      <c r="L12" s="95">
        <v>-113.29999999999998</v>
      </c>
      <c r="N12" s="112" t="s">
        <v>164</v>
      </c>
      <c r="O12" s="122">
        <f>IF(P12=0,0,Q12/P12)</f>
        <v>-3.9124999999999983</v>
      </c>
      <c r="P12" s="116">
        <v>8</v>
      </c>
      <c r="Q12" s="104">
        <v>-31.299999999999986</v>
      </c>
    </row>
    <row r="13" spans="1:17" x14ac:dyDescent="0.4">
      <c r="A13" s="54" t="s">
        <v>121</v>
      </c>
      <c r="B13" s="47">
        <v>89</v>
      </c>
      <c r="C13" s="42">
        <f>IF(B$3=0,0,B13/B$3)</f>
        <v>0.29180327868852457</v>
      </c>
      <c r="E13" s="59" t="s">
        <v>71</v>
      </c>
      <c r="F13" s="56" t="s">
        <v>26</v>
      </c>
      <c r="G13" s="44">
        <v>4</v>
      </c>
      <c r="H13" s="129">
        <f>IF(B$17=0,0,G13/B$17)</f>
        <v>4.7058823529411764E-2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62</v>
      </c>
      <c r="C14" s="37">
        <f>IF(B$3=0,0,B14/B$3)</f>
        <v>0.20327868852459016</v>
      </c>
      <c r="E14" s="59" t="s">
        <v>86</v>
      </c>
      <c r="F14" s="56" t="s">
        <v>41</v>
      </c>
      <c r="G14" s="44">
        <v>3</v>
      </c>
      <c r="H14" s="129">
        <f>IF(B$17=0,0,G14/B$17)</f>
        <v>3.5294117647058823E-2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41</v>
      </c>
      <c r="C15" s="35">
        <f>IF(B$13=0,0,B15/B$13)</f>
        <v>0.4606741573033708</v>
      </c>
      <c r="E15" s="59" t="s">
        <v>92</v>
      </c>
      <c r="F15" s="56" t="s">
        <v>47</v>
      </c>
      <c r="G15" s="44">
        <v>3</v>
      </c>
      <c r="H15" s="129">
        <f>IF(B$17=0,0,G15/B$17)</f>
        <v>3.5294117647058823E-2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30</v>
      </c>
      <c r="C16" s="35">
        <f>IF(B$14=0,0,B16/B$14)</f>
        <v>0.4838709677419355</v>
      </c>
      <c r="E16" s="59" t="s">
        <v>81</v>
      </c>
      <c r="F16" s="56" t="s">
        <v>36</v>
      </c>
      <c r="G16" s="44">
        <v>2</v>
      </c>
      <c r="H16" s="129">
        <f>IF(B$17=0,0,G16/B$17)</f>
        <v>2.3529411764705882E-2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85</v>
      </c>
      <c r="C17" s="35">
        <f>IF(B$3=0,0,B17/B$3)</f>
        <v>0.27868852459016391</v>
      </c>
      <c r="E17" s="59" t="s">
        <v>91</v>
      </c>
      <c r="F17" s="56" t="s">
        <v>46</v>
      </c>
      <c r="G17" s="44">
        <v>2</v>
      </c>
      <c r="H17" s="129">
        <f>IF(B$17=0,0,G17/B$17)</f>
        <v>2.3529411764705882E-2</v>
      </c>
      <c r="I17" s="90">
        <v>2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40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1</v>
      </c>
      <c r="H18" s="129">
        <f>IF(B$17=0,0,G18/B$17)</f>
        <v>1.1764705882352941E-2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14.204761904761902</v>
      </c>
      <c r="P18" s="115">
        <v>21</v>
      </c>
      <c r="Q18" s="103">
        <v>298.29999999999995</v>
      </c>
    </row>
    <row r="19" spans="1:17" x14ac:dyDescent="0.4">
      <c r="A19" s="51" t="s">
        <v>11</v>
      </c>
      <c r="B19" s="44">
        <v>45</v>
      </c>
      <c r="C19" s="37">
        <f>IF(B$17=0,0,B19/B$17)</f>
        <v>0.52941176470588236</v>
      </c>
      <c r="E19" s="59" t="s">
        <v>78</v>
      </c>
      <c r="F19" s="56" t="s">
        <v>33</v>
      </c>
      <c r="G19" s="44">
        <v>1</v>
      </c>
      <c r="H19" s="129">
        <f>IF(B$17=0,0,G19/B$17)</f>
        <v>1.1764705882352941E-2</v>
      </c>
      <c r="I19" s="90">
        <v>8</v>
      </c>
      <c r="K19" s="36">
        <v>17</v>
      </c>
      <c r="L19" s="95">
        <v>-55.799999999999969</v>
      </c>
      <c r="N19" s="111" t="s">
        <v>179</v>
      </c>
      <c r="O19" s="121">
        <f>IF(P19=0,0,Q19/P19)</f>
        <v>8.1333333333333329</v>
      </c>
      <c r="P19" s="115">
        <v>3</v>
      </c>
      <c r="Q19" s="103">
        <v>24.4</v>
      </c>
    </row>
    <row r="20" spans="1:17" x14ac:dyDescent="0.4">
      <c r="A20" s="51" t="s">
        <v>13</v>
      </c>
      <c r="B20" s="44">
        <v>50</v>
      </c>
      <c r="C20" s="37">
        <f>IF(B$3=0,0,B20/B$3)</f>
        <v>0.16393442622950818</v>
      </c>
      <c r="E20" s="59" t="s">
        <v>85</v>
      </c>
      <c r="F20" s="56" t="s">
        <v>40</v>
      </c>
      <c r="G20" s="44">
        <v>1</v>
      </c>
      <c r="H20" s="129">
        <f>IF(B$17=0,0,G20/B$17)</f>
        <v>1.1764705882352941E-2</v>
      </c>
      <c r="I20" s="90">
        <v>2</v>
      </c>
      <c r="K20" s="36">
        <v>18</v>
      </c>
      <c r="L20" s="95">
        <v>-24.999999999999968</v>
      </c>
      <c r="N20" s="111" t="s">
        <v>126</v>
      </c>
      <c r="O20" s="121">
        <f>IF(P20=0,0,Q20/P20)</f>
        <v>4.926666666666665</v>
      </c>
      <c r="P20" s="115">
        <v>15</v>
      </c>
      <c r="Q20" s="103">
        <v>73.899999999999977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90</v>
      </c>
      <c r="F21" s="56" t="s">
        <v>45</v>
      </c>
      <c r="G21" s="44">
        <v>1</v>
      </c>
      <c r="H21" s="129">
        <f>IF(B$17=0,0,G21/B$17)</f>
        <v>1.1764705882352941E-2</v>
      </c>
      <c r="I21" s="90">
        <v>1</v>
      </c>
      <c r="K21" s="36">
        <v>19</v>
      </c>
      <c r="L21" s="95">
        <v>-27.799999999999969</v>
      </c>
      <c r="N21" s="111" t="s">
        <v>127</v>
      </c>
      <c r="O21" s="121">
        <f>IF(P21=0,0,Q21/P21)</f>
        <v>-14.138888888888893</v>
      </c>
      <c r="P21" s="115">
        <v>18</v>
      </c>
      <c r="Q21" s="103">
        <v>-254.50000000000006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167</v>
      </c>
      <c r="F22" s="56" t="s">
        <v>168</v>
      </c>
      <c r="G22" s="44">
        <v>1</v>
      </c>
      <c r="H22" s="129">
        <f>IF(B$17=0,0,G22/B$17)</f>
        <v>1.1764705882352941E-2</v>
      </c>
      <c r="I22" s="90">
        <v>5</v>
      </c>
      <c r="K22" s="36">
        <v>20</v>
      </c>
      <c r="L22" s="95">
        <v>-50.39999999999997</v>
      </c>
      <c r="N22" s="111" t="s">
        <v>181</v>
      </c>
      <c r="O22" s="121">
        <f>IF(P22=0,0,Q22/P22)</f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10071.764705882353</v>
      </c>
      <c r="C23" s="39">
        <v>856100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11607.272727272728</v>
      </c>
      <c r="C24" s="137">
        <v>638400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7256.666666666667</v>
      </c>
      <c r="C25" s="137">
        <v>217700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-8228</v>
      </c>
      <c r="C26" s="137">
        <v>-411400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topLeftCell="F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47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0.77064220183486243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1421.2765957446809</v>
      </c>
      <c r="P2" s="114">
        <v>47</v>
      </c>
      <c r="Q2" s="98">
        <v>66800</v>
      </c>
    </row>
    <row r="3" spans="1:17" x14ac:dyDescent="0.4">
      <c r="A3" s="51" t="s">
        <v>8</v>
      </c>
      <c r="B3" s="150">
        <v>386</v>
      </c>
      <c r="C3" s="151"/>
      <c r="E3" s="59" t="s">
        <v>72</v>
      </c>
      <c r="F3" s="56" t="s">
        <v>27</v>
      </c>
      <c r="G3" s="44">
        <v>74</v>
      </c>
      <c r="H3" s="129">
        <f>IF(B$17=0,0,G3/B$17)</f>
        <v>0.67889908256880738</v>
      </c>
      <c r="I3" s="90">
        <v>1</v>
      </c>
      <c r="K3" s="36">
        <v>1</v>
      </c>
      <c r="L3" s="95">
        <v>46.9</v>
      </c>
      <c r="N3" s="111" t="s">
        <v>131</v>
      </c>
      <c r="O3" s="118">
        <f t="shared" si="0"/>
        <v>1165.909090909091</v>
      </c>
      <c r="P3" s="115">
        <v>44</v>
      </c>
      <c r="Q3" s="99">
        <v>51300</v>
      </c>
    </row>
    <row r="4" spans="1:17" x14ac:dyDescent="0.4">
      <c r="A4" s="51" t="s">
        <v>6</v>
      </c>
      <c r="B4" s="152">
        <v>-31.099999999999977</v>
      </c>
      <c r="C4" s="153"/>
      <c r="E4" s="59" t="s">
        <v>64</v>
      </c>
      <c r="F4" s="56" t="s">
        <v>20</v>
      </c>
      <c r="G4" s="44">
        <v>53</v>
      </c>
      <c r="H4" s="129">
        <f>IF(B$17=0,0,G4/B$17)</f>
        <v>0.48623853211009177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-2534.1463414634145</v>
      </c>
      <c r="P4" s="115">
        <v>41</v>
      </c>
      <c r="Q4" s="99">
        <v>-103900</v>
      </c>
    </row>
    <row r="5" spans="1:17" x14ac:dyDescent="0.4">
      <c r="A5" s="51" t="s">
        <v>7</v>
      </c>
      <c r="B5" s="154">
        <f>IF(B$2=0,0,B$4/B$2)</f>
        <v>-0.66170212765957392</v>
      </c>
      <c r="C5" s="155"/>
      <c r="E5" s="59" t="s">
        <v>171</v>
      </c>
      <c r="F5" s="56" t="s">
        <v>172</v>
      </c>
      <c r="G5" s="44">
        <v>45</v>
      </c>
      <c r="H5" s="129">
        <f>IF(B$17=0,0,G5/B$17)</f>
        <v>0.41284403669724773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589.18918918918916</v>
      </c>
      <c r="P5" s="115">
        <v>37</v>
      </c>
      <c r="Q5" s="99">
        <v>21800</v>
      </c>
    </row>
    <row r="6" spans="1:17" x14ac:dyDescent="0.4">
      <c r="A6" s="51" t="s">
        <v>1</v>
      </c>
      <c r="B6" s="144">
        <f>IF(B$2=0,0,(B$7*1+B$8*2+B$9*3)/B$2)</f>
        <v>2.1063829787234041</v>
      </c>
      <c r="C6" s="145"/>
      <c r="E6" s="59" t="s">
        <v>67</v>
      </c>
      <c r="F6" s="56" t="s">
        <v>23</v>
      </c>
      <c r="G6" s="44">
        <v>40</v>
      </c>
      <c r="H6" s="129">
        <f>IF(B$17=0,0,G6/B$17)</f>
        <v>0.3669724770642202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-409.375</v>
      </c>
      <c r="P6" s="115">
        <v>32</v>
      </c>
      <c r="Q6" s="99">
        <v>-13100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0.19148936170212766</v>
      </c>
      <c r="E7" s="59" t="s">
        <v>68</v>
      </c>
      <c r="F7" s="56" t="s">
        <v>12</v>
      </c>
      <c r="G7" s="44">
        <v>34</v>
      </c>
      <c r="H7" s="129">
        <f>IF(B$17=0,0,G7/B$17)</f>
        <v>0.31192660550458717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-3.5714285714285716</v>
      </c>
      <c r="P7" s="116">
        <v>28</v>
      </c>
      <c r="Q7" s="100">
        <v>-100</v>
      </c>
    </row>
    <row r="8" spans="1:17" x14ac:dyDescent="0.4">
      <c r="A8" s="51" t="s">
        <v>3</v>
      </c>
      <c r="B8" s="44">
        <v>24</v>
      </c>
      <c r="C8" s="37">
        <f t="shared" si="1"/>
        <v>0.51063829787234039</v>
      </c>
      <c r="E8" s="59" t="s">
        <v>69</v>
      </c>
      <c r="F8" s="56" t="s">
        <v>24</v>
      </c>
      <c r="G8" s="44">
        <v>11</v>
      </c>
      <c r="H8" s="129">
        <f>IF(B$17=0,0,G8/B$17)</f>
        <v>0.10091743119266056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0.2978723404255319</v>
      </c>
      <c r="E9" s="59" t="s">
        <v>89</v>
      </c>
      <c r="F9" s="56" t="s">
        <v>44</v>
      </c>
      <c r="G9" s="44">
        <v>10</v>
      </c>
      <c r="H9" s="129">
        <f>IF(B$17=0,0,G9/B$17)</f>
        <v>9.1743119266055051E-2</v>
      </c>
      <c r="I9" s="90">
        <v>6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8.5106382978723402E-2</v>
      </c>
      <c r="E10" s="59" t="s">
        <v>65</v>
      </c>
      <c r="F10" s="56" t="s">
        <v>21</v>
      </c>
      <c r="G10" s="44">
        <v>8</v>
      </c>
      <c r="H10" s="129">
        <f>IF(B$17=0,0,G10/B$17)</f>
        <v>7.3394495412844041E-2</v>
      </c>
      <c r="I10" s="90">
        <v>10</v>
      </c>
      <c r="K10" s="36">
        <v>8</v>
      </c>
      <c r="L10" s="95">
        <v>-46.7</v>
      </c>
      <c r="N10" s="110" t="s">
        <v>162</v>
      </c>
      <c r="O10" s="120">
        <f>IF(P10=0,0,Q10/P10)</f>
        <v>1.2210526315789474</v>
      </c>
      <c r="P10" s="114">
        <v>19</v>
      </c>
      <c r="Q10" s="102">
        <v>23.2</v>
      </c>
    </row>
    <row r="11" spans="1:17" x14ac:dyDescent="0.4">
      <c r="A11" s="52" t="s">
        <v>138</v>
      </c>
      <c r="B11" s="45">
        <v>4</v>
      </c>
      <c r="C11" s="38">
        <f t="shared" si="1"/>
        <v>8.5106382978723402E-2</v>
      </c>
      <c r="E11" s="59" t="s">
        <v>70</v>
      </c>
      <c r="F11" s="56" t="s">
        <v>25</v>
      </c>
      <c r="G11" s="44">
        <v>8</v>
      </c>
      <c r="H11" s="129">
        <f>IF(B$17=0,0,G11/B$17)</f>
        <v>7.3394495412844041E-2</v>
      </c>
      <c r="I11" s="90">
        <v>6</v>
      </c>
      <c r="K11" s="36">
        <v>9</v>
      </c>
      <c r="L11" s="95">
        <v>-90.9</v>
      </c>
      <c r="N11" s="111" t="s">
        <v>163</v>
      </c>
      <c r="O11" s="121">
        <f>IF(P11=0,0,Q11/P11)</f>
        <v>3.3249999999999997</v>
      </c>
      <c r="P11" s="115">
        <v>12</v>
      </c>
      <c r="Q11" s="103">
        <v>39.9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8</v>
      </c>
      <c r="H12" s="129">
        <f>IF(B$17=0,0,G12/B$17)</f>
        <v>7.3394495412844041E-2</v>
      </c>
      <c r="I12" s="90">
        <v>6</v>
      </c>
      <c r="K12" s="36">
        <v>10</v>
      </c>
      <c r="L12" s="95">
        <v>-146.69999999999999</v>
      </c>
      <c r="N12" s="112" t="s">
        <v>164</v>
      </c>
      <c r="O12" s="122">
        <f>IF(P12=0,0,Q12/P12)</f>
        <v>-5.8875000000000002</v>
      </c>
      <c r="P12" s="116">
        <v>16</v>
      </c>
      <c r="Q12" s="104">
        <v>-94.2</v>
      </c>
    </row>
    <row r="13" spans="1:17" x14ac:dyDescent="0.4">
      <c r="A13" s="54" t="s">
        <v>121</v>
      </c>
      <c r="B13" s="47">
        <v>97</v>
      </c>
      <c r="C13" s="42">
        <f>IF(B$3=0,0,B13/B$3)</f>
        <v>0.25129533678756477</v>
      </c>
      <c r="E13" s="59" t="s">
        <v>86</v>
      </c>
      <c r="F13" s="56" t="s">
        <v>41</v>
      </c>
      <c r="G13" s="44">
        <v>5</v>
      </c>
      <c r="H13" s="129">
        <f>IF(B$17=0,0,G13/B$17)</f>
        <v>4.5871559633027525E-2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</v>
      </c>
      <c r="C14" s="37">
        <f>IF(B$3=0,0,B14/B$3)</f>
        <v>0.25647668393782386</v>
      </c>
      <c r="E14" s="59" t="s">
        <v>79</v>
      </c>
      <c r="F14" s="56" t="s">
        <v>34</v>
      </c>
      <c r="G14" s="44">
        <v>4</v>
      </c>
      <c r="H14" s="129">
        <f>IF(B$17=0,0,G14/B$17)</f>
        <v>3.669724770642202E-2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56</v>
      </c>
      <c r="C15" s="35">
        <f>IF(B$13=0,0,B15/B$13)</f>
        <v>0.57731958762886593</v>
      </c>
      <c r="E15" s="59" t="s">
        <v>83</v>
      </c>
      <c r="F15" s="56" t="s">
        <v>38</v>
      </c>
      <c r="G15" s="44">
        <v>4</v>
      </c>
      <c r="H15" s="129">
        <f>IF(B$17=0,0,G15/B$17)</f>
        <v>3.669724770642202E-2</v>
      </c>
      <c r="I15" s="90">
        <v>9</v>
      </c>
      <c r="K15" s="36">
        <v>13</v>
      </c>
      <c r="L15" s="95">
        <v>-68.399999999999991</v>
      </c>
      <c r="N15" s="110" t="s">
        <v>195</v>
      </c>
      <c r="O15" s="120">
        <f t="shared" ref="O15:O22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39</v>
      </c>
      <c r="C16" s="35">
        <f>IF(B$14=0,0,B16/B$14)</f>
        <v>0.39393939393939392</v>
      </c>
      <c r="E16" s="59" t="s">
        <v>78</v>
      </c>
      <c r="F16" s="56" t="s">
        <v>33</v>
      </c>
      <c r="G16" s="44">
        <v>3</v>
      </c>
      <c r="H16" s="129">
        <f>IF(B$17=0,0,G16/B$17)</f>
        <v>2.7522935779816515E-2</v>
      </c>
      <c r="I16" s="90">
        <v>2</v>
      </c>
      <c r="K16" s="36">
        <v>14</v>
      </c>
      <c r="L16" s="95">
        <v>-25.79999999999999</v>
      </c>
      <c r="N16" s="111" t="s">
        <v>179</v>
      </c>
      <c r="O16" s="121">
        <f t="shared" si="2"/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109</v>
      </c>
      <c r="C17" s="35">
        <f>IF(B$3=0,0,B17/B$3)</f>
        <v>0.28238341968911918</v>
      </c>
      <c r="E17" s="59" t="s">
        <v>167</v>
      </c>
      <c r="F17" s="56" t="s">
        <v>168</v>
      </c>
      <c r="G17" s="44">
        <v>2</v>
      </c>
      <c r="H17" s="129">
        <f>IF(B$17=0,0,G17/B$17)</f>
        <v>1.834862385321101E-2</v>
      </c>
      <c r="I17" s="90">
        <v>3</v>
      </c>
      <c r="K17" s="36">
        <v>15</v>
      </c>
      <c r="L17" s="95">
        <v>-35.499999999999986</v>
      </c>
      <c r="N17" s="111" t="s">
        <v>182</v>
      </c>
      <c r="O17" s="121">
        <f t="shared" si="2"/>
        <v>17.72</v>
      </c>
      <c r="P17" s="115">
        <v>10</v>
      </c>
      <c r="Q17" s="103">
        <v>177.2</v>
      </c>
    </row>
    <row r="18" spans="1:17" x14ac:dyDescent="0.4">
      <c r="A18" s="51" t="s">
        <v>12</v>
      </c>
      <c r="B18" s="44">
        <v>46</v>
      </c>
      <c r="C18" s="37">
        <f>IF(B$17=0,0,B18/B$17)</f>
        <v>0.42201834862385323</v>
      </c>
      <c r="E18" s="59" t="s">
        <v>73</v>
      </c>
      <c r="F18" s="56" t="s">
        <v>28</v>
      </c>
      <c r="G18" s="44">
        <v>1</v>
      </c>
      <c r="H18" s="129">
        <f>IF(B$17=0,0,G18/B$17)</f>
        <v>9.1743119266055051E-3</v>
      </c>
      <c r="I18" s="90">
        <v>1</v>
      </c>
      <c r="K18" s="36">
        <v>16</v>
      </c>
      <c r="L18" s="95">
        <v>-35.599999999999987</v>
      </c>
      <c r="N18" s="111" t="s">
        <v>166</v>
      </c>
      <c r="O18" s="121">
        <f t="shared" si="2"/>
        <v>5.3125</v>
      </c>
      <c r="P18" s="115">
        <v>8</v>
      </c>
      <c r="Q18" s="103">
        <v>42.5</v>
      </c>
    </row>
    <row r="19" spans="1:17" x14ac:dyDescent="0.4">
      <c r="A19" s="51" t="s">
        <v>11</v>
      </c>
      <c r="B19" s="44">
        <v>63</v>
      </c>
      <c r="C19" s="37">
        <f>IF(B$17=0,0,B19/B$17)</f>
        <v>0.57798165137614677</v>
      </c>
      <c r="E19" s="59" t="s">
        <v>81</v>
      </c>
      <c r="F19" s="56" t="s">
        <v>36</v>
      </c>
      <c r="G19" s="44">
        <v>1</v>
      </c>
      <c r="H19" s="129">
        <f>IF(B$17=0,0,G19/B$17)</f>
        <v>9.1743119266055051E-3</v>
      </c>
      <c r="I19" s="90">
        <v>8</v>
      </c>
      <c r="K19" s="36">
        <v>17</v>
      </c>
      <c r="L19" s="95">
        <v>-29.799999999999986</v>
      </c>
      <c r="N19" s="111" t="s">
        <v>127</v>
      </c>
      <c r="O19" s="121">
        <f t="shared" si="2"/>
        <v>-11.475000000000001</v>
      </c>
      <c r="P19" s="115">
        <v>20</v>
      </c>
      <c r="Q19" s="103">
        <v>-229.50000000000003</v>
      </c>
    </row>
    <row r="20" spans="1:17" x14ac:dyDescent="0.4">
      <c r="A20" s="51" t="s">
        <v>13</v>
      </c>
      <c r="B20" s="44">
        <v>55</v>
      </c>
      <c r="C20" s="37">
        <f>IF(B$3=0,0,B20/B$3)</f>
        <v>0.14248704663212436</v>
      </c>
      <c r="E20" s="59" t="s">
        <v>85</v>
      </c>
      <c r="F20" s="56" t="s">
        <v>40</v>
      </c>
      <c r="G20" s="44">
        <v>1</v>
      </c>
      <c r="H20" s="129">
        <f>IF(B$17=0,0,G20/B$17)</f>
        <v>9.1743119266055051E-3</v>
      </c>
      <c r="I20" s="90">
        <v>3</v>
      </c>
      <c r="K20" s="36">
        <v>18</v>
      </c>
      <c r="L20" s="95">
        <v>-62.399999999999991</v>
      </c>
      <c r="N20" s="111" t="s">
        <v>177</v>
      </c>
      <c r="O20" s="121">
        <f t="shared" si="2"/>
        <v>-14.204761904761906</v>
      </c>
      <c r="P20" s="115">
        <v>21</v>
      </c>
      <c r="Q20" s="103">
        <v>-298.3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91</v>
      </c>
      <c r="F21" s="56" t="s">
        <v>46</v>
      </c>
      <c r="G21" s="44">
        <v>1</v>
      </c>
      <c r="H21" s="129">
        <f>IF(B$17=0,0,G21/B$17)</f>
        <v>9.1743119266055051E-3</v>
      </c>
      <c r="I21" s="90">
        <v>6</v>
      </c>
      <c r="K21" s="36">
        <v>19</v>
      </c>
      <c r="L21" s="95">
        <v>-56.399999999999991</v>
      </c>
      <c r="N21" s="111" t="s">
        <v>181</v>
      </c>
      <c r="O21" s="121">
        <f t="shared" si="2"/>
        <v>-15.5</v>
      </c>
      <c r="P21" s="115">
        <v>1</v>
      </c>
      <c r="Q21" s="103">
        <v>-15.5</v>
      </c>
    </row>
    <row r="22" spans="1:17" x14ac:dyDescent="0.4">
      <c r="A22" s="51" t="s">
        <v>170</v>
      </c>
      <c r="B22" s="44">
        <v>44</v>
      </c>
      <c r="C22" s="131">
        <v>4</v>
      </c>
      <c r="E22" s="59" t="s">
        <v>101</v>
      </c>
      <c r="F22" s="56" t="s">
        <v>56</v>
      </c>
      <c r="G22" s="44">
        <v>1</v>
      </c>
      <c r="H22" s="129">
        <f>IF(B$17=0,0,G22/B$17)</f>
        <v>9.1743119266055051E-3</v>
      </c>
      <c r="I22" s="90">
        <v>1</v>
      </c>
      <c r="K22" s="36">
        <v>20</v>
      </c>
      <c r="L22" s="95">
        <v>-93.199999999999989</v>
      </c>
      <c r="N22" s="111" t="s">
        <v>126</v>
      </c>
      <c r="O22" s="121">
        <f t="shared" si="2"/>
        <v>-18.563157894736847</v>
      </c>
      <c r="P22" s="115">
        <v>19</v>
      </c>
      <c r="Q22" s="103">
        <v>-352.7000000000001</v>
      </c>
    </row>
    <row r="23" spans="1:17" x14ac:dyDescent="0.4">
      <c r="A23" s="51" t="s">
        <v>5</v>
      </c>
      <c r="B23" s="48">
        <f>IF(B$17=0,0,C23/B$17)</f>
        <v>8305.5045871559632</v>
      </c>
      <c r="C23" s="39">
        <v>905300</v>
      </c>
      <c r="E23" s="59" t="s">
        <v>74</v>
      </c>
      <c r="F23" s="56" t="s">
        <v>29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9447.1428571428569</v>
      </c>
      <c r="C24" s="137">
        <v>661300</v>
      </c>
      <c r="E24" s="59" t="s">
        <v>75</v>
      </c>
      <c r="F24" s="56" t="s">
        <v>30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6256.4102564102568</v>
      </c>
      <c r="C25" s="137">
        <v>244000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-7827.272727272727</v>
      </c>
      <c r="C26" s="137">
        <v>-430500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5.1813471502590676E-3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21</v>
      </c>
      <c r="C2" s="149"/>
      <c r="E2" s="58" t="s">
        <v>66</v>
      </c>
      <c r="F2" s="55" t="s">
        <v>22</v>
      </c>
      <c r="G2" s="43">
        <v>25</v>
      </c>
      <c r="H2" s="128">
        <f>IF(B$17=0,0,G2/B$17)</f>
        <v>0.7142857142857143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-3542.8571428571427</v>
      </c>
      <c r="P2" s="114">
        <v>21</v>
      </c>
      <c r="Q2" s="98">
        <v>-74400</v>
      </c>
    </row>
    <row r="3" spans="1:17" x14ac:dyDescent="0.4">
      <c r="A3" s="51" t="s">
        <v>8</v>
      </c>
      <c r="B3" s="150">
        <v>168</v>
      </c>
      <c r="C3" s="151"/>
      <c r="E3" s="59" t="s">
        <v>64</v>
      </c>
      <c r="F3" s="56" t="s">
        <v>20</v>
      </c>
      <c r="G3" s="44">
        <v>18</v>
      </c>
      <c r="H3" s="129">
        <f>IF(B$17=0,0,G3/B$17)</f>
        <v>0.51428571428571423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-1257.1428571428571</v>
      </c>
      <c r="P3" s="115">
        <v>21</v>
      </c>
      <c r="Q3" s="99">
        <v>-26400</v>
      </c>
    </row>
    <row r="4" spans="1:17" x14ac:dyDescent="0.4">
      <c r="A4" s="51" t="s">
        <v>6</v>
      </c>
      <c r="B4" s="152">
        <v>-423.7000000000001</v>
      </c>
      <c r="C4" s="153"/>
      <c r="E4" s="59" t="s">
        <v>72</v>
      </c>
      <c r="F4" s="56" t="s">
        <v>27</v>
      </c>
      <c r="G4" s="44">
        <v>17</v>
      </c>
      <c r="H4" s="129">
        <f>IF(B$17=0,0,G4/B$17)</f>
        <v>0.48571428571428571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-1190.4761904761904</v>
      </c>
      <c r="P4" s="115">
        <v>21</v>
      </c>
      <c r="Q4" s="99">
        <v>-25000</v>
      </c>
    </row>
    <row r="5" spans="1:17" x14ac:dyDescent="0.4">
      <c r="A5" s="51" t="s">
        <v>7</v>
      </c>
      <c r="B5" s="154">
        <f>IF(B$2=0,0,B$4/B$2)</f>
        <v>-20.176190476190481</v>
      </c>
      <c r="C5" s="155"/>
      <c r="E5" s="59" t="s">
        <v>67</v>
      </c>
      <c r="F5" s="56" t="s">
        <v>23</v>
      </c>
      <c r="G5" s="44">
        <v>14</v>
      </c>
      <c r="H5" s="129">
        <f>IF(B$17=0,0,G5/B$17)</f>
        <v>0.4</v>
      </c>
      <c r="I5" s="90">
        <v>2</v>
      </c>
      <c r="K5" s="36">
        <v>3</v>
      </c>
      <c r="L5" s="95">
        <v>-33.6</v>
      </c>
      <c r="N5" s="111" t="s">
        <v>133</v>
      </c>
      <c r="O5" s="118">
        <f t="shared" si="0"/>
        <v>-5075</v>
      </c>
      <c r="P5" s="115">
        <v>20</v>
      </c>
      <c r="Q5" s="99">
        <v>-101500</v>
      </c>
    </row>
    <row r="6" spans="1:17" x14ac:dyDescent="0.4">
      <c r="A6" s="51" t="s">
        <v>1</v>
      </c>
      <c r="B6" s="144">
        <f>IF(B$2=0,0,(B$7*1+B$8*2+B$9*3)/B$2)</f>
        <v>2.5238095238095237</v>
      </c>
      <c r="C6" s="145"/>
      <c r="E6" s="59" t="s">
        <v>171</v>
      </c>
      <c r="F6" s="56" t="s">
        <v>172</v>
      </c>
      <c r="G6" s="44">
        <v>12</v>
      </c>
      <c r="H6" s="129">
        <f>IF(B$17=0,0,G6/B$17)</f>
        <v>0.34285714285714286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-1468.421052631579</v>
      </c>
      <c r="P6" s="115">
        <v>19</v>
      </c>
      <c r="Q6" s="99">
        <v>-27900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4.7619047619047616E-2</v>
      </c>
      <c r="E7" s="59" t="s">
        <v>68</v>
      </c>
      <c r="F7" s="56" t="s">
        <v>12</v>
      </c>
      <c r="G7" s="44">
        <v>11</v>
      </c>
      <c r="H7" s="129">
        <f>IF(B$17=0,0,G7/B$17)</f>
        <v>0.31428571428571428</v>
      </c>
      <c r="I7" s="90">
        <v>3</v>
      </c>
      <c r="K7" s="36">
        <v>5</v>
      </c>
      <c r="L7" s="95">
        <v>-124.3</v>
      </c>
      <c r="N7" s="112" t="s">
        <v>135</v>
      </c>
      <c r="O7" s="119">
        <f t="shared" si="0"/>
        <v>-3656.25</v>
      </c>
      <c r="P7" s="116">
        <v>16</v>
      </c>
      <c r="Q7" s="100">
        <v>-58500</v>
      </c>
    </row>
    <row r="8" spans="1:17" x14ac:dyDescent="0.4">
      <c r="A8" s="51" t="s">
        <v>3</v>
      </c>
      <c r="B8" s="44">
        <v>8</v>
      </c>
      <c r="C8" s="37">
        <f t="shared" si="1"/>
        <v>0.38095238095238093</v>
      </c>
      <c r="E8" s="59" t="s">
        <v>65</v>
      </c>
      <c r="F8" s="56" t="s">
        <v>21</v>
      </c>
      <c r="G8" s="44">
        <v>5</v>
      </c>
      <c r="H8" s="129">
        <f>IF(B$17=0,0,G8/B$17)</f>
        <v>0.14285714285714285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0.5714285714285714</v>
      </c>
      <c r="E9" s="59" t="s">
        <v>83</v>
      </c>
      <c r="F9" s="56" t="s">
        <v>38</v>
      </c>
      <c r="G9" s="44">
        <v>4</v>
      </c>
      <c r="H9" s="129">
        <f>IF(B$17=0,0,G9/B$17)</f>
        <v>0.11428571428571428</v>
      </c>
      <c r="I9" s="90">
        <v>1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0.23809523809523808</v>
      </c>
      <c r="E10" s="59" t="s">
        <v>71</v>
      </c>
      <c r="F10" s="56" t="s">
        <v>26</v>
      </c>
      <c r="G10" s="44">
        <v>3</v>
      </c>
      <c r="H10" s="129">
        <f>IF(B$17=0,0,G10/B$17)</f>
        <v>8.5714285714285715E-2</v>
      </c>
      <c r="I10" s="90">
        <v>4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1"/>
        <v>4.7619047619047616E-2</v>
      </c>
      <c r="E11" s="59" t="s">
        <v>86</v>
      </c>
      <c r="F11" s="56" t="s">
        <v>41</v>
      </c>
      <c r="G11" s="44">
        <v>3</v>
      </c>
      <c r="H11" s="129">
        <f>IF(B$17=0,0,G11/B$17)</f>
        <v>8.5714285714285715E-2</v>
      </c>
      <c r="I11" s="90">
        <v>1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70</v>
      </c>
      <c r="F12" s="56" t="s">
        <v>25</v>
      </c>
      <c r="G12" s="44">
        <v>2</v>
      </c>
      <c r="H12" s="129">
        <f>IF(B$17=0,0,G12/B$17)</f>
        <v>5.7142857142857141E-2</v>
      </c>
      <c r="I12" s="90">
        <v>10</v>
      </c>
      <c r="K12" s="36">
        <v>10</v>
      </c>
      <c r="L12" s="95">
        <v>-151.1</v>
      </c>
      <c r="N12" s="112" t="s">
        <v>164</v>
      </c>
      <c r="O12" s="122">
        <f>IF(P12=0,0,Q12/P12)</f>
        <v>-22.666666666666668</v>
      </c>
      <c r="P12" s="116">
        <v>3</v>
      </c>
      <c r="Q12" s="104">
        <v>-68</v>
      </c>
    </row>
    <row r="13" spans="1:17" x14ac:dyDescent="0.4">
      <c r="A13" s="54" t="s">
        <v>121</v>
      </c>
      <c r="B13" s="47">
        <v>34</v>
      </c>
      <c r="C13" s="42">
        <f>IF(B$3=0,0,B13/B$3)</f>
        <v>0.20238095238095238</v>
      </c>
      <c r="E13" s="59" t="s">
        <v>81</v>
      </c>
      <c r="F13" s="56" t="s">
        <v>36</v>
      </c>
      <c r="G13" s="44">
        <v>2</v>
      </c>
      <c r="H13" s="129">
        <f>IF(B$17=0,0,G13/B$17)</f>
        <v>5.7142857142857141E-2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0.20833333333333334</v>
      </c>
      <c r="E14" s="59" t="s">
        <v>89</v>
      </c>
      <c r="F14" s="56" t="s">
        <v>44</v>
      </c>
      <c r="G14" s="44">
        <v>2</v>
      </c>
      <c r="H14" s="129">
        <f>IF(B$17=0,0,G14/B$17)</f>
        <v>5.7142857142857141E-2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18</v>
      </c>
      <c r="C15" s="35">
        <f>IF(B$13=0,0,B15/B$13)</f>
        <v>0.52941176470588236</v>
      </c>
      <c r="E15" s="59" t="s">
        <v>69</v>
      </c>
      <c r="F15" s="56" t="s">
        <v>24</v>
      </c>
      <c r="G15" s="44">
        <v>1</v>
      </c>
      <c r="H15" s="129">
        <f>IF(B$17=0,0,G15/B$17)</f>
        <v>2.8571428571428571E-2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 t="shared" ref="O15:O22" si="2"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74</v>
      </c>
      <c r="F16" s="56" t="s">
        <v>29</v>
      </c>
      <c r="G16" s="44">
        <v>1</v>
      </c>
      <c r="H16" s="129">
        <f>IF(B$17=0,0,G16/B$17)</f>
        <v>2.8571428571428571E-2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 t="shared" si="2"/>
        <v>-17.72</v>
      </c>
      <c r="P16" s="115">
        <v>10</v>
      </c>
      <c r="Q16" s="103">
        <v>-177.2</v>
      </c>
    </row>
    <row r="17" spans="1:17" x14ac:dyDescent="0.4">
      <c r="A17" s="50" t="s">
        <v>10</v>
      </c>
      <c r="B17" s="43">
        <f>B19+B18</f>
        <v>35</v>
      </c>
      <c r="C17" s="35">
        <f>IF(B$3=0,0,B17/B$3)</f>
        <v>0.20833333333333334</v>
      </c>
      <c r="E17" s="59" t="s">
        <v>78</v>
      </c>
      <c r="F17" s="56" t="s">
        <v>33</v>
      </c>
      <c r="G17" s="44">
        <v>1</v>
      </c>
      <c r="H17" s="129">
        <f>IF(B$17=0,0,G17/B$17)</f>
        <v>2.8571428571428571E-2</v>
      </c>
      <c r="I17" s="90">
        <v>1</v>
      </c>
      <c r="K17" s="36">
        <v>15</v>
      </c>
      <c r="L17" s="95">
        <v>-272.50000000000006</v>
      </c>
      <c r="N17" s="111" t="s">
        <v>177</v>
      </c>
      <c r="O17" s="121">
        <f t="shared" si="2"/>
        <v>-20.7</v>
      </c>
      <c r="P17" s="115">
        <v>12</v>
      </c>
      <c r="Q17" s="103">
        <v>-248.39999999999998</v>
      </c>
    </row>
    <row r="18" spans="1:17" x14ac:dyDescent="0.4">
      <c r="A18" s="51" t="s">
        <v>12</v>
      </c>
      <c r="B18" s="44">
        <v>17</v>
      </c>
      <c r="C18" s="37">
        <f>IF(B$17=0,0,B18/B$17)</f>
        <v>0.48571428571428571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3</v>
      </c>
      <c r="K18" s="36">
        <v>16</v>
      </c>
      <c r="L18" s="95">
        <v>-320.30000000000007</v>
      </c>
      <c r="N18" s="111" t="s">
        <v>179</v>
      </c>
      <c r="O18" s="121">
        <f t="shared" si="2"/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0.51428571428571423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6</v>
      </c>
      <c r="K19" s="36">
        <v>17</v>
      </c>
      <c r="L19" s="95">
        <v>-352.60000000000008</v>
      </c>
      <c r="N19" s="111" t="s">
        <v>126</v>
      </c>
      <c r="O19" s="121">
        <f t="shared" si="2"/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35</v>
      </c>
      <c r="C20" s="37">
        <f>IF(B$3=0,0,B20/B$3)</f>
        <v>0.20833333333333334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 t="shared" si="2"/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 t="shared" si="2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5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195</v>
      </c>
      <c r="O22" s="121">
        <f t="shared" si="2"/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7562.8571428571431</v>
      </c>
      <c r="C23" s="39">
        <v>264700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-423.7000000000001</v>
      </c>
    </row>
    <row r="24" spans="1:17" x14ac:dyDescent="0.4">
      <c r="A24" s="52" t="s">
        <v>216</v>
      </c>
      <c r="B24" s="136">
        <f>IF($B$17-B$16=0,0,C24/($B$17-B$16))</f>
        <v>8608.6956521739139</v>
      </c>
      <c r="C24" s="137">
        <v>198000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5558.333333333333</v>
      </c>
      <c r="C25" s="137">
        <v>66700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-8968.5714285714294</v>
      </c>
      <c r="C26" s="137">
        <v>-313900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5.9523809523809521E-3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14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0">
        <v>142</v>
      </c>
      <c r="C3" s="151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2">
        <v>49.900000000000006</v>
      </c>
      <c r="C4" s="153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4">
        <f>IF(B$2=0,0,B$4/B$2)</f>
        <v>3.5642857142857145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4">
        <f>IF(B$2=0,0,(B$7*1+B$8*2+B$9*3)/B$2)</f>
        <v>1.9285714285714286</v>
      </c>
      <c r="C6" s="145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3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1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6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8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>IF(P16=0,0,Q16/P16)</f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>IF(P17=0,0,Q17/P17)</f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>IF(P18=0,0,Q18/P18)</f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2</v>
      </c>
      <c r="N19" s="111" t="s">
        <v>179</v>
      </c>
      <c r="O19" s="121">
        <f>IF(P19=0,0,Q19/P19)</f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>IF(P20=0,0,Q20/P20)</f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>IF(P21=0,0,Q21/P21)</f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>IF(P22=0,0,Q22/P22)</f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10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3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7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8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6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4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7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1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2019-10-17T17:28:54Z</dcterms:modified>
</cp:coreProperties>
</file>