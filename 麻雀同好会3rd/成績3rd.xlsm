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F225A47F-1E7D-4CC8-839B-9DC91315B5AA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55" r:id="rId6"/>
    <sheet name="たかの" sheetId="5857" r:id="rId7"/>
    <sheet name="だいち" sheetId="5859" r:id="rId8"/>
    <sheet name="ただ" sheetId="5861" r:id="rId9"/>
    <sheet name="りくと" sheetId="5863" r:id="rId10"/>
    <sheet name="れんたろう" sheetId="5865" r:id="rId11"/>
    <sheet name="まっつん" sheetId="5867" r:id="rId12"/>
    <sheet name="のり" sheetId="5869" r:id="rId13"/>
    <sheet name="ぱぱ" sheetId="5871" r:id="rId14"/>
    <sheet name="ほたに" sheetId="5873" r:id="rId15"/>
    <sheet name="いっしー" sheetId="5875" r:id="rId16"/>
    <sheet name="いっしー2" sheetId="5876" state="hidden" r:id="rId17"/>
    <sheet name="ほたに2" sheetId="5874" state="hidden" r:id="rId18"/>
    <sheet name="ぱぱ2" sheetId="5872" state="hidden" r:id="rId19"/>
    <sheet name="のり2" sheetId="5870" state="hidden" r:id="rId20"/>
    <sheet name="まっつん2" sheetId="5868" state="hidden" r:id="rId21"/>
    <sheet name="れんたろう2" sheetId="5866" state="hidden" r:id="rId22"/>
    <sheet name="りくと2" sheetId="5864" state="hidden" r:id="rId23"/>
    <sheet name="ただ2" sheetId="5862" state="hidden" r:id="rId24"/>
    <sheet name="だいち2" sheetId="5860" state="hidden" r:id="rId25"/>
    <sheet name="たかの2" sheetId="5858" state="hidden" r:id="rId26"/>
    <sheet name="全体2" sheetId="585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67" l="1"/>
  <c r="O17" i="5875"/>
  <c r="O22" i="5859"/>
  <c r="O16" i="5875"/>
  <c r="O15" i="5875"/>
  <c r="C29" i="5875"/>
  <c r="B26" i="5875"/>
  <c r="B25" i="5875"/>
  <c r="C20" i="5875"/>
  <c r="B17" i="5875"/>
  <c r="H50" i="5875" s="1"/>
  <c r="C16" i="5875"/>
  <c r="C15" i="5875"/>
  <c r="C14" i="5875"/>
  <c r="C13" i="5875"/>
  <c r="O12" i="5875"/>
  <c r="C12" i="5875"/>
  <c r="O11" i="5875"/>
  <c r="C11" i="5875"/>
  <c r="O10" i="5875"/>
  <c r="C10" i="5875"/>
  <c r="C9" i="5875"/>
  <c r="C8" i="5875"/>
  <c r="O7" i="5875"/>
  <c r="C7" i="5875"/>
  <c r="O6" i="5875"/>
  <c r="B6" i="5875"/>
  <c r="O5" i="5875"/>
  <c r="B5" i="5875"/>
  <c r="O4" i="5875"/>
  <c r="O3" i="5875"/>
  <c r="O2" i="5875"/>
  <c r="O16" i="5869"/>
  <c r="O24" i="5855"/>
  <c r="H2" i="5875" l="1"/>
  <c r="H17" i="5875"/>
  <c r="H19" i="5875"/>
  <c r="H9" i="5875"/>
  <c r="H5" i="5875"/>
  <c r="H6" i="5875"/>
  <c r="H39" i="5875"/>
  <c r="B23" i="5875"/>
  <c r="H43" i="5875"/>
  <c r="H4" i="5875"/>
  <c r="C17" i="5875"/>
  <c r="H31" i="5875"/>
  <c r="H47" i="5875"/>
  <c r="H3" i="5875"/>
  <c r="H14" i="5875"/>
  <c r="C18" i="5875"/>
  <c r="H35" i="5875"/>
  <c r="H51" i="5875"/>
  <c r="H21" i="5875"/>
  <c r="H23" i="5875"/>
  <c r="H25" i="5875"/>
  <c r="H27" i="5875"/>
  <c r="H29" i="5875"/>
  <c r="H32" i="5875"/>
  <c r="H36" i="5875"/>
  <c r="H40" i="5875"/>
  <c r="H44" i="5875"/>
  <c r="H48" i="5875"/>
  <c r="H11" i="5875"/>
  <c r="H13" i="5875"/>
  <c r="H16" i="5875"/>
  <c r="H18" i="5875"/>
  <c r="C19" i="5875"/>
  <c r="H8" i="5875"/>
  <c r="B24" i="5875"/>
  <c r="H33" i="5875"/>
  <c r="H37" i="5875"/>
  <c r="H41" i="5875"/>
  <c r="H45" i="5875"/>
  <c r="H49" i="5875"/>
  <c r="H52" i="5875"/>
  <c r="H12" i="5875"/>
  <c r="H7" i="5875"/>
  <c r="H10" i="5875"/>
  <c r="H15" i="5875"/>
  <c r="H20" i="5875"/>
  <c r="H22" i="5875"/>
  <c r="H24" i="5875"/>
  <c r="H26" i="5875"/>
  <c r="H28" i="5875"/>
  <c r="H30" i="5875"/>
  <c r="H34" i="5875"/>
  <c r="H38" i="5875"/>
  <c r="H42" i="5875"/>
  <c r="H46" i="5875"/>
  <c r="O20" i="5857" l="1"/>
  <c r="O16" i="5865"/>
  <c r="O15" i="5865" l="1"/>
  <c r="O19" i="5873"/>
  <c r="O15" i="5863" l="1"/>
  <c r="O20" i="5869"/>
  <c r="O16" i="5873" l="1"/>
  <c r="O22" i="5863"/>
  <c r="O21" i="5857" l="1"/>
  <c r="O16" i="5859"/>
  <c r="O15" i="5869"/>
  <c r="O19" i="5869"/>
  <c r="O19" i="5867" l="1"/>
  <c r="O18" i="5871"/>
  <c r="O16" i="5861" l="1"/>
  <c r="O17" i="5867"/>
  <c r="O21" i="5869"/>
  <c r="O17" i="5869"/>
  <c r="O15" i="5857" l="1"/>
  <c r="O17" i="5871"/>
  <c r="O19" i="5871"/>
  <c r="O17" i="5863"/>
  <c r="O19" i="5861" l="1"/>
  <c r="O21" i="5865"/>
  <c r="O20" i="5865" l="1"/>
  <c r="O21" i="5859"/>
  <c r="O23" i="5869"/>
  <c r="O17" i="5873"/>
  <c r="O15" i="5873"/>
  <c r="O21" i="5871"/>
  <c r="O15" i="5861" l="1"/>
  <c r="O20" i="5861"/>
  <c r="O18" i="5873"/>
  <c r="O20" i="5873"/>
  <c r="C29" i="5873"/>
  <c r="B26" i="5873"/>
  <c r="B25" i="5873"/>
  <c r="C20" i="5873"/>
  <c r="B17" i="5873"/>
  <c r="H51" i="5873" s="1"/>
  <c r="C16" i="5873"/>
  <c r="C15" i="5873"/>
  <c r="C14" i="5873"/>
  <c r="C13" i="5873"/>
  <c r="O12" i="5873"/>
  <c r="C12" i="5873"/>
  <c r="O11" i="5873"/>
  <c r="C11" i="5873"/>
  <c r="O10" i="5873"/>
  <c r="C10" i="5873"/>
  <c r="C9" i="5873"/>
  <c r="C8" i="5873"/>
  <c r="O7" i="5873"/>
  <c r="C7" i="5873"/>
  <c r="O6" i="5873"/>
  <c r="B6" i="5873"/>
  <c r="O5" i="5873"/>
  <c r="B5" i="5873"/>
  <c r="O4" i="5873"/>
  <c r="O3" i="5873"/>
  <c r="O2" i="5873"/>
  <c r="O21" i="5867"/>
  <c r="O15" i="5867"/>
  <c r="O16" i="5855"/>
  <c r="H5" i="5873" l="1"/>
  <c r="H2" i="5873"/>
  <c r="H3" i="5873"/>
  <c r="H11" i="5873"/>
  <c r="C17" i="5873"/>
  <c r="H24" i="5873"/>
  <c r="H27" i="5873"/>
  <c r="H32" i="5873"/>
  <c r="H36" i="5873"/>
  <c r="H40" i="5873"/>
  <c r="H44" i="5873"/>
  <c r="H6" i="5873"/>
  <c r="H18" i="5873"/>
  <c r="H20" i="5873"/>
  <c r="C19" i="5873"/>
  <c r="H14" i="5873"/>
  <c r="B24" i="5873"/>
  <c r="H33" i="5873"/>
  <c r="H37" i="5873"/>
  <c r="H45" i="5873"/>
  <c r="H49" i="5873"/>
  <c r="H52" i="5873"/>
  <c r="H7" i="5873"/>
  <c r="H8" i="5873"/>
  <c r="H12" i="5873"/>
  <c r="H17" i="5873"/>
  <c r="H13" i="5873"/>
  <c r="H23" i="5873"/>
  <c r="H25" i="5873"/>
  <c r="H15" i="5873"/>
  <c r="H28" i="5873"/>
  <c r="H30" i="5873"/>
  <c r="H34" i="5873"/>
  <c r="H38" i="5873"/>
  <c r="H42" i="5873"/>
  <c r="H46" i="5873"/>
  <c r="H50" i="5873"/>
  <c r="H22" i="5873"/>
  <c r="H26" i="5873"/>
  <c r="H29" i="5873"/>
  <c r="H48" i="5873"/>
  <c r="H10" i="5873"/>
  <c r="H41" i="5873"/>
  <c r="H4" i="5873"/>
  <c r="H16" i="5873"/>
  <c r="H19" i="5873"/>
  <c r="H21" i="5873"/>
  <c r="C18" i="5873"/>
  <c r="B23" i="5873"/>
  <c r="H9" i="5873"/>
  <c r="H31" i="5873"/>
  <c r="H35" i="5873"/>
  <c r="H39" i="5873"/>
  <c r="H43" i="5873"/>
  <c r="H47" i="5873"/>
  <c r="O17" i="5859" l="1"/>
  <c r="O21" i="5863"/>
  <c r="O18" i="5859" l="1"/>
  <c r="O20" i="5867"/>
  <c r="O22" i="5867"/>
  <c r="O18" i="5857"/>
  <c r="O18" i="5861"/>
  <c r="O16" i="5863"/>
  <c r="O20" i="5863"/>
  <c r="O19" i="5857"/>
  <c r="O17" i="5861"/>
  <c r="O15" i="5859"/>
  <c r="O20" i="5871"/>
  <c r="O22" i="5871"/>
  <c r="O22" i="5865" l="1"/>
  <c r="O17" i="5865"/>
  <c r="O15" i="5871"/>
  <c r="O16" i="5871"/>
  <c r="C29" i="5871"/>
  <c r="B26" i="5871"/>
  <c r="B25" i="5871"/>
  <c r="C20" i="5871"/>
  <c r="B17" i="5871"/>
  <c r="H6" i="5871" s="1"/>
  <c r="C16" i="5871"/>
  <c r="C15" i="5871"/>
  <c r="C14" i="5871"/>
  <c r="C13" i="5871"/>
  <c r="O12" i="5871"/>
  <c r="C12" i="5871"/>
  <c r="O11" i="5871"/>
  <c r="C11" i="5871"/>
  <c r="O10" i="5871"/>
  <c r="C10" i="5871"/>
  <c r="C9" i="5871"/>
  <c r="C8" i="5871"/>
  <c r="O7" i="5871"/>
  <c r="C7" i="5871"/>
  <c r="O6" i="5871"/>
  <c r="B6" i="5871"/>
  <c r="O5" i="5871"/>
  <c r="B5" i="5871"/>
  <c r="O4" i="5871"/>
  <c r="O3" i="5871"/>
  <c r="O2" i="5871"/>
  <c r="H3" i="5871"/>
  <c r="O15" i="5855"/>
  <c r="O18" i="5869"/>
  <c r="O22" i="5869"/>
  <c r="C29" i="5869"/>
  <c r="B26" i="5869"/>
  <c r="B25" i="5869"/>
  <c r="C20" i="5869"/>
  <c r="B17" i="5869"/>
  <c r="H50" i="5869" s="1"/>
  <c r="C16" i="5869"/>
  <c r="C15" i="5869"/>
  <c r="C14" i="5869"/>
  <c r="C13" i="5869"/>
  <c r="O12" i="5869"/>
  <c r="C12" i="5869"/>
  <c r="O11" i="5869"/>
  <c r="C11" i="5869"/>
  <c r="O10" i="5869"/>
  <c r="C10" i="5869"/>
  <c r="C9" i="5869"/>
  <c r="C8" i="5869"/>
  <c r="O7" i="5869"/>
  <c r="C7" i="5869"/>
  <c r="O6" i="5869"/>
  <c r="B6" i="5869"/>
  <c r="O5" i="5869"/>
  <c r="B5" i="5869"/>
  <c r="O4" i="5869"/>
  <c r="O3" i="5869"/>
  <c r="O2" i="5869"/>
  <c r="O20" i="5855"/>
  <c r="H4" i="5869" l="1"/>
  <c r="H5" i="5871"/>
  <c r="H10" i="5871"/>
  <c r="H17" i="5869"/>
  <c r="H8" i="5871"/>
  <c r="H2" i="5871"/>
  <c r="H32" i="5871"/>
  <c r="H40" i="5871"/>
  <c r="H48" i="5871"/>
  <c r="C17" i="5871"/>
  <c r="H14" i="5871"/>
  <c r="H34" i="5871"/>
  <c r="H42" i="5871"/>
  <c r="H50" i="5871"/>
  <c r="H16" i="5871"/>
  <c r="H24" i="5871"/>
  <c r="H9" i="5871"/>
  <c r="H4" i="5871"/>
  <c r="H11" i="5871"/>
  <c r="H22" i="5871"/>
  <c r="C18" i="5871"/>
  <c r="B23" i="5871"/>
  <c r="H12" i="5871"/>
  <c r="H36" i="5871"/>
  <c r="H44" i="5871"/>
  <c r="H20" i="5871"/>
  <c r="H7" i="5871"/>
  <c r="H21" i="5871"/>
  <c r="H23" i="5871"/>
  <c r="H13" i="5871"/>
  <c r="C19" i="5871"/>
  <c r="B24" i="5871"/>
  <c r="H38" i="5871"/>
  <c r="H46" i="5871"/>
  <c r="H52" i="5871"/>
  <c r="H25" i="5871"/>
  <c r="H17" i="5871"/>
  <c r="H28" i="5871"/>
  <c r="H15" i="5871"/>
  <c r="H29" i="5871"/>
  <c r="H31" i="5871"/>
  <c r="H35" i="5871"/>
  <c r="H39" i="5871"/>
  <c r="H43" i="5871"/>
  <c r="H47" i="5871"/>
  <c r="H51" i="5871"/>
  <c r="H26" i="5871"/>
  <c r="H27" i="5871"/>
  <c r="H18" i="5871"/>
  <c r="H19" i="5871"/>
  <c r="H30" i="5871"/>
  <c r="H33" i="5871"/>
  <c r="H37" i="5871"/>
  <c r="H41" i="5871"/>
  <c r="H45" i="5871"/>
  <c r="H49" i="5871"/>
  <c r="H3" i="5869"/>
  <c r="H8" i="5869"/>
  <c r="H13" i="5869"/>
  <c r="H39" i="5869"/>
  <c r="B23" i="5869"/>
  <c r="H43" i="5869"/>
  <c r="H47" i="5869"/>
  <c r="H21" i="5869"/>
  <c r="H5" i="5869"/>
  <c r="C17" i="5869"/>
  <c r="H32" i="5869"/>
  <c r="H2" i="5869"/>
  <c r="H19" i="5869"/>
  <c r="C18" i="5869"/>
  <c r="H35" i="5869"/>
  <c r="H51" i="5869"/>
  <c r="H24" i="5869"/>
  <c r="H25" i="5869"/>
  <c r="H27" i="5869"/>
  <c r="H28" i="5869"/>
  <c r="H30" i="5869"/>
  <c r="H33" i="5869"/>
  <c r="H36" i="5869"/>
  <c r="H40" i="5869"/>
  <c r="H44" i="5869"/>
  <c r="H48" i="5869"/>
  <c r="H6" i="5869"/>
  <c r="H12" i="5869"/>
  <c r="H20" i="5869"/>
  <c r="H22" i="5869"/>
  <c r="C19" i="5869"/>
  <c r="H11" i="5869"/>
  <c r="B24" i="5869"/>
  <c r="H34" i="5869"/>
  <c r="H37" i="5869"/>
  <c r="H41" i="5869"/>
  <c r="H45" i="5869"/>
  <c r="H49" i="5869"/>
  <c r="H52" i="5869"/>
  <c r="H9" i="5869"/>
  <c r="H7" i="5869"/>
  <c r="H10" i="5869"/>
  <c r="H16" i="5869"/>
  <c r="H23" i="5869"/>
  <c r="H15" i="5869"/>
  <c r="H26" i="5869"/>
  <c r="H14" i="5869"/>
  <c r="H29" i="5869"/>
  <c r="H31" i="5869"/>
  <c r="H18" i="5869"/>
  <c r="H38" i="5869"/>
  <c r="H42" i="5869"/>
  <c r="H46" i="5869"/>
  <c r="O23" i="5867" l="1"/>
  <c r="O18" i="5867"/>
  <c r="C29" i="5867"/>
  <c r="B26" i="5867"/>
  <c r="B25" i="5867"/>
  <c r="C20" i="5867"/>
  <c r="B17" i="5867"/>
  <c r="H51" i="5867" s="1"/>
  <c r="C16" i="5867"/>
  <c r="C15" i="5867"/>
  <c r="C14" i="5867"/>
  <c r="C13" i="5867"/>
  <c r="O12" i="5867"/>
  <c r="C12" i="5867"/>
  <c r="O11" i="5867"/>
  <c r="C11" i="5867"/>
  <c r="O10" i="5867"/>
  <c r="C10" i="5867"/>
  <c r="C9" i="5867"/>
  <c r="C8" i="5867"/>
  <c r="O7" i="5867"/>
  <c r="C7" i="5867"/>
  <c r="O6" i="5867"/>
  <c r="B6" i="5867"/>
  <c r="O5" i="5867"/>
  <c r="B5" i="5867"/>
  <c r="O4" i="5867"/>
  <c r="O3" i="5867"/>
  <c r="O2" i="5867"/>
  <c r="O19" i="5865"/>
  <c r="O18" i="5865"/>
  <c r="C29" i="5865"/>
  <c r="B26" i="5865"/>
  <c r="B25" i="5865"/>
  <c r="C20" i="5865"/>
  <c r="B17" i="5865"/>
  <c r="H7" i="5865" s="1"/>
  <c r="C16" i="5865"/>
  <c r="C15" i="5865"/>
  <c r="C14" i="5865"/>
  <c r="C13" i="5865"/>
  <c r="O12" i="5865"/>
  <c r="C12" i="5865"/>
  <c r="O11" i="5865"/>
  <c r="C11" i="5865"/>
  <c r="O10" i="5865"/>
  <c r="C10" i="5865"/>
  <c r="C9" i="5865"/>
  <c r="C8" i="5865"/>
  <c r="O7" i="5865"/>
  <c r="C7" i="5865"/>
  <c r="O6" i="5865"/>
  <c r="B6" i="5865"/>
  <c r="O5" i="5865"/>
  <c r="B5" i="5865"/>
  <c r="O4" i="5865"/>
  <c r="O3" i="5865"/>
  <c r="O2" i="5865"/>
  <c r="O17" i="5855"/>
  <c r="O19" i="5863"/>
  <c r="O18" i="5863"/>
  <c r="C29" i="5863"/>
  <c r="B26" i="5863"/>
  <c r="B25" i="5863"/>
  <c r="C20" i="5863"/>
  <c r="B17" i="5863"/>
  <c r="H52" i="5863" s="1"/>
  <c r="C16" i="5863"/>
  <c r="C15" i="5863"/>
  <c r="C14" i="5863"/>
  <c r="C13" i="5863"/>
  <c r="O12" i="5863"/>
  <c r="C12" i="5863"/>
  <c r="O11" i="5863"/>
  <c r="C11" i="5863"/>
  <c r="O10" i="5863"/>
  <c r="C10" i="5863"/>
  <c r="C9" i="5863"/>
  <c r="C8" i="5863"/>
  <c r="O7" i="5863"/>
  <c r="C7" i="5863"/>
  <c r="O6" i="5863"/>
  <c r="B6" i="5863"/>
  <c r="O5" i="5863"/>
  <c r="B5" i="5863"/>
  <c r="O4" i="5863"/>
  <c r="O3" i="5863"/>
  <c r="O2" i="5863"/>
  <c r="O19" i="5855"/>
  <c r="O22" i="5855"/>
  <c r="H12" i="5863" l="1"/>
  <c r="H36" i="5863"/>
  <c r="H14" i="5863"/>
  <c r="H23" i="5863"/>
  <c r="C18" i="5863"/>
  <c r="H2" i="5863"/>
  <c r="H3" i="5863"/>
  <c r="H8" i="5863"/>
  <c r="H7" i="5863"/>
  <c r="H21" i="5863"/>
  <c r="H4" i="5867"/>
  <c r="H3" i="5867"/>
  <c r="H18" i="5867"/>
  <c r="H9" i="5867"/>
  <c r="H41" i="5867"/>
  <c r="H12" i="5867"/>
  <c r="B23" i="5867"/>
  <c r="H44" i="5867"/>
  <c r="H27" i="5867"/>
  <c r="C17" i="5867"/>
  <c r="H33" i="5867"/>
  <c r="H48" i="5867"/>
  <c r="H6" i="5867"/>
  <c r="H2" i="5867"/>
  <c r="H17" i="5867"/>
  <c r="C18" i="5867"/>
  <c r="H37" i="5867"/>
  <c r="H16" i="5867"/>
  <c r="H29" i="5867"/>
  <c r="H30" i="5867"/>
  <c r="H21" i="5867"/>
  <c r="H22" i="5867"/>
  <c r="H32" i="5867"/>
  <c r="H34" i="5867"/>
  <c r="H38" i="5867"/>
  <c r="H25" i="5867"/>
  <c r="H45" i="5867"/>
  <c r="H49" i="5867"/>
  <c r="H5" i="5867"/>
  <c r="H8" i="5867"/>
  <c r="H26" i="5867"/>
  <c r="H28" i="5867"/>
  <c r="C19" i="5867"/>
  <c r="H14" i="5867"/>
  <c r="B24" i="5867"/>
  <c r="H35" i="5867"/>
  <c r="H39" i="5867"/>
  <c r="H42" i="5867"/>
  <c r="H46" i="5867"/>
  <c r="H50" i="5867"/>
  <c r="H52" i="5867"/>
  <c r="H11" i="5867"/>
  <c r="H7" i="5867"/>
  <c r="H10" i="5867"/>
  <c r="H20" i="5867"/>
  <c r="H15" i="5867"/>
  <c r="H19" i="5867"/>
  <c r="H31" i="5867"/>
  <c r="H13" i="5867"/>
  <c r="H23" i="5867"/>
  <c r="H24" i="5867"/>
  <c r="H36" i="5867"/>
  <c r="H40" i="5867"/>
  <c r="H43" i="5867"/>
  <c r="H47" i="5867"/>
  <c r="H2" i="5865"/>
  <c r="H3" i="5865"/>
  <c r="H4" i="5865"/>
  <c r="H11" i="5865"/>
  <c r="H9" i="5865"/>
  <c r="C17" i="5865"/>
  <c r="H14" i="5865"/>
  <c r="H42" i="5865"/>
  <c r="H38" i="5865"/>
  <c r="H20" i="5865"/>
  <c r="H6" i="5865"/>
  <c r="H25" i="5865"/>
  <c r="C18" i="5865"/>
  <c r="B23" i="5865"/>
  <c r="H46" i="5865"/>
  <c r="H52" i="5865"/>
  <c r="H27" i="5865"/>
  <c r="H10" i="5865"/>
  <c r="H13" i="5865"/>
  <c r="H5" i="5865"/>
  <c r="H19" i="5865"/>
  <c r="H26" i="5865"/>
  <c r="H21" i="5865"/>
  <c r="C19" i="5865"/>
  <c r="B24" i="5865"/>
  <c r="H34" i="5865"/>
  <c r="H50" i="5865"/>
  <c r="H28" i="5865"/>
  <c r="H15" i="5865"/>
  <c r="H31" i="5865"/>
  <c r="H16" i="5865"/>
  <c r="H33" i="5865"/>
  <c r="H18" i="5865"/>
  <c r="H35" i="5865"/>
  <c r="H39" i="5865"/>
  <c r="H43" i="5865"/>
  <c r="H47" i="5865"/>
  <c r="H51" i="5865"/>
  <c r="H8" i="5865"/>
  <c r="H17" i="5865"/>
  <c r="H36" i="5865"/>
  <c r="H40" i="5865"/>
  <c r="H44" i="5865"/>
  <c r="H48" i="5865"/>
  <c r="H12" i="5865"/>
  <c r="H29" i="5865"/>
  <c r="H30" i="5865"/>
  <c r="H22" i="5865"/>
  <c r="H32" i="5865"/>
  <c r="H23" i="5865"/>
  <c r="H24" i="5865"/>
  <c r="H37" i="5865"/>
  <c r="H41" i="5865"/>
  <c r="H45" i="5865"/>
  <c r="H49" i="5865"/>
  <c r="H40" i="5863"/>
  <c r="H4" i="5863"/>
  <c r="B23" i="5863"/>
  <c r="H9" i="5863"/>
  <c r="H24" i="5863"/>
  <c r="H16" i="5863"/>
  <c r="H44" i="5863"/>
  <c r="C19" i="5863"/>
  <c r="H11" i="5863"/>
  <c r="H18" i="5863"/>
  <c r="C17" i="5863"/>
  <c r="B24" i="5863"/>
  <c r="H10" i="5863"/>
  <c r="H6" i="5863"/>
  <c r="H13" i="5863"/>
  <c r="H22" i="5863"/>
  <c r="H19" i="5863"/>
  <c r="H32" i="5863"/>
  <c r="H48" i="5863"/>
  <c r="H27" i="5863"/>
  <c r="H15" i="5863"/>
  <c r="H30" i="5863"/>
  <c r="H20" i="5863"/>
  <c r="H35" i="5863"/>
  <c r="H39" i="5863"/>
  <c r="H43" i="5863"/>
  <c r="H47" i="5863"/>
  <c r="H51" i="5863"/>
  <c r="H17" i="5863"/>
  <c r="H25" i="5863"/>
  <c r="H26" i="5863"/>
  <c r="H28" i="5863"/>
  <c r="H29" i="5863"/>
  <c r="H31" i="5863"/>
  <c r="H33" i="5863"/>
  <c r="H37" i="5863"/>
  <c r="H41" i="5863"/>
  <c r="H45" i="5863"/>
  <c r="H49" i="5863"/>
  <c r="H5" i="5863"/>
  <c r="H34" i="5863"/>
  <c r="H38" i="5863"/>
  <c r="H42" i="5863"/>
  <c r="H46" i="5863"/>
  <c r="H50" i="5863"/>
  <c r="O22" i="5861" l="1"/>
  <c r="O21" i="5861"/>
  <c r="C29" i="5861"/>
  <c r="B26" i="5861"/>
  <c r="B25" i="5861"/>
  <c r="C20" i="5861"/>
  <c r="B17" i="5861"/>
  <c r="H25" i="5861" s="1"/>
  <c r="C16" i="5861"/>
  <c r="C15" i="5861"/>
  <c r="C14" i="5861"/>
  <c r="C13" i="5861"/>
  <c r="O12" i="5861"/>
  <c r="C12" i="5861"/>
  <c r="O11" i="5861"/>
  <c r="C11" i="5861"/>
  <c r="O10" i="5861"/>
  <c r="C10" i="5861"/>
  <c r="C9" i="5861"/>
  <c r="C8" i="5861"/>
  <c r="O7" i="5861"/>
  <c r="C7" i="5861"/>
  <c r="O6" i="5861"/>
  <c r="B6" i="5861"/>
  <c r="O5" i="5861"/>
  <c r="B5" i="5861"/>
  <c r="O4" i="5861"/>
  <c r="O3" i="5861"/>
  <c r="O2" i="5861"/>
  <c r="O20" i="5859"/>
  <c r="O19" i="5859"/>
  <c r="C29" i="5859"/>
  <c r="B26" i="5859"/>
  <c r="B25" i="5859"/>
  <c r="C20" i="5859"/>
  <c r="B17" i="5859"/>
  <c r="H52" i="5859" s="1"/>
  <c r="C16" i="5859"/>
  <c r="C15" i="5859"/>
  <c r="C14" i="5859"/>
  <c r="C13" i="5859"/>
  <c r="O12" i="5859"/>
  <c r="C12" i="5859"/>
  <c r="O11" i="5859"/>
  <c r="C11" i="5859"/>
  <c r="O10" i="5859"/>
  <c r="C10" i="5859"/>
  <c r="C9" i="5859"/>
  <c r="C8" i="5859"/>
  <c r="O7" i="5859"/>
  <c r="C7" i="5859"/>
  <c r="O6" i="5859"/>
  <c r="B6" i="5859"/>
  <c r="O5" i="5859"/>
  <c r="B5" i="5859"/>
  <c r="O4" i="5859"/>
  <c r="O3" i="5859"/>
  <c r="O2" i="5859"/>
  <c r="O18" i="5855"/>
  <c r="O16" i="5857"/>
  <c r="O17" i="5857"/>
  <c r="C29" i="5857"/>
  <c r="B26" i="5857"/>
  <c r="B25" i="5857"/>
  <c r="C20" i="5857"/>
  <c r="B17" i="5857"/>
  <c r="H50" i="5857" s="1"/>
  <c r="C16" i="5857"/>
  <c r="C15" i="5857"/>
  <c r="C14" i="5857"/>
  <c r="C13" i="5857"/>
  <c r="O12" i="5857"/>
  <c r="C12" i="5857"/>
  <c r="O11" i="5857"/>
  <c r="C11" i="5857"/>
  <c r="O10" i="5857"/>
  <c r="C10" i="5857"/>
  <c r="C9" i="5857"/>
  <c r="C8" i="5857"/>
  <c r="O7" i="5857"/>
  <c r="C7" i="5857"/>
  <c r="O6" i="5857"/>
  <c r="B6" i="5857"/>
  <c r="O5" i="5857"/>
  <c r="B5" i="5857"/>
  <c r="O4" i="5857"/>
  <c r="O3" i="5857"/>
  <c r="O2" i="5857"/>
  <c r="O21" i="5855"/>
  <c r="O23" i="5855"/>
  <c r="C29" i="5855"/>
  <c r="B26" i="5855"/>
  <c r="B25" i="5855"/>
  <c r="C20" i="5855"/>
  <c r="B17" i="5855"/>
  <c r="H51" i="5855" s="1"/>
  <c r="C16" i="5855"/>
  <c r="C15" i="5855"/>
  <c r="C14" i="5855"/>
  <c r="C13" i="5855"/>
  <c r="O12" i="5855"/>
  <c r="C12" i="5855"/>
  <c r="O11" i="5855"/>
  <c r="C11" i="5855"/>
  <c r="O10" i="5855"/>
  <c r="C10" i="5855"/>
  <c r="C9" i="5855"/>
  <c r="C8" i="5855"/>
  <c r="O7" i="5855"/>
  <c r="C7" i="5855"/>
  <c r="O6" i="5855"/>
  <c r="B6" i="5855"/>
  <c r="O5" i="5855"/>
  <c r="B5" i="5855"/>
  <c r="O4" i="5855"/>
  <c r="O3" i="5855"/>
  <c r="O2" i="5855"/>
  <c r="H4" i="5859" l="1"/>
  <c r="H2" i="5861"/>
  <c r="H5" i="5861"/>
  <c r="H3" i="5861"/>
  <c r="H15" i="5855"/>
  <c r="H24" i="5857"/>
  <c r="H6" i="5857"/>
  <c r="H12" i="5861"/>
  <c r="C17" i="5861"/>
  <c r="H28" i="5861"/>
  <c r="H33" i="5861"/>
  <c r="H49" i="5861"/>
  <c r="B24" i="5861"/>
  <c r="H38" i="5861"/>
  <c r="H46" i="5861"/>
  <c r="H52" i="5861"/>
  <c r="H10" i="5861"/>
  <c r="H6" i="5861"/>
  <c r="H11" i="5861"/>
  <c r="H19" i="5861"/>
  <c r="H18" i="5861"/>
  <c r="H17" i="5861"/>
  <c r="H22" i="5861"/>
  <c r="H13" i="5861"/>
  <c r="H32" i="5861"/>
  <c r="H15" i="5861"/>
  <c r="H24" i="5861"/>
  <c r="H39" i="5861"/>
  <c r="H43" i="5861"/>
  <c r="H47" i="5861"/>
  <c r="H51" i="5861"/>
  <c r="H29" i="5861"/>
  <c r="H30" i="5861"/>
  <c r="H31" i="5861"/>
  <c r="H34" i="5861"/>
  <c r="H37" i="5861"/>
  <c r="H41" i="5861"/>
  <c r="H45" i="5861"/>
  <c r="H4" i="5861"/>
  <c r="H9" i="5861"/>
  <c r="H20" i="5861"/>
  <c r="H21" i="5861"/>
  <c r="C19" i="5861"/>
  <c r="H14" i="5861"/>
  <c r="H35" i="5861"/>
  <c r="H42" i="5861"/>
  <c r="H50" i="5861"/>
  <c r="H7" i="5861"/>
  <c r="H26" i="5861"/>
  <c r="H27" i="5861"/>
  <c r="H16" i="5861"/>
  <c r="C18" i="5861"/>
  <c r="B23" i="5861"/>
  <c r="H8" i="5861"/>
  <c r="H23" i="5861"/>
  <c r="H36" i="5861"/>
  <c r="H40" i="5861"/>
  <c r="H44" i="5861"/>
  <c r="H48" i="5861"/>
  <c r="H4" i="5855"/>
  <c r="H7" i="5859"/>
  <c r="H29" i="5859"/>
  <c r="H30" i="5859"/>
  <c r="H16" i="5859"/>
  <c r="C18" i="5859"/>
  <c r="B23" i="5859"/>
  <c r="H22" i="5859"/>
  <c r="H40" i="5859"/>
  <c r="H2" i="5859"/>
  <c r="H12" i="5859"/>
  <c r="H3" i="5859"/>
  <c r="H26" i="5859"/>
  <c r="H21" i="5859"/>
  <c r="H23" i="5859"/>
  <c r="H19" i="5859"/>
  <c r="C17" i="5859"/>
  <c r="H13" i="5859"/>
  <c r="H9" i="5859"/>
  <c r="H28" i="5859"/>
  <c r="H47" i="5859"/>
  <c r="B24" i="5859"/>
  <c r="H43" i="5859"/>
  <c r="H8" i="5859"/>
  <c r="H17" i="5859"/>
  <c r="H10" i="5859"/>
  <c r="H6" i="5859"/>
  <c r="H11" i="5859"/>
  <c r="H24" i="5859"/>
  <c r="H25" i="5859"/>
  <c r="H14" i="5859"/>
  <c r="H39" i="5859"/>
  <c r="H51" i="5859"/>
  <c r="H48" i="5859"/>
  <c r="C19" i="5859"/>
  <c r="H18" i="5859"/>
  <c r="H36" i="5859"/>
  <c r="H44" i="5859"/>
  <c r="H15" i="5859"/>
  <c r="H31" i="5859"/>
  <c r="H32" i="5859"/>
  <c r="H20" i="5859"/>
  <c r="H33" i="5859"/>
  <c r="H27" i="5859"/>
  <c r="H34" i="5859"/>
  <c r="H37" i="5859"/>
  <c r="H41" i="5859"/>
  <c r="H45" i="5859"/>
  <c r="H49" i="5859"/>
  <c r="H5" i="5859"/>
  <c r="H35" i="5859"/>
  <c r="H38" i="5859"/>
  <c r="H42" i="5859"/>
  <c r="H46" i="5859"/>
  <c r="H50" i="5859"/>
  <c r="H13" i="5857"/>
  <c r="H3" i="5857"/>
  <c r="H39" i="5857"/>
  <c r="H23" i="5857"/>
  <c r="B23" i="5857"/>
  <c r="H43" i="5857"/>
  <c r="H8" i="5857"/>
  <c r="H9" i="5857"/>
  <c r="H32" i="5857"/>
  <c r="H47" i="5857"/>
  <c r="C17" i="5857"/>
  <c r="H2" i="5857"/>
  <c r="H22" i="5857"/>
  <c r="C18" i="5857"/>
  <c r="H35" i="5857"/>
  <c r="H51" i="5857"/>
  <c r="H26" i="5857"/>
  <c r="H27" i="5857"/>
  <c r="H29" i="5857"/>
  <c r="H30" i="5857"/>
  <c r="H31" i="5857"/>
  <c r="H21" i="5857"/>
  <c r="H36" i="5857"/>
  <c r="H40" i="5857"/>
  <c r="H44" i="5857"/>
  <c r="H48" i="5857"/>
  <c r="H4" i="5857"/>
  <c r="H7" i="5857"/>
  <c r="H19" i="5857"/>
  <c r="H20" i="5857"/>
  <c r="C19" i="5857"/>
  <c r="H11" i="5857"/>
  <c r="B24" i="5857"/>
  <c r="H33" i="5857"/>
  <c r="H37" i="5857"/>
  <c r="H41" i="5857"/>
  <c r="H45" i="5857"/>
  <c r="H49" i="5857"/>
  <c r="H52" i="5857"/>
  <c r="H12" i="5857"/>
  <c r="H5" i="5857"/>
  <c r="H10" i="5857"/>
  <c r="H18" i="5857"/>
  <c r="H25" i="5857"/>
  <c r="H14" i="5857"/>
  <c r="H28" i="5857"/>
  <c r="H15" i="5857"/>
  <c r="H17" i="5857"/>
  <c r="H16" i="5857"/>
  <c r="H34" i="5857"/>
  <c r="H38" i="5857"/>
  <c r="H42" i="5857"/>
  <c r="H46" i="5857"/>
  <c r="H9" i="5855"/>
  <c r="H3" i="5855"/>
  <c r="H41" i="5855"/>
  <c r="H44" i="5855"/>
  <c r="H7" i="5855"/>
  <c r="H22" i="5855"/>
  <c r="H48" i="5855"/>
  <c r="H11" i="5855"/>
  <c r="H33" i="5855"/>
  <c r="B23" i="5855"/>
  <c r="C17" i="5855"/>
  <c r="H2" i="5855"/>
  <c r="H26" i="5855"/>
  <c r="C18" i="5855"/>
  <c r="H37" i="5855"/>
  <c r="H16" i="5855"/>
  <c r="H34" i="5855"/>
  <c r="H35" i="5855"/>
  <c r="H24" i="5855"/>
  <c r="H29" i="5855"/>
  <c r="H30" i="5855"/>
  <c r="H31" i="5855"/>
  <c r="H38" i="5855"/>
  <c r="H32" i="5855"/>
  <c r="H45" i="5855"/>
  <c r="H49" i="5855"/>
  <c r="H5" i="5855"/>
  <c r="H8" i="5855"/>
  <c r="H20" i="5855"/>
  <c r="H23" i="5855"/>
  <c r="C19" i="5855"/>
  <c r="H13" i="5855"/>
  <c r="B24" i="5855"/>
  <c r="H36" i="5855"/>
  <c r="H39" i="5855"/>
  <c r="H42" i="5855"/>
  <c r="H46" i="5855"/>
  <c r="H50" i="5855"/>
  <c r="H52" i="5855"/>
  <c r="H10" i="5855"/>
  <c r="H6" i="5855"/>
  <c r="H12" i="5855"/>
  <c r="H21" i="5855"/>
  <c r="H19" i="5855"/>
  <c r="H17" i="5855"/>
  <c r="H27" i="5855"/>
  <c r="H14" i="5855"/>
  <c r="H25" i="5855"/>
  <c r="H18" i="5855"/>
  <c r="H28" i="5855"/>
  <c r="H40" i="5855"/>
  <c r="H43" i="5855"/>
  <c r="H47" i="5855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<sst xmlns="http://schemas.openxmlformats.org/spreadsheetml/2006/main" count="2824" uniqueCount="240">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</sst>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全体!$K$2:$K$503</c:f>
              <c:numCache>
                <c:formatCode>General</c:formatCode>
                <c:ptCount val="5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</c:numCache>
            </c:numRef>
          </c:xVal>
          <c:yVal>
            <c:numRef>
              <c:f>全体!$L$2:$L$503</c:f>
              <c:numCache>
                <c:formatCode>\+0.0;\-0.0;\±0</c:formatCode>
                <c:ptCount val="50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9-4D36-9099-E403D23B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-20.080321285140563</c:v>
                </c:pt>
                <c:pt idx="1">
                  <c:v>6.1728395061728394</c:v>
                </c:pt>
                <c:pt idx="2">
                  <c:v>-17.316017316017316</c:v>
                </c:pt>
                <c:pt idx="3">
                  <c:v>13.698630136986301</c:v>
                </c:pt>
                <c:pt idx="4">
                  <c:v>9.8765432098765427</c:v>
                </c:pt>
                <c:pt idx="5">
                  <c:v>14.619883040935672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DCE-A0CC-525D8C6BB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7-4418-B05B-CCC37AE0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1384.7826086956522</c:v>
                </c:pt>
                <c:pt idx="1">
                  <c:v>-1100</c:v>
                </c:pt>
                <c:pt idx="2">
                  <c:v>-1309.3023255813953</c:v>
                </c:pt>
                <c:pt idx="3">
                  <c:v>-1354.7619047619048</c:v>
                </c:pt>
                <c:pt idx="4">
                  <c:v>785.71428571428567</c:v>
                </c:pt>
                <c:pt idx="5">
                  <c:v>-1438.8888888888889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C-49C4-ABA4-49CB0A75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だいち!$L$2:$L$104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BF6-BE4A-0CAA3540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991.08910891089113</c:v>
                </c:pt>
                <c:pt idx="1">
                  <c:v>-13.26530612244898</c:v>
                </c:pt>
                <c:pt idx="2">
                  <c:v>257.89473684210526</c:v>
                </c:pt>
                <c:pt idx="3">
                  <c:v>-308.04597701149424</c:v>
                </c:pt>
                <c:pt idx="4">
                  <c:v>2169.1358024691358</c:v>
                </c:pt>
                <c:pt idx="5">
                  <c:v>3282.0895522388059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7-4DB9-8BF3-6BC52EAF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ただ!$L$2:$L$94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6-4835-A82E-9D7C9EC1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-1731.868131868132</c:v>
                </c:pt>
                <c:pt idx="1">
                  <c:v>1569.6629213483145</c:v>
                </c:pt>
                <c:pt idx="2">
                  <c:v>241.66666666666666</c:v>
                </c:pt>
                <c:pt idx="3">
                  <c:v>2288.6075949367087</c:v>
                </c:pt>
                <c:pt idx="4">
                  <c:v>-350.6849315068493</c:v>
                </c:pt>
                <c:pt idx="5">
                  <c:v>1511.2903225806451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2-42CE-ACDD-FCC053D2E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りくと!$L$2:$L$63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4-49FD-8194-A7971624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-358.33333333333331</c:v>
                </c:pt>
                <c:pt idx="1">
                  <c:v>-550</c:v>
                </c:pt>
                <c:pt idx="2">
                  <c:v>735.08771929824559</c:v>
                </c:pt>
                <c:pt idx="3">
                  <c:v>-1635.7142857142858</c:v>
                </c:pt>
                <c:pt idx="4">
                  <c:v>-3603.7735849056603</c:v>
                </c:pt>
                <c:pt idx="5">
                  <c:v>-1310.6382978723404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81-4A53-935C-B625E91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れんたろう!$L$2:$L$58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E-41EB-A6B5-6D958486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2221.4285714285716</c:v>
                </c:pt>
                <c:pt idx="1">
                  <c:v>-2033.3333333333333</c:v>
                </c:pt>
                <c:pt idx="2">
                  <c:v>2124</c:v>
                </c:pt>
                <c:pt idx="3">
                  <c:v>2935.4166666666665</c:v>
                </c:pt>
                <c:pt idx="4">
                  <c:v>-1022.7272727272727</c:v>
                </c:pt>
                <c:pt idx="5">
                  <c:v>-388.88888888888891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D-4C37-A15E-1593DF1C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まっつん!$L$2:$L$84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496-A1D5-744524F7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671.95121951219517</c:v>
                </c:pt>
                <c:pt idx="1">
                  <c:v>929.11392405063293</c:v>
                </c:pt>
                <c:pt idx="2">
                  <c:v>-958.90410958904113</c:v>
                </c:pt>
                <c:pt idx="3">
                  <c:v>-126.86567164179104</c:v>
                </c:pt>
                <c:pt idx="4">
                  <c:v>-571.18644067796606</c:v>
                </c:pt>
                <c:pt idx="5">
                  <c:v>-1649.0196078431372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7-46D8-8245-64C5EDC0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2-4FCE-AAE1-31201BE31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-2700</c:v>
                </c:pt>
                <c:pt idx="1">
                  <c:v>-170.96774193548387</c:v>
                </c:pt>
                <c:pt idx="2">
                  <c:v>-745.16129032258061</c:v>
                </c:pt>
                <c:pt idx="3">
                  <c:v>-2773.3333333333335</c:v>
                </c:pt>
                <c:pt idx="4">
                  <c:v>-1531.0344827586207</c:v>
                </c:pt>
                <c:pt idx="5">
                  <c:v>-3683.3333333333335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69A-B478-8598742B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45F-9080-52278071B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-2504.5454545454545</c:v>
                </c:pt>
                <c:pt idx="1">
                  <c:v>-354.54545454545456</c:v>
                </c:pt>
                <c:pt idx="2">
                  <c:v>-385.71428571428572</c:v>
                </c:pt>
                <c:pt idx="3">
                  <c:v>-2123.8095238095239</c:v>
                </c:pt>
                <c:pt idx="4">
                  <c:v>5752.6315789473683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3-4E49-88E1-2811263F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B-43B3-86B1-FC4CFD7B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8-4824-906C-812514C8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A-422A-9120-C93635261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E-4E08-8DEE-7214F559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いっしー2!$C$3:$C$5</c:f>
              <c:numCache>
                <c:formatCode>\+0.0;\-0.0;\±0</c:formatCode>
                <c:ptCount val="3"/>
                <c:pt idx="1">
                  <c:v>27.8</c:v>
                </c:pt>
                <c:pt idx="2">
                  <c:v>13.1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509493841438326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いっしー2!$D$3:$D$5</c:f>
              <c:numCache>
                <c:formatCode>0.00\ "位"</c:formatCode>
                <c:ptCount val="3"/>
                <c:pt idx="1">
                  <c:v>1</c:v>
                </c:pt>
                <c:pt idx="2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いっしー2!$E$3:$E$5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いっしー2!$F$3:$F$5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いっしー2!$G$3:$G$5</c:f>
              <c:numCache>
                <c:formatCode>0.0%</c:formatCode>
                <c:ptCount val="3"/>
                <c:pt idx="1">
                  <c:v>0.5</c:v>
                </c:pt>
                <c:pt idx="2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853294853294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いっしー2!$H$3:$H$5</c:f>
              <c:numCache>
                <c:formatCode>0.0%</c:formatCode>
                <c:ptCount val="3"/>
                <c:pt idx="1">
                  <c:v>0</c:v>
                </c:pt>
                <c:pt idx="2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540163540163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いっしー2!$I$3:$I$5</c:f>
              <c:numCache>
                <c:formatCode>0</c:formatCode>
                <c:ptCount val="3"/>
                <c:pt idx="1">
                  <c:v>7950</c:v>
                </c:pt>
                <c:pt idx="2">
                  <c:v>7385.7142857142853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01.87601957585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いっしー2!$J$3:$J$5</c:f>
              <c:numCache>
                <c:formatCode>0</c:formatCode>
                <c:ptCount val="3"/>
                <c:pt idx="1">
                  <c:v>0</c:v>
                </c:pt>
                <c:pt idx="2">
                  <c:v>-8000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53.52941176470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81237524950099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81237524950099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いっしー2!$M$3:$M$5</c:f>
              <c:numCache>
                <c:formatCode>0.0%</c:formatCode>
                <c:ptCount val="3"/>
                <c:pt idx="1">
                  <c:v>0</c:v>
                </c:pt>
                <c:pt idx="2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1563251563251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いっしー2!$N$3:$N$5</c:f>
              <c:numCache>
                <c:formatCode>0.0%</c:formatCode>
                <c:ptCount val="3"/>
                <c:pt idx="1">
                  <c:v>0.5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3285233285233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いっしー2!$O$3:$O$5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1185468451242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いっしー2!$P$3:$P$5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0309278350515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いっしー2!$Q$3:$Q$5</c:f>
              <c:numCache>
                <c:formatCode>0.0%</c:formatCode>
                <c:ptCount val="3"/>
                <c:pt idx="1">
                  <c:v>0</c:v>
                </c:pt>
                <c:pt idx="2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641109298531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4CF7F3E-F8C7-41B9-8941-3C12C23313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5114B5-77FD-4D65-B7BB-D01AB4CB97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3710B10-59E8-4C72-95DE-A56CF57C38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5D6041B-776F-4B18-9467-123764C45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98C0C51-B356-4B6C-89D3-FCDF828D7C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D1F1056-B4B8-4154-AAF8-E88C3CA091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97995E-AEE4-4FCA-BDD9-531DAF0F32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A15E097-87BC-457C-9C36-438312A36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656BC94-1C82-463B-BAE3-D9C3325B07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579750A-E058-4F99-8700-1DF8ACF508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EDD0018-3F75-45F9-8449-158596FDE7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D2C104D-0870-4134-AAF4-23A2166C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90CEF2-C4E3-400B-88A2-3FB6EFBE28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0779BB2-4FD4-463F-98B2-D8B963F42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422A57-B155-4961-981C-7FD090DD1F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924CC55-6373-4EB8-A976-EEF14EE7A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BA6F762-12A4-4A91-A7CE-387B0B68E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D621D9B-3C48-4F55-81B2-5E74B3E0D1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DEAE33F-233C-467A-B672-985E80E098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8EC6E33-7A1C-4DF4-B751-50C1A94EAA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887410-7070-472C-B7B2-61836744ED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BA721A8-FFDD-4A60-9056-EFF7087B7B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48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43735.329375000001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43735.329293981478</v>
      </c>
      <c r="C3" s="28" t="s">
        <v>128</v>
      </c>
    </row>
    <row r="4" spans="1:12" x14ac:dyDescent="0.4">
      <c r="A4" s="28" t="s">
        <v>180</v>
      </c>
      <c r="B4" s="29">
        <v>43735.329201388886</v>
      </c>
      <c r="C4" s="28" t="s">
        <v>128</v>
      </c>
    </row>
    <row r="5" spans="1:12" x14ac:dyDescent="0.4">
      <c r="A5" s="28" t="s">
        <v>183</v>
      </c>
      <c r="B5" s="29">
        <v>43737.872604166667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43737.872604166667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43737.873645833337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43739.760312500002</v>
      </c>
      <c r="C8" s="28" t="s">
        <v>128</v>
      </c>
    </row>
    <row r="9" spans="1:12" x14ac:dyDescent="0.4">
      <c r="A9" s="28" t="s">
        <v>194</v>
      </c>
      <c r="B9" s="29">
        <v>43739.760069444441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43742.090381944443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43742.090381944443</v>
      </c>
      <c r="C11" s="28" t="s">
        <v>128</v>
      </c>
    </row>
    <row r="12" spans="1:12" x14ac:dyDescent="0.4">
      <c r="A12" s="28" t="s">
        <v>199</v>
      </c>
      <c r="B12" s="29">
        <v>43742.090381944443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43742.090381944443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43745.602835648147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43745.024594907409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43745.602847222224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43745.602847222224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43745.024594907409</v>
      </c>
      <c r="C18" s="28" t="s">
        <v>128</v>
      </c>
    </row>
    <row r="19" spans="1:12" x14ac:dyDescent="0.4">
      <c r="A19" s="28" t="s">
        <v>206</v>
      </c>
      <c r="B19" s="29">
        <v>43748.026620370372</v>
      </c>
      <c r="C19" s="28" t="s">
        <v>128</v>
      </c>
    </row>
    <row r="20" spans="1:12" x14ac:dyDescent="0.4">
      <c r="A20" s="28" t="s">
        <v>207</v>
      </c>
      <c r="B20" s="29">
        <v>43748.026620370372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43748.026620370372</v>
      </c>
      <c r="C21" s="28" t="s">
        <v>128</v>
      </c>
    </row>
    <row r="22" spans="1:12" x14ac:dyDescent="0.4">
      <c r="A22" s="28" t="s">
        <v>209</v>
      </c>
      <c r="B22" s="29">
        <v>43748.026620370372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43748.026620370372</v>
      </c>
      <c r="C23" s="28" t="s">
        <v>128</v>
      </c>
    </row>
    <row r="24" spans="1:12" x14ac:dyDescent="0.4">
      <c r="A24" s="28" t="s">
        <v>211</v>
      </c>
      <c r="B24" s="29">
        <v>43751.127928240741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43751.127928240741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43752.484606481485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43753.081296296295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43755.626284722224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43755.626284722224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43756.406157407408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43758.084374999999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43758.955601851849</v>
      </c>
      <c r="C32" s="28" t="s">
        <v>128</v>
      </c>
      <c r="D32" s="28" t="s">
        <v>129</v>
      </c>
      <c r="E32" s="28" t="s">
        <v>184</v>
      </c>
    </row>
    <row r="33" spans="1:8" x14ac:dyDescent="0.4">
      <c r="A33" s="28" t="s">
        <v>224</v>
      </c>
      <c r="B33" s="29">
        <v>43758.955601851849</v>
      </c>
      <c r="C33" s="28" t="s">
        <v>128</v>
      </c>
      <c r="D33" s="28" t="s">
        <v>129</v>
      </c>
      <c r="E33" s="28" t="s">
        <v>184</v>
      </c>
    </row>
    <row r="34" spans="1:8" x14ac:dyDescent="0.4">
      <c r="A34" s="28" t="s">
        <v>225</v>
      </c>
      <c r="B34" s="29">
        <v>43763.053819444445</v>
      </c>
      <c r="C34" s="28" t="s">
        <v>128</v>
      </c>
      <c r="D34" s="28" t="s">
        <v>129</v>
      </c>
      <c r="E34" s="28" t="s">
        <v>184</v>
      </c>
    </row>
    <row r="35" spans="1:8" x14ac:dyDescent="0.4">
      <c r="A35" s="28" t="s">
        <v>226</v>
      </c>
      <c r="B35" s="29">
        <v>43763.053819444445</v>
      </c>
      <c r="C35" s="28" t="s">
        <v>128</v>
      </c>
      <c r="D35" s="28" t="s">
        <v>129</v>
      </c>
      <c r="E35" s="28" t="s">
        <v>184</v>
      </c>
    </row>
    <row r="36" spans="1:8" x14ac:dyDescent="0.4">
      <c r="A36" s="28" t="s">
        <v>227</v>
      </c>
      <c r="B36" s="29">
        <v>43763.053819444445</v>
      </c>
      <c r="C36" s="28" t="s">
        <v>128</v>
      </c>
      <c r="D36" s="28" t="s">
        <v>129</v>
      </c>
    </row>
    <row r="37" spans="1:8" x14ac:dyDescent="0.4">
      <c r="A37" s="28" t="s">
        <v>228</v>
      </c>
      <c r="B37" s="29">
        <v>43763.053819444445</v>
      </c>
      <c r="C37" s="28" t="s">
        <v>128</v>
      </c>
      <c r="D37" s="28" t="s">
        <v>129</v>
      </c>
      <c r="E37" s="28" t="s">
        <v>184</v>
      </c>
    </row>
    <row r="38" spans="1:8" x14ac:dyDescent="0.4">
      <c r="A38" s="28" t="s">
        <v>229</v>
      </c>
      <c r="B38" s="29">
        <v>43764.184340277781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8" x14ac:dyDescent="0.4">
      <c r="A39" s="28" t="s">
        <v>230</v>
      </c>
      <c r="B39" s="29">
        <v>43765.985891203702</v>
      </c>
      <c r="C39" s="28" t="s">
        <v>128</v>
      </c>
      <c r="D39" s="28" t="s">
        <v>129</v>
      </c>
      <c r="E39" s="28" t="s">
        <v>184</v>
      </c>
    </row>
    <row r="40" spans="1:8" x14ac:dyDescent="0.4">
      <c r="A40" s="28" t="s">
        <v>231</v>
      </c>
      <c r="B40" s="29">
        <v>43765.985891203702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8" x14ac:dyDescent="0.4">
      <c r="A41" s="28" t="s">
        <v>232</v>
      </c>
      <c r="B41" s="29">
        <v>43771.434791666667</v>
      </c>
      <c r="C41" s="28" t="s">
        <v>128</v>
      </c>
    </row>
    <row r="42" spans="1:8" x14ac:dyDescent="0.4">
      <c r="A42" s="28" t="s">
        <v>233</v>
      </c>
      <c r="B42" s="29">
        <v>43771.434791666667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8" x14ac:dyDescent="0.4">
      <c r="A43" s="28" t="s">
        <v>234</v>
      </c>
      <c r="B43" s="29">
        <v>43771.434791666667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8" x14ac:dyDescent="0.4">
      <c r="A44" s="28" t="s">
        <v>235</v>
      </c>
      <c r="B44" s="29">
        <v>43771.434791666667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8" x14ac:dyDescent="0.4">
      <c r="A45" s="28" t="s">
        <v>236</v>
      </c>
      <c r="B45" s="29">
        <v>43771.434791666667</v>
      </c>
      <c r="C45" s="28" t="s">
        <v>128</v>
      </c>
      <c r="D45" s="28" t="s">
        <v>129</v>
      </c>
    </row>
    <row r="46" spans="1:8" x14ac:dyDescent="0.4">
      <c r="A46" s="28" t="s">
        <v>238</v>
      </c>
      <c r="B46" s="29">
        <v>43771.434791666667</v>
      </c>
      <c r="C46" s="28" t="s">
        <v>128</v>
      </c>
      <c r="D46" s="28" t="s">
        <v>129</v>
      </c>
    </row>
    <row r="47" spans="1:8" x14ac:dyDescent="0.4">
      <c r="A47" s="28" t="s">
        <v>237</v>
      </c>
      <c r="B47" s="29">
        <v>43771.434791666667</v>
      </c>
      <c r="C47" s="28" t="s">
        <v>128</v>
      </c>
    </row>
    <row r="48" spans="1:8" x14ac:dyDescent="0.4">
      <c r="A48" s="28" t="s">
        <v>239</v>
      </c>
      <c r="B48" s="29">
        <v>43771.434791666667</v>
      </c>
      <c r="C48" s="28" t="s">
        <v>128</v>
      </c>
      <c r="D48" s="28" t="s">
        <v>129</v>
      </c>
      <c r="E48" s="28" t="s">
        <v>184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501</v>
      </c>
    </row>
    <row r="2" spans="1:2" x14ac:dyDescent="0.4">
      <c r="A2" t="s">
        <v>166</v>
      </c>
      <c r="B2">
        <v>46</v>
      </c>
    </row>
    <row r="3" spans="1:2" x14ac:dyDescent="0.4">
      <c r="A3" t="s">
        <v>126</v>
      </c>
      <c r="B3">
        <v>102</v>
      </c>
    </row>
    <row r="4" spans="1:2" x14ac:dyDescent="0.4">
      <c r="A4" t="s">
        <v>127</v>
      </c>
      <c r="B4">
        <v>92</v>
      </c>
    </row>
    <row r="5" spans="1:2" x14ac:dyDescent="0.4">
      <c r="A5" t="s">
        <v>179</v>
      </c>
      <c r="B5">
        <v>61</v>
      </c>
    </row>
    <row r="6" spans="1:2" x14ac:dyDescent="0.4">
      <c r="A6" t="s">
        <v>177</v>
      </c>
      <c r="B6">
        <v>56</v>
      </c>
    </row>
    <row r="7" spans="1:2" x14ac:dyDescent="0.4">
      <c r="A7" t="s">
        <v>178</v>
      </c>
      <c r="B7">
        <v>82</v>
      </c>
    </row>
    <row r="8" spans="1:2" x14ac:dyDescent="0.4">
      <c r="A8" t="s">
        <v>182</v>
      </c>
      <c r="B8">
        <v>31</v>
      </c>
    </row>
    <row r="9" spans="1:2" x14ac:dyDescent="0.4">
      <c r="A9" t="s">
        <v>181</v>
      </c>
      <c r="B9">
        <v>22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6" t="s">
        <v>6</v>
      </c>
      <c r="C1" s="157"/>
      <c r="D1" s="156" t="s">
        <v>7</v>
      </c>
      <c r="E1" s="157"/>
      <c r="F1" s="156" t="s">
        <v>15</v>
      </c>
      <c r="G1" s="157"/>
      <c r="H1" s="156" t="s">
        <v>14</v>
      </c>
      <c r="I1" s="157"/>
      <c r="J1" s="156" t="s">
        <v>160</v>
      </c>
      <c r="K1" s="157"/>
      <c r="L1" s="156" t="s">
        <v>147</v>
      </c>
      <c r="M1" s="157"/>
      <c r="N1" s="156" t="s">
        <v>148</v>
      </c>
      <c r="O1" s="157"/>
      <c r="P1" s="156" t="s">
        <v>5</v>
      </c>
      <c r="Q1" s="157"/>
      <c r="R1" s="156" t="s">
        <v>16</v>
      </c>
      <c r="S1" s="157"/>
      <c r="T1" s="156" t="s">
        <v>17</v>
      </c>
      <c r="U1" s="157"/>
      <c r="V1" s="156" t="s">
        <v>139</v>
      </c>
      <c r="W1" s="157"/>
      <c r="X1" s="156" t="s">
        <v>122</v>
      </c>
      <c r="Y1" s="157"/>
      <c r="Z1" s="156" t="s">
        <v>119</v>
      </c>
      <c r="AA1" s="157"/>
      <c r="AB1" s="156" t="s">
        <v>125</v>
      </c>
      <c r="AC1" s="157"/>
      <c r="AD1" s="156" t="s">
        <v>149</v>
      </c>
      <c r="AE1" s="157"/>
      <c r="AF1" s="156" t="s">
        <v>142</v>
      </c>
      <c r="AG1" s="157"/>
      <c r="AH1" s="156" t="s">
        <v>151</v>
      </c>
      <c r="AI1" s="157"/>
    </row>
    <row r="2" spans="1:35" x14ac:dyDescent="0.4">
      <c r="A2" s="68" t="s">
        <v>159</v>
      </c>
      <c r="B2" s="158"/>
      <c r="C2" s="159"/>
      <c r="D2" s="158"/>
      <c r="E2" s="159"/>
      <c r="F2" s="160">
        <v>0.99147973947587276</v>
      </c>
      <c r="G2" s="161"/>
      <c r="H2" s="160">
        <v>0.92270258325506405</v>
      </c>
      <c r="I2" s="161"/>
      <c r="J2" s="160">
        <v>0.92639595094012495</v>
      </c>
      <c r="K2" s="161"/>
      <c r="L2" s="160">
        <v>0.90642695370423521</v>
      </c>
      <c r="M2" s="161"/>
      <c r="N2" s="160">
        <v>0.5155390151355792</v>
      </c>
      <c r="O2" s="161"/>
      <c r="P2" s="160">
        <v>0.3702766458244392</v>
      </c>
      <c r="Q2" s="161"/>
      <c r="R2" s="160">
        <v>-3.1076443206454737E-2</v>
      </c>
      <c r="S2" s="161"/>
      <c r="T2" s="160">
        <v>0.42606071717597016</v>
      </c>
      <c r="U2" s="161"/>
      <c r="V2" s="160">
        <v>0.77688353385635711</v>
      </c>
      <c r="W2" s="161"/>
      <c r="X2" s="160">
        <v>0.48831125163093192</v>
      </c>
      <c r="Y2" s="161"/>
      <c r="Z2" s="160">
        <v>0.13797839219583385</v>
      </c>
      <c r="AA2" s="161"/>
      <c r="AB2" s="160">
        <v>9.9970644822766255E-2</v>
      </c>
      <c r="AC2" s="161"/>
      <c r="AD2" s="160">
        <v>0.51348340909649615</v>
      </c>
      <c r="AE2" s="161"/>
      <c r="AF2" s="160">
        <v>-0.21438560951563343</v>
      </c>
      <c r="AG2" s="161"/>
      <c r="AH2" s="160">
        <v>0.50825036334966567</v>
      </c>
      <c r="AI2" s="161"/>
    </row>
    <row r="3" spans="1:35" x14ac:dyDescent="0.4">
      <c r="A3" s="70">
        <v>1</v>
      </c>
      <c r="B3" s="71" t="s">
        <v>126</v>
      </c>
      <c r="C3" s="72">
        <v>767.39999999999986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10390.839694656488</v>
      </c>
      <c r="R3" s="73" t="s">
        <v>166</v>
      </c>
      <c r="S3" s="77">
        <v>-6755.1724137931033</v>
      </c>
      <c r="T3" s="73" t="s">
        <v>222</v>
      </c>
      <c r="U3" s="75">
        <v>0</v>
      </c>
      <c r="V3" s="73" t="s">
        <v>177</v>
      </c>
      <c r="W3" s="75">
        <v>0.19642857142857142</v>
      </c>
      <c r="X3" s="73" t="s">
        <v>177</v>
      </c>
      <c r="Y3" s="76">
        <v>0.32</v>
      </c>
      <c r="Z3" s="73" t="s">
        <v>195</v>
      </c>
      <c r="AA3" s="76">
        <v>0.35483870967741937</v>
      </c>
      <c r="AB3" s="73" t="s">
        <v>181</v>
      </c>
      <c r="AC3" s="76">
        <v>0.61111111111111116</v>
      </c>
      <c r="AD3" s="73" t="s">
        <v>222</v>
      </c>
      <c r="AE3" s="76">
        <v>1</v>
      </c>
      <c r="AF3" s="73" t="s">
        <v>181</v>
      </c>
      <c r="AG3" s="76">
        <v>0.54385964912280704</v>
      </c>
      <c r="AH3" s="73" t="s">
        <v>177</v>
      </c>
      <c r="AI3" s="87">
        <v>103600</v>
      </c>
    </row>
    <row r="4" spans="1:35" x14ac:dyDescent="0.4">
      <c r="A4" s="78">
        <v>2</v>
      </c>
      <c r="B4" s="79" t="s">
        <v>127</v>
      </c>
      <c r="C4" s="80">
        <v>267.79999999999978</v>
      </c>
      <c r="D4" s="81" t="s">
        <v>126</v>
      </c>
      <c r="E4" s="93">
        <v>7.5235294117647049</v>
      </c>
      <c r="F4" s="81" t="s">
        <v>126</v>
      </c>
      <c r="G4" s="82">
        <v>1.7647058823529411</v>
      </c>
      <c r="H4" s="81" t="s">
        <v>126</v>
      </c>
      <c r="I4" s="83">
        <v>0.48039215686274511</v>
      </c>
      <c r="J4" s="81" t="s">
        <v>126</v>
      </c>
      <c r="K4" s="83">
        <v>0.24509803921568626</v>
      </c>
      <c r="L4" s="81" t="s">
        <v>126</v>
      </c>
      <c r="M4" s="84">
        <v>0.33780487804878051</v>
      </c>
      <c r="N4" s="81" t="s">
        <v>126</v>
      </c>
      <c r="O4" s="84">
        <v>0.13170731707317074</v>
      </c>
      <c r="P4" s="81" t="s">
        <v>127</v>
      </c>
      <c r="Q4" s="85">
        <v>8595.5102040816328</v>
      </c>
      <c r="R4" s="81" t="s">
        <v>181</v>
      </c>
      <c r="S4" s="85">
        <v>-7151.6129032258068</v>
      </c>
      <c r="T4" s="81" t="s">
        <v>166</v>
      </c>
      <c r="U4" s="83">
        <v>2.1739130434782608E-2</v>
      </c>
      <c r="V4" s="81" t="s">
        <v>195</v>
      </c>
      <c r="W4" s="83">
        <v>0.14285714285714285</v>
      </c>
      <c r="X4" s="81" t="s">
        <v>179</v>
      </c>
      <c r="Y4" s="84">
        <v>0.28488372093023256</v>
      </c>
      <c r="Z4" s="81" t="s">
        <v>222</v>
      </c>
      <c r="AA4" s="84">
        <v>0.33333333333333331</v>
      </c>
      <c r="AB4" s="81" t="s">
        <v>126</v>
      </c>
      <c r="AC4" s="84">
        <v>0.5982142857142857</v>
      </c>
      <c r="AD4" s="81" t="s">
        <v>126</v>
      </c>
      <c r="AE4" s="84">
        <v>0.48108108108108111</v>
      </c>
      <c r="AF4" s="81" t="s">
        <v>177</v>
      </c>
      <c r="AG4" s="84">
        <v>0.49618320610687022</v>
      </c>
      <c r="AH4" s="81" t="s">
        <v>143</v>
      </c>
      <c r="AI4" s="88">
        <v>103600</v>
      </c>
    </row>
    <row r="5" spans="1:35" x14ac:dyDescent="0.4">
      <c r="A5" s="78">
        <v>3</v>
      </c>
      <c r="B5" s="79" t="s">
        <v>177</v>
      </c>
      <c r="C5" s="80">
        <v>246.70000000000007</v>
      </c>
      <c r="D5" s="81" t="s">
        <v>177</v>
      </c>
      <c r="E5" s="93">
        <v>4.4053571428571443</v>
      </c>
      <c r="F5" s="81" t="s">
        <v>177</v>
      </c>
      <c r="G5" s="82">
        <v>1.9107142857142858</v>
      </c>
      <c r="H5" s="81" t="s">
        <v>195</v>
      </c>
      <c r="I5" s="83">
        <v>0.42857142857142855</v>
      </c>
      <c r="J5" s="81" t="s">
        <v>178</v>
      </c>
      <c r="K5" s="83">
        <v>0.29268292682926828</v>
      </c>
      <c r="L5" s="81" t="s">
        <v>127</v>
      </c>
      <c r="M5" s="84">
        <v>0.31170483460559795</v>
      </c>
      <c r="N5" s="81" t="s">
        <v>178</v>
      </c>
      <c r="O5" s="84">
        <v>0.13608562691131498</v>
      </c>
      <c r="P5" s="81" t="s">
        <v>178</v>
      </c>
      <c r="Q5" s="85">
        <v>8345.405405405405</v>
      </c>
      <c r="R5" s="81" t="s">
        <v>179</v>
      </c>
      <c r="S5" s="85">
        <v>-7655.0458715596333</v>
      </c>
      <c r="T5" s="81" t="s">
        <v>126</v>
      </c>
      <c r="U5" s="83">
        <v>4.9019607843137254E-2</v>
      </c>
      <c r="V5" s="81" t="s">
        <v>126</v>
      </c>
      <c r="W5" s="83">
        <v>0.11764705882352941</v>
      </c>
      <c r="X5" s="81" t="s">
        <v>126</v>
      </c>
      <c r="Y5" s="84">
        <v>0.27317073170731709</v>
      </c>
      <c r="Z5" s="81" t="s">
        <v>127</v>
      </c>
      <c r="AA5" s="84">
        <v>0.30916030534351147</v>
      </c>
      <c r="AB5" s="81" t="s">
        <v>179</v>
      </c>
      <c r="AC5" s="84">
        <v>0.59183673469387754</v>
      </c>
      <c r="AD5" s="81" t="s">
        <v>177</v>
      </c>
      <c r="AE5" s="84">
        <v>0.45121951219512196</v>
      </c>
      <c r="AF5" s="81" t="s">
        <v>182</v>
      </c>
      <c r="AG5" s="84">
        <v>0.48275862068965519</v>
      </c>
      <c r="AH5" s="81" t="s">
        <v>181</v>
      </c>
      <c r="AI5" s="88">
        <v>95200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127</v>
      </c>
      <c r="E6" s="93">
        <v>2.9108695652173888</v>
      </c>
      <c r="F6" s="81" t="s">
        <v>127</v>
      </c>
      <c r="G6" s="82">
        <v>1.923913043478261</v>
      </c>
      <c r="H6" s="81" t="s">
        <v>177</v>
      </c>
      <c r="I6" s="83">
        <v>0.4107142857142857</v>
      </c>
      <c r="J6" s="81" t="s">
        <v>127</v>
      </c>
      <c r="K6" s="83">
        <v>0.30434782608695654</v>
      </c>
      <c r="L6" s="81" t="s">
        <v>143</v>
      </c>
      <c r="M6" s="84">
        <v>0.29485329485329487</v>
      </c>
      <c r="N6" s="81" t="s">
        <v>166</v>
      </c>
      <c r="O6" s="84">
        <v>0.14463840399002495</v>
      </c>
      <c r="P6" s="81" t="s">
        <v>143</v>
      </c>
      <c r="Q6" s="85">
        <v>8301.8760195758568</v>
      </c>
      <c r="R6" s="81" t="s">
        <v>127</v>
      </c>
      <c r="S6" s="85">
        <v>-7720.394736842105</v>
      </c>
      <c r="T6" s="81" t="s">
        <v>179</v>
      </c>
      <c r="U6" s="83">
        <v>8.1967213114754092E-2</v>
      </c>
      <c r="V6" s="81" t="s">
        <v>127</v>
      </c>
      <c r="W6" s="83">
        <v>0.10869565217391304</v>
      </c>
      <c r="X6" s="81" t="s">
        <v>222</v>
      </c>
      <c r="Y6" s="84">
        <v>0.26666666666666666</v>
      </c>
      <c r="Z6" s="81" t="s">
        <v>178</v>
      </c>
      <c r="AA6" s="84">
        <v>0.23547400611620795</v>
      </c>
      <c r="AB6" s="81" t="s">
        <v>178</v>
      </c>
      <c r="AC6" s="84">
        <v>0.5696969696969697</v>
      </c>
      <c r="AD6" s="81" t="s">
        <v>143</v>
      </c>
      <c r="AE6" s="84">
        <v>0.41030927835051545</v>
      </c>
      <c r="AF6" s="81" t="s">
        <v>179</v>
      </c>
      <c r="AG6" s="84">
        <v>0.4513888888888889</v>
      </c>
      <c r="AH6" s="81" t="s">
        <v>127</v>
      </c>
      <c r="AI6" s="88">
        <v>91800</v>
      </c>
    </row>
    <row r="7" spans="1:35" x14ac:dyDescent="0.4">
      <c r="A7" s="78">
        <v>5</v>
      </c>
      <c r="B7" s="79" t="s">
        <v>143</v>
      </c>
      <c r="C7" s="80">
        <v>-4.2632564145606011E-14</v>
      </c>
      <c r="D7" s="81" t="s">
        <v>143</v>
      </c>
      <c r="E7" s="93">
        <v>-8.5094938414383261E-17</v>
      </c>
      <c r="F7" s="81" t="s">
        <v>181</v>
      </c>
      <c r="G7" s="82">
        <v>2</v>
      </c>
      <c r="H7" s="81" t="s">
        <v>127</v>
      </c>
      <c r="I7" s="83">
        <v>0.38043478260869568</v>
      </c>
      <c r="J7" s="81" t="s">
        <v>177</v>
      </c>
      <c r="K7" s="83">
        <v>0.32142857142857145</v>
      </c>
      <c r="L7" s="81" t="s">
        <v>177</v>
      </c>
      <c r="M7" s="84">
        <v>0.2911111111111111</v>
      </c>
      <c r="N7" s="81" t="s">
        <v>181</v>
      </c>
      <c r="O7" s="84">
        <v>0.15196078431372548</v>
      </c>
      <c r="P7" s="81" t="s">
        <v>181</v>
      </c>
      <c r="Q7" s="85">
        <v>8115.7894736842109</v>
      </c>
      <c r="R7" s="81" t="s">
        <v>143</v>
      </c>
      <c r="S7" s="85">
        <v>-7753.5294117647063</v>
      </c>
      <c r="T7" s="81" t="s">
        <v>178</v>
      </c>
      <c r="U7" s="83">
        <v>8.5365853658536592E-2</v>
      </c>
      <c r="V7" s="81" t="s">
        <v>143</v>
      </c>
      <c r="W7" s="83">
        <v>9.3812375249500993E-2</v>
      </c>
      <c r="X7" s="81" t="s">
        <v>181</v>
      </c>
      <c r="Y7" s="84">
        <v>0.26470588235294118</v>
      </c>
      <c r="Z7" s="81" t="s">
        <v>166</v>
      </c>
      <c r="AA7" s="84">
        <v>0.23441396508728179</v>
      </c>
      <c r="AB7" s="81" t="s">
        <v>143</v>
      </c>
      <c r="AC7" s="84">
        <v>0.56118546845124284</v>
      </c>
      <c r="AD7" s="81" t="s">
        <v>178</v>
      </c>
      <c r="AE7" s="84">
        <v>0.40909090909090912</v>
      </c>
      <c r="AF7" s="81" t="s">
        <v>178</v>
      </c>
      <c r="AG7" s="84">
        <v>0.44864864864864867</v>
      </c>
      <c r="AH7" s="81" t="s">
        <v>166</v>
      </c>
      <c r="AI7" s="88">
        <v>86900</v>
      </c>
    </row>
    <row r="8" spans="1:35" x14ac:dyDescent="0.4">
      <c r="A8" s="78">
        <v>6</v>
      </c>
      <c r="B8" s="79" t="s">
        <v>181</v>
      </c>
      <c r="C8" s="80">
        <v>-13.5</v>
      </c>
      <c r="D8" s="81" t="s">
        <v>181</v>
      </c>
      <c r="E8" s="93">
        <v>-0.61363636363636365</v>
      </c>
      <c r="F8" s="81" t="s">
        <v>143</v>
      </c>
      <c r="G8" s="82">
        <v>2</v>
      </c>
      <c r="H8" s="81" t="s">
        <v>181</v>
      </c>
      <c r="I8" s="83">
        <v>0.36363636363636365</v>
      </c>
      <c r="J8" s="81" t="s">
        <v>143</v>
      </c>
      <c r="K8" s="83">
        <v>0.33333333333333331</v>
      </c>
      <c r="L8" s="81" t="s">
        <v>178</v>
      </c>
      <c r="M8" s="84">
        <v>0.28287461773700306</v>
      </c>
      <c r="N8" s="81" t="s">
        <v>177</v>
      </c>
      <c r="O8" s="84">
        <v>0.16222222222222221</v>
      </c>
      <c r="P8" s="81" t="s">
        <v>179</v>
      </c>
      <c r="Q8" s="85">
        <v>8055.5555555555557</v>
      </c>
      <c r="R8" s="81" t="s">
        <v>126</v>
      </c>
      <c r="S8" s="85">
        <v>-7821.2962962962965</v>
      </c>
      <c r="T8" s="81" t="s">
        <v>177</v>
      </c>
      <c r="U8" s="83">
        <v>8.9285714285714288E-2</v>
      </c>
      <c r="V8" s="81" t="s">
        <v>181</v>
      </c>
      <c r="W8" s="83">
        <v>9.0909090909090912E-2</v>
      </c>
      <c r="X8" s="81" t="s">
        <v>178</v>
      </c>
      <c r="Y8" s="84">
        <v>0.25229357798165136</v>
      </c>
      <c r="Z8" s="81" t="s">
        <v>143</v>
      </c>
      <c r="AA8" s="84">
        <v>0.23328523328523329</v>
      </c>
      <c r="AB8" s="81" t="s">
        <v>182</v>
      </c>
      <c r="AC8" s="84">
        <v>0.54166666666666663</v>
      </c>
      <c r="AD8" s="81" t="s">
        <v>182</v>
      </c>
      <c r="AE8" s="84">
        <v>0.4</v>
      </c>
      <c r="AF8" s="81" t="s">
        <v>143</v>
      </c>
      <c r="AG8" s="84">
        <v>0.43964110929853178</v>
      </c>
      <c r="AH8" s="81" t="s">
        <v>178</v>
      </c>
      <c r="AI8" s="88">
        <v>86500</v>
      </c>
    </row>
    <row r="9" spans="1:35" x14ac:dyDescent="0.4">
      <c r="A9" s="78">
        <v>7</v>
      </c>
      <c r="B9" s="79" t="s">
        <v>195</v>
      </c>
      <c r="C9" s="80">
        <v>-104.80000000000001</v>
      </c>
      <c r="D9" s="81" t="s">
        <v>178</v>
      </c>
      <c r="E9" s="93">
        <v>-1.4292682926829268</v>
      </c>
      <c r="F9" s="81" t="s">
        <v>166</v>
      </c>
      <c r="G9" s="82">
        <v>2.0652173913043477</v>
      </c>
      <c r="H9" s="81" t="s">
        <v>166</v>
      </c>
      <c r="I9" s="83">
        <v>0.34782608695652173</v>
      </c>
      <c r="J9" s="81" t="s">
        <v>181</v>
      </c>
      <c r="K9" s="83">
        <v>0.36363636363636365</v>
      </c>
      <c r="L9" s="81" t="s">
        <v>181</v>
      </c>
      <c r="M9" s="84">
        <v>0.27941176470588236</v>
      </c>
      <c r="N9" s="81" t="s">
        <v>143</v>
      </c>
      <c r="O9" s="84">
        <v>0.16354016354016354</v>
      </c>
      <c r="P9" s="81" t="s">
        <v>182</v>
      </c>
      <c r="Q9" s="85">
        <v>7901.7241379310344</v>
      </c>
      <c r="R9" s="81" t="s">
        <v>178</v>
      </c>
      <c r="S9" s="85">
        <v>-7967.4157303370785</v>
      </c>
      <c r="T9" s="81" t="s">
        <v>181</v>
      </c>
      <c r="U9" s="83">
        <v>9.0909090909090912E-2</v>
      </c>
      <c r="V9" s="81" t="s">
        <v>178</v>
      </c>
      <c r="W9" s="83">
        <v>7.3170731707317069E-2</v>
      </c>
      <c r="X9" s="81" t="s">
        <v>143</v>
      </c>
      <c r="Y9" s="84">
        <v>0.25156325156325154</v>
      </c>
      <c r="Z9" s="81" t="s">
        <v>126</v>
      </c>
      <c r="AA9" s="84">
        <v>0.22560975609756098</v>
      </c>
      <c r="AB9" s="81" t="s">
        <v>177</v>
      </c>
      <c r="AC9" s="84">
        <v>0.53472222222222221</v>
      </c>
      <c r="AD9" s="81" t="s">
        <v>179</v>
      </c>
      <c r="AE9" s="84">
        <v>0.38775510204081631</v>
      </c>
      <c r="AF9" s="81" t="s">
        <v>166</v>
      </c>
      <c r="AG9" s="84">
        <v>0.42990654205607476</v>
      </c>
      <c r="AH9" s="81" t="s">
        <v>126</v>
      </c>
      <c r="AI9" s="88">
        <v>86200</v>
      </c>
    </row>
    <row r="10" spans="1:35" x14ac:dyDescent="0.4">
      <c r="A10" s="78">
        <v>8</v>
      </c>
      <c r="B10" s="79" t="s">
        <v>178</v>
      </c>
      <c r="C10" s="80">
        <v>-117.19999999999999</v>
      </c>
      <c r="D10" s="81" t="s">
        <v>166</v>
      </c>
      <c r="E10" s="93">
        <v>-3.1717391304347839</v>
      </c>
      <c r="F10" s="81" t="s">
        <v>178</v>
      </c>
      <c r="G10" s="82">
        <v>2.0853658536585367</v>
      </c>
      <c r="H10" s="81" t="s">
        <v>143</v>
      </c>
      <c r="I10" s="83">
        <v>0.33333333333333331</v>
      </c>
      <c r="J10" s="81" t="s">
        <v>179</v>
      </c>
      <c r="K10" s="83">
        <v>0.39344262295081966</v>
      </c>
      <c r="L10" s="81" t="s">
        <v>179</v>
      </c>
      <c r="M10" s="84">
        <v>0.27906976744186046</v>
      </c>
      <c r="N10" s="81" t="s">
        <v>182</v>
      </c>
      <c r="O10" s="84">
        <v>0.188</v>
      </c>
      <c r="P10" s="81" t="s">
        <v>126</v>
      </c>
      <c r="Q10" s="85">
        <v>7788.8086642599274</v>
      </c>
      <c r="R10" s="81" t="s">
        <v>222</v>
      </c>
      <c r="S10" s="85">
        <v>-8000</v>
      </c>
      <c r="T10" s="81" t="s">
        <v>143</v>
      </c>
      <c r="U10" s="83">
        <v>9.3812375249500993E-2</v>
      </c>
      <c r="V10" s="81" t="s">
        <v>166</v>
      </c>
      <c r="W10" s="83">
        <v>4.3478260869565216E-2</v>
      </c>
      <c r="X10" s="81" t="s">
        <v>195</v>
      </c>
      <c r="Y10" s="84">
        <v>0.24193548387096775</v>
      </c>
      <c r="Z10" s="81" t="s">
        <v>182</v>
      </c>
      <c r="AA10" s="84">
        <v>0.22</v>
      </c>
      <c r="AB10" s="81" t="s">
        <v>195</v>
      </c>
      <c r="AC10" s="84">
        <v>0.53333333333333333</v>
      </c>
      <c r="AD10" s="81" t="s">
        <v>127</v>
      </c>
      <c r="AE10" s="84">
        <v>0.37860082304526749</v>
      </c>
      <c r="AF10" s="81" t="s">
        <v>126</v>
      </c>
      <c r="AG10" s="84">
        <v>0.4296028880866426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-145.90000000000006</v>
      </c>
      <c r="D11" s="81" t="s">
        <v>179</v>
      </c>
      <c r="E11" s="93">
        <v>-7.4360655737704908</v>
      </c>
      <c r="F11" s="81" t="s">
        <v>195</v>
      </c>
      <c r="G11" s="82">
        <v>2.1428571428571428</v>
      </c>
      <c r="H11" s="81" t="s">
        <v>178</v>
      </c>
      <c r="I11" s="83">
        <v>0.2073170731707317</v>
      </c>
      <c r="J11" s="81" t="s">
        <v>166</v>
      </c>
      <c r="K11" s="83">
        <v>0.41304347826086957</v>
      </c>
      <c r="L11" s="81" t="s">
        <v>166</v>
      </c>
      <c r="M11" s="84">
        <v>0.26683291770573564</v>
      </c>
      <c r="N11" s="81" t="s">
        <v>127</v>
      </c>
      <c r="O11" s="84">
        <v>0.19338422391857507</v>
      </c>
      <c r="P11" s="81" t="s">
        <v>195</v>
      </c>
      <c r="Q11" s="85">
        <v>7473.333333333333</v>
      </c>
      <c r="R11" s="81" t="s">
        <v>182</v>
      </c>
      <c r="S11" s="85">
        <v>-8059.5744680851067</v>
      </c>
      <c r="T11" s="81" t="s">
        <v>127</v>
      </c>
      <c r="U11" s="83">
        <v>0.14130434782608695</v>
      </c>
      <c r="V11" s="81" t="s">
        <v>179</v>
      </c>
      <c r="W11" s="83">
        <v>3.2786885245901641E-2</v>
      </c>
      <c r="X11" s="81" t="s">
        <v>127</v>
      </c>
      <c r="Y11" s="84">
        <v>0.2340966921119593</v>
      </c>
      <c r="Z11" s="81" t="s">
        <v>179</v>
      </c>
      <c r="AA11" s="84">
        <v>0.18992248062015504</v>
      </c>
      <c r="AB11" s="81" t="s">
        <v>127</v>
      </c>
      <c r="AC11" s="84">
        <v>0.51630434782608692</v>
      </c>
      <c r="AD11" s="81" t="s">
        <v>181</v>
      </c>
      <c r="AE11" s="84">
        <v>0.375</v>
      </c>
      <c r="AF11" s="81" t="s">
        <v>127</v>
      </c>
      <c r="AG11" s="84">
        <v>0.38775510204081631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-453.59999999999997</v>
      </c>
      <c r="D12" s="81" t="s">
        <v>195</v>
      </c>
      <c r="E12" s="93">
        <v>-14.971428571428573</v>
      </c>
      <c r="F12" s="81" t="s">
        <v>179</v>
      </c>
      <c r="G12" s="82">
        <v>2.1967213114754101</v>
      </c>
      <c r="H12" s="81" t="s">
        <v>179</v>
      </c>
      <c r="I12" s="83">
        <v>0.19672131147540983</v>
      </c>
      <c r="J12" s="81" t="s">
        <v>182</v>
      </c>
      <c r="K12" s="83">
        <v>0.54838709677419351</v>
      </c>
      <c r="L12" s="81" t="s">
        <v>195</v>
      </c>
      <c r="M12" s="84">
        <v>0.24193548387096775</v>
      </c>
      <c r="N12" s="81" t="s">
        <v>195</v>
      </c>
      <c r="O12" s="84">
        <v>0.19354838709677419</v>
      </c>
      <c r="P12" s="81" t="s">
        <v>222</v>
      </c>
      <c r="Q12" s="85">
        <v>7385.7142857142853</v>
      </c>
      <c r="R12" s="81" t="s">
        <v>177</v>
      </c>
      <c r="S12" s="85">
        <v>-8239.7260273972606</v>
      </c>
      <c r="T12" s="81" t="s">
        <v>182</v>
      </c>
      <c r="U12" s="83">
        <v>0.16129032258064516</v>
      </c>
      <c r="V12" s="81" t="s">
        <v>182</v>
      </c>
      <c r="W12" s="83">
        <v>3.2258064516129031E-2</v>
      </c>
      <c r="X12" s="81" t="s">
        <v>182</v>
      </c>
      <c r="Y12" s="84">
        <v>0.192</v>
      </c>
      <c r="Z12" s="81" t="s">
        <v>177</v>
      </c>
      <c r="AA12" s="84">
        <v>0.18222222222222223</v>
      </c>
      <c r="AB12" s="81" t="s">
        <v>166</v>
      </c>
      <c r="AC12" s="84">
        <v>0.50819672131147542</v>
      </c>
      <c r="AD12" s="81" t="s">
        <v>166</v>
      </c>
      <c r="AE12" s="84">
        <v>0.36170212765957449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-473.10000000000014</v>
      </c>
      <c r="D13" s="81" t="s">
        <v>182</v>
      </c>
      <c r="E13" s="93">
        <v>-15.261290322580649</v>
      </c>
      <c r="F13" s="81" t="s">
        <v>182</v>
      </c>
      <c r="G13" s="82">
        <v>2.4516129032258065</v>
      </c>
      <c r="H13" s="81" t="s">
        <v>182</v>
      </c>
      <c r="I13" s="83">
        <v>9.6774193548387094E-2</v>
      </c>
      <c r="J13" s="81" t="s">
        <v>195</v>
      </c>
      <c r="K13" s="83">
        <v>0.5714285714285714</v>
      </c>
      <c r="L13" s="81" t="s">
        <v>182</v>
      </c>
      <c r="M13" s="84">
        <v>0.23200000000000001</v>
      </c>
      <c r="N13" s="81" t="s">
        <v>179</v>
      </c>
      <c r="O13" s="84">
        <v>0.21124031007751937</v>
      </c>
      <c r="P13" s="81" t="s">
        <v>166</v>
      </c>
      <c r="Q13" s="85">
        <v>7148.5981308411219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0.15211970074812967</v>
      </c>
      <c r="Z13" s="81" t="s">
        <v>181</v>
      </c>
      <c r="AA13" s="84">
        <v>0.15686274509803921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3EAE-8F74-44DE-A7F3-F8A50A902D80}">
  <sheetPr codeName="Sheet4"/>
  <dimension ref="A1:Q50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501</v>
      </c>
      <c r="C2" s="149"/>
      <c r="E2" s="58" t="s">
        <v>66</v>
      </c>
      <c r="F2" s="55" t="s">
        <v>22</v>
      </c>
      <c r="G2" s="43">
        <v>954</v>
      </c>
      <c r="H2" s="128">
        <f>IF(B$17=0,0,G2/B$17)</f>
        <v>0.77814029363784665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-20.080321285140563</v>
      </c>
      <c r="P2" s="114">
        <v>498</v>
      </c>
      <c r="Q2" s="98">
        <v>-10000</v>
      </c>
    </row>
    <row r="3" spans="1:17" x14ac:dyDescent="0.4">
      <c r="A3" s="51" t="s">
        <v>8</v>
      </c>
      <c r="B3" s="150">
        <v>4158</v>
      </c>
      <c r="C3" s="151"/>
      <c r="E3" s="59" t="s">
        <v>72</v>
      </c>
      <c r="F3" s="56" t="s">
        <v>27</v>
      </c>
      <c r="G3" s="44">
        <v>662</v>
      </c>
      <c r="H3" s="129">
        <f>IF(B$17=0,0,G3/B$17)</f>
        <v>0.53996737357259383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6.1728395061728394</v>
      </c>
      <c r="P3" s="115">
        <v>486</v>
      </c>
      <c r="Q3" s="99">
        <v>3000</v>
      </c>
    </row>
    <row r="4" spans="1:17" x14ac:dyDescent="0.4">
      <c r="A4" s="51" t="s">
        <v>6</v>
      </c>
      <c r="B4" s="152">
        <v>-4.2632564145606011E-14</v>
      </c>
      <c r="C4" s="153"/>
      <c r="E4" s="59" t="s">
        <v>64</v>
      </c>
      <c r="F4" s="56" t="s">
        <v>20</v>
      </c>
      <c r="G4" s="44">
        <v>561</v>
      </c>
      <c r="H4" s="129">
        <f>IF(B$17=0,0,G4/B$17)</f>
        <v>0.45758564437194127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-17.316017316017316</v>
      </c>
      <c r="P4" s="115">
        <v>462</v>
      </c>
      <c r="Q4" s="99">
        <v>-8000</v>
      </c>
    </row>
    <row r="5" spans="1:17" x14ac:dyDescent="0.4">
      <c r="A5" s="51" t="s">
        <v>7</v>
      </c>
      <c r="B5" s="154">
        <f>IF(B$2=0,0,B$4/B$2)</f>
        <v>-8.5094938414383261E-17</v>
      </c>
      <c r="C5" s="155"/>
      <c r="E5" s="59" t="s">
        <v>171</v>
      </c>
      <c r="F5" s="56" t="s">
        <v>172</v>
      </c>
      <c r="G5" s="44">
        <v>488</v>
      </c>
      <c r="H5" s="129">
        <f>IF(B$17=0,0,G5/B$17)</f>
        <v>0.39804241435562804</v>
      </c>
      <c r="I5" s="90">
        <v>3</v>
      </c>
      <c r="K5" s="36">
        <v>3</v>
      </c>
      <c r="L5" s="95">
        <v>0</v>
      </c>
      <c r="N5" s="111" t="s">
        <v>133</v>
      </c>
      <c r="O5" s="118">
        <f t="shared" si="0"/>
        <v>13.698630136986301</v>
      </c>
      <c r="P5" s="115">
        <v>438</v>
      </c>
      <c r="Q5" s="99">
        <v>6000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386</v>
      </c>
      <c r="H6" s="129">
        <f>IF(B$17=0,0,G6/B$17)</f>
        <v>0.31484502446982054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9.8765432098765427</v>
      </c>
      <c r="P6" s="115">
        <v>405</v>
      </c>
      <c r="Q6" s="99">
        <v>4000</v>
      </c>
    </row>
    <row r="7" spans="1:17" x14ac:dyDescent="0.4">
      <c r="A7" s="51" t="s">
        <v>2</v>
      </c>
      <c r="B7" s="44">
        <v>167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351</v>
      </c>
      <c r="H7" s="129">
        <f>IF(B$17=0,0,G7/B$17)</f>
        <v>0.28629690048939643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14.619883040935672</v>
      </c>
      <c r="P7" s="116">
        <v>342</v>
      </c>
      <c r="Q7" s="100">
        <v>5000</v>
      </c>
    </row>
    <row r="8" spans="1:17" x14ac:dyDescent="0.4">
      <c r="A8" s="51" t="s">
        <v>3</v>
      </c>
      <c r="B8" s="44">
        <v>167</v>
      </c>
      <c r="C8" s="37">
        <f t="shared" si="1"/>
        <v>0.33333333333333331</v>
      </c>
      <c r="E8" s="59" t="s">
        <v>69</v>
      </c>
      <c r="F8" s="56" t="s">
        <v>24</v>
      </c>
      <c r="G8" s="44">
        <v>188</v>
      </c>
      <c r="H8" s="129">
        <f>IF(B$17=0,0,G8/B$17)</f>
        <v>0.15334420880913541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167</v>
      </c>
      <c r="C9" s="38">
        <f t="shared" si="1"/>
        <v>0.33333333333333331</v>
      </c>
      <c r="E9" s="59" t="s">
        <v>89</v>
      </c>
      <c r="F9" s="56" t="s">
        <v>44</v>
      </c>
      <c r="G9" s="44">
        <v>161</v>
      </c>
      <c r="H9" s="129">
        <f>IF(B$17=0,0,G9/B$17)</f>
        <v>0.13132137030995106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47</v>
      </c>
      <c r="C10" s="38">
        <f t="shared" si="1"/>
        <v>9.3812375249500993E-2</v>
      </c>
      <c r="E10" s="59" t="s">
        <v>65</v>
      </c>
      <c r="F10" s="56" t="s">
        <v>21</v>
      </c>
      <c r="G10" s="44">
        <v>125</v>
      </c>
      <c r="H10" s="129">
        <f>IF(B$17=0,0,G10/B$17)</f>
        <v>0.10195758564437195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-0.92215568862275488</v>
      </c>
      <c r="P10" s="114">
        <v>167</v>
      </c>
      <c r="Q10" s="102">
        <v>-154.00000000000006</v>
      </c>
    </row>
    <row r="11" spans="1:17" x14ac:dyDescent="0.4">
      <c r="A11" s="52" t="s">
        <v>138</v>
      </c>
      <c r="B11" s="45">
        <v>47</v>
      </c>
      <c r="C11" s="38">
        <f t="shared" si="1"/>
        <v>9.3812375249500993E-2</v>
      </c>
      <c r="E11" s="59" t="s">
        <v>70</v>
      </c>
      <c r="F11" s="56" t="s">
        <v>25</v>
      </c>
      <c r="G11" s="44">
        <v>115</v>
      </c>
      <c r="H11" s="129">
        <f>IF(B$17=0,0,G11/B$17)</f>
        <v>9.380097879282219E-2</v>
      </c>
      <c r="I11" s="90">
        <v>6</v>
      </c>
      <c r="K11" s="36">
        <v>9</v>
      </c>
      <c r="L11" s="95">
        <v>0</v>
      </c>
      <c r="N11" s="111" t="s">
        <v>163</v>
      </c>
      <c r="O11" s="121">
        <f>IF(P11=0,0,Q11/P11)</f>
        <v>1.9245508982035924</v>
      </c>
      <c r="P11" s="115">
        <v>167</v>
      </c>
      <c r="Q11" s="103">
        <v>321.39999999999992</v>
      </c>
    </row>
    <row r="12" spans="1:17" x14ac:dyDescent="0.4">
      <c r="A12" s="53" t="s">
        <v>158</v>
      </c>
      <c r="B12" s="46">
        <v>50</v>
      </c>
      <c r="C12" s="40">
        <f t="shared" si="1"/>
        <v>9.9800399201596807E-2</v>
      </c>
      <c r="E12" s="59" t="s">
        <v>71</v>
      </c>
      <c r="F12" s="56" t="s">
        <v>26</v>
      </c>
      <c r="G12" s="44">
        <v>96</v>
      </c>
      <c r="H12" s="129">
        <f>IF(B$17=0,0,G12/B$17)</f>
        <v>7.8303425774877644E-2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-1.0023952095808391</v>
      </c>
      <c r="P12" s="116">
        <v>167</v>
      </c>
      <c r="Q12" s="104">
        <v>-167.40000000000012</v>
      </c>
    </row>
    <row r="13" spans="1:17" x14ac:dyDescent="0.4">
      <c r="A13" s="54" t="s">
        <v>121</v>
      </c>
      <c r="B13" s="47">
        <v>1046</v>
      </c>
      <c r="C13" s="42">
        <f>IF(B$3=0,0,B13/B$3)</f>
        <v>0.25156325156325154</v>
      </c>
      <c r="E13" s="59" t="s">
        <v>83</v>
      </c>
      <c r="F13" s="56" t="s">
        <v>38</v>
      </c>
      <c r="G13" s="44">
        <v>69</v>
      </c>
      <c r="H13" s="129">
        <f>IF(B$17=0,0,G13/B$17)</f>
        <v>5.6280587275693308E-2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970</v>
      </c>
      <c r="C14" s="37">
        <f>IF(B$3=0,0,B14/B$3)</f>
        <v>0.23328523328523329</v>
      </c>
      <c r="E14" s="59" t="s">
        <v>86</v>
      </c>
      <c r="F14" s="56" t="s">
        <v>41</v>
      </c>
      <c r="G14" s="44">
        <v>59</v>
      </c>
      <c r="H14" s="129">
        <f>IF(B$17=0,0,G14/B$17)</f>
        <v>4.8123980424143557E-2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587</v>
      </c>
      <c r="C15" s="35">
        <f>IF(B$13=0,0,B15/B$13)</f>
        <v>0.56118546845124284</v>
      </c>
      <c r="E15" s="59" t="s">
        <v>78</v>
      </c>
      <c r="F15" s="56" t="s">
        <v>33</v>
      </c>
      <c r="G15" s="44">
        <v>31</v>
      </c>
      <c r="H15" s="129">
        <f>IF(B$17=0,0,G15/B$17)</f>
        <v>2.5285481239804241E-2</v>
      </c>
      <c r="I15" s="90">
        <v>5</v>
      </c>
      <c r="K15" s="36">
        <v>13</v>
      </c>
      <c r="L15" s="95">
        <v>-1.7</v>
      </c>
      <c r="N15" s="110" t="s">
        <v>182</v>
      </c>
      <c r="O15" s="120">
        <f>IF(P15=0,0,Q15/P15)</f>
        <v>22.891935483870952</v>
      </c>
      <c r="P15" s="114">
        <v>62</v>
      </c>
      <c r="Q15" s="102">
        <v>1419.299999999999</v>
      </c>
    </row>
    <row r="16" spans="1:17" x14ac:dyDescent="0.4">
      <c r="A16" s="50" t="s">
        <v>124</v>
      </c>
      <c r="B16" s="43">
        <v>398</v>
      </c>
      <c r="C16" s="35">
        <f>IF(B$14=0,0,B16/B$14)</f>
        <v>0.41030927835051545</v>
      </c>
      <c r="E16" s="59" t="s">
        <v>167</v>
      </c>
      <c r="F16" s="56" t="s">
        <v>168</v>
      </c>
      <c r="G16" s="44">
        <v>29</v>
      </c>
      <c r="H16" s="129">
        <f>IF(B$17=0,0,G16/B$17)</f>
        <v>2.365415986949429E-2</v>
      </c>
      <c r="I16" s="90">
        <v>3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1226</v>
      </c>
      <c r="C17" s="35">
        <f>IF(B$3=0,0,B17/B$3)</f>
        <v>0.29485329485329487</v>
      </c>
      <c r="E17" s="59" t="s">
        <v>81</v>
      </c>
      <c r="F17" s="56" t="s">
        <v>36</v>
      </c>
      <c r="G17" s="44">
        <v>22</v>
      </c>
      <c r="H17" s="129">
        <f>IF(B$17=0,0,G17/B$17)</f>
        <v>1.794453507340946E-2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11.154098360655739</v>
      </c>
      <c r="P17" s="115">
        <v>122</v>
      </c>
      <c r="Q17" s="103">
        <v>1360.8000000000002</v>
      </c>
    </row>
    <row r="18" spans="1:17" x14ac:dyDescent="0.4">
      <c r="A18" s="51" t="s">
        <v>12</v>
      </c>
      <c r="B18" s="44">
        <v>539</v>
      </c>
      <c r="C18" s="37">
        <f>IF(B$17=0,0,B18/B$17)</f>
        <v>0.43964110929853178</v>
      </c>
      <c r="E18" s="59" t="s">
        <v>91</v>
      </c>
      <c r="F18" s="56" t="s">
        <v>46</v>
      </c>
      <c r="G18" s="44">
        <v>17</v>
      </c>
      <c r="H18" s="129">
        <f>IF(B$17=0,0,G18/B$17)</f>
        <v>1.3866231647634585E-2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4.7576086956521717</v>
      </c>
      <c r="P18" s="115">
        <v>92</v>
      </c>
      <c r="Q18" s="103">
        <v>437.69999999999976</v>
      </c>
    </row>
    <row r="19" spans="1:17" x14ac:dyDescent="0.4">
      <c r="A19" s="51" t="s">
        <v>11</v>
      </c>
      <c r="B19" s="44">
        <v>687</v>
      </c>
      <c r="C19" s="37">
        <f>IF(B$17=0,0,B19/B$17)</f>
        <v>0.56035889070146816</v>
      </c>
      <c r="E19" s="59" t="s">
        <v>79</v>
      </c>
      <c r="F19" s="56" t="s">
        <v>34</v>
      </c>
      <c r="G19" s="44">
        <v>15</v>
      </c>
      <c r="H19" s="129">
        <f>IF(B$17=0,0,G19/B$17)</f>
        <v>1.2234910277324634E-2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2.1439024390243895</v>
      </c>
      <c r="P19" s="115">
        <v>164</v>
      </c>
      <c r="Q19" s="103">
        <v>351.59999999999991</v>
      </c>
    </row>
    <row r="20" spans="1:17" x14ac:dyDescent="0.4">
      <c r="A20" s="51" t="s">
        <v>13</v>
      </c>
      <c r="B20" s="44">
        <v>680</v>
      </c>
      <c r="C20" s="37">
        <f>IF(B$3=0,0,B20/B$3)</f>
        <v>0.16354016354016354</v>
      </c>
      <c r="E20" s="59" t="s">
        <v>75</v>
      </c>
      <c r="F20" s="56" t="s">
        <v>30</v>
      </c>
      <c r="G20" s="44">
        <v>8</v>
      </c>
      <c r="H20" s="129">
        <f>IF(B$17=0,0,G20/B$17)</f>
        <v>6.5252854812398045E-3</v>
      </c>
      <c r="I20" s="90">
        <v>6</v>
      </c>
      <c r="K20" s="36">
        <v>18</v>
      </c>
      <c r="L20" s="95">
        <v>0</v>
      </c>
      <c r="N20" s="111" t="s">
        <v>181</v>
      </c>
      <c r="O20" s="121">
        <f>IF(P20=0,0,Q20/P20)</f>
        <v>0.9204545454545453</v>
      </c>
      <c r="P20" s="115">
        <v>44</v>
      </c>
      <c r="Q20" s="103">
        <v>40.499999999999993</v>
      </c>
    </row>
    <row r="21" spans="1:17" x14ac:dyDescent="0.4">
      <c r="A21" s="51" t="s">
        <v>169</v>
      </c>
      <c r="B21" s="44">
        <v>7</v>
      </c>
      <c r="C21" s="131">
        <v>3</v>
      </c>
      <c r="E21" s="59" t="s">
        <v>74</v>
      </c>
      <c r="F21" s="56" t="s">
        <v>29</v>
      </c>
      <c r="G21" s="44">
        <v>6</v>
      </c>
      <c r="H21" s="129">
        <f>IF(B$17=0,0,G21/B$17)</f>
        <v>4.8939641109298528E-3</v>
      </c>
      <c r="I21" s="90">
        <v>5</v>
      </c>
      <c r="K21" s="36">
        <v>19</v>
      </c>
      <c r="L21" s="95">
        <v>-22.4</v>
      </c>
      <c r="N21" s="111" t="s">
        <v>127</v>
      </c>
      <c r="O21" s="121">
        <f>IF(P21=0,0,Q21/P21)</f>
        <v>-4.3663043478260946</v>
      </c>
      <c r="P21" s="115">
        <v>184</v>
      </c>
      <c r="Q21" s="103">
        <v>-803.40000000000146</v>
      </c>
    </row>
    <row r="22" spans="1:17" x14ac:dyDescent="0.4">
      <c r="A22" s="51" t="s">
        <v>170</v>
      </c>
      <c r="B22" s="44">
        <v>31</v>
      </c>
      <c r="C22" s="131">
        <v>16</v>
      </c>
      <c r="E22" s="59" t="s">
        <v>92</v>
      </c>
      <c r="F22" s="56" t="s">
        <v>47</v>
      </c>
      <c r="G22" s="44">
        <v>6</v>
      </c>
      <c r="H22" s="129">
        <f>IF(B$17=0,0,G22/B$17)</f>
        <v>4.8939641109298528E-3</v>
      </c>
      <c r="I22" s="90">
        <v>3</v>
      </c>
      <c r="K22" s="36">
        <v>20</v>
      </c>
      <c r="L22" s="95">
        <v>-61.199999999999996</v>
      </c>
      <c r="N22" s="111" t="s">
        <v>177</v>
      </c>
      <c r="O22" s="121">
        <f>IF(P22=0,0,Q22/P22)</f>
        <v>-6.6080357142857133</v>
      </c>
      <c r="P22" s="115">
        <v>112</v>
      </c>
      <c r="Q22" s="103">
        <v>-740.09999999999991</v>
      </c>
    </row>
    <row r="23" spans="1:17" x14ac:dyDescent="0.4">
      <c r="A23" s="51" t="s">
        <v>5</v>
      </c>
      <c r="B23" s="48">
        <f>IF(B$17=0,0,C23/B$17)</f>
        <v>8301.8760195758568</v>
      </c>
      <c r="C23" s="39">
        <v>10178100</v>
      </c>
      <c r="E23" s="59" t="s">
        <v>77</v>
      </c>
      <c r="F23" s="56" t="s">
        <v>32</v>
      </c>
      <c r="G23" s="44">
        <v>5</v>
      </c>
      <c r="H23" s="129">
        <f>IF(B$17=0,0,G23/B$17)</f>
        <v>4.0783034257748773E-3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-11.285294117647055</v>
      </c>
      <c r="P23" s="115">
        <v>204</v>
      </c>
      <c r="Q23" s="103">
        <v>-2302.1999999999994</v>
      </c>
    </row>
    <row r="24" spans="1:17" x14ac:dyDescent="0.4">
      <c r="A24" s="52" t="s">
        <v>216</v>
      </c>
      <c r="B24" s="136">
        <f>IF($B$17-B$16=0,0,C24/($B$17-B$16))</f>
        <v>8736.95652173913</v>
      </c>
      <c r="C24" s="137">
        <v>7234200</v>
      </c>
      <c r="E24" s="59" t="s">
        <v>85</v>
      </c>
      <c r="F24" s="56" t="s">
        <v>40</v>
      </c>
      <c r="G24" s="44">
        <v>5</v>
      </c>
      <c r="H24" s="129">
        <f>IF(B$17=0,0,G24/B$17)</f>
        <v>4.0783034257748773E-3</v>
      </c>
      <c r="I24" s="90">
        <v>5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7396.7336683417088</v>
      </c>
      <c r="C25" s="137">
        <v>2943900</v>
      </c>
      <c r="E25" s="59" t="s">
        <v>88</v>
      </c>
      <c r="F25" s="56" t="s">
        <v>43</v>
      </c>
      <c r="G25" s="44">
        <v>5</v>
      </c>
      <c r="H25" s="129">
        <f>IF(B$17=0,0,G25/B$17)</f>
        <v>4.0783034257748773E-3</v>
      </c>
      <c r="I25" s="90">
        <v>4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-7753.5294117647063</v>
      </c>
      <c r="C26" s="137">
        <v>-5272400</v>
      </c>
      <c r="E26" s="59" t="s">
        <v>73</v>
      </c>
      <c r="F26" s="56" t="s">
        <v>28</v>
      </c>
      <c r="G26" s="44">
        <v>4</v>
      </c>
      <c r="H26" s="129">
        <f>IF(B$17=0,0,G26/B$17)</f>
        <v>3.2626427406199023E-3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3.2626427406199023E-3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103600</v>
      </c>
      <c r="C28" s="141"/>
      <c r="E28" s="59" t="s">
        <v>95</v>
      </c>
      <c r="F28" s="56" t="s">
        <v>50</v>
      </c>
      <c r="G28" s="44">
        <v>3</v>
      </c>
      <c r="H28" s="129">
        <f>IF(B$17=0,0,G28/B$17)</f>
        <v>2.4469820554649264E-3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13</v>
      </c>
      <c r="C29" s="40">
        <f>IF(B$3=0,0,B29/B$3)</f>
        <v>3.1265031265031266E-3</v>
      </c>
      <c r="E29" s="59" t="s">
        <v>87</v>
      </c>
      <c r="F29" s="56" t="s">
        <v>42</v>
      </c>
      <c r="G29" s="44">
        <v>2</v>
      </c>
      <c r="H29" s="129">
        <f>IF(B$17=0,0,G29/B$17)</f>
        <v>1.6313213703099511E-3</v>
      </c>
      <c r="I29" s="90">
        <v>3</v>
      </c>
      <c r="K29" s="36">
        <v>27</v>
      </c>
      <c r="L29" s="95">
        <v>6.7723604502134549E-15</v>
      </c>
    </row>
    <row r="30" spans="1:17" x14ac:dyDescent="0.4">
      <c r="E30" s="59" t="s">
        <v>90</v>
      </c>
      <c r="F30" s="56" t="s">
        <v>45</v>
      </c>
      <c r="G30" s="44">
        <v>2</v>
      </c>
      <c r="H30" s="129">
        <f>IF(B$17=0,0,G30/B$17)</f>
        <v>1.6313213703099511E-3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2</v>
      </c>
      <c r="H31" s="129">
        <f>IF(B$17=0,0,G31/B$17)</f>
        <v>1.6313213703099511E-3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8.1566068515497557E-4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C2E2-DE1E-4398-B12E-32C7F5CC7D46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46</v>
      </c>
      <c r="C2" s="149"/>
      <c r="E2" s="58" t="s">
        <v>66</v>
      </c>
      <c r="F2" s="55" t="s">
        <v>22</v>
      </c>
      <c r="G2" s="43">
        <v>71</v>
      </c>
      <c r="H2" s="128">
        <f>IF(B$17=0,0,G2/B$17)</f>
        <v>0.66355140186915884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1384.7826086956522</v>
      </c>
      <c r="P2" s="114">
        <v>46</v>
      </c>
      <c r="Q2" s="98">
        <v>63700</v>
      </c>
    </row>
    <row r="3" spans="1:17" x14ac:dyDescent="0.4">
      <c r="A3" s="51" t="s">
        <v>8</v>
      </c>
      <c r="B3" s="150">
        <v>401</v>
      </c>
      <c r="C3" s="151"/>
      <c r="E3" s="59" t="s">
        <v>72</v>
      </c>
      <c r="F3" s="56" t="s">
        <v>27</v>
      </c>
      <c r="G3" s="44">
        <v>53</v>
      </c>
      <c r="H3" s="129">
        <f>IF(B$17=0,0,G3/B$17)</f>
        <v>0.49532710280373832</v>
      </c>
      <c r="I3" s="90">
        <v>8</v>
      </c>
      <c r="K3" s="36">
        <v>1</v>
      </c>
      <c r="L3" s="95">
        <v>-4.5999999999999996</v>
      </c>
      <c r="N3" s="111" t="s">
        <v>131</v>
      </c>
      <c r="O3" s="118">
        <f t="shared" si="0"/>
        <v>-1100</v>
      </c>
      <c r="P3" s="115">
        <v>45</v>
      </c>
      <c r="Q3" s="99">
        <v>-49500</v>
      </c>
    </row>
    <row r="4" spans="1:17" x14ac:dyDescent="0.4">
      <c r="A4" s="51" t="s">
        <v>6</v>
      </c>
      <c r="B4" s="152">
        <v>-145.90000000000006</v>
      </c>
      <c r="C4" s="153"/>
      <c r="E4" s="59" t="s">
        <v>171</v>
      </c>
      <c r="F4" s="56" t="s">
        <v>172</v>
      </c>
      <c r="G4" s="44">
        <v>41</v>
      </c>
      <c r="H4" s="129">
        <f>IF(B$17=0,0,G4/B$17)</f>
        <v>0.38317757009345793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-1309.3023255813953</v>
      </c>
      <c r="P4" s="115">
        <v>43</v>
      </c>
      <c r="Q4" s="99">
        <v>-56300</v>
      </c>
    </row>
    <row r="5" spans="1:17" x14ac:dyDescent="0.4">
      <c r="A5" s="51" t="s">
        <v>7</v>
      </c>
      <c r="B5" s="154">
        <f>IF(B$2=0,0,B$4/B$2)</f>
        <v>-3.1717391304347839</v>
      </c>
      <c r="C5" s="155"/>
      <c r="E5" s="59" t="s">
        <v>68</v>
      </c>
      <c r="F5" s="56" t="s">
        <v>12</v>
      </c>
      <c r="G5" s="44">
        <v>32</v>
      </c>
      <c r="H5" s="129">
        <f>IF(B$17=0,0,G5/B$17)</f>
        <v>0.29906542056074764</v>
      </c>
      <c r="I5" s="90">
        <v>6</v>
      </c>
      <c r="K5" s="36">
        <v>3</v>
      </c>
      <c r="L5" s="95">
        <v>-8.3000000000000007</v>
      </c>
      <c r="N5" s="111" t="s">
        <v>133</v>
      </c>
      <c r="O5" s="118">
        <f t="shared" si="0"/>
        <v>-1354.7619047619048</v>
      </c>
      <c r="P5" s="115">
        <v>42</v>
      </c>
      <c r="Q5" s="99">
        <v>-56900</v>
      </c>
    </row>
    <row r="6" spans="1:17" x14ac:dyDescent="0.4">
      <c r="A6" s="51" t="s">
        <v>1</v>
      </c>
      <c r="B6" s="144">
        <f>IF(B$2=0,0,(B$7*1+B$8*2+B$9*3)/B$2)</f>
        <v>2.0652173913043477</v>
      </c>
      <c r="C6" s="145"/>
      <c r="E6" s="59" t="s">
        <v>64</v>
      </c>
      <c r="F6" s="56" t="s">
        <v>20</v>
      </c>
      <c r="G6" s="44">
        <v>30</v>
      </c>
      <c r="H6" s="129">
        <f>IF(B$17=0,0,G6/B$17)</f>
        <v>0.28037383177570091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785.71428571428567</v>
      </c>
      <c r="P6" s="115">
        <v>42</v>
      </c>
      <c r="Q6" s="99">
        <v>33000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0.34782608695652173</v>
      </c>
      <c r="E7" s="59" t="s">
        <v>69</v>
      </c>
      <c r="F7" s="56" t="s">
        <v>24</v>
      </c>
      <c r="G7" s="44">
        <v>24</v>
      </c>
      <c r="H7" s="129">
        <f>IF(B$17=0,0,G7/B$17)</f>
        <v>0.22429906542056074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-1438.8888888888889</v>
      </c>
      <c r="P7" s="116">
        <v>36</v>
      </c>
      <c r="Q7" s="100">
        <v>-51800</v>
      </c>
    </row>
    <row r="8" spans="1:17" x14ac:dyDescent="0.4">
      <c r="A8" s="51" t="s">
        <v>3</v>
      </c>
      <c r="B8" s="44">
        <v>11</v>
      </c>
      <c r="C8" s="37">
        <f t="shared" si="1"/>
        <v>0.2391304347826087</v>
      </c>
      <c r="E8" s="59" t="s">
        <v>70</v>
      </c>
      <c r="F8" s="56" t="s">
        <v>25</v>
      </c>
      <c r="G8" s="44">
        <v>17</v>
      </c>
      <c r="H8" s="129">
        <f>IF(B$17=0,0,G8/B$17)</f>
        <v>0.15887850467289719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19</v>
      </c>
      <c r="C9" s="38">
        <f t="shared" si="1"/>
        <v>0.41304347826086957</v>
      </c>
      <c r="E9" s="59" t="s">
        <v>67</v>
      </c>
      <c r="F9" s="56" t="s">
        <v>23</v>
      </c>
      <c r="G9" s="44">
        <v>15</v>
      </c>
      <c r="H9" s="129">
        <f>IF(B$17=0,0,G9/B$17)</f>
        <v>0.14018691588785046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2.1739130434782608E-2</v>
      </c>
      <c r="E10" s="59" t="s">
        <v>71</v>
      </c>
      <c r="F10" s="56" t="s">
        <v>26</v>
      </c>
      <c r="G10" s="44">
        <v>11</v>
      </c>
      <c r="H10" s="129">
        <f>IF(B$17=0,0,G10/B$17)</f>
        <v>0.10280373831775701</v>
      </c>
      <c r="I10" s="90">
        <v>4</v>
      </c>
      <c r="K10" s="36">
        <v>8</v>
      </c>
      <c r="L10" s="95">
        <v>-76.900000000000006</v>
      </c>
      <c r="N10" s="110" t="s">
        <v>162</v>
      </c>
      <c r="O10" s="120">
        <f>IF(P10=0,0,Q10/P10)</f>
        <v>-4.6466666666666656</v>
      </c>
      <c r="P10" s="114">
        <v>15</v>
      </c>
      <c r="Q10" s="102">
        <v>-69.699999999999989</v>
      </c>
    </row>
    <row r="11" spans="1:17" x14ac:dyDescent="0.4">
      <c r="A11" s="52" t="s">
        <v>138</v>
      </c>
      <c r="B11" s="45">
        <v>2</v>
      </c>
      <c r="C11" s="38">
        <f t="shared" si="1"/>
        <v>4.3478260869565216E-2</v>
      </c>
      <c r="E11" s="59" t="s">
        <v>83</v>
      </c>
      <c r="F11" s="56" t="s">
        <v>38</v>
      </c>
      <c r="G11" s="44">
        <v>10</v>
      </c>
      <c r="H11" s="129">
        <f>IF(B$17=0,0,G11/B$17)</f>
        <v>9.3457943925233641E-2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-1.7142857142857133</v>
      </c>
      <c r="P11" s="115">
        <v>14</v>
      </c>
      <c r="Q11" s="103">
        <v>-23.999999999999986</v>
      </c>
    </row>
    <row r="12" spans="1:17" x14ac:dyDescent="0.4">
      <c r="A12" s="53" t="s">
        <v>158</v>
      </c>
      <c r="B12" s="46">
        <v>7</v>
      </c>
      <c r="C12" s="40">
        <f t="shared" si="1"/>
        <v>0.15217391304347827</v>
      </c>
      <c r="E12" s="59" t="s">
        <v>65</v>
      </c>
      <c r="F12" s="56" t="s">
        <v>21</v>
      </c>
      <c r="G12" s="44">
        <v>8</v>
      </c>
      <c r="H12" s="129">
        <f>IF(B$17=0,0,G12/B$17)</f>
        <v>7.476635514018691E-2</v>
      </c>
      <c r="I12" s="90">
        <v>10</v>
      </c>
      <c r="K12" s="36">
        <v>10</v>
      </c>
      <c r="L12" s="95">
        <v>-32.700000000000003</v>
      </c>
      <c r="N12" s="112" t="s">
        <v>164</v>
      </c>
      <c r="O12" s="122">
        <f>IF(P12=0,0,Q12/P12)</f>
        <v>-3.070588235294117</v>
      </c>
      <c r="P12" s="116">
        <v>17</v>
      </c>
      <c r="Q12" s="104">
        <v>-52.199999999999989</v>
      </c>
    </row>
    <row r="13" spans="1:17" x14ac:dyDescent="0.4">
      <c r="A13" s="54" t="s">
        <v>121</v>
      </c>
      <c r="B13" s="47">
        <v>61</v>
      </c>
      <c r="C13" s="42">
        <f>IF(B$3=0,0,B13/B$3)</f>
        <v>0.15211970074812967</v>
      </c>
      <c r="E13" s="59" t="s">
        <v>89</v>
      </c>
      <c r="F13" s="56" t="s">
        <v>44</v>
      </c>
      <c r="G13" s="44">
        <v>7</v>
      </c>
      <c r="H13" s="129">
        <f>IF(B$17=0,0,G13/B$17)</f>
        <v>6.5420560747663545E-2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94</v>
      </c>
      <c r="C14" s="37">
        <f>IF(B$3=0,0,B14/B$3)</f>
        <v>0.23441396508728179</v>
      </c>
      <c r="E14" s="59" t="s">
        <v>81</v>
      </c>
      <c r="F14" s="56" t="s">
        <v>36</v>
      </c>
      <c r="G14" s="44">
        <v>4</v>
      </c>
      <c r="H14" s="129">
        <f>IF(B$17=0,0,G14/B$17)</f>
        <v>3.7383177570093455E-2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31</v>
      </c>
      <c r="C15" s="35">
        <f>IF(B$13=0,0,B15/B$13)</f>
        <v>0.50819672131147542</v>
      </c>
      <c r="E15" s="59" t="s">
        <v>86</v>
      </c>
      <c r="F15" s="56" t="s">
        <v>41</v>
      </c>
      <c r="G15" s="44">
        <v>3</v>
      </c>
      <c r="H15" s="129">
        <f>IF(B$17=0,0,G15/B$17)</f>
        <v>2.8037383177570093E-2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34</v>
      </c>
      <c r="C16" s="35">
        <f>IF(B$14=0,0,B16/B$14)</f>
        <v>0.36170212765957449</v>
      </c>
      <c r="E16" s="59" t="s">
        <v>91</v>
      </c>
      <c r="F16" s="56" t="s">
        <v>46</v>
      </c>
      <c r="G16" s="44">
        <v>3</v>
      </c>
      <c r="H16" s="129">
        <f>IF(B$17=0,0,G16/B$17)</f>
        <v>2.8037383177570093E-2</v>
      </c>
      <c r="I16" s="90">
        <v>2</v>
      </c>
      <c r="K16" s="36">
        <v>14</v>
      </c>
      <c r="L16" s="95">
        <v>-51.1</v>
      </c>
      <c r="N16" s="111" t="s">
        <v>127</v>
      </c>
      <c r="O16" s="121">
        <f>IF(P16=0,0,Q16/P16)</f>
        <v>-0.24285714285714377</v>
      </c>
      <c r="P16" s="115">
        <v>21</v>
      </c>
      <c r="Q16" s="103">
        <v>-5.1000000000000192</v>
      </c>
    </row>
    <row r="17" spans="1:17" x14ac:dyDescent="0.4">
      <c r="A17" s="50" t="s">
        <v>10</v>
      </c>
      <c r="B17" s="43">
        <f>B19+B18</f>
        <v>107</v>
      </c>
      <c r="C17" s="35">
        <f>IF(B$3=0,0,B17/B$3)</f>
        <v>0.26683291770573564</v>
      </c>
      <c r="E17" s="59" t="s">
        <v>88</v>
      </c>
      <c r="F17" s="56" t="s">
        <v>43</v>
      </c>
      <c r="G17" s="44">
        <v>2</v>
      </c>
      <c r="H17" s="129">
        <f>IF(B$17=0,0,G17/B$17)</f>
        <v>1.8691588785046728E-2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>IF(P17=0,0,Q17/P17)</f>
        <v>-2.2160000000000002</v>
      </c>
      <c r="P17" s="115">
        <v>25</v>
      </c>
      <c r="Q17" s="103">
        <v>-55.400000000000006</v>
      </c>
    </row>
    <row r="18" spans="1:17" x14ac:dyDescent="0.4">
      <c r="A18" s="51" t="s">
        <v>12</v>
      </c>
      <c r="B18" s="44">
        <v>46</v>
      </c>
      <c r="C18" s="37">
        <f>IF(B$17=0,0,B18/B$17)</f>
        <v>0.42990654205607476</v>
      </c>
      <c r="E18" s="59" t="s">
        <v>74</v>
      </c>
      <c r="F18" s="56" t="s">
        <v>29</v>
      </c>
      <c r="G18" s="44">
        <v>1</v>
      </c>
      <c r="H18" s="129">
        <f>IF(B$17=0,0,G18/B$17)</f>
        <v>9.3457943925233638E-3</v>
      </c>
      <c r="I18" s="90">
        <v>2</v>
      </c>
      <c r="K18" s="36">
        <v>16</v>
      </c>
      <c r="L18" s="95">
        <v>-70.600000000000009</v>
      </c>
      <c r="N18" s="111" t="s">
        <v>178</v>
      </c>
      <c r="O18" s="121">
        <f>IF(P18=0,0,Q18/P18)</f>
        <v>-2.8312499999999998</v>
      </c>
      <c r="P18" s="115">
        <v>16</v>
      </c>
      <c r="Q18" s="103">
        <v>-45.3</v>
      </c>
    </row>
    <row r="19" spans="1:17" x14ac:dyDescent="0.4">
      <c r="A19" s="51" t="s">
        <v>11</v>
      </c>
      <c r="B19" s="44">
        <v>61</v>
      </c>
      <c r="C19" s="37">
        <f>IF(B$17=0,0,B19/B$17)</f>
        <v>0.57009345794392519</v>
      </c>
      <c r="E19" s="59" t="s">
        <v>75</v>
      </c>
      <c r="F19" s="56" t="s">
        <v>30</v>
      </c>
      <c r="G19" s="44">
        <v>1</v>
      </c>
      <c r="H19" s="129">
        <f>IF(B$17=0,0,G19/B$17)</f>
        <v>9.3457943925233638E-3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>IF(P19=0,0,Q19/P19)</f>
        <v>-7.0692307692307708</v>
      </c>
      <c r="P19" s="115">
        <v>13</v>
      </c>
      <c r="Q19" s="103">
        <v>-91.90000000000002</v>
      </c>
    </row>
    <row r="20" spans="1:17" x14ac:dyDescent="0.4">
      <c r="A20" s="51" t="s">
        <v>13</v>
      </c>
      <c r="B20" s="44">
        <v>58</v>
      </c>
      <c r="C20" s="37">
        <f>IF(B$3=0,0,B20/B$3)</f>
        <v>0.14463840399002495</v>
      </c>
      <c r="E20" s="59" t="s">
        <v>77</v>
      </c>
      <c r="F20" s="56" t="s">
        <v>32</v>
      </c>
      <c r="G20" s="44">
        <v>1</v>
      </c>
      <c r="H20" s="129">
        <f>IF(B$17=0,0,G20/B$17)</f>
        <v>9.3457943925233638E-3</v>
      </c>
      <c r="I20" s="90">
        <v>2</v>
      </c>
      <c r="K20" s="36">
        <v>18</v>
      </c>
      <c r="L20" s="95">
        <v>-80.2</v>
      </c>
      <c r="N20" s="111" t="s">
        <v>177</v>
      </c>
      <c r="O20" s="121">
        <f>IF(P20=0,0,Q20/P20)</f>
        <v>-24.4</v>
      </c>
      <c r="P20" s="115">
        <v>7</v>
      </c>
      <c r="Q20" s="103">
        <v>-170.79999999999998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9.3457943925233638E-3</v>
      </c>
      <c r="I21" s="90">
        <v>1</v>
      </c>
      <c r="K21" s="36">
        <v>19</v>
      </c>
      <c r="L21" s="95">
        <v>-115.1</v>
      </c>
      <c r="N21" s="111" t="s">
        <v>182</v>
      </c>
      <c r="O21" s="121">
        <f>IF(P21=0,0,Q21/P21)</f>
        <v>-28.449999999999996</v>
      </c>
      <c r="P21" s="115">
        <v>4</v>
      </c>
      <c r="Q21" s="103">
        <v>-113.79999999999998</v>
      </c>
    </row>
    <row r="22" spans="1:17" x14ac:dyDescent="0.4">
      <c r="A22" s="51" t="s">
        <v>170</v>
      </c>
      <c r="B22" s="44">
        <v>32</v>
      </c>
      <c r="C22" s="131">
        <v>1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7148.5981308411219</v>
      </c>
      <c r="C23" s="39">
        <v>764900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7486.3013698630139</v>
      </c>
      <c r="C24" s="137">
        <v>546500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6423.5294117647063</v>
      </c>
      <c r="C25" s="137">
        <v>218400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-6755.1724137931033</v>
      </c>
      <c r="C26" s="137">
        <v>-391800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4.9875311720698253E-3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D46-768B-490A-B4D6-E4F4CCC91374}">
  <sheetPr codeName="Sheet9"/>
  <dimension ref="A1:Q10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102</v>
      </c>
      <c r="C2" s="149"/>
      <c r="E2" s="58" t="s">
        <v>66</v>
      </c>
      <c r="F2" s="55" t="s">
        <v>22</v>
      </c>
      <c r="G2" s="43">
        <v>188</v>
      </c>
      <c r="H2" s="128">
        <f>IF(B$17=0,0,G2/B$17)</f>
        <v>0.67870036101083031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991.08910891089113</v>
      </c>
      <c r="P2" s="114">
        <v>101</v>
      </c>
      <c r="Q2" s="98">
        <v>100100</v>
      </c>
    </row>
    <row r="3" spans="1:17" x14ac:dyDescent="0.4">
      <c r="A3" s="51" t="s">
        <v>8</v>
      </c>
      <c r="B3" s="150">
        <v>820</v>
      </c>
      <c r="C3" s="151"/>
      <c r="E3" s="59" t="s">
        <v>72</v>
      </c>
      <c r="F3" s="56" t="s">
        <v>27</v>
      </c>
      <c r="G3" s="44">
        <v>135</v>
      </c>
      <c r="H3" s="129">
        <f>IF(B$17=0,0,G3/B$17)</f>
        <v>0.48736462093862815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-13.26530612244898</v>
      </c>
      <c r="P3" s="115">
        <v>98</v>
      </c>
      <c r="Q3" s="99">
        <v>-1300</v>
      </c>
    </row>
    <row r="4" spans="1:17" x14ac:dyDescent="0.4">
      <c r="A4" s="51" t="s">
        <v>6</v>
      </c>
      <c r="B4" s="152">
        <v>767.39999999999986</v>
      </c>
      <c r="C4" s="153"/>
      <c r="E4" s="59" t="s">
        <v>64</v>
      </c>
      <c r="F4" s="56" t="s">
        <v>20</v>
      </c>
      <c r="G4" s="44">
        <v>125</v>
      </c>
      <c r="H4" s="129">
        <f>IF(B$17=0,0,G4/B$17)</f>
        <v>0.45126353790613716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257.89473684210526</v>
      </c>
      <c r="P4" s="115">
        <v>95</v>
      </c>
      <c r="Q4" s="99">
        <v>24500</v>
      </c>
    </row>
    <row r="5" spans="1:17" x14ac:dyDescent="0.4">
      <c r="A5" s="51" t="s">
        <v>7</v>
      </c>
      <c r="B5" s="154">
        <f>IF(B$2=0,0,B$4/B$2)</f>
        <v>7.5235294117647049</v>
      </c>
      <c r="C5" s="155"/>
      <c r="E5" s="59" t="s">
        <v>171</v>
      </c>
      <c r="F5" s="56" t="s">
        <v>172</v>
      </c>
      <c r="G5" s="44">
        <v>104</v>
      </c>
      <c r="H5" s="129">
        <f>IF(B$17=0,0,G5/B$17)</f>
        <v>0.37545126353790614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-308.04597701149424</v>
      </c>
      <c r="P5" s="115">
        <v>87</v>
      </c>
      <c r="Q5" s="99">
        <v>-26800</v>
      </c>
    </row>
    <row r="6" spans="1:17" x14ac:dyDescent="0.4">
      <c r="A6" s="51" t="s">
        <v>1</v>
      </c>
      <c r="B6" s="144">
        <f>IF(B$2=0,0,(B$7*1+B$8*2+B$9*3)/B$2)</f>
        <v>1.7647058823529411</v>
      </c>
      <c r="C6" s="145"/>
      <c r="E6" s="59" t="s">
        <v>68</v>
      </c>
      <c r="F6" s="56" t="s">
        <v>12</v>
      </c>
      <c r="G6" s="44">
        <v>82</v>
      </c>
      <c r="H6" s="129">
        <f>IF(B$17=0,0,G6/B$17)</f>
        <v>0.29602888086642598</v>
      </c>
      <c r="I6" s="90">
        <v>7</v>
      </c>
      <c r="K6" s="36">
        <v>4</v>
      </c>
      <c r="L6" s="95">
        <v>101.60000000000001</v>
      </c>
      <c r="N6" s="111" t="s">
        <v>134</v>
      </c>
      <c r="O6" s="118">
        <f t="shared" si="0"/>
        <v>2169.1358024691358</v>
      </c>
      <c r="P6" s="115">
        <v>81</v>
      </c>
      <c r="Q6" s="99">
        <v>175700</v>
      </c>
    </row>
    <row r="7" spans="1:17" x14ac:dyDescent="0.4">
      <c r="A7" s="51" t="s">
        <v>2</v>
      </c>
      <c r="B7" s="44">
        <v>49</v>
      </c>
      <c r="C7" s="37">
        <f t="shared" ref="C7:C12" si="1">IF(B$2=0,0,B7/B$2)</f>
        <v>0.48039215686274511</v>
      </c>
      <c r="E7" s="59" t="s">
        <v>67</v>
      </c>
      <c r="F7" s="56" t="s">
        <v>23</v>
      </c>
      <c r="G7" s="44">
        <v>68</v>
      </c>
      <c r="H7" s="129">
        <f>IF(B$17=0,0,G7/B$17)</f>
        <v>0.24548736462093862</v>
      </c>
      <c r="I7" s="90">
        <v>9</v>
      </c>
      <c r="K7" s="36">
        <v>5</v>
      </c>
      <c r="L7" s="95">
        <v>99.9</v>
      </c>
      <c r="N7" s="112" t="s">
        <v>135</v>
      </c>
      <c r="O7" s="119">
        <f t="shared" si="0"/>
        <v>3282.0895522388059</v>
      </c>
      <c r="P7" s="116">
        <v>67</v>
      </c>
      <c r="Q7" s="100">
        <v>219900</v>
      </c>
    </row>
    <row r="8" spans="1:17" x14ac:dyDescent="0.4">
      <c r="A8" s="51" t="s">
        <v>3</v>
      </c>
      <c r="B8" s="44">
        <v>28</v>
      </c>
      <c r="C8" s="37">
        <f t="shared" si="1"/>
        <v>0.27450980392156865</v>
      </c>
      <c r="E8" s="59" t="s">
        <v>69</v>
      </c>
      <c r="F8" s="56" t="s">
        <v>24</v>
      </c>
      <c r="G8" s="44">
        <v>45</v>
      </c>
      <c r="H8" s="129">
        <f>IF(B$17=0,0,G8/B$17)</f>
        <v>0.16245487364620939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0.24509803921568626</v>
      </c>
      <c r="E9" s="59" t="s">
        <v>89</v>
      </c>
      <c r="F9" s="56" t="s">
        <v>44</v>
      </c>
      <c r="G9" s="44">
        <v>43</v>
      </c>
      <c r="H9" s="129">
        <f>IF(B$17=0,0,G9/B$17)</f>
        <v>0.1552346570397112</v>
      </c>
      <c r="I9" s="90">
        <v>3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4.9019607843137254E-2</v>
      </c>
      <c r="E10" s="59" t="s">
        <v>65</v>
      </c>
      <c r="F10" s="56" t="s">
        <v>21</v>
      </c>
      <c r="G10" s="44">
        <v>32</v>
      </c>
      <c r="H10" s="129">
        <f>IF(B$17=0,0,G10/B$17)</f>
        <v>0.11552346570397112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9.36551724137931</v>
      </c>
      <c r="P10" s="114">
        <v>29</v>
      </c>
      <c r="Q10" s="102">
        <v>271.59999999999997</v>
      </c>
    </row>
    <row r="11" spans="1:17" x14ac:dyDescent="0.4">
      <c r="A11" s="52" t="s">
        <v>138</v>
      </c>
      <c r="B11" s="45">
        <v>12</v>
      </c>
      <c r="C11" s="38">
        <f t="shared" si="1"/>
        <v>0.11764705882352941</v>
      </c>
      <c r="E11" s="59" t="s">
        <v>71</v>
      </c>
      <c r="F11" s="56" t="s">
        <v>26</v>
      </c>
      <c r="G11" s="44">
        <v>20</v>
      </c>
      <c r="H11" s="129">
        <f>IF(B$17=0,0,G11/B$17)</f>
        <v>7.2202166064981949E-2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3.9805555555555561</v>
      </c>
      <c r="P11" s="115">
        <v>36</v>
      </c>
      <c r="Q11" s="103">
        <v>143.30000000000001</v>
      </c>
    </row>
    <row r="12" spans="1:17" x14ac:dyDescent="0.4">
      <c r="A12" s="53" t="s">
        <v>158</v>
      </c>
      <c r="B12" s="46">
        <v>12</v>
      </c>
      <c r="C12" s="40">
        <f t="shared" si="1"/>
        <v>0.11764705882352941</v>
      </c>
      <c r="E12" s="59" t="s">
        <v>70</v>
      </c>
      <c r="F12" s="56" t="s">
        <v>25</v>
      </c>
      <c r="G12" s="44">
        <v>15</v>
      </c>
      <c r="H12" s="129">
        <f>IF(B$17=0,0,G12/B$17)</f>
        <v>5.4151624548736461E-2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9.5270270270270263</v>
      </c>
      <c r="P12" s="116">
        <v>37</v>
      </c>
      <c r="Q12" s="104">
        <v>352.49999999999994</v>
      </c>
    </row>
    <row r="13" spans="1:17" x14ac:dyDescent="0.4">
      <c r="A13" s="54" t="s">
        <v>121</v>
      </c>
      <c r="B13" s="47">
        <v>224</v>
      </c>
      <c r="C13" s="42">
        <f>IF(B$3=0,0,B13/B$3)</f>
        <v>0.27317073170731709</v>
      </c>
      <c r="E13" s="59" t="s">
        <v>86</v>
      </c>
      <c r="F13" s="56" t="s">
        <v>41</v>
      </c>
      <c r="G13" s="44">
        <v>14</v>
      </c>
      <c r="H13" s="129">
        <f>IF(B$17=0,0,G13/B$17)</f>
        <v>5.0541516245487361E-2</v>
      </c>
      <c r="I13" s="90">
        <v>5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185</v>
      </c>
      <c r="C14" s="37">
        <f>IF(B$3=0,0,B14/B$3)</f>
        <v>0.22560975609756098</v>
      </c>
      <c r="E14" s="59" t="s">
        <v>83</v>
      </c>
      <c r="F14" s="56" t="s">
        <v>38</v>
      </c>
      <c r="G14" s="44">
        <v>13</v>
      </c>
      <c r="H14" s="129">
        <f>IF(B$17=0,0,G14/B$17)</f>
        <v>4.6931407942238268E-2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134</v>
      </c>
      <c r="C15" s="35">
        <f>IF(B$13=0,0,B15/B$13)</f>
        <v>0.5982142857142857</v>
      </c>
      <c r="E15" s="59" t="s">
        <v>167</v>
      </c>
      <c r="F15" s="56" t="s">
        <v>168</v>
      </c>
      <c r="G15" s="44">
        <v>12</v>
      </c>
      <c r="H15" s="129">
        <f>IF(B$17=0,0,G15/B$17)</f>
        <v>4.3321299638989168E-2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53.400000000000006</v>
      </c>
      <c r="P15" s="114">
        <v>6</v>
      </c>
      <c r="Q15" s="102">
        <v>320.40000000000003</v>
      </c>
    </row>
    <row r="16" spans="1:17" x14ac:dyDescent="0.4">
      <c r="A16" s="50" t="s">
        <v>124</v>
      </c>
      <c r="B16" s="43">
        <v>89</v>
      </c>
      <c r="C16" s="35">
        <f>IF(B$14=0,0,B16/B$14)</f>
        <v>0.48108108108108111</v>
      </c>
      <c r="E16" s="59" t="s">
        <v>78</v>
      </c>
      <c r="F16" s="56" t="s">
        <v>33</v>
      </c>
      <c r="G16" s="44">
        <v>10</v>
      </c>
      <c r="H16" s="129">
        <f>IF(B$17=0,0,G16/B$17)</f>
        <v>3.6101083032490974E-2</v>
      </c>
      <c r="I16" s="90">
        <v>3</v>
      </c>
      <c r="K16" s="36">
        <v>14</v>
      </c>
      <c r="L16" s="95">
        <v>240.09999999999997</v>
      </c>
      <c r="N16" s="111" t="s">
        <v>182</v>
      </c>
      <c r="O16" s="121">
        <f>IF(P16=0,0,Q16/P16)</f>
        <v>21.422222222222214</v>
      </c>
      <c r="P16" s="115">
        <v>9</v>
      </c>
      <c r="Q16" s="103">
        <v>192.79999999999993</v>
      </c>
    </row>
    <row r="17" spans="1:17" x14ac:dyDescent="0.4">
      <c r="A17" s="50" t="s">
        <v>10</v>
      </c>
      <c r="B17" s="43">
        <f>B19+B18</f>
        <v>277</v>
      </c>
      <c r="C17" s="35">
        <f>IF(B$3=0,0,B17/B$3)</f>
        <v>0.33780487804878051</v>
      </c>
      <c r="E17" s="59" t="s">
        <v>77</v>
      </c>
      <c r="F17" s="56" t="s">
        <v>32</v>
      </c>
      <c r="G17" s="44">
        <v>3</v>
      </c>
      <c r="H17" s="129">
        <f>IF(B$17=0,0,G17/B$17)</f>
        <v>1.0830324909747292E-2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16.702439024390245</v>
      </c>
      <c r="P17" s="115">
        <v>41</v>
      </c>
      <c r="Q17" s="103">
        <v>684.80000000000007</v>
      </c>
    </row>
    <row r="18" spans="1:17" x14ac:dyDescent="0.4">
      <c r="A18" s="51" t="s">
        <v>12</v>
      </c>
      <c r="B18" s="44">
        <v>119</v>
      </c>
      <c r="C18" s="37">
        <f>IF(B$17=0,0,B18/B$17)</f>
        <v>0.4296028880866426</v>
      </c>
      <c r="E18" s="59" t="s">
        <v>84</v>
      </c>
      <c r="F18" s="56" t="s">
        <v>39</v>
      </c>
      <c r="G18" s="44">
        <v>3</v>
      </c>
      <c r="H18" s="129">
        <f>IF(B$17=0,0,G18/B$17)</f>
        <v>1.0830324909747292E-2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16.089473684210528</v>
      </c>
      <c r="P18" s="115">
        <v>38</v>
      </c>
      <c r="Q18" s="103">
        <v>611.40000000000009</v>
      </c>
    </row>
    <row r="19" spans="1:17" x14ac:dyDescent="0.4">
      <c r="A19" s="51" t="s">
        <v>11</v>
      </c>
      <c r="B19" s="44">
        <v>158</v>
      </c>
      <c r="C19" s="37">
        <f>IF(B$17=0,0,B19/B$17)</f>
        <v>0.5703971119133574</v>
      </c>
      <c r="E19" s="59" t="s">
        <v>75</v>
      </c>
      <c r="F19" s="56" t="s">
        <v>30</v>
      </c>
      <c r="G19" s="44">
        <v>2</v>
      </c>
      <c r="H19" s="129">
        <f>IF(B$17=0,0,G19/B$17)</f>
        <v>7.2202166064981952E-3</v>
      </c>
      <c r="I19" s="90">
        <v>5</v>
      </c>
      <c r="K19" s="36">
        <v>17</v>
      </c>
      <c r="L19" s="95">
        <v>359.09999999999991</v>
      </c>
      <c r="N19" s="111" t="s">
        <v>127</v>
      </c>
      <c r="O19" s="121">
        <f>IF(P19=0,0,Q19/P19)</f>
        <v>10.216129032258062</v>
      </c>
      <c r="P19" s="115">
        <v>62</v>
      </c>
      <c r="Q19" s="103">
        <v>633.39999999999986</v>
      </c>
    </row>
    <row r="20" spans="1:17" x14ac:dyDescent="0.4">
      <c r="A20" s="51" t="s">
        <v>13</v>
      </c>
      <c r="B20" s="44">
        <v>108</v>
      </c>
      <c r="C20" s="37">
        <f>IF(B$3=0,0,B20/B$3)</f>
        <v>0.13170731707317074</v>
      </c>
      <c r="E20" s="59" t="s">
        <v>85</v>
      </c>
      <c r="F20" s="56" t="s">
        <v>40</v>
      </c>
      <c r="G20" s="44">
        <v>2</v>
      </c>
      <c r="H20" s="129">
        <f>IF(B$17=0,0,G20/B$17)</f>
        <v>7.2202166064981952E-3</v>
      </c>
      <c r="I20" s="90">
        <v>3</v>
      </c>
      <c r="K20" s="36">
        <v>18</v>
      </c>
      <c r="L20" s="95">
        <v>352.39999999999992</v>
      </c>
      <c r="N20" s="111" t="s">
        <v>166</v>
      </c>
      <c r="O20" s="121">
        <f>IF(P20=0,0,Q20/P20)</f>
        <v>2.2159999999999993</v>
      </c>
      <c r="P20" s="115">
        <v>25</v>
      </c>
      <c r="Q20" s="103">
        <v>55.399999999999977</v>
      </c>
    </row>
    <row r="21" spans="1:17" x14ac:dyDescent="0.4">
      <c r="A21" s="51" t="s">
        <v>169</v>
      </c>
      <c r="B21" s="44">
        <v>5</v>
      </c>
      <c r="C21" s="131">
        <v>3</v>
      </c>
      <c r="E21" s="59" t="s">
        <v>88</v>
      </c>
      <c r="F21" s="56" t="s">
        <v>43</v>
      </c>
      <c r="G21" s="44">
        <v>2</v>
      </c>
      <c r="H21" s="129">
        <f>IF(B$17=0,0,G21/B$17)</f>
        <v>7.2202166064981952E-3</v>
      </c>
      <c r="I21" s="90">
        <v>2</v>
      </c>
      <c r="K21" s="36">
        <v>19</v>
      </c>
      <c r="L21" s="95">
        <v>383.19999999999993</v>
      </c>
      <c r="N21" s="111" t="s">
        <v>177</v>
      </c>
      <c r="O21" s="121">
        <f>IF(P21=0,0,Q21/P21)</f>
        <v>-5.7045454545454559</v>
      </c>
      <c r="P21" s="115">
        <v>22</v>
      </c>
      <c r="Q21" s="103">
        <v>-125.50000000000003</v>
      </c>
    </row>
    <row r="22" spans="1:17" x14ac:dyDescent="0.4">
      <c r="A22" s="51" t="s">
        <v>170</v>
      </c>
      <c r="B22" s="44">
        <v>43</v>
      </c>
      <c r="C22" s="131">
        <v>8</v>
      </c>
      <c r="E22" s="59" t="s">
        <v>91</v>
      </c>
      <c r="F22" s="56" t="s">
        <v>46</v>
      </c>
      <c r="G22" s="44">
        <v>2</v>
      </c>
      <c r="H22" s="129">
        <f>IF(B$17=0,0,G22/B$17)</f>
        <v>7.2202166064981952E-3</v>
      </c>
      <c r="I22" s="90">
        <v>5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7788.8086642599274</v>
      </c>
      <c r="C23" s="39">
        <v>2157500</v>
      </c>
      <c r="E23" s="59" t="s">
        <v>92</v>
      </c>
      <c r="F23" s="56" t="s">
        <v>47</v>
      </c>
      <c r="G23" s="44">
        <v>2</v>
      </c>
      <c r="H23" s="129">
        <f>IF(B$17=0,0,G23/B$17)</f>
        <v>7.2202166064981952E-3</v>
      </c>
      <c r="I23" s="90">
        <v>2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7701.0638297872338</v>
      </c>
      <c r="C24" s="137">
        <v>1447800</v>
      </c>
      <c r="E24" s="59" t="s">
        <v>74</v>
      </c>
      <c r="F24" s="56" t="s">
        <v>29</v>
      </c>
      <c r="G24" s="44">
        <v>1</v>
      </c>
      <c r="H24" s="129">
        <f>IF(B$17=0,0,G24/B$17)</f>
        <v>3.6101083032490976E-3</v>
      </c>
      <c r="I24" s="90">
        <v>6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7974.1573033707864</v>
      </c>
      <c r="C25" s="137">
        <v>709700</v>
      </c>
      <c r="E25" s="59" t="s">
        <v>79</v>
      </c>
      <c r="F25" s="56" t="s">
        <v>34</v>
      </c>
      <c r="G25" s="44">
        <v>1</v>
      </c>
      <c r="H25" s="129">
        <f>IF(B$17=0,0,G25/B$17)</f>
        <v>3.6101083032490976E-3</v>
      </c>
      <c r="I25" s="90">
        <v>6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-7821.2962962962965</v>
      </c>
      <c r="C26" s="137">
        <v>-844700</v>
      </c>
      <c r="E26" s="59" t="s">
        <v>81</v>
      </c>
      <c r="F26" s="56" t="s">
        <v>36</v>
      </c>
      <c r="G26" s="44">
        <v>1</v>
      </c>
      <c r="H26" s="129">
        <f>IF(B$17=0,0,G26/B$17)</f>
        <v>3.6101083032490976E-3</v>
      </c>
      <c r="I26" s="90">
        <v>9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3.6101083032490976E-3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3.6101083032490976E-3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1.2195121951219512E-3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99B0-06A3-40C1-A7F5-6018324DBA32}">
  <sheetPr codeName="Sheet11"/>
  <dimension ref="A1:Q9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92</v>
      </c>
      <c r="C2" s="149"/>
      <c r="E2" s="58" t="s">
        <v>66</v>
      </c>
      <c r="F2" s="55" t="s">
        <v>22</v>
      </c>
      <c r="G2" s="43">
        <v>224</v>
      </c>
      <c r="H2" s="128">
        <f>IF(B$17=0,0,G2/B$17)</f>
        <v>0.91428571428571426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-1731.868131868132</v>
      </c>
      <c r="P2" s="114">
        <v>91</v>
      </c>
      <c r="Q2" s="98">
        <v>-157600</v>
      </c>
    </row>
    <row r="3" spans="1:17" x14ac:dyDescent="0.4">
      <c r="A3" s="51" t="s">
        <v>8</v>
      </c>
      <c r="B3" s="150">
        <v>786</v>
      </c>
      <c r="C3" s="151"/>
      <c r="E3" s="59" t="s">
        <v>72</v>
      </c>
      <c r="F3" s="56" t="s">
        <v>27</v>
      </c>
      <c r="G3" s="44">
        <v>141</v>
      </c>
      <c r="H3" s="129">
        <f>IF(B$17=0,0,G3/B$17)</f>
        <v>0.57551020408163267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1569.6629213483145</v>
      </c>
      <c r="P3" s="115">
        <v>89</v>
      </c>
      <c r="Q3" s="99">
        <v>139700</v>
      </c>
    </row>
    <row r="4" spans="1:17" x14ac:dyDescent="0.4">
      <c r="A4" s="51" t="s">
        <v>6</v>
      </c>
      <c r="B4" s="152">
        <v>267.79999999999978</v>
      </c>
      <c r="C4" s="153"/>
      <c r="E4" s="59" t="s">
        <v>171</v>
      </c>
      <c r="F4" s="56" t="s">
        <v>172</v>
      </c>
      <c r="G4" s="44">
        <v>105</v>
      </c>
      <c r="H4" s="129">
        <f>IF(B$17=0,0,G4/B$17)</f>
        <v>0.42857142857142855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241.66666666666666</v>
      </c>
      <c r="P4" s="115">
        <v>84</v>
      </c>
      <c r="Q4" s="99">
        <v>20300</v>
      </c>
    </row>
    <row r="5" spans="1:17" x14ac:dyDescent="0.4">
      <c r="A5" s="51" t="s">
        <v>7</v>
      </c>
      <c r="B5" s="154">
        <f>IF(B$2=0,0,B$4/B$2)</f>
        <v>2.9108695652173888</v>
      </c>
      <c r="C5" s="155"/>
      <c r="E5" s="59" t="s">
        <v>64</v>
      </c>
      <c r="F5" s="56" t="s">
        <v>20</v>
      </c>
      <c r="G5" s="44">
        <v>96</v>
      </c>
      <c r="H5" s="129">
        <f>IF(B$17=0,0,G5/B$17)</f>
        <v>0.39183673469387753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2288.6075949367087</v>
      </c>
      <c r="P5" s="115">
        <v>79</v>
      </c>
      <c r="Q5" s="99">
        <v>180800</v>
      </c>
    </row>
    <row r="6" spans="1:17" x14ac:dyDescent="0.4">
      <c r="A6" s="51" t="s">
        <v>1</v>
      </c>
      <c r="B6" s="144">
        <f>IF(B$2=0,0,(B$7*1+B$8*2+B$9*3)/B$2)</f>
        <v>1.923913043478261</v>
      </c>
      <c r="C6" s="145"/>
      <c r="E6" s="59" t="s">
        <v>68</v>
      </c>
      <c r="F6" s="56" t="s">
        <v>12</v>
      </c>
      <c r="G6" s="44">
        <v>65</v>
      </c>
      <c r="H6" s="129">
        <f>IF(B$17=0,0,G6/B$17)</f>
        <v>0.26530612244897961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-350.6849315068493</v>
      </c>
      <c r="P6" s="115">
        <v>73</v>
      </c>
      <c r="Q6" s="99">
        <v>-25600</v>
      </c>
    </row>
    <row r="7" spans="1:17" x14ac:dyDescent="0.4">
      <c r="A7" s="51" t="s">
        <v>2</v>
      </c>
      <c r="B7" s="44">
        <v>35</v>
      </c>
      <c r="C7" s="37">
        <f t="shared" ref="C7:C12" si="1">IF(B$2=0,0,B7/B$2)</f>
        <v>0.38043478260869568</v>
      </c>
      <c r="E7" s="59" t="s">
        <v>67</v>
      </c>
      <c r="F7" s="56" t="s">
        <v>23</v>
      </c>
      <c r="G7" s="44">
        <v>52</v>
      </c>
      <c r="H7" s="129">
        <f>IF(B$17=0,0,G7/B$17)</f>
        <v>0.21224489795918366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1511.2903225806451</v>
      </c>
      <c r="P7" s="116">
        <v>62</v>
      </c>
      <c r="Q7" s="100">
        <v>93700</v>
      </c>
    </row>
    <row r="8" spans="1:17" x14ac:dyDescent="0.4">
      <c r="A8" s="51" t="s">
        <v>3</v>
      </c>
      <c r="B8" s="44">
        <v>29</v>
      </c>
      <c r="C8" s="37">
        <f t="shared" si="1"/>
        <v>0.31521739130434784</v>
      </c>
      <c r="E8" s="59" t="s">
        <v>89</v>
      </c>
      <c r="F8" s="56" t="s">
        <v>44</v>
      </c>
      <c r="G8" s="44">
        <v>31</v>
      </c>
      <c r="H8" s="129">
        <f>IF(B$17=0,0,G8/B$17)</f>
        <v>0.12653061224489795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0.30434782608695654</v>
      </c>
      <c r="E9" s="59" t="s">
        <v>69</v>
      </c>
      <c r="F9" s="56" t="s">
        <v>24</v>
      </c>
      <c r="G9" s="44">
        <v>29</v>
      </c>
      <c r="H9" s="129">
        <f>IF(B$17=0,0,G9/B$17)</f>
        <v>0.11836734693877551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13</v>
      </c>
      <c r="C10" s="38">
        <f t="shared" si="1"/>
        <v>0.14130434782608695</v>
      </c>
      <c r="E10" s="59" t="s">
        <v>65</v>
      </c>
      <c r="F10" s="56" t="s">
        <v>21</v>
      </c>
      <c r="G10" s="44">
        <v>22</v>
      </c>
      <c r="H10" s="129">
        <f>IF(B$17=0,0,G10/B$17)</f>
        <v>8.9795918367346933E-2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4.7285714285714295</v>
      </c>
      <c r="P10" s="114">
        <v>21</v>
      </c>
      <c r="Q10" s="102">
        <v>99.300000000000026</v>
      </c>
    </row>
    <row r="11" spans="1:17" x14ac:dyDescent="0.4">
      <c r="A11" s="52" t="s">
        <v>138</v>
      </c>
      <c r="B11" s="45">
        <v>10</v>
      </c>
      <c r="C11" s="38">
        <f t="shared" si="1"/>
        <v>0.10869565217391304</v>
      </c>
      <c r="E11" s="59" t="s">
        <v>71</v>
      </c>
      <c r="F11" s="56" t="s">
        <v>26</v>
      </c>
      <c r="G11" s="44">
        <v>21</v>
      </c>
      <c r="H11" s="129">
        <f>IF(B$17=0,0,G11/B$17)</f>
        <v>8.5714285714285715E-2</v>
      </c>
      <c r="I11" s="90">
        <v>6</v>
      </c>
      <c r="K11" s="36">
        <v>9</v>
      </c>
      <c r="L11" s="95">
        <v>-83.699999999999989</v>
      </c>
      <c r="N11" s="111" t="s">
        <v>163</v>
      </c>
      <c r="O11" s="121">
        <f>IF(P11=0,0,Q11/P11)</f>
        <v>7.8777777777777782</v>
      </c>
      <c r="P11" s="115">
        <v>27</v>
      </c>
      <c r="Q11" s="103">
        <v>212.70000000000002</v>
      </c>
    </row>
    <row r="12" spans="1:17" x14ac:dyDescent="0.4">
      <c r="A12" s="53" t="s">
        <v>158</v>
      </c>
      <c r="B12" s="46">
        <v>17</v>
      </c>
      <c r="C12" s="40">
        <f t="shared" si="1"/>
        <v>0.18478260869565216</v>
      </c>
      <c r="E12" s="59" t="s">
        <v>70</v>
      </c>
      <c r="F12" s="56" t="s">
        <v>25</v>
      </c>
      <c r="G12" s="44">
        <v>20</v>
      </c>
      <c r="H12" s="129">
        <f>IF(B$17=0,0,G12/B$17)</f>
        <v>8.1632653061224483E-2</v>
      </c>
      <c r="I12" s="90">
        <v>7</v>
      </c>
      <c r="K12" s="36">
        <v>10</v>
      </c>
      <c r="L12" s="95">
        <v>-78.399999999999991</v>
      </c>
      <c r="N12" s="112" t="s">
        <v>164</v>
      </c>
      <c r="O12" s="122">
        <f>IF(P12=0,0,Q12/P12)</f>
        <v>-1.0045454545454555</v>
      </c>
      <c r="P12" s="116">
        <v>44</v>
      </c>
      <c r="Q12" s="104">
        <v>-44.200000000000038</v>
      </c>
    </row>
    <row r="13" spans="1:17" x14ac:dyDescent="0.4">
      <c r="A13" s="54" t="s">
        <v>121</v>
      </c>
      <c r="B13" s="47">
        <v>184</v>
      </c>
      <c r="C13" s="42">
        <f>IF(B$3=0,0,B13/B$3)</f>
        <v>0.2340966921119593</v>
      </c>
      <c r="E13" s="59" t="s">
        <v>86</v>
      </c>
      <c r="F13" s="56" t="s">
        <v>41</v>
      </c>
      <c r="G13" s="44">
        <v>18</v>
      </c>
      <c r="H13" s="129">
        <f>IF(B$17=0,0,G13/B$17)</f>
        <v>7.3469387755102047E-2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243</v>
      </c>
      <c r="C14" s="37">
        <f>IF(B$3=0,0,B14/B$3)</f>
        <v>0.30916030534351147</v>
      </c>
      <c r="E14" s="59" t="s">
        <v>83</v>
      </c>
      <c r="F14" s="56" t="s">
        <v>38</v>
      </c>
      <c r="G14" s="44">
        <v>14</v>
      </c>
      <c r="H14" s="129">
        <f>IF(B$17=0,0,G14/B$17)</f>
        <v>5.7142857142857141E-2</v>
      </c>
      <c r="I14" s="90">
        <v>6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95</v>
      </c>
      <c r="C15" s="35">
        <f>IF(B$13=0,0,B15/B$13)</f>
        <v>0.51630434782608692</v>
      </c>
      <c r="E15" s="59" t="s">
        <v>91</v>
      </c>
      <c r="F15" s="56" t="s">
        <v>46</v>
      </c>
      <c r="G15" s="44">
        <v>8</v>
      </c>
      <c r="H15" s="129">
        <f>IF(B$17=0,0,G15/B$17)</f>
        <v>3.2653061224489799E-2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92</v>
      </c>
      <c r="C16" s="35">
        <f>IF(B$14=0,0,B16/B$14)</f>
        <v>0.37860082304526749</v>
      </c>
      <c r="E16" s="59" t="s">
        <v>78</v>
      </c>
      <c r="F16" s="56" t="s">
        <v>33</v>
      </c>
      <c r="G16" s="44">
        <v>7</v>
      </c>
      <c r="H16" s="129">
        <f>IF(B$17=0,0,G16/B$17)</f>
        <v>2.8571428571428571E-2</v>
      </c>
      <c r="I16" s="90">
        <v>4</v>
      </c>
      <c r="K16" s="36">
        <v>14</v>
      </c>
      <c r="L16" s="95">
        <v>-138.4</v>
      </c>
      <c r="N16" s="111" t="s">
        <v>182</v>
      </c>
      <c r="O16" s="121">
        <f>IF(P16=0,0,Q16/P16)</f>
        <v>37.040000000000006</v>
      </c>
      <c r="P16" s="115">
        <v>10</v>
      </c>
      <c r="Q16" s="103">
        <v>370.40000000000003</v>
      </c>
    </row>
    <row r="17" spans="1:17" x14ac:dyDescent="0.4">
      <c r="A17" s="50" t="s">
        <v>10</v>
      </c>
      <c r="B17" s="43">
        <f>B19+B18</f>
        <v>245</v>
      </c>
      <c r="C17" s="35">
        <f>IF(B$3=0,0,B17/B$3)</f>
        <v>0.31170483460559795</v>
      </c>
      <c r="E17" s="59" t="s">
        <v>81</v>
      </c>
      <c r="F17" s="56" t="s">
        <v>36</v>
      </c>
      <c r="G17" s="44">
        <v>6</v>
      </c>
      <c r="H17" s="129">
        <f>IF(B$17=0,0,G17/B$17)</f>
        <v>2.4489795918367346E-2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13.5</v>
      </c>
      <c r="P17" s="115">
        <v>5</v>
      </c>
      <c r="Q17" s="103">
        <v>67.5</v>
      </c>
    </row>
    <row r="18" spans="1:17" x14ac:dyDescent="0.4">
      <c r="A18" s="51" t="s">
        <v>12</v>
      </c>
      <c r="B18" s="44">
        <v>95</v>
      </c>
      <c r="C18" s="37">
        <f>IF(B$17=0,0,B18/B$17)</f>
        <v>0.38775510204081631</v>
      </c>
      <c r="E18" s="59" t="s">
        <v>79</v>
      </c>
      <c r="F18" s="56" t="s">
        <v>34</v>
      </c>
      <c r="G18" s="44">
        <v>5</v>
      </c>
      <c r="H18" s="129">
        <f>IF(B$17=0,0,G18/B$17)</f>
        <v>2.0408163265306121E-2</v>
      </c>
      <c r="I18" s="90">
        <v>3</v>
      </c>
      <c r="K18" s="36">
        <v>16</v>
      </c>
      <c r="L18" s="95">
        <v>-187.3</v>
      </c>
      <c r="N18" s="111" t="s">
        <v>179</v>
      </c>
      <c r="O18" s="121">
        <f>IF(P18=0,0,Q18/P18)</f>
        <v>13.265517241379307</v>
      </c>
      <c r="P18" s="115">
        <v>29</v>
      </c>
      <c r="Q18" s="103">
        <v>384.69999999999987</v>
      </c>
    </row>
    <row r="19" spans="1:17" x14ac:dyDescent="0.4">
      <c r="A19" s="51" t="s">
        <v>11</v>
      </c>
      <c r="B19" s="44">
        <v>150</v>
      </c>
      <c r="C19" s="37">
        <f>IF(B$17=0,0,B19/B$17)</f>
        <v>0.61224489795918369</v>
      </c>
      <c r="E19" s="59" t="s">
        <v>74</v>
      </c>
      <c r="F19" s="56" t="s">
        <v>29</v>
      </c>
      <c r="G19" s="44">
        <v>2</v>
      </c>
      <c r="H19" s="129">
        <f>IF(B$17=0,0,G19/B$17)</f>
        <v>8.1632653061224497E-3</v>
      </c>
      <c r="I19" s="90">
        <v>3</v>
      </c>
      <c r="K19" s="36">
        <v>17</v>
      </c>
      <c r="L19" s="95">
        <v>-179.70000000000002</v>
      </c>
      <c r="N19" s="111" t="s">
        <v>177</v>
      </c>
      <c r="O19" s="121">
        <f>IF(P19=0,0,Q19/P19)</f>
        <v>12.182608695652181</v>
      </c>
      <c r="P19" s="115">
        <v>23</v>
      </c>
      <c r="Q19" s="103">
        <v>280.20000000000016</v>
      </c>
    </row>
    <row r="20" spans="1:17" x14ac:dyDescent="0.4">
      <c r="A20" s="51" t="s">
        <v>13</v>
      </c>
      <c r="B20" s="44">
        <v>152</v>
      </c>
      <c r="C20" s="37">
        <f>IF(B$3=0,0,B20/B$3)</f>
        <v>0.19338422391857507</v>
      </c>
      <c r="E20" s="59" t="s">
        <v>75</v>
      </c>
      <c r="F20" s="56" t="s">
        <v>30</v>
      </c>
      <c r="G20" s="44">
        <v>1</v>
      </c>
      <c r="H20" s="129">
        <f>IF(B$17=0,0,G20/B$17)</f>
        <v>4.0816326530612249E-3</v>
      </c>
      <c r="I20" s="90">
        <v>7</v>
      </c>
      <c r="K20" s="36">
        <v>18</v>
      </c>
      <c r="L20" s="95">
        <v>-112.90000000000002</v>
      </c>
      <c r="N20" s="111" t="s">
        <v>178</v>
      </c>
      <c r="O20" s="121">
        <f>IF(P20=0,0,Q20/P20)</f>
        <v>5.5718750000000021</v>
      </c>
      <c r="P20" s="115">
        <v>32</v>
      </c>
      <c r="Q20" s="103">
        <v>178.30000000000007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77</v>
      </c>
      <c r="F21" s="56" t="s">
        <v>32</v>
      </c>
      <c r="G21" s="44">
        <v>1</v>
      </c>
      <c r="H21" s="129">
        <f>IF(B$17=0,0,G21/B$17)</f>
        <v>4.0816326530612249E-3</v>
      </c>
      <c r="I21" s="90">
        <v>3</v>
      </c>
      <c r="K21" s="36">
        <v>19</v>
      </c>
      <c r="L21" s="95">
        <v>-162.40000000000003</v>
      </c>
      <c r="N21" s="111" t="s">
        <v>166</v>
      </c>
      <c r="O21" s="121">
        <f>IF(P21=0,0,Q21/P21)</f>
        <v>0.24285714285714124</v>
      </c>
      <c r="P21" s="115">
        <v>21</v>
      </c>
      <c r="Q21" s="103">
        <v>5.0999999999999659</v>
      </c>
    </row>
    <row r="22" spans="1:17" x14ac:dyDescent="0.4">
      <c r="A22" s="51" t="s">
        <v>170</v>
      </c>
      <c r="B22" s="44">
        <v>30</v>
      </c>
      <c r="C22" s="131">
        <v>0</v>
      </c>
      <c r="E22" s="59" t="s">
        <v>84</v>
      </c>
      <c r="F22" s="56" t="s">
        <v>39</v>
      </c>
      <c r="G22" s="44">
        <v>1</v>
      </c>
      <c r="H22" s="129">
        <f>IF(B$17=0,0,G22/B$17)</f>
        <v>4.0816326530612249E-3</v>
      </c>
      <c r="I22" s="90">
        <v>2</v>
      </c>
      <c r="K22" s="36">
        <v>20</v>
      </c>
      <c r="L22" s="95">
        <v>-96.000000000000028</v>
      </c>
      <c r="N22" s="111" t="s">
        <v>126</v>
      </c>
      <c r="O22" s="121">
        <f>IF(P22=0,0,Q22/P22)</f>
        <v>-10.216129032258063</v>
      </c>
      <c r="P22" s="115">
        <v>62</v>
      </c>
      <c r="Q22" s="103">
        <v>-633.4</v>
      </c>
    </row>
    <row r="23" spans="1:17" x14ac:dyDescent="0.4">
      <c r="A23" s="51" t="s">
        <v>5</v>
      </c>
      <c r="B23" s="48">
        <f>IF(B$17=0,0,C23/B$17)</f>
        <v>8595.5102040816328</v>
      </c>
      <c r="C23" s="39">
        <v>2105900</v>
      </c>
      <c r="E23" s="59" t="s">
        <v>92</v>
      </c>
      <c r="F23" s="56" t="s">
        <v>47</v>
      </c>
      <c r="G23" s="44">
        <v>1</v>
      </c>
      <c r="H23" s="129">
        <f>IF(B$17=0,0,G23/B$17)</f>
        <v>4.0816326530612249E-3</v>
      </c>
      <c r="I23" s="90">
        <v>4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8944.4444444444453</v>
      </c>
      <c r="C24" s="137">
        <v>1368500</v>
      </c>
      <c r="E24" s="59" t="s">
        <v>95</v>
      </c>
      <c r="F24" s="56" t="s">
        <v>50</v>
      </c>
      <c r="G24" s="44">
        <v>1</v>
      </c>
      <c r="H24" s="129">
        <f>IF(B$17=0,0,G24/B$17)</f>
        <v>4.0816326530612249E-3</v>
      </c>
      <c r="I24" s="90">
        <v>2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8015.217391304348</v>
      </c>
      <c r="C25" s="137">
        <v>737400</v>
      </c>
      <c r="E25" s="59" t="s">
        <v>167</v>
      </c>
      <c r="F25" s="56" t="s">
        <v>168</v>
      </c>
      <c r="G25" s="44">
        <v>1</v>
      </c>
      <c r="H25" s="129">
        <f>IF(B$17=0,0,G25/B$17)</f>
        <v>4.0816326530612249E-3</v>
      </c>
      <c r="I25" s="90">
        <v>7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-7720.394736842105</v>
      </c>
      <c r="C26" s="137">
        <v>-1173500</v>
      </c>
      <c r="E26" s="59" t="s">
        <v>73</v>
      </c>
      <c r="F26" s="56" t="s">
        <v>28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3.8167938931297708E-3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F3F6-5687-4280-9BCF-F6A38CE73CB0}">
  <sheetPr codeName="Sheet13"/>
  <dimension ref="A1:Q6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61</v>
      </c>
      <c r="C2" s="149"/>
      <c r="E2" s="58" t="s">
        <v>66</v>
      </c>
      <c r="F2" s="55" t="s">
        <v>22</v>
      </c>
      <c r="G2" s="43">
        <v>108</v>
      </c>
      <c r="H2" s="128">
        <f>IF(B$17=0,0,G2/B$17)</f>
        <v>0.75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-358.33333333333331</v>
      </c>
      <c r="P2" s="114">
        <v>60</v>
      </c>
      <c r="Q2" s="98">
        <v>-21500</v>
      </c>
    </row>
    <row r="3" spans="1:17" x14ac:dyDescent="0.4">
      <c r="A3" s="51" t="s">
        <v>8</v>
      </c>
      <c r="B3" s="150">
        <v>516</v>
      </c>
      <c r="C3" s="151"/>
      <c r="E3" s="59" t="s">
        <v>64</v>
      </c>
      <c r="F3" s="56" t="s">
        <v>20</v>
      </c>
      <c r="G3" s="44">
        <v>85</v>
      </c>
      <c r="H3" s="129">
        <f>IF(B$17=0,0,G3/B$17)</f>
        <v>0.59027777777777779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-550</v>
      </c>
      <c r="P3" s="115">
        <v>60</v>
      </c>
      <c r="Q3" s="99">
        <v>-33000</v>
      </c>
    </row>
    <row r="4" spans="1:17" x14ac:dyDescent="0.4">
      <c r="A4" s="51" t="s">
        <v>6</v>
      </c>
      <c r="B4" s="152">
        <v>-453.59999999999997</v>
      </c>
      <c r="C4" s="153"/>
      <c r="E4" s="59" t="s">
        <v>72</v>
      </c>
      <c r="F4" s="56" t="s">
        <v>27</v>
      </c>
      <c r="G4" s="44">
        <v>74</v>
      </c>
      <c r="H4" s="129">
        <f>IF(B$17=0,0,G4/B$17)</f>
        <v>0.51388888888888884</v>
      </c>
      <c r="I4" s="90">
        <v>7</v>
      </c>
      <c r="K4" s="36">
        <v>2</v>
      </c>
      <c r="L4" s="95">
        <v>-30.099999999999998</v>
      </c>
      <c r="N4" s="111" t="s">
        <v>132</v>
      </c>
      <c r="O4" s="118">
        <f t="shared" si="0"/>
        <v>735.08771929824559</v>
      </c>
      <c r="P4" s="115">
        <v>57</v>
      </c>
      <c r="Q4" s="99">
        <v>41900</v>
      </c>
    </row>
    <row r="5" spans="1:17" x14ac:dyDescent="0.4">
      <c r="A5" s="51" t="s">
        <v>7</v>
      </c>
      <c r="B5" s="154">
        <f>IF(B$2=0,0,B$4/B$2)</f>
        <v>-7.4360655737704908</v>
      </c>
      <c r="C5" s="155"/>
      <c r="E5" s="59" t="s">
        <v>171</v>
      </c>
      <c r="F5" s="56" t="s">
        <v>172</v>
      </c>
      <c r="G5" s="44">
        <v>57</v>
      </c>
      <c r="H5" s="129">
        <f>IF(B$17=0,0,G5/B$17)</f>
        <v>0.39583333333333331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-1635.7142857142858</v>
      </c>
      <c r="P5" s="115">
        <v>56</v>
      </c>
      <c r="Q5" s="99">
        <v>-91600</v>
      </c>
    </row>
    <row r="6" spans="1:17" x14ac:dyDescent="0.4">
      <c r="A6" s="51" t="s">
        <v>1</v>
      </c>
      <c r="B6" s="144">
        <f>IF(B$2=0,0,(B$7*1+B$8*2+B$9*3)/B$2)</f>
        <v>2.1967213114754101</v>
      </c>
      <c r="C6" s="145"/>
      <c r="E6" s="59" t="s">
        <v>68</v>
      </c>
      <c r="F6" s="56" t="s">
        <v>12</v>
      </c>
      <c r="G6" s="44">
        <v>50</v>
      </c>
      <c r="H6" s="129">
        <f>IF(B$17=0,0,G6/B$17)</f>
        <v>0.34722222222222221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-3603.7735849056603</v>
      </c>
      <c r="P6" s="115">
        <v>53</v>
      </c>
      <c r="Q6" s="99">
        <v>-191000</v>
      </c>
    </row>
    <row r="7" spans="1:17" x14ac:dyDescent="0.4">
      <c r="A7" s="51" t="s">
        <v>2</v>
      </c>
      <c r="B7" s="44">
        <v>12</v>
      </c>
      <c r="C7" s="37">
        <f t="shared" ref="C7:C12" si="1">IF(B$2=0,0,B7/B$2)</f>
        <v>0.19672131147540983</v>
      </c>
      <c r="E7" s="59" t="s">
        <v>67</v>
      </c>
      <c r="F7" s="56" t="s">
        <v>23</v>
      </c>
      <c r="G7" s="44">
        <v>45</v>
      </c>
      <c r="H7" s="129">
        <f>IF(B$17=0,0,G7/B$17)</f>
        <v>0.3125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-1310.6382978723404</v>
      </c>
      <c r="P7" s="116">
        <v>47</v>
      </c>
      <c r="Q7" s="100">
        <v>-61600</v>
      </c>
    </row>
    <row r="8" spans="1:17" x14ac:dyDescent="0.4">
      <c r="A8" s="51" t="s">
        <v>3</v>
      </c>
      <c r="B8" s="44">
        <v>25</v>
      </c>
      <c r="C8" s="37">
        <f t="shared" si="1"/>
        <v>0.4098360655737705</v>
      </c>
      <c r="E8" s="59" t="s">
        <v>70</v>
      </c>
      <c r="F8" s="56" t="s">
        <v>25</v>
      </c>
      <c r="G8" s="44">
        <v>22</v>
      </c>
      <c r="H8" s="129">
        <f>IF(B$17=0,0,G8/B$17)</f>
        <v>0.15277777777777779</v>
      </c>
      <c r="I8" s="90">
        <v>2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0.39344262295081966</v>
      </c>
      <c r="E9" s="59" t="s">
        <v>69</v>
      </c>
      <c r="F9" s="56" t="s">
        <v>24</v>
      </c>
      <c r="G9" s="44">
        <v>21</v>
      </c>
      <c r="H9" s="129">
        <f>IF(B$17=0,0,G9/B$17)</f>
        <v>0.14583333333333334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8.1967213114754092E-2</v>
      </c>
      <c r="E10" s="59" t="s">
        <v>65</v>
      </c>
      <c r="F10" s="56" t="s">
        <v>21</v>
      </c>
      <c r="G10" s="44">
        <v>16</v>
      </c>
      <c r="H10" s="129">
        <f>IF(B$17=0,0,G10/B$17)</f>
        <v>0.1111111111111111</v>
      </c>
      <c r="I10" s="90">
        <v>6</v>
      </c>
      <c r="K10" s="36">
        <v>8</v>
      </c>
      <c r="L10" s="95">
        <v>-62.999999999999993</v>
      </c>
      <c r="N10" s="110" t="s">
        <v>162</v>
      </c>
      <c r="O10" s="120">
        <f>IF(P10=0,0,Q10/P10)</f>
        <v>-2.7916666666666679</v>
      </c>
      <c r="P10" s="114">
        <v>24</v>
      </c>
      <c r="Q10" s="102">
        <v>-67.000000000000028</v>
      </c>
    </row>
    <row r="11" spans="1:17" x14ac:dyDescent="0.4">
      <c r="A11" s="52" t="s">
        <v>138</v>
      </c>
      <c r="B11" s="45">
        <v>2</v>
      </c>
      <c r="C11" s="38">
        <f t="shared" si="1"/>
        <v>3.2786885245901641E-2</v>
      </c>
      <c r="E11" s="59" t="s">
        <v>89</v>
      </c>
      <c r="F11" s="56" t="s">
        <v>44</v>
      </c>
      <c r="G11" s="44">
        <v>14</v>
      </c>
      <c r="H11" s="129">
        <f>IF(B$17=0,0,G11/B$17)</f>
        <v>9.7222222222222224E-2</v>
      </c>
      <c r="I11" s="90">
        <v>9</v>
      </c>
      <c r="K11" s="36">
        <v>9</v>
      </c>
      <c r="L11" s="95">
        <v>-74.199999999999989</v>
      </c>
      <c r="N11" s="111" t="s">
        <v>163</v>
      </c>
      <c r="O11" s="121">
        <f>IF(P11=0,0,Q11/P11)</f>
        <v>-7.2949999999999999</v>
      </c>
      <c r="P11" s="115">
        <v>20</v>
      </c>
      <c r="Q11" s="103">
        <v>-145.9</v>
      </c>
    </row>
    <row r="12" spans="1:17" x14ac:dyDescent="0.4">
      <c r="A12" s="53" t="s">
        <v>158</v>
      </c>
      <c r="B12" s="46">
        <v>5</v>
      </c>
      <c r="C12" s="40">
        <f t="shared" si="1"/>
        <v>8.1967213114754092E-2</v>
      </c>
      <c r="E12" s="59" t="s">
        <v>83</v>
      </c>
      <c r="F12" s="56" t="s">
        <v>38</v>
      </c>
      <c r="G12" s="44">
        <v>9</v>
      </c>
      <c r="H12" s="129">
        <f>IF(B$17=0,0,G12/B$17)</f>
        <v>6.25E-2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-14.158823529411764</v>
      </c>
      <c r="P12" s="116">
        <v>17</v>
      </c>
      <c r="Q12" s="104">
        <v>-240.7</v>
      </c>
    </row>
    <row r="13" spans="1:17" x14ac:dyDescent="0.4">
      <c r="A13" s="54" t="s">
        <v>121</v>
      </c>
      <c r="B13" s="47">
        <v>147</v>
      </c>
      <c r="C13" s="42">
        <f>IF(B$3=0,0,B13/B$3)</f>
        <v>0.28488372093023256</v>
      </c>
      <c r="E13" s="59" t="s">
        <v>71</v>
      </c>
      <c r="F13" s="56" t="s">
        <v>26</v>
      </c>
      <c r="G13" s="44">
        <v>7</v>
      </c>
      <c r="H13" s="129">
        <f>IF(B$17=0,0,G13/B$17)</f>
        <v>4.8611111111111112E-2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98</v>
      </c>
      <c r="C14" s="37">
        <f>IF(B$3=0,0,B14/B$3)</f>
        <v>0.18992248062015504</v>
      </c>
      <c r="E14" s="59" t="s">
        <v>78</v>
      </c>
      <c r="F14" s="56" t="s">
        <v>33</v>
      </c>
      <c r="G14" s="44">
        <v>6</v>
      </c>
      <c r="H14" s="129">
        <f>IF(B$17=0,0,G14/B$17)</f>
        <v>4.1666666666666664E-2</v>
      </c>
      <c r="I14" s="90">
        <v>2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87</v>
      </c>
      <c r="C15" s="35">
        <f>IF(B$13=0,0,B15/B$13)</f>
        <v>0.59183673469387754</v>
      </c>
      <c r="E15" s="59" t="s">
        <v>86</v>
      </c>
      <c r="F15" s="56" t="s">
        <v>41</v>
      </c>
      <c r="G15" s="44">
        <v>4</v>
      </c>
      <c r="H15" s="129">
        <f>IF(B$17=0,0,G15/B$17)</f>
        <v>2.7777777777777776E-2</v>
      </c>
      <c r="I15" s="90">
        <v>9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38</v>
      </c>
      <c r="C16" s="35">
        <f>IF(B$14=0,0,B16/B$14)</f>
        <v>0.38775510204081631</v>
      </c>
      <c r="E16" s="59" t="s">
        <v>81</v>
      </c>
      <c r="F16" s="56" t="s">
        <v>36</v>
      </c>
      <c r="G16" s="44">
        <v>3</v>
      </c>
      <c r="H16" s="129">
        <f>IF(B$17=0,0,G16/B$17)</f>
        <v>2.0833333333333332E-2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>IF(P16=0,0,Q16/P16)</f>
        <v>7.0692307692307699</v>
      </c>
      <c r="P16" s="115">
        <v>13</v>
      </c>
      <c r="Q16" s="103">
        <v>91.9</v>
      </c>
    </row>
    <row r="17" spans="1:17" x14ac:dyDescent="0.4">
      <c r="A17" s="50" t="s">
        <v>10</v>
      </c>
      <c r="B17" s="43">
        <f>B19+B18</f>
        <v>144</v>
      </c>
      <c r="C17" s="35">
        <f>IF(B$3=0,0,B17/B$3)</f>
        <v>0.27906976744186046</v>
      </c>
      <c r="E17" s="59" t="s">
        <v>167</v>
      </c>
      <c r="F17" s="56" t="s">
        <v>168</v>
      </c>
      <c r="G17" s="44">
        <v>3</v>
      </c>
      <c r="H17" s="129">
        <f>IF(B$17=0,0,G17/B$17)</f>
        <v>2.0833333333333332E-2</v>
      </c>
      <c r="I17" s="90">
        <v>5</v>
      </c>
      <c r="K17" s="36">
        <v>15</v>
      </c>
      <c r="L17" s="95">
        <v>-221.5</v>
      </c>
      <c r="N17" s="111" t="s">
        <v>181</v>
      </c>
      <c r="O17" s="121">
        <f>IF(P17=0,0,Q17/P17)</f>
        <v>-5.2999999999999989</v>
      </c>
      <c r="P17" s="115">
        <v>9</v>
      </c>
      <c r="Q17" s="103">
        <v>-47.699999999999989</v>
      </c>
    </row>
    <row r="18" spans="1:17" x14ac:dyDescent="0.4">
      <c r="A18" s="51" t="s">
        <v>12</v>
      </c>
      <c r="B18" s="44">
        <v>65</v>
      </c>
      <c r="C18" s="37">
        <f>IF(B$17=0,0,B18/B$17)</f>
        <v>0.4513888888888889</v>
      </c>
      <c r="E18" s="59" t="s">
        <v>75</v>
      </c>
      <c r="F18" s="56" t="s">
        <v>30</v>
      </c>
      <c r="G18" s="44">
        <v>2</v>
      </c>
      <c r="H18" s="129">
        <f>IF(B$17=0,0,G18/B$17)</f>
        <v>1.3888888888888888E-2</v>
      </c>
      <c r="I18" s="90">
        <v>2</v>
      </c>
      <c r="K18" s="36">
        <v>16</v>
      </c>
      <c r="L18" s="95">
        <v>-224.3</v>
      </c>
      <c r="N18" s="111" t="s">
        <v>177</v>
      </c>
      <c r="O18" s="121">
        <f>IF(P18=0,0,Q18/P18)</f>
        <v>-6.6222222222222209</v>
      </c>
      <c r="P18" s="115">
        <v>9</v>
      </c>
      <c r="Q18" s="103">
        <v>-59.599999999999987</v>
      </c>
    </row>
    <row r="19" spans="1:17" x14ac:dyDescent="0.4">
      <c r="A19" s="51" t="s">
        <v>11</v>
      </c>
      <c r="B19" s="44">
        <v>79</v>
      </c>
      <c r="C19" s="37">
        <f>IF(B$17=0,0,B19/B$17)</f>
        <v>0.54861111111111116</v>
      </c>
      <c r="E19" s="59" t="s">
        <v>79</v>
      </c>
      <c r="F19" s="56" t="s">
        <v>34</v>
      </c>
      <c r="G19" s="44">
        <v>2</v>
      </c>
      <c r="H19" s="129">
        <f>IF(B$17=0,0,G19/B$17)</f>
        <v>1.3888888888888888E-2</v>
      </c>
      <c r="I19" s="90">
        <v>4</v>
      </c>
      <c r="K19" s="36">
        <v>17</v>
      </c>
      <c r="L19" s="95">
        <v>-251.4</v>
      </c>
      <c r="N19" s="111" t="s">
        <v>178</v>
      </c>
      <c r="O19" s="121">
        <f>IF(P19=0,0,Q19/P19)</f>
        <v>-12.900000000000002</v>
      </c>
      <c r="P19" s="115">
        <v>19</v>
      </c>
      <c r="Q19" s="103">
        <v>-245.10000000000005</v>
      </c>
    </row>
    <row r="20" spans="1:17" x14ac:dyDescent="0.4">
      <c r="A20" s="51" t="s">
        <v>13</v>
      </c>
      <c r="B20" s="44">
        <v>109</v>
      </c>
      <c r="C20" s="37">
        <f>IF(B$3=0,0,B20/B$3)</f>
        <v>0.21124031007751937</v>
      </c>
      <c r="E20" s="59" t="s">
        <v>91</v>
      </c>
      <c r="F20" s="56" t="s">
        <v>46</v>
      </c>
      <c r="G20" s="44">
        <v>1</v>
      </c>
      <c r="H20" s="129">
        <f>IF(B$17=0,0,G20/B$17)</f>
        <v>6.9444444444444441E-3</v>
      </c>
      <c r="I20" s="90">
        <v>6</v>
      </c>
      <c r="K20" s="36">
        <v>18</v>
      </c>
      <c r="L20" s="95">
        <v>-240</v>
      </c>
      <c r="N20" s="111" t="s">
        <v>127</v>
      </c>
      <c r="O20" s="121">
        <f>IF(P20=0,0,Q20/P20)</f>
        <v>-13.265517241379307</v>
      </c>
      <c r="P20" s="115">
        <v>29</v>
      </c>
      <c r="Q20" s="103">
        <v>-384.69999999999987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-218</v>
      </c>
      <c r="N21" s="111" t="s">
        <v>126</v>
      </c>
      <c r="O21" s="121">
        <f>IF(P21=0,0,Q21/P21)</f>
        <v>-16.702439024390248</v>
      </c>
      <c r="P21" s="115">
        <v>41</v>
      </c>
      <c r="Q21" s="103">
        <v>-684.80000000000018</v>
      </c>
    </row>
    <row r="22" spans="1:17" x14ac:dyDescent="0.4">
      <c r="A22" s="51" t="s">
        <v>170</v>
      </c>
      <c r="B22" s="44">
        <v>21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8055.5555555555557</v>
      </c>
      <c r="C23" s="39">
        <v>1160000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8575.4716981132078</v>
      </c>
      <c r="C24" s="137">
        <v>909000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6605.2631578947367</v>
      </c>
      <c r="C25" s="137">
        <v>251000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-7655.0458715596333</v>
      </c>
      <c r="C26" s="137">
        <v>-834400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3.875968992248062E-3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30EB-27DA-49E0-ABB3-D551961A85FA}">
  <sheetPr codeName="Sheet15"/>
  <dimension ref="A1:Q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56</v>
      </c>
      <c r="C2" s="149"/>
      <c r="E2" s="58" t="s">
        <v>66</v>
      </c>
      <c r="F2" s="55" t="s">
        <v>22</v>
      </c>
      <c r="G2" s="43">
        <v>110</v>
      </c>
      <c r="H2" s="128">
        <f>IF(B$17=0,0,G2/B$17)</f>
        <v>0.83969465648854957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2221.4285714285716</v>
      </c>
      <c r="P2" s="114">
        <v>56</v>
      </c>
      <c r="Q2" s="98">
        <v>124400</v>
      </c>
    </row>
    <row r="3" spans="1:17" x14ac:dyDescent="0.4">
      <c r="A3" s="51" t="s">
        <v>8</v>
      </c>
      <c r="B3" s="150">
        <v>450</v>
      </c>
      <c r="C3" s="151"/>
      <c r="E3" s="59" t="s">
        <v>72</v>
      </c>
      <c r="F3" s="56" t="s">
        <v>27</v>
      </c>
      <c r="G3" s="44">
        <v>75</v>
      </c>
      <c r="H3" s="129">
        <f>IF(B$17=0,0,G3/B$17)</f>
        <v>0.5725190839694656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-2033.3333333333333</v>
      </c>
      <c r="P3" s="115">
        <v>54</v>
      </c>
      <c r="Q3" s="99">
        <v>-109800</v>
      </c>
    </row>
    <row r="4" spans="1:17" x14ac:dyDescent="0.4">
      <c r="A4" s="51" t="s">
        <v>6</v>
      </c>
      <c r="B4" s="152">
        <v>246.70000000000007</v>
      </c>
      <c r="C4" s="153"/>
      <c r="E4" s="59" t="s">
        <v>64</v>
      </c>
      <c r="F4" s="56" t="s">
        <v>20</v>
      </c>
      <c r="G4" s="44">
        <v>68</v>
      </c>
      <c r="H4" s="129">
        <f>IF(B$17=0,0,G4/B$17)</f>
        <v>0.51908396946564883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2124</v>
      </c>
      <c r="P4" s="115">
        <v>50</v>
      </c>
      <c r="Q4" s="99">
        <v>106200</v>
      </c>
    </row>
    <row r="5" spans="1:17" x14ac:dyDescent="0.4">
      <c r="A5" s="51" t="s">
        <v>7</v>
      </c>
      <c r="B5" s="154">
        <f>IF(B$2=0,0,B$4/B$2)</f>
        <v>4.4053571428571443</v>
      </c>
      <c r="C5" s="155"/>
      <c r="E5" s="59" t="s">
        <v>67</v>
      </c>
      <c r="F5" s="56" t="s">
        <v>23</v>
      </c>
      <c r="G5" s="44">
        <v>55</v>
      </c>
      <c r="H5" s="129">
        <f>IF(B$17=0,0,G5/B$17)</f>
        <v>0.41984732824427479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2935.4166666666665</v>
      </c>
      <c r="P5" s="115">
        <v>48</v>
      </c>
      <c r="Q5" s="99">
        <v>140900</v>
      </c>
    </row>
    <row r="6" spans="1:17" x14ac:dyDescent="0.4">
      <c r="A6" s="51" t="s">
        <v>1</v>
      </c>
      <c r="B6" s="144">
        <f>IF(B$2=0,0,(B$7*1+B$8*2+B$9*3)/B$2)</f>
        <v>1.9107142857142858</v>
      </c>
      <c r="C6" s="145"/>
      <c r="E6" s="59" t="s">
        <v>68</v>
      </c>
      <c r="F6" s="56" t="s">
        <v>12</v>
      </c>
      <c r="G6" s="44">
        <v>51</v>
      </c>
      <c r="H6" s="129">
        <f>IF(B$17=0,0,G6/B$17)</f>
        <v>0.38931297709923662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-1022.7272727272727</v>
      </c>
      <c r="P6" s="115">
        <v>44</v>
      </c>
      <c r="Q6" s="99">
        <v>-45000</v>
      </c>
    </row>
    <row r="7" spans="1:17" x14ac:dyDescent="0.4">
      <c r="A7" s="51" t="s">
        <v>2</v>
      </c>
      <c r="B7" s="44">
        <v>23</v>
      </c>
      <c r="C7" s="37">
        <f t="shared" ref="C7:C12" si="1">IF(B$2=0,0,B7/B$2)</f>
        <v>0.4107142857142857</v>
      </c>
      <c r="E7" s="59" t="s">
        <v>171</v>
      </c>
      <c r="F7" s="56" t="s">
        <v>172</v>
      </c>
      <c r="G7" s="44">
        <v>51</v>
      </c>
      <c r="H7" s="129">
        <f>IF(B$17=0,0,G7/B$17)</f>
        <v>0.38931297709923662</v>
      </c>
      <c r="I7" s="90">
        <v>5</v>
      </c>
      <c r="K7" s="36">
        <v>5</v>
      </c>
      <c r="L7" s="95">
        <v>-118.3</v>
      </c>
      <c r="N7" s="112" t="s">
        <v>135</v>
      </c>
      <c r="O7" s="119">
        <f t="shared" si="0"/>
        <v>-388.88888888888891</v>
      </c>
      <c r="P7" s="116">
        <v>36</v>
      </c>
      <c r="Q7" s="100">
        <v>-14000</v>
      </c>
    </row>
    <row r="8" spans="1:17" x14ac:dyDescent="0.4">
      <c r="A8" s="51" t="s">
        <v>3</v>
      </c>
      <c r="B8" s="44">
        <v>15</v>
      </c>
      <c r="C8" s="37">
        <f t="shared" si="1"/>
        <v>0.26785714285714285</v>
      </c>
      <c r="E8" s="59" t="s">
        <v>89</v>
      </c>
      <c r="F8" s="56" t="s">
        <v>44</v>
      </c>
      <c r="G8" s="44">
        <v>30</v>
      </c>
      <c r="H8" s="129">
        <f>IF(B$17=0,0,G8/B$17)</f>
        <v>0.22900763358778625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0.32142857142857145</v>
      </c>
      <c r="E9" s="59" t="s">
        <v>69</v>
      </c>
      <c r="F9" s="56" t="s">
        <v>24</v>
      </c>
      <c r="G9" s="44">
        <v>28</v>
      </c>
      <c r="H9" s="129">
        <f>IF(B$17=0,0,G9/B$17)</f>
        <v>0.21374045801526717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8.9285714285714288E-2</v>
      </c>
      <c r="E10" s="59" t="s">
        <v>65</v>
      </c>
      <c r="F10" s="56" t="s">
        <v>21</v>
      </c>
      <c r="G10" s="44">
        <v>15</v>
      </c>
      <c r="H10" s="129">
        <f>IF(B$17=0,0,G10/B$17)</f>
        <v>0.11450381679389313</v>
      </c>
      <c r="I10" s="90">
        <v>5</v>
      </c>
      <c r="K10" s="36">
        <v>8</v>
      </c>
      <c r="L10" s="95">
        <v>-110.19999999999999</v>
      </c>
      <c r="N10" s="110" t="s">
        <v>162</v>
      </c>
      <c r="O10" s="120">
        <f>IF(P10=0,0,Q10/P10)</f>
        <v>9.3529411764705905</v>
      </c>
      <c r="P10" s="114">
        <v>17</v>
      </c>
      <c r="Q10" s="102">
        <v>159.00000000000003</v>
      </c>
    </row>
    <row r="11" spans="1:17" x14ac:dyDescent="0.4">
      <c r="A11" s="52" t="s">
        <v>138</v>
      </c>
      <c r="B11" s="45">
        <v>11</v>
      </c>
      <c r="C11" s="38">
        <f t="shared" si="1"/>
        <v>0.19642857142857142</v>
      </c>
      <c r="E11" s="59" t="s">
        <v>70</v>
      </c>
      <c r="F11" s="56" t="s">
        <v>25</v>
      </c>
      <c r="G11" s="44">
        <v>15</v>
      </c>
      <c r="H11" s="129">
        <f>IF(B$17=0,0,G11/B$17)</f>
        <v>0.11450381679389313</v>
      </c>
      <c r="I11" s="90">
        <v>4</v>
      </c>
      <c r="K11" s="36">
        <v>9</v>
      </c>
      <c r="L11" s="95">
        <v>-120.99999999999999</v>
      </c>
      <c r="N11" s="111" t="s">
        <v>163</v>
      </c>
      <c r="O11" s="121">
        <f>IF(P11=0,0,Q11/P11)</f>
        <v>6.5192307692307683</v>
      </c>
      <c r="P11" s="115">
        <v>26</v>
      </c>
      <c r="Q11" s="103">
        <v>169.49999999999997</v>
      </c>
    </row>
    <row r="12" spans="1:17" x14ac:dyDescent="0.4">
      <c r="A12" s="53" t="s">
        <v>158</v>
      </c>
      <c r="B12" s="46">
        <v>5</v>
      </c>
      <c r="C12" s="40">
        <f t="shared" si="1"/>
        <v>8.9285714285714288E-2</v>
      </c>
      <c r="E12" s="59" t="s">
        <v>167</v>
      </c>
      <c r="F12" s="56" t="s">
        <v>168</v>
      </c>
      <c r="G12" s="44">
        <v>8</v>
      </c>
      <c r="H12" s="129">
        <f>IF(B$17=0,0,G12/B$17)</f>
        <v>6.1068702290076333E-2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-6.2923076923076922</v>
      </c>
      <c r="P12" s="116">
        <v>13</v>
      </c>
      <c r="Q12" s="104">
        <v>-81.8</v>
      </c>
    </row>
    <row r="13" spans="1:17" x14ac:dyDescent="0.4">
      <c r="A13" s="54" t="s">
        <v>121</v>
      </c>
      <c r="B13" s="47">
        <v>144</v>
      </c>
      <c r="C13" s="42">
        <f>IF(B$3=0,0,B13/B$3)</f>
        <v>0.32</v>
      </c>
      <c r="E13" s="59" t="s">
        <v>71</v>
      </c>
      <c r="F13" s="56" t="s">
        <v>26</v>
      </c>
      <c r="G13" s="44">
        <v>7</v>
      </c>
      <c r="H13" s="129">
        <f>IF(B$17=0,0,G13/B$17)</f>
        <v>5.3435114503816793E-2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82</v>
      </c>
      <c r="C14" s="37">
        <f>IF(B$3=0,0,B14/B$3)</f>
        <v>0.18222222222222223</v>
      </c>
      <c r="E14" s="59" t="s">
        <v>83</v>
      </c>
      <c r="F14" s="56" t="s">
        <v>38</v>
      </c>
      <c r="G14" s="44">
        <v>6</v>
      </c>
      <c r="H14" s="129">
        <f>IF(B$17=0,0,G14/B$17)</f>
        <v>4.5801526717557252E-2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77</v>
      </c>
      <c r="C15" s="35">
        <f>IF(B$13=0,0,B15/B$13)</f>
        <v>0.53472222222222221</v>
      </c>
      <c r="E15" s="59" t="s">
        <v>81</v>
      </c>
      <c r="F15" s="56" t="s">
        <v>36</v>
      </c>
      <c r="G15" s="44">
        <v>3</v>
      </c>
      <c r="H15" s="129">
        <f>IF(B$17=0,0,G15/B$17)</f>
        <v>2.2900763358778626E-2</v>
      </c>
      <c r="I15" s="90">
        <v>4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37</v>
      </c>
      <c r="C16" s="35">
        <f>IF(B$14=0,0,B16/B$14)</f>
        <v>0.45121951219512196</v>
      </c>
      <c r="E16" s="59" t="s">
        <v>86</v>
      </c>
      <c r="F16" s="56" t="s">
        <v>41</v>
      </c>
      <c r="G16" s="44">
        <v>3</v>
      </c>
      <c r="H16" s="129">
        <f>IF(B$17=0,0,G16/B$17)</f>
        <v>2.2900763358778626E-2</v>
      </c>
      <c r="I16" s="90">
        <v>10</v>
      </c>
      <c r="K16" s="36">
        <v>14</v>
      </c>
      <c r="L16" s="95">
        <v>-86.499999999999972</v>
      </c>
      <c r="N16" s="111" t="s">
        <v>166</v>
      </c>
      <c r="O16" s="121">
        <f>IF(P16=0,0,Q16/P16)</f>
        <v>24.400000000000002</v>
      </c>
      <c r="P16" s="115">
        <v>7</v>
      </c>
      <c r="Q16" s="103">
        <v>170.8</v>
      </c>
    </row>
    <row r="17" spans="1:17" x14ac:dyDescent="0.4">
      <c r="A17" s="50" t="s">
        <v>10</v>
      </c>
      <c r="B17" s="43">
        <f>B19+B18</f>
        <v>131</v>
      </c>
      <c r="C17" s="35">
        <f>IF(B$3=0,0,B17/B$3)</f>
        <v>0.2911111111111111</v>
      </c>
      <c r="E17" s="59" t="s">
        <v>92</v>
      </c>
      <c r="F17" s="56" t="s">
        <v>47</v>
      </c>
      <c r="G17" s="44">
        <v>3</v>
      </c>
      <c r="H17" s="129">
        <f>IF(B$17=0,0,G17/B$17)</f>
        <v>2.2900763358778626E-2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>IF(P17=0,0,Q17/P17)</f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65</v>
      </c>
      <c r="C18" s="37">
        <f>IF(B$17=0,0,B18/B$17)</f>
        <v>0.49618320610687022</v>
      </c>
      <c r="E18" s="59" t="s">
        <v>91</v>
      </c>
      <c r="F18" s="56" t="s">
        <v>46</v>
      </c>
      <c r="G18" s="44">
        <v>2</v>
      </c>
      <c r="H18" s="129">
        <f>IF(B$17=0,0,G18/B$17)</f>
        <v>1.5267175572519083E-2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>IF(P18=0,0,Q18/P18)</f>
        <v>16.436666666666667</v>
      </c>
      <c r="P18" s="115">
        <v>30</v>
      </c>
      <c r="Q18" s="103">
        <v>493.1</v>
      </c>
    </row>
    <row r="19" spans="1:17" x14ac:dyDescent="0.4">
      <c r="A19" s="51" t="s">
        <v>11</v>
      </c>
      <c r="B19" s="44">
        <v>66</v>
      </c>
      <c r="C19" s="37">
        <f>IF(B$17=0,0,B19/B$17)</f>
        <v>0.50381679389312972</v>
      </c>
      <c r="E19" s="59" t="s">
        <v>73</v>
      </c>
      <c r="F19" s="56" t="s">
        <v>28</v>
      </c>
      <c r="G19" s="44">
        <v>1</v>
      </c>
      <c r="H19" s="129">
        <f>IF(B$17=0,0,G19/B$17)</f>
        <v>7.6335877862595417E-3</v>
      </c>
      <c r="I19" s="90">
        <v>2</v>
      </c>
      <c r="K19" s="36">
        <v>17</v>
      </c>
      <c r="L19" s="95">
        <v>-55.799999999999969</v>
      </c>
      <c r="N19" s="111" t="s">
        <v>179</v>
      </c>
      <c r="O19" s="121">
        <f>IF(P19=0,0,Q19/P19)</f>
        <v>6.6222222222222209</v>
      </c>
      <c r="P19" s="115">
        <v>9</v>
      </c>
      <c r="Q19" s="103">
        <v>59.599999999999987</v>
      </c>
    </row>
    <row r="20" spans="1:17" x14ac:dyDescent="0.4">
      <c r="A20" s="51" t="s">
        <v>13</v>
      </c>
      <c r="B20" s="44">
        <v>73</v>
      </c>
      <c r="C20" s="37">
        <f>IF(B$3=0,0,B20/B$3)</f>
        <v>0.16222222222222221</v>
      </c>
      <c r="E20" s="59" t="s">
        <v>75</v>
      </c>
      <c r="F20" s="56" t="s">
        <v>30</v>
      </c>
      <c r="G20" s="44">
        <v>1</v>
      </c>
      <c r="H20" s="129">
        <f>IF(B$17=0,0,G20/B$17)</f>
        <v>7.6335877862595417E-3</v>
      </c>
      <c r="I20" s="90">
        <v>4</v>
      </c>
      <c r="K20" s="36">
        <v>18</v>
      </c>
      <c r="L20" s="95">
        <v>-24.999999999999968</v>
      </c>
      <c r="N20" s="111" t="s">
        <v>126</v>
      </c>
      <c r="O20" s="121">
        <f>IF(P20=0,0,Q20/P20)</f>
        <v>5.7045454545454533</v>
      </c>
      <c r="P20" s="115">
        <v>22</v>
      </c>
      <c r="Q20" s="103">
        <v>125.49999999999997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78</v>
      </c>
      <c r="F21" s="56" t="s">
        <v>33</v>
      </c>
      <c r="G21" s="44">
        <v>1</v>
      </c>
      <c r="H21" s="129">
        <f>IF(B$17=0,0,G21/B$17)</f>
        <v>7.6335877862595417E-3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-12.182608695652178</v>
      </c>
      <c r="P21" s="115">
        <v>23</v>
      </c>
      <c r="Q21" s="103">
        <v>-280.2000000000001</v>
      </c>
    </row>
    <row r="22" spans="1:17" x14ac:dyDescent="0.4">
      <c r="A22" s="51" t="s">
        <v>170</v>
      </c>
      <c r="B22" s="44">
        <v>25</v>
      </c>
      <c r="C22" s="131">
        <v>6</v>
      </c>
      <c r="E22" s="59" t="s">
        <v>85</v>
      </c>
      <c r="F22" s="56" t="s">
        <v>40</v>
      </c>
      <c r="G22" s="44">
        <v>1</v>
      </c>
      <c r="H22" s="129">
        <f>IF(B$17=0,0,G22/B$17)</f>
        <v>7.6335877862595417E-3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10390.839694656488</v>
      </c>
      <c r="C23" s="39">
        <v>1361200</v>
      </c>
      <c r="E23" s="59" t="s">
        <v>90</v>
      </c>
      <c r="F23" s="56" t="s">
        <v>45</v>
      </c>
      <c r="G23" s="44">
        <v>1</v>
      </c>
      <c r="H23" s="129">
        <f>IF(B$17=0,0,G23/B$17)</f>
        <v>7.6335877862595417E-3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11341.489361702128</v>
      </c>
      <c r="C24" s="137">
        <v>1066100</v>
      </c>
      <c r="E24" s="59" t="s">
        <v>93</v>
      </c>
      <c r="F24" s="56" t="s">
        <v>48</v>
      </c>
      <c r="G24" s="44">
        <v>1</v>
      </c>
      <c r="H24" s="129">
        <f>IF(B$17=0,0,G24/B$17)</f>
        <v>7.6335877862595417E-3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7975.6756756756758</v>
      </c>
      <c r="C25" s="137">
        <v>295100</v>
      </c>
      <c r="E25" s="59" t="s">
        <v>74</v>
      </c>
      <c r="F25" s="56" t="s">
        <v>29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-8239.7260273972606</v>
      </c>
      <c r="C26" s="137">
        <v>-601500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5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79</v>
      </c>
      <c r="F28" s="56" t="s">
        <v>34</v>
      </c>
      <c r="G28" s="44">
        <v>0</v>
      </c>
      <c r="H28" s="129">
        <f>IF(B$17=0,0,G28/B$17)</f>
        <v>0</v>
      </c>
      <c r="I28" s="90">
        <v>7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-16.499999999999972</v>
      </c>
    </row>
    <row r="32" spans="1:17" x14ac:dyDescent="0.4">
      <c r="E32" s="59" t="s">
        <v>87</v>
      </c>
      <c r="F32" s="56" t="s">
        <v>42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88</v>
      </c>
      <c r="F33" s="56" t="s">
        <v>43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300ED-C805-4DCD-B869-84D750FE114A}">
  <sheetPr codeName="Sheet17"/>
  <dimension ref="A1:Q8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82</v>
      </c>
      <c r="C2" s="149"/>
      <c r="E2" s="58" t="s">
        <v>66</v>
      </c>
      <c r="F2" s="55" t="s">
        <v>22</v>
      </c>
      <c r="G2" s="43">
        <v>143</v>
      </c>
      <c r="H2" s="128">
        <f>IF(B$17=0,0,G2/B$17)</f>
        <v>0.77297297297297296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671.95121951219517</v>
      </c>
      <c r="P2" s="114">
        <v>82</v>
      </c>
      <c r="Q2" s="98">
        <v>55100</v>
      </c>
    </row>
    <row r="3" spans="1:17" x14ac:dyDescent="0.4">
      <c r="A3" s="51" t="s">
        <v>8</v>
      </c>
      <c r="B3" s="150">
        <v>654</v>
      </c>
      <c r="C3" s="151"/>
      <c r="E3" s="59" t="s">
        <v>72</v>
      </c>
      <c r="F3" s="56" t="s">
        <v>27</v>
      </c>
      <c r="G3" s="44">
        <v>115</v>
      </c>
      <c r="H3" s="129">
        <f>IF(B$17=0,0,G3/B$17)</f>
        <v>0.6216216216216216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929.11392405063293</v>
      </c>
      <c r="P3" s="115">
        <v>79</v>
      </c>
      <c r="Q3" s="99">
        <v>73400</v>
      </c>
    </row>
    <row r="4" spans="1:17" x14ac:dyDescent="0.4">
      <c r="A4" s="51" t="s">
        <v>6</v>
      </c>
      <c r="B4" s="152">
        <v>-117.19999999999999</v>
      </c>
      <c r="C4" s="153"/>
      <c r="E4" s="59" t="s">
        <v>64</v>
      </c>
      <c r="F4" s="56" t="s">
        <v>20</v>
      </c>
      <c r="G4" s="44">
        <v>89</v>
      </c>
      <c r="H4" s="129">
        <f>IF(B$17=0,0,G4/B$17)</f>
        <v>0.48108108108108111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-958.90410958904113</v>
      </c>
      <c r="P4" s="115">
        <v>73</v>
      </c>
      <c r="Q4" s="99">
        <v>-70000</v>
      </c>
    </row>
    <row r="5" spans="1:17" x14ac:dyDescent="0.4">
      <c r="A5" s="51" t="s">
        <v>7</v>
      </c>
      <c r="B5" s="154">
        <f>IF(B$2=0,0,B$4/B$2)</f>
        <v>-1.4292682926829268</v>
      </c>
      <c r="C5" s="155"/>
      <c r="E5" s="59" t="s">
        <v>171</v>
      </c>
      <c r="F5" s="56" t="s">
        <v>172</v>
      </c>
      <c r="G5" s="44">
        <v>87</v>
      </c>
      <c r="H5" s="129">
        <f>IF(B$17=0,0,G5/B$17)</f>
        <v>0.4702702702702703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-126.86567164179104</v>
      </c>
      <c r="P5" s="115">
        <v>67</v>
      </c>
      <c r="Q5" s="99">
        <v>-8500</v>
      </c>
    </row>
    <row r="6" spans="1:17" x14ac:dyDescent="0.4">
      <c r="A6" s="51" t="s">
        <v>1</v>
      </c>
      <c r="B6" s="144">
        <f>IF(B$2=0,0,(B$7*1+B$8*2+B$9*3)/B$2)</f>
        <v>2.0853658536585367</v>
      </c>
      <c r="C6" s="145"/>
      <c r="E6" s="59" t="s">
        <v>67</v>
      </c>
      <c r="F6" s="56" t="s">
        <v>23</v>
      </c>
      <c r="G6" s="44">
        <v>74</v>
      </c>
      <c r="H6" s="129">
        <f>IF(B$17=0,0,G6/B$17)</f>
        <v>0.4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-571.18644067796606</v>
      </c>
      <c r="P6" s="115">
        <v>59</v>
      </c>
      <c r="Q6" s="99">
        <v>-33700</v>
      </c>
    </row>
    <row r="7" spans="1:17" x14ac:dyDescent="0.4">
      <c r="A7" s="51" t="s">
        <v>2</v>
      </c>
      <c r="B7" s="44">
        <v>17</v>
      </c>
      <c r="C7" s="37">
        <f t="shared" ref="C7:C12" si="1">IF(B$2=0,0,B7/B$2)</f>
        <v>0.2073170731707317</v>
      </c>
      <c r="E7" s="59" t="s">
        <v>68</v>
      </c>
      <c r="F7" s="56" t="s">
        <v>12</v>
      </c>
      <c r="G7" s="44">
        <v>61</v>
      </c>
      <c r="H7" s="129">
        <f>IF(B$17=0,0,G7/B$17)</f>
        <v>0.32972972972972975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-1649.0196078431372</v>
      </c>
      <c r="P7" s="116">
        <v>51</v>
      </c>
      <c r="Q7" s="100">
        <v>-84100</v>
      </c>
    </row>
    <row r="8" spans="1:17" x14ac:dyDescent="0.4">
      <c r="A8" s="51" t="s">
        <v>3</v>
      </c>
      <c r="B8" s="44">
        <v>41</v>
      </c>
      <c r="C8" s="37">
        <f t="shared" si="1"/>
        <v>0.5</v>
      </c>
      <c r="E8" s="59" t="s">
        <v>69</v>
      </c>
      <c r="F8" s="56" t="s">
        <v>24</v>
      </c>
      <c r="G8" s="44">
        <v>24</v>
      </c>
      <c r="H8" s="129">
        <f>IF(B$17=0,0,G8/B$17)</f>
        <v>0.12972972972972974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0.29268292682926828</v>
      </c>
      <c r="E9" s="59" t="s">
        <v>89</v>
      </c>
      <c r="F9" s="56" t="s">
        <v>44</v>
      </c>
      <c r="G9" s="44">
        <v>18</v>
      </c>
      <c r="H9" s="129">
        <f>IF(B$17=0,0,G9/B$17)</f>
        <v>9.7297297297297303E-2</v>
      </c>
      <c r="I9" s="90">
        <v>8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7</v>
      </c>
      <c r="C10" s="38">
        <f t="shared" si="1"/>
        <v>8.5365853658536592E-2</v>
      </c>
      <c r="E10" s="59" t="s">
        <v>71</v>
      </c>
      <c r="F10" s="56" t="s">
        <v>26</v>
      </c>
      <c r="G10" s="44">
        <v>16</v>
      </c>
      <c r="H10" s="129">
        <f>IF(B$17=0,0,G10/B$17)</f>
        <v>8.6486486486486491E-2</v>
      </c>
      <c r="I10" s="90">
        <v>5</v>
      </c>
      <c r="K10" s="36">
        <v>8</v>
      </c>
      <c r="L10" s="95">
        <v>-46.7</v>
      </c>
      <c r="N10" s="110" t="s">
        <v>162</v>
      </c>
      <c r="O10" s="120">
        <f>IF(P10=0,0,Q10/P10)</f>
        <v>-2.1176470588235299</v>
      </c>
      <c r="P10" s="114">
        <v>34</v>
      </c>
      <c r="Q10" s="102">
        <v>-72.000000000000014</v>
      </c>
    </row>
    <row r="11" spans="1:17" x14ac:dyDescent="0.4">
      <c r="A11" s="52" t="s">
        <v>138</v>
      </c>
      <c r="B11" s="45">
        <v>6</v>
      </c>
      <c r="C11" s="38">
        <f t="shared" si="1"/>
        <v>7.3170731707317069E-2</v>
      </c>
      <c r="E11" s="59" t="s">
        <v>65</v>
      </c>
      <c r="F11" s="56" t="s">
        <v>21</v>
      </c>
      <c r="G11" s="44">
        <v>14</v>
      </c>
      <c r="H11" s="129">
        <f>IF(B$17=0,0,G11/B$17)</f>
        <v>7.567567567567568E-2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1.833333333333333</v>
      </c>
      <c r="P11" s="115">
        <v>24</v>
      </c>
      <c r="Q11" s="103">
        <v>43.999999999999993</v>
      </c>
    </row>
    <row r="12" spans="1:17" x14ac:dyDescent="0.4">
      <c r="A12" s="53" t="s">
        <v>158</v>
      </c>
      <c r="B12" s="46">
        <v>3</v>
      </c>
      <c r="C12" s="40">
        <f t="shared" si="1"/>
        <v>3.6585365853658534E-2</v>
      </c>
      <c r="E12" s="59" t="s">
        <v>70</v>
      </c>
      <c r="F12" s="56" t="s">
        <v>25</v>
      </c>
      <c r="G12" s="44">
        <v>14</v>
      </c>
      <c r="H12" s="129">
        <f>IF(B$17=0,0,G12/B$17)</f>
        <v>7.567567567567568E-2</v>
      </c>
      <c r="I12" s="90">
        <v>8</v>
      </c>
      <c r="K12" s="36">
        <v>10</v>
      </c>
      <c r="L12" s="95">
        <v>-146.69999999999999</v>
      </c>
      <c r="N12" s="112" t="s">
        <v>164</v>
      </c>
      <c r="O12" s="122">
        <f>IF(P12=0,0,Q12/P12)</f>
        <v>-3.7166666666666668</v>
      </c>
      <c r="P12" s="116">
        <v>24</v>
      </c>
      <c r="Q12" s="104">
        <v>-89.2</v>
      </c>
    </row>
    <row r="13" spans="1:17" x14ac:dyDescent="0.4">
      <c r="A13" s="54" t="s">
        <v>121</v>
      </c>
      <c r="B13" s="47">
        <v>165</v>
      </c>
      <c r="C13" s="42">
        <f>IF(B$3=0,0,B13/B$3)</f>
        <v>0.25229357798165136</v>
      </c>
      <c r="E13" s="59" t="s">
        <v>86</v>
      </c>
      <c r="F13" s="56" t="s">
        <v>41</v>
      </c>
      <c r="G13" s="44">
        <v>10</v>
      </c>
      <c r="H13" s="129">
        <f>IF(B$17=0,0,G13/B$17)</f>
        <v>5.4054054054054057E-2</v>
      </c>
      <c r="I13" s="90">
        <v>4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154</v>
      </c>
      <c r="C14" s="37">
        <f>IF(B$3=0,0,B14/B$3)</f>
        <v>0.23547400611620795</v>
      </c>
      <c r="E14" s="59" t="s">
        <v>83</v>
      </c>
      <c r="F14" s="56" t="s">
        <v>38</v>
      </c>
      <c r="G14" s="44">
        <v>7</v>
      </c>
      <c r="H14" s="129">
        <f>IF(B$17=0,0,G14/B$17)</f>
        <v>3.783783783783784E-2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94</v>
      </c>
      <c r="C15" s="35">
        <f>IF(B$13=0,0,B15/B$13)</f>
        <v>0.5696969696969697</v>
      </c>
      <c r="E15" s="59" t="s">
        <v>79</v>
      </c>
      <c r="F15" s="56" t="s">
        <v>34</v>
      </c>
      <c r="G15" s="44">
        <v>6</v>
      </c>
      <c r="H15" s="129">
        <f>IF(B$17=0,0,G15/B$17)</f>
        <v>3.2432432432432434E-2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63</v>
      </c>
      <c r="C16" s="35">
        <f>IF(B$14=0,0,B16/B$14)</f>
        <v>0.40909090909090912</v>
      </c>
      <c r="E16" s="59" t="s">
        <v>167</v>
      </c>
      <c r="F16" s="56" t="s">
        <v>168</v>
      </c>
      <c r="G16" s="44">
        <v>4</v>
      </c>
      <c r="H16" s="129">
        <f>IF(B$17=0,0,G16/B$17)</f>
        <v>2.1621621621621623E-2</v>
      </c>
      <c r="I16" s="90">
        <v>4</v>
      </c>
      <c r="K16" s="36">
        <v>14</v>
      </c>
      <c r="L16" s="95">
        <v>-25.79999999999999</v>
      </c>
      <c r="N16" s="111" t="s">
        <v>222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185</v>
      </c>
      <c r="C17" s="35">
        <f>IF(B$3=0,0,B17/B$3)</f>
        <v>0.28287461773700306</v>
      </c>
      <c r="E17" s="59" t="s">
        <v>73</v>
      </c>
      <c r="F17" s="56" t="s">
        <v>28</v>
      </c>
      <c r="G17" s="44">
        <v>3</v>
      </c>
      <c r="H17" s="129">
        <f>IF(B$17=0,0,G17/B$17)</f>
        <v>1.6216216216216217E-2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>IF(P17=0,0,Q17/P17)</f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83</v>
      </c>
      <c r="C18" s="37">
        <f>IF(B$17=0,0,B18/B$17)</f>
        <v>0.44864864864864867</v>
      </c>
      <c r="E18" s="59" t="s">
        <v>78</v>
      </c>
      <c r="F18" s="56" t="s">
        <v>33</v>
      </c>
      <c r="G18" s="44">
        <v>3</v>
      </c>
      <c r="H18" s="129">
        <f>IF(B$17=0,0,G18/B$17)</f>
        <v>1.6216216216216217E-2</v>
      </c>
      <c r="I18" s="90">
        <v>7</v>
      </c>
      <c r="K18" s="36">
        <v>16</v>
      </c>
      <c r="L18" s="95">
        <v>-35.599999999999987</v>
      </c>
      <c r="N18" s="111" t="s">
        <v>179</v>
      </c>
      <c r="O18" s="121">
        <f>IF(P18=0,0,Q18/P18)</f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102</v>
      </c>
      <c r="C19" s="37">
        <f>IF(B$17=0,0,B19/B$17)</f>
        <v>0.55135135135135138</v>
      </c>
      <c r="E19" s="59" t="s">
        <v>81</v>
      </c>
      <c r="F19" s="56" t="s">
        <v>36</v>
      </c>
      <c r="G19" s="44">
        <v>2</v>
      </c>
      <c r="H19" s="129">
        <f>IF(B$17=0,0,G19/B$17)</f>
        <v>1.0810810810810811E-2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89</v>
      </c>
      <c r="C20" s="37">
        <f>IF(B$3=0,0,B20/B$3)</f>
        <v>0.13608562691131498</v>
      </c>
      <c r="E20" s="59" t="s">
        <v>74</v>
      </c>
      <c r="F20" s="56" t="s">
        <v>29</v>
      </c>
      <c r="G20" s="44">
        <v>1</v>
      </c>
      <c r="H20" s="129">
        <f>IF(B$17=0,0,G20/B$17)</f>
        <v>5.4054054054054057E-3</v>
      </c>
      <c r="I20" s="90">
        <v>4</v>
      </c>
      <c r="K20" s="36">
        <v>18</v>
      </c>
      <c r="L20" s="95">
        <v>-62.399999999999991</v>
      </c>
      <c r="N20" s="111" t="s">
        <v>166</v>
      </c>
      <c r="O20" s="121">
        <f>IF(P20=0,0,Q20/P20)</f>
        <v>2.8312499999999998</v>
      </c>
      <c r="P20" s="115">
        <v>16</v>
      </c>
      <c r="Q20" s="103">
        <v>45.3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85</v>
      </c>
      <c r="F21" s="56" t="s">
        <v>40</v>
      </c>
      <c r="G21" s="44">
        <v>1</v>
      </c>
      <c r="H21" s="129">
        <f>IF(B$17=0,0,G21/B$17)</f>
        <v>5.4054054054054057E-3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>IF(P21=0,0,Q21/P21)</f>
        <v>-5.5718750000000004</v>
      </c>
      <c r="P21" s="115">
        <v>32</v>
      </c>
      <c r="Q21" s="103">
        <v>-178.3</v>
      </c>
    </row>
    <row r="22" spans="1:17" x14ac:dyDescent="0.4">
      <c r="A22" s="51" t="s">
        <v>170</v>
      </c>
      <c r="B22" s="44">
        <v>44</v>
      </c>
      <c r="C22" s="131">
        <v>11</v>
      </c>
      <c r="E22" s="59" t="s">
        <v>87</v>
      </c>
      <c r="F22" s="56" t="s">
        <v>42</v>
      </c>
      <c r="G22" s="44">
        <v>1</v>
      </c>
      <c r="H22" s="129">
        <f>IF(B$17=0,0,G22/B$17)</f>
        <v>5.4054054054054057E-3</v>
      </c>
      <c r="I22" s="90">
        <v>2</v>
      </c>
      <c r="K22" s="36">
        <v>20</v>
      </c>
      <c r="L22" s="95">
        <v>-93.199999999999989</v>
      </c>
      <c r="N22" s="111" t="s">
        <v>126</v>
      </c>
      <c r="O22" s="121">
        <f>IF(P22=0,0,Q22/P22)</f>
        <v>-16.089473684210528</v>
      </c>
      <c r="P22" s="115">
        <v>38</v>
      </c>
      <c r="Q22" s="103">
        <v>-611.40000000000009</v>
      </c>
    </row>
    <row r="23" spans="1:17" x14ac:dyDescent="0.4">
      <c r="A23" s="51" t="s">
        <v>5</v>
      </c>
      <c r="B23" s="48">
        <f>IF(B$17=0,0,C23/B$17)</f>
        <v>8345.405405405405</v>
      </c>
      <c r="C23" s="39">
        <v>1543900</v>
      </c>
      <c r="E23" s="59" t="s">
        <v>88</v>
      </c>
      <c r="F23" s="56" t="s">
        <v>43</v>
      </c>
      <c r="G23" s="44">
        <v>1</v>
      </c>
      <c r="H23" s="129">
        <f>IF(B$17=0,0,G23/B$17)</f>
        <v>5.4054054054054057E-3</v>
      </c>
      <c r="I23" s="90">
        <v>3</v>
      </c>
      <c r="K23" s="36">
        <v>21</v>
      </c>
      <c r="L23" s="95">
        <v>-123.69999999999999</v>
      </c>
      <c r="N23" s="111" t="s">
        <v>177</v>
      </c>
      <c r="O23" s="121">
        <f>IF(P23=0,0,Q23/P23)</f>
        <v>-16.436666666666667</v>
      </c>
      <c r="P23" s="115">
        <v>30</v>
      </c>
      <c r="Q23" s="103">
        <v>-493.1</v>
      </c>
    </row>
    <row r="24" spans="1:17" x14ac:dyDescent="0.4">
      <c r="A24" s="52" t="s">
        <v>216</v>
      </c>
      <c r="B24" s="136">
        <f>IF($B$17-B$16=0,0,C24/($B$17-B$16))</f>
        <v>9332.7868852459014</v>
      </c>
      <c r="C24" s="137">
        <v>1138600</v>
      </c>
      <c r="E24" s="59" t="s">
        <v>91</v>
      </c>
      <c r="F24" s="56" t="s">
        <v>46</v>
      </c>
      <c r="G24" s="44">
        <v>1</v>
      </c>
      <c r="H24" s="129">
        <f>IF(B$17=0,0,G24/B$17)</f>
        <v>5.4054054054054057E-3</v>
      </c>
      <c r="I24" s="90">
        <v>7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6433.333333333333</v>
      </c>
      <c r="C25" s="137">
        <v>405300</v>
      </c>
      <c r="E25" s="59" t="s">
        <v>101</v>
      </c>
      <c r="F25" s="56" t="s">
        <v>56</v>
      </c>
      <c r="G25" s="44">
        <v>1</v>
      </c>
      <c r="H25" s="129">
        <f>IF(B$17=0,0,G25/B$17)</f>
        <v>5.4054054054054057E-3</v>
      </c>
      <c r="I25" s="90">
        <v>1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-7967.4157303370785</v>
      </c>
      <c r="C26" s="137">
        <v>-709100</v>
      </c>
      <c r="E26" s="59" t="s">
        <v>75</v>
      </c>
      <c r="F26" s="56" t="s">
        <v>30</v>
      </c>
      <c r="G26" s="44">
        <v>0</v>
      </c>
      <c r="H26" s="129">
        <f>IF(B$17=0,0,G26/B$17)</f>
        <v>0</v>
      </c>
      <c r="I26" s="90">
        <v>8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5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3.0581039755351682E-3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6730-E777-4663-90C5-448C65CAE97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31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0.68965517241379315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-2700</v>
      </c>
      <c r="P2" s="114">
        <v>31</v>
      </c>
      <c r="Q2" s="98">
        <v>-83700</v>
      </c>
    </row>
    <row r="3" spans="1:17" x14ac:dyDescent="0.4">
      <c r="A3" s="51" t="s">
        <v>8</v>
      </c>
      <c r="B3" s="150">
        <v>250</v>
      </c>
      <c r="C3" s="151"/>
      <c r="E3" s="59" t="s">
        <v>72</v>
      </c>
      <c r="F3" s="56" t="s">
        <v>27</v>
      </c>
      <c r="G3" s="44">
        <v>34</v>
      </c>
      <c r="H3" s="129">
        <f>IF(B$17=0,0,G3/B$17)</f>
        <v>0.58620689655172409</v>
      </c>
      <c r="I3" s="90">
        <v>3</v>
      </c>
      <c r="K3" s="36">
        <v>1</v>
      </c>
      <c r="L3" s="95">
        <v>-12</v>
      </c>
      <c r="N3" s="111" t="s">
        <v>131</v>
      </c>
      <c r="O3" s="118">
        <f t="shared" si="0"/>
        <v>-170.96774193548387</v>
      </c>
      <c r="P3" s="115">
        <v>31</v>
      </c>
      <c r="Q3" s="99">
        <v>-5300</v>
      </c>
    </row>
    <row r="4" spans="1:17" x14ac:dyDescent="0.4">
      <c r="A4" s="51" t="s">
        <v>6</v>
      </c>
      <c r="B4" s="152">
        <v>-473.10000000000014</v>
      </c>
      <c r="C4" s="153"/>
      <c r="E4" s="59" t="s">
        <v>64</v>
      </c>
      <c r="F4" s="56" t="s">
        <v>20</v>
      </c>
      <c r="G4" s="44">
        <v>25</v>
      </c>
      <c r="H4" s="129">
        <f>IF(B$17=0,0,G4/B$17)</f>
        <v>0.43103448275862066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-745.16129032258061</v>
      </c>
      <c r="P4" s="115">
        <v>31</v>
      </c>
      <c r="Q4" s="99">
        <v>-23100</v>
      </c>
    </row>
    <row r="5" spans="1:17" x14ac:dyDescent="0.4">
      <c r="A5" s="51" t="s">
        <v>7</v>
      </c>
      <c r="B5" s="154">
        <f>IF(B$2=0,0,B$4/B$2)</f>
        <v>-15.261290322580649</v>
      </c>
      <c r="C5" s="155"/>
      <c r="E5" s="59" t="s">
        <v>67</v>
      </c>
      <c r="F5" s="56" t="s">
        <v>23</v>
      </c>
      <c r="G5" s="44">
        <v>18</v>
      </c>
      <c r="H5" s="129">
        <f>IF(B$17=0,0,G5/B$17)</f>
        <v>0.31034482758620691</v>
      </c>
      <c r="I5" s="90">
        <v>6</v>
      </c>
      <c r="K5" s="36">
        <v>3</v>
      </c>
      <c r="L5" s="95">
        <v>-33.6</v>
      </c>
      <c r="N5" s="111" t="s">
        <v>133</v>
      </c>
      <c r="O5" s="118">
        <f t="shared" si="0"/>
        <v>-2773.3333333333335</v>
      </c>
      <c r="P5" s="115">
        <v>30</v>
      </c>
      <c r="Q5" s="99">
        <v>-83200</v>
      </c>
    </row>
    <row r="6" spans="1:17" x14ac:dyDescent="0.4">
      <c r="A6" s="51" t="s">
        <v>1</v>
      </c>
      <c r="B6" s="144">
        <f>IF(B$2=0,0,(B$7*1+B$8*2+B$9*3)/B$2)</f>
        <v>2.4516129032258065</v>
      </c>
      <c r="C6" s="145"/>
      <c r="E6" s="59" t="s">
        <v>171</v>
      </c>
      <c r="F6" s="56" t="s">
        <v>172</v>
      </c>
      <c r="G6" s="44">
        <v>18</v>
      </c>
      <c r="H6" s="129">
        <f>IF(B$17=0,0,G6/B$17)</f>
        <v>0.31034482758620691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-1531.0344827586207</v>
      </c>
      <c r="P6" s="115">
        <v>29</v>
      </c>
      <c r="Q6" s="99">
        <v>-44400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9.6774193548387094E-2</v>
      </c>
      <c r="E7" s="59" t="s">
        <v>68</v>
      </c>
      <c r="F7" s="56" t="s">
        <v>12</v>
      </c>
      <c r="G7" s="44">
        <v>17</v>
      </c>
      <c r="H7" s="129">
        <f>IF(B$17=0,0,G7/B$17)</f>
        <v>0.29310344827586204</v>
      </c>
      <c r="I7" s="90">
        <v>8</v>
      </c>
      <c r="K7" s="36">
        <v>5</v>
      </c>
      <c r="L7" s="95">
        <v>-124.3</v>
      </c>
      <c r="N7" s="112" t="s">
        <v>135</v>
      </c>
      <c r="O7" s="119">
        <f t="shared" si="0"/>
        <v>-3683.3333333333335</v>
      </c>
      <c r="P7" s="116">
        <v>24</v>
      </c>
      <c r="Q7" s="100">
        <v>-88400</v>
      </c>
    </row>
    <row r="8" spans="1:17" x14ac:dyDescent="0.4">
      <c r="A8" s="51" t="s">
        <v>3</v>
      </c>
      <c r="B8" s="44">
        <v>11</v>
      </c>
      <c r="C8" s="37">
        <f t="shared" si="1"/>
        <v>0.35483870967741937</v>
      </c>
      <c r="E8" s="59" t="s">
        <v>89</v>
      </c>
      <c r="F8" s="56" t="s">
        <v>44</v>
      </c>
      <c r="G8" s="44">
        <v>8</v>
      </c>
      <c r="H8" s="129">
        <f>IF(B$17=0,0,G8/B$17)</f>
        <v>0.13793103448275862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0.54838709677419351</v>
      </c>
      <c r="E9" s="59" t="s">
        <v>65</v>
      </c>
      <c r="F9" s="56" t="s">
        <v>21</v>
      </c>
      <c r="G9" s="44">
        <v>7</v>
      </c>
      <c r="H9" s="129">
        <f>IF(B$17=0,0,G9/B$17)</f>
        <v>0.1206896551724138</v>
      </c>
      <c r="I9" s="90">
        <v>3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0.16129032258064516</v>
      </c>
      <c r="E10" s="59" t="s">
        <v>71</v>
      </c>
      <c r="F10" s="56" t="s">
        <v>26</v>
      </c>
      <c r="G10" s="44">
        <v>6</v>
      </c>
      <c r="H10" s="129">
        <f>IF(B$17=0,0,G10/B$17)</f>
        <v>0.10344827586206896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-23.529411764705884</v>
      </c>
      <c r="P10" s="114">
        <v>17</v>
      </c>
      <c r="Q10" s="102">
        <v>-400</v>
      </c>
    </row>
    <row r="11" spans="1:17" x14ac:dyDescent="0.4">
      <c r="A11" s="52" t="s">
        <v>138</v>
      </c>
      <c r="B11" s="45">
        <v>1</v>
      </c>
      <c r="C11" s="38">
        <f t="shared" si="1"/>
        <v>3.2258064516129031E-2</v>
      </c>
      <c r="E11" s="59" t="s">
        <v>83</v>
      </c>
      <c r="F11" s="56" t="s">
        <v>38</v>
      </c>
      <c r="G11" s="44">
        <v>5</v>
      </c>
      <c r="H11" s="129">
        <f>IF(B$17=0,0,G11/B$17)</f>
        <v>8.6206896551724144E-2</v>
      </c>
      <c r="I11" s="90">
        <v>3</v>
      </c>
      <c r="K11" s="36">
        <v>9</v>
      </c>
      <c r="L11" s="95">
        <v>-150.6</v>
      </c>
      <c r="N11" s="111" t="s">
        <v>163</v>
      </c>
      <c r="O11" s="121">
        <f>IF(P11=0,0,Q11/P11)</f>
        <v>-7.2874999999999988</v>
      </c>
      <c r="P11" s="115">
        <v>8</v>
      </c>
      <c r="Q11" s="103">
        <v>-58.29999999999999</v>
      </c>
    </row>
    <row r="12" spans="1:17" x14ac:dyDescent="0.4">
      <c r="A12" s="53" t="s">
        <v>158</v>
      </c>
      <c r="B12" s="46">
        <v>1</v>
      </c>
      <c r="C12" s="40">
        <f t="shared" si="1"/>
        <v>3.2258064516129031E-2</v>
      </c>
      <c r="E12" s="59" t="s">
        <v>69</v>
      </c>
      <c r="F12" s="56" t="s">
        <v>24</v>
      </c>
      <c r="G12" s="44">
        <v>4</v>
      </c>
      <c r="H12" s="129">
        <f>IF(B$17=0,0,G12/B$17)</f>
        <v>6.8965517241379309E-2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-2.4666666666666663</v>
      </c>
      <c r="P12" s="116">
        <v>6</v>
      </c>
      <c r="Q12" s="104">
        <v>-14.799999999999999</v>
      </c>
    </row>
    <row r="13" spans="1:17" x14ac:dyDescent="0.4">
      <c r="A13" s="54" t="s">
        <v>121</v>
      </c>
      <c r="B13" s="47">
        <v>48</v>
      </c>
      <c r="C13" s="42">
        <f>IF(B$3=0,0,B13/B$3)</f>
        <v>0.192</v>
      </c>
      <c r="E13" s="59" t="s">
        <v>70</v>
      </c>
      <c r="F13" s="56" t="s">
        <v>25</v>
      </c>
      <c r="G13" s="44">
        <v>4</v>
      </c>
      <c r="H13" s="129">
        <f>IF(B$17=0,0,G13/B$17)</f>
        <v>6.8965517241379309E-2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55</v>
      </c>
      <c r="C14" s="37">
        <f>IF(B$3=0,0,B14/B$3)</f>
        <v>0.22</v>
      </c>
      <c r="E14" s="59" t="s">
        <v>86</v>
      </c>
      <c r="F14" s="56" t="s">
        <v>41</v>
      </c>
      <c r="G14" s="44">
        <v>4</v>
      </c>
      <c r="H14" s="129">
        <f>IF(B$17=0,0,G14/B$17)</f>
        <v>6.8965517241379309E-2</v>
      </c>
      <c r="I14" s="90">
        <v>2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0.54166666666666663</v>
      </c>
      <c r="E15" s="59" t="s">
        <v>81</v>
      </c>
      <c r="F15" s="56" t="s">
        <v>36</v>
      </c>
      <c r="G15" s="44">
        <v>2</v>
      </c>
      <c r="H15" s="129">
        <f>IF(B$17=0,0,G15/B$17)</f>
        <v>3.4482758620689655E-2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22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1.7241379310344827E-2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>IF(P16=0,0,Q16/P16)</f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58</v>
      </c>
      <c r="C17" s="35">
        <f>IF(B$3=0,0,B17/B$3)</f>
        <v>0.23200000000000001</v>
      </c>
      <c r="E17" s="59" t="s">
        <v>78</v>
      </c>
      <c r="F17" s="56" t="s">
        <v>33</v>
      </c>
      <c r="G17" s="44">
        <v>1</v>
      </c>
      <c r="H17" s="129">
        <f>IF(B$17=0,0,G17/B$17)</f>
        <v>1.7241379310344827E-2</v>
      </c>
      <c r="I17" s="90">
        <v>6</v>
      </c>
      <c r="K17" s="36">
        <v>15</v>
      </c>
      <c r="L17" s="95">
        <v>-272.50000000000006</v>
      </c>
      <c r="N17" s="111" t="s">
        <v>178</v>
      </c>
      <c r="O17" s="121">
        <f>IF(P17=0,0,Q17/P17)</f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28</v>
      </c>
      <c r="C18" s="37">
        <f>IF(B$17=0,0,B18/B$17)</f>
        <v>0.48275862068965519</v>
      </c>
      <c r="E18" s="59" t="s">
        <v>95</v>
      </c>
      <c r="F18" s="56" t="s">
        <v>50</v>
      </c>
      <c r="G18" s="44">
        <v>1</v>
      </c>
      <c r="H18" s="129">
        <f>IF(B$17=0,0,G18/B$17)</f>
        <v>1.7241379310344827E-2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>IF(P18=0,0,Q18/P18)</f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30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4</v>
      </c>
      <c r="K19" s="36">
        <v>17</v>
      </c>
      <c r="L19" s="95">
        <v>-352.60000000000008</v>
      </c>
      <c r="N19" s="111" t="s">
        <v>126</v>
      </c>
      <c r="O19" s="121">
        <f>IF(P19=0,0,Q19/P19)</f>
        <v>-21.422222222222224</v>
      </c>
      <c r="P19" s="115">
        <v>9</v>
      </c>
      <c r="Q19" s="103">
        <v>-192.8</v>
      </c>
    </row>
    <row r="20" spans="1:17" x14ac:dyDescent="0.4">
      <c r="A20" s="51" t="s">
        <v>13</v>
      </c>
      <c r="B20" s="44">
        <v>47</v>
      </c>
      <c r="C20" s="37">
        <f>IF(B$3=0,0,B20/B$3)</f>
        <v>0.188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8</v>
      </c>
      <c r="K20" s="36">
        <v>18</v>
      </c>
      <c r="L20" s="95">
        <v>-355.50000000000006</v>
      </c>
      <c r="N20" s="111" t="s">
        <v>179</v>
      </c>
      <c r="O20" s="121">
        <f>IF(P20=0,0,Q20/P20)</f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127</v>
      </c>
      <c r="O21" s="121">
        <f>IF(P21=0,0,Q21/P21)</f>
        <v>-37.040000000000006</v>
      </c>
      <c r="P21" s="115">
        <v>10</v>
      </c>
      <c r="Q21" s="103">
        <v>-370.40000000000003</v>
      </c>
    </row>
    <row r="22" spans="1:17" x14ac:dyDescent="0.4">
      <c r="A22" s="51" t="s">
        <v>170</v>
      </c>
      <c r="B22" s="44">
        <v>16</v>
      </c>
      <c r="C22" s="131">
        <v>6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-428.10000000000008</v>
      </c>
      <c r="N22" s="111" t="s">
        <v>181</v>
      </c>
      <c r="O22" s="121">
        <f>IF(P22=0,0,Q22/P22)</f>
        <v>-52.525000000000006</v>
      </c>
      <c r="P22" s="115">
        <v>4</v>
      </c>
      <c r="Q22" s="103">
        <v>-210.10000000000002</v>
      </c>
    </row>
    <row r="23" spans="1:17" x14ac:dyDescent="0.4">
      <c r="A23" s="51" t="s">
        <v>5</v>
      </c>
      <c r="B23" s="48">
        <f>IF(B$17=0,0,C23/B$17)</f>
        <v>7901.7241379310344</v>
      </c>
      <c r="C23" s="39">
        <v>458300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>IF(P23=0,0,Q23/P23)</f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8158.333333333333</v>
      </c>
      <c r="C24" s="137">
        <v>293700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7481.818181818182</v>
      </c>
      <c r="C25" s="137">
        <v>164600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-8059.5744680851067</v>
      </c>
      <c r="C26" s="137">
        <v>-378800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4.0000000000000001E-3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D713-13C1-41E6-B5E5-3886DC9D03F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22</v>
      </c>
      <c r="C2" s="149"/>
      <c r="E2" s="58" t="s">
        <v>66</v>
      </c>
      <c r="F2" s="55" t="s">
        <v>22</v>
      </c>
      <c r="G2" s="43">
        <v>56</v>
      </c>
      <c r="H2" s="128">
        <f>IF(B$17=0,0,G2/B$17)</f>
        <v>0.98245614035087714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-2504.5454545454545</v>
      </c>
      <c r="P2" s="114">
        <v>22</v>
      </c>
      <c r="Q2" s="98">
        <v>-55100</v>
      </c>
    </row>
    <row r="3" spans="1:17" x14ac:dyDescent="0.4">
      <c r="A3" s="51" t="s">
        <v>8</v>
      </c>
      <c r="B3" s="150">
        <v>204</v>
      </c>
      <c r="C3" s="151"/>
      <c r="E3" s="59" t="s">
        <v>64</v>
      </c>
      <c r="F3" s="56" t="s">
        <v>20</v>
      </c>
      <c r="G3" s="44">
        <v>33</v>
      </c>
      <c r="H3" s="129">
        <f>IF(B$17=0,0,G3/B$17)</f>
        <v>0.57894736842105265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-354.54545454545456</v>
      </c>
      <c r="P3" s="115">
        <v>22</v>
      </c>
      <c r="Q3" s="99">
        <v>-7800</v>
      </c>
    </row>
    <row r="4" spans="1:17" x14ac:dyDescent="0.4">
      <c r="A4" s="51" t="s">
        <v>6</v>
      </c>
      <c r="B4" s="152">
        <v>-13.5</v>
      </c>
      <c r="C4" s="153"/>
      <c r="E4" s="59" t="s">
        <v>68</v>
      </c>
      <c r="F4" s="56" t="s">
        <v>12</v>
      </c>
      <c r="G4" s="44">
        <v>23</v>
      </c>
      <c r="H4" s="129">
        <f>IF(B$17=0,0,G4/B$17)</f>
        <v>0.40350877192982454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-385.71428571428572</v>
      </c>
      <c r="P4" s="115">
        <v>21</v>
      </c>
      <c r="Q4" s="99">
        <v>-8100</v>
      </c>
    </row>
    <row r="5" spans="1:17" x14ac:dyDescent="0.4">
      <c r="A5" s="51" t="s">
        <v>7</v>
      </c>
      <c r="B5" s="154">
        <f>IF(B$2=0,0,B$4/B$2)</f>
        <v>-0.61363636363636365</v>
      </c>
      <c r="C5" s="155"/>
      <c r="E5" s="59" t="s">
        <v>72</v>
      </c>
      <c r="F5" s="56" t="s">
        <v>27</v>
      </c>
      <c r="G5" s="44">
        <v>21</v>
      </c>
      <c r="H5" s="129">
        <f>IF(B$17=0,0,G5/B$17)</f>
        <v>0.36842105263157893</v>
      </c>
      <c r="I5" s="90">
        <v>11</v>
      </c>
      <c r="K5" s="36">
        <v>3</v>
      </c>
      <c r="L5" s="95">
        <v>76</v>
      </c>
      <c r="N5" s="111" t="s">
        <v>133</v>
      </c>
      <c r="O5" s="118">
        <f t="shared" si="0"/>
        <v>-2123.8095238095239</v>
      </c>
      <c r="P5" s="115">
        <v>21</v>
      </c>
      <c r="Q5" s="99">
        <v>-44600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171</v>
      </c>
      <c r="F6" s="56" t="s">
        <v>172</v>
      </c>
      <c r="G6" s="44">
        <v>19</v>
      </c>
      <c r="H6" s="129">
        <f>IF(B$17=0,0,G6/B$17)</f>
        <v>0.33333333333333331</v>
      </c>
      <c r="I6" s="90">
        <v>8</v>
      </c>
      <c r="K6" s="36">
        <v>4</v>
      </c>
      <c r="L6" s="95">
        <v>115.5</v>
      </c>
      <c r="N6" s="111" t="s">
        <v>134</v>
      </c>
      <c r="O6" s="118">
        <f t="shared" si="0"/>
        <v>5752.6315789473683</v>
      </c>
      <c r="P6" s="115">
        <v>19</v>
      </c>
      <c r="Q6" s="99">
        <v>109300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0.36363636363636365</v>
      </c>
      <c r="E7" s="59" t="s">
        <v>67</v>
      </c>
      <c r="F7" s="56" t="s">
        <v>23</v>
      </c>
      <c r="G7" s="44">
        <v>14</v>
      </c>
      <c r="H7" s="129">
        <f>IF(B$17=0,0,G7/B$17)</f>
        <v>0.24561403508771928</v>
      </c>
      <c r="I7" s="90">
        <v>8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0.27272727272727271</v>
      </c>
      <c r="E8" s="59" t="s">
        <v>69</v>
      </c>
      <c r="F8" s="56" t="s">
        <v>24</v>
      </c>
      <c r="G8" s="44">
        <v>12</v>
      </c>
      <c r="H8" s="129">
        <f>IF(B$17=0,0,G8/B$17)</f>
        <v>0.21052631578947367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8</v>
      </c>
      <c r="C9" s="38">
        <f t="shared" si="1"/>
        <v>0.36363636363636365</v>
      </c>
      <c r="E9" s="59" t="s">
        <v>65</v>
      </c>
      <c r="F9" s="56" t="s">
        <v>21</v>
      </c>
      <c r="G9" s="44">
        <v>8</v>
      </c>
      <c r="H9" s="129">
        <f>IF(B$17=0,0,G9/B$17)</f>
        <v>0.14035087719298245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9.0909090909090912E-2</v>
      </c>
      <c r="E10" s="59" t="s">
        <v>70</v>
      </c>
      <c r="F10" s="56" t="s">
        <v>25</v>
      </c>
      <c r="G10" s="44">
        <v>6</v>
      </c>
      <c r="H10" s="129">
        <f>IF(B$17=0,0,G10/B$17)</f>
        <v>0.10526315789473684</v>
      </c>
      <c r="I10" s="90">
        <v>5</v>
      </c>
      <c r="K10" s="36">
        <v>8</v>
      </c>
      <c r="L10" s="95">
        <v>124.6</v>
      </c>
      <c r="N10" s="110" t="s">
        <v>162</v>
      </c>
      <c r="O10" s="120">
        <f>IF(P10=0,0,Q10/P10)</f>
        <v>-7.5200000000000005</v>
      </c>
      <c r="P10" s="114">
        <v>10</v>
      </c>
      <c r="Q10" s="102">
        <v>-75.2</v>
      </c>
    </row>
    <row r="11" spans="1:17" x14ac:dyDescent="0.4">
      <c r="A11" s="52" t="s">
        <v>138</v>
      </c>
      <c r="B11" s="45">
        <v>2</v>
      </c>
      <c r="C11" s="38">
        <f t="shared" si="1"/>
        <v>9.0909090909090912E-2</v>
      </c>
      <c r="E11" s="59" t="s">
        <v>71</v>
      </c>
      <c r="F11" s="56" t="s">
        <v>26</v>
      </c>
      <c r="G11" s="44">
        <v>6</v>
      </c>
      <c r="H11" s="129">
        <f>IF(B$17=0,0,G11/B$17)</f>
        <v>0.10526315789473684</v>
      </c>
      <c r="I11" s="90">
        <v>2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5</v>
      </c>
      <c r="H12" s="129">
        <f>IF(B$17=0,0,G12/B$17)</f>
        <v>8.771929824561403E-2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2.9571428571428564</v>
      </c>
      <c r="P12" s="116">
        <v>7</v>
      </c>
      <c r="Q12" s="104">
        <v>20.699999999999996</v>
      </c>
    </row>
    <row r="13" spans="1:17" x14ac:dyDescent="0.4">
      <c r="A13" s="54" t="s">
        <v>121</v>
      </c>
      <c r="B13" s="47">
        <v>54</v>
      </c>
      <c r="C13" s="42">
        <f>IF(B$3=0,0,B13/B$3)</f>
        <v>0.26470588235294118</v>
      </c>
      <c r="E13" s="59" t="s">
        <v>78</v>
      </c>
      <c r="F13" s="56" t="s">
        <v>33</v>
      </c>
      <c r="G13" s="44">
        <v>3</v>
      </c>
      <c r="H13" s="129">
        <f>IF(B$17=0,0,G13/B$17)</f>
        <v>5.2631578947368418E-2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32</v>
      </c>
      <c r="C14" s="37">
        <f>IF(B$3=0,0,B14/B$3)</f>
        <v>0.15686274509803921</v>
      </c>
      <c r="E14" s="59" t="s">
        <v>83</v>
      </c>
      <c r="F14" s="56" t="s">
        <v>38</v>
      </c>
      <c r="G14" s="44">
        <v>2</v>
      </c>
      <c r="H14" s="129">
        <f>IF(B$17=0,0,G14/B$17)</f>
        <v>3.5087719298245612E-2</v>
      </c>
      <c r="I14" s="90">
        <v>11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33</v>
      </c>
      <c r="C15" s="35">
        <f>IF(B$13=0,0,B15/B$13)</f>
        <v>0.61111111111111116</v>
      </c>
      <c r="E15" s="59" t="s">
        <v>86</v>
      </c>
      <c r="F15" s="56" t="s">
        <v>41</v>
      </c>
      <c r="G15" s="44">
        <v>2</v>
      </c>
      <c r="H15" s="129">
        <f>IF(B$17=0,0,G15/B$17)</f>
        <v>3.5087719298245612E-2</v>
      </c>
      <c r="I15" s="90">
        <v>7</v>
      </c>
      <c r="K15" s="36">
        <v>13</v>
      </c>
      <c r="L15" s="95">
        <v>76.7</v>
      </c>
      <c r="N15" s="110" t="s">
        <v>182</v>
      </c>
      <c r="O15" s="120">
        <f>IF(P15=0,0,Q15/P15)</f>
        <v>52.525000000000006</v>
      </c>
      <c r="P15" s="114">
        <v>4</v>
      </c>
      <c r="Q15" s="102">
        <v>210.10000000000002</v>
      </c>
    </row>
    <row r="16" spans="1:17" x14ac:dyDescent="0.4">
      <c r="A16" s="50" t="s">
        <v>124</v>
      </c>
      <c r="B16" s="43">
        <v>12</v>
      </c>
      <c r="C16" s="35">
        <f>IF(B$14=0,0,B16/B$14)</f>
        <v>0.375</v>
      </c>
      <c r="E16" s="59" t="s">
        <v>75</v>
      </c>
      <c r="F16" s="56" t="s">
        <v>30</v>
      </c>
      <c r="G16" s="44">
        <v>1</v>
      </c>
      <c r="H16" s="129">
        <f>IF(B$17=0,0,G16/B$17)</f>
        <v>1.7543859649122806E-2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>IF(P16=0,0,Q16/P16)</f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57</v>
      </c>
      <c r="C17" s="35">
        <f>IF(B$3=0,0,B17/B$3)</f>
        <v>0.27941176470588236</v>
      </c>
      <c r="E17" s="59" t="s">
        <v>81</v>
      </c>
      <c r="F17" s="56" t="s">
        <v>36</v>
      </c>
      <c r="G17" s="44">
        <v>1</v>
      </c>
      <c r="H17" s="129">
        <f>IF(B$17=0,0,G17/B$17)</f>
        <v>1.7543859649122806E-2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>IF(P17=0,0,Q17/P17)</f>
        <v>5.3000000000000007</v>
      </c>
      <c r="P17" s="115">
        <v>9</v>
      </c>
      <c r="Q17" s="103">
        <v>47.7</v>
      </c>
    </row>
    <row r="18" spans="1:17" x14ac:dyDescent="0.4">
      <c r="A18" s="51" t="s">
        <v>12</v>
      </c>
      <c r="B18" s="44">
        <v>31</v>
      </c>
      <c r="C18" s="37">
        <f>IF(B$17=0,0,B18/B$17)</f>
        <v>0.54385964912280704</v>
      </c>
      <c r="E18" s="59" t="s">
        <v>85</v>
      </c>
      <c r="F18" s="56" t="s">
        <v>40</v>
      </c>
      <c r="G18" s="44">
        <v>1</v>
      </c>
      <c r="H18" s="129">
        <f>IF(B$17=0,0,G18/B$17)</f>
        <v>1.7543859649122806E-2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>IF(P18=0,0,Q18/P18)</f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26</v>
      </c>
      <c r="C19" s="37">
        <f>IF(B$17=0,0,B19/B$17)</f>
        <v>0.45614035087719296</v>
      </c>
      <c r="E19" s="59" t="s">
        <v>87</v>
      </c>
      <c r="F19" s="56" t="s">
        <v>42</v>
      </c>
      <c r="G19" s="44">
        <v>1</v>
      </c>
      <c r="H19" s="129">
        <f>IF(B$17=0,0,G19/B$17)</f>
        <v>1.7543859649122806E-2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>IF(P19=0,0,Q19/P19)</f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31</v>
      </c>
      <c r="C20" s="37">
        <f>IF(B$3=0,0,B20/B$3)</f>
        <v>0.15196078431372548</v>
      </c>
      <c r="E20" s="59" t="s">
        <v>167</v>
      </c>
      <c r="F20" s="56" t="s">
        <v>168</v>
      </c>
      <c r="G20" s="44">
        <v>1</v>
      </c>
      <c r="H20" s="129">
        <f>IF(B$17=0,0,G20/B$17)</f>
        <v>1.7543859649122806E-2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>IF(P20=0,0,Q20/P20)</f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1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8.7000000000000028</v>
      </c>
      <c r="N21" s="111" t="s">
        <v>195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5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>IF(P22=0,0,Q22/P22)</f>
        <v>-53.400000000000006</v>
      </c>
      <c r="P22" s="115">
        <v>6</v>
      </c>
      <c r="Q22" s="103">
        <v>-320.40000000000003</v>
      </c>
    </row>
    <row r="23" spans="1:17" x14ac:dyDescent="0.4">
      <c r="A23" s="51" t="s">
        <v>5</v>
      </c>
      <c r="B23" s="48">
        <f>IF(B$17=0,0,C23/B$17)</f>
        <v>8115.7894736842109</v>
      </c>
      <c r="C23" s="39">
        <v>462600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8384.4444444444453</v>
      </c>
      <c r="C24" s="137">
        <v>377300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</row>
    <row r="26" spans="1:17" x14ac:dyDescent="0.4">
      <c r="A26" s="52" t="s">
        <v>215</v>
      </c>
      <c r="B26" s="136">
        <f>IF(B$20=0,0,C26/B$20)</f>
        <v>-7151.6129032258068</v>
      </c>
      <c r="C26" s="137">
        <v>-221700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4.9019607843137254E-3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709C-D98B-46DE-961D-CCD6ADFBC57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8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4</v>
      </c>
      <c r="N16" s="111" t="s">
        <v>179</v>
      </c>
      <c r="O16" s="121">
        <f>IF(P16=0,0,Q16/P16)</f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>IF(P17=0,0,Q17/P17)</f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8</v>
      </c>
      <c r="N18" s="111" t="s">
        <v>178</v>
      </c>
      <c r="O18" s="121">
        <f>IF(P18=0,0,Q18/P18)</f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>IF(P19=0,0,Q19/P19)</f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>IF(P20=0,0,Q20/P20)</f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53E7-64E6-4F76-9AE4-D26E133AC1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9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8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113F-A490-429F-AF48-30D21A9CC8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06F0-3AF1-45A1-A637-A1DFF216F41D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400B-C680-4ED2-B7D7-230F405CF1D9}">
  <sheetPr codeName="Sheet22"/>
  <dimension ref="A1:Q2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5F22-2C45-49FE-A30C-9A02C21C393E}">
  <sheetPr codeName="Sheet20"/>
  <dimension ref="A1:Q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CB-FF10-4F86-B946-F640B4129512}">
  <sheetPr codeName="Sheet18"/>
  <dimension ref="A1:Q8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AC30-7107-4E5C-AAD4-07F911C35F0B}">
  <sheetPr codeName="Sheet16"/>
  <dimension ref="A1:Q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F0A0-967D-4C91-AF21-E24D6E2A0C30}">
  <sheetPr codeName="Sheet14"/>
  <dimension ref="A1:Q6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4CE-6D5F-4791-A615-DDFD21B8A421}">
  <sheetPr codeName="Sheet12"/>
  <dimension ref="A1:Q9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B146A-B0BB-42B1-BF16-5CE984828BE6}">
  <sheetPr codeName="Sheet10"/>
  <dimension ref="A1:Q10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0268-1D4D-45D2-BB64-9EA72EED5712}">
  <sheetPr codeName="Sheet8"/>
  <dimension ref="A1:Q4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8D3-402F-4988-9232-20C012E418A8}">
  <sheetPr codeName="Sheet6"/>
  <dimension ref="A1:Q17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2019-11-02T01:32:33Z</dcterms:modified>
</cp:coreProperties>
</file>