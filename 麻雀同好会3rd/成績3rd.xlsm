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EDBF486B-B0B5-4C26-A6F5-E6BEC3AA3F1A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1" i="5857" l="1"/>
  <c r="O16" i="5865"/>
  <c r="O15" i="5865" l="1"/>
  <c r="O19" i="5873"/>
  <c r="O15" i="5863" l="1"/>
  <c r="O20" i="5869"/>
  <c r="O16" i="5873" l="1"/>
  <c r="O22" i="5863"/>
  <c r="O20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8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8" i="5859" l="1"/>
  <c r="O21" i="5863"/>
  <c r="O17" i="5859" l="1"/>
  <c r="O20" i="5867"/>
  <c r="O23" i="5867"/>
  <c r="O16" i="5857"/>
  <c r="O17" i="5861"/>
  <c r="O16" i="5863"/>
  <c r="O20" i="5863"/>
  <c r="O19" i="5857"/>
  <c r="O18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0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0" i="5869"/>
  <c r="H6" i="5869"/>
  <c r="H11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2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19" i="5863"/>
  <c r="O17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3" i="5867"/>
  <c r="H24" i="5867"/>
  <c r="H33" i="5867"/>
  <c r="H26" i="5867"/>
  <c r="H38" i="5867"/>
  <c r="H27" i="5867"/>
  <c r="H45" i="5867"/>
  <c r="H49" i="5867"/>
  <c r="H5" i="5867"/>
  <c r="H8" i="5867"/>
  <c r="H22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1" i="5867"/>
  <c r="H15" i="5867"/>
  <c r="H19" i="5867"/>
  <c r="H32" i="5867"/>
  <c r="H13" i="5867"/>
  <c r="H25" i="5867"/>
  <c r="H20" i="5867"/>
  <c r="H36" i="5867"/>
  <c r="H40" i="5867"/>
  <c r="H43" i="5867"/>
  <c r="H47" i="5867"/>
  <c r="H2" i="5865"/>
  <c r="H3" i="5865"/>
  <c r="H4" i="5865"/>
  <c r="H11" i="5865"/>
  <c r="H9" i="5865"/>
  <c r="C17" i="5865"/>
  <c r="H14" i="5865"/>
  <c r="H42" i="5865"/>
  <c r="H38" i="5865"/>
  <c r="H20" i="5865"/>
  <c r="H7" i="5865"/>
  <c r="H27" i="5865"/>
  <c r="C18" i="5865"/>
  <c r="B23" i="5865"/>
  <c r="H46" i="5865"/>
  <c r="H52" i="5865"/>
  <c r="H29" i="5865"/>
  <c r="H10" i="5865"/>
  <c r="H13" i="5865"/>
  <c r="H5" i="5865"/>
  <c r="H19" i="5865"/>
  <c r="H28" i="5865"/>
  <c r="H21" i="5865"/>
  <c r="C19" i="5865"/>
  <c r="B24" i="5865"/>
  <c r="H35" i="5865"/>
  <c r="H50" i="5865"/>
  <c r="H22" i="5865"/>
  <c r="H16" i="5865"/>
  <c r="H32" i="5865"/>
  <c r="H15" i="5865"/>
  <c r="H34" i="5865"/>
  <c r="H18" i="5865"/>
  <c r="H36" i="5865"/>
  <c r="H39" i="5865"/>
  <c r="H43" i="5865"/>
  <c r="H47" i="5865"/>
  <c r="H51" i="5865"/>
  <c r="H8" i="5865"/>
  <c r="H17" i="5865"/>
  <c r="H37" i="5865"/>
  <c r="H40" i="5865"/>
  <c r="H44" i="5865"/>
  <c r="H48" i="5865"/>
  <c r="H12" i="5865"/>
  <c r="H30" i="5865"/>
  <c r="H31" i="5865"/>
  <c r="H23" i="5865"/>
  <c r="H33" i="5865"/>
  <c r="H24" i="5865"/>
  <c r="H25" i="5865"/>
  <c r="H26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20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8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1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6" i="5855"/>
  <c r="H25" i="5857"/>
  <c r="H5" i="5857"/>
  <c r="H12" i="5861"/>
  <c r="C17" i="5861"/>
  <c r="H28" i="5861"/>
  <c r="H33" i="5861"/>
  <c r="H49" i="5861"/>
  <c r="B24" i="5861"/>
  <c r="H38" i="5861"/>
  <c r="H46" i="5861"/>
  <c r="H52" i="5861"/>
  <c r="H11" i="5861"/>
  <c r="H6" i="5861"/>
  <c r="H10" i="5861"/>
  <c r="H21" i="5861"/>
  <c r="H18" i="5861"/>
  <c r="H17" i="5861"/>
  <c r="H25" i="5861"/>
  <c r="H13" i="5861"/>
  <c r="H32" i="5861"/>
  <c r="H16" i="5861"/>
  <c r="H26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2" i="5861"/>
  <c r="H24" i="5861"/>
  <c r="C19" i="5861"/>
  <c r="H14" i="5861"/>
  <c r="H35" i="5861"/>
  <c r="H42" i="5861"/>
  <c r="H50" i="5861"/>
  <c r="H7" i="5861"/>
  <c r="H23" i="5861"/>
  <c r="H27" i="5861"/>
  <c r="H15" i="5861"/>
  <c r="C18" i="5861"/>
  <c r="B23" i="5861"/>
  <c r="H8" i="5861"/>
  <c r="H19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9" i="5859"/>
  <c r="H28" i="5859"/>
  <c r="H47" i="5859"/>
  <c r="B24" i="5859"/>
  <c r="H44" i="5859"/>
  <c r="H8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4" i="5857"/>
  <c r="B23" i="5857"/>
  <c r="H43" i="5857"/>
  <c r="H9" i="5857"/>
  <c r="H8" i="5857"/>
  <c r="H32" i="5857"/>
  <c r="H47" i="5857"/>
  <c r="C17" i="5857"/>
  <c r="H2" i="5857"/>
  <c r="H23" i="5857"/>
  <c r="C18" i="5857"/>
  <c r="H35" i="5857"/>
  <c r="H51" i="5857"/>
  <c r="H26" i="5857"/>
  <c r="H27" i="5857"/>
  <c r="H29" i="5857"/>
  <c r="H30" i="5857"/>
  <c r="H31" i="5857"/>
  <c r="H22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1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2" i="5855"/>
  <c r="C18" i="5855"/>
  <c r="H39" i="5855"/>
  <c r="H15" i="5855"/>
  <c r="H36" i="5855"/>
  <c r="H37" i="5855"/>
  <c r="H25" i="5855"/>
  <c r="H30" i="5855"/>
  <c r="H31" i="5855"/>
  <c r="H28" i="5855"/>
  <c r="H32" i="5855"/>
  <c r="H33" i="5855"/>
  <c r="H46" i="5855"/>
  <c r="H49" i="5855"/>
  <c r="H5" i="5855"/>
  <c r="H8" i="5855"/>
  <c r="H20" i="5855"/>
  <c r="H24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3" i="5855"/>
  <c r="H19" i="5855"/>
  <c r="H17" i="5855"/>
  <c r="H27" i="5855"/>
  <c r="H14" i="5855"/>
  <c r="H26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<sst xmlns="http://schemas.openxmlformats.org/spreadsheetml/2006/main" count="2876" uniqueCount="253">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</sst>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全体!$K$2:$K$620</c:f>
              <c:numCache>
                <c:formatCode>General</c:formatCode>
                <c:ptCount val="6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</c:numCache>
            </c:numRef>
          </c:xVal>
          <c:yVal>
            <c:numRef>
              <c:f>全体!$L$2:$L$620</c:f>
              <c:numCache>
                <c:formatCode>\+0.0;\-0.0;\±0</c:formatCode>
                <c:ptCount val="61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-24.390243902439025</c:v>
                </c:pt>
                <c:pt idx="1">
                  <c:v>11.666666666666666</c:v>
                </c:pt>
                <c:pt idx="2">
                  <c:v>-15.789473684210526</c:v>
                </c:pt>
                <c:pt idx="3">
                  <c:v>11.173184357541899</c:v>
                </c:pt>
                <c:pt idx="4">
                  <c:v>10.1010101010101</c:v>
                </c:pt>
                <c:pt idx="5">
                  <c:v>14.925373134328359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1171.2</c:v>
                </c:pt>
                <c:pt idx="1">
                  <c:v>909.01639344262298</c:v>
                </c:pt>
                <c:pt idx="2">
                  <c:v>1058.4745762711864</c:v>
                </c:pt>
                <c:pt idx="3">
                  <c:v>237.61467889908258</c:v>
                </c:pt>
                <c:pt idx="4">
                  <c:v>1935.2941176470588</c:v>
                </c:pt>
                <c:pt idx="5">
                  <c:v>2301.25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ただ!$L$2:$L$117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-1521.9298245614036</c:v>
                </c:pt>
                <c:pt idx="1">
                  <c:v>1443.2432432432433</c:v>
                </c:pt>
                <c:pt idx="2">
                  <c:v>-81.730769230769226</c:v>
                </c:pt>
                <c:pt idx="3">
                  <c:v>768.36734693877554</c:v>
                </c:pt>
                <c:pt idx="4">
                  <c:v>-1002.2222222222222</c:v>
                </c:pt>
                <c:pt idx="5">
                  <c:v>1602.6315789473683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りくと!$K$2:$K$73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りくと!$L$2:$L$73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</c:v>
                </c:pt>
                <c:pt idx="1">
                  <c:v>-1088.4057971014493</c:v>
                </c:pt>
                <c:pt idx="2">
                  <c:v>865.625</c:v>
                </c:pt>
                <c:pt idx="3">
                  <c:v>-1303.1746031746031</c:v>
                </c:pt>
                <c:pt idx="4">
                  <c:v>-2995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1264.4736842105262</c:v>
                </c:pt>
                <c:pt idx="1">
                  <c:v>-2520.5479452054797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-83.720930232558146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-867.1232876712329</c:v>
                </c:pt>
                <c:pt idx="5">
                  <c:v>-503.22580645161293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まっつん2!$B$3:$B$103</c:f>
              <c:numCache>
                <c:formatCode>\+0.0;\-0.0;\±0</c:formatCode>
                <c:ptCount val="10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まっつん2!$C$3:$C$103</c:f>
              <c:numCache>
                <c:formatCode>\+0.0;\-0.0;\±0</c:formatCode>
                <c:ptCount val="101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7334592627937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まっつん2!$D$3:$D$103</c:f>
              <c:numCache>
                <c:formatCode>0.00\ "位"</c:formatCode>
                <c:ptCount val="101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まっつん2!$E$3:$E$103</c:f>
              <c:numCache>
                <c:formatCode>0.0%</c:formatCode>
                <c:ptCount val="10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まっつん2!$F$3:$F$103</c:f>
              <c:numCache>
                <c:formatCode>0.0%</c:formatCode>
                <c:ptCount val="10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まっつん2!$G$3:$G$103</c:f>
              <c:numCache>
                <c:formatCode>0.0%</c:formatCode>
                <c:ptCount val="101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4324586977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まっつん2!$H$3:$H$103</c:f>
              <c:numCache>
                <c:formatCode>0.0%</c:formatCode>
                <c:ptCount val="101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84839650145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まっつん2!$I$3:$I$103</c:f>
              <c:numCache>
                <c:formatCode>0</c:formatCode>
                <c:ptCount val="101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3.4210526315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まっつん2!$J$3:$J$103</c:f>
              <c:numCache>
                <c:formatCode>0</c:formatCode>
                <c:ptCount val="101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8.87307236061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まっつん2!$K$3:$K$103</c:f>
              <c:numCache>
                <c:formatCode>0.0%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まっつん2!$L$3:$L$103</c:f>
              <c:numCache>
                <c:formatCode>0.0%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6.8965517241379309E-2</c:v>
                </c:pt>
                <c:pt idx="88">
                  <c:v>6.8181818181818177E-2</c:v>
                </c:pt>
                <c:pt idx="89">
                  <c:v>6.741573033707865E-2</c:v>
                </c:pt>
                <c:pt idx="90">
                  <c:v>7.7777777777777779E-2</c:v>
                </c:pt>
                <c:pt idx="91">
                  <c:v>7.6923076923076927E-2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9.4736842105263161E-2</c:v>
                </c:pt>
                <c:pt idx="96">
                  <c:v>9.375E-2</c:v>
                </c:pt>
                <c:pt idx="97">
                  <c:v>9.2783505154639179E-2</c:v>
                </c:pt>
                <c:pt idx="98">
                  <c:v>9.1836734693877556E-2</c:v>
                </c:pt>
                <c:pt idx="99">
                  <c:v>9.0909090909090912E-2</c:v>
                </c:pt>
                <c:pt idx="100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まっつん2!$M$3:$M$103</c:f>
              <c:numCache>
                <c:formatCode>0.0%</c:formatCode>
                <c:ptCount val="101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0612244897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まっつん2!$N$3:$N$103</c:f>
              <c:numCache>
                <c:formatCode>0.0%</c:formatCode>
                <c:ptCount val="101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069970845481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まっつん2!$O$3:$O$103</c:f>
              <c:numCache>
                <c:formatCode>0.0%</c:formatCode>
                <c:ptCount val="101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53149001536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まっつん2!$P$3:$P$103</c:f>
              <c:numCache>
                <c:formatCode>0.0%</c:formatCode>
                <c:ptCount val="101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410385259631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まっつん2!$Q$3:$Q$103</c:f>
              <c:numCache>
                <c:formatCode>0.0%</c:formatCode>
                <c:ptCount val="101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13157894736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9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241</v>
      </c>
      <c r="B50" s="29">
        <v>43773.722453703704</v>
      </c>
      <c r="C50" s="28" t="s">
        <v>128</v>
      </c>
    </row>
    <row r="51" spans="1:9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9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244</v>
      </c>
      <c r="B53" s="29">
        <v>43781.637499999997</v>
      </c>
      <c r="C53" s="28" t="s">
        <v>128</v>
      </c>
    </row>
    <row r="54" spans="1:9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246</v>
      </c>
      <c r="B55" s="29">
        <v>43782.830752314818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9" x14ac:dyDescent="0.4">
      <c r="A56" s="28" t="s">
        <v>247</v>
      </c>
      <c r="B56" s="29">
        <v>43783.744745370372</v>
      </c>
      <c r="C56" s="28" t="s">
        <v>128</v>
      </c>
    </row>
    <row r="57" spans="1:9" x14ac:dyDescent="0.4">
      <c r="A57" s="28" t="s">
        <v>248</v>
      </c>
      <c r="B57" s="29">
        <v>43784.974247685182</v>
      </c>
      <c r="C57" s="28" t="s">
        <v>128</v>
      </c>
    </row>
    <row r="58" spans="1:9" x14ac:dyDescent="0.4">
      <c r="A58" s="28" t="s">
        <v>249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250</v>
      </c>
      <c r="B59" s="29">
        <v>43786.909467592595</v>
      </c>
      <c r="C59" s="28" t="s">
        <v>128</v>
      </c>
      <c r="D59" s="28" t="s">
        <v>129</v>
      </c>
      <c r="E59" s="28" t="s">
        <v>184</v>
      </c>
      <c r="F59" s="28" t="s">
        <v>185</v>
      </c>
      <c r="G59" s="28" t="s">
        <v>186</v>
      </c>
      <c r="H59" s="28" t="s">
        <v>187</v>
      </c>
      <c r="I59" s="28" t="s">
        <v>190</v>
      </c>
    </row>
    <row r="60" spans="1:9" x14ac:dyDescent="0.4">
      <c r="A60" s="28" t="s">
        <v>251</v>
      </c>
      <c r="B60" s="29">
        <v>43787.745706018519</v>
      </c>
      <c r="C60" s="28" t="s">
        <v>128</v>
      </c>
    </row>
    <row r="61" spans="1:9" x14ac:dyDescent="0.4">
      <c r="A61" s="28" t="s">
        <v>252</v>
      </c>
      <c r="B61" s="29">
        <v>43789.053402777776</v>
      </c>
      <c r="C61" s="28" t="s">
        <v>128</v>
      </c>
      <c r="D61" s="28" t="s">
        <v>129</v>
      </c>
      <c r="E61" s="28" t="s">
        <v>184</v>
      </c>
      <c r="F61" s="28" t="s">
        <v>185</v>
      </c>
      <c r="G61" s="2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618</v>
      </c>
    </row>
    <row r="2" spans="1:2" x14ac:dyDescent="0.4">
      <c r="A2" t="s">
        <v>166</v>
      </c>
      <c r="B2">
        <v>56</v>
      </c>
    </row>
    <row r="3" spans="1:2" x14ac:dyDescent="0.4">
      <c r="A3" t="s">
        <v>126</v>
      </c>
      <c r="B3">
        <v>126</v>
      </c>
    </row>
    <row r="4" spans="1:2" x14ac:dyDescent="0.4">
      <c r="A4" t="s">
        <v>127</v>
      </c>
      <c r="B4">
        <v>115</v>
      </c>
    </row>
    <row r="5" spans="1:2" x14ac:dyDescent="0.4">
      <c r="A5" t="s">
        <v>179</v>
      </c>
      <c r="B5">
        <v>71</v>
      </c>
    </row>
    <row r="6" spans="1:2" x14ac:dyDescent="0.4">
      <c r="A6" t="s">
        <v>177</v>
      </c>
      <c r="B6">
        <v>76</v>
      </c>
    </row>
    <row r="7" spans="1:2" x14ac:dyDescent="0.4">
      <c r="A7" t="s">
        <v>178</v>
      </c>
      <c r="B7">
        <v>100</v>
      </c>
    </row>
    <row r="8" spans="1:2" x14ac:dyDescent="0.4">
      <c r="A8" t="s">
        <v>182</v>
      </c>
      <c r="B8">
        <v>41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0.99201628484111548</v>
      </c>
      <c r="G2" s="157"/>
      <c r="H2" s="156">
        <v>0.89063939267701664</v>
      </c>
      <c r="I2" s="157"/>
      <c r="J2" s="156">
        <v>0.93227282216027441</v>
      </c>
      <c r="K2" s="157"/>
      <c r="L2" s="156">
        <v>0.8400439397688072</v>
      </c>
      <c r="M2" s="157"/>
      <c r="N2" s="156">
        <v>0.53522947723068137</v>
      </c>
      <c r="O2" s="157"/>
      <c r="P2" s="156">
        <v>0.52968121912498023</v>
      </c>
      <c r="Q2" s="157"/>
      <c r="R2" s="156">
        <v>0.17484890712720819</v>
      </c>
      <c r="S2" s="157"/>
      <c r="T2" s="156">
        <v>0.58712277691415438</v>
      </c>
      <c r="U2" s="157"/>
      <c r="V2" s="156">
        <v>0.82592740267696418</v>
      </c>
      <c r="W2" s="157"/>
      <c r="X2" s="156">
        <v>0.5504940316166177</v>
      </c>
      <c r="Y2" s="157"/>
      <c r="Z2" s="156">
        <v>6.214032784023815E-3</v>
      </c>
      <c r="AA2" s="157"/>
      <c r="AB2" s="156">
        <v>0.46150326974191819</v>
      </c>
      <c r="AC2" s="157"/>
      <c r="AD2" s="156">
        <v>0.28409456817050566</v>
      </c>
      <c r="AE2" s="157"/>
      <c r="AF2" s="156">
        <v>-8.1941179428270006E-2</v>
      </c>
      <c r="AG2" s="157"/>
      <c r="AH2" s="156">
        <v>0.76918775121563376</v>
      </c>
      <c r="AI2" s="157"/>
    </row>
    <row r="3" spans="1:35" x14ac:dyDescent="0.4">
      <c r="A3" s="70">
        <v>1</v>
      </c>
      <c r="B3" s="71" t="s">
        <v>126</v>
      </c>
      <c r="C3" s="72">
        <v>1116.5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10798.275862068966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0.18421052631578946</v>
      </c>
      <c r="X3" s="73" t="s">
        <v>177</v>
      </c>
      <c r="Y3" s="76">
        <v>0.315359477124183</v>
      </c>
      <c r="Z3" s="73" t="s">
        <v>195</v>
      </c>
      <c r="AA3" s="76">
        <v>0.35483870967741937</v>
      </c>
      <c r="AB3" s="73" t="s">
        <v>126</v>
      </c>
      <c r="AC3" s="76">
        <v>0.6028880866425993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325.7000000000001</v>
      </c>
      <c r="D4" s="81" t="s">
        <v>126</v>
      </c>
      <c r="E4" s="93">
        <v>8.8611111111111107</v>
      </c>
      <c r="F4" s="81" t="s">
        <v>126</v>
      </c>
      <c r="G4" s="82">
        <v>1.7777777777777777</v>
      </c>
      <c r="H4" s="81" t="s">
        <v>126</v>
      </c>
      <c r="I4" s="83">
        <v>0.46031746031746029</v>
      </c>
      <c r="J4" s="81" t="s">
        <v>126</v>
      </c>
      <c r="K4" s="83">
        <v>0.23809523809523808</v>
      </c>
      <c r="L4" s="81" t="s">
        <v>126</v>
      </c>
      <c r="M4" s="84">
        <v>0.34274586173320348</v>
      </c>
      <c r="N4" s="81" t="s">
        <v>126</v>
      </c>
      <c r="O4" s="84">
        <v>0.12950340798442064</v>
      </c>
      <c r="P4" s="81" t="s">
        <v>127</v>
      </c>
      <c r="Q4" s="85">
        <v>8493.2659932659935</v>
      </c>
      <c r="R4" s="81" t="s">
        <v>166</v>
      </c>
      <c r="S4" s="85">
        <v>-7600</v>
      </c>
      <c r="T4" s="81" t="s">
        <v>166</v>
      </c>
      <c r="U4" s="83">
        <v>3.5714285714285712E-2</v>
      </c>
      <c r="V4" s="81" t="s">
        <v>195</v>
      </c>
      <c r="W4" s="83">
        <v>0.14285714285714285</v>
      </c>
      <c r="X4" s="81" t="s">
        <v>179</v>
      </c>
      <c r="Y4" s="84">
        <v>0.28524046434494194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0.47457627118644069</v>
      </c>
      <c r="AF4" s="81" t="s">
        <v>177</v>
      </c>
      <c r="AG4" s="84">
        <v>0.48275862068965519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138.89999999999978</v>
      </c>
      <c r="D5" s="81" t="s">
        <v>177</v>
      </c>
      <c r="E5" s="93">
        <v>4.2855263157894754</v>
      </c>
      <c r="F5" s="81" t="s">
        <v>177</v>
      </c>
      <c r="G5" s="82">
        <v>1.9210526315789473</v>
      </c>
      <c r="H5" s="81" t="s">
        <v>195</v>
      </c>
      <c r="I5" s="83">
        <v>0.42857142857142855</v>
      </c>
      <c r="J5" s="81" t="s">
        <v>178</v>
      </c>
      <c r="K5" s="83">
        <v>0.28000000000000003</v>
      </c>
      <c r="L5" s="81" t="s">
        <v>127</v>
      </c>
      <c r="M5" s="84">
        <v>0.30809128630705396</v>
      </c>
      <c r="N5" s="81" t="s">
        <v>178</v>
      </c>
      <c r="O5" s="84">
        <v>0.13732833957553059</v>
      </c>
      <c r="P5" s="81" t="s">
        <v>181</v>
      </c>
      <c r="Q5" s="85">
        <v>8456.4516129032254</v>
      </c>
      <c r="R5" s="81" t="s">
        <v>179</v>
      </c>
      <c r="S5" s="85">
        <v>-7622.1311475409839</v>
      </c>
      <c r="T5" s="81" t="s">
        <v>126</v>
      </c>
      <c r="U5" s="83">
        <v>3.968253968253968E-2</v>
      </c>
      <c r="V5" s="81" t="s">
        <v>181</v>
      </c>
      <c r="W5" s="83">
        <v>0.125</v>
      </c>
      <c r="X5" s="81" t="s">
        <v>126</v>
      </c>
      <c r="Y5" s="84">
        <v>0.26971762414800388</v>
      </c>
      <c r="Z5" s="81" t="s">
        <v>127</v>
      </c>
      <c r="AA5" s="84">
        <v>0.31120331950207469</v>
      </c>
      <c r="AB5" s="81" t="s">
        <v>179</v>
      </c>
      <c r="AC5" s="84">
        <v>0.57558139534883723</v>
      </c>
      <c r="AD5" s="81" t="s">
        <v>178</v>
      </c>
      <c r="AE5" s="84">
        <v>0.42372881355932202</v>
      </c>
      <c r="AF5" s="81" t="s">
        <v>182</v>
      </c>
      <c r="AG5" s="84">
        <v>0.48192771084337349</v>
      </c>
      <c r="AH5" s="81" t="s">
        <v>177</v>
      </c>
      <c r="AI5" s="88">
        <v>122100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1.2078260869565198</v>
      </c>
      <c r="F6" s="81" t="s">
        <v>127</v>
      </c>
      <c r="G6" s="82">
        <v>1.9391304347826086</v>
      </c>
      <c r="H6" s="81" t="s">
        <v>177</v>
      </c>
      <c r="I6" s="83">
        <v>0.39473684210526316</v>
      </c>
      <c r="J6" s="81" t="s">
        <v>127</v>
      </c>
      <c r="K6" s="83">
        <v>0.29565217391304349</v>
      </c>
      <c r="L6" s="81" t="s">
        <v>143</v>
      </c>
      <c r="M6" s="84">
        <v>0.2954324586977648</v>
      </c>
      <c r="N6" s="81" t="s">
        <v>166</v>
      </c>
      <c r="O6" s="84">
        <v>0.15060240963855423</v>
      </c>
      <c r="P6" s="81" t="s">
        <v>143</v>
      </c>
      <c r="Q6" s="85">
        <v>8433.4210526315783</v>
      </c>
      <c r="R6" s="81" t="s">
        <v>178</v>
      </c>
      <c r="S6" s="85">
        <v>-7714.545454545455</v>
      </c>
      <c r="T6" s="81" t="s">
        <v>178</v>
      </c>
      <c r="U6" s="83">
        <v>0.08</v>
      </c>
      <c r="V6" s="81" t="s">
        <v>126</v>
      </c>
      <c r="W6" s="83">
        <v>0.11904761904761904</v>
      </c>
      <c r="X6" s="81" t="s">
        <v>178</v>
      </c>
      <c r="Y6" s="84">
        <v>0.26716604244694131</v>
      </c>
      <c r="Z6" s="81" t="s">
        <v>166</v>
      </c>
      <c r="AA6" s="84">
        <v>0.24096385542168675</v>
      </c>
      <c r="AB6" s="81" t="s">
        <v>178</v>
      </c>
      <c r="AC6" s="84">
        <v>0.57009345794392519</v>
      </c>
      <c r="AD6" s="81" t="s">
        <v>177</v>
      </c>
      <c r="AE6" s="84">
        <v>0.42201834862385323</v>
      </c>
      <c r="AF6" s="81" t="s">
        <v>179</v>
      </c>
      <c r="AG6" s="84">
        <v>0.4642857142857143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181</v>
      </c>
      <c r="C7" s="80">
        <v>2.1999999999999957</v>
      </c>
      <c r="D7" s="81" t="s">
        <v>181</v>
      </c>
      <c r="E7" s="93">
        <v>9.1666666666666494E-2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177</v>
      </c>
      <c r="K7" s="83">
        <v>0.31578947368421051</v>
      </c>
      <c r="L7" s="81" t="s">
        <v>178</v>
      </c>
      <c r="M7" s="84">
        <v>0.28714107365792757</v>
      </c>
      <c r="N7" s="81" t="s">
        <v>143</v>
      </c>
      <c r="O7" s="84">
        <v>0.16384839650145772</v>
      </c>
      <c r="P7" s="81" t="s">
        <v>178</v>
      </c>
      <c r="Q7" s="85">
        <v>8340.8695652173919</v>
      </c>
      <c r="R7" s="81" t="s">
        <v>126</v>
      </c>
      <c r="S7" s="85">
        <v>-7803.7593984962405</v>
      </c>
      <c r="T7" s="81" t="s">
        <v>181</v>
      </c>
      <c r="U7" s="83">
        <v>8.3333333333333329E-2</v>
      </c>
      <c r="V7" s="81" t="s">
        <v>127</v>
      </c>
      <c r="W7" s="83">
        <v>0.10434782608695652</v>
      </c>
      <c r="X7" s="81" t="s">
        <v>222</v>
      </c>
      <c r="Y7" s="84">
        <v>0.26666666666666666</v>
      </c>
      <c r="Z7" s="81" t="s">
        <v>143</v>
      </c>
      <c r="AA7" s="84">
        <v>0.23206997084548106</v>
      </c>
      <c r="AB7" s="81" t="s">
        <v>143</v>
      </c>
      <c r="AC7" s="84">
        <v>0.55453149001536095</v>
      </c>
      <c r="AD7" s="81" t="s">
        <v>182</v>
      </c>
      <c r="AE7" s="84">
        <v>0.41891891891891891</v>
      </c>
      <c r="AF7" s="81" t="s">
        <v>178</v>
      </c>
      <c r="AG7" s="84">
        <v>0.45217391304347826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143</v>
      </c>
      <c r="C8" s="80">
        <v>-4.6185277824406512E-14</v>
      </c>
      <c r="D8" s="81" t="s">
        <v>143</v>
      </c>
      <c r="E8" s="93">
        <v>-7.4733459262793709E-17</v>
      </c>
      <c r="F8" s="81" t="s">
        <v>143</v>
      </c>
      <c r="G8" s="82">
        <v>2</v>
      </c>
      <c r="H8" s="81" t="s">
        <v>127</v>
      </c>
      <c r="I8" s="83">
        <v>0.35652173913043478</v>
      </c>
      <c r="J8" s="81" t="s">
        <v>143</v>
      </c>
      <c r="K8" s="83">
        <v>0.33333333333333331</v>
      </c>
      <c r="L8" s="81" t="s">
        <v>177</v>
      </c>
      <c r="M8" s="84">
        <v>0.28431372549019607</v>
      </c>
      <c r="N8" s="81" t="s">
        <v>181</v>
      </c>
      <c r="O8" s="84">
        <v>0.16593886462882096</v>
      </c>
      <c r="P8" s="81" t="s">
        <v>126</v>
      </c>
      <c r="Q8" s="85">
        <v>8219.318181818182</v>
      </c>
      <c r="R8" s="81" t="s">
        <v>143</v>
      </c>
      <c r="S8" s="85">
        <v>-7848.8730723606168</v>
      </c>
      <c r="T8" s="81" t="s">
        <v>179</v>
      </c>
      <c r="U8" s="83">
        <v>8.4507042253521125E-2</v>
      </c>
      <c r="V8" s="81" t="s">
        <v>143</v>
      </c>
      <c r="W8" s="83">
        <v>9.5469255663430425E-2</v>
      </c>
      <c r="X8" s="81" t="s">
        <v>181</v>
      </c>
      <c r="Y8" s="84">
        <v>0.26637554585152839</v>
      </c>
      <c r="Z8" s="81" t="s">
        <v>126</v>
      </c>
      <c r="AA8" s="84">
        <v>0.22979552093476144</v>
      </c>
      <c r="AB8" s="81" t="s">
        <v>177</v>
      </c>
      <c r="AC8" s="84">
        <v>0.54922279792746109</v>
      </c>
      <c r="AD8" s="81" t="s">
        <v>143</v>
      </c>
      <c r="AE8" s="84">
        <v>0.41541038525963148</v>
      </c>
      <c r="AF8" s="81" t="s">
        <v>143</v>
      </c>
      <c r="AG8" s="84">
        <v>0.44013157894736843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178</v>
      </c>
      <c r="C9" s="80">
        <v>-25.600000000000009</v>
      </c>
      <c r="D9" s="81" t="s">
        <v>178</v>
      </c>
      <c r="E9" s="93">
        <v>-0.25600000000000006</v>
      </c>
      <c r="F9" s="81" t="s">
        <v>178</v>
      </c>
      <c r="G9" s="82">
        <v>2.04</v>
      </c>
      <c r="H9" s="81" t="s">
        <v>143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0.27860696517412936</v>
      </c>
      <c r="N9" s="81" t="s">
        <v>177</v>
      </c>
      <c r="O9" s="84">
        <v>0.16993464052287582</v>
      </c>
      <c r="P9" s="81" t="s">
        <v>179</v>
      </c>
      <c r="Q9" s="85">
        <v>8067.8571428571431</v>
      </c>
      <c r="R9" s="81" t="s">
        <v>222</v>
      </c>
      <c r="S9" s="85">
        <v>-8000</v>
      </c>
      <c r="T9" s="81" t="s">
        <v>143</v>
      </c>
      <c r="U9" s="83">
        <v>9.5469255663430425E-2</v>
      </c>
      <c r="V9" s="81" t="s">
        <v>178</v>
      </c>
      <c r="W9" s="83">
        <v>0.09</v>
      </c>
      <c r="X9" s="81" t="s">
        <v>143</v>
      </c>
      <c r="Y9" s="84">
        <v>0.2530612244897959</v>
      </c>
      <c r="Z9" s="81" t="s">
        <v>182</v>
      </c>
      <c r="AA9" s="84">
        <v>0.22155688622754491</v>
      </c>
      <c r="AB9" s="81" t="s">
        <v>195</v>
      </c>
      <c r="AC9" s="84">
        <v>0.53333333333333333</v>
      </c>
      <c r="AD9" s="81" t="s">
        <v>179</v>
      </c>
      <c r="AE9" s="84">
        <v>0.40517241379310343</v>
      </c>
      <c r="AF9" s="81" t="s">
        <v>126</v>
      </c>
      <c r="AG9" s="84">
        <v>0.42329545454545453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-6.5982142857142874</v>
      </c>
      <c r="F10" s="81" t="s">
        <v>166</v>
      </c>
      <c r="G10" s="82">
        <v>2.1428571428571428</v>
      </c>
      <c r="H10" s="81" t="s">
        <v>166</v>
      </c>
      <c r="I10" s="83">
        <v>0.32142857142857145</v>
      </c>
      <c r="J10" s="81" t="s">
        <v>179</v>
      </c>
      <c r="K10" s="83">
        <v>0.39436619718309857</v>
      </c>
      <c r="L10" s="81" t="s">
        <v>181</v>
      </c>
      <c r="M10" s="84">
        <v>0.27074235807860264</v>
      </c>
      <c r="N10" s="81" t="s">
        <v>182</v>
      </c>
      <c r="O10" s="84">
        <v>0.18862275449101795</v>
      </c>
      <c r="P10" s="81" t="s">
        <v>182</v>
      </c>
      <c r="Q10" s="85">
        <v>7730.1204819277109</v>
      </c>
      <c r="R10" s="81" t="s">
        <v>127</v>
      </c>
      <c r="S10" s="85">
        <v>-8007.0270270270266</v>
      </c>
      <c r="T10" s="81" t="s">
        <v>177</v>
      </c>
      <c r="U10" s="83">
        <v>0.10526315789473684</v>
      </c>
      <c r="V10" s="81" t="s">
        <v>166</v>
      </c>
      <c r="W10" s="83">
        <v>3.5714285714285712E-2</v>
      </c>
      <c r="X10" s="81" t="s">
        <v>195</v>
      </c>
      <c r="Y10" s="84">
        <v>0.24193548387096775</v>
      </c>
      <c r="Z10" s="81" t="s">
        <v>178</v>
      </c>
      <c r="AA10" s="84">
        <v>0.22097378277153559</v>
      </c>
      <c r="AB10" s="81" t="s">
        <v>182</v>
      </c>
      <c r="AC10" s="84">
        <v>0.52173913043478259</v>
      </c>
      <c r="AD10" s="81" t="s">
        <v>166</v>
      </c>
      <c r="AE10" s="84">
        <v>0.39166666666666666</v>
      </c>
      <c r="AF10" s="81" t="s">
        <v>127</v>
      </c>
      <c r="AG10" s="84">
        <v>0.40404040404040403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-369.50000000000011</v>
      </c>
      <c r="D11" s="81" t="s">
        <v>179</v>
      </c>
      <c r="E11" s="93">
        <v>-6.8281690140845068</v>
      </c>
      <c r="F11" s="81" t="s">
        <v>195</v>
      </c>
      <c r="G11" s="82">
        <v>2.1428571428571428</v>
      </c>
      <c r="H11" s="81" t="s">
        <v>178</v>
      </c>
      <c r="I11" s="83">
        <v>0.24</v>
      </c>
      <c r="J11" s="81" t="s">
        <v>166</v>
      </c>
      <c r="K11" s="83">
        <v>0.4642857142857143</v>
      </c>
      <c r="L11" s="81" t="s">
        <v>166</v>
      </c>
      <c r="M11" s="84">
        <v>0.26506024096385544</v>
      </c>
      <c r="N11" s="81" t="s">
        <v>127</v>
      </c>
      <c r="O11" s="84">
        <v>0.19190871369294607</v>
      </c>
      <c r="P11" s="81" t="s">
        <v>195</v>
      </c>
      <c r="Q11" s="85">
        <v>7473.333333333333</v>
      </c>
      <c r="R11" s="81" t="s">
        <v>177</v>
      </c>
      <c r="S11" s="85">
        <v>-8158.6538461538457</v>
      </c>
      <c r="T11" s="81" t="s">
        <v>127</v>
      </c>
      <c r="U11" s="83">
        <v>0.13043478260869565</v>
      </c>
      <c r="V11" s="81" t="s">
        <v>179</v>
      </c>
      <c r="W11" s="83">
        <v>2.8169014084507043E-2</v>
      </c>
      <c r="X11" s="81" t="s">
        <v>127</v>
      </c>
      <c r="Y11" s="84">
        <v>0.22821576763485477</v>
      </c>
      <c r="Z11" s="81" t="s">
        <v>179</v>
      </c>
      <c r="AA11" s="84">
        <v>0.19237147595356552</v>
      </c>
      <c r="AB11" s="81" t="s">
        <v>222</v>
      </c>
      <c r="AC11" s="84">
        <v>0.5</v>
      </c>
      <c r="AD11" s="81" t="s">
        <v>127</v>
      </c>
      <c r="AE11" s="84">
        <v>0.38333333333333336</v>
      </c>
      <c r="AF11" s="81" t="s">
        <v>166</v>
      </c>
      <c r="AG11" s="84">
        <v>0.39393939393939392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-484.8</v>
      </c>
      <c r="D12" s="81" t="s">
        <v>195</v>
      </c>
      <c r="E12" s="93">
        <v>-14.971428571428573</v>
      </c>
      <c r="F12" s="81" t="s">
        <v>179</v>
      </c>
      <c r="G12" s="82">
        <v>2.1690140845070425</v>
      </c>
      <c r="H12" s="81" t="s">
        <v>179</v>
      </c>
      <c r="I12" s="83">
        <v>0.22535211267605634</v>
      </c>
      <c r="J12" s="81" t="s">
        <v>182</v>
      </c>
      <c r="K12" s="83">
        <v>0.56097560975609762</v>
      </c>
      <c r="L12" s="81" t="s">
        <v>182</v>
      </c>
      <c r="M12" s="84">
        <v>0.24850299401197604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-8312.6984126984134</v>
      </c>
      <c r="T12" s="81" t="s">
        <v>182</v>
      </c>
      <c r="U12" s="83">
        <v>0.21951219512195122</v>
      </c>
      <c r="V12" s="81" t="s">
        <v>182</v>
      </c>
      <c r="W12" s="83">
        <v>2.4390243902439025E-2</v>
      </c>
      <c r="X12" s="81" t="s">
        <v>182</v>
      </c>
      <c r="Y12" s="84">
        <v>0.20658682634730538</v>
      </c>
      <c r="Z12" s="81" t="s">
        <v>177</v>
      </c>
      <c r="AA12" s="84">
        <v>0.1781045751633987</v>
      </c>
      <c r="AB12" s="81" t="s">
        <v>127</v>
      </c>
      <c r="AC12" s="84">
        <v>0.49545454545454548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-624.80000000000007</v>
      </c>
      <c r="D13" s="81" t="s">
        <v>182</v>
      </c>
      <c r="E13" s="93">
        <v>-15.239024390243904</v>
      </c>
      <c r="F13" s="81" t="s">
        <v>182</v>
      </c>
      <c r="G13" s="82">
        <v>2.4146341463414633</v>
      </c>
      <c r="H13" s="81" t="s">
        <v>182</v>
      </c>
      <c r="I13" s="83">
        <v>0.14634146341463414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0.20232172470978441</v>
      </c>
      <c r="P13" s="81" t="s">
        <v>166</v>
      </c>
      <c r="Q13" s="85">
        <v>6975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0.15461847389558234</v>
      </c>
      <c r="Z13" s="81" t="s">
        <v>181</v>
      </c>
      <c r="AA13" s="84">
        <v>0.15283842794759825</v>
      </c>
      <c r="AB13" s="81" t="s">
        <v>166</v>
      </c>
      <c r="AC13" s="84">
        <v>0.48051948051948051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620"/>
  <sheetViews>
    <sheetView showGridLines="0" topLeftCell="D1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618</v>
      </c>
      <c r="C2" s="149"/>
      <c r="E2" s="58" t="s">
        <v>66</v>
      </c>
      <c r="F2" s="55" t="s">
        <v>22</v>
      </c>
      <c r="G2" s="43">
        <v>1164</v>
      </c>
      <c r="H2" s="128">
        <f>IF(B$17=0,0,G2/B$17)</f>
        <v>0.76578947368421058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-24.390243902439025</v>
      </c>
      <c r="P2" s="114">
        <v>615</v>
      </c>
      <c r="Q2" s="98">
        <v>-15000</v>
      </c>
    </row>
    <row r="3" spans="1:17" x14ac:dyDescent="0.4">
      <c r="A3" s="51" t="s">
        <v>8</v>
      </c>
      <c r="B3" s="150">
        <v>5145</v>
      </c>
      <c r="C3" s="151"/>
      <c r="E3" s="59" t="s">
        <v>72</v>
      </c>
      <c r="F3" s="56" t="s">
        <v>27</v>
      </c>
      <c r="G3" s="44">
        <v>815</v>
      </c>
      <c r="H3" s="129">
        <f>IF(B$17=0,0,G3/B$17)</f>
        <v>0.53618421052631582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11.666666666666666</v>
      </c>
      <c r="P3" s="115">
        <v>600</v>
      </c>
      <c r="Q3" s="99">
        <v>7000</v>
      </c>
    </row>
    <row r="4" spans="1:17" x14ac:dyDescent="0.4">
      <c r="A4" s="51" t="s">
        <v>6</v>
      </c>
      <c r="B4" s="152">
        <v>-4.6185277824406512E-14</v>
      </c>
      <c r="C4" s="153"/>
      <c r="E4" s="59" t="s">
        <v>64</v>
      </c>
      <c r="F4" s="56" t="s">
        <v>20</v>
      </c>
      <c r="G4" s="44">
        <v>691</v>
      </c>
      <c r="H4" s="129">
        <f>IF(B$17=0,0,G4/B$17)</f>
        <v>0.45460526315789473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-15.789473684210526</v>
      </c>
      <c r="P4" s="115">
        <v>570</v>
      </c>
      <c r="Q4" s="99">
        <v>-9000</v>
      </c>
    </row>
    <row r="5" spans="1:17" x14ac:dyDescent="0.4">
      <c r="A5" s="51" t="s">
        <v>7</v>
      </c>
      <c r="B5" s="154">
        <f>IF(B$2=0,0,B$4/B$2)</f>
        <v>-7.4733459262793709E-17</v>
      </c>
      <c r="C5" s="155"/>
      <c r="E5" s="59" t="s">
        <v>171</v>
      </c>
      <c r="F5" s="56" t="s">
        <v>172</v>
      </c>
      <c r="G5" s="44">
        <v>603</v>
      </c>
      <c r="H5" s="129">
        <f>IF(B$17=0,0,G5/B$17)</f>
        <v>0.39671052631578946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11.173184357541899</v>
      </c>
      <c r="P5" s="115">
        <v>537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469</v>
      </c>
      <c r="H6" s="129">
        <f>IF(B$17=0,0,G6/B$17)</f>
        <v>0.30855263157894736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10.1010101010101</v>
      </c>
      <c r="P6" s="115">
        <v>495</v>
      </c>
      <c r="Q6" s="99">
        <v>5000</v>
      </c>
    </row>
    <row r="7" spans="1:17" x14ac:dyDescent="0.4">
      <c r="A7" s="51" t="s">
        <v>2</v>
      </c>
      <c r="B7" s="44">
        <v>206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429</v>
      </c>
      <c r="H7" s="129">
        <f>IF(B$17=0,0,G7/B$17)</f>
        <v>0.28223684210526317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14.925373134328359</v>
      </c>
      <c r="P7" s="116">
        <v>402</v>
      </c>
      <c r="Q7" s="100">
        <v>6000</v>
      </c>
    </row>
    <row r="8" spans="1:17" x14ac:dyDescent="0.4">
      <c r="A8" s="51" t="s">
        <v>3</v>
      </c>
      <c r="B8" s="44">
        <v>206</v>
      </c>
      <c r="C8" s="37">
        <f t="shared" si="1"/>
        <v>0.33333333333333331</v>
      </c>
      <c r="E8" s="59" t="s">
        <v>69</v>
      </c>
      <c r="F8" s="56" t="s">
        <v>24</v>
      </c>
      <c r="G8" s="44">
        <v>225</v>
      </c>
      <c r="H8" s="129">
        <f>IF(B$17=0,0,G8/B$17)</f>
        <v>0.14802631578947367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206</v>
      </c>
      <c r="C9" s="38">
        <f t="shared" si="1"/>
        <v>0.33333333333333331</v>
      </c>
      <c r="E9" s="59" t="s">
        <v>89</v>
      </c>
      <c r="F9" s="56" t="s">
        <v>44</v>
      </c>
      <c r="G9" s="44">
        <v>205</v>
      </c>
      <c r="H9" s="129">
        <f>IF(B$17=0,0,G9/B$17)</f>
        <v>0.13486842105263158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59</v>
      </c>
      <c r="C10" s="38">
        <f t="shared" si="1"/>
        <v>9.5469255663430425E-2</v>
      </c>
      <c r="E10" s="59" t="s">
        <v>65</v>
      </c>
      <c r="F10" s="56" t="s">
        <v>21</v>
      </c>
      <c r="G10" s="44">
        <v>160</v>
      </c>
      <c r="H10" s="129">
        <f>IF(B$17=0,0,G10/B$17)</f>
        <v>0.10526315789473684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-2.1101941747572819</v>
      </c>
      <c r="P10" s="114">
        <v>206</v>
      </c>
      <c r="Q10" s="102">
        <v>-434.7000000000001</v>
      </c>
    </row>
    <row r="11" spans="1:17" x14ac:dyDescent="0.4">
      <c r="A11" s="52" t="s">
        <v>138</v>
      </c>
      <c r="B11" s="45">
        <v>59</v>
      </c>
      <c r="C11" s="38">
        <f t="shared" si="1"/>
        <v>9.5469255663430425E-2</v>
      </c>
      <c r="E11" s="59" t="s">
        <v>70</v>
      </c>
      <c r="F11" s="56" t="s">
        <v>25</v>
      </c>
      <c r="G11" s="44">
        <v>144</v>
      </c>
      <c r="H11" s="129">
        <f>IF(B$17=0,0,G11/B$17)</f>
        <v>9.4736842105263161E-2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1.9757281553398052</v>
      </c>
      <c r="P11" s="115">
        <v>206</v>
      </c>
      <c r="Q11" s="103">
        <v>406.99999999999989</v>
      </c>
    </row>
    <row r="12" spans="1:17" x14ac:dyDescent="0.4">
      <c r="A12" s="53" t="s">
        <v>158</v>
      </c>
      <c r="B12" s="46">
        <v>62</v>
      </c>
      <c r="C12" s="40">
        <f t="shared" si="1"/>
        <v>0.10032362459546926</v>
      </c>
      <c r="E12" s="59" t="s">
        <v>71</v>
      </c>
      <c r="F12" s="56" t="s">
        <v>26</v>
      </c>
      <c r="G12" s="44">
        <v>119</v>
      </c>
      <c r="H12" s="129">
        <f>IF(B$17=0,0,G12/B$17)</f>
        <v>7.828947368421052E-2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0.13446601941747507</v>
      </c>
      <c r="P12" s="116">
        <v>206</v>
      </c>
      <c r="Q12" s="104">
        <v>27.699999999999864</v>
      </c>
    </row>
    <row r="13" spans="1:17" x14ac:dyDescent="0.4">
      <c r="A13" s="54" t="s">
        <v>121</v>
      </c>
      <c r="B13" s="47">
        <v>1302</v>
      </c>
      <c r="C13" s="42">
        <f>IF(B$3=0,0,B13/B$3)</f>
        <v>0.2530612244897959</v>
      </c>
      <c r="E13" s="59" t="s">
        <v>83</v>
      </c>
      <c r="F13" s="56" t="s">
        <v>38</v>
      </c>
      <c r="G13" s="44">
        <v>83</v>
      </c>
      <c r="H13" s="129">
        <f>IF(B$17=0,0,G13/B$17)</f>
        <v>5.460526315789474E-2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1194</v>
      </c>
      <c r="C14" s="37">
        <f>IF(B$3=0,0,B14/B$3)</f>
        <v>0.23206997084548106</v>
      </c>
      <c r="E14" s="59" t="s">
        <v>86</v>
      </c>
      <c r="F14" s="56" t="s">
        <v>41</v>
      </c>
      <c r="G14" s="44">
        <v>76</v>
      </c>
      <c r="H14" s="129">
        <f>IF(B$17=0,0,G14/B$17)</f>
        <v>0.05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722</v>
      </c>
      <c r="C15" s="35">
        <f>IF(B$13=0,0,B15/B$13)</f>
        <v>0.55453149001536095</v>
      </c>
      <c r="E15" s="59" t="s">
        <v>167</v>
      </c>
      <c r="F15" s="56" t="s">
        <v>168</v>
      </c>
      <c r="G15" s="44">
        <v>39</v>
      </c>
      <c r="H15" s="129">
        <f>IF(B$17=0,0,G15/B$17)</f>
        <v>2.5657894736842105E-2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0" t="s">
        <v>124</v>
      </c>
      <c r="B16" s="43">
        <v>496</v>
      </c>
      <c r="C16" s="35">
        <f>IF(B$14=0,0,B16/B$14)</f>
        <v>0.41541038525963148</v>
      </c>
      <c r="E16" s="59" t="s">
        <v>78</v>
      </c>
      <c r="F16" s="56" t="s">
        <v>33</v>
      </c>
      <c r="G16" s="44">
        <v>37</v>
      </c>
      <c r="H16" s="129">
        <f>IF(B$17=0,0,G16/B$17)</f>
        <v>2.4342105263157894E-2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1520</v>
      </c>
      <c r="C17" s="35">
        <f>IF(B$3=0,0,B17/B$3)</f>
        <v>0.2954324586977648</v>
      </c>
      <c r="E17" s="59" t="s">
        <v>81</v>
      </c>
      <c r="F17" s="56" t="s">
        <v>36</v>
      </c>
      <c r="G17" s="44">
        <v>27</v>
      </c>
      <c r="H17" s="129">
        <f>IF(B$17=0,0,G17/B$17)</f>
        <v>1.7763157894736842E-2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10.242253521126759</v>
      </c>
      <c r="P17" s="115">
        <v>142</v>
      </c>
      <c r="Q17" s="103">
        <v>1454.3999999999999</v>
      </c>
    </row>
    <row r="18" spans="1:17" x14ac:dyDescent="0.4">
      <c r="A18" s="51" t="s">
        <v>12</v>
      </c>
      <c r="B18" s="44">
        <v>669</v>
      </c>
      <c r="C18" s="37">
        <f>IF(B$17=0,0,B18/B$17)</f>
        <v>0.44013157894736843</v>
      </c>
      <c r="E18" s="59" t="s">
        <v>91</v>
      </c>
      <c r="F18" s="56" t="s">
        <v>46</v>
      </c>
      <c r="G18" s="44">
        <v>21</v>
      </c>
      <c r="H18" s="129">
        <f>IF(B$17=0,0,G18/B$17)</f>
        <v>1.381578947368421E-2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9.897321428571427</v>
      </c>
      <c r="P18" s="115">
        <v>112</v>
      </c>
      <c r="Q18" s="103">
        <v>1108.4999999999998</v>
      </c>
    </row>
    <row r="19" spans="1:17" x14ac:dyDescent="0.4">
      <c r="A19" s="51" t="s">
        <v>11</v>
      </c>
      <c r="B19" s="44">
        <v>851</v>
      </c>
      <c r="C19" s="37">
        <f>IF(B$17=0,0,B19/B$17)</f>
        <v>0.55986842105263157</v>
      </c>
      <c r="E19" s="59" t="s">
        <v>79</v>
      </c>
      <c r="F19" s="56" t="s">
        <v>34</v>
      </c>
      <c r="G19" s="44">
        <v>18</v>
      </c>
      <c r="H19" s="129">
        <f>IF(B$17=0,0,G19/B$17)</f>
        <v>1.1842105263157895E-2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0.3839999999999989</v>
      </c>
      <c r="P19" s="115">
        <v>200</v>
      </c>
      <c r="Q19" s="103">
        <v>76.799999999999784</v>
      </c>
    </row>
    <row r="20" spans="1:17" x14ac:dyDescent="0.4">
      <c r="A20" s="51" t="s">
        <v>13</v>
      </c>
      <c r="B20" s="44">
        <v>843</v>
      </c>
      <c r="C20" s="37">
        <f>IF(B$3=0,0,B20/B$3)</f>
        <v>0.16384839650145772</v>
      </c>
      <c r="E20" s="59" t="s">
        <v>75</v>
      </c>
      <c r="F20" s="56" t="s">
        <v>30</v>
      </c>
      <c r="G20" s="44">
        <v>10</v>
      </c>
      <c r="H20" s="129">
        <f>IF(B$17=0,0,G20/B$17)</f>
        <v>6.5789473684210523E-3</v>
      </c>
      <c r="I20" s="90">
        <v>5</v>
      </c>
      <c r="K20" s="36">
        <v>18</v>
      </c>
      <c r="L20" s="95">
        <v>0</v>
      </c>
      <c r="N20" s="111" t="s">
        <v>181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10</v>
      </c>
      <c r="H21" s="129">
        <f>IF(B$17=0,0,G21/B$17)</f>
        <v>6.5789473684210523E-3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-1.8117391304347881</v>
      </c>
      <c r="P21" s="115">
        <v>230</v>
      </c>
      <c r="Q21" s="103">
        <v>-416.70000000000124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73</v>
      </c>
      <c r="F22" s="56" t="s">
        <v>28</v>
      </c>
      <c r="G22" s="44">
        <v>6</v>
      </c>
      <c r="H22" s="129">
        <f>IF(B$17=0,0,G22/B$17)</f>
        <v>3.9473684210526317E-3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-6.428289473684206</v>
      </c>
      <c r="P22" s="115">
        <v>152</v>
      </c>
      <c r="Q22" s="103">
        <v>-977.09999999999934</v>
      </c>
    </row>
    <row r="23" spans="1:17" x14ac:dyDescent="0.4">
      <c r="A23" s="51" t="s">
        <v>5</v>
      </c>
      <c r="B23" s="48">
        <f>IF(B$17=0,0,C23/B$17)</f>
        <v>8433.4210526315783</v>
      </c>
      <c r="C23" s="39">
        <v>12818800</v>
      </c>
      <c r="E23" s="59" t="s">
        <v>74</v>
      </c>
      <c r="F23" s="56" t="s">
        <v>29</v>
      </c>
      <c r="G23" s="44">
        <v>6</v>
      </c>
      <c r="H23" s="129">
        <f>IF(B$17=0,0,G23/B$17)</f>
        <v>3.9473684210526317E-3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-13.291666666666666</v>
      </c>
      <c r="P23" s="115">
        <v>252</v>
      </c>
      <c r="Q23" s="103">
        <v>-3349.5</v>
      </c>
    </row>
    <row r="24" spans="1:17" x14ac:dyDescent="0.4">
      <c r="A24" s="52" t="s">
        <v>216</v>
      </c>
      <c r="B24" s="136">
        <f>IF($B$17-B$16=0,0,C24/($B$17-B$16))</f>
        <v>9031.54296875</v>
      </c>
      <c r="C24" s="137">
        <v>9248300</v>
      </c>
      <c r="E24" s="59" t="s">
        <v>77</v>
      </c>
      <c r="F24" s="56" t="s">
        <v>32</v>
      </c>
      <c r="G24" s="44">
        <v>5</v>
      </c>
      <c r="H24" s="129">
        <f>IF(B$17=0,0,G24/B$17)</f>
        <v>3.2894736842105261E-3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7198.5887096774195</v>
      </c>
      <c r="C25" s="137">
        <v>3570500</v>
      </c>
      <c r="E25" s="59" t="s">
        <v>85</v>
      </c>
      <c r="F25" s="56" t="s">
        <v>40</v>
      </c>
      <c r="G25" s="44">
        <v>5</v>
      </c>
      <c r="H25" s="129">
        <f>IF(B$17=0,0,G25/B$17)</f>
        <v>3.2894736842105261E-3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-7848.8730723606168</v>
      </c>
      <c r="C26" s="137">
        <v>-6616600</v>
      </c>
      <c r="E26" s="59" t="s">
        <v>88</v>
      </c>
      <c r="F26" s="56" t="s">
        <v>43</v>
      </c>
      <c r="G26" s="44">
        <v>5</v>
      </c>
      <c r="H26" s="129">
        <f>IF(B$17=0,0,G26/B$17)</f>
        <v>3.2894736842105261E-3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2.631578947368421E-3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1.9736842105263159E-3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2.7210884353741495E-3</v>
      </c>
      <c r="E29" s="59" t="s">
        <v>95</v>
      </c>
      <c r="F29" s="56" t="s">
        <v>50</v>
      </c>
      <c r="G29" s="44">
        <v>3</v>
      </c>
      <c r="H29" s="129">
        <f>IF(B$17=0,0,G29/B$17)</f>
        <v>1.9736842105263159E-3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1.3157894736842105E-3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1.3157894736842105E-3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6.5789473684210525E-4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6.5789473684210525E-4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6.5789473684210525E-4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56</v>
      </c>
      <c r="C2" s="149"/>
      <c r="E2" s="58" t="s">
        <v>66</v>
      </c>
      <c r="F2" s="55" t="s">
        <v>22</v>
      </c>
      <c r="G2" s="43">
        <v>95</v>
      </c>
      <c r="H2" s="128">
        <f>IF(B$17=0,0,G2/B$17)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0">
        <v>498</v>
      </c>
      <c r="C3" s="151"/>
      <c r="E3" s="59" t="s">
        <v>72</v>
      </c>
      <c r="F3" s="56" t="s">
        <v>27</v>
      </c>
      <c r="G3" s="44">
        <v>72</v>
      </c>
      <c r="H3" s="129">
        <f>IF(B$17=0,0,G3/B$17)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2">
        <v>-369.50000000000011</v>
      </c>
      <c r="C4" s="153"/>
      <c r="E4" s="59" t="s">
        <v>171</v>
      </c>
      <c r="F4" s="56" t="s">
        <v>172</v>
      </c>
      <c r="G4" s="44">
        <v>51</v>
      </c>
      <c r="H4" s="129">
        <f>IF(B$17=0,0,G4/B$17)</f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54">
        <f>IF(B$2=0,0,B$4/B$2)</f>
        <v>-6.5982142857142874</v>
      </c>
      <c r="C5" s="155"/>
      <c r="E5" s="59" t="s">
        <v>64</v>
      </c>
      <c r="F5" s="56" t="s">
        <v>20</v>
      </c>
      <c r="G5" s="44">
        <v>36</v>
      </c>
      <c r="H5" s="129">
        <f>IF(B$17=0,0,G5/B$17)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68</v>
      </c>
      <c r="F6" s="56" t="s">
        <v>12</v>
      </c>
      <c r="G6" s="44">
        <v>34</v>
      </c>
      <c r="H6" s="129">
        <f>IF(B$17=0,0,G6/B$17)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2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IF(B$17=0,0,G7/B$17)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-1819.047619047619</v>
      </c>
      <c r="P7" s="116">
        <v>42</v>
      </c>
      <c r="Q7" s="100">
        <v>-76400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IF(B$17=0,0,G8/B$17)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IF(B$17=0,0,G9/B$17)</f>
        <v>0.13636363636363635</v>
      </c>
      <c r="I9" s="90">
        <v>3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IF(B$17=0,0,G10/B$17)</f>
        <v>9.8484848484848481E-2</v>
      </c>
      <c r="I10" s="90">
        <v>2</v>
      </c>
      <c r="K10" s="36">
        <v>8</v>
      </c>
      <c r="L10" s="95">
        <v>-76.900000000000006</v>
      </c>
      <c r="N10" s="110" t="s">
        <v>162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2" t="s">
        <v>138</v>
      </c>
      <c r="B11" s="45">
        <v>2</v>
      </c>
      <c r="C11" s="38">
        <f t="shared" si="1"/>
        <v>3.5714285714285712E-2</v>
      </c>
      <c r="E11" s="59" t="s">
        <v>83</v>
      </c>
      <c r="F11" s="56" t="s">
        <v>38</v>
      </c>
      <c r="G11" s="44">
        <v>12</v>
      </c>
      <c r="H11" s="129">
        <f>IF(B$17=0,0,G11/B$17)</f>
        <v>9.0909090909090912E-2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3" t="s">
        <v>158</v>
      </c>
      <c r="B12" s="46">
        <v>8</v>
      </c>
      <c r="C12" s="40">
        <f t="shared" si="1"/>
        <v>0.14285714285714285</v>
      </c>
      <c r="E12" s="59" t="s">
        <v>65</v>
      </c>
      <c r="F12" s="56" t="s">
        <v>21</v>
      </c>
      <c r="G12" s="44">
        <v>9</v>
      </c>
      <c r="H12" s="129">
        <f>IF(B$17=0,0,G12/B$17)</f>
        <v>6.8181818181818177E-2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4" t="s">
        <v>121</v>
      </c>
      <c r="B13" s="47">
        <v>77</v>
      </c>
      <c r="C13" s="42">
        <f>IF(B$3=0,0,B13/B$3)</f>
        <v>0.15461847389558234</v>
      </c>
      <c r="E13" s="59" t="s">
        <v>89</v>
      </c>
      <c r="F13" s="56" t="s">
        <v>44</v>
      </c>
      <c r="G13" s="44">
        <v>9</v>
      </c>
      <c r="H13" s="129">
        <f>IF(B$17=0,0,G13/B$17)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120</v>
      </c>
      <c r="C14" s="37">
        <f>IF(B$3=0,0,B14/B$3)</f>
        <v>0.24096385542168675</v>
      </c>
      <c r="E14" s="59" t="s">
        <v>81</v>
      </c>
      <c r="F14" s="56" t="s">
        <v>36</v>
      </c>
      <c r="G14" s="44">
        <v>4</v>
      </c>
      <c r="H14" s="129">
        <f>IF(B$17=0,0,G14/B$17)</f>
        <v>3.0303030303030304E-2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37</v>
      </c>
      <c r="C15" s="35">
        <f>IF(B$13=0,0,B15/B$13)</f>
        <v>0.48051948051948051</v>
      </c>
      <c r="E15" s="59" t="s">
        <v>86</v>
      </c>
      <c r="F15" s="56" t="s">
        <v>41</v>
      </c>
      <c r="G15" s="44">
        <v>4</v>
      </c>
      <c r="H15" s="129">
        <f>IF(B$17=0,0,G15/B$17)</f>
        <v>3.0303030303030304E-2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47</v>
      </c>
      <c r="C16" s="35">
        <f>IF(B$14=0,0,B16/B$14)</f>
        <v>0.39166666666666666</v>
      </c>
      <c r="E16" s="59" t="s">
        <v>91</v>
      </c>
      <c r="F16" s="56" t="s">
        <v>46</v>
      </c>
      <c r="G16" s="44">
        <v>3</v>
      </c>
      <c r="H16" s="129">
        <f>IF(B$17=0,0,G16/B$17)</f>
        <v>2.2727272727272728E-2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 t="shared" si="2"/>
        <v>-1.683333333333334</v>
      </c>
      <c r="P16" s="115">
        <v>18</v>
      </c>
      <c r="Q16" s="103">
        <v>-30.300000000000011</v>
      </c>
    </row>
    <row r="17" spans="1:17" x14ac:dyDescent="0.4">
      <c r="A17" s="50" t="s">
        <v>10</v>
      </c>
      <c r="B17" s="43">
        <f>B19+B18</f>
        <v>132</v>
      </c>
      <c r="C17" s="35">
        <f>IF(B$3=0,0,B17/B$3)</f>
        <v>0.26506024096385544</v>
      </c>
      <c r="E17" s="59" t="s">
        <v>88</v>
      </c>
      <c r="F17" s="56" t="s">
        <v>43</v>
      </c>
      <c r="G17" s="44">
        <v>2</v>
      </c>
      <c r="H17" s="129">
        <f>IF(B$17=0,0,G17/B$17)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12</v>
      </c>
      <c r="B18" s="44">
        <v>52</v>
      </c>
      <c r="C18" s="37">
        <f>IF(B$17=0,0,B18/B$17)</f>
        <v>0.39393939393939392</v>
      </c>
      <c r="E18" s="59" t="s">
        <v>74</v>
      </c>
      <c r="F18" s="56" t="s">
        <v>29</v>
      </c>
      <c r="G18" s="44">
        <v>1</v>
      </c>
      <c r="H18" s="129">
        <f>IF(B$17=0,0,G18/B$17)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2"/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11</v>
      </c>
      <c r="B19" s="44">
        <v>80</v>
      </c>
      <c r="C19" s="37">
        <f>IF(B$17=0,0,B19/B$17)</f>
        <v>0.60606060606060608</v>
      </c>
      <c r="E19" s="59" t="s">
        <v>75</v>
      </c>
      <c r="F19" s="56" t="s">
        <v>30</v>
      </c>
      <c r="G19" s="44">
        <v>1</v>
      </c>
      <c r="H19" s="129">
        <f>IF(B$17=0,0,G19/B$17)</f>
        <v>7.575757575757576E-3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75</v>
      </c>
      <c r="C20" s="37">
        <f>IF(B$3=0,0,B20/B$3)</f>
        <v>0.15060240963855423</v>
      </c>
      <c r="E20" s="59" t="s">
        <v>77</v>
      </c>
      <c r="F20" s="56" t="s">
        <v>32</v>
      </c>
      <c r="G20" s="44">
        <v>1</v>
      </c>
      <c r="H20" s="129">
        <f>IF(B$17=0,0,G20/B$17)</f>
        <v>7.575757575757576E-3</v>
      </c>
      <c r="I20" s="90">
        <v>2</v>
      </c>
      <c r="K20" s="36">
        <v>18</v>
      </c>
      <c r="L20" s="95">
        <v>-80.2</v>
      </c>
      <c r="N20" s="111" t="s">
        <v>182</v>
      </c>
      <c r="O20" s="121">
        <f t="shared" si="2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1</v>
      </c>
      <c r="H21" s="129">
        <f>IF(B$17=0,0,G21/B$17)</f>
        <v>7.575757575757576E-3</v>
      </c>
      <c r="I21" s="90">
        <v>6</v>
      </c>
      <c r="K21" s="36">
        <v>19</v>
      </c>
      <c r="L21" s="95">
        <v>-115.1</v>
      </c>
      <c r="N21" s="111" t="s">
        <v>177</v>
      </c>
      <c r="O21" s="121">
        <f t="shared" si="2"/>
        <v>-38.991666666666667</v>
      </c>
      <c r="P21" s="115">
        <v>12</v>
      </c>
      <c r="Q21" s="103">
        <v>-467.9</v>
      </c>
    </row>
    <row r="22" spans="1:17" x14ac:dyDescent="0.4">
      <c r="A22" s="51" t="s">
        <v>170</v>
      </c>
      <c r="B22" s="44">
        <v>32</v>
      </c>
      <c r="C22" s="131">
        <v>2</v>
      </c>
      <c r="E22" s="59" t="s">
        <v>93</v>
      </c>
      <c r="F22" s="56" t="s">
        <v>48</v>
      </c>
      <c r="G22" s="44">
        <v>1</v>
      </c>
      <c r="H22" s="129">
        <f>IF(B$17=0,0,G22/B$17)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6975</v>
      </c>
      <c r="C23" s="39">
        <v>920700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7207.0588235294117</v>
      </c>
      <c r="C24" s="137">
        <v>612600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6555.3191489361698</v>
      </c>
      <c r="C25" s="137">
        <v>308100</v>
      </c>
      <c r="E25" s="59" t="s">
        <v>78</v>
      </c>
      <c r="F25" s="56" t="s">
        <v>33</v>
      </c>
      <c r="G25" s="44">
        <v>0</v>
      </c>
      <c r="H25" s="129">
        <f>IF(B$17=0,0,G25/B$17)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-7600</v>
      </c>
      <c r="C26" s="137">
        <v>-570000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4.0160642570281121E-3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E2:I5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28"/>
  <sheetViews>
    <sheetView showGridLines="0" topLeftCell="C1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126</v>
      </c>
      <c r="C2" s="149"/>
      <c r="E2" s="58" t="s">
        <v>66</v>
      </c>
      <c r="F2" s="55" t="s">
        <v>22</v>
      </c>
      <c r="G2" s="43">
        <v>239</v>
      </c>
      <c r="H2" s="128">
        <f>IF(B$17=0,0,G2/B$17)</f>
        <v>0.67897727272727271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1171.2</v>
      </c>
      <c r="P2" s="114">
        <v>125</v>
      </c>
      <c r="Q2" s="98">
        <v>146400</v>
      </c>
    </row>
    <row r="3" spans="1:17" x14ac:dyDescent="0.4">
      <c r="A3" s="51" t="s">
        <v>8</v>
      </c>
      <c r="B3" s="150">
        <v>1027</v>
      </c>
      <c r="C3" s="151"/>
      <c r="E3" s="59" t="s">
        <v>72</v>
      </c>
      <c r="F3" s="56" t="s">
        <v>27</v>
      </c>
      <c r="G3" s="44">
        <v>174</v>
      </c>
      <c r="H3" s="129">
        <f>IF(B$17=0,0,G3/B$17)</f>
        <v>0.49431818181818182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909.01639344262298</v>
      </c>
      <c r="P3" s="115">
        <v>122</v>
      </c>
      <c r="Q3" s="99">
        <v>110900</v>
      </c>
    </row>
    <row r="4" spans="1:17" x14ac:dyDescent="0.4">
      <c r="A4" s="51" t="s">
        <v>6</v>
      </c>
      <c r="B4" s="152">
        <v>1116.5</v>
      </c>
      <c r="C4" s="153"/>
      <c r="E4" s="59" t="s">
        <v>64</v>
      </c>
      <c r="F4" s="56" t="s">
        <v>20</v>
      </c>
      <c r="G4" s="44">
        <v>157</v>
      </c>
      <c r="H4" s="129">
        <f>IF(B$17=0,0,G4/B$17)</f>
        <v>0.44602272727272729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1058.4745762711864</v>
      </c>
      <c r="P4" s="115">
        <v>118</v>
      </c>
      <c r="Q4" s="99">
        <v>124900</v>
      </c>
    </row>
    <row r="5" spans="1:17" x14ac:dyDescent="0.4">
      <c r="A5" s="51" t="s">
        <v>7</v>
      </c>
      <c r="B5" s="154">
        <f>IF(B$2=0,0,B$4/B$2)</f>
        <v>8.8611111111111107</v>
      </c>
      <c r="C5" s="155"/>
      <c r="E5" s="59" t="s">
        <v>171</v>
      </c>
      <c r="F5" s="56" t="s">
        <v>172</v>
      </c>
      <c r="G5" s="44">
        <v>129</v>
      </c>
      <c r="H5" s="129">
        <f>IF(B$17=0,0,G5/B$17)</f>
        <v>0.36647727272727271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237.61467889908258</v>
      </c>
      <c r="P5" s="115">
        <v>109</v>
      </c>
      <c r="Q5" s="99">
        <v>25900</v>
      </c>
    </row>
    <row r="6" spans="1:17" x14ac:dyDescent="0.4">
      <c r="A6" s="51" t="s">
        <v>1</v>
      </c>
      <c r="B6" s="144">
        <f>IF(B$2=0,0,(B$7*1+B$8*2+B$9*3)/B$2)</f>
        <v>1.7777777777777777</v>
      </c>
      <c r="C6" s="145"/>
      <c r="E6" s="59" t="s">
        <v>68</v>
      </c>
      <c r="F6" s="56" t="s">
        <v>12</v>
      </c>
      <c r="G6" s="44">
        <v>102</v>
      </c>
      <c r="H6" s="129">
        <f>IF(B$17=0,0,G6/B$17)</f>
        <v>0.28977272727272729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1935.2941176470588</v>
      </c>
      <c r="P6" s="115">
        <v>102</v>
      </c>
      <c r="Q6" s="99">
        <v>197400</v>
      </c>
    </row>
    <row r="7" spans="1:17" x14ac:dyDescent="0.4">
      <c r="A7" s="51" t="s">
        <v>2</v>
      </c>
      <c r="B7" s="44">
        <v>58</v>
      </c>
      <c r="C7" s="37">
        <f t="shared" ref="C7:C12" si="1">IF(B$2=0,0,B7/B$2)</f>
        <v>0.46031746031746029</v>
      </c>
      <c r="E7" s="59" t="s">
        <v>67</v>
      </c>
      <c r="F7" s="56" t="s">
        <v>23</v>
      </c>
      <c r="G7" s="44">
        <v>91</v>
      </c>
      <c r="H7" s="129">
        <f>IF(B$17=0,0,G7/B$17)</f>
        <v>0.25852272727272729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2301.25</v>
      </c>
      <c r="P7" s="116">
        <v>80</v>
      </c>
      <c r="Q7" s="100">
        <v>184100</v>
      </c>
    </row>
    <row r="8" spans="1:17" x14ac:dyDescent="0.4">
      <c r="A8" s="51" t="s">
        <v>3</v>
      </c>
      <c r="B8" s="44">
        <v>38</v>
      </c>
      <c r="C8" s="37">
        <f t="shared" si="1"/>
        <v>0.30158730158730157</v>
      </c>
      <c r="E8" s="59" t="s">
        <v>69</v>
      </c>
      <c r="F8" s="56" t="s">
        <v>24</v>
      </c>
      <c r="G8" s="44">
        <v>54</v>
      </c>
      <c r="H8" s="129">
        <f>IF(B$17=0,0,G8/B$17)</f>
        <v>0.15340909090909091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30</v>
      </c>
      <c r="C9" s="38">
        <f t="shared" si="1"/>
        <v>0.23809523809523808</v>
      </c>
      <c r="E9" s="59" t="s">
        <v>89</v>
      </c>
      <c r="F9" s="56" t="s">
        <v>44</v>
      </c>
      <c r="G9" s="44">
        <v>54</v>
      </c>
      <c r="H9" s="129">
        <f>IF(B$17=0,0,G9/B$17)</f>
        <v>0.15340909090909091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3.968253968253968E-2</v>
      </c>
      <c r="E10" s="59" t="s">
        <v>65</v>
      </c>
      <c r="F10" s="56" t="s">
        <v>21</v>
      </c>
      <c r="G10" s="44">
        <v>42</v>
      </c>
      <c r="H10" s="129">
        <f>IF(B$17=0,0,G10/B$17)</f>
        <v>0.11931818181818182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2" t="s">
        <v>138</v>
      </c>
      <c r="B11" s="45">
        <v>15</v>
      </c>
      <c r="C11" s="38">
        <f t="shared" si="1"/>
        <v>0.11904761904761904</v>
      </c>
      <c r="E11" s="59" t="s">
        <v>71</v>
      </c>
      <c r="F11" s="56" t="s">
        <v>26</v>
      </c>
      <c r="G11" s="44">
        <v>24</v>
      </c>
      <c r="H11" s="129">
        <f>IF(B$17=0,0,G11/B$17)</f>
        <v>6.8181818181818177E-2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14</v>
      </c>
      <c r="C12" s="40">
        <f t="shared" si="1"/>
        <v>0.1111111111111111</v>
      </c>
      <c r="E12" s="59" t="s">
        <v>86</v>
      </c>
      <c r="F12" s="56" t="s">
        <v>41</v>
      </c>
      <c r="G12" s="44">
        <v>21</v>
      </c>
      <c r="H12" s="129">
        <f>IF(B$17=0,0,G12/B$17)</f>
        <v>5.9659090909090912E-2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12.74565217391304</v>
      </c>
      <c r="P12" s="116">
        <v>46</v>
      </c>
      <c r="Q12" s="104">
        <v>586.29999999999984</v>
      </c>
    </row>
    <row r="13" spans="1:17" x14ac:dyDescent="0.4">
      <c r="A13" s="54" t="s">
        <v>121</v>
      </c>
      <c r="B13" s="47">
        <v>277</v>
      </c>
      <c r="C13" s="42">
        <f>IF(B$3=0,0,B13/B$3)</f>
        <v>0.26971762414800388</v>
      </c>
      <c r="E13" s="59" t="s">
        <v>70</v>
      </c>
      <c r="F13" s="56" t="s">
        <v>25</v>
      </c>
      <c r="G13" s="44">
        <v>20</v>
      </c>
      <c r="H13" s="129">
        <f>IF(B$17=0,0,G13/B$17)</f>
        <v>5.6818181818181816E-2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236</v>
      </c>
      <c r="C14" s="37">
        <f>IF(B$3=0,0,B14/B$3)</f>
        <v>0.22979552093476144</v>
      </c>
      <c r="E14" s="59" t="s">
        <v>83</v>
      </c>
      <c r="F14" s="56" t="s">
        <v>38</v>
      </c>
      <c r="G14" s="44">
        <v>16</v>
      </c>
      <c r="H14" s="129">
        <f>IF(B$17=0,0,G14/B$17)</f>
        <v>4.5454545454545456E-2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167</v>
      </c>
      <c r="C15" s="35">
        <f>IF(B$13=0,0,B15/B$13)</f>
        <v>0.6028880866425993</v>
      </c>
      <c r="E15" s="59" t="s">
        <v>78</v>
      </c>
      <c r="F15" s="56" t="s">
        <v>33</v>
      </c>
      <c r="G15" s="44">
        <v>14</v>
      </c>
      <c r="H15" s="129">
        <f>IF(B$17=0,0,G15/B$17)</f>
        <v>3.9772727272727272E-2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112</v>
      </c>
      <c r="C16" s="35">
        <f>IF(B$14=0,0,B16/B$14)</f>
        <v>0.47457627118644069</v>
      </c>
      <c r="E16" s="59" t="s">
        <v>167</v>
      </c>
      <c r="F16" s="56" t="s">
        <v>168</v>
      </c>
      <c r="G16" s="44">
        <v>13</v>
      </c>
      <c r="H16" s="129">
        <f>IF(B$17=0,0,G16/B$17)</f>
        <v>3.6931818181818184E-2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352</v>
      </c>
      <c r="C17" s="35">
        <f>IF(B$3=0,0,B17/B$3)</f>
        <v>0.34274586173320348</v>
      </c>
      <c r="E17" s="59" t="s">
        <v>77</v>
      </c>
      <c r="F17" s="56" t="s">
        <v>32</v>
      </c>
      <c r="G17" s="44">
        <v>3</v>
      </c>
      <c r="H17" s="129">
        <f>IF(B$17=0,0,G17/B$17)</f>
        <v>8.5227272727272721E-3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18.067346938775508</v>
      </c>
      <c r="P17" s="115">
        <v>49</v>
      </c>
      <c r="Q17" s="103">
        <v>885.3</v>
      </c>
    </row>
    <row r="18" spans="1:17" x14ac:dyDescent="0.4">
      <c r="A18" s="51" t="s">
        <v>12</v>
      </c>
      <c r="B18" s="44">
        <v>149</v>
      </c>
      <c r="C18" s="37">
        <f>IF(B$17=0,0,B18/B$17)</f>
        <v>0.42329545454545453</v>
      </c>
      <c r="E18" s="59" t="s">
        <v>84</v>
      </c>
      <c r="F18" s="56" t="s">
        <v>39</v>
      </c>
      <c r="G18" s="44">
        <v>3</v>
      </c>
      <c r="H18" s="129">
        <f>IF(B$17=0,0,G18/B$17)</f>
        <v>8.5227272727272721E-3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17.637777777777782</v>
      </c>
      <c r="P18" s="115">
        <v>45</v>
      </c>
      <c r="Q18" s="103">
        <v>793.70000000000016</v>
      </c>
    </row>
    <row r="19" spans="1:17" x14ac:dyDescent="0.4">
      <c r="A19" s="51" t="s">
        <v>11</v>
      </c>
      <c r="B19" s="44">
        <v>203</v>
      </c>
      <c r="C19" s="37">
        <f>IF(B$17=0,0,B19/B$17)</f>
        <v>0.57670454545454541</v>
      </c>
      <c r="E19" s="59" t="s">
        <v>92</v>
      </c>
      <c r="F19" s="56" t="s">
        <v>47</v>
      </c>
      <c r="G19" s="44">
        <v>3</v>
      </c>
      <c r="H19" s="129">
        <f>IF(B$17=0,0,G19/B$17)</f>
        <v>8.5227272727272721E-3</v>
      </c>
      <c r="I19" s="90">
        <v>3</v>
      </c>
      <c r="K19" s="36">
        <v>17</v>
      </c>
      <c r="L19" s="95">
        <v>359.09999999999991</v>
      </c>
      <c r="N19" s="111" t="s">
        <v>127</v>
      </c>
      <c r="O19" s="121">
        <f>IF(P19=0,0,Q19/P19)</f>
        <v>14.022077922077923</v>
      </c>
      <c r="P19" s="115">
        <v>77</v>
      </c>
      <c r="Q19" s="103">
        <v>1079.7</v>
      </c>
    </row>
    <row r="20" spans="1:17" x14ac:dyDescent="0.4">
      <c r="A20" s="51" t="s">
        <v>13</v>
      </c>
      <c r="B20" s="44">
        <v>133</v>
      </c>
      <c r="C20" s="37">
        <f>IF(B$3=0,0,B20/B$3)</f>
        <v>0.12950340798442064</v>
      </c>
      <c r="E20" s="59" t="s">
        <v>75</v>
      </c>
      <c r="F20" s="56" t="s">
        <v>30</v>
      </c>
      <c r="G20" s="44">
        <v>2</v>
      </c>
      <c r="H20" s="129">
        <f>IF(B$17=0,0,G20/B$17)</f>
        <v>5.681818181818182E-3</v>
      </c>
      <c r="I20" s="90">
        <v>7</v>
      </c>
      <c r="K20" s="36">
        <v>18</v>
      </c>
      <c r="L20" s="95">
        <v>352.39999999999992</v>
      </c>
      <c r="N20" s="111" t="s">
        <v>166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79</v>
      </c>
      <c r="F21" s="56" t="s">
        <v>34</v>
      </c>
      <c r="G21" s="44">
        <v>2</v>
      </c>
      <c r="H21" s="129">
        <f>IF(B$17=0,0,G21/B$17)</f>
        <v>5.681818181818182E-3</v>
      </c>
      <c r="I21" s="90">
        <v>8</v>
      </c>
      <c r="K21" s="36">
        <v>19</v>
      </c>
      <c r="L21" s="95">
        <v>383.19999999999993</v>
      </c>
      <c r="N21" s="111" t="s">
        <v>177</v>
      </c>
      <c r="O21" s="121">
        <f>IF(P21=0,0,Q21/P21)</f>
        <v>-6.1749999999999989</v>
      </c>
      <c r="P21" s="115">
        <v>28</v>
      </c>
      <c r="Q21" s="103">
        <v>-172.89999999999998</v>
      </c>
    </row>
    <row r="22" spans="1:17" x14ac:dyDescent="0.4">
      <c r="A22" s="51" t="s">
        <v>170</v>
      </c>
      <c r="B22" s="44">
        <v>43</v>
      </c>
      <c r="C22" s="131">
        <v>11</v>
      </c>
      <c r="E22" s="59" t="s">
        <v>81</v>
      </c>
      <c r="F22" s="56" t="s">
        <v>36</v>
      </c>
      <c r="G22" s="44">
        <v>2</v>
      </c>
      <c r="H22" s="129">
        <f>IF(B$17=0,0,G22/B$17)</f>
        <v>5.681818181818182E-3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8219.318181818182</v>
      </c>
      <c r="C23" s="39">
        <v>2893200</v>
      </c>
      <c r="E23" s="59" t="s">
        <v>85</v>
      </c>
      <c r="F23" s="56" t="s">
        <v>40</v>
      </c>
      <c r="G23" s="44">
        <v>2</v>
      </c>
      <c r="H23" s="129">
        <f>IF(B$17=0,0,G23/B$17)</f>
        <v>5.681818181818182E-3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8529.5833333333339</v>
      </c>
      <c r="C24" s="137">
        <v>2047100</v>
      </c>
      <c r="E24" s="59" t="s">
        <v>88</v>
      </c>
      <c r="F24" s="56" t="s">
        <v>43</v>
      </c>
      <c r="G24" s="44">
        <v>2</v>
      </c>
      <c r="H24" s="129">
        <f>IF(B$17=0,0,G24/B$17)</f>
        <v>5.681818181818182E-3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7554.4642857142853</v>
      </c>
      <c r="C25" s="137">
        <v>846100</v>
      </c>
      <c r="E25" s="59" t="s">
        <v>91</v>
      </c>
      <c r="F25" s="56" t="s">
        <v>46</v>
      </c>
      <c r="G25" s="44">
        <v>2</v>
      </c>
      <c r="H25" s="129">
        <f>IF(B$17=0,0,G25/B$17)</f>
        <v>5.681818181818182E-3</v>
      </c>
      <c r="I25" s="90">
        <v>8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-7803.7593984962405</v>
      </c>
      <c r="C26" s="137">
        <v>-1037900</v>
      </c>
      <c r="E26" s="59" t="s">
        <v>74</v>
      </c>
      <c r="F26" s="56" t="s">
        <v>29</v>
      </c>
      <c r="G26" s="44">
        <v>1</v>
      </c>
      <c r="H26" s="129">
        <f>IF(B$17=0,0,G26/B$17)</f>
        <v>2.840909090909091E-3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2.840909090909091E-3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2.840909090909091E-3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9.7370983446932818E-4</v>
      </c>
      <c r="E29" s="59" t="s">
        <v>106</v>
      </c>
      <c r="F29" s="56" t="s">
        <v>113</v>
      </c>
      <c r="G29" s="44">
        <v>1</v>
      </c>
      <c r="H29" s="129">
        <f>IF(B$17=0,0,G29/B$17)</f>
        <v>2.840909090909091E-3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17"/>
  <sheetViews>
    <sheetView showGridLines="0" topLeftCell="D1" zoomScale="96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115</v>
      </c>
      <c r="C2" s="149"/>
      <c r="E2" s="58" t="s">
        <v>66</v>
      </c>
      <c r="F2" s="55" t="s">
        <v>22</v>
      </c>
      <c r="G2" s="43">
        <v>252</v>
      </c>
      <c r="H2" s="128">
        <f>IF(B$17=0,0,G2/B$17)</f>
        <v>0.84848484848484851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-1521.9298245614036</v>
      </c>
      <c r="P2" s="114">
        <v>114</v>
      </c>
      <c r="Q2" s="98">
        <v>-173500</v>
      </c>
    </row>
    <row r="3" spans="1:17" x14ac:dyDescent="0.4">
      <c r="A3" s="51" t="s">
        <v>8</v>
      </c>
      <c r="B3" s="150">
        <v>964</v>
      </c>
      <c r="C3" s="151"/>
      <c r="E3" s="59" t="s">
        <v>72</v>
      </c>
      <c r="F3" s="56" t="s">
        <v>27</v>
      </c>
      <c r="G3" s="44">
        <v>172</v>
      </c>
      <c r="H3" s="129">
        <f>IF(B$17=0,0,G3/B$17)</f>
        <v>0.57912457912457915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1443.2432432432433</v>
      </c>
      <c r="P3" s="115">
        <v>111</v>
      </c>
      <c r="Q3" s="99">
        <v>160200</v>
      </c>
    </row>
    <row r="4" spans="1:17" x14ac:dyDescent="0.4">
      <c r="A4" s="51" t="s">
        <v>6</v>
      </c>
      <c r="B4" s="152">
        <v>138.89999999999978</v>
      </c>
      <c r="C4" s="153"/>
      <c r="E4" s="59" t="s">
        <v>171</v>
      </c>
      <c r="F4" s="56" t="s">
        <v>172</v>
      </c>
      <c r="G4" s="44">
        <v>119</v>
      </c>
      <c r="H4" s="129">
        <f>IF(B$17=0,0,G4/B$17)</f>
        <v>0.40067340067340068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-81.730769230769226</v>
      </c>
      <c r="P4" s="115">
        <v>104</v>
      </c>
      <c r="Q4" s="99">
        <v>-8500</v>
      </c>
    </row>
    <row r="5" spans="1:17" x14ac:dyDescent="0.4">
      <c r="A5" s="51" t="s">
        <v>7</v>
      </c>
      <c r="B5" s="154">
        <f>IF(B$2=0,0,B$4/B$2)</f>
        <v>1.2078260869565198</v>
      </c>
      <c r="C5" s="155"/>
      <c r="E5" s="59" t="s">
        <v>64</v>
      </c>
      <c r="F5" s="56" t="s">
        <v>20</v>
      </c>
      <c r="G5" s="44">
        <v>111</v>
      </c>
      <c r="H5" s="129">
        <f>IF(B$17=0,0,G5/B$17)</f>
        <v>0.37373737373737376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768.36734693877554</v>
      </c>
      <c r="P5" s="115">
        <v>98</v>
      </c>
      <c r="Q5" s="99">
        <v>75300</v>
      </c>
    </row>
    <row r="6" spans="1:17" x14ac:dyDescent="0.4">
      <c r="A6" s="51" t="s">
        <v>1</v>
      </c>
      <c r="B6" s="144">
        <f>IF(B$2=0,0,(B$7*1+B$8*2+B$9*3)/B$2)</f>
        <v>1.9391304347826086</v>
      </c>
      <c r="C6" s="145"/>
      <c r="E6" s="59" t="s">
        <v>68</v>
      </c>
      <c r="F6" s="56" t="s">
        <v>12</v>
      </c>
      <c r="G6" s="44">
        <v>77</v>
      </c>
      <c r="H6" s="129">
        <f>IF(B$17=0,0,G6/B$17)</f>
        <v>0.25925925925925924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-1002.2222222222222</v>
      </c>
      <c r="P6" s="115">
        <v>90</v>
      </c>
      <c r="Q6" s="99">
        <v>-90200</v>
      </c>
    </row>
    <row r="7" spans="1:17" x14ac:dyDescent="0.4">
      <c r="A7" s="51" t="s">
        <v>2</v>
      </c>
      <c r="B7" s="44">
        <v>41</v>
      </c>
      <c r="C7" s="37">
        <f t="shared" ref="C7:C12" si="1">IF(B$2=0,0,B7/B$2)</f>
        <v>0.35652173913043478</v>
      </c>
      <c r="E7" s="59" t="s">
        <v>67</v>
      </c>
      <c r="F7" s="56" t="s">
        <v>23</v>
      </c>
      <c r="G7" s="44">
        <v>61</v>
      </c>
      <c r="H7" s="129">
        <f>IF(B$17=0,0,G7/B$17)</f>
        <v>0.2053872053872054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1602.6315789473683</v>
      </c>
      <c r="P7" s="116">
        <v>76</v>
      </c>
      <c r="Q7" s="100">
        <v>121800</v>
      </c>
    </row>
    <row r="8" spans="1:17" x14ac:dyDescent="0.4">
      <c r="A8" s="51" t="s">
        <v>3</v>
      </c>
      <c r="B8" s="44">
        <v>40</v>
      </c>
      <c r="C8" s="37">
        <f t="shared" si="1"/>
        <v>0.34782608695652173</v>
      </c>
      <c r="E8" s="59" t="s">
        <v>89</v>
      </c>
      <c r="F8" s="56" t="s">
        <v>44</v>
      </c>
      <c r="G8" s="44">
        <v>37</v>
      </c>
      <c r="H8" s="129">
        <f>IF(B$17=0,0,G8/B$17)</f>
        <v>0.12457912457912458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0.29565217391304349</v>
      </c>
      <c r="E9" s="59" t="s">
        <v>69</v>
      </c>
      <c r="F9" s="56" t="s">
        <v>24</v>
      </c>
      <c r="G9" s="44">
        <v>34</v>
      </c>
      <c r="H9" s="129">
        <f>IF(B$17=0,0,G9/B$17)</f>
        <v>0.11447811447811448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0.13043478260869565</v>
      </c>
      <c r="E10" s="59" t="s">
        <v>71</v>
      </c>
      <c r="F10" s="56" t="s">
        <v>26</v>
      </c>
      <c r="G10" s="44">
        <v>28</v>
      </c>
      <c r="H10" s="129">
        <f>IF(B$17=0,0,G10/B$17)</f>
        <v>9.4276094276094277E-2</v>
      </c>
      <c r="I10" s="90">
        <v>6</v>
      </c>
      <c r="K10" s="36">
        <v>8</v>
      </c>
      <c r="L10" s="95">
        <v>-56.79999999999999</v>
      </c>
      <c r="N10" s="110" t="s">
        <v>162</v>
      </c>
      <c r="O10" s="120">
        <f>IF(P10=0,0,Q10/P10)</f>
        <v>1.3965517241379317</v>
      </c>
      <c r="P10" s="114">
        <v>29</v>
      </c>
      <c r="Q10" s="102">
        <v>40.500000000000021</v>
      </c>
    </row>
    <row r="11" spans="1:17" x14ac:dyDescent="0.4">
      <c r="A11" s="52" t="s">
        <v>138</v>
      </c>
      <c r="B11" s="45">
        <v>12</v>
      </c>
      <c r="C11" s="38">
        <f t="shared" si="1"/>
        <v>0.10434782608695652</v>
      </c>
      <c r="E11" s="59" t="s">
        <v>65</v>
      </c>
      <c r="F11" s="56" t="s">
        <v>21</v>
      </c>
      <c r="G11" s="44">
        <v>26</v>
      </c>
      <c r="H11" s="129">
        <f>IF(B$17=0,0,G11/B$17)</f>
        <v>8.7542087542087546E-2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3" t="s">
        <v>158</v>
      </c>
      <c r="B12" s="46">
        <v>20</v>
      </c>
      <c r="C12" s="40">
        <f t="shared" si="1"/>
        <v>0.17391304347826086</v>
      </c>
      <c r="E12" s="59" t="s">
        <v>70</v>
      </c>
      <c r="F12" s="56" t="s">
        <v>25</v>
      </c>
      <c r="G12" s="44">
        <v>25</v>
      </c>
      <c r="H12" s="129">
        <f>IF(B$17=0,0,G12/B$17)</f>
        <v>8.4175084175084181E-2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-4.0061224489795926</v>
      </c>
      <c r="P12" s="116">
        <v>49</v>
      </c>
      <c r="Q12" s="104">
        <v>-196.30000000000004</v>
      </c>
    </row>
    <row r="13" spans="1:17" x14ac:dyDescent="0.4">
      <c r="A13" s="54" t="s">
        <v>121</v>
      </c>
      <c r="B13" s="47">
        <v>220</v>
      </c>
      <c r="C13" s="42">
        <f>IF(B$3=0,0,B13/B$3)</f>
        <v>0.22821576763485477</v>
      </c>
      <c r="E13" s="59" t="s">
        <v>86</v>
      </c>
      <c r="F13" s="56" t="s">
        <v>41</v>
      </c>
      <c r="G13" s="44">
        <v>20</v>
      </c>
      <c r="H13" s="129">
        <f>IF(B$17=0,0,G13/B$17)</f>
        <v>6.7340067340067339E-2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300</v>
      </c>
      <c r="C14" s="37">
        <f>IF(B$3=0,0,B14/B$3)</f>
        <v>0.31120331950207469</v>
      </c>
      <c r="E14" s="59" t="s">
        <v>83</v>
      </c>
      <c r="F14" s="56" t="s">
        <v>38</v>
      </c>
      <c r="G14" s="44">
        <v>19</v>
      </c>
      <c r="H14" s="129">
        <f>IF(B$17=0,0,G14/B$17)</f>
        <v>6.3973063973063973E-2</v>
      </c>
      <c r="I14" s="90">
        <v>5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109</v>
      </c>
      <c r="C15" s="35">
        <f>IF(B$13=0,0,B15/B$13)</f>
        <v>0.49545454545454548</v>
      </c>
      <c r="E15" s="59" t="s">
        <v>78</v>
      </c>
      <c r="F15" s="56" t="s">
        <v>33</v>
      </c>
      <c r="G15" s="44">
        <v>9</v>
      </c>
      <c r="H15" s="129">
        <f>IF(B$17=0,0,G15/B$17)</f>
        <v>3.0303030303030304E-2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115</v>
      </c>
      <c r="C16" s="35">
        <f>IF(B$14=0,0,B16/B$14)</f>
        <v>0.38333333333333336</v>
      </c>
      <c r="E16" s="59" t="s">
        <v>91</v>
      </c>
      <c r="F16" s="56" t="s">
        <v>46</v>
      </c>
      <c r="G16" s="44">
        <v>9</v>
      </c>
      <c r="H16" s="129">
        <f>IF(B$17=0,0,G16/B$17)</f>
        <v>3.0303030303030304E-2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297</v>
      </c>
      <c r="C17" s="35">
        <f>IF(B$3=0,0,B17/B$3)</f>
        <v>0.30809128630705396</v>
      </c>
      <c r="E17" s="59" t="s">
        <v>81</v>
      </c>
      <c r="F17" s="56" t="s">
        <v>36</v>
      </c>
      <c r="G17" s="44">
        <v>8</v>
      </c>
      <c r="H17" s="129">
        <f>IF(B$17=0,0,G17/B$17)</f>
        <v>2.6936026936026935E-2</v>
      </c>
      <c r="I17" s="90">
        <v>2</v>
      </c>
      <c r="K17" s="36">
        <v>15</v>
      </c>
      <c r="L17" s="95">
        <v>-144.30000000000001</v>
      </c>
      <c r="N17" s="111" t="s">
        <v>179</v>
      </c>
      <c r="O17" s="121">
        <f>IF(P17=0,0,Q17/P17)</f>
        <v>15.53513513513513</v>
      </c>
      <c r="P17" s="115">
        <v>37</v>
      </c>
      <c r="Q17" s="103">
        <v>574.79999999999984</v>
      </c>
    </row>
    <row r="18" spans="1:17" x14ac:dyDescent="0.4">
      <c r="A18" s="51" t="s">
        <v>12</v>
      </c>
      <c r="B18" s="44">
        <v>120</v>
      </c>
      <c r="C18" s="37">
        <f>IF(B$17=0,0,B18/B$17)</f>
        <v>0.40404040404040403</v>
      </c>
      <c r="E18" s="59" t="s">
        <v>79</v>
      </c>
      <c r="F18" s="56" t="s">
        <v>34</v>
      </c>
      <c r="G18" s="44">
        <v>5</v>
      </c>
      <c r="H18" s="129">
        <f>IF(B$17=0,0,G18/B$17)</f>
        <v>1.6835016835016835E-2</v>
      </c>
      <c r="I18" s="90">
        <v>3</v>
      </c>
      <c r="K18" s="36">
        <v>16</v>
      </c>
      <c r="L18" s="95">
        <v>-187.3</v>
      </c>
      <c r="N18" s="111" t="s">
        <v>181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11</v>
      </c>
      <c r="B19" s="44">
        <v>177</v>
      </c>
      <c r="C19" s="37">
        <f>IF(B$17=0,0,B19/B$17)</f>
        <v>0.59595959595959591</v>
      </c>
      <c r="E19" s="59" t="s">
        <v>92</v>
      </c>
      <c r="F19" s="56" t="s">
        <v>47</v>
      </c>
      <c r="G19" s="44">
        <v>3</v>
      </c>
      <c r="H19" s="129">
        <f>IF(B$17=0,0,G19/B$17)</f>
        <v>1.0101010101010102E-2</v>
      </c>
      <c r="I19" s="90">
        <v>2</v>
      </c>
      <c r="K19" s="36">
        <v>17</v>
      </c>
      <c r="L19" s="95">
        <v>-179.70000000000002</v>
      </c>
      <c r="N19" s="111" t="s">
        <v>177</v>
      </c>
      <c r="O19" s="121">
        <f>IF(P19=0,0,Q19/P19)</f>
        <v>8.0312500000000053</v>
      </c>
      <c r="P19" s="115">
        <v>32</v>
      </c>
      <c r="Q19" s="103">
        <v>257.00000000000017</v>
      </c>
    </row>
    <row r="20" spans="1:17" x14ac:dyDescent="0.4">
      <c r="A20" s="51" t="s">
        <v>13</v>
      </c>
      <c r="B20" s="44">
        <v>185</v>
      </c>
      <c r="C20" s="37">
        <f>IF(B$3=0,0,B20/B$3)</f>
        <v>0.19190871369294607</v>
      </c>
      <c r="E20" s="59" t="s">
        <v>167</v>
      </c>
      <c r="F20" s="56" t="s">
        <v>168</v>
      </c>
      <c r="G20" s="44">
        <v>3</v>
      </c>
      <c r="H20" s="129">
        <f>IF(B$17=0,0,G20/B$17)</f>
        <v>1.0101010101010102E-2</v>
      </c>
      <c r="I20" s="90">
        <v>7</v>
      </c>
      <c r="K20" s="36">
        <v>18</v>
      </c>
      <c r="L20" s="95">
        <v>-112.90000000000002</v>
      </c>
      <c r="N20" s="111" t="s">
        <v>166</v>
      </c>
      <c r="O20" s="121">
        <f>IF(P20=0,0,Q20/P20)</f>
        <v>6.1159999999999988</v>
      </c>
      <c r="P20" s="115">
        <v>25</v>
      </c>
      <c r="Q20" s="103">
        <v>152.89999999999998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2</v>
      </c>
      <c r="H21" s="129">
        <f>IF(B$17=0,0,G21/B$17)</f>
        <v>6.7340067340067337E-3</v>
      </c>
      <c r="I21" s="90">
        <v>3</v>
      </c>
      <c r="K21" s="36">
        <v>19</v>
      </c>
      <c r="L21" s="95">
        <v>-162.40000000000003</v>
      </c>
      <c r="N21" s="111" t="s">
        <v>178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170</v>
      </c>
      <c r="B22" s="44">
        <v>30</v>
      </c>
      <c r="C22" s="131">
        <v>0</v>
      </c>
      <c r="E22" s="59" t="s">
        <v>75</v>
      </c>
      <c r="F22" s="56" t="s">
        <v>30</v>
      </c>
      <c r="G22" s="44">
        <v>2</v>
      </c>
      <c r="H22" s="129">
        <f>IF(B$17=0,0,G22/B$17)</f>
        <v>6.7340067340067337E-3</v>
      </c>
      <c r="I22" s="90">
        <v>4</v>
      </c>
      <c r="K22" s="36">
        <v>20</v>
      </c>
      <c r="L22" s="95">
        <v>-96.000000000000028</v>
      </c>
      <c r="N22" s="111" t="s">
        <v>126</v>
      </c>
      <c r="O22" s="121">
        <f>IF(P22=0,0,Q22/P22)</f>
        <v>-14.022077922077923</v>
      </c>
      <c r="P22" s="115">
        <v>77</v>
      </c>
      <c r="Q22" s="103">
        <v>-1079.7</v>
      </c>
    </row>
    <row r="23" spans="1:17" x14ac:dyDescent="0.4">
      <c r="A23" s="51" t="s">
        <v>5</v>
      </c>
      <c r="B23" s="48">
        <f>IF(B$17=0,0,C23/B$17)</f>
        <v>8493.2659932659935</v>
      </c>
      <c r="C23" s="39">
        <v>2522500</v>
      </c>
      <c r="E23" s="59" t="s">
        <v>73</v>
      </c>
      <c r="F23" s="56" t="s">
        <v>28</v>
      </c>
      <c r="G23" s="44">
        <v>1</v>
      </c>
      <c r="H23" s="129">
        <f>IF(B$17=0,0,G23/B$17)</f>
        <v>3.3670033670033669E-3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9075.2747252747249</v>
      </c>
      <c r="C24" s="137">
        <v>1651700</v>
      </c>
      <c r="E24" s="59" t="s">
        <v>77</v>
      </c>
      <c r="F24" s="56" t="s">
        <v>32</v>
      </c>
      <c r="G24" s="44">
        <v>1</v>
      </c>
      <c r="H24" s="129">
        <f>IF(B$17=0,0,G24/B$17)</f>
        <v>3.3670033670033669E-3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7572.173913043478</v>
      </c>
      <c r="C25" s="137">
        <v>870800</v>
      </c>
      <c r="E25" s="59" t="s">
        <v>84</v>
      </c>
      <c r="F25" s="56" t="s">
        <v>39</v>
      </c>
      <c r="G25" s="44">
        <v>1</v>
      </c>
      <c r="H25" s="129">
        <f>IF(B$17=0,0,G25/B$17)</f>
        <v>3.3670033670033669E-3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-8007.0270270270266</v>
      </c>
      <c r="C26" s="137">
        <v>-1481300</v>
      </c>
      <c r="E26" s="59" t="s">
        <v>95</v>
      </c>
      <c r="F26" s="56" t="s">
        <v>50</v>
      </c>
      <c r="G26" s="44">
        <v>1</v>
      </c>
      <c r="H26" s="129">
        <f>IF(B$17=0,0,G26/B$17)</f>
        <v>3.3670033670033669E-3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3.1120331950207467E-3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73"/>
  <sheetViews>
    <sheetView showGridLines="0" topLeftCell="C1" zoomScale="97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71</v>
      </c>
      <c r="C2" s="149"/>
      <c r="E2" s="58" t="s">
        <v>66</v>
      </c>
      <c r="F2" s="55" t="s">
        <v>22</v>
      </c>
      <c r="G2" s="43">
        <v>131</v>
      </c>
      <c r="H2" s="128">
        <f>IF(B$17=0,0,G2/B$17)</f>
        <v>0.77976190476190477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-70</v>
      </c>
      <c r="P2" s="114">
        <v>70</v>
      </c>
      <c r="Q2" s="98">
        <v>-4900</v>
      </c>
    </row>
    <row r="3" spans="1:17" x14ac:dyDescent="0.4">
      <c r="A3" s="51" t="s">
        <v>8</v>
      </c>
      <c r="B3" s="150">
        <v>603</v>
      </c>
      <c r="C3" s="151"/>
      <c r="E3" s="59" t="s">
        <v>64</v>
      </c>
      <c r="F3" s="56" t="s">
        <v>20</v>
      </c>
      <c r="G3" s="44">
        <v>98</v>
      </c>
      <c r="H3" s="129">
        <f>IF(B$17=0,0,G3/B$17)</f>
        <v>0.58333333333333337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-1088.4057971014493</v>
      </c>
      <c r="P3" s="115">
        <v>69</v>
      </c>
      <c r="Q3" s="99">
        <v>-75100</v>
      </c>
    </row>
    <row r="4" spans="1:17" x14ac:dyDescent="0.4">
      <c r="A4" s="51" t="s">
        <v>6</v>
      </c>
      <c r="B4" s="152">
        <v>-484.8</v>
      </c>
      <c r="C4" s="153"/>
      <c r="E4" s="59" t="s">
        <v>72</v>
      </c>
      <c r="F4" s="56" t="s">
        <v>27</v>
      </c>
      <c r="G4" s="44">
        <v>85</v>
      </c>
      <c r="H4" s="129">
        <f>IF(B$17=0,0,G4/B$17)</f>
        <v>0.50595238095238093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865.625</v>
      </c>
      <c r="P4" s="115">
        <v>64</v>
      </c>
      <c r="Q4" s="99">
        <v>55400</v>
      </c>
    </row>
    <row r="5" spans="1:17" x14ac:dyDescent="0.4">
      <c r="A5" s="51" t="s">
        <v>7</v>
      </c>
      <c r="B5" s="154">
        <f>IF(B$2=0,0,B$4/B$2)</f>
        <v>-6.8281690140845068</v>
      </c>
      <c r="C5" s="155"/>
      <c r="E5" s="59" t="s">
        <v>171</v>
      </c>
      <c r="F5" s="56" t="s">
        <v>172</v>
      </c>
      <c r="G5" s="44">
        <v>71</v>
      </c>
      <c r="H5" s="129">
        <f>IF(B$17=0,0,G5/B$17)</f>
        <v>0.42261904761904762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-1303.1746031746031</v>
      </c>
      <c r="P5" s="115">
        <v>63</v>
      </c>
      <c r="Q5" s="99">
        <v>-82100</v>
      </c>
    </row>
    <row r="6" spans="1:17" x14ac:dyDescent="0.4">
      <c r="A6" s="51" t="s">
        <v>1</v>
      </c>
      <c r="B6" s="144">
        <f>IF(B$2=0,0,(B$7*1+B$8*2+B$9*3)/B$2)</f>
        <v>2.1690140845070425</v>
      </c>
      <c r="C6" s="145"/>
      <c r="E6" s="59" t="s">
        <v>68</v>
      </c>
      <c r="F6" s="56" t="s">
        <v>12</v>
      </c>
      <c r="G6" s="44">
        <v>60</v>
      </c>
      <c r="H6" s="129">
        <f>IF(B$17=0,0,G6/B$17)</f>
        <v>0.35714285714285715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-2995</v>
      </c>
      <c r="P6" s="115">
        <v>60</v>
      </c>
      <c r="Q6" s="99">
        <v>-179700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0.22535211267605634</v>
      </c>
      <c r="E7" s="59" t="s">
        <v>67</v>
      </c>
      <c r="F7" s="56" t="s">
        <v>23</v>
      </c>
      <c r="G7" s="44">
        <v>49</v>
      </c>
      <c r="H7" s="129">
        <f>IF(B$17=0,0,G7/B$17)</f>
        <v>0.29166666666666669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-1538.4615384615386</v>
      </c>
      <c r="P7" s="116">
        <v>52</v>
      </c>
      <c r="Q7" s="100">
        <v>-80000</v>
      </c>
    </row>
    <row r="8" spans="1:17" x14ac:dyDescent="0.4">
      <c r="A8" s="51" t="s">
        <v>3</v>
      </c>
      <c r="B8" s="44">
        <v>27</v>
      </c>
      <c r="C8" s="37">
        <f t="shared" si="1"/>
        <v>0.38028169014084506</v>
      </c>
      <c r="E8" s="59" t="s">
        <v>70</v>
      </c>
      <c r="F8" s="56" t="s">
        <v>25</v>
      </c>
      <c r="G8" s="44">
        <v>25</v>
      </c>
      <c r="H8" s="129">
        <f>IF(B$17=0,0,G8/B$17)</f>
        <v>0.14880952380952381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0.39436619718309857</v>
      </c>
      <c r="E9" s="59" t="s">
        <v>69</v>
      </c>
      <c r="F9" s="56" t="s">
        <v>24</v>
      </c>
      <c r="G9" s="44">
        <v>24</v>
      </c>
      <c r="H9" s="129">
        <f>IF(B$17=0,0,G9/B$17)</f>
        <v>0.14285714285714285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8.4507042253521125E-2</v>
      </c>
      <c r="E10" s="59" t="s">
        <v>65</v>
      </c>
      <c r="F10" s="56" t="s">
        <v>21</v>
      </c>
      <c r="G10" s="44">
        <v>20</v>
      </c>
      <c r="H10" s="129">
        <f>IF(B$17=0,0,G10/B$17)</f>
        <v>0.11904761904761904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-3.7925925925925932</v>
      </c>
      <c r="P10" s="114">
        <v>27</v>
      </c>
      <c r="Q10" s="102">
        <v>-102.40000000000002</v>
      </c>
    </row>
    <row r="11" spans="1:17" x14ac:dyDescent="0.4">
      <c r="A11" s="52" t="s">
        <v>138</v>
      </c>
      <c r="B11" s="45">
        <v>2</v>
      </c>
      <c r="C11" s="38">
        <f t="shared" si="1"/>
        <v>2.8169014084507043E-2</v>
      </c>
      <c r="E11" s="59" t="s">
        <v>89</v>
      </c>
      <c r="F11" s="56" t="s">
        <v>44</v>
      </c>
      <c r="G11" s="44">
        <v>20</v>
      </c>
      <c r="H11" s="129">
        <f>IF(B$17=0,0,G11/B$17)</f>
        <v>0.11904761904761904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1"/>
        <v>7.0422535211267609E-2</v>
      </c>
      <c r="E12" s="59" t="s">
        <v>83</v>
      </c>
      <c r="F12" s="56" t="s">
        <v>38</v>
      </c>
      <c r="G12" s="44">
        <v>10</v>
      </c>
      <c r="H12" s="129">
        <f>IF(B$17=0,0,G12/B$17)</f>
        <v>5.9523809523809521E-2</v>
      </c>
      <c r="I12" s="90">
        <v>6</v>
      </c>
      <c r="K12" s="36">
        <v>10</v>
      </c>
      <c r="L12" s="95">
        <v>-117.19999999999999</v>
      </c>
      <c r="N12" s="112" t="s">
        <v>164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4" t="s">
        <v>121</v>
      </c>
      <c r="B13" s="47">
        <v>172</v>
      </c>
      <c r="C13" s="42">
        <f>IF(B$3=0,0,B13/B$3)</f>
        <v>0.28524046434494194</v>
      </c>
      <c r="E13" s="59" t="s">
        <v>71</v>
      </c>
      <c r="F13" s="56" t="s">
        <v>26</v>
      </c>
      <c r="G13" s="44">
        <v>7</v>
      </c>
      <c r="H13" s="129">
        <f>IF(B$17=0,0,G13/B$17)</f>
        <v>4.1666666666666664E-2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116</v>
      </c>
      <c r="C14" s="37">
        <f>IF(B$3=0,0,B14/B$3)</f>
        <v>0.19237147595356552</v>
      </c>
      <c r="E14" s="59" t="s">
        <v>78</v>
      </c>
      <c r="F14" s="56" t="s">
        <v>33</v>
      </c>
      <c r="G14" s="44">
        <v>6</v>
      </c>
      <c r="H14" s="129">
        <f>IF(B$17=0,0,G14/B$17)</f>
        <v>3.5714285714285712E-2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99</v>
      </c>
      <c r="C15" s="35">
        <f>IF(B$13=0,0,B15/B$13)</f>
        <v>0.57558139534883723</v>
      </c>
      <c r="E15" s="59" t="s">
        <v>86</v>
      </c>
      <c r="F15" s="56" t="s">
        <v>41</v>
      </c>
      <c r="G15" s="44">
        <v>4</v>
      </c>
      <c r="H15" s="129">
        <f>IF(B$17=0,0,G15/B$17)</f>
        <v>2.3809523809523808E-2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47</v>
      </c>
      <c r="C16" s="35">
        <f>IF(B$14=0,0,B16/B$14)</f>
        <v>0.40517241379310343</v>
      </c>
      <c r="E16" s="59" t="s">
        <v>81</v>
      </c>
      <c r="F16" s="56" t="s">
        <v>36</v>
      </c>
      <c r="G16" s="44">
        <v>3</v>
      </c>
      <c r="H16" s="129">
        <f>IF(B$17=0,0,G16/B$17)</f>
        <v>1.7857142857142856E-2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168</v>
      </c>
      <c r="C17" s="35">
        <f>IF(B$3=0,0,B17/B$3)</f>
        <v>0.27860696517412936</v>
      </c>
      <c r="E17" s="59" t="s">
        <v>167</v>
      </c>
      <c r="F17" s="56" t="s">
        <v>168</v>
      </c>
      <c r="G17" s="44">
        <v>3</v>
      </c>
      <c r="H17" s="129">
        <f>IF(B$17=0,0,G17/B$17)</f>
        <v>1.7857142857142856E-2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>IF(P17=0,0,Q17/P17)</f>
        <v>3.6714285714285717</v>
      </c>
      <c r="P17" s="115">
        <v>14</v>
      </c>
      <c r="Q17" s="103">
        <v>51.400000000000006</v>
      </c>
    </row>
    <row r="18" spans="1:17" x14ac:dyDescent="0.4">
      <c r="A18" s="51" t="s">
        <v>12</v>
      </c>
      <c r="B18" s="44">
        <v>78</v>
      </c>
      <c r="C18" s="37">
        <f>IF(B$17=0,0,B18/B$17)</f>
        <v>0.4642857142857143</v>
      </c>
      <c r="E18" s="59" t="s">
        <v>75</v>
      </c>
      <c r="F18" s="56" t="s">
        <v>30</v>
      </c>
      <c r="G18" s="44">
        <v>2</v>
      </c>
      <c r="H18" s="129">
        <f>IF(B$17=0,0,G18/B$17)</f>
        <v>1.1904761904761904E-2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11</v>
      </c>
      <c r="B19" s="44">
        <v>90</v>
      </c>
      <c r="C19" s="37">
        <f>IF(B$17=0,0,B19/B$17)</f>
        <v>0.5357142857142857</v>
      </c>
      <c r="E19" s="59" t="s">
        <v>79</v>
      </c>
      <c r="F19" s="56" t="s">
        <v>34</v>
      </c>
      <c r="G19" s="44">
        <v>2</v>
      </c>
      <c r="H19" s="129">
        <f>IF(B$17=0,0,G19/B$17)</f>
        <v>1.1904761904761904E-2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>IF(P19=0,0,Q19/P19)</f>
        <v>-13.965</v>
      </c>
      <c r="P19" s="115">
        <v>20</v>
      </c>
      <c r="Q19" s="103">
        <v>-279.3</v>
      </c>
    </row>
    <row r="20" spans="1:17" x14ac:dyDescent="0.4">
      <c r="A20" s="51" t="s">
        <v>13</v>
      </c>
      <c r="B20" s="44">
        <v>122</v>
      </c>
      <c r="C20" s="37">
        <f>IF(B$3=0,0,B20/B$3)</f>
        <v>0.20232172470978441</v>
      </c>
      <c r="E20" s="59" t="s">
        <v>91</v>
      </c>
      <c r="F20" s="56" t="s">
        <v>46</v>
      </c>
      <c r="G20" s="44">
        <v>1</v>
      </c>
      <c r="H20" s="129">
        <f>IF(B$17=0,0,G20/B$17)</f>
        <v>5.9523809523809521E-3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>IF(P20=0,0,Q20/P20)</f>
        <v>-15.53513513513513</v>
      </c>
      <c r="P20" s="115">
        <v>37</v>
      </c>
      <c r="Q20" s="103">
        <v>-574.79999999999984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>IF(P21=0,0,Q21/P21)</f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8067.8571428571431</v>
      </c>
      <c r="C23" s="39">
        <v>1355400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8647.1074380165282</v>
      </c>
      <c r="C24" s="137">
        <v>1046300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6576.5957446808507</v>
      </c>
      <c r="C25" s="137">
        <v>309100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-7622.1311475409839</v>
      </c>
      <c r="C26" s="137">
        <v>-929900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4.9751243781094526E-3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78"/>
  <sheetViews>
    <sheetView showGridLines="0" topLeftCell="C1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76</v>
      </c>
      <c r="C2" s="149"/>
      <c r="E2" s="58" t="s">
        <v>66</v>
      </c>
      <c r="F2" s="55" t="s">
        <v>22</v>
      </c>
      <c r="G2" s="43">
        <v>144</v>
      </c>
      <c r="H2" s="128">
        <f>IF(B$17=0,0,G2/B$17)</f>
        <v>0.82758620689655171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1264.4736842105262</v>
      </c>
      <c r="P2" s="114">
        <v>76</v>
      </c>
      <c r="Q2" s="98">
        <v>96100</v>
      </c>
    </row>
    <row r="3" spans="1:17" x14ac:dyDescent="0.4">
      <c r="A3" s="51" t="s">
        <v>8</v>
      </c>
      <c r="B3" s="150">
        <v>612</v>
      </c>
      <c r="C3" s="151"/>
      <c r="E3" s="59" t="s">
        <v>72</v>
      </c>
      <c r="F3" s="56" t="s">
        <v>27</v>
      </c>
      <c r="G3" s="44">
        <v>98</v>
      </c>
      <c r="H3" s="129">
        <f>IF(B$17=0,0,G3/B$17)</f>
        <v>0.56321839080459768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-2520.5479452054797</v>
      </c>
      <c r="P3" s="115">
        <v>73</v>
      </c>
      <c r="Q3" s="99">
        <v>-184000</v>
      </c>
    </row>
    <row r="4" spans="1:17" x14ac:dyDescent="0.4">
      <c r="A4" s="51" t="s">
        <v>6</v>
      </c>
      <c r="B4" s="152">
        <v>325.7000000000001</v>
      </c>
      <c r="C4" s="153"/>
      <c r="E4" s="59" t="s">
        <v>64</v>
      </c>
      <c r="F4" s="56" t="s">
        <v>20</v>
      </c>
      <c r="G4" s="44">
        <v>93</v>
      </c>
      <c r="H4" s="129">
        <f>IF(B$17=0,0,G4/B$17)</f>
        <v>0.53448275862068961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54">
        <f>IF(B$2=0,0,B$4/B$2)</f>
        <v>4.2855263157894754</v>
      </c>
      <c r="C5" s="155"/>
      <c r="E5" s="59" t="s">
        <v>67</v>
      </c>
      <c r="F5" s="56" t="s">
        <v>23</v>
      </c>
      <c r="G5" s="44">
        <v>72</v>
      </c>
      <c r="H5" s="129">
        <f>IF(B$17=0,0,G5/B$17)</f>
        <v>0.41379310344827586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44">
        <f>IF(B$2=0,0,(B$7*1+B$8*2+B$9*3)/B$2)</f>
        <v>1.9210526315789473</v>
      </c>
      <c r="C6" s="145"/>
      <c r="E6" s="59" t="s">
        <v>171</v>
      </c>
      <c r="F6" s="56" t="s">
        <v>172</v>
      </c>
      <c r="G6" s="44">
        <v>66</v>
      </c>
      <c r="H6" s="129">
        <f>IF(B$17=0,0,G6/B$17)</f>
        <v>0.37931034482758619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30</v>
      </c>
      <c r="C7" s="37">
        <f t="shared" ref="C7:C12" si="1">IF(B$2=0,0,B7/B$2)</f>
        <v>0.39473684210526316</v>
      </c>
      <c r="E7" s="59" t="s">
        <v>68</v>
      </c>
      <c r="F7" s="56" t="s">
        <v>12</v>
      </c>
      <c r="G7" s="44">
        <v>64</v>
      </c>
      <c r="H7" s="129">
        <f>IF(B$17=0,0,G7/B$17)</f>
        <v>0.36781609195402298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-83.720930232558146</v>
      </c>
      <c r="P7" s="116">
        <v>43</v>
      </c>
      <c r="Q7" s="100">
        <v>-3600</v>
      </c>
    </row>
    <row r="8" spans="1:17" x14ac:dyDescent="0.4">
      <c r="A8" s="51" t="s">
        <v>3</v>
      </c>
      <c r="B8" s="44">
        <v>22</v>
      </c>
      <c r="C8" s="37">
        <f t="shared" si="1"/>
        <v>0.28947368421052633</v>
      </c>
      <c r="E8" s="59" t="s">
        <v>89</v>
      </c>
      <c r="F8" s="56" t="s">
        <v>44</v>
      </c>
      <c r="G8" s="44">
        <v>40</v>
      </c>
      <c r="H8" s="129">
        <f>IF(B$17=0,0,G8/B$17)</f>
        <v>0.22988505747126436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0.31578947368421051</v>
      </c>
      <c r="E9" s="59" t="s">
        <v>69</v>
      </c>
      <c r="F9" s="56" t="s">
        <v>24</v>
      </c>
      <c r="G9" s="44">
        <v>35</v>
      </c>
      <c r="H9" s="129">
        <f>IF(B$17=0,0,G9/B$17)</f>
        <v>0.20114942528735633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0.10526315789473684</v>
      </c>
      <c r="E10" s="59" t="s">
        <v>65</v>
      </c>
      <c r="F10" s="56" t="s">
        <v>21</v>
      </c>
      <c r="G10" s="44">
        <v>25</v>
      </c>
      <c r="H10" s="129">
        <f>IF(B$17=0,0,G10/B$17)</f>
        <v>0.14367816091954022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2" t="s">
        <v>138</v>
      </c>
      <c r="B11" s="45">
        <v>14</v>
      </c>
      <c r="C11" s="38">
        <f t="shared" si="1"/>
        <v>0.18421052631578946</v>
      </c>
      <c r="E11" s="59" t="s">
        <v>70</v>
      </c>
      <c r="F11" s="56" t="s">
        <v>25</v>
      </c>
      <c r="G11" s="44">
        <v>20</v>
      </c>
      <c r="H11" s="129">
        <f>IF(B$17=0,0,G11/B$17)</f>
        <v>0.11494252873563218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6.3617647058823517</v>
      </c>
      <c r="P11" s="115">
        <v>34</v>
      </c>
      <c r="Q11" s="103">
        <v>216.29999999999995</v>
      </c>
    </row>
    <row r="12" spans="1:17" x14ac:dyDescent="0.4">
      <c r="A12" s="53" t="s">
        <v>158</v>
      </c>
      <c r="B12" s="46">
        <v>8</v>
      </c>
      <c r="C12" s="40">
        <f t="shared" si="1"/>
        <v>0.10526315789473684</v>
      </c>
      <c r="E12" s="59" t="s">
        <v>167</v>
      </c>
      <c r="F12" s="56" t="s">
        <v>168</v>
      </c>
      <c r="G12" s="44">
        <v>13</v>
      </c>
      <c r="H12" s="129">
        <f>IF(B$17=0,0,G12/B$17)</f>
        <v>7.4712643678160925E-2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4" t="s">
        <v>121</v>
      </c>
      <c r="B13" s="47">
        <v>193</v>
      </c>
      <c r="C13" s="42">
        <f>IF(B$3=0,0,B13/B$3)</f>
        <v>0.315359477124183</v>
      </c>
      <c r="E13" s="59" t="s">
        <v>71</v>
      </c>
      <c r="F13" s="56" t="s">
        <v>26</v>
      </c>
      <c r="G13" s="44">
        <v>9</v>
      </c>
      <c r="H13" s="129">
        <f>IF(B$17=0,0,G13/B$17)</f>
        <v>5.1724137931034482E-2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</v>
      </c>
      <c r="C14" s="37">
        <f>IF(B$3=0,0,B14/B$3)</f>
        <v>0.1781045751633987</v>
      </c>
      <c r="E14" s="59" t="s">
        <v>83</v>
      </c>
      <c r="F14" s="56" t="s">
        <v>38</v>
      </c>
      <c r="G14" s="44">
        <v>7</v>
      </c>
      <c r="H14" s="129">
        <f>IF(B$17=0,0,G14/B$17)</f>
        <v>4.0229885057471264E-2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0.54922279792746109</v>
      </c>
      <c r="E15" s="59" t="s">
        <v>86</v>
      </c>
      <c r="F15" s="56" t="s">
        <v>41</v>
      </c>
      <c r="G15" s="44">
        <v>5</v>
      </c>
      <c r="H15" s="129">
        <f>IF(B$17=0,0,G15/B$17)</f>
        <v>2.8735632183908046E-2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46</v>
      </c>
      <c r="C16" s="35">
        <f>IF(B$14=0,0,B16/B$14)</f>
        <v>0.42201834862385323</v>
      </c>
      <c r="E16" s="59" t="s">
        <v>81</v>
      </c>
      <c r="F16" s="56" t="s">
        <v>36</v>
      </c>
      <c r="G16" s="44">
        <v>4</v>
      </c>
      <c r="H16" s="129">
        <f>IF(B$17=0,0,G16/B$17)</f>
        <v>2.2988505747126436E-2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 t="shared" si="2"/>
        <v>38.991666666666667</v>
      </c>
      <c r="P16" s="115">
        <v>12</v>
      </c>
      <c r="Q16" s="103">
        <v>467.9</v>
      </c>
    </row>
    <row r="17" spans="1:17" x14ac:dyDescent="0.4">
      <c r="A17" s="50" t="s">
        <v>10</v>
      </c>
      <c r="B17" s="43">
        <f>B19+B18</f>
        <v>174</v>
      </c>
      <c r="C17" s="35">
        <f>IF(B$3=0,0,B17/B$3)</f>
        <v>0.28431372549019607</v>
      </c>
      <c r="E17" s="59" t="s">
        <v>92</v>
      </c>
      <c r="F17" s="56" t="s">
        <v>47</v>
      </c>
      <c r="G17" s="44">
        <v>4</v>
      </c>
      <c r="H17" s="129">
        <f>IF(B$17=0,0,G17/B$17)</f>
        <v>2.2988505747126436E-2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17.12777777777778</v>
      </c>
      <c r="P17" s="115">
        <v>18</v>
      </c>
      <c r="Q17" s="103">
        <v>308.3</v>
      </c>
    </row>
    <row r="18" spans="1:17" x14ac:dyDescent="0.4">
      <c r="A18" s="51" t="s">
        <v>12</v>
      </c>
      <c r="B18" s="44">
        <v>84</v>
      </c>
      <c r="C18" s="37">
        <f>IF(B$17=0,0,B18/B$17)</f>
        <v>0.48275862068965519</v>
      </c>
      <c r="E18" s="59" t="s">
        <v>91</v>
      </c>
      <c r="F18" s="56" t="s">
        <v>46</v>
      </c>
      <c r="G18" s="44">
        <v>3</v>
      </c>
      <c r="H18" s="129">
        <f>IF(B$17=0,0,G18/B$17)</f>
        <v>1.7241379310344827E-2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10.6025641025641</v>
      </c>
      <c r="P18" s="115">
        <v>39</v>
      </c>
      <c r="Q18" s="103">
        <v>413.49999999999994</v>
      </c>
    </row>
    <row r="19" spans="1:17" x14ac:dyDescent="0.4">
      <c r="A19" s="51" t="s">
        <v>11</v>
      </c>
      <c r="B19" s="44">
        <v>90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1</v>
      </c>
      <c r="H19" s="129">
        <f>IF(B$17=0,0,G19/B$17)</f>
        <v>5.7471264367816091E-3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6.1749999999999972</v>
      </c>
      <c r="P19" s="115">
        <v>28</v>
      </c>
      <c r="Q19" s="103">
        <v>172.89999999999992</v>
      </c>
    </row>
    <row r="20" spans="1:17" x14ac:dyDescent="0.4">
      <c r="A20" s="51" t="s">
        <v>13</v>
      </c>
      <c r="B20" s="44">
        <v>104</v>
      </c>
      <c r="C20" s="37">
        <f>IF(B$3=0,0,B20/B$3)</f>
        <v>0.16993464052287582</v>
      </c>
      <c r="E20" s="59" t="s">
        <v>75</v>
      </c>
      <c r="F20" s="56" t="s">
        <v>30</v>
      </c>
      <c r="G20" s="44">
        <v>1</v>
      </c>
      <c r="H20" s="129">
        <f>IF(B$17=0,0,G20/B$17)</f>
        <v>5.7471264367816091E-3</v>
      </c>
      <c r="I20" s="90">
        <v>6</v>
      </c>
      <c r="K20" s="36">
        <v>18</v>
      </c>
      <c r="L20" s="95">
        <v>-24.999999999999968</v>
      </c>
      <c r="N20" s="111" t="s">
        <v>179</v>
      </c>
      <c r="O20" s="121">
        <f t="shared" si="2"/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5.7471264367816091E-3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170</v>
      </c>
      <c r="B22" s="44">
        <v>25</v>
      </c>
      <c r="C22" s="131">
        <v>0</v>
      </c>
      <c r="E22" s="59" t="s">
        <v>79</v>
      </c>
      <c r="F22" s="56" t="s">
        <v>34</v>
      </c>
      <c r="G22" s="44">
        <v>1</v>
      </c>
      <c r="H22" s="129">
        <f>IF(B$17=0,0,G22/B$17)</f>
        <v>5.7471264367816091E-3</v>
      </c>
      <c r="I22" s="90">
        <v>7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10798.275862068966</v>
      </c>
      <c r="C23" s="39">
        <v>1878900</v>
      </c>
      <c r="E23" s="59" t="s">
        <v>85</v>
      </c>
      <c r="F23" s="56" t="s">
        <v>40</v>
      </c>
      <c r="G23" s="44">
        <v>1</v>
      </c>
      <c r="H23" s="129">
        <f>IF(B$17=0,0,G23/B$17)</f>
        <v>5.7471264367816091E-3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11707.8125</v>
      </c>
      <c r="C24" s="137">
        <v>1498600</v>
      </c>
      <c r="E24" s="59" t="s">
        <v>90</v>
      </c>
      <c r="F24" s="56" t="s">
        <v>45</v>
      </c>
      <c r="G24" s="44">
        <v>1</v>
      </c>
      <c r="H24" s="129">
        <f>IF(B$17=0,0,G24/B$17)</f>
        <v>5.7471264367816091E-3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8267.391304347826</v>
      </c>
      <c r="C25" s="137">
        <v>380300</v>
      </c>
      <c r="E25" s="59" t="s">
        <v>93</v>
      </c>
      <c r="F25" s="56" t="s">
        <v>48</v>
      </c>
      <c r="G25" s="44">
        <v>1</v>
      </c>
      <c r="H25" s="129">
        <f>IF(B$17=0,0,G25/B$17)</f>
        <v>5.7471264367816091E-3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-8158.6538461538457</v>
      </c>
      <c r="C26" s="137">
        <v>-848500</v>
      </c>
      <c r="E26" s="59" t="s">
        <v>97</v>
      </c>
      <c r="F26" s="56" t="s">
        <v>52</v>
      </c>
      <c r="G26" s="44">
        <v>1</v>
      </c>
      <c r="H26" s="129">
        <f>IF(B$17=0,0,G26/B$17)</f>
        <v>5.7471264367816091E-3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74</v>
      </c>
      <c r="F27" s="56" t="s">
        <v>29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122100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</sheetData>
  <sortState xmlns:xlrd2="http://schemas.microsoft.com/office/spreadsheetml/2017/richdata2" ref="E2:I7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102"/>
  <sheetViews>
    <sheetView showGridLines="0" topLeftCell="F1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100</v>
      </c>
      <c r="C2" s="149"/>
      <c r="E2" s="58" t="s">
        <v>66</v>
      </c>
      <c r="F2" s="55" t="s">
        <v>22</v>
      </c>
      <c r="G2" s="43">
        <v>172</v>
      </c>
      <c r="H2" s="128">
        <f>IF(B$17=0,0,G2/B$17)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0">
        <v>801</v>
      </c>
      <c r="C3" s="151"/>
      <c r="E3" s="59" t="s">
        <v>72</v>
      </c>
      <c r="F3" s="56" t="s">
        <v>27</v>
      </c>
      <c r="G3" s="44">
        <v>129</v>
      </c>
      <c r="H3" s="129">
        <f>IF(B$17=0,0,G3/B$17)</f>
        <v>0.56086956521739129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2">
        <v>-25.600000000000009</v>
      </c>
      <c r="C4" s="153"/>
      <c r="E4" s="59" t="s">
        <v>64</v>
      </c>
      <c r="F4" s="56" t="s">
        <v>20</v>
      </c>
      <c r="G4" s="44">
        <v>115</v>
      </c>
      <c r="H4" s="129">
        <f>IF(B$17=0,0,G4/B$17)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54">
        <f>IF(B$2=0,0,B$4/B$2)</f>
        <v>-0.25600000000000006</v>
      </c>
      <c r="C5" s="155"/>
      <c r="E5" s="59" t="s">
        <v>171</v>
      </c>
      <c r="F5" s="56" t="s">
        <v>172</v>
      </c>
      <c r="G5" s="44">
        <v>107</v>
      </c>
      <c r="H5" s="129">
        <f>IF(B$17=0,0,G5/B$17)</f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44">
        <f>IF(B$2=0,0,(B$7*1+B$8*2+B$9*3)/B$2)</f>
        <v>2.04</v>
      </c>
      <c r="C6" s="145"/>
      <c r="E6" s="59" t="s">
        <v>67</v>
      </c>
      <c r="F6" s="56" t="s">
        <v>23</v>
      </c>
      <c r="G6" s="44">
        <v>90</v>
      </c>
      <c r="H6" s="129">
        <f>IF(B$17=0,0,G6/B$17)</f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-867.1232876712329</v>
      </c>
      <c r="P6" s="115">
        <v>73</v>
      </c>
      <c r="Q6" s="99">
        <v>-63300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0.24</v>
      </c>
      <c r="E7" s="59" t="s">
        <v>68</v>
      </c>
      <c r="F7" s="56" t="s">
        <v>12</v>
      </c>
      <c r="G7" s="44">
        <v>76</v>
      </c>
      <c r="H7" s="129">
        <f>IF(B$17=0,0,G7/B$17)</f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-503.22580645161293</v>
      </c>
      <c r="P7" s="116">
        <v>62</v>
      </c>
      <c r="Q7" s="100">
        <v>-31200</v>
      </c>
    </row>
    <row r="8" spans="1:17" x14ac:dyDescent="0.4">
      <c r="A8" s="51" t="s">
        <v>3</v>
      </c>
      <c r="B8" s="44">
        <v>48</v>
      </c>
      <c r="C8" s="37">
        <f t="shared" si="1"/>
        <v>0.48</v>
      </c>
      <c r="E8" s="59" t="s">
        <v>69</v>
      </c>
      <c r="F8" s="56" t="s">
        <v>24</v>
      </c>
      <c r="G8" s="44">
        <v>32</v>
      </c>
      <c r="H8" s="129">
        <f>IF(B$17=0,0,G8/B$17)</f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0.28000000000000003</v>
      </c>
      <c r="E9" s="59" t="s">
        <v>89</v>
      </c>
      <c r="F9" s="56" t="s">
        <v>44</v>
      </c>
      <c r="G9" s="44">
        <v>23</v>
      </c>
      <c r="H9" s="129">
        <f>IF(B$17=0,0,G9/B$17)</f>
        <v>0.1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0.08</v>
      </c>
      <c r="E10" s="59" t="s">
        <v>71</v>
      </c>
      <c r="F10" s="56" t="s">
        <v>26</v>
      </c>
      <c r="G10" s="44">
        <v>22</v>
      </c>
      <c r="H10" s="129">
        <f>IF(B$17=0,0,G10/B$17)</f>
        <v>9.5652173913043481E-2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2" t="s">
        <v>138</v>
      </c>
      <c r="B11" s="45">
        <v>9</v>
      </c>
      <c r="C11" s="38">
        <f t="shared" si="1"/>
        <v>0.09</v>
      </c>
      <c r="E11" s="59" t="s">
        <v>70</v>
      </c>
      <c r="F11" s="56" t="s">
        <v>25</v>
      </c>
      <c r="G11" s="44">
        <v>18</v>
      </c>
      <c r="H11" s="129">
        <f>IF(B$17=0,0,G11/B$17)</f>
        <v>7.8260869565217397E-2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3" t="s">
        <v>158</v>
      </c>
      <c r="B12" s="46">
        <v>5</v>
      </c>
      <c r="C12" s="40">
        <f t="shared" si="1"/>
        <v>0.05</v>
      </c>
      <c r="E12" s="59" t="s">
        <v>65</v>
      </c>
      <c r="F12" s="56" t="s">
        <v>21</v>
      </c>
      <c r="G12" s="44">
        <v>17</v>
      </c>
      <c r="H12" s="129">
        <f>IF(B$17=0,0,G12/B$17)</f>
        <v>7.3913043478260873E-2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4" t="s">
        <v>121</v>
      </c>
      <c r="B13" s="47">
        <v>214</v>
      </c>
      <c r="C13" s="42">
        <f>IF(B$3=0,0,B13/B$3)</f>
        <v>0.26716604244694131</v>
      </c>
      <c r="E13" s="59" t="s">
        <v>86</v>
      </c>
      <c r="F13" s="56" t="s">
        <v>41</v>
      </c>
      <c r="G13" s="44">
        <v>13</v>
      </c>
      <c r="H13" s="129">
        <f>IF(B$17=0,0,G13/B$17)</f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177</v>
      </c>
      <c r="C14" s="37">
        <f>IF(B$3=0,0,B14/B$3)</f>
        <v>0.22097378277153559</v>
      </c>
      <c r="E14" s="59" t="s">
        <v>83</v>
      </c>
      <c r="F14" s="56" t="s">
        <v>38</v>
      </c>
      <c r="G14" s="44">
        <v>8</v>
      </c>
      <c r="H14" s="129">
        <f>IF(B$17=0,0,G14/B$17)</f>
        <v>3.4782608695652174E-2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122</v>
      </c>
      <c r="C15" s="35">
        <f>IF(B$13=0,0,B15/B$13)</f>
        <v>0.57009345794392519</v>
      </c>
      <c r="E15" s="59" t="s">
        <v>79</v>
      </c>
      <c r="F15" s="56" t="s">
        <v>34</v>
      </c>
      <c r="G15" s="44">
        <v>6</v>
      </c>
      <c r="H15" s="129">
        <f>IF(B$17=0,0,G15/B$17)</f>
        <v>2.6086956521739129E-2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75</v>
      </c>
      <c r="C16" s="35">
        <f>IF(B$14=0,0,B16/B$14)</f>
        <v>0.42372881355932202</v>
      </c>
      <c r="E16" s="59" t="s">
        <v>167</v>
      </c>
      <c r="F16" s="56" t="s">
        <v>168</v>
      </c>
      <c r="G16" s="44">
        <v>6</v>
      </c>
      <c r="H16" s="129">
        <f>IF(B$17=0,0,G16/B$17)</f>
        <v>2.6086956521739129E-2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230</v>
      </c>
      <c r="C17" s="35">
        <f>IF(B$3=0,0,B17/B$3)</f>
        <v>0.28714107365792757</v>
      </c>
      <c r="E17" s="59" t="s">
        <v>73</v>
      </c>
      <c r="F17" s="56" t="s">
        <v>28</v>
      </c>
      <c r="G17" s="44">
        <v>4</v>
      </c>
      <c r="H17" s="129">
        <f>IF(B$17=0,0,G17/B$17)</f>
        <v>1.7391304347826087E-2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">
      <c r="A18" s="51" t="s">
        <v>12</v>
      </c>
      <c r="B18" s="44">
        <v>104</v>
      </c>
      <c r="C18" s="37">
        <f>IF(B$17=0,0,B18/B$17)</f>
        <v>0.45217391304347826</v>
      </c>
      <c r="E18" s="59" t="s">
        <v>78</v>
      </c>
      <c r="F18" s="56" t="s">
        <v>33</v>
      </c>
      <c r="G18" s="44">
        <v>3</v>
      </c>
      <c r="H18" s="129">
        <f>IF(B$17=0,0,G18/B$17)</f>
        <v>1.3043478260869565E-2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13.965000000000003</v>
      </c>
      <c r="P18" s="115">
        <v>20</v>
      </c>
      <c r="Q18" s="103">
        <v>279.30000000000007</v>
      </c>
    </row>
    <row r="19" spans="1:17" x14ac:dyDescent="0.4">
      <c r="A19" s="51" t="s">
        <v>11</v>
      </c>
      <c r="B19" s="44">
        <v>126</v>
      </c>
      <c r="C19" s="37">
        <f>IF(B$17=0,0,B19/B$17)</f>
        <v>0.54782608695652169</v>
      </c>
      <c r="E19" s="59" t="s">
        <v>81</v>
      </c>
      <c r="F19" s="56" t="s">
        <v>36</v>
      </c>
      <c r="G19" s="44">
        <v>3</v>
      </c>
      <c r="H19" s="129">
        <f>IF(B$17=0,0,G19/B$17)</f>
        <v>1.3043478260869565E-2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110</v>
      </c>
      <c r="C20" s="37">
        <f>IF(B$3=0,0,B20/B$3)</f>
        <v>0.13732833957553059</v>
      </c>
      <c r="E20" s="59" t="s">
        <v>91</v>
      </c>
      <c r="F20" s="56" t="s">
        <v>46</v>
      </c>
      <c r="G20" s="44">
        <v>2</v>
      </c>
      <c r="H20" s="129">
        <f>IF(B$17=0,0,G20/B$17)</f>
        <v>8.6956521739130436E-3</v>
      </c>
      <c r="I20" s="90">
        <v>6</v>
      </c>
      <c r="K20" s="36">
        <v>18</v>
      </c>
      <c r="L20" s="95">
        <v>-62.399999999999991</v>
      </c>
      <c r="N20" s="111" t="s">
        <v>166</v>
      </c>
      <c r="O20" s="121">
        <f>IF(P20=0,0,Q20/P20)</f>
        <v>1.6833333333333331</v>
      </c>
      <c r="P20" s="115">
        <v>18</v>
      </c>
      <c r="Q20" s="103">
        <v>30.299999999999997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">
      <c r="A22" s="51" t="s">
        <v>170</v>
      </c>
      <c r="B22" s="44">
        <v>44</v>
      </c>
      <c r="C22" s="131">
        <v>3</v>
      </c>
      <c r="E22" s="59" t="s">
        <v>75</v>
      </c>
      <c r="F22" s="56" t="s">
        <v>30</v>
      </c>
      <c r="G22" s="44">
        <v>1</v>
      </c>
      <c r="H22" s="129">
        <f>IF(B$17=0,0,G22/B$17)</f>
        <v>4.3478260869565218E-3</v>
      </c>
      <c r="I22" s="90">
        <v>8</v>
      </c>
      <c r="K22" s="36">
        <v>20</v>
      </c>
      <c r="L22" s="95">
        <v>-93.199999999999989</v>
      </c>
      <c r="N22" s="111" t="s">
        <v>177</v>
      </c>
      <c r="O22" s="121">
        <f>IF(P22=0,0,Q22/P22)</f>
        <v>-10.602564102564102</v>
      </c>
      <c r="P22" s="115">
        <v>39</v>
      </c>
      <c r="Q22" s="103">
        <v>-413.5</v>
      </c>
    </row>
    <row r="23" spans="1:17" x14ac:dyDescent="0.4">
      <c r="A23" s="51" t="s">
        <v>5</v>
      </c>
      <c r="B23" s="48">
        <f>IF(B$17=0,0,C23/B$17)</f>
        <v>8340.8695652173919</v>
      </c>
      <c r="C23" s="39">
        <v>1918400</v>
      </c>
      <c r="E23" s="59" t="s">
        <v>85</v>
      </c>
      <c r="F23" s="56" t="s">
        <v>40</v>
      </c>
      <c r="G23" s="44">
        <v>1</v>
      </c>
      <c r="H23" s="129">
        <f>IF(B$17=0,0,G23/B$17)</f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>IF(P23=0,0,Q23/P23)</f>
        <v>-18.067346938775508</v>
      </c>
      <c r="P23" s="115">
        <v>49</v>
      </c>
      <c r="Q23" s="103">
        <v>-885.3</v>
      </c>
    </row>
    <row r="24" spans="1:17" x14ac:dyDescent="0.4">
      <c r="A24" s="52" t="s">
        <v>216</v>
      </c>
      <c r="B24" s="136">
        <f>IF($B$17-B$16=0,0,C24/($B$17-B$16))</f>
        <v>9310.322580645161</v>
      </c>
      <c r="C24" s="137">
        <v>1443100</v>
      </c>
      <c r="E24" s="59" t="s">
        <v>87</v>
      </c>
      <c r="F24" s="56" t="s">
        <v>42</v>
      </c>
      <c r="G24" s="44">
        <v>1</v>
      </c>
      <c r="H24" s="129">
        <f>IF(B$17=0,0,G24/B$17)</f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6337.333333333333</v>
      </c>
      <c r="C25" s="137">
        <v>475300</v>
      </c>
      <c r="E25" s="59" t="s">
        <v>88</v>
      </c>
      <c r="F25" s="56" t="s">
        <v>43</v>
      </c>
      <c r="G25" s="44">
        <v>1</v>
      </c>
      <c r="H25" s="129">
        <f>IF(B$17=0,0,G25/B$17)</f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-7714.545454545455</v>
      </c>
      <c r="C26" s="137">
        <v>-848600</v>
      </c>
      <c r="E26" s="59" t="s">
        <v>93</v>
      </c>
      <c r="F26" s="56" t="s">
        <v>48</v>
      </c>
      <c r="G26" s="44">
        <v>1</v>
      </c>
      <c r="H26" s="129">
        <f>IF(B$17=0,0,G26/B$17)</f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87000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2.4968789013732834E-3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topLeftCell="B1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54</v>
      </c>
      <c r="H2" s="128">
        <f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0">
        <v>334</v>
      </c>
      <c r="C3" s="151"/>
      <c r="E3" s="59" t="s">
        <v>72</v>
      </c>
      <c r="F3" s="56" t="s">
        <v>27</v>
      </c>
      <c r="G3" s="44">
        <v>50</v>
      </c>
      <c r="H3" s="129">
        <f>IF(B$17=0,0,G3/B$17)</f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2">
        <v>-624.80000000000007</v>
      </c>
      <c r="C4" s="153"/>
      <c r="E4" s="59" t="s">
        <v>64</v>
      </c>
      <c r="F4" s="56" t="s">
        <v>20</v>
      </c>
      <c r="G4" s="44">
        <v>35</v>
      </c>
      <c r="H4" s="129">
        <f>IF(B$17=0,0,G4/B$17)</f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54">
        <f>IF(B$2=0,0,B$4/B$2)</f>
        <v>-15.239024390243904</v>
      </c>
      <c r="C5" s="155"/>
      <c r="E5" s="59" t="s">
        <v>171</v>
      </c>
      <c r="F5" s="56" t="s">
        <v>172</v>
      </c>
      <c r="G5" s="44">
        <v>30</v>
      </c>
      <c r="H5" s="129">
        <f>IF(B$17=0,0,G5/B$17)</f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44">
        <f>IF(B$2=0,0,(B$7*1+B$8*2+B$9*3)/B$2)</f>
        <v>2.4146341463414633</v>
      </c>
      <c r="C6" s="145"/>
      <c r="E6" s="59" t="s">
        <v>68</v>
      </c>
      <c r="F6" s="56" t="s">
        <v>12</v>
      </c>
      <c r="G6" s="44">
        <v>24</v>
      </c>
      <c r="H6" s="129">
        <f>IF(B$17=0,0,G6/B$17)</f>
        <v>0.28915662650602408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0.14634146341463414</v>
      </c>
      <c r="E7" s="59" t="s">
        <v>67</v>
      </c>
      <c r="F7" s="56" t="s">
        <v>23</v>
      </c>
      <c r="G7" s="44">
        <v>21</v>
      </c>
      <c r="H7" s="129">
        <f>IF(B$17=0,0,G7/B$17)</f>
        <v>0.25301204819277107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-3571.4285714285716</v>
      </c>
      <c r="P7" s="116">
        <v>28</v>
      </c>
      <c r="Q7" s="100">
        <v>-100000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12</v>
      </c>
      <c r="H8" s="129">
        <f>IF(B$17=0,0,G8/B$17)</f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0.56097560975609762</v>
      </c>
      <c r="E9" s="59" t="s">
        <v>70</v>
      </c>
      <c r="F9" s="56" t="s">
        <v>25</v>
      </c>
      <c r="G9" s="44">
        <v>10</v>
      </c>
      <c r="H9" s="129">
        <f>IF(B$17=0,0,G9/B$17)</f>
        <v>0.12048192771084337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9</v>
      </c>
      <c r="C10" s="38">
        <f t="shared" si="1"/>
        <v>0.21951219512195122</v>
      </c>
      <c r="E10" s="59" t="s">
        <v>65</v>
      </c>
      <c r="F10" s="56" t="s">
        <v>21</v>
      </c>
      <c r="G10" s="44">
        <v>9</v>
      </c>
      <c r="H10" s="129">
        <f>IF(B$17=0,0,G10/B$17)</f>
        <v>0.10843373493975904</v>
      </c>
      <c r="I10" s="90">
        <v>6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2.4390243902439025E-2</v>
      </c>
      <c r="E11" s="59" t="s">
        <v>71</v>
      </c>
      <c r="F11" s="56" t="s">
        <v>26</v>
      </c>
      <c r="G11" s="44">
        <v>8</v>
      </c>
      <c r="H11" s="129">
        <f>IF(B$17=0,0,G11/B$17)</f>
        <v>9.6385542168674704E-2</v>
      </c>
      <c r="I11" s="90">
        <v>4</v>
      </c>
      <c r="K11" s="36">
        <v>9</v>
      </c>
      <c r="L11" s="95">
        <v>-150.6</v>
      </c>
      <c r="N11" s="111" t="s">
        <v>163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3" t="s">
        <v>158</v>
      </c>
      <c r="B12" s="46">
        <v>1</v>
      </c>
      <c r="C12" s="40">
        <f t="shared" si="1"/>
        <v>2.4390243902439025E-2</v>
      </c>
      <c r="E12" s="59" t="s">
        <v>69</v>
      </c>
      <c r="F12" s="56" t="s">
        <v>24</v>
      </c>
      <c r="G12" s="44">
        <v>6</v>
      </c>
      <c r="H12" s="129">
        <f>IF(B$17=0,0,G12/B$17)</f>
        <v>7.2289156626506021E-2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4" t="s">
        <v>121</v>
      </c>
      <c r="B13" s="47">
        <v>69</v>
      </c>
      <c r="C13" s="42">
        <f>IF(B$3=0,0,B13/B$3)</f>
        <v>0.20658682634730538</v>
      </c>
      <c r="E13" s="59" t="s">
        <v>83</v>
      </c>
      <c r="F13" s="56" t="s">
        <v>38</v>
      </c>
      <c r="G13" s="44">
        <v>6</v>
      </c>
      <c r="H13" s="129">
        <f>IF(B$17=0,0,G13/B$17)</f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</v>
      </c>
      <c r="C14" s="37">
        <f>IF(B$3=0,0,B14/B$3)</f>
        <v>0.22155688622754491</v>
      </c>
      <c r="E14" s="59" t="s">
        <v>86</v>
      </c>
      <c r="F14" s="56" t="s">
        <v>41</v>
      </c>
      <c r="G14" s="44">
        <v>5</v>
      </c>
      <c r="H14" s="129">
        <f>IF(B$17=0,0,G14/B$17)</f>
        <v>6.0240963855421686E-2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81</v>
      </c>
      <c r="F15" s="56" t="s">
        <v>36</v>
      </c>
      <c r="G15" s="44">
        <v>2</v>
      </c>
      <c r="H15" s="129">
        <f>IF(B$17=0,0,G15/B$17)</f>
        <v>2.4096385542168676E-2</v>
      </c>
      <c r="I15" s="90">
        <v>3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31</v>
      </c>
      <c r="C16" s="35">
        <f>IF(B$14=0,0,B16/B$14)</f>
        <v>0.41891891891891891</v>
      </c>
      <c r="E16" s="59" t="s">
        <v>74</v>
      </c>
      <c r="F16" s="56" t="s">
        <v>29</v>
      </c>
      <c r="G16" s="44">
        <v>1</v>
      </c>
      <c r="H16" s="129">
        <f>IF(B$17=0,0,G16/B$17)</f>
        <v>1.2048192771084338E-2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-17.12777777777778</v>
      </c>
      <c r="P16" s="115">
        <v>18</v>
      </c>
      <c r="Q16" s="103">
        <v>-308.3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0.24850299401197604</v>
      </c>
      <c r="E17" s="59" t="s">
        <v>78</v>
      </c>
      <c r="F17" s="56" t="s">
        <v>33</v>
      </c>
      <c r="G17" s="44">
        <v>1</v>
      </c>
      <c r="H17" s="129">
        <f>IF(B$17=0,0,G17/B$17)</f>
        <v>1.2048192771084338E-2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40</v>
      </c>
      <c r="C18" s="37">
        <f>IF(B$17=0,0,B18/B$17)</f>
        <v>0.48192771084337349</v>
      </c>
      <c r="E18" s="59" t="s">
        <v>91</v>
      </c>
      <c r="F18" s="56" t="s">
        <v>46</v>
      </c>
      <c r="G18" s="44">
        <v>1</v>
      </c>
      <c r="H18" s="129">
        <f>IF(B$17=0,0,G18/B$17)</f>
        <v>1.2048192771084338E-2</v>
      </c>
      <c r="I18" s="90">
        <v>5</v>
      </c>
      <c r="K18" s="36">
        <v>16</v>
      </c>
      <c r="L18" s="95">
        <v>-320.30000000000007</v>
      </c>
      <c r="N18" s="111" t="s">
        <v>178</v>
      </c>
      <c r="O18" s="121">
        <f t="shared" si="2"/>
        <v>-25.104347826086954</v>
      </c>
      <c r="P18" s="115">
        <v>23</v>
      </c>
      <c r="Q18" s="103">
        <v>-577.4</v>
      </c>
    </row>
    <row r="19" spans="1:17" x14ac:dyDescent="0.4">
      <c r="A19" s="51" t="s">
        <v>11</v>
      </c>
      <c r="B19" s="44">
        <v>43</v>
      </c>
      <c r="C19" s="37">
        <f>IF(B$17=0,0,B19/B$17)</f>
        <v>0.51807228915662651</v>
      </c>
      <c r="E19" s="59" t="s">
        <v>95</v>
      </c>
      <c r="F19" s="56" t="s">
        <v>50</v>
      </c>
      <c r="G19" s="44">
        <v>1</v>
      </c>
      <c r="H19" s="129">
        <f>IF(B$17=0,0,G19/B$17)</f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63</v>
      </c>
      <c r="C20" s="37">
        <f>IF(B$3=0,0,B20/B$3)</f>
        <v>0.18862275449101795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2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7730.1204819277109</v>
      </c>
      <c r="C23" s="39">
        <v>641600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8138.4615384615381</v>
      </c>
      <c r="C24" s="137">
        <v>423200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7045.1612903225805</v>
      </c>
      <c r="C25" s="137">
        <v>218400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-8312.6984126984134</v>
      </c>
      <c r="C26" s="137">
        <v>-523700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2.9940119760479044E-3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-570.10000000000014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-524.90000000000009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-573.70000000000005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-624.80000000000007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E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24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0">
        <v>229</v>
      </c>
      <c r="C3" s="151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2">
        <v>2.1999999999999957</v>
      </c>
      <c r="C4" s="153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54">
        <f>IF(B$2=0,0,B$4/B$2)</f>
        <v>9.1666666666666494E-2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3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topLeftCell="B1" zoomScaleNormal="100" workbookViewId="0">
      <selection activeCell="N16" sqref="N16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5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2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9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  <row r="41" spans="1:17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2.6315789473684209E-2</v>
      </c>
      <c r="M41" s="63">
        <v>0.189873417721519</v>
      </c>
      <c r="N41" s="63">
        <v>0.22468354430379747</v>
      </c>
      <c r="O41" s="63">
        <v>0.53333333333333333</v>
      </c>
      <c r="P41" s="63">
        <v>0.40845070422535212</v>
      </c>
      <c r="Q41" s="63">
        <v>0.48051948051948051</v>
      </c>
    </row>
    <row r="42" spans="1:17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2.564102564102564E-2</v>
      </c>
      <c r="M42" s="63">
        <v>0.19135802469135801</v>
      </c>
      <c r="N42" s="63">
        <v>0.22839506172839505</v>
      </c>
      <c r="O42" s="63">
        <v>0.54838709677419351</v>
      </c>
      <c r="P42" s="63">
        <v>0.41891891891891891</v>
      </c>
      <c r="Q42" s="63">
        <v>0.49382716049382713</v>
      </c>
    </row>
    <row r="43" spans="1:17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2.5000000000000001E-2</v>
      </c>
      <c r="M43" s="63">
        <v>0.19877675840978593</v>
      </c>
      <c r="N43" s="63">
        <v>0.22629969418960244</v>
      </c>
      <c r="O43" s="63">
        <v>0.53846153846153844</v>
      </c>
      <c r="P43" s="63">
        <v>0.41891891891891891</v>
      </c>
      <c r="Q43" s="63">
        <v>0.48780487804878048</v>
      </c>
    </row>
    <row r="44" spans="1:17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2.4390243902439025E-2</v>
      </c>
      <c r="M44" s="63">
        <v>0.20658682634730538</v>
      </c>
      <c r="N44" s="63">
        <v>0.22155688622754491</v>
      </c>
      <c r="O44" s="63">
        <v>0.52173913043478259</v>
      </c>
      <c r="P44" s="63">
        <v>0.41891891891891891</v>
      </c>
      <c r="Q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1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  <row r="96" spans="1:17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8.6021505376344093E-2</v>
      </c>
      <c r="M96" s="63">
        <v>0.27052489905787347</v>
      </c>
      <c r="N96" s="63">
        <v>0.21938088829071331</v>
      </c>
      <c r="O96" s="63">
        <v>0.58208955223880599</v>
      </c>
      <c r="P96" s="63">
        <v>0.41717791411042943</v>
      </c>
      <c r="Q96" s="63">
        <v>0.46046511627906977</v>
      </c>
    </row>
    <row r="97" spans="1:17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8.5106382978723402E-2</v>
      </c>
      <c r="M97" s="63">
        <v>0.27030625832223704</v>
      </c>
      <c r="N97" s="63">
        <v>0.21970705725699069</v>
      </c>
      <c r="O97" s="63">
        <v>0.58128078817733986</v>
      </c>
      <c r="P97" s="63">
        <v>0.41212121212121211</v>
      </c>
      <c r="Q97" s="63">
        <v>0.45622119815668205</v>
      </c>
    </row>
    <row r="98" spans="1:17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9.4736842105263161E-2</v>
      </c>
      <c r="M98" s="63">
        <v>0.27055702917771884</v>
      </c>
      <c r="N98" s="63">
        <v>0.21883289124668434</v>
      </c>
      <c r="O98" s="63">
        <v>0.58333333333333337</v>
      </c>
      <c r="P98" s="63">
        <v>0.41212121212121211</v>
      </c>
      <c r="Q98" s="63">
        <v>0.45412844036697247</v>
      </c>
    </row>
    <row r="99" spans="1:17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9.375E-2</v>
      </c>
      <c r="M99" s="63">
        <v>0.26938239159001315</v>
      </c>
      <c r="N99" s="63">
        <v>0.21944809461235218</v>
      </c>
      <c r="O99" s="63">
        <v>0.58536585365853655</v>
      </c>
      <c r="P99" s="63">
        <v>0.41317365269461076</v>
      </c>
      <c r="Q99" s="63">
        <v>0.45248868778280543</v>
      </c>
    </row>
    <row r="100" spans="1:17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9.2783505154639179E-2</v>
      </c>
      <c r="M100" s="63">
        <v>0.26848249027237353</v>
      </c>
      <c r="N100" s="63">
        <v>0.21789883268482491</v>
      </c>
      <c r="O100" s="63">
        <v>0.57971014492753625</v>
      </c>
      <c r="P100" s="63">
        <v>0.4107142857142857</v>
      </c>
      <c r="Q100" s="63">
        <v>0.45495495495495497</v>
      </c>
    </row>
    <row r="101" spans="1:17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9.1836734693877556E-2</v>
      </c>
      <c r="M101" s="63">
        <v>0.26632522407170295</v>
      </c>
      <c r="N101" s="63">
        <v>0.22023047375160051</v>
      </c>
      <c r="O101" s="63">
        <v>0.58173076923076927</v>
      </c>
      <c r="P101" s="63">
        <v>0.41860465116279072</v>
      </c>
      <c r="Q101" s="63">
        <v>0.44690265486725661</v>
      </c>
    </row>
    <row r="102" spans="1:17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9.0909090909090912E-2</v>
      </c>
      <c r="M102" s="63">
        <v>0.26767676767676768</v>
      </c>
      <c r="N102" s="63">
        <v>0.2196969696969697</v>
      </c>
      <c r="O102" s="63">
        <v>0.57075471698113212</v>
      </c>
      <c r="P102" s="63">
        <v>0.42528735632183906</v>
      </c>
      <c r="Q102" s="63">
        <v>0.44736842105263158</v>
      </c>
    </row>
    <row r="103" spans="1:17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0.09</v>
      </c>
      <c r="M103" s="63">
        <v>0.26716604244694131</v>
      </c>
      <c r="N103" s="63">
        <v>0.22097378277153559</v>
      </c>
      <c r="O103" s="63">
        <v>0.57009345794392519</v>
      </c>
      <c r="P103" s="63">
        <v>0.42372881355932202</v>
      </c>
      <c r="Q103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  <row r="70" spans="1:17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0.17910447761194029</v>
      </c>
      <c r="M70" s="63">
        <v>0.31760435571687839</v>
      </c>
      <c r="N70" s="63">
        <v>0.17785843920145192</v>
      </c>
      <c r="O70" s="63">
        <v>0.55428571428571427</v>
      </c>
      <c r="P70" s="63">
        <v>0.44897959183673469</v>
      </c>
      <c r="Q70" s="63">
        <v>0.47499999999999998</v>
      </c>
    </row>
    <row r="71" spans="1:17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0.19117647058823528</v>
      </c>
      <c r="M71" s="63">
        <v>0.31899641577060933</v>
      </c>
      <c r="N71" s="63">
        <v>0.17921146953405018</v>
      </c>
      <c r="O71" s="63">
        <v>0.5561797752808989</v>
      </c>
      <c r="P71" s="63">
        <v>0.45</v>
      </c>
      <c r="Q71" s="63">
        <v>0.48170731707317072</v>
      </c>
    </row>
    <row r="72" spans="1:17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0.18840579710144928</v>
      </c>
      <c r="M72" s="63">
        <v>0.31802120141342755</v>
      </c>
      <c r="N72" s="63">
        <v>0.17667844522968199</v>
      </c>
      <c r="O72" s="63">
        <v>0.55555555555555558</v>
      </c>
      <c r="P72" s="63">
        <v>0.45</v>
      </c>
      <c r="Q72" s="63">
        <v>0.48484848484848486</v>
      </c>
    </row>
    <row r="73" spans="1:17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0.18571428571428572</v>
      </c>
      <c r="M73" s="63">
        <v>0.31533101045296169</v>
      </c>
      <c r="N73" s="63">
        <v>0.17944250871080139</v>
      </c>
      <c r="O73" s="63">
        <v>0.55801104972375692</v>
      </c>
      <c r="P73" s="63">
        <v>0.43689320388349512</v>
      </c>
      <c r="Q73" s="63">
        <v>0.48192771084337349</v>
      </c>
    </row>
    <row r="74" spans="1:17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0.18309859154929578</v>
      </c>
      <c r="M74" s="63">
        <v>0.31715771230502598</v>
      </c>
      <c r="N74" s="63">
        <v>0.17850953206239167</v>
      </c>
      <c r="O74" s="63">
        <v>0.55737704918032782</v>
      </c>
      <c r="P74" s="63">
        <v>0.43689320388349512</v>
      </c>
      <c r="Q74" s="63">
        <v>0.47904191616766467</v>
      </c>
    </row>
    <row r="75" spans="1:17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0.19444444444444445</v>
      </c>
      <c r="M75" s="63">
        <v>0.3202054794520548</v>
      </c>
      <c r="N75" s="63">
        <v>0.17636986301369864</v>
      </c>
      <c r="O75" s="63">
        <v>0.56149732620320858</v>
      </c>
      <c r="P75" s="63">
        <v>0.43689320388349512</v>
      </c>
      <c r="Q75" s="63">
        <v>0.47647058823529409</v>
      </c>
    </row>
    <row r="76" spans="1:17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0.19178082191780821</v>
      </c>
      <c r="M76" s="63">
        <v>0.32081911262798635</v>
      </c>
      <c r="N76" s="63">
        <v>0.17576791808873721</v>
      </c>
      <c r="O76" s="63">
        <v>0.55851063829787229</v>
      </c>
      <c r="P76" s="63">
        <v>0.43689320388349512</v>
      </c>
      <c r="Q76" s="63">
        <v>0.47647058823529409</v>
      </c>
    </row>
    <row r="77" spans="1:17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0.1891891891891892</v>
      </c>
      <c r="M77" s="63">
        <v>0.31871838111298484</v>
      </c>
      <c r="N77" s="63">
        <v>0.17537942664418213</v>
      </c>
      <c r="O77" s="63">
        <v>0.55555555555555558</v>
      </c>
      <c r="P77" s="63">
        <v>0.43269230769230771</v>
      </c>
      <c r="Q77" s="63">
        <v>0.47647058823529409</v>
      </c>
    </row>
    <row r="78" spans="1:17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0.18666666666666668</v>
      </c>
      <c r="M78" s="63">
        <v>0.31788079470198677</v>
      </c>
      <c r="N78" s="63">
        <v>0.17549668874172186</v>
      </c>
      <c r="O78" s="63">
        <v>0.55208333333333337</v>
      </c>
      <c r="P78" s="63">
        <v>0.42452830188679247</v>
      </c>
      <c r="Q78" s="63">
        <v>0.47674418604651164</v>
      </c>
    </row>
    <row r="79" spans="1:17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0.18421052631578946</v>
      </c>
      <c r="M79" s="63">
        <v>0.315359477124183</v>
      </c>
      <c r="N79" s="63">
        <v>0.1781045751633987</v>
      </c>
      <c r="O79" s="63">
        <v>0.54922279792746109</v>
      </c>
      <c r="P79" s="63">
        <v>0.42201834862385323</v>
      </c>
      <c r="Q79" s="63">
        <v>0.48275862068965519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7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  <row r="71" spans="1:17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2.9411764705882353E-2</v>
      </c>
      <c r="M71" s="63">
        <v>0.28869565217391302</v>
      </c>
      <c r="N71" s="63">
        <v>0.19130434782608696</v>
      </c>
      <c r="O71" s="63">
        <v>0.57228915662650603</v>
      </c>
      <c r="P71" s="63">
        <v>0.40909090909090912</v>
      </c>
      <c r="Q71" s="63">
        <v>0.4567901234567901</v>
      </c>
    </row>
    <row r="72" spans="1:17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2.8985507246376812E-2</v>
      </c>
      <c r="M72" s="63">
        <v>0.28694158075601373</v>
      </c>
      <c r="N72" s="63">
        <v>0.19243986254295534</v>
      </c>
      <c r="O72" s="63">
        <v>0.56886227544910184</v>
      </c>
      <c r="P72" s="63">
        <v>0.4107142857142857</v>
      </c>
      <c r="Q72" s="63">
        <v>0.45398773006134968</v>
      </c>
    </row>
    <row r="73" spans="1:17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2.8571428571428571E-2</v>
      </c>
      <c r="M73" s="63">
        <v>0.28499156829679595</v>
      </c>
      <c r="N73" s="63">
        <v>0.19224283305227655</v>
      </c>
      <c r="O73" s="63">
        <v>0.57396449704142016</v>
      </c>
      <c r="P73" s="63">
        <v>0.41228070175438597</v>
      </c>
      <c r="Q73" s="63">
        <v>0.45783132530120479</v>
      </c>
    </row>
    <row r="74" spans="1:17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2.8169014084507043E-2</v>
      </c>
      <c r="M74" s="63">
        <v>0.28524046434494194</v>
      </c>
      <c r="N74" s="63">
        <v>0.19237147595356552</v>
      </c>
      <c r="O74" s="63">
        <v>0.57558139534883723</v>
      </c>
      <c r="P74" s="63">
        <v>0.40517241379310343</v>
      </c>
      <c r="Q74" s="63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1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  <row r="110" spans="1:17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9.3457943925233641E-2</v>
      </c>
      <c r="M110" s="63">
        <v>0.23085460599334073</v>
      </c>
      <c r="N110" s="63">
        <v>0.30410654827968925</v>
      </c>
      <c r="O110" s="63">
        <v>0.50480769230769229</v>
      </c>
      <c r="P110" s="63">
        <v>0.36861313868613138</v>
      </c>
      <c r="Q110" s="63">
        <v>0.40808823529411764</v>
      </c>
    </row>
    <row r="111" spans="1:17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9.2592592592592587E-2</v>
      </c>
      <c r="M111" s="63">
        <v>0.23017621145374451</v>
      </c>
      <c r="N111" s="63">
        <v>0.30616740088105726</v>
      </c>
      <c r="O111" s="63">
        <v>0.50239234449760761</v>
      </c>
      <c r="P111" s="63">
        <v>0.37050359712230213</v>
      </c>
      <c r="Q111" s="63">
        <v>0.4051094890510949</v>
      </c>
    </row>
    <row r="112" spans="1:17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0.10091743119266056</v>
      </c>
      <c r="M112" s="63">
        <v>0.22967032967032966</v>
      </c>
      <c r="N112" s="63">
        <v>0.30659340659340661</v>
      </c>
      <c r="O112" s="63">
        <v>0.50239234449760761</v>
      </c>
      <c r="P112" s="63">
        <v>0.36917562724014336</v>
      </c>
      <c r="Q112" s="63">
        <v>0.40363636363636363</v>
      </c>
    </row>
    <row r="113" spans="1:17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0.10909090909090909</v>
      </c>
      <c r="M113" s="63">
        <v>0.23009814612868049</v>
      </c>
      <c r="N113" s="63">
        <v>0.3075245365321701</v>
      </c>
      <c r="O113" s="63">
        <v>0.50236966824644547</v>
      </c>
      <c r="P113" s="63">
        <v>0.37234042553191488</v>
      </c>
      <c r="Q113" s="63">
        <v>0.4050179211469534</v>
      </c>
    </row>
    <row r="114" spans="1:17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0.10810810810810811</v>
      </c>
      <c r="M114" s="63">
        <v>0.23060344827586207</v>
      </c>
      <c r="N114" s="63">
        <v>0.30926724137931033</v>
      </c>
      <c r="O114" s="63">
        <v>0.5</v>
      </c>
      <c r="P114" s="63">
        <v>0.37630662020905925</v>
      </c>
      <c r="Q114" s="63">
        <v>0.40636042402826855</v>
      </c>
    </row>
    <row r="115" spans="1:17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0.10714285714285714</v>
      </c>
      <c r="M115" s="63">
        <v>0.23019271948608136</v>
      </c>
      <c r="N115" s="63">
        <v>0.30942184154175589</v>
      </c>
      <c r="O115" s="63">
        <v>0.50232558139534889</v>
      </c>
      <c r="P115" s="63">
        <v>0.37370242214532873</v>
      </c>
      <c r="Q115" s="63">
        <v>0.40701754385964911</v>
      </c>
    </row>
    <row r="116" spans="1:17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0.10619469026548672</v>
      </c>
      <c r="M116" s="63">
        <v>0.2288135593220339</v>
      </c>
      <c r="N116" s="63">
        <v>0.3114406779661017</v>
      </c>
      <c r="O116" s="63">
        <v>0.5</v>
      </c>
      <c r="P116" s="63">
        <v>0.37755102040816324</v>
      </c>
      <c r="Q116" s="63">
        <v>0.40830449826989618</v>
      </c>
    </row>
    <row r="117" spans="1:17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0.10526315789473684</v>
      </c>
      <c r="M117" s="63">
        <v>0.22827225130890053</v>
      </c>
      <c r="N117" s="63">
        <v>0.31308900523560207</v>
      </c>
      <c r="O117" s="63">
        <v>0.5</v>
      </c>
      <c r="P117" s="63">
        <v>0.38127090301003347</v>
      </c>
      <c r="Q117" s="63">
        <v>0.40476190476190477</v>
      </c>
    </row>
    <row r="118" spans="1:17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0.10434782608695652</v>
      </c>
      <c r="M118" s="63">
        <v>0.22821576763485477</v>
      </c>
      <c r="N118" s="63">
        <v>0.31120331950207469</v>
      </c>
      <c r="O118" s="63">
        <v>0.49545454545454548</v>
      </c>
      <c r="P118" s="63">
        <v>0.38333333333333336</v>
      </c>
      <c r="Q118" s="63">
        <v>0.40404040404040403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  <row r="125" spans="1:17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0.12295081967213115</v>
      </c>
      <c r="M125" s="63">
        <v>0.27144298688193741</v>
      </c>
      <c r="N125" s="63">
        <v>0.22401614530776992</v>
      </c>
      <c r="O125" s="63">
        <v>0.60223048327137552</v>
      </c>
      <c r="P125" s="63">
        <v>0.48648648648648651</v>
      </c>
      <c r="Q125" s="63">
        <v>0.41812865497076024</v>
      </c>
    </row>
    <row r="126" spans="1:17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0.12195121951219512</v>
      </c>
      <c r="M126" s="63">
        <v>0.27081243731193583</v>
      </c>
      <c r="N126" s="63">
        <v>0.22668004012036108</v>
      </c>
      <c r="O126" s="63">
        <v>0.6</v>
      </c>
      <c r="P126" s="63">
        <v>0.47787610619469029</v>
      </c>
      <c r="Q126" s="63">
        <v>0.41812865497076024</v>
      </c>
    </row>
    <row r="127" spans="1:17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0.12096774193548387</v>
      </c>
      <c r="M127" s="63">
        <v>0.27110228401191661</v>
      </c>
      <c r="N127" s="63">
        <v>0.22740814299900694</v>
      </c>
      <c r="O127" s="63">
        <v>0.60073260073260071</v>
      </c>
      <c r="P127" s="63">
        <v>0.4759825327510917</v>
      </c>
      <c r="Q127" s="63">
        <v>0.41739130434782606</v>
      </c>
    </row>
    <row r="128" spans="1:17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0.12</v>
      </c>
      <c r="M128" s="63">
        <v>0.27013752455795675</v>
      </c>
      <c r="N128" s="63">
        <v>0.22888015717092339</v>
      </c>
      <c r="O128" s="63">
        <v>0.6</v>
      </c>
      <c r="P128" s="63">
        <v>0.47210300429184548</v>
      </c>
      <c r="Q128" s="63">
        <v>0.41954022988505746</v>
      </c>
    </row>
    <row r="129" spans="1:17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0.11904761904761904</v>
      </c>
      <c r="M129" s="63">
        <v>0.26971762414800388</v>
      </c>
      <c r="N129" s="63">
        <v>0.22979552093476144</v>
      </c>
      <c r="O129" s="63">
        <v>0.6028880866425993</v>
      </c>
      <c r="P129" s="63">
        <v>0.47457627118644069</v>
      </c>
      <c r="Q129" s="63">
        <v>0.42329545454545453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  <row r="55" spans="1:17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3.8461538461538464E-2</v>
      </c>
      <c r="M55" s="63">
        <v>0.15203426124197003</v>
      </c>
      <c r="N55" s="63">
        <v>0.23126338329764454</v>
      </c>
      <c r="O55" s="63">
        <v>0.49295774647887325</v>
      </c>
      <c r="P55" s="63">
        <v>0.37037037037037035</v>
      </c>
      <c r="Q55" s="63">
        <v>0.41322314049586778</v>
      </c>
    </row>
    <row r="56" spans="1:17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3.7735849056603772E-2</v>
      </c>
      <c r="M56" s="63">
        <v>0.14978902953586498</v>
      </c>
      <c r="N56" s="63">
        <v>0.23417721518987342</v>
      </c>
      <c r="O56" s="63">
        <v>0.49295774647887325</v>
      </c>
      <c r="P56" s="63">
        <v>0.36936936936936937</v>
      </c>
      <c r="Q56" s="63">
        <v>0.41463414634146339</v>
      </c>
    </row>
    <row r="57" spans="1:17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3.7037037037037035E-2</v>
      </c>
      <c r="M57" s="63">
        <v>0.14730290456431536</v>
      </c>
      <c r="N57" s="63">
        <v>0.23443983402489627</v>
      </c>
      <c r="O57" s="63">
        <v>0.49295774647887325</v>
      </c>
      <c r="P57" s="63">
        <v>0.36283185840707965</v>
      </c>
      <c r="Q57" s="63">
        <v>0.41463414634146339</v>
      </c>
    </row>
    <row r="58" spans="1:17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3.6363636363636362E-2</v>
      </c>
      <c r="M58" s="63">
        <v>0.15163934426229508</v>
      </c>
      <c r="N58" s="63">
        <v>0.23770491803278687</v>
      </c>
      <c r="O58" s="63">
        <v>0.48648648648648651</v>
      </c>
      <c r="P58" s="63">
        <v>0.37931034482758619</v>
      </c>
      <c r="Q58" s="63">
        <v>0.40944881889763779</v>
      </c>
    </row>
    <row r="59" spans="1:17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3.5714285714285712E-2</v>
      </c>
      <c r="M59" s="63">
        <v>0.15461847389558234</v>
      </c>
      <c r="N59" s="63">
        <v>0.24096385542168675</v>
      </c>
      <c r="O59" s="63">
        <v>0.48051948051948051</v>
      </c>
      <c r="P59" s="63">
        <v>0.39166666666666666</v>
      </c>
      <c r="Q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20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  <row r="195" spans="1:17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9.375E-2</v>
      </c>
      <c r="M195" s="63">
        <v>0.25290215588723053</v>
      </c>
      <c r="N195" s="63">
        <v>0.22864842454394693</v>
      </c>
      <c r="O195" s="63">
        <v>0.55901639344262299</v>
      </c>
      <c r="P195" s="63">
        <v>0.41160471441523117</v>
      </c>
      <c r="Q195" s="63">
        <v>0.44264602392681213</v>
      </c>
    </row>
    <row r="196" spans="1:17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9.499136442141623E-2</v>
      </c>
      <c r="M196" s="63">
        <v>0.25263157894736843</v>
      </c>
      <c r="N196" s="63">
        <v>0.22951496388028897</v>
      </c>
      <c r="O196" s="63">
        <v>0.55882352941176472</v>
      </c>
      <c r="P196" s="63">
        <v>0.41187050359712229</v>
      </c>
      <c r="Q196" s="63">
        <v>0.44296710986703991</v>
      </c>
    </row>
    <row r="197" spans="1:17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9.4501718213058417E-2</v>
      </c>
      <c r="M197" s="63">
        <v>0.25302936948038612</v>
      </c>
      <c r="N197" s="63">
        <v>0.22879441363729719</v>
      </c>
      <c r="O197" s="63">
        <v>0.55925324675324672</v>
      </c>
      <c r="P197" s="63">
        <v>0.41292639138240572</v>
      </c>
      <c r="Q197" s="63">
        <v>0.44359331476323122</v>
      </c>
    </row>
    <row r="198" spans="1:17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9.4017094017094016E-2</v>
      </c>
      <c r="M198" s="63">
        <v>0.25281013693030863</v>
      </c>
      <c r="N198" s="63">
        <v>0.22930717351318208</v>
      </c>
      <c r="O198" s="63">
        <v>0.56022635408245758</v>
      </c>
      <c r="P198" s="63">
        <v>0.41176470588235292</v>
      </c>
      <c r="Q198" s="63">
        <v>0.44352044352044351</v>
      </c>
    </row>
    <row r="199" spans="1:17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9.5238095238095233E-2</v>
      </c>
      <c r="M199" s="63">
        <v>0.25356997144022847</v>
      </c>
      <c r="N199" s="63">
        <v>0.22888616891064872</v>
      </c>
      <c r="O199" s="63">
        <v>0.55993563958165726</v>
      </c>
      <c r="P199" s="63">
        <v>0.41176470588235292</v>
      </c>
      <c r="Q199" s="63">
        <v>0.44260027662517287</v>
      </c>
    </row>
    <row r="200" spans="1:17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9.6446700507614211E-2</v>
      </c>
      <c r="M200" s="63">
        <v>0.25431647369490146</v>
      </c>
      <c r="N200" s="63">
        <v>0.22831606743855373</v>
      </c>
      <c r="O200" s="63">
        <v>0.55990415335463262</v>
      </c>
      <c r="P200" s="63">
        <v>0.41192170818505336</v>
      </c>
      <c r="Q200" s="63">
        <v>0.44184445973847214</v>
      </c>
    </row>
    <row r="201" spans="1:17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9.7643097643097643E-2</v>
      </c>
      <c r="M201" s="63">
        <v>0.25441265976871574</v>
      </c>
      <c r="N201" s="63">
        <v>0.22844390342868737</v>
      </c>
      <c r="O201" s="63">
        <v>0.55901116427432218</v>
      </c>
      <c r="P201" s="63">
        <v>0.41207815275310833</v>
      </c>
      <c r="Q201" s="63">
        <v>0.44123711340206184</v>
      </c>
    </row>
    <row r="202" spans="1:17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9.8827470686767172E-2</v>
      </c>
      <c r="M202" s="63">
        <v>0.25414141414141417</v>
      </c>
      <c r="N202" s="63">
        <v>0.22868686868686869</v>
      </c>
      <c r="O202" s="63">
        <v>0.55802861685214622</v>
      </c>
      <c r="P202" s="63">
        <v>0.41254416961130741</v>
      </c>
      <c r="Q202" s="63">
        <v>0.44109589041095892</v>
      </c>
    </row>
    <row r="203" spans="1:17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9.8333333333333328E-2</v>
      </c>
      <c r="M203" s="63">
        <v>0.25406381697772429</v>
      </c>
      <c r="N203" s="63">
        <v>0.22897852699177201</v>
      </c>
      <c r="O203" s="63">
        <v>0.55766192733017372</v>
      </c>
      <c r="P203" s="63">
        <v>0.41279579316389131</v>
      </c>
      <c r="Q203" s="63">
        <v>0.44179714091218514</v>
      </c>
    </row>
    <row r="204" spans="1:17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9.7844112769485903E-2</v>
      </c>
      <c r="M204" s="63">
        <v>0.2536448971439984</v>
      </c>
      <c r="N204" s="63">
        <v>0.22927900938685838</v>
      </c>
      <c r="O204" s="63">
        <v>0.55826771653543306</v>
      </c>
      <c r="P204" s="63">
        <v>0.41202090592334495</v>
      </c>
      <c r="Q204" s="63">
        <v>0.44105691056910568</v>
      </c>
    </row>
    <row r="205" spans="1:17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9.7359735973597358E-2</v>
      </c>
      <c r="M205" s="63">
        <v>0.2537313432835821</v>
      </c>
      <c r="N205" s="63">
        <v>0.23024875621890548</v>
      </c>
      <c r="O205" s="63">
        <v>0.55764705882352938</v>
      </c>
      <c r="P205" s="63">
        <v>0.41140881590319794</v>
      </c>
      <c r="Q205" s="63">
        <v>0.44062078272604588</v>
      </c>
    </row>
    <row r="206" spans="1:17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9.688013136288999E-2</v>
      </c>
      <c r="M206" s="63">
        <v>0.25380811078140453</v>
      </c>
      <c r="N206" s="63">
        <v>0.2304648862512364</v>
      </c>
      <c r="O206" s="63">
        <v>0.55650818394388157</v>
      </c>
      <c r="P206" s="63">
        <v>0.41201716738197425</v>
      </c>
      <c r="Q206" s="63">
        <v>0.43930248155600266</v>
      </c>
    </row>
    <row r="207" spans="1:17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9.6405228758169939E-2</v>
      </c>
      <c r="M207" s="63">
        <v>0.25329400196656832</v>
      </c>
      <c r="N207" s="63">
        <v>0.23126843657817109</v>
      </c>
      <c r="O207" s="63">
        <v>0.55667701863354035</v>
      </c>
      <c r="P207" s="63">
        <v>0.41326530612244899</v>
      </c>
      <c r="Q207" s="63">
        <v>0.43904063957361761</v>
      </c>
    </row>
    <row r="208" spans="1:17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9.5934959349593493E-2</v>
      </c>
      <c r="M208" s="63">
        <v>0.25322391559202811</v>
      </c>
      <c r="N208" s="63">
        <v>0.23192653380226652</v>
      </c>
      <c r="O208" s="63">
        <v>0.55478395061728392</v>
      </c>
      <c r="P208" s="63">
        <v>0.41449031171019379</v>
      </c>
      <c r="Q208" s="63">
        <v>0.43878226340172072</v>
      </c>
    </row>
    <row r="209" spans="1:17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9.5469255663430425E-2</v>
      </c>
      <c r="M209" s="63">
        <v>0.2530612244897959</v>
      </c>
      <c r="N209" s="63">
        <v>0.23206997084548106</v>
      </c>
      <c r="O209" s="63">
        <v>0.55453149001536095</v>
      </c>
      <c r="P209" s="63">
        <v>0.41541038525963148</v>
      </c>
      <c r="Q209" s="63">
        <v>0.44013157894736843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2019-11-19T16:17:55Z</dcterms:modified>
</cp:coreProperties>
</file>