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DC45C5E-01EE-48BF-95F4-AF9BF5A309CE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54" r:id="rId6"/>
    <sheet name="たかの" sheetId="6056" r:id="rId7"/>
    <sheet name="だいち" sheetId="6058" r:id="rId8"/>
    <sheet name="ただ" sheetId="6060" r:id="rId9"/>
    <sheet name="りくと" sheetId="6062" r:id="rId10"/>
    <sheet name="れんたろう" sheetId="6064" r:id="rId11"/>
    <sheet name="まっつん" sheetId="6066" r:id="rId12"/>
    <sheet name="のり" sheetId="6068" r:id="rId13"/>
    <sheet name="ぱぱ" sheetId="6070" r:id="rId14"/>
    <sheet name="ほたに" sheetId="6072" r:id="rId15"/>
    <sheet name="いっしー" sheetId="6074" r:id="rId16"/>
    <sheet name="ともき" sheetId="6076" r:id="rId17"/>
    <sheet name="たか" sheetId="6078" r:id="rId18"/>
    <sheet name="ゆう" sheetId="6080" r:id="rId19"/>
    <sheet name="ゆう2" sheetId="6081" state="hidden" r:id="rId20"/>
    <sheet name="たか2" sheetId="6079" state="hidden" r:id="rId21"/>
    <sheet name="ともき2" sheetId="6077" state="hidden" r:id="rId22"/>
    <sheet name="いっしー2" sheetId="6075" state="hidden" r:id="rId23"/>
    <sheet name="ほたに2" sheetId="6073" state="hidden" r:id="rId24"/>
    <sheet name="ぱぱ2" sheetId="6071" state="hidden" r:id="rId25"/>
    <sheet name="のり2" sheetId="6069" state="hidden" r:id="rId26"/>
    <sheet name="まっつん2" sheetId="6067" state="hidden" r:id="rId27"/>
    <sheet name="れんたろう2" sheetId="6065" state="hidden" r:id="rId28"/>
    <sheet name="りくと2" sheetId="6063" state="hidden" r:id="rId29"/>
    <sheet name="ただ2" sheetId="6061" state="hidden" r:id="rId30"/>
    <sheet name="だいち2" sheetId="6059" state="hidden" r:id="rId31"/>
    <sheet name="たかの2" sheetId="6057" state="hidden" r:id="rId32"/>
    <sheet name="全体2" sheetId="6055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3">Template1!$B$19</definedName>
    <definedName name="アガリ数" localSheetId="15">いっしー!$B$19</definedName>
    <definedName name="アガリ数" localSheetId="7">だいち!$B$19</definedName>
    <definedName name="アガリ数" localSheetId="17">たか!$B$19</definedName>
    <definedName name="アガリ数" localSheetId="6">たかの!$B$19</definedName>
    <definedName name="アガリ数" localSheetId="8">ただ!$B$19</definedName>
    <definedName name="アガリ数" localSheetId="16">ともき!$B$19</definedName>
    <definedName name="アガリ数" localSheetId="12">のり!$B$19</definedName>
    <definedName name="アガリ数" localSheetId="13">ぱぱ!$B$19</definedName>
    <definedName name="アガリ数" localSheetId="14">ほたに!$B$19</definedName>
    <definedName name="アガリ数" localSheetId="11">まっつん!$B$19</definedName>
    <definedName name="アガリ数" localSheetId="18">ゆう!$B$19</definedName>
    <definedName name="アガリ数" localSheetId="9">りくと!$B$19</definedName>
    <definedName name="アガリ数" localSheetId="10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5">いっしー!$C$19</definedName>
    <definedName name="アガリ率" localSheetId="7">だいち!$C$19</definedName>
    <definedName name="アガリ率" localSheetId="17">たか!$C$19</definedName>
    <definedName name="アガリ率" localSheetId="6">たかの!$C$19</definedName>
    <definedName name="アガリ率" localSheetId="8">ただ!$C$19</definedName>
    <definedName name="アガリ率" localSheetId="16">ともき!$C$19</definedName>
    <definedName name="アガリ率" localSheetId="12">のり!$C$19</definedName>
    <definedName name="アガリ率" localSheetId="13">ぱぱ!$C$19</definedName>
    <definedName name="アガリ率" localSheetId="14">ほたに!$C$19</definedName>
    <definedName name="アガリ率" localSheetId="11">まっつん!$C$19</definedName>
    <definedName name="アガリ率" localSheetId="18">ゆう!$C$19</definedName>
    <definedName name="アガリ率" localSheetId="9">りくと!$C$19</definedName>
    <definedName name="アガリ率" localSheetId="10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5">いっしー!$B$25</definedName>
    <definedName name="ダマアガリ数" localSheetId="7">だいち!$B$25</definedName>
    <definedName name="ダマアガリ数" localSheetId="17">たか!$B$25</definedName>
    <definedName name="ダマアガリ数" localSheetId="6">たかの!$B$25</definedName>
    <definedName name="ダマアガリ数" localSheetId="8">ただ!$B$25</definedName>
    <definedName name="ダマアガリ数" localSheetId="16">ともき!$B$25</definedName>
    <definedName name="ダマアガリ数" localSheetId="12">のり!$B$25</definedName>
    <definedName name="ダマアガリ数" localSheetId="13">ぱぱ!$B$25</definedName>
    <definedName name="ダマアガリ数" localSheetId="14">ほたに!$B$25</definedName>
    <definedName name="ダマアガリ数" localSheetId="11">まっつん!$B$25</definedName>
    <definedName name="ダマアガリ数" localSheetId="18">ゆう!$B$25</definedName>
    <definedName name="ダマアガリ数" localSheetId="9">りくと!$B$25</definedName>
    <definedName name="ダマアガリ数" localSheetId="10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5">いっしー!$C$25</definedName>
    <definedName name="ダマアガリ率" localSheetId="7">だいち!$C$25</definedName>
    <definedName name="ダマアガリ率" localSheetId="17">たか!$C$25</definedName>
    <definedName name="ダマアガリ率" localSheetId="6">たかの!$C$25</definedName>
    <definedName name="ダマアガリ率" localSheetId="8">ただ!$C$25</definedName>
    <definedName name="ダマアガリ率" localSheetId="16">ともき!$C$25</definedName>
    <definedName name="ダマアガリ率" localSheetId="12">のり!$C$25</definedName>
    <definedName name="ダマアガリ率" localSheetId="13">ぱぱ!$C$25</definedName>
    <definedName name="ダマアガリ率" localSheetId="14">ほたに!$C$25</definedName>
    <definedName name="ダマアガリ率" localSheetId="11">まっつん!$C$25</definedName>
    <definedName name="ダマアガリ率" localSheetId="18">ゆう!$C$25</definedName>
    <definedName name="ダマアガリ率" localSheetId="9">りくと!$C$25</definedName>
    <definedName name="ダマアガリ率" localSheetId="10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5">いっしー!$B$34</definedName>
    <definedName name="チョンボ数" localSheetId="7">だいち!$B$34</definedName>
    <definedName name="チョンボ数" localSheetId="17">たか!$B$34</definedName>
    <definedName name="チョンボ数" localSheetId="6">たかの!$B$34</definedName>
    <definedName name="チョンボ数" localSheetId="8">ただ!$B$34</definedName>
    <definedName name="チョンボ数" localSheetId="16">ともき!$B$34</definedName>
    <definedName name="チョンボ数" localSheetId="12">のり!$B$34</definedName>
    <definedName name="チョンボ数" localSheetId="13">ぱぱ!$B$34</definedName>
    <definedName name="チョンボ数" localSheetId="14">ほたに!$B$34</definedName>
    <definedName name="チョンボ数" localSheetId="11">まっつん!$B$34</definedName>
    <definedName name="チョンボ数" localSheetId="18">ゆう!$B$34</definedName>
    <definedName name="チョンボ数" localSheetId="9">りくと!$B$34</definedName>
    <definedName name="チョンボ数" localSheetId="10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5">いっしー!$C$34</definedName>
    <definedName name="チョンボ率" localSheetId="7">だいち!$C$34</definedName>
    <definedName name="チョンボ率" localSheetId="17">たか!$C$34</definedName>
    <definedName name="チョンボ率" localSheetId="6">たかの!$C$34</definedName>
    <definedName name="チョンボ率" localSheetId="8">ただ!$C$34</definedName>
    <definedName name="チョンボ率" localSheetId="16">ともき!$C$34</definedName>
    <definedName name="チョンボ率" localSheetId="12">のり!$C$34</definedName>
    <definedName name="チョンボ率" localSheetId="13">ぱぱ!$C$34</definedName>
    <definedName name="チョンボ率" localSheetId="14">ほたに!$C$34</definedName>
    <definedName name="チョンボ率" localSheetId="11">まっつん!$C$34</definedName>
    <definedName name="チョンボ率" localSheetId="18">ゆう!$C$34</definedName>
    <definedName name="チョンボ率" localSheetId="9">りくと!$C$34</definedName>
    <definedName name="チョンボ率" localSheetId="10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5">いっしー!$B$21</definedName>
    <definedName name="ツモ数" localSheetId="7">だいち!$B$21</definedName>
    <definedName name="ツモ数" localSheetId="17">たか!$B$21</definedName>
    <definedName name="ツモ数" localSheetId="6">たかの!$B$21</definedName>
    <definedName name="ツモ数" localSheetId="8">ただ!$B$21</definedName>
    <definedName name="ツモ数" localSheetId="16">ともき!$B$21</definedName>
    <definedName name="ツモ数" localSheetId="12">のり!$B$21</definedName>
    <definedName name="ツモ数" localSheetId="13">ぱぱ!$B$21</definedName>
    <definedName name="ツモ数" localSheetId="14">ほたに!$B$21</definedName>
    <definedName name="ツモ数" localSheetId="11">まっつん!$B$21</definedName>
    <definedName name="ツモ数" localSheetId="18">ゆう!$B$21</definedName>
    <definedName name="ツモ数" localSheetId="9">りくと!$B$21</definedName>
    <definedName name="ツモ数" localSheetId="10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5">いっしー!$C$21</definedName>
    <definedName name="ツモ率" localSheetId="7">だいち!$C$21</definedName>
    <definedName name="ツモ率" localSheetId="17">たか!$C$21</definedName>
    <definedName name="ツモ率" localSheetId="6">たかの!$C$21</definedName>
    <definedName name="ツモ率" localSheetId="8">ただ!$C$21</definedName>
    <definedName name="ツモ率" localSheetId="16">ともき!$C$21</definedName>
    <definedName name="ツモ率" localSheetId="12">のり!$C$21</definedName>
    <definedName name="ツモ率" localSheetId="13">ぱぱ!$C$21</definedName>
    <definedName name="ツモ率" localSheetId="14">ほたに!$C$21</definedName>
    <definedName name="ツモ率" localSheetId="11">まっつん!$C$21</definedName>
    <definedName name="ツモ率" localSheetId="18">ゆう!$C$21</definedName>
    <definedName name="ツモ率" localSheetId="9">りくと!$C$21</definedName>
    <definedName name="ツモ率" localSheetId="10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#REF!</definedName>
    <definedName name="バランス" localSheetId="15">いっしー!$B$13</definedName>
    <definedName name="バランス" localSheetId="7">だいち!$B$13</definedName>
    <definedName name="バランス" localSheetId="17">たか!$B$13</definedName>
    <definedName name="バランス" localSheetId="6">たかの!$B$13</definedName>
    <definedName name="バランス" localSheetId="8">ただ!$B$13</definedName>
    <definedName name="バランス" localSheetId="16">ともき!$B$13</definedName>
    <definedName name="バランス" localSheetId="12">のり!$B$13</definedName>
    <definedName name="バランス" localSheetId="13">ぱぱ!$B$13</definedName>
    <definedName name="バランス" localSheetId="14">ほたに!$B$13</definedName>
    <definedName name="バランス" localSheetId="11">まっつん!$B$13</definedName>
    <definedName name="バランス" localSheetId="18">ゆう!$B$13</definedName>
    <definedName name="バランス" localSheetId="9">りくと!$B$13</definedName>
    <definedName name="バランス" localSheetId="10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5">いっしー!$B$14</definedName>
    <definedName name="ふっとび数" localSheetId="7">だいち!$B$14</definedName>
    <definedName name="ふっとび数" localSheetId="17">たか!$B$14</definedName>
    <definedName name="ふっとび数" localSheetId="6">たかの!$B$14</definedName>
    <definedName name="ふっとび数" localSheetId="8">ただ!$B$14</definedName>
    <definedName name="ふっとび数" localSheetId="16">ともき!$B$14</definedName>
    <definedName name="ふっとび数" localSheetId="12">のり!$B$14</definedName>
    <definedName name="ふっとび数" localSheetId="13">ぱぱ!$B$14</definedName>
    <definedName name="ふっとび数" localSheetId="14">ほたに!$B$14</definedName>
    <definedName name="ふっとび数" localSheetId="11">まっつん!$B$14</definedName>
    <definedName name="ふっとび数" localSheetId="18">ゆう!$B$14</definedName>
    <definedName name="ふっとび数" localSheetId="9">りくと!$B$14</definedName>
    <definedName name="ふっとび数" localSheetId="10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5">いっしー!$C$14</definedName>
    <definedName name="ふっとび率" localSheetId="7">だいち!$C$14</definedName>
    <definedName name="ふっとび率" localSheetId="17">たか!$C$14</definedName>
    <definedName name="ふっとび率" localSheetId="6">たかの!$C$14</definedName>
    <definedName name="ふっとび率" localSheetId="8">ただ!$C$14</definedName>
    <definedName name="ふっとび率" localSheetId="16">ともき!$C$14</definedName>
    <definedName name="ふっとび率" localSheetId="12">のり!$C$14</definedName>
    <definedName name="ふっとび率" localSheetId="13">ぱぱ!$C$14</definedName>
    <definedName name="ふっとび率" localSheetId="14">ほたに!$C$14</definedName>
    <definedName name="ふっとび率" localSheetId="11">まっつん!$C$14</definedName>
    <definedName name="ふっとび率" localSheetId="18">ゆう!$C$14</definedName>
    <definedName name="ふっとび率" localSheetId="9">りくと!$C$14</definedName>
    <definedName name="ふっとび率" localSheetId="10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5">いっしー!$B$23</definedName>
    <definedName name="リーチアガリ数" localSheetId="7">だいち!$B$23</definedName>
    <definedName name="リーチアガリ数" localSheetId="17">たか!$B$23</definedName>
    <definedName name="リーチアガリ数" localSheetId="6">たかの!$B$23</definedName>
    <definedName name="リーチアガリ数" localSheetId="8">ただ!$B$23</definedName>
    <definedName name="リーチアガリ数" localSheetId="16">ともき!$B$23</definedName>
    <definedName name="リーチアガリ数" localSheetId="12">のり!$B$23</definedName>
    <definedName name="リーチアガリ数" localSheetId="13">ぱぱ!$B$23</definedName>
    <definedName name="リーチアガリ数" localSheetId="14">ほたに!$B$23</definedName>
    <definedName name="リーチアガリ数" localSheetId="11">まっつん!$B$23</definedName>
    <definedName name="リーチアガリ数" localSheetId="18">ゆう!$B$23</definedName>
    <definedName name="リーチアガリ数" localSheetId="9">りくと!$B$23</definedName>
    <definedName name="リーチアガリ数" localSheetId="10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5">いっしー!$C$23</definedName>
    <definedName name="リーチアガリ率" localSheetId="7">だいち!$C$23</definedName>
    <definedName name="リーチアガリ率" localSheetId="17">たか!$C$23</definedName>
    <definedName name="リーチアガリ率" localSheetId="6">たかの!$C$23</definedName>
    <definedName name="リーチアガリ率" localSheetId="8">ただ!$C$23</definedName>
    <definedName name="リーチアガリ率" localSheetId="16">ともき!$C$23</definedName>
    <definedName name="リーチアガリ率" localSheetId="12">のり!$C$23</definedName>
    <definedName name="リーチアガリ率" localSheetId="13">ぱぱ!$C$23</definedName>
    <definedName name="リーチアガリ率" localSheetId="14">ほたに!$C$23</definedName>
    <definedName name="リーチアガリ率" localSheetId="11">まっつん!$C$23</definedName>
    <definedName name="リーチアガリ率" localSheetId="18">ゆう!$C$23</definedName>
    <definedName name="リーチアガリ率" localSheetId="9">りくと!$C$23</definedName>
    <definedName name="リーチアガリ率" localSheetId="10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5">いっしー!$B$15</definedName>
    <definedName name="リーチ数" localSheetId="7">だいち!$B$15</definedName>
    <definedName name="リーチ数" localSheetId="17">たか!$B$15</definedName>
    <definedName name="リーチ数" localSheetId="6">たかの!$B$15</definedName>
    <definedName name="リーチ数" localSheetId="8">ただ!$B$15</definedName>
    <definedName name="リーチ数" localSheetId="16">ともき!$B$15</definedName>
    <definedName name="リーチ数" localSheetId="12">のり!$B$15</definedName>
    <definedName name="リーチ数" localSheetId="13">ぱぱ!$B$15</definedName>
    <definedName name="リーチ数" localSheetId="14">ほたに!$B$15</definedName>
    <definedName name="リーチ数" localSheetId="11">まっつん!$B$15</definedName>
    <definedName name="リーチ数" localSheetId="18">ゆう!$B$15</definedName>
    <definedName name="リーチ数" localSheetId="9">りくと!$B$15</definedName>
    <definedName name="リーチ数" localSheetId="10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5">いっしー!$B$17</definedName>
    <definedName name="リーチ成功数" localSheetId="7">だいち!$B$17</definedName>
    <definedName name="リーチ成功数" localSheetId="17">たか!$B$17</definedName>
    <definedName name="リーチ成功数" localSheetId="6">たかの!$B$17</definedName>
    <definedName name="リーチ成功数" localSheetId="8">ただ!$B$17</definedName>
    <definedName name="リーチ成功数" localSheetId="16">ともき!$B$17</definedName>
    <definedName name="リーチ成功数" localSheetId="12">のり!$B$17</definedName>
    <definedName name="リーチ成功数" localSheetId="13">ぱぱ!$B$17</definedName>
    <definedName name="リーチ成功数" localSheetId="14">ほたに!$B$17</definedName>
    <definedName name="リーチ成功数" localSheetId="11">まっつん!$B$17</definedName>
    <definedName name="リーチ成功数" localSheetId="18">ゆう!$B$17</definedName>
    <definedName name="リーチ成功数" localSheetId="9">りくと!$B$17</definedName>
    <definedName name="リーチ成功数" localSheetId="10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5">いっしー!$C$17</definedName>
    <definedName name="リーチ成功率" localSheetId="7">だいち!$C$17</definedName>
    <definedName name="リーチ成功率" localSheetId="17">たか!$C$17</definedName>
    <definedName name="リーチ成功率" localSheetId="6">たかの!$C$17</definedName>
    <definedName name="リーチ成功率" localSheetId="8">ただ!$C$17</definedName>
    <definedName name="リーチ成功率" localSheetId="16">ともき!$C$17</definedName>
    <definedName name="リーチ成功率" localSheetId="12">のり!$C$17</definedName>
    <definedName name="リーチ成功率" localSheetId="13">ぱぱ!$C$17</definedName>
    <definedName name="リーチ成功率" localSheetId="14">ほたに!$C$17</definedName>
    <definedName name="リーチ成功率" localSheetId="11">まっつん!$C$17</definedName>
    <definedName name="リーチ成功率" localSheetId="18">ゆう!$C$17</definedName>
    <definedName name="リーチ成功率" localSheetId="9">りくと!$C$17</definedName>
    <definedName name="リーチ成功率" localSheetId="10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5">いっしー!$C$15</definedName>
    <definedName name="リーチ率" localSheetId="7">だいち!$C$15</definedName>
    <definedName name="リーチ率" localSheetId="17">たか!$C$15</definedName>
    <definedName name="リーチ率" localSheetId="6">たかの!$C$15</definedName>
    <definedName name="リーチ率" localSheetId="8">ただ!$C$15</definedName>
    <definedName name="リーチ率" localSheetId="16">ともき!$C$15</definedName>
    <definedName name="リーチ率" localSheetId="12">のり!$C$15</definedName>
    <definedName name="リーチ率" localSheetId="13">ぱぱ!$C$15</definedName>
    <definedName name="リーチ率" localSheetId="14">ほたに!$C$15</definedName>
    <definedName name="リーチ率" localSheetId="11">まっつん!$C$15</definedName>
    <definedName name="リーチ率" localSheetId="18">ゆう!$C$15</definedName>
    <definedName name="リーチ率" localSheetId="9">りくと!$C$15</definedName>
    <definedName name="リーチ率" localSheetId="10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5">いっしー!$B$22</definedName>
    <definedName name="ロン数" localSheetId="7">だいち!$B$22</definedName>
    <definedName name="ロン数" localSheetId="17">たか!$B$22</definedName>
    <definedName name="ロン数" localSheetId="6">たかの!$B$22</definedName>
    <definedName name="ロン数" localSheetId="8">ただ!$B$22</definedName>
    <definedName name="ロン数" localSheetId="16">ともき!$B$22</definedName>
    <definedName name="ロン数" localSheetId="12">のり!$B$22</definedName>
    <definedName name="ロン数" localSheetId="13">ぱぱ!$B$22</definedName>
    <definedName name="ロン数" localSheetId="14">ほたに!$B$22</definedName>
    <definedName name="ロン数" localSheetId="11">まっつん!$B$22</definedName>
    <definedName name="ロン数" localSheetId="18">ゆう!$B$22</definedName>
    <definedName name="ロン数" localSheetId="9">りくと!$B$22</definedName>
    <definedName name="ロン数" localSheetId="10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5">いっしー!$C$22</definedName>
    <definedName name="ロン率" localSheetId="7">だいち!$C$22</definedName>
    <definedName name="ロン率" localSheetId="17">たか!$C$22</definedName>
    <definedName name="ロン率" localSheetId="6">たかの!$C$22</definedName>
    <definedName name="ロン率" localSheetId="8">ただ!$C$22</definedName>
    <definedName name="ロン率" localSheetId="16">ともき!$C$22</definedName>
    <definedName name="ロン率" localSheetId="12">のり!$C$22</definedName>
    <definedName name="ロン率" localSheetId="13">ぱぱ!$C$22</definedName>
    <definedName name="ロン率" localSheetId="14">ほたに!$C$22</definedName>
    <definedName name="ロン率" localSheetId="11">まっつん!$C$22</definedName>
    <definedName name="ロン率" localSheetId="18">ゆう!$C$22</definedName>
    <definedName name="ロン率" localSheetId="9">りくと!$C$22</definedName>
    <definedName name="ロン率" localSheetId="10">れんたろう!$C$22</definedName>
    <definedName name="ロン率" localSheetId="5">全体!$C$22</definedName>
    <definedName name="ロン率">#REF!</definedName>
    <definedName name="一位スコア" localSheetId="15">いっしー!$B$10</definedName>
    <definedName name="一位スコア" localSheetId="7">だいち!$B$10</definedName>
    <definedName name="一位スコア" localSheetId="17">たか!$B$10</definedName>
    <definedName name="一位スコア" localSheetId="6">たかの!$B$10</definedName>
    <definedName name="一位スコア" localSheetId="8">ただ!$B$10</definedName>
    <definedName name="一位スコア" localSheetId="16">ともき!$B$10</definedName>
    <definedName name="一位スコア" localSheetId="12">のり!$B$10</definedName>
    <definedName name="一位スコア" localSheetId="13">ぱぱ!$B$10</definedName>
    <definedName name="一位スコア" localSheetId="14">ほたに!$B$10</definedName>
    <definedName name="一位スコア" localSheetId="11">まっつん!$B$10</definedName>
    <definedName name="一位スコア" localSheetId="18">ゆう!$B$10</definedName>
    <definedName name="一位スコア" localSheetId="9">りくと!$B$10</definedName>
    <definedName name="一位スコア" localSheetId="10">れんたろう!$B$10</definedName>
    <definedName name="一位スコア" localSheetId="5">全体!$B$10</definedName>
    <definedName name="一位スコア">Template1!$B$10</definedName>
    <definedName name="一位通算スコア" localSheetId="15">いっしー!$C$10</definedName>
    <definedName name="一位通算スコア" localSheetId="7">だいち!$C$10</definedName>
    <definedName name="一位通算スコア" localSheetId="17">たか!$C$10</definedName>
    <definedName name="一位通算スコア" localSheetId="6">たかの!$C$10</definedName>
    <definedName name="一位通算スコア" localSheetId="8">ただ!$C$10</definedName>
    <definedName name="一位通算スコア" localSheetId="16">ともき!$C$10</definedName>
    <definedName name="一位通算スコア" localSheetId="12">のり!$C$10</definedName>
    <definedName name="一位通算スコア" localSheetId="13">ぱぱ!$C$10</definedName>
    <definedName name="一位通算スコア" localSheetId="14">ほたに!$C$10</definedName>
    <definedName name="一位通算スコア" localSheetId="11">まっつん!$C$10</definedName>
    <definedName name="一位通算スコア" localSheetId="18">ゆう!$C$10</definedName>
    <definedName name="一位通算スコア" localSheetId="9">りくと!$C$10</definedName>
    <definedName name="一位通算スコア" localSheetId="10">れんたろう!$C$10</definedName>
    <definedName name="一位通算スコア" localSheetId="5">全体!$C$10</definedName>
    <definedName name="一位通算スコア">Template1!$C$10</definedName>
    <definedName name="一翻数" localSheetId="15">いっしー!$B$36</definedName>
    <definedName name="一翻数" localSheetId="7">だいち!$B$36</definedName>
    <definedName name="一翻数" localSheetId="17">たか!$B$36</definedName>
    <definedName name="一翻数" localSheetId="6">たかの!$B$36</definedName>
    <definedName name="一翻数" localSheetId="8">ただ!$B$36</definedName>
    <definedName name="一翻数" localSheetId="16">ともき!$B$36</definedName>
    <definedName name="一翻数" localSheetId="12">のり!$B$36</definedName>
    <definedName name="一翻数" localSheetId="13">ぱぱ!$B$36</definedName>
    <definedName name="一翻数" localSheetId="14">ほたに!$B$36</definedName>
    <definedName name="一翻数" localSheetId="11">まっつん!$B$36</definedName>
    <definedName name="一翻数" localSheetId="18">ゆう!$B$36</definedName>
    <definedName name="一翻数" localSheetId="9">りくと!$B$36</definedName>
    <definedName name="一翻数" localSheetId="10">れんたろう!$B$36</definedName>
    <definedName name="一翻数" localSheetId="5">全体!$B$36</definedName>
    <definedName name="一翻数">Template1!$B$36</definedName>
    <definedName name="一翻率" localSheetId="15">いっしー!$C$36</definedName>
    <definedName name="一翻率" localSheetId="7">だいち!$C$36</definedName>
    <definedName name="一翻率" localSheetId="17">たか!$C$36</definedName>
    <definedName name="一翻率" localSheetId="6">たかの!$C$36</definedName>
    <definedName name="一翻率" localSheetId="8">ただ!$C$36</definedName>
    <definedName name="一翻率" localSheetId="16">ともき!$C$36</definedName>
    <definedName name="一翻率" localSheetId="12">のり!$C$36</definedName>
    <definedName name="一翻率" localSheetId="13">ぱぱ!$C$36</definedName>
    <definedName name="一翻率" localSheetId="14">ほたに!$C$36</definedName>
    <definedName name="一翻率" localSheetId="11">まっつん!$C$36</definedName>
    <definedName name="一翻率" localSheetId="18">ゆう!$C$36</definedName>
    <definedName name="一翻率" localSheetId="9">りくと!$C$36</definedName>
    <definedName name="一翻率" localSheetId="10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5">いっしー!$C$30</definedName>
    <definedName name="現行連続アガリ" localSheetId="7">だいち!$C$30</definedName>
    <definedName name="現行連続アガリ" localSheetId="17">たか!$C$30</definedName>
    <definedName name="現行連続アガリ" localSheetId="6">たかの!$C$30</definedName>
    <definedName name="現行連続アガリ" localSheetId="8">ただ!$C$30</definedName>
    <definedName name="現行連続アガリ" localSheetId="16">ともき!$C$30</definedName>
    <definedName name="現行連続アガリ" localSheetId="12">のり!$C$30</definedName>
    <definedName name="現行連続アガリ" localSheetId="13">ぱぱ!$C$30</definedName>
    <definedName name="現行連続アガリ" localSheetId="14">ほたに!$C$30</definedName>
    <definedName name="現行連続アガリ" localSheetId="11">まっつん!$C$30</definedName>
    <definedName name="現行連続アガリ" localSheetId="18">ゆう!$C$30</definedName>
    <definedName name="現行連続アガリ" localSheetId="9">りくと!$C$30</definedName>
    <definedName name="現行連続アガリ" localSheetId="10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5">いっしー!$C$31</definedName>
    <definedName name="現行連続無放銃" localSheetId="7">だいち!$C$31</definedName>
    <definedName name="現行連続無放銃" localSheetId="17">たか!$C$31</definedName>
    <definedName name="現行連続無放銃" localSheetId="6">たかの!$C$31</definedName>
    <definedName name="現行連続無放銃" localSheetId="8">ただ!$C$31</definedName>
    <definedName name="現行連続無放銃" localSheetId="16">ともき!$C$31</definedName>
    <definedName name="現行連続無放銃" localSheetId="12">のり!$C$31</definedName>
    <definedName name="現行連続無放銃" localSheetId="13">ぱぱ!$C$31</definedName>
    <definedName name="現行連続無放銃" localSheetId="14">ほたに!$C$31</definedName>
    <definedName name="現行連続無放銃" localSheetId="11">まっつん!$C$31</definedName>
    <definedName name="現行連続無放銃" localSheetId="18">ゆう!$C$31</definedName>
    <definedName name="現行連続無放銃" localSheetId="9">りくと!$C$31</definedName>
    <definedName name="現行連続無放銃" localSheetId="10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5">いっしー!$B$33</definedName>
    <definedName name="最高点" localSheetId="7">だいち!$B$33</definedName>
    <definedName name="最高点" localSheetId="17">たか!$B$33</definedName>
    <definedName name="最高点" localSheetId="6">たかの!$B$33</definedName>
    <definedName name="最高点" localSheetId="8">ただ!$B$33</definedName>
    <definedName name="最高点" localSheetId="16">ともき!$B$33</definedName>
    <definedName name="最高点" localSheetId="12">のり!$B$33</definedName>
    <definedName name="最高点" localSheetId="13">ぱぱ!$B$33</definedName>
    <definedName name="最高点" localSheetId="14">ほたに!$B$33</definedName>
    <definedName name="最高点" localSheetId="11">まっつん!$B$33</definedName>
    <definedName name="最高点" localSheetId="18">ゆう!$B$33</definedName>
    <definedName name="最高点" localSheetId="9">りくと!$B$33</definedName>
    <definedName name="最高点" localSheetId="10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5">いっしー!$B$32</definedName>
    <definedName name="最大ドラ数" localSheetId="7">だいち!$B$32</definedName>
    <definedName name="最大ドラ数" localSheetId="17">たか!$B$32</definedName>
    <definedName name="最大ドラ数" localSheetId="6">たかの!$B$32</definedName>
    <definedName name="最大ドラ数" localSheetId="8">ただ!$B$32</definedName>
    <definedName name="最大ドラ数" localSheetId="16">ともき!$B$32</definedName>
    <definedName name="最大ドラ数" localSheetId="12">のり!$B$32</definedName>
    <definedName name="最大ドラ数" localSheetId="13">ぱぱ!$B$32</definedName>
    <definedName name="最大ドラ数" localSheetId="14">ほたに!$B$32</definedName>
    <definedName name="最大ドラ数" localSheetId="11">まっつん!$B$32</definedName>
    <definedName name="最大ドラ数" localSheetId="18">ゆう!$B$32</definedName>
    <definedName name="最大ドラ数" localSheetId="9">りくと!$B$32</definedName>
    <definedName name="最大ドラ数" localSheetId="10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5">いっしー!$B$33</definedName>
    <definedName name="最大点数" localSheetId="7">だいち!$B$33</definedName>
    <definedName name="最大点数" localSheetId="17">たか!$B$33</definedName>
    <definedName name="最大点数" localSheetId="6">たかの!$B$33</definedName>
    <definedName name="最大点数" localSheetId="8">ただ!$B$33</definedName>
    <definedName name="最大点数" localSheetId="16">ともき!$B$33</definedName>
    <definedName name="最大点数" localSheetId="12">のり!$B$33</definedName>
    <definedName name="最大点数" localSheetId="13">ぱぱ!$B$33</definedName>
    <definedName name="最大点数" localSheetId="14">ほたに!$B$33</definedName>
    <definedName name="最大点数" localSheetId="11">まっつん!$B$33</definedName>
    <definedName name="最大点数" localSheetId="18">ゆう!$B$33</definedName>
    <definedName name="最大点数" localSheetId="9">りくと!$B$33</definedName>
    <definedName name="最大点数" localSheetId="10">れんたろう!$B$33</definedName>
    <definedName name="最大点数" localSheetId="5">全体!$B$33</definedName>
    <definedName name="最大点数">#REF!</definedName>
    <definedName name="三位スコア" localSheetId="15">いっしー!$B$12</definedName>
    <definedName name="三位スコア" localSheetId="7">だいち!$B$12</definedName>
    <definedName name="三位スコア" localSheetId="17">たか!$B$12</definedName>
    <definedName name="三位スコア" localSheetId="6">たかの!$B$12</definedName>
    <definedName name="三位スコア" localSheetId="8">ただ!$B$12</definedName>
    <definedName name="三位スコア" localSheetId="16">ともき!$B$12</definedName>
    <definedName name="三位スコア" localSheetId="12">のり!$B$12</definedName>
    <definedName name="三位スコア" localSheetId="13">ぱぱ!$B$12</definedName>
    <definedName name="三位スコア" localSheetId="14">ほたに!$B$12</definedName>
    <definedName name="三位スコア" localSheetId="11">まっつん!$B$12</definedName>
    <definedName name="三位スコア" localSheetId="18">ゆう!$B$12</definedName>
    <definedName name="三位スコア" localSheetId="9">りくと!$B$12</definedName>
    <definedName name="三位スコア" localSheetId="10">れんたろう!$B$12</definedName>
    <definedName name="三位スコア" localSheetId="5">全体!$B$12</definedName>
    <definedName name="三位スコア">Template1!$B$12</definedName>
    <definedName name="三位通算スコア" localSheetId="15">いっしー!$C$12</definedName>
    <definedName name="三位通算スコア" localSheetId="7">だいち!$C$12</definedName>
    <definedName name="三位通算スコア" localSheetId="17">たか!$C$12</definedName>
    <definedName name="三位通算スコア" localSheetId="6">たかの!$C$12</definedName>
    <definedName name="三位通算スコア" localSheetId="8">ただ!$C$12</definedName>
    <definedName name="三位通算スコア" localSheetId="16">ともき!$C$12</definedName>
    <definedName name="三位通算スコア" localSheetId="12">のり!$C$12</definedName>
    <definedName name="三位通算スコア" localSheetId="13">ぱぱ!$C$12</definedName>
    <definedName name="三位通算スコア" localSheetId="14">ほたに!$C$12</definedName>
    <definedName name="三位通算スコア" localSheetId="11">まっつん!$C$12</definedName>
    <definedName name="三位通算スコア" localSheetId="18">ゆう!$C$12</definedName>
    <definedName name="三位通算スコア" localSheetId="9">りくと!$C$12</definedName>
    <definedName name="三位通算スコア" localSheetId="10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5">いっしー!$C$26</definedName>
    <definedName name="通算アガリ点" localSheetId="7">だいち!$C$26</definedName>
    <definedName name="通算アガリ点" localSheetId="17">たか!$C$26</definedName>
    <definedName name="通算アガリ点" localSheetId="6">たかの!$C$26</definedName>
    <definedName name="通算アガリ点" localSheetId="8">ただ!$C$26</definedName>
    <definedName name="通算アガリ点" localSheetId="16">ともき!$C$26</definedName>
    <definedName name="通算アガリ点" localSheetId="12">のり!$C$26</definedName>
    <definedName name="通算アガリ点" localSheetId="13">ぱぱ!$C$26</definedName>
    <definedName name="通算アガリ点" localSheetId="14">ほたに!$C$26</definedName>
    <definedName name="通算アガリ点" localSheetId="11">まっつん!$C$26</definedName>
    <definedName name="通算アガリ点" localSheetId="18">ゆう!$C$26</definedName>
    <definedName name="通算アガリ点" localSheetId="9">りくと!$C$26</definedName>
    <definedName name="通算アガリ点" localSheetId="10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5">いっしー!$C$28</definedName>
    <definedName name="通算副露アガリ点" localSheetId="7">だいち!$C$28</definedName>
    <definedName name="通算副露アガリ点" localSheetId="17">たか!$C$28</definedName>
    <definedName name="通算副露アガリ点" localSheetId="6">たかの!$C$28</definedName>
    <definedName name="通算副露アガリ点" localSheetId="8">ただ!$C$28</definedName>
    <definedName name="通算副露アガリ点" localSheetId="16">ともき!$C$28</definedName>
    <definedName name="通算副露アガリ点" localSheetId="12">のり!$C$28</definedName>
    <definedName name="通算副露アガリ点" localSheetId="13">ぱぱ!$C$28</definedName>
    <definedName name="通算副露アガリ点" localSheetId="14">ほたに!$C$28</definedName>
    <definedName name="通算副露アガリ点" localSheetId="11">まっつん!$C$28</definedName>
    <definedName name="通算副露アガリ点" localSheetId="18">ゆう!$C$28</definedName>
    <definedName name="通算副露アガリ点" localSheetId="9">りくと!$C$28</definedName>
    <definedName name="通算副露アガリ点" localSheetId="10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5">いっしー!$C$29</definedName>
    <definedName name="通算放銃点" localSheetId="7">だいち!$C$29</definedName>
    <definedName name="通算放銃点" localSheetId="17">たか!$C$29</definedName>
    <definedName name="通算放銃点" localSheetId="6">たかの!$C$29</definedName>
    <definedName name="通算放銃点" localSheetId="8">ただ!$C$29</definedName>
    <definedName name="通算放銃点" localSheetId="16">ともき!$C$29</definedName>
    <definedName name="通算放銃点" localSheetId="12">のり!$C$29</definedName>
    <definedName name="通算放銃点" localSheetId="13">ぱぱ!$C$29</definedName>
    <definedName name="通算放銃点" localSheetId="14">ほたに!$C$29</definedName>
    <definedName name="通算放銃点" localSheetId="11">まっつん!$C$29</definedName>
    <definedName name="通算放銃点" localSheetId="18">ゆう!$C$29</definedName>
    <definedName name="通算放銃点" localSheetId="9">りくと!$C$29</definedName>
    <definedName name="通算放銃点" localSheetId="10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5">いっしー!$C$27</definedName>
    <definedName name="通算門前アガリ点" localSheetId="7">だいち!$C$27</definedName>
    <definedName name="通算門前アガリ点" localSheetId="17">たか!$C$27</definedName>
    <definedName name="通算門前アガリ点" localSheetId="6">たかの!$C$27</definedName>
    <definedName name="通算門前アガリ点" localSheetId="8">ただ!$C$27</definedName>
    <definedName name="通算門前アガリ点" localSheetId="16">ともき!$C$27</definedName>
    <definedName name="通算門前アガリ点" localSheetId="12">のり!$C$27</definedName>
    <definedName name="通算門前アガリ点" localSheetId="13">ぱぱ!$C$27</definedName>
    <definedName name="通算門前アガリ点" localSheetId="14">ほたに!$C$27</definedName>
    <definedName name="通算門前アガリ点" localSheetId="11">まっつん!$C$27</definedName>
    <definedName name="通算門前アガリ点" localSheetId="18">ゆう!$C$27</definedName>
    <definedName name="通算門前アガリ点" localSheetId="9">りくと!$C$27</definedName>
    <definedName name="通算門前アガリ点" localSheetId="10">れんたろう!$C$27</definedName>
    <definedName name="通算門前アガリ点" localSheetId="5">全体!$C$27</definedName>
    <definedName name="通算門前アガリ点">#REF!</definedName>
    <definedName name="二位スコア" localSheetId="15">いっしー!$B$11</definedName>
    <definedName name="二位スコア" localSheetId="7">だいち!$B$11</definedName>
    <definedName name="二位スコア" localSheetId="17">たか!$B$11</definedName>
    <definedName name="二位スコア" localSheetId="6">たかの!$B$11</definedName>
    <definedName name="二位スコア" localSheetId="8">ただ!$B$11</definedName>
    <definedName name="二位スコア" localSheetId="16">ともき!$B$11</definedName>
    <definedName name="二位スコア" localSheetId="12">のり!$B$11</definedName>
    <definedName name="二位スコア" localSheetId="13">ぱぱ!$B$11</definedName>
    <definedName name="二位スコア" localSheetId="14">ほたに!$B$11</definedName>
    <definedName name="二位スコア" localSheetId="11">まっつん!$B$11</definedName>
    <definedName name="二位スコア" localSheetId="18">ゆう!$B$11</definedName>
    <definedName name="二位スコア" localSheetId="9">りくと!$B$11</definedName>
    <definedName name="二位スコア" localSheetId="10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#REF!</definedName>
    <definedName name="二位通算スコア" localSheetId="15">いっしー!$C$11</definedName>
    <definedName name="二位通算スコア" localSheetId="7">だいち!$C$11</definedName>
    <definedName name="二位通算スコア" localSheetId="17">たか!$C$11</definedName>
    <definedName name="二位通算スコア" localSheetId="6">たかの!$C$11</definedName>
    <definedName name="二位通算スコア" localSheetId="8">ただ!$C$11</definedName>
    <definedName name="二位通算スコア" localSheetId="16">ともき!$C$11</definedName>
    <definedName name="二位通算スコア" localSheetId="12">のり!$C$11</definedName>
    <definedName name="二位通算スコア" localSheetId="13">ぱぱ!$C$11</definedName>
    <definedName name="二位通算スコア" localSheetId="14">ほたに!$C$11</definedName>
    <definedName name="二位通算スコア" localSheetId="11">まっつん!$C$11</definedName>
    <definedName name="二位通算スコア" localSheetId="18">ゆう!$C$11</definedName>
    <definedName name="二位通算スコア" localSheetId="9">りくと!$C$11</definedName>
    <definedName name="二位通算スコア" localSheetId="10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5">いっしー!$B$24</definedName>
    <definedName name="副露アガリ数" localSheetId="7">だいち!$B$24</definedName>
    <definedName name="副露アガリ数" localSheetId="17">たか!$B$24</definedName>
    <definedName name="副露アガリ数" localSheetId="6">たかの!$B$24</definedName>
    <definedName name="副露アガリ数" localSheetId="8">ただ!$B$24</definedName>
    <definedName name="副露アガリ数" localSheetId="16">ともき!$B$24</definedName>
    <definedName name="副露アガリ数" localSheetId="12">のり!$B$24</definedName>
    <definedName name="副露アガリ数" localSheetId="13">ぱぱ!$B$24</definedName>
    <definedName name="副露アガリ数" localSheetId="14">ほたに!$B$24</definedName>
    <definedName name="副露アガリ数" localSheetId="11">まっつん!$B$24</definedName>
    <definedName name="副露アガリ数" localSheetId="18">ゆう!$B$24</definedName>
    <definedName name="副露アガリ数" localSheetId="9">りくと!$B$24</definedName>
    <definedName name="副露アガリ数" localSheetId="10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5">いっしー!$B$28</definedName>
    <definedName name="副露アガリ点" localSheetId="7">だいち!$B$28</definedName>
    <definedName name="副露アガリ点" localSheetId="17">たか!$B$28</definedName>
    <definedName name="副露アガリ点" localSheetId="6">たかの!$B$28</definedName>
    <definedName name="副露アガリ点" localSheetId="8">ただ!$B$28</definedName>
    <definedName name="副露アガリ点" localSheetId="16">ともき!$B$28</definedName>
    <definedName name="副露アガリ点" localSheetId="12">のり!$B$28</definedName>
    <definedName name="副露アガリ点" localSheetId="13">ぱぱ!$B$28</definedName>
    <definedName name="副露アガリ点" localSheetId="14">ほたに!$B$28</definedName>
    <definedName name="副露アガリ点" localSheetId="11">まっつん!$B$28</definedName>
    <definedName name="副露アガリ点" localSheetId="18">ゆう!$B$28</definedName>
    <definedName name="副露アガリ点" localSheetId="9">りくと!$B$28</definedName>
    <definedName name="副露アガリ点" localSheetId="10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5">いっしー!$C$24</definedName>
    <definedName name="副露アガリ率" localSheetId="7">だいち!$C$24</definedName>
    <definedName name="副露アガリ率" localSheetId="17">たか!$C$24</definedName>
    <definedName name="副露アガリ率" localSheetId="6">たかの!$C$24</definedName>
    <definedName name="副露アガリ率" localSheetId="8">ただ!$C$24</definedName>
    <definedName name="副露アガリ率" localSheetId="16">ともき!$C$24</definedName>
    <definedName name="副露アガリ率" localSheetId="12">のり!$C$24</definedName>
    <definedName name="副露アガリ率" localSheetId="13">ぱぱ!$C$24</definedName>
    <definedName name="副露アガリ率" localSheetId="14">ほたに!$C$24</definedName>
    <definedName name="副露アガリ率" localSheetId="11">まっつん!$C$24</definedName>
    <definedName name="副露アガリ率" localSheetId="18">ゆう!$C$24</definedName>
    <definedName name="副露アガリ率" localSheetId="9">りくと!$C$24</definedName>
    <definedName name="副露アガリ率" localSheetId="10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5">いっしー!$B$16</definedName>
    <definedName name="副露数" localSheetId="7">だいち!$B$16</definedName>
    <definedName name="副露数" localSheetId="17">たか!$B$16</definedName>
    <definedName name="副露数" localSheetId="6">たかの!$B$16</definedName>
    <definedName name="副露数" localSheetId="8">ただ!$B$16</definedName>
    <definedName name="副露数" localSheetId="16">ともき!$B$16</definedName>
    <definedName name="副露数" localSheetId="12">のり!$B$16</definedName>
    <definedName name="副露数" localSheetId="13">ぱぱ!$B$16</definedName>
    <definedName name="副露数" localSheetId="14">ほたに!$B$16</definedName>
    <definedName name="副露数" localSheetId="11">まっつん!$B$16</definedName>
    <definedName name="副露数" localSheetId="18">ゆう!$B$16</definedName>
    <definedName name="副露数" localSheetId="9">りくと!$B$16</definedName>
    <definedName name="副露数" localSheetId="10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5">いっしー!$B$18</definedName>
    <definedName name="副露成功数" localSheetId="7">だいち!$B$18</definedName>
    <definedName name="副露成功数" localSheetId="17">たか!$B$18</definedName>
    <definedName name="副露成功数" localSheetId="6">たかの!$B$18</definedName>
    <definedName name="副露成功数" localSheetId="8">ただ!$B$18</definedName>
    <definedName name="副露成功数" localSheetId="16">ともき!$B$18</definedName>
    <definedName name="副露成功数" localSheetId="12">のり!$B$18</definedName>
    <definedName name="副露成功数" localSheetId="13">ぱぱ!$B$18</definedName>
    <definedName name="副露成功数" localSheetId="14">ほたに!$B$18</definedName>
    <definedName name="副露成功数" localSheetId="11">まっつん!$B$18</definedName>
    <definedName name="副露成功数" localSheetId="18">ゆう!$B$18</definedName>
    <definedName name="副露成功数" localSheetId="9">りくと!$B$18</definedName>
    <definedName name="副露成功数" localSheetId="10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5">いっしー!$C$18</definedName>
    <definedName name="副露成功率" localSheetId="7">だいち!$C$18</definedName>
    <definedName name="副露成功率" localSheetId="17">たか!$C$18</definedName>
    <definedName name="副露成功率" localSheetId="6">たかの!$C$18</definedName>
    <definedName name="副露成功率" localSheetId="8">ただ!$C$18</definedName>
    <definedName name="副露成功率" localSheetId="16">ともき!$C$18</definedName>
    <definedName name="副露成功率" localSheetId="12">のり!$C$18</definedName>
    <definedName name="副露成功率" localSheetId="13">ぱぱ!$C$18</definedName>
    <definedName name="副露成功率" localSheetId="14">ほたに!$C$18</definedName>
    <definedName name="副露成功率" localSheetId="11">まっつん!$C$18</definedName>
    <definedName name="副露成功率" localSheetId="18">ゆう!$C$18</definedName>
    <definedName name="副露成功率" localSheetId="9">りくと!$C$18</definedName>
    <definedName name="副露成功率" localSheetId="10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5">いっしー!$C$16</definedName>
    <definedName name="副露率" localSheetId="7">だいち!$C$16</definedName>
    <definedName name="副露率" localSheetId="17">たか!$C$16</definedName>
    <definedName name="副露率" localSheetId="6">たかの!$C$16</definedName>
    <definedName name="副露率" localSheetId="8">ただ!$C$16</definedName>
    <definedName name="副露率" localSheetId="16">ともき!$C$16</definedName>
    <definedName name="副露率" localSheetId="12">のり!$C$16</definedName>
    <definedName name="副露率" localSheetId="13">ぱぱ!$C$16</definedName>
    <definedName name="副露率" localSheetId="14">ほたに!$C$16</definedName>
    <definedName name="副露率" localSheetId="11">まっつん!$C$16</definedName>
    <definedName name="副露率" localSheetId="18">ゆう!$C$16</definedName>
    <definedName name="副露率" localSheetId="9">りくと!$C$16</definedName>
    <definedName name="副露率" localSheetId="10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5">いっしー!$B$26</definedName>
    <definedName name="平均アガリ点" localSheetId="7">だいち!$B$26</definedName>
    <definedName name="平均アガリ点" localSheetId="17">たか!$B$26</definedName>
    <definedName name="平均アガリ点" localSheetId="6">たかの!$B$26</definedName>
    <definedName name="平均アガリ点" localSheetId="8">ただ!$B$26</definedName>
    <definedName name="平均アガリ点" localSheetId="16">ともき!$B$26</definedName>
    <definedName name="平均アガリ点" localSheetId="12">のり!$B$26</definedName>
    <definedName name="平均アガリ点" localSheetId="13">ぱぱ!$B$26</definedName>
    <definedName name="平均アガリ点" localSheetId="14">ほたに!$B$26</definedName>
    <definedName name="平均アガリ点" localSheetId="11">まっつん!$B$26</definedName>
    <definedName name="平均アガリ点" localSheetId="18">ゆう!$B$26</definedName>
    <definedName name="平均アガリ点" localSheetId="9">りくと!$B$26</definedName>
    <definedName name="平均アガリ点" localSheetId="10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5">いっしー!$B$29</definedName>
    <definedName name="平均放銃点" localSheetId="7">だいち!$B$29</definedName>
    <definedName name="平均放銃点" localSheetId="17">たか!$B$29</definedName>
    <definedName name="平均放銃点" localSheetId="6">たかの!$B$29</definedName>
    <definedName name="平均放銃点" localSheetId="8">ただ!$B$29</definedName>
    <definedName name="平均放銃点" localSheetId="16">ともき!$B$29</definedName>
    <definedName name="平均放銃点" localSheetId="12">のり!$B$29</definedName>
    <definedName name="平均放銃点" localSheetId="13">ぱぱ!$B$29</definedName>
    <definedName name="平均放銃点" localSheetId="14">ほたに!$B$29</definedName>
    <definedName name="平均放銃点" localSheetId="11">まっつん!$B$29</definedName>
    <definedName name="平均放銃点" localSheetId="18">ゆう!$B$29</definedName>
    <definedName name="平均放銃点" localSheetId="9">りくと!$B$29</definedName>
    <definedName name="平均放銃点" localSheetId="10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5">いっしー!$B$20</definedName>
    <definedName name="放銃数" localSheetId="7">だいち!$B$20</definedName>
    <definedName name="放銃数" localSheetId="17">たか!$B$20</definedName>
    <definedName name="放銃数" localSheetId="6">たかの!$B$20</definedName>
    <definedName name="放銃数" localSheetId="8">ただ!$B$20</definedName>
    <definedName name="放銃数" localSheetId="16">ともき!$B$20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18">ゆう!$B$20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5">いっしー!$C$20</definedName>
    <definedName name="放銃率" localSheetId="7">だいち!$C$20</definedName>
    <definedName name="放銃率" localSheetId="17">たか!$C$20</definedName>
    <definedName name="放銃率" localSheetId="6">たかの!$C$20</definedName>
    <definedName name="放銃率" localSheetId="8">ただ!$C$20</definedName>
    <definedName name="放銃率" localSheetId="16">ともき!$C$20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18">ゆう!$C$20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5">いっしー!$B$27</definedName>
    <definedName name="門前アガリ点" localSheetId="7">だいち!$B$27</definedName>
    <definedName name="門前アガリ点" localSheetId="17">たか!$B$27</definedName>
    <definedName name="門前アガリ点" localSheetId="6">たかの!$B$27</definedName>
    <definedName name="門前アガリ点" localSheetId="8">ただ!$B$27</definedName>
    <definedName name="門前アガリ点" localSheetId="16">ともき!$B$27</definedName>
    <definedName name="門前アガリ点" localSheetId="12">のり!$B$27</definedName>
    <definedName name="門前アガリ点" localSheetId="13">ぱぱ!$B$27</definedName>
    <definedName name="門前アガリ点" localSheetId="14">ほたに!$B$27</definedName>
    <definedName name="門前アガリ点" localSheetId="11">まっつん!$B$27</definedName>
    <definedName name="門前アガリ点" localSheetId="18">ゆう!$B$27</definedName>
    <definedName name="門前アガリ点" localSheetId="9">りくと!$B$27</definedName>
    <definedName name="門前アガリ点" localSheetId="10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5">いっしー!$B$30</definedName>
    <definedName name="連続アガリ" localSheetId="7">だいち!$B$30</definedName>
    <definedName name="連続アガリ" localSheetId="17">たか!$B$30</definedName>
    <definedName name="連続アガリ" localSheetId="6">たかの!$B$30</definedName>
    <definedName name="連続アガリ" localSheetId="8">ただ!$B$30</definedName>
    <definedName name="連続アガリ" localSheetId="16">ともき!$B$30</definedName>
    <definedName name="連続アガリ" localSheetId="12">のり!$B$30</definedName>
    <definedName name="連続アガリ" localSheetId="13">ぱぱ!$B$30</definedName>
    <definedName name="連続アガリ" localSheetId="14">ほたに!$B$30</definedName>
    <definedName name="連続アガリ" localSheetId="11">まっつん!$B$30</definedName>
    <definedName name="連続アガリ" localSheetId="18">ゆう!$B$30</definedName>
    <definedName name="連続アガリ" localSheetId="9">りくと!$B$30</definedName>
    <definedName name="連続アガリ" localSheetId="10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5">いっしー!$B$31</definedName>
    <definedName name="連続無放銃" localSheetId="7">だいち!$B$31</definedName>
    <definedName name="連続無放銃" localSheetId="17">たか!$B$31</definedName>
    <definedName name="連続無放銃" localSheetId="6">たかの!$B$31</definedName>
    <definedName name="連続無放銃" localSheetId="8">ただ!$B$31</definedName>
    <definedName name="連続無放銃" localSheetId="16">ともき!$B$31</definedName>
    <definedName name="連続無放銃" localSheetId="12">のり!$B$31</definedName>
    <definedName name="連続無放銃" localSheetId="13">ぱぱ!$B$31</definedName>
    <definedName name="連続無放銃" localSheetId="14">ほたに!$B$31</definedName>
    <definedName name="連続無放銃" localSheetId="11">まっつん!$B$31</definedName>
    <definedName name="連続無放銃" localSheetId="18">ゆう!$B$31</definedName>
    <definedName name="連続無放銃" localSheetId="9">りくと!$B$31</definedName>
    <definedName name="連続無放銃" localSheetId="10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078" l="1"/>
  <c r="O25" i="6066" l="1"/>
  <c r="O15" i="6076"/>
  <c r="O16" i="6078" l="1"/>
  <c r="O23" i="6056"/>
  <c r="O20" i="6066" l="1"/>
  <c r="O16" i="6080"/>
  <c r="O18" i="6078"/>
  <c r="O15" i="6056" l="1"/>
  <c r="O22" i="6076"/>
  <c r="O19" i="6078" l="1"/>
  <c r="O15" i="6080"/>
  <c r="O17" i="6080"/>
  <c r="C34" i="6080"/>
  <c r="B29" i="6080"/>
  <c r="C20" i="6080"/>
  <c r="B19" i="6080"/>
  <c r="H50" i="6080" s="1"/>
  <c r="B18" i="6080"/>
  <c r="B28" i="6080" s="1"/>
  <c r="B17" i="6080"/>
  <c r="C17" i="6080" s="1"/>
  <c r="C16" i="6080"/>
  <c r="C15" i="6080"/>
  <c r="C14" i="6080"/>
  <c r="O12" i="6080"/>
  <c r="B12" i="6080"/>
  <c r="O11" i="6080"/>
  <c r="B11" i="6080"/>
  <c r="O10" i="6080"/>
  <c r="B10" i="6080"/>
  <c r="C9" i="6080"/>
  <c r="C8" i="6080"/>
  <c r="O7" i="6080"/>
  <c r="C7" i="6080"/>
  <c r="O6" i="6080"/>
  <c r="B6" i="6080"/>
  <c r="O5" i="6080"/>
  <c r="B5" i="6080"/>
  <c r="O4" i="6080"/>
  <c r="O3" i="6080"/>
  <c r="O2" i="6080"/>
  <c r="O16" i="6068"/>
  <c r="O15" i="6078"/>
  <c r="O17" i="6078"/>
  <c r="C34" i="6078"/>
  <c r="B29" i="6078"/>
  <c r="C20" i="6078"/>
  <c r="B19" i="6078"/>
  <c r="H50" i="6078" s="1"/>
  <c r="B18" i="6078"/>
  <c r="B28" i="6078" s="1"/>
  <c r="B17" i="6078"/>
  <c r="C17" i="6078" s="1"/>
  <c r="C16" i="6078"/>
  <c r="C15" i="6078"/>
  <c r="C14" i="6078"/>
  <c r="O12" i="6078"/>
  <c r="B12" i="6078"/>
  <c r="O11" i="6078"/>
  <c r="B11" i="6078"/>
  <c r="O10" i="6078"/>
  <c r="B10" i="6078"/>
  <c r="C9" i="6078"/>
  <c r="C8" i="6078"/>
  <c r="O7" i="6078"/>
  <c r="C7" i="6078"/>
  <c r="O6" i="6078"/>
  <c r="B6" i="6078"/>
  <c r="O5" i="6078"/>
  <c r="B5" i="6078"/>
  <c r="O4" i="6078"/>
  <c r="O3" i="6078"/>
  <c r="O2" i="6078"/>
  <c r="O15" i="6054"/>
  <c r="H37" i="6080" l="1"/>
  <c r="H11" i="6080"/>
  <c r="H24" i="6080"/>
  <c r="H9" i="6080"/>
  <c r="H42" i="6080"/>
  <c r="C22" i="6080"/>
  <c r="C42" i="6080"/>
  <c r="C23" i="6080"/>
  <c r="H15" i="6080"/>
  <c r="H41" i="6080"/>
  <c r="C46" i="6080"/>
  <c r="H7" i="6080"/>
  <c r="H21" i="6080"/>
  <c r="B13" i="6078"/>
  <c r="B13" i="6080"/>
  <c r="C36" i="6080"/>
  <c r="C18" i="6078"/>
  <c r="B27" i="6080"/>
  <c r="C18" i="6080"/>
  <c r="H47" i="6080"/>
  <c r="H18" i="6080"/>
  <c r="H36" i="6080"/>
  <c r="H48" i="6080"/>
  <c r="H19" i="6080"/>
  <c r="H38" i="6080"/>
  <c r="H43" i="6080"/>
  <c r="C48" i="6080"/>
  <c r="C19" i="6080"/>
  <c r="C24" i="6080"/>
  <c r="H31" i="6080"/>
  <c r="C38" i="6080"/>
  <c r="H44" i="6080"/>
  <c r="H49" i="6080"/>
  <c r="H2" i="6080"/>
  <c r="H30" i="6080"/>
  <c r="H16" i="6080"/>
  <c r="C44" i="6080"/>
  <c r="H10" i="6080"/>
  <c r="H14" i="6080"/>
  <c r="H22" i="6080"/>
  <c r="C25" i="6080"/>
  <c r="H33" i="6080"/>
  <c r="H39" i="6080"/>
  <c r="H4" i="6080"/>
  <c r="H13" i="6080"/>
  <c r="H26" i="6080"/>
  <c r="H6" i="6080"/>
  <c r="H5" i="6080"/>
  <c r="H51" i="6080"/>
  <c r="H12" i="6080"/>
  <c r="H34" i="6080"/>
  <c r="H40" i="6080"/>
  <c r="H45" i="6080"/>
  <c r="H3" i="6080"/>
  <c r="H8" i="6080"/>
  <c r="H17" i="6080"/>
  <c r="C21" i="6080"/>
  <c r="B26" i="6080"/>
  <c r="C40" i="6080"/>
  <c r="H46" i="6080"/>
  <c r="H52" i="6080"/>
  <c r="H20" i="6080"/>
  <c r="H23" i="6080"/>
  <c r="H27" i="6080"/>
  <c r="H29" i="6080"/>
  <c r="H35" i="6080"/>
  <c r="C39" i="6080"/>
  <c r="C43" i="6080"/>
  <c r="C47" i="6080"/>
  <c r="H25" i="6080"/>
  <c r="H28" i="6080"/>
  <c r="H32" i="6080"/>
  <c r="C37" i="6080"/>
  <c r="C41" i="6080"/>
  <c r="C45" i="6080"/>
  <c r="H15" i="6078"/>
  <c r="H7" i="6078"/>
  <c r="H37" i="6078"/>
  <c r="B27" i="6078"/>
  <c r="H10" i="6078"/>
  <c r="C46" i="6078"/>
  <c r="H19" i="6078"/>
  <c r="H24" i="6078"/>
  <c r="H38" i="6078"/>
  <c r="H3" i="6078"/>
  <c r="C21" i="6078"/>
  <c r="H21" i="6078"/>
  <c r="H39" i="6078"/>
  <c r="H48" i="6078"/>
  <c r="H28" i="6078"/>
  <c r="C43" i="6078"/>
  <c r="H23" i="6078"/>
  <c r="H14" i="6078"/>
  <c r="H47" i="6078"/>
  <c r="H9" i="6078"/>
  <c r="H6" i="6078"/>
  <c r="H17" i="6078"/>
  <c r="C22" i="6078"/>
  <c r="H31" i="6078"/>
  <c r="H27" i="6078"/>
  <c r="H42" i="6078"/>
  <c r="C48" i="6078"/>
  <c r="H43" i="6078"/>
  <c r="B26" i="6078"/>
  <c r="H4" i="6078"/>
  <c r="H44" i="6078"/>
  <c r="C38" i="6078"/>
  <c r="C39" i="6078"/>
  <c r="H8" i="6078"/>
  <c r="H33" i="6078"/>
  <c r="H2" i="6078"/>
  <c r="H18" i="6078"/>
  <c r="H22" i="6078"/>
  <c r="C25" i="6078"/>
  <c r="H34" i="6078"/>
  <c r="C42" i="6078"/>
  <c r="H49" i="6078"/>
  <c r="C23" i="6078"/>
  <c r="H13" i="6078"/>
  <c r="H35" i="6078"/>
  <c r="H40" i="6078"/>
  <c r="C44" i="6078"/>
  <c r="H51" i="6078"/>
  <c r="H11" i="6078"/>
  <c r="H16" i="6078"/>
  <c r="H20" i="6078"/>
  <c r="C19" i="6078"/>
  <c r="H26" i="6078"/>
  <c r="H36" i="6078"/>
  <c r="H45" i="6078"/>
  <c r="H5" i="6078"/>
  <c r="H30" i="6078"/>
  <c r="C40" i="6078"/>
  <c r="H12" i="6078"/>
  <c r="C24" i="6078"/>
  <c r="C36" i="6078"/>
  <c r="H41" i="6078"/>
  <c r="H46" i="6078"/>
  <c r="H52" i="6078"/>
  <c r="C47" i="6078"/>
  <c r="H25" i="6078"/>
  <c r="H29" i="6078"/>
  <c r="H32" i="6078"/>
  <c r="C37" i="6078"/>
  <c r="C41" i="6078"/>
  <c r="C45" i="6078"/>
  <c r="O21" i="6076" l="1"/>
  <c r="O15" i="6058"/>
  <c r="O20" i="6060" l="1"/>
  <c r="O16" i="6076"/>
  <c r="O19" i="6076"/>
  <c r="O22" i="6062"/>
  <c r="O17" i="6070" l="1"/>
  <c r="O20" i="6076"/>
  <c r="O22" i="6064" l="1"/>
  <c r="O17" i="6076"/>
  <c r="O18" i="6076"/>
  <c r="C34" i="6076"/>
  <c r="B29" i="6076"/>
  <c r="C20" i="6076"/>
  <c r="B19" i="6076"/>
  <c r="H50" i="6076" s="1"/>
  <c r="C18" i="6076"/>
  <c r="B18" i="6076"/>
  <c r="B28" i="6076" s="1"/>
  <c r="B17" i="6076"/>
  <c r="C17" i="6076" s="1"/>
  <c r="C16" i="6076"/>
  <c r="C15" i="6076"/>
  <c r="C14" i="6076"/>
  <c r="O12" i="6076"/>
  <c r="B12" i="6076"/>
  <c r="O11" i="6076"/>
  <c r="B11" i="6076"/>
  <c r="O10" i="6076"/>
  <c r="B10" i="6076"/>
  <c r="C9" i="6076"/>
  <c r="C8" i="6076"/>
  <c r="O7" i="6076"/>
  <c r="C7" i="6076"/>
  <c r="O6" i="6076"/>
  <c r="B6" i="6076"/>
  <c r="O5" i="6076"/>
  <c r="B5" i="6076"/>
  <c r="O4" i="6076"/>
  <c r="O3" i="6076"/>
  <c r="O2" i="6076"/>
  <c r="O17" i="6068"/>
  <c r="O20" i="6054"/>
  <c r="B13" i="6076" l="1"/>
  <c r="H9" i="6076"/>
  <c r="H4" i="6076"/>
  <c r="H36" i="6076"/>
  <c r="H2" i="6076"/>
  <c r="H42" i="6076"/>
  <c r="H21" i="6076"/>
  <c r="C36" i="6076"/>
  <c r="H14" i="6076"/>
  <c r="H41" i="6076"/>
  <c r="C46" i="6076"/>
  <c r="H23" i="6076"/>
  <c r="H18" i="6076"/>
  <c r="C22" i="6076"/>
  <c r="B27" i="6076"/>
  <c r="H11" i="6076"/>
  <c r="H47" i="6076"/>
  <c r="H37" i="6076"/>
  <c r="H48" i="6076"/>
  <c r="H8" i="6076"/>
  <c r="H19" i="6076"/>
  <c r="C19" i="6076"/>
  <c r="H15" i="6076"/>
  <c r="H30" i="6076"/>
  <c r="H38" i="6076"/>
  <c r="H43" i="6076"/>
  <c r="C48" i="6076"/>
  <c r="C42" i="6076"/>
  <c r="H49" i="6076"/>
  <c r="H16" i="6076"/>
  <c r="H24" i="6076"/>
  <c r="C44" i="6076"/>
  <c r="H51" i="6076"/>
  <c r="H10" i="6076"/>
  <c r="H13" i="6076"/>
  <c r="H25" i="6076"/>
  <c r="H27" i="6076"/>
  <c r="H40" i="6076"/>
  <c r="H45" i="6076"/>
  <c r="H7" i="6076"/>
  <c r="C23" i="6076"/>
  <c r="H6" i="6076"/>
  <c r="H22" i="6076"/>
  <c r="C24" i="6076"/>
  <c r="H31" i="6076"/>
  <c r="C38" i="6076"/>
  <c r="H44" i="6076"/>
  <c r="H3" i="6076"/>
  <c r="H5" i="6076"/>
  <c r="H12" i="6076"/>
  <c r="C25" i="6076"/>
  <c r="H33" i="6076"/>
  <c r="H39" i="6076"/>
  <c r="H34" i="6076"/>
  <c r="H20" i="6076"/>
  <c r="C21" i="6076"/>
  <c r="B26" i="6076"/>
  <c r="C40" i="6076"/>
  <c r="H46" i="6076"/>
  <c r="H52" i="6076"/>
  <c r="H17" i="6076"/>
  <c r="H29" i="6076"/>
  <c r="H35" i="6076"/>
  <c r="C39" i="6076"/>
  <c r="C43" i="6076"/>
  <c r="C47" i="6076"/>
  <c r="H26" i="6076"/>
  <c r="H28" i="6076"/>
  <c r="H32" i="6076"/>
  <c r="C37" i="6076"/>
  <c r="C41" i="6076"/>
  <c r="C45" i="6076"/>
  <c r="O16" i="6066" l="1"/>
  <c r="O17" i="6074"/>
  <c r="O23" i="6058"/>
  <c r="O16" i="6074"/>
  <c r="O15" i="6074"/>
  <c r="C34" i="6074"/>
  <c r="B29" i="6074"/>
  <c r="C20" i="6074"/>
  <c r="B19" i="6074"/>
  <c r="H50" i="6074" s="1"/>
  <c r="B18" i="6074"/>
  <c r="B28" i="6074" s="1"/>
  <c r="B17" i="6074"/>
  <c r="C17" i="6074" s="1"/>
  <c r="C16" i="6074"/>
  <c r="C15" i="6074"/>
  <c r="C14" i="6074"/>
  <c r="O12" i="6074"/>
  <c r="B12" i="6074"/>
  <c r="O11" i="6074"/>
  <c r="B11" i="6074"/>
  <c r="O10" i="6074"/>
  <c r="B10" i="6074"/>
  <c r="C9" i="6074"/>
  <c r="C8" i="6074"/>
  <c r="O7" i="6074"/>
  <c r="C7" i="6074"/>
  <c r="O6" i="6074"/>
  <c r="B6" i="6074"/>
  <c r="O5" i="6074"/>
  <c r="B5" i="6074"/>
  <c r="O4" i="6074"/>
  <c r="O3" i="6074"/>
  <c r="O2" i="6074"/>
  <c r="O20" i="6068"/>
  <c r="O26" i="6054"/>
  <c r="B13" i="6074" l="1"/>
  <c r="C18" i="6074"/>
  <c r="H30" i="6074"/>
  <c r="H17" i="6074"/>
  <c r="H43" i="6074"/>
  <c r="H37" i="6074"/>
  <c r="C21" i="6074"/>
  <c r="H38" i="6074"/>
  <c r="H12" i="6074"/>
  <c r="C38" i="6074"/>
  <c r="H44" i="6074"/>
  <c r="H2" i="6074"/>
  <c r="H8" i="6074"/>
  <c r="C22" i="6074"/>
  <c r="H3" i="6074"/>
  <c r="H20" i="6074"/>
  <c r="B27" i="6074"/>
  <c r="H16" i="6074"/>
  <c r="C44" i="6074"/>
  <c r="C46" i="6074"/>
  <c r="H13" i="6074"/>
  <c r="C24" i="6074"/>
  <c r="H39" i="6074"/>
  <c r="H14" i="6074"/>
  <c r="H18" i="6074"/>
  <c r="H33" i="6074"/>
  <c r="C25" i="6074"/>
  <c r="H48" i="6074"/>
  <c r="H26" i="6074"/>
  <c r="C39" i="6074"/>
  <c r="H47" i="6074"/>
  <c r="H22" i="6074"/>
  <c r="H34" i="6074"/>
  <c r="H4" i="6074"/>
  <c r="H27" i="6074"/>
  <c r="H42" i="6074"/>
  <c r="C48" i="6074"/>
  <c r="H21" i="6074"/>
  <c r="H31" i="6074"/>
  <c r="H41" i="6074"/>
  <c r="H9" i="6074"/>
  <c r="H6" i="6074"/>
  <c r="H23" i="6074"/>
  <c r="B26" i="6074"/>
  <c r="C36" i="6074"/>
  <c r="C42" i="6074"/>
  <c r="H49" i="6074"/>
  <c r="H51" i="6074"/>
  <c r="C23" i="6074"/>
  <c r="H5" i="6074"/>
  <c r="H35" i="6074"/>
  <c r="H40" i="6074"/>
  <c r="H45" i="6074"/>
  <c r="H11" i="6074"/>
  <c r="H7" i="6074"/>
  <c r="H10" i="6074"/>
  <c r="H15" i="6074"/>
  <c r="H19" i="6074"/>
  <c r="C19" i="6074"/>
  <c r="H25" i="6074"/>
  <c r="H29" i="6074"/>
  <c r="H36" i="6074"/>
  <c r="C40" i="6074"/>
  <c r="H46" i="6074"/>
  <c r="H52" i="6074"/>
  <c r="C43" i="6074"/>
  <c r="C47" i="6074"/>
  <c r="H24" i="6074"/>
  <c r="H28" i="6074"/>
  <c r="H32" i="6074"/>
  <c r="C37" i="6074"/>
  <c r="C41" i="6074"/>
  <c r="C45" i="6074"/>
  <c r="O22" i="6056" l="1"/>
  <c r="O16" i="6064"/>
  <c r="O15" i="6064" l="1"/>
  <c r="O19" i="6072"/>
  <c r="O15" i="6062" l="1"/>
  <c r="O22" i="6068"/>
  <c r="O16" i="6072" l="1"/>
  <c r="O23" i="6062"/>
  <c r="O21" i="6056" l="1"/>
  <c r="O17" i="6058"/>
  <c r="O15" i="6068"/>
  <c r="O23" i="6068"/>
  <c r="O19" i="6066" l="1"/>
  <c r="O19" i="6070"/>
  <c r="O18" i="6060" l="1"/>
  <c r="O17" i="6066"/>
  <c r="O18" i="6068"/>
  <c r="O19" i="6068"/>
  <c r="O16" i="6056" l="1"/>
  <c r="O16" i="6070"/>
  <c r="O20" i="6070"/>
  <c r="O18" i="6062"/>
  <c r="O21" i="6060" l="1"/>
  <c r="O20" i="6064"/>
  <c r="O21" i="6064" l="1"/>
  <c r="O22" i="6058"/>
  <c r="O25" i="6068"/>
  <c r="O17" i="6072"/>
  <c r="O15" i="6072"/>
  <c r="O21" i="6070"/>
  <c r="O15" i="6060" l="1"/>
  <c r="O22" i="6060"/>
  <c r="O18" i="6072"/>
  <c r="O20" i="6072"/>
  <c r="C34" i="6072"/>
  <c r="B29" i="6072"/>
  <c r="C20" i="6072"/>
  <c r="B19" i="6072"/>
  <c r="H50" i="6072" s="1"/>
  <c r="B18" i="6072"/>
  <c r="B28" i="6072" s="1"/>
  <c r="B17" i="6072"/>
  <c r="C17" i="6072" s="1"/>
  <c r="C16" i="6072"/>
  <c r="C15" i="6072"/>
  <c r="C14" i="6072"/>
  <c r="O12" i="6072"/>
  <c r="B12" i="6072"/>
  <c r="O11" i="6072"/>
  <c r="B11" i="6072"/>
  <c r="O10" i="6072"/>
  <c r="B10" i="6072"/>
  <c r="C9" i="6072"/>
  <c r="C8" i="6072"/>
  <c r="O7" i="6072"/>
  <c r="C7" i="6072"/>
  <c r="O6" i="6072"/>
  <c r="B6" i="6072"/>
  <c r="O5" i="6072"/>
  <c r="B5" i="6072"/>
  <c r="O4" i="6072"/>
  <c r="O3" i="6072"/>
  <c r="O2" i="6072"/>
  <c r="O21" i="6066"/>
  <c r="O15" i="6066"/>
  <c r="O16" i="6054"/>
  <c r="B13" i="6072" l="1"/>
  <c r="H19" i="6072"/>
  <c r="H48" i="6072"/>
  <c r="B26" i="6072"/>
  <c r="C25" i="6072"/>
  <c r="H27" i="6072"/>
  <c r="H3" i="6072"/>
  <c r="H22" i="6072"/>
  <c r="H38" i="6072"/>
  <c r="C38" i="6072"/>
  <c r="C18" i="6072"/>
  <c r="H43" i="6072"/>
  <c r="C42" i="6072"/>
  <c r="H10" i="6072"/>
  <c r="H31" i="6072"/>
  <c r="C43" i="6072"/>
  <c r="H20" i="6072"/>
  <c r="H16" i="6072"/>
  <c r="H24" i="6072"/>
  <c r="C21" i="6072"/>
  <c r="H13" i="6072"/>
  <c r="H34" i="6072"/>
  <c r="H47" i="6072"/>
  <c r="H39" i="6072"/>
  <c r="H33" i="6072"/>
  <c r="H14" i="6072"/>
  <c r="H4" i="6072"/>
  <c r="H11" i="6072"/>
  <c r="C22" i="6072"/>
  <c r="C47" i="6072"/>
  <c r="B27" i="6072"/>
  <c r="C39" i="6072"/>
  <c r="H44" i="6072"/>
  <c r="C48" i="6072"/>
  <c r="H49" i="6072"/>
  <c r="H9" i="6072"/>
  <c r="C44" i="6072"/>
  <c r="H7" i="6072"/>
  <c r="H8" i="6072"/>
  <c r="H17" i="6072"/>
  <c r="C19" i="6072"/>
  <c r="H29" i="6072"/>
  <c r="H36" i="6072"/>
  <c r="H45" i="6072"/>
  <c r="H51" i="6072"/>
  <c r="H21" i="6072"/>
  <c r="H26" i="6072"/>
  <c r="C40" i="6072"/>
  <c r="H23" i="6072"/>
  <c r="C24" i="6072"/>
  <c r="C36" i="6072"/>
  <c r="H46" i="6072"/>
  <c r="H6" i="6072"/>
  <c r="C23" i="6072"/>
  <c r="H35" i="6072"/>
  <c r="H40" i="6072"/>
  <c r="H12" i="6072"/>
  <c r="H41" i="6072"/>
  <c r="H2" i="6072"/>
  <c r="H5" i="6072"/>
  <c r="H18" i="6072"/>
  <c r="H15" i="6072"/>
  <c r="H30" i="6072"/>
  <c r="H37" i="6072"/>
  <c r="H42" i="6072"/>
  <c r="C46" i="6072"/>
  <c r="H52" i="6072"/>
  <c r="H25" i="6072"/>
  <c r="H28" i="6072"/>
  <c r="H32" i="6072"/>
  <c r="C37" i="6072"/>
  <c r="C41" i="6072"/>
  <c r="C45" i="6072"/>
  <c r="O19" i="6058" l="1"/>
  <c r="O19" i="6062"/>
  <c r="O21" i="6058" l="1"/>
  <c r="O22" i="6066"/>
  <c r="O24" i="6066"/>
  <c r="O18" i="6056"/>
  <c r="O17" i="6060"/>
  <c r="O17" i="6062"/>
  <c r="O21" i="6062"/>
  <c r="O17" i="6056"/>
  <c r="O16" i="6060"/>
  <c r="O16" i="6058"/>
  <c r="O22" i="6070"/>
  <c r="O23" i="6070"/>
  <c r="O19" i="6064" l="1"/>
  <c r="O17" i="6064"/>
  <c r="O15" i="6070"/>
  <c r="O18" i="6070"/>
  <c r="C34" i="6070"/>
  <c r="B29" i="6070"/>
  <c r="B28" i="6070"/>
  <c r="C20" i="6070"/>
  <c r="B19" i="6070"/>
  <c r="H20" i="6070" s="1"/>
  <c r="B18" i="6070"/>
  <c r="C18" i="6070" s="1"/>
  <c r="B17" i="6070"/>
  <c r="C17" i="6070" s="1"/>
  <c r="C16" i="6070"/>
  <c r="C15" i="6070"/>
  <c r="C14" i="6070"/>
  <c r="B13" i="6070"/>
  <c r="O12" i="6070"/>
  <c r="B12" i="6070"/>
  <c r="O11" i="6070"/>
  <c r="B11" i="6070"/>
  <c r="O10" i="6070"/>
  <c r="B10" i="6070"/>
  <c r="C9" i="6070"/>
  <c r="C8" i="6070"/>
  <c r="O7" i="6070"/>
  <c r="C7" i="6070"/>
  <c r="O6" i="6070"/>
  <c r="B6" i="6070"/>
  <c r="O5" i="6070"/>
  <c r="B5" i="6070"/>
  <c r="O4" i="6070"/>
  <c r="O3" i="6070"/>
  <c r="O2" i="6070"/>
  <c r="O17" i="6054"/>
  <c r="O21" i="6068"/>
  <c r="O24" i="6068"/>
  <c r="C34" i="6068"/>
  <c r="B29" i="6068"/>
  <c r="C20" i="6068"/>
  <c r="B19" i="6068"/>
  <c r="H51" i="6068" s="1"/>
  <c r="C18" i="6068"/>
  <c r="B18" i="6068"/>
  <c r="B28" i="6068" s="1"/>
  <c r="B17" i="6068"/>
  <c r="C17" i="6068" s="1"/>
  <c r="C16" i="6068"/>
  <c r="C15" i="6068"/>
  <c r="C14" i="6068"/>
  <c r="O12" i="6068"/>
  <c r="B12" i="6068"/>
  <c r="O11" i="6068"/>
  <c r="B11" i="6068"/>
  <c r="O10" i="6068"/>
  <c r="B10" i="6068"/>
  <c r="C9" i="6068"/>
  <c r="C8" i="6068"/>
  <c r="O7" i="6068"/>
  <c r="C7" i="6068"/>
  <c r="O6" i="6068"/>
  <c r="B6" i="6068"/>
  <c r="O5" i="6068"/>
  <c r="B5" i="6068"/>
  <c r="O4" i="6068"/>
  <c r="O3" i="6068"/>
  <c r="O2" i="6068"/>
  <c r="O21" i="6054"/>
  <c r="H27" i="6068" l="1"/>
  <c r="H21" i="6070"/>
  <c r="H37" i="6070"/>
  <c r="H36" i="6070"/>
  <c r="H10" i="6070"/>
  <c r="C22" i="6070"/>
  <c r="C40" i="6070"/>
  <c r="H22" i="6070"/>
  <c r="H41" i="6070"/>
  <c r="H3" i="6070"/>
  <c r="H12" i="6070"/>
  <c r="H4" i="6070"/>
  <c r="H42" i="6070"/>
  <c r="H23" i="6070"/>
  <c r="C21" i="6070"/>
  <c r="H7" i="6070"/>
  <c r="H15" i="6070"/>
  <c r="B26" i="6070"/>
  <c r="H11" i="6070"/>
  <c r="H9" i="6070"/>
  <c r="H26" i="6070"/>
  <c r="H46" i="6070"/>
  <c r="C46" i="6070"/>
  <c r="H24" i="6070"/>
  <c r="H48" i="6070"/>
  <c r="H18" i="6070"/>
  <c r="H30" i="6070"/>
  <c r="C36" i="6070"/>
  <c r="C42" i="6070"/>
  <c r="C47" i="6070"/>
  <c r="C48" i="6070"/>
  <c r="H13" i="6070"/>
  <c r="C19" i="6070"/>
  <c r="C24" i="6070"/>
  <c r="H38" i="6070"/>
  <c r="H44" i="6070"/>
  <c r="H2" i="6070"/>
  <c r="H6" i="6070"/>
  <c r="H17" i="6070"/>
  <c r="H14" i="6070"/>
  <c r="H31" i="6070"/>
  <c r="C38" i="6070"/>
  <c r="C43" i="6070"/>
  <c r="H50" i="6070"/>
  <c r="H8" i="6070"/>
  <c r="H16" i="6070"/>
  <c r="C25" i="6070"/>
  <c r="H32" i="6070"/>
  <c r="H40" i="6070"/>
  <c r="H45" i="6070"/>
  <c r="H5" i="6070"/>
  <c r="H25" i="6070"/>
  <c r="H27" i="6070"/>
  <c r="H19" i="6070"/>
  <c r="H35" i="6070"/>
  <c r="C39" i="6070"/>
  <c r="C44" i="6070"/>
  <c r="H52" i="6070"/>
  <c r="H49" i="6070"/>
  <c r="H28" i="6070"/>
  <c r="H29" i="6070"/>
  <c r="H33" i="6070"/>
  <c r="C37" i="6070"/>
  <c r="C41" i="6070"/>
  <c r="C45" i="6070"/>
  <c r="H51" i="6070"/>
  <c r="C23" i="6070"/>
  <c r="B27" i="6070"/>
  <c r="H34" i="6070"/>
  <c r="H39" i="6070"/>
  <c r="H43" i="6070"/>
  <c r="H47" i="6070"/>
  <c r="B13" i="6068"/>
  <c r="H7" i="6068"/>
  <c r="H26" i="6068"/>
  <c r="H37" i="6068"/>
  <c r="H4" i="6068"/>
  <c r="H14" i="6068"/>
  <c r="C40" i="6068"/>
  <c r="H18" i="6068"/>
  <c r="H42" i="6068"/>
  <c r="C46" i="6068"/>
  <c r="C22" i="6068"/>
  <c r="B26" i="6068"/>
  <c r="H47" i="6068"/>
  <c r="B27" i="6068"/>
  <c r="H11" i="6068"/>
  <c r="H8" i="6068"/>
  <c r="H52" i="6068"/>
  <c r="C23" i="6068"/>
  <c r="C36" i="6068"/>
  <c r="H9" i="6068"/>
  <c r="H12" i="6068"/>
  <c r="H17" i="6068"/>
  <c r="H30" i="6068"/>
  <c r="C42" i="6068"/>
  <c r="C24" i="6068"/>
  <c r="H39" i="6068"/>
  <c r="C48" i="6068"/>
  <c r="H2" i="6068"/>
  <c r="H3" i="6068"/>
  <c r="H24" i="6068"/>
  <c r="H15" i="6068"/>
  <c r="H21" i="6068"/>
  <c r="C38" i="6068"/>
  <c r="H45" i="6068"/>
  <c r="H50" i="6068"/>
  <c r="H48" i="6068"/>
  <c r="H19" i="6068"/>
  <c r="H38" i="6068"/>
  <c r="H20" i="6068"/>
  <c r="H35" i="6068"/>
  <c r="C44" i="6068"/>
  <c r="H23" i="6068"/>
  <c r="H43" i="6068"/>
  <c r="H6" i="6068"/>
  <c r="C19" i="6068"/>
  <c r="H49" i="6068"/>
  <c r="H13" i="6068"/>
  <c r="H16" i="6068"/>
  <c r="H44" i="6068"/>
  <c r="H10" i="6068"/>
  <c r="H28" i="6068"/>
  <c r="C25" i="6068"/>
  <c r="H40" i="6068"/>
  <c r="H25" i="6068"/>
  <c r="C21" i="6068"/>
  <c r="H31" i="6068"/>
  <c r="H22" i="6068"/>
  <c r="H41" i="6068"/>
  <c r="H46" i="6068"/>
  <c r="H5" i="6068"/>
  <c r="H33" i="6068"/>
  <c r="H36" i="6068"/>
  <c r="C39" i="6068"/>
  <c r="C43" i="6068"/>
  <c r="C47" i="6068"/>
  <c r="H29" i="6068"/>
  <c r="H32" i="6068"/>
  <c r="H34" i="6068"/>
  <c r="C37" i="6068"/>
  <c r="C41" i="6068"/>
  <c r="C45" i="6068"/>
  <c r="O23" i="6066" l="1"/>
  <c r="O18" i="6066"/>
  <c r="C34" i="6066"/>
  <c r="B29" i="6066"/>
  <c r="C20" i="6066"/>
  <c r="B19" i="6066"/>
  <c r="H51" i="6066" s="1"/>
  <c r="B18" i="6066"/>
  <c r="B28" i="6066" s="1"/>
  <c r="B17" i="6066"/>
  <c r="C17" i="6066" s="1"/>
  <c r="C16" i="6066"/>
  <c r="C15" i="6066"/>
  <c r="C14" i="6066"/>
  <c r="O12" i="6066"/>
  <c r="B12" i="6066"/>
  <c r="O11" i="6066"/>
  <c r="B11" i="6066"/>
  <c r="O10" i="6066"/>
  <c r="B10" i="6066"/>
  <c r="C9" i="6066"/>
  <c r="C8" i="6066"/>
  <c r="O7" i="6066"/>
  <c r="C7" i="6066"/>
  <c r="O6" i="6066"/>
  <c r="B6" i="6066"/>
  <c r="O5" i="6066"/>
  <c r="B5" i="6066"/>
  <c r="O4" i="6066"/>
  <c r="O3" i="6066"/>
  <c r="O2" i="6066"/>
  <c r="O23" i="6064"/>
  <c r="O18" i="6064"/>
  <c r="C34" i="6064"/>
  <c r="B29" i="6064"/>
  <c r="C20" i="6064"/>
  <c r="B19" i="6064"/>
  <c r="H51" i="6064" s="1"/>
  <c r="B18" i="6064"/>
  <c r="B28" i="6064" s="1"/>
  <c r="B17" i="6064"/>
  <c r="C17" i="6064" s="1"/>
  <c r="C16" i="6064"/>
  <c r="C15" i="6064"/>
  <c r="C14" i="6064"/>
  <c r="O12" i="6064"/>
  <c r="B12" i="6064"/>
  <c r="O11" i="6064"/>
  <c r="B11" i="6064"/>
  <c r="O10" i="6064"/>
  <c r="B10" i="6064"/>
  <c r="C9" i="6064"/>
  <c r="C8" i="6064"/>
  <c r="O7" i="6064"/>
  <c r="C7" i="6064"/>
  <c r="O6" i="6064"/>
  <c r="B6" i="6064"/>
  <c r="O5" i="6064"/>
  <c r="B5" i="6064"/>
  <c r="O4" i="6064"/>
  <c r="O3" i="6064"/>
  <c r="O2" i="6064"/>
  <c r="O18" i="6054"/>
  <c r="O20" i="6062"/>
  <c r="O16" i="6062"/>
  <c r="C34" i="6062"/>
  <c r="B29" i="6062"/>
  <c r="C20" i="6062"/>
  <c r="B19" i="6062"/>
  <c r="H18" i="6062" s="1"/>
  <c r="B18" i="6062"/>
  <c r="B28" i="6062" s="1"/>
  <c r="B17" i="6062"/>
  <c r="C17" i="6062" s="1"/>
  <c r="C16" i="6062"/>
  <c r="C15" i="6062"/>
  <c r="C14" i="6062"/>
  <c r="O12" i="6062"/>
  <c r="B12" i="6062"/>
  <c r="O11" i="6062"/>
  <c r="B11" i="6062"/>
  <c r="O10" i="6062"/>
  <c r="B10" i="6062"/>
  <c r="C9" i="6062"/>
  <c r="C8" i="6062"/>
  <c r="O7" i="6062"/>
  <c r="C7" i="6062"/>
  <c r="O6" i="6062"/>
  <c r="B6" i="6062"/>
  <c r="O5" i="6062"/>
  <c r="B5" i="6062"/>
  <c r="O4" i="6062"/>
  <c r="O3" i="6062"/>
  <c r="O2" i="6062"/>
  <c r="O23" i="6054"/>
  <c r="O24" i="6054"/>
  <c r="B13" i="6064" l="1"/>
  <c r="C18" i="6064"/>
  <c r="B13" i="6066"/>
  <c r="H31" i="6066"/>
  <c r="H23" i="6066"/>
  <c r="H6" i="6066"/>
  <c r="H42" i="6066"/>
  <c r="H43" i="6066"/>
  <c r="H4" i="6066"/>
  <c r="H3" i="6066"/>
  <c r="H14" i="6066"/>
  <c r="C25" i="6066"/>
  <c r="C42" i="6066"/>
  <c r="H11" i="6066"/>
  <c r="C22" i="6066"/>
  <c r="H26" i="6066"/>
  <c r="H38" i="6066"/>
  <c r="C36" i="6066"/>
  <c r="H16" i="6066"/>
  <c r="H12" i="6066"/>
  <c r="C18" i="6062"/>
  <c r="B13" i="6062"/>
  <c r="C46" i="6062"/>
  <c r="H26" i="6062"/>
  <c r="H48" i="6062"/>
  <c r="H9" i="6062"/>
  <c r="H10" i="6062"/>
  <c r="H37" i="6062"/>
  <c r="H36" i="6062"/>
  <c r="H25" i="6062"/>
  <c r="H12" i="6062"/>
  <c r="C40" i="6062"/>
  <c r="H3" i="6062"/>
  <c r="C22" i="6062"/>
  <c r="H42" i="6062"/>
  <c r="H35" i="6066"/>
  <c r="H46" i="6066"/>
  <c r="H9" i="6066"/>
  <c r="H36" i="6066"/>
  <c r="C46" i="6066"/>
  <c r="H29" i="6066"/>
  <c r="H2" i="6066"/>
  <c r="H32" i="6066"/>
  <c r="C21" i="6066"/>
  <c r="H48" i="6066"/>
  <c r="C18" i="6066"/>
  <c r="H41" i="6066"/>
  <c r="H49" i="6066"/>
  <c r="H18" i="6066"/>
  <c r="H30" i="6066"/>
  <c r="B26" i="6066"/>
  <c r="H34" i="6066"/>
  <c r="H28" i="6066"/>
  <c r="C48" i="6066"/>
  <c r="B27" i="6066"/>
  <c r="H20" i="6066"/>
  <c r="H39" i="6066"/>
  <c r="H44" i="6066"/>
  <c r="H50" i="6066"/>
  <c r="H7" i="6066"/>
  <c r="H10" i="6066"/>
  <c r="H25" i="6066"/>
  <c r="H15" i="6066"/>
  <c r="C19" i="6066"/>
  <c r="H21" i="6066"/>
  <c r="H40" i="6066"/>
  <c r="H45" i="6066"/>
  <c r="H17" i="6066"/>
  <c r="C24" i="6066"/>
  <c r="H19" i="6066"/>
  <c r="H13" i="6066"/>
  <c r="H22" i="6066"/>
  <c r="C38" i="6066"/>
  <c r="C44" i="6066"/>
  <c r="H5" i="6066"/>
  <c r="C23" i="6066"/>
  <c r="H8" i="6066"/>
  <c r="H37" i="6066"/>
  <c r="C40" i="6066"/>
  <c r="H47" i="6066"/>
  <c r="H52" i="6066"/>
  <c r="C39" i="6066"/>
  <c r="C43" i="6066"/>
  <c r="C47" i="6066"/>
  <c r="H33" i="6066"/>
  <c r="H24" i="6066"/>
  <c r="H27" i="6066"/>
  <c r="C37" i="6066"/>
  <c r="C41" i="6066"/>
  <c r="C45" i="6066"/>
  <c r="H46" i="6064"/>
  <c r="H32" i="6064"/>
  <c r="H33" i="6064"/>
  <c r="H48" i="6064"/>
  <c r="C36" i="6064"/>
  <c r="H35" i="6064"/>
  <c r="B26" i="6064"/>
  <c r="H4" i="6064"/>
  <c r="H17" i="6064"/>
  <c r="H8" i="6064"/>
  <c r="H41" i="6064"/>
  <c r="H49" i="6064"/>
  <c r="H47" i="6064"/>
  <c r="C48" i="6064"/>
  <c r="H31" i="6064"/>
  <c r="H10" i="6064"/>
  <c r="C21" i="6064"/>
  <c r="H36" i="6064"/>
  <c r="H43" i="6064"/>
  <c r="H13" i="6064"/>
  <c r="C25" i="6064"/>
  <c r="H23" i="6064"/>
  <c r="H7" i="6064"/>
  <c r="H40" i="6064"/>
  <c r="H12" i="6064"/>
  <c r="H6" i="6064"/>
  <c r="H3" i="6064"/>
  <c r="C22" i="6064"/>
  <c r="C42" i="6064"/>
  <c r="H5" i="6064"/>
  <c r="H38" i="6064"/>
  <c r="H11" i="6064"/>
  <c r="H25" i="6064"/>
  <c r="H19" i="6064"/>
  <c r="C40" i="6064"/>
  <c r="H24" i="6064"/>
  <c r="H29" i="6064"/>
  <c r="H2" i="6064"/>
  <c r="C23" i="6064"/>
  <c r="C44" i="6064"/>
  <c r="H52" i="6064"/>
  <c r="H9" i="6064"/>
  <c r="H14" i="6064"/>
  <c r="B27" i="6064"/>
  <c r="H30" i="6064"/>
  <c r="H42" i="6064"/>
  <c r="C46" i="6064"/>
  <c r="H21" i="6064"/>
  <c r="H16" i="6064"/>
  <c r="H39" i="6064"/>
  <c r="H44" i="6064"/>
  <c r="C19" i="6064"/>
  <c r="C24" i="6064"/>
  <c r="H18" i="6064"/>
  <c r="C38" i="6064"/>
  <c r="H45" i="6064"/>
  <c r="H50" i="6064"/>
  <c r="H20" i="6064"/>
  <c r="H34" i="6064"/>
  <c r="H15" i="6064"/>
  <c r="H26" i="6064"/>
  <c r="H37" i="6064"/>
  <c r="C39" i="6064"/>
  <c r="C43" i="6064"/>
  <c r="C47" i="6064"/>
  <c r="H22" i="6064"/>
  <c r="H27" i="6064"/>
  <c r="H28" i="6064"/>
  <c r="C37" i="6064"/>
  <c r="C41" i="6064"/>
  <c r="C45" i="6064"/>
  <c r="H6" i="6062"/>
  <c r="H31" i="6062"/>
  <c r="C47" i="6062"/>
  <c r="H14" i="6062"/>
  <c r="H20" i="6062"/>
  <c r="C19" i="6062"/>
  <c r="C24" i="6062"/>
  <c r="H38" i="6062"/>
  <c r="H44" i="6062"/>
  <c r="H49" i="6062"/>
  <c r="C48" i="6062"/>
  <c r="H15" i="6062"/>
  <c r="H13" i="6062"/>
  <c r="C38" i="6062"/>
  <c r="C25" i="6062"/>
  <c r="H40" i="6062"/>
  <c r="H45" i="6062"/>
  <c r="H50" i="6062"/>
  <c r="H11" i="6062"/>
  <c r="C42" i="6062"/>
  <c r="H2" i="6062"/>
  <c r="H8" i="6062"/>
  <c r="H19" i="6062"/>
  <c r="H32" i="6062"/>
  <c r="H17" i="6062"/>
  <c r="H27" i="6062"/>
  <c r="H29" i="6062"/>
  <c r="H35" i="6062"/>
  <c r="C39" i="6062"/>
  <c r="C44" i="6062"/>
  <c r="H5" i="6062"/>
  <c r="H23" i="6062"/>
  <c r="C36" i="6062"/>
  <c r="H4" i="6062"/>
  <c r="H16" i="6062"/>
  <c r="H21" i="6062"/>
  <c r="C43" i="6062"/>
  <c r="H7" i="6062"/>
  <c r="H22" i="6062"/>
  <c r="H24" i="6062"/>
  <c r="C21" i="6062"/>
  <c r="B26" i="6062"/>
  <c r="H41" i="6062"/>
  <c r="H46" i="6062"/>
  <c r="H52" i="6062"/>
  <c r="H28" i="6062"/>
  <c r="H30" i="6062"/>
  <c r="H33" i="6062"/>
  <c r="C37" i="6062"/>
  <c r="C41" i="6062"/>
  <c r="C45" i="6062"/>
  <c r="H51" i="6062"/>
  <c r="C23" i="6062"/>
  <c r="B27" i="6062"/>
  <c r="H34" i="6062"/>
  <c r="H39" i="6062"/>
  <c r="H43" i="6062"/>
  <c r="H47" i="6062"/>
  <c r="O23" i="6060" l="1"/>
  <c r="O19" i="6060"/>
  <c r="C34" i="6060"/>
  <c r="B29" i="6060"/>
  <c r="B28" i="6060"/>
  <c r="C20" i="6060"/>
  <c r="B19" i="6060"/>
  <c r="H19" i="6060" s="1"/>
  <c r="C18" i="6060"/>
  <c r="B18" i="6060"/>
  <c r="B17" i="6060"/>
  <c r="C17" i="6060" s="1"/>
  <c r="C16" i="6060"/>
  <c r="C15" i="6060"/>
  <c r="C14" i="6060"/>
  <c r="O12" i="6060"/>
  <c r="B12" i="6060"/>
  <c r="B13" i="6060" s="1"/>
  <c r="O11" i="6060"/>
  <c r="B11" i="6060"/>
  <c r="O10" i="6060"/>
  <c r="B10" i="6060"/>
  <c r="C9" i="6060"/>
  <c r="C8" i="6060"/>
  <c r="O7" i="6060"/>
  <c r="C7" i="6060"/>
  <c r="O6" i="6060"/>
  <c r="B6" i="6060"/>
  <c r="O5" i="6060"/>
  <c r="B5" i="6060"/>
  <c r="O4" i="6060"/>
  <c r="O3" i="6060"/>
  <c r="O2" i="6060"/>
  <c r="O18" i="6058"/>
  <c r="O20" i="6058"/>
  <c r="C34" i="6058"/>
  <c r="B29" i="6058"/>
  <c r="C20" i="6058"/>
  <c r="B19" i="6058"/>
  <c r="H51" i="6058" s="1"/>
  <c r="B18" i="6058"/>
  <c r="B28" i="6058" s="1"/>
  <c r="B17" i="6058"/>
  <c r="C17" i="6058" s="1"/>
  <c r="C16" i="6058"/>
  <c r="C15" i="6058"/>
  <c r="C14" i="6058"/>
  <c r="O12" i="6058"/>
  <c r="B12" i="6058"/>
  <c r="O11" i="6058"/>
  <c r="B11" i="6058"/>
  <c r="O10" i="6058"/>
  <c r="B10" i="6058"/>
  <c r="C9" i="6058"/>
  <c r="C8" i="6058"/>
  <c r="O7" i="6058"/>
  <c r="C7" i="6058"/>
  <c r="O6" i="6058"/>
  <c r="B6" i="6058"/>
  <c r="O5" i="6058"/>
  <c r="B5" i="6058"/>
  <c r="O4" i="6058"/>
  <c r="O3" i="6058"/>
  <c r="O2" i="6058"/>
  <c r="O19" i="6054"/>
  <c r="O19" i="6056"/>
  <c r="O20" i="6056"/>
  <c r="C34" i="6056"/>
  <c r="B29" i="6056"/>
  <c r="C20" i="6056"/>
  <c r="B19" i="6056"/>
  <c r="H51" i="6056" s="1"/>
  <c r="B18" i="6056"/>
  <c r="B28" i="6056" s="1"/>
  <c r="B17" i="6056"/>
  <c r="C17" i="6056" s="1"/>
  <c r="C16" i="6056"/>
  <c r="C15" i="6056"/>
  <c r="C14" i="6056"/>
  <c r="O12" i="6056"/>
  <c r="B12" i="6056"/>
  <c r="O11" i="6056"/>
  <c r="B11" i="6056"/>
  <c r="O10" i="6056"/>
  <c r="B10" i="6056"/>
  <c r="C9" i="6056"/>
  <c r="C8" i="6056"/>
  <c r="O7" i="6056"/>
  <c r="C7" i="6056"/>
  <c r="O6" i="6056"/>
  <c r="B6" i="6056"/>
  <c r="O5" i="6056"/>
  <c r="B5" i="6056"/>
  <c r="O4" i="6056"/>
  <c r="O3" i="6056"/>
  <c r="O2" i="6056"/>
  <c r="O22" i="6054"/>
  <c r="O25" i="6054"/>
  <c r="C34" i="6054"/>
  <c r="B29" i="6054"/>
  <c r="C20" i="6054"/>
  <c r="B19" i="6054"/>
  <c r="H51" i="6054" s="1"/>
  <c r="B18" i="6054"/>
  <c r="B28" i="6054" s="1"/>
  <c r="B17" i="6054"/>
  <c r="C17" i="6054" s="1"/>
  <c r="C16" i="6054"/>
  <c r="C15" i="6054"/>
  <c r="C14" i="6054"/>
  <c r="O12" i="6054"/>
  <c r="B12" i="6054"/>
  <c r="O11" i="6054"/>
  <c r="B11" i="6054"/>
  <c r="O10" i="6054"/>
  <c r="B10" i="6054"/>
  <c r="C9" i="6054"/>
  <c r="C8" i="6054"/>
  <c r="O7" i="6054"/>
  <c r="C7" i="6054"/>
  <c r="O6" i="6054"/>
  <c r="B6" i="6054"/>
  <c r="O5" i="6054"/>
  <c r="B5" i="6054"/>
  <c r="O4" i="6054"/>
  <c r="O3" i="6054"/>
  <c r="O2" i="6054"/>
  <c r="B13" i="6058" l="1"/>
  <c r="C18" i="6058"/>
  <c r="H20" i="6060"/>
  <c r="H29" i="6060"/>
  <c r="H28" i="6060"/>
  <c r="H6" i="6060"/>
  <c r="H42" i="6060"/>
  <c r="H3" i="6060"/>
  <c r="H12" i="6060"/>
  <c r="C24" i="6060"/>
  <c r="C43" i="6060"/>
  <c r="H23" i="6060"/>
  <c r="C42" i="6060"/>
  <c r="H8" i="6060"/>
  <c r="C22" i="6060"/>
  <c r="H31" i="6060"/>
  <c r="H2" i="6060"/>
  <c r="B13" i="6056"/>
  <c r="C18" i="6056"/>
  <c r="B26" i="6060"/>
  <c r="H36" i="6060"/>
  <c r="H46" i="6060"/>
  <c r="H26" i="6060"/>
  <c r="C19" i="6060"/>
  <c r="H9" i="6060"/>
  <c r="H38" i="6060"/>
  <c r="C46" i="6060"/>
  <c r="C38" i="6060"/>
  <c r="H48" i="6060"/>
  <c r="H17" i="6060"/>
  <c r="H22" i="6060"/>
  <c r="H40" i="6060"/>
  <c r="C47" i="6060"/>
  <c r="H24" i="6060"/>
  <c r="H11" i="6060"/>
  <c r="H18" i="6060"/>
  <c r="H30" i="6060"/>
  <c r="C39" i="6060"/>
  <c r="H50" i="6060"/>
  <c r="H4" i="6060"/>
  <c r="H13" i="6060"/>
  <c r="H44" i="6060"/>
  <c r="H52" i="6060"/>
  <c r="H7" i="6060"/>
  <c r="H21" i="6060"/>
  <c r="H25" i="6060"/>
  <c r="C21" i="6060"/>
  <c r="C25" i="6060"/>
  <c r="H37" i="6060"/>
  <c r="H41" i="6060"/>
  <c r="H45" i="6060"/>
  <c r="H49" i="6060"/>
  <c r="H5" i="6060"/>
  <c r="H10" i="6060"/>
  <c r="H14" i="6060"/>
  <c r="H32" i="6060"/>
  <c r="H16" i="6060"/>
  <c r="C36" i="6060"/>
  <c r="C40" i="6060"/>
  <c r="C44" i="6060"/>
  <c r="C48" i="6060"/>
  <c r="H27" i="6060"/>
  <c r="H33" i="6060"/>
  <c r="H34" i="6060"/>
  <c r="C37" i="6060"/>
  <c r="C41" i="6060"/>
  <c r="C45" i="6060"/>
  <c r="H51" i="6060"/>
  <c r="H15" i="6060"/>
  <c r="C23" i="6060"/>
  <c r="B27" i="6060"/>
  <c r="H35" i="6060"/>
  <c r="H39" i="6060"/>
  <c r="H43" i="6060"/>
  <c r="H47" i="6060"/>
  <c r="B13" i="6054"/>
  <c r="C18" i="6054"/>
  <c r="H10" i="6058"/>
  <c r="H39" i="6058"/>
  <c r="H14" i="6058"/>
  <c r="C36" i="6058"/>
  <c r="C23" i="6058"/>
  <c r="B27" i="6058"/>
  <c r="H44" i="6058"/>
  <c r="H4" i="6058"/>
  <c r="H23" i="6058"/>
  <c r="H43" i="6058"/>
  <c r="H12" i="6058"/>
  <c r="H7" i="6058"/>
  <c r="H8" i="6058"/>
  <c r="C46" i="6058"/>
  <c r="H38" i="6058"/>
  <c r="H31" i="6058"/>
  <c r="C22" i="6058"/>
  <c r="H32" i="6058"/>
  <c r="H33" i="6058"/>
  <c r="H48" i="6058"/>
  <c r="C42" i="6058"/>
  <c r="H49" i="6058"/>
  <c r="H22" i="6058"/>
  <c r="H18" i="6058"/>
  <c r="H40" i="6058"/>
  <c r="H45" i="6058"/>
  <c r="C48" i="6058"/>
  <c r="H6" i="6058"/>
  <c r="C24" i="6058"/>
  <c r="H50" i="6058"/>
  <c r="H11" i="6058"/>
  <c r="C19" i="6058"/>
  <c r="H19" i="6058"/>
  <c r="C38" i="6058"/>
  <c r="H46" i="6058"/>
  <c r="H17" i="6058"/>
  <c r="C25" i="6058"/>
  <c r="H36" i="6058"/>
  <c r="H41" i="6058"/>
  <c r="C44" i="6058"/>
  <c r="H16" i="6058"/>
  <c r="H25" i="6058"/>
  <c r="H2" i="6058"/>
  <c r="H3" i="6058"/>
  <c r="H20" i="6058"/>
  <c r="H28" i="6058"/>
  <c r="H27" i="6058"/>
  <c r="H42" i="6058"/>
  <c r="H30" i="6058"/>
  <c r="H5" i="6058"/>
  <c r="H15" i="6058"/>
  <c r="H9" i="6058"/>
  <c r="H21" i="6058"/>
  <c r="C21" i="6058"/>
  <c r="B26" i="6058"/>
  <c r="C40" i="6058"/>
  <c r="H47" i="6058"/>
  <c r="H52" i="6058"/>
  <c r="H34" i="6058"/>
  <c r="H13" i="6058"/>
  <c r="H29" i="6058"/>
  <c r="H37" i="6058"/>
  <c r="C39" i="6058"/>
  <c r="C43" i="6058"/>
  <c r="C47" i="6058"/>
  <c r="H24" i="6058"/>
  <c r="H26" i="6058"/>
  <c r="H35" i="6058"/>
  <c r="C37" i="6058"/>
  <c r="C41" i="6058"/>
  <c r="C45" i="6058"/>
  <c r="B26" i="6056"/>
  <c r="H23" i="6056"/>
  <c r="H25" i="6056"/>
  <c r="C36" i="6056"/>
  <c r="H45" i="6056"/>
  <c r="C46" i="6056"/>
  <c r="H39" i="6056"/>
  <c r="H14" i="6056"/>
  <c r="H12" i="6056"/>
  <c r="H18" i="6056"/>
  <c r="C38" i="6056"/>
  <c r="H5" i="6056"/>
  <c r="H9" i="6056"/>
  <c r="H11" i="6056"/>
  <c r="C22" i="6056"/>
  <c r="H17" i="6056"/>
  <c r="C40" i="6056"/>
  <c r="H49" i="6056"/>
  <c r="H43" i="6056"/>
  <c r="C44" i="6056"/>
  <c r="H6" i="6056"/>
  <c r="H13" i="6056"/>
  <c r="H3" i="6056"/>
  <c r="H19" i="6056"/>
  <c r="H30" i="6056"/>
  <c r="H32" i="6056"/>
  <c r="H41" i="6056"/>
  <c r="H4" i="6056"/>
  <c r="C19" i="6056"/>
  <c r="H10" i="6056"/>
  <c r="H37" i="6056"/>
  <c r="H47" i="6056"/>
  <c r="H2" i="6056"/>
  <c r="H8" i="6056"/>
  <c r="H28" i="6056"/>
  <c r="C24" i="6056"/>
  <c r="H34" i="6056"/>
  <c r="C42" i="6056"/>
  <c r="H52" i="6056"/>
  <c r="H16" i="6056"/>
  <c r="H29" i="6056"/>
  <c r="H15" i="6056"/>
  <c r="H31" i="6056"/>
  <c r="H35" i="6056"/>
  <c r="C39" i="6056"/>
  <c r="C43" i="6056"/>
  <c r="C47" i="6056"/>
  <c r="H7" i="6056"/>
  <c r="H26" i="6056"/>
  <c r="H27" i="6056"/>
  <c r="C21" i="6056"/>
  <c r="C25" i="6056"/>
  <c r="H36" i="6056"/>
  <c r="H40" i="6056"/>
  <c r="H44" i="6056"/>
  <c r="H48" i="6056"/>
  <c r="C48" i="6056"/>
  <c r="H24" i="6056"/>
  <c r="H21" i="6056"/>
  <c r="H22" i="6056"/>
  <c r="C37" i="6056"/>
  <c r="C41" i="6056"/>
  <c r="C45" i="6056"/>
  <c r="H50" i="6056"/>
  <c r="H20" i="6056"/>
  <c r="C23" i="6056"/>
  <c r="B27" i="6056"/>
  <c r="H33" i="6056"/>
  <c r="H38" i="6056"/>
  <c r="H42" i="6056"/>
  <c r="H46" i="6056"/>
  <c r="H18" i="6054"/>
  <c r="C23" i="6054"/>
  <c r="H9" i="6054"/>
  <c r="H2" i="6054"/>
  <c r="H38" i="6054"/>
  <c r="H30" i="6054"/>
  <c r="H20" i="6054"/>
  <c r="H47" i="6054"/>
  <c r="H42" i="6054"/>
  <c r="H3" i="6054"/>
  <c r="H34" i="6054"/>
  <c r="H22" i="6054"/>
  <c r="C46" i="6054"/>
  <c r="C19" i="6054"/>
  <c r="H49" i="6054"/>
  <c r="H28" i="6054"/>
  <c r="C40" i="6054"/>
  <c r="H7" i="6054"/>
  <c r="H44" i="6054"/>
  <c r="H4" i="6054"/>
  <c r="H11" i="6054"/>
  <c r="H16" i="6054"/>
  <c r="C42" i="6054"/>
  <c r="H15" i="6054"/>
  <c r="B27" i="6054"/>
  <c r="C36" i="6054"/>
  <c r="H45" i="6054"/>
  <c r="H17" i="6054"/>
  <c r="H32" i="6054"/>
  <c r="C48" i="6054"/>
  <c r="H10" i="6054"/>
  <c r="H6" i="6054"/>
  <c r="H12" i="6054"/>
  <c r="H24" i="6054"/>
  <c r="H8" i="6054"/>
  <c r="H46" i="6054"/>
  <c r="H5" i="6054"/>
  <c r="C24" i="6054"/>
  <c r="H48" i="6054"/>
  <c r="H23" i="6054"/>
  <c r="C25" i="6054"/>
  <c r="H33" i="6054"/>
  <c r="C21" i="6054"/>
  <c r="H41" i="6054"/>
  <c r="H13" i="6054"/>
  <c r="C38" i="6054"/>
  <c r="C44" i="6054"/>
  <c r="H52" i="6054"/>
  <c r="H19" i="6054"/>
  <c r="H37" i="6054"/>
  <c r="H14" i="6054"/>
  <c r="H29" i="6054"/>
  <c r="H39" i="6054"/>
  <c r="C39" i="6054"/>
  <c r="C43" i="6054"/>
  <c r="C47" i="6054"/>
  <c r="H26" i="6054"/>
  <c r="H36" i="6054"/>
  <c r="C22" i="6054"/>
  <c r="B26" i="6054"/>
  <c r="H21" i="6054"/>
  <c r="H40" i="6054"/>
  <c r="H43" i="6054"/>
  <c r="H35" i="6054"/>
  <c r="H50" i="6054"/>
  <c r="H25" i="6054"/>
  <c r="H27" i="6054"/>
  <c r="H31" i="6054"/>
  <c r="C37" i="6054"/>
  <c r="C41" i="6054"/>
  <c r="C45" i="605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<sst xmlns="http://schemas.openxmlformats.org/spreadsheetml/2006/main" count="4007" uniqueCount="324">
  <si>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</si>
  <si>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</si>
  <si>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</si>
  <si>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</si>
  <si>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</si>
  <si>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</si>
  <si>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</si>
  <si>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</si>
  <si>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</si>
  <si>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</si>
  <si>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</si>
  <si>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</si>
  <si>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</si>
  <si>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</si>
  <si>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</si>
  <si>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</si>
  <si>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</si>
  <si>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</si>
  <si>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</si>
  <si>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</si>
  <si>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</si>
  <si>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</si>
  <si>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</si>
  <si>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</si>
  <si>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</si>
  <si>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</si>
  <si>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</si>
  <si>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</si>
  <si>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</si>
  <si>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</si>
  <si>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</si>
  <si>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</si>
  <si>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</si>
  <si>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</si>
  <si>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</si>
  <si>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</si>
  <si>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</si>
  <si>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</si>
  <si>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</si>
  <si>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</si>
  <si>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</si>
  <si>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</si>
  <si>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</si>
  <si>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</si>
  <si>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</si>
  <si>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</si>
  <si>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</si>
  <si>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</si>
  <si>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</si>
  <si>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</si>
  <si>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</si>
  <si>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</si>
  <si>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</si>
  <si>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</si>
  <si>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</si>
  <si>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</si>
  <si>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</si>
  <si>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</si>
  <si>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</si>
  <si>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</si>
  <si>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</si>
  <si>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</si>
  <si>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</si>
  <si>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</si>
  <si>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</si>
  <si>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</si>
  <si>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</si>
  <si>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</si>
  <si>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</si>
  <si>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</si>
  <si>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</si>
  <si>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</si>
  <si>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</si>
  <si>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</si>
  <si>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</si>
  <si>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</si>
  <si>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</si>
  <si>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</si>
  <si>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</si>
  <si>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</si>
  <si>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</si>
  <si>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</si>
  <si>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</si>
  <si>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</si>
  <si>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</si>
  <si>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</si>
  <si>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</si>
  <si>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</si>
  <si>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</si>
  <si>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</si>
  <si>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</si>
  <si>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</si>
  <si>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</si>
  <si>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</si>
  <si>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</si>
  <si>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</si>
  <si>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</si>
  <si>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</si>
  <si>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</si>
  <si>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</si>
  <si>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</si>
  <si>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</si>
  <si>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</si>
  <si>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</si>
  <si>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</si>
  <si>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</si>
  <si>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</si>
  <si>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</si>
  <si>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</si>
  <si>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</si>
  <si>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</si>
  <si>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</si>
  <si>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</si>
  <si>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</si>
  <si>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</si>
  <si>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</si>
  <si>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</si>
  <si>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</si>
  <si>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</si>
  <si>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</si>
  <si>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</si>
  <si>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</si>
  <si>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</si>
  <si>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</si>
  <si>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</si>
  <si>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</si>
  <si>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</si>
  <si>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</si>
  <si>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</si>
  <si>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</si>
  <si>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</si>
  <si>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</si>
  <si>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</si>
  <si>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</si>
  <si>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</si>
  <si>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</si>
  <si>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</si>
  <si>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</si>
  <si>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</si>
  <si>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</si>
  <si>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</si>
  <si>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</si>
  <si>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</si>
  <si>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</si>
  <si>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</si>
  <si>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</si>
  <si>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</si>
  <si>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</si>
  <si>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</si>
  <si>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</si>
  <si>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</si>
  <si>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</si>
  <si>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</si>
  <si>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</si>
  <si>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</si>
  <si>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</si>
  <si>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</si>
  <si>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</si>
  <si>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</si>
  <si>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</si>
  <si>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</si>
  <si>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</si>
  <si>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</si>
  <si>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</si>
  <si>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</si>
  <si>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</si>
  <si>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</si>
  <si>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</si>
  <si>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</si>
  <si>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</si>
  <si>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</si>
  <si>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</si>
  <si>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</si>
  <si>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</si>
  <si>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</si>
  <si>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</si>
  <si>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</si>
  <si>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</si>
  <si>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</si>
  <si>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</si>
  <si>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</si>
  <si>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</si>
  <si>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</si>
  <si>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</si>
  <si>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</si>
  <si>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</si>
  <si>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</si>
  <si>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</si>
  <si>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</si>
  <si>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</si>
  <si>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</si>
  <si>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</si>
  <si>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</si>
  <si>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</si>
  <si>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</si>
  <si>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</si>
  <si>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</si>
  <si>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</si>
  <si>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</si>
  <si>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</si>
  <si>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</si>
  <si>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</si>
  <si>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</si>
  <si>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</si>
  <si>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</si>
  <si>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</si>
  <si>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</si>
  <si>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2019-09-25@2.xlsm</t>
  </si>
  <si>
    <t>2019-09-26@3.xlsm</t>
  </si>
  <si>
    <t>2019-09-27@2.xlsm</t>
  </si>
  <si>
    <t>2019-09-28@2.xlsm</t>
  </si>
  <si>
    <t>2019-09-29@AllStar.xlsm</t>
  </si>
  <si>
    <t>2019-09-30@2.xlsm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</si>
  <si>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</si>
  <si>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</si>
  <si>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</si>
  <si>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</si>
  <si>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</si>
  <si>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</si>
  <si>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</si>
  <si>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</si>
  <si>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</si>
  <si>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</si>
  <si>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</si>
  <si>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</si>
  <si>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</si>
  <si>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</si>
  <si>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</si>
  <si>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</si>
  <si>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</si>
  <si>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</si>
  <si>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</si>
  <si>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</si>
  <si>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</si>
  <si>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</si>
  <si>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</si>
  <si>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</si>
  <si>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</si>
  <si>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</si>
  <si>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</si>
  <si>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</si>
  <si>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</si>
  <si>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</si>
  <si>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</si>
  <si>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</si>
  <si>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</si>
  <si>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</si>
  <si>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</si>
  <si>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</si>
  <si>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</si>
  <si>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</si>
  <si>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</si>
  <si>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</si>
  <si>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</si>
  <si>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</si>
  <si>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</si>
  <si>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</si>
  <si>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</si>
  <si>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</si>
  <si>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</si>
  <si>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</si>
  <si>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</si>
  <si>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</si>
  <si>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</si>
  <si>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</si>
  <si>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</si>
  <si>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</si>
  <si>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</si>
  <si>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</si>
  <si>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</si>
  <si>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</si>
  <si>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</si>
  <si>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</si>
  <si>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</si>
  <si>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</si>
  <si>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</si>
  <si>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</si>
  <si>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</si>
  <si>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</si>
  <si>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</si>
  <si>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</si>
  <si>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</si>
  <si>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</si>
  <si>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</si>
  <si>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</si>
  <si>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</si>
  <si>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</si>
  <si>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</si>
  <si>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</si>
  <si>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</si>
  <si>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</si>
  <si>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</si>
  <si>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</si>
  <si>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</si>
  <si>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</si>
  <si>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</si>
  <si>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</si>
  <si>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</si>
  <si>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</si>
  <si>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</si>
  <si>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</si>
  <si>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</si>
  <si>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</si>
  <si>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</si>
  <si>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</si>
  <si>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</si>
  <si>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</si>
  <si>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</si>
  <si>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</si>
  <si>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</si>
  <si>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</si>
  <si>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</si>
  <si>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</si>
  <si>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</si>
  <si>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</si>
  <si>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</si>
  <si>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</si>
  <si>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</si>
  <si>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</si>
  <si>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</si>
  <si>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</si>
  <si>
    <t>2020-02-15@2.xlsm</t>
  </si>
  <si>
    <t>2020-02-17@2.xlsm</t>
  </si>
  <si>
    <t>2020-02-18@2.xlsm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</si>
</sst>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全体!$K$2:$K$1085</c:f>
              <c:numCache>
                <c:formatCode>General</c:formatCode>
                <c:ptCount val="10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</c:numCache>
            </c:numRef>
          </c:xVal>
          <c:yVal>
            <c:numRef>
              <c:f>全体!$L$2:$L$1085</c:f>
              <c:numCache>
                <c:formatCode>\+0.0;\-0.0;\±0</c:formatCode>
                <c:ptCount val="108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  <c:pt idx="1054">
                  <c:v>44.499999999999922</c:v>
                </c:pt>
                <c:pt idx="1055">
                  <c:v>54.599999999999923</c:v>
                </c:pt>
                <c:pt idx="1056">
                  <c:v>-7.815970093361102E-14</c:v>
                </c:pt>
                <c:pt idx="1057">
                  <c:v>-60.200000000000081</c:v>
                </c:pt>
                <c:pt idx="1058">
                  <c:v>4.8999999999999133</c:v>
                </c:pt>
                <c:pt idx="1059">
                  <c:v>-8.7041485130612273E-14</c:v>
                </c:pt>
                <c:pt idx="1060">
                  <c:v>37.499999999999915</c:v>
                </c:pt>
                <c:pt idx="1061">
                  <c:v>-8.7000000000000881</c:v>
                </c:pt>
                <c:pt idx="1062">
                  <c:v>-8.8817841970012523E-14</c:v>
                </c:pt>
                <c:pt idx="1063">
                  <c:v>-21.80000000000009</c:v>
                </c:pt>
                <c:pt idx="1064">
                  <c:v>-32.30000000000009</c:v>
                </c:pt>
                <c:pt idx="1065">
                  <c:v>-9.2370555648813024E-14</c:v>
                </c:pt>
                <c:pt idx="1066">
                  <c:v>12.699999999999907</c:v>
                </c:pt>
                <c:pt idx="1067">
                  <c:v>13.099999999999907</c:v>
                </c:pt>
                <c:pt idx="1068">
                  <c:v>-9.2370555648813024E-14</c:v>
                </c:pt>
                <c:pt idx="1069">
                  <c:v>-17.100000000000094</c:v>
                </c:pt>
                <c:pt idx="1070">
                  <c:v>4.7999999999999048</c:v>
                </c:pt>
                <c:pt idx="1071">
                  <c:v>-9.50350909079134E-14</c:v>
                </c:pt>
                <c:pt idx="1072">
                  <c:v>-49.400000000000091</c:v>
                </c:pt>
                <c:pt idx="1073">
                  <c:v>6.9999999999999076</c:v>
                </c:pt>
                <c:pt idx="1074">
                  <c:v>-9.2370555648813024E-14</c:v>
                </c:pt>
                <c:pt idx="1075">
                  <c:v>-6.8000000000000922</c:v>
                </c:pt>
                <c:pt idx="1076">
                  <c:v>-40.400000000000091</c:v>
                </c:pt>
                <c:pt idx="1077">
                  <c:v>-9.2370555648813024E-14</c:v>
                </c:pt>
                <c:pt idx="1078">
                  <c:v>-8.3000000000000931</c:v>
                </c:pt>
                <c:pt idx="1079">
                  <c:v>18.599999999999905</c:v>
                </c:pt>
                <c:pt idx="1080">
                  <c:v>-9.5923269327613525E-14</c:v>
                </c:pt>
                <c:pt idx="1081">
                  <c:v>31.399999999999903</c:v>
                </c:pt>
                <c:pt idx="1082">
                  <c:v>43.399999999999906</c:v>
                </c:pt>
                <c:pt idx="1083">
                  <c:v>-9.2370555648813024E-14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7-4EB7-BEDC-9327A40B3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-28.783658310120707</c:v>
                </c:pt>
                <c:pt idx="1">
                  <c:v>7.5542965061378657</c:v>
                </c:pt>
                <c:pt idx="2">
                  <c:v>-1.0010010010010011</c:v>
                </c:pt>
                <c:pt idx="3">
                  <c:v>0</c:v>
                </c:pt>
                <c:pt idx="4">
                  <c:v>9.2915214866434379</c:v>
                </c:pt>
                <c:pt idx="5">
                  <c:v>21.008403361344538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1-4BD1-8086-693C34D94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209</c:v>
                </c:pt>
                <c:pt idx="1">
                  <c:v>454</c:v>
                </c:pt>
                <c:pt idx="2">
                  <c:v>515</c:v>
                </c:pt>
                <c:pt idx="3">
                  <c:v>484</c:v>
                </c:pt>
                <c:pt idx="4">
                  <c:v>415</c:v>
                </c:pt>
                <c:pt idx="5">
                  <c:v>280</c:v>
                </c:pt>
                <c:pt idx="6">
                  <c:v>135</c:v>
                </c:pt>
                <c:pt idx="7">
                  <c:v>76</c:v>
                </c:pt>
                <c:pt idx="8">
                  <c:v>35</c:v>
                </c:pt>
                <c:pt idx="9">
                  <c:v>14</c:v>
                </c:pt>
                <c:pt idx="10">
                  <c:v>10</c:v>
                </c:pt>
                <c:pt idx="11">
                  <c:v>6</c:v>
                </c:pt>
                <c:pt idx="1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8-40F9-9062-896B659FE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たかの!$L$2:$L$95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  <c:pt idx="92">
                  <c:v>-643.60000000000025</c:v>
                </c:pt>
                <c:pt idx="93">
                  <c:v>-703.8000000000003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8-45CF-B33D-2B448B49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1841.9354838709678</c:v>
                </c:pt>
                <c:pt idx="1">
                  <c:v>-1781.3186813186812</c:v>
                </c:pt>
                <c:pt idx="2">
                  <c:v>-2753.932584269663</c:v>
                </c:pt>
                <c:pt idx="3">
                  <c:v>-592.77108433734941</c:v>
                </c:pt>
                <c:pt idx="4">
                  <c:v>-1100</c:v>
                </c:pt>
                <c:pt idx="5">
                  <c:v>-2504.5454545454545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DE-4DD1-95BC-F61270625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30</c:v>
                </c:pt>
                <c:pt idx="1">
                  <c:v>46</c:v>
                </c:pt>
                <c:pt idx="2">
                  <c:v>48</c:v>
                </c:pt>
                <c:pt idx="3">
                  <c:v>42</c:v>
                </c:pt>
                <c:pt idx="4">
                  <c:v>23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E8-47F9-932F-78C816814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だいち!$K$2:$K$222</c:f>
              <c:numCache>
                <c:formatCode>General</c:formatCode>
                <c:ptCount val="2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</c:numCache>
            </c:numRef>
          </c:xVal>
          <c:yVal>
            <c:numRef>
              <c:f>だいち!$L$2:$L$222</c:f>
              <c:numCache>
                <c:formatCode>\+0.0;\-0.0;\±0</c:formatCode>
                <c:ptCount val="22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  <c:pt idx="212">
                  <c:v>2015.3999999999999</c:v>
                </c:pt>
                <c:pt idx="213">
                  <c:v>2052.8999999999996</c:v>
                </c:pt>
                <c:pt idx="214">
                  <c:v>2031.0999999999997</c:v>
                </c:pt>
                <c:pt idx="215">
                  <c:v>2017.9999999999998</c:v>
                </c:pt>
                <c:pt idx="216">
                  <c:v>2013.1999999999998</c:v>
                </c:pt>
                <c:pt idx="217">
                  <c:v>1963.7999999999997</c:v>
                </c:pt>
                <c:pt idx="218">
                  <c:v>1930.1999999999998</c:v>
                </c:pt>
                <c:pt idx="219">
                  <c:v>1957.1</c:v>
                </c:pt>
                <c:pt idx="220">
                  <c:v>1969.1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4A-4043-B415-5F5FC506A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1203.6529680365297</c:v>
                </c:pt>
                <c:pt idx="1">
                  <c:v>1604.1666666666667</c:v>
                </c:pt>
                <c:pt idx="2">
                  <c:v>1251.4423076923076</c:v>
                </c:pt>
                <c:pt idx="3">
                  <c:v>335.89743589743591</c:v>
                </c:pt>
                <c:pt idx="4">
                  <c:v>1324.4444444444443</c:v>
                </c:pt>
                <c:pt idx="5">
                  <c:v>1837.8378378378379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2E-482E-A8A5-0ED739DDF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55</c:v>
                </c:pt>
                <c:pt idx="1">
                  <c:v>114</c:v>
                </c:pt>
                <c:pt idx="2">
                  <c:v>121</c:v>
                </c:pt>
                <c:pt idx="3">
                  <c:v>112</c:v>
                </c:pt>
                <c:pt idx="4">
                  <c:v>92</c:v>
                </c:pt>
                <c:pt idx="5">
                  <c:v>60</c:v>
                </c:pt>
                <c:pt idx="6">
                  <c:v>28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E-4D48-9C87-CD4741B2C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ただ!$K$2:$K$191</c:f>
              <c:numCache>
                <c:formatCode>General</c:formatCode>
                <c:ptCount val="1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</c:numCache>
            </c:numRef>
          </c:xVal>
          <c:yVal>
            <c:numRef>
              <c:f>ただ!$L$2:$L$191</c:f>
              <c:numCache>
                <c:formatCode>\+0.0;\-0.0;\±0</c:formatCode>
                <c:ptCount val="19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  <c:pt idx="184">
                  <c:v>-27.200000000000216</c:v>
                </c:pt>
                <c:pt idx="185">
                  <c:v>-18.500000000000217</c:v>
                </c:pt>
                <c:pt idx="186">
                  <c:v>-29.000000000000217</c:v>
                </c:pt>
                <c:pt idx="187">
                  <c:v>-28.600000000000218</c:v>
                </c:pt>
                <c:pt idx="188">
                  <c:v>-45.700000000000216</c:v>
                </c:pt>
                <c:pt idx="189">
                  <c:v>-89.100000000000222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50-4B45-A0E8-12C8F228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-1121.3903743315509</c:v>
                </c:pt>
                <c:pt idx="1">
                  <c:v>1017.9347826086956</c:v>
                </c:pt>
                <c:pt idx="2">
                  <c:v>-281.39534883720933</c:v>
                </c:pt>
                <c:pt idx="3">
                  <c:v>-86.58536585365853</c:v>
                </c:pt>
                <c:pt idx="4">
                  <c:v>-957.71812080536915</c:v>
                </c:pt>
                <c:pt idx="5">
                  <c:v>1076.3779527559054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20-4CCB-BFD4-ECF34DDC7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42</c:v>
                </c:pt>
                <c:pt idx="1">
                  <c:v>95</c:v>
                </c:pt>
                <c:pt idx="2">
                  <c:v>108</c:v>
                </c:pt>
                <c:pt idx="3">
                  <c:v>99</c:v>
                </c:pt>
                <c:pt idx="4">
                  <c:v>70</c:v>
                </c:pt>
                <c:pt idx="5">
                  <c:v>45</c:v>
                </c:pt>
                <c:pt idx="6">
                  <c:v>16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0-4312-B3E3-5E4D8144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りくと!$L$2:$L$108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9-4556-8196-2C146DD15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-640.95238095238096</c:v>
                </c:pt>
                <c:pt idx="1">
                  <c:v>-829.52380952380952</c:v>
                </c:pt>
                <c:pt idx="2">
                  <c:v>620.20202020202021</c:v>
                </c:pt>
                <c:pt idx="3">
                  <c:v>-1004.1237113402062</c:v>
                </c:pt>
                <c:pt idx="4">
                  <c:v>-2415.217391304348</c:v>
                </c:pt>
                <c:pt idx="5">
                  <c:v>-1737.037037037037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56-4F33-8AD3-5C1CA48AE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19</c:v>
                </c:pt>
                <c:pt idx="1">
                  <c:v>39</c:v>
                </c:pt>
                <c:pt idx="2">
                  <c:v>56</c:v>
                </c:pt>
                <c:pt idx="3">
                  <c:v>41</c:v>
                </c:pt>
                <c:pt idx="4">
                  <c:v>42</c:v>
                </c:pt>
                <c:pt idx="5">
                  <c:v>24</c:v>
                </c:pt>
                <c:pt idx="6">
                  <c:v>14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F-4BA4-9643-71DE80623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れんたろう!$K$2:$K$164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れんたろう!$L$2:$L$164</c:f>
              <c:numCache>
                <c:formatCode>\+0.0;\-0.0;\±0</c:formatCode>
                <c:ptCount val="163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  <c:pt idx="160">
                  <c:v>756.00000000000045</c:v>
                </c:pt>
                <c:pt idx="161">
                  <c:v>796.40000000000043</c:v>
                </c:pt>
                <c:pt idx="162">
                  <c:v>777.80000000000041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60-42C0-9176-86BFB1990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1788.8198757763976</c:v>
                </c:pt>
                <c:pt idx="1">
                  <c:v>-2243.312101910828</c:v>
                </c:pt>
                <c:pt idx="2">
                  <c:v>170.62937062937064</c:v>
                </c:pt>
                <c:pt idx="3">
                  <c:v>2291.6666666666665</c:v>
                </c:pt>
                <c:pt idx="4">
                  <c:v>1515.8333333333333</c:v>
                </c:pt>
                <c:pt idx="5">
                  <c:v>506.5934065934066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4-4070-945B-06448F60D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10</c:v>
                </c:pt>
                <c:pt idx="1">
                  <c:v>31</c:v>
                </c:pt>
                <c:pt idx="2">
                  <c:v>51</c:v>
                </c:pt>
                <c:pt idx="3">
                  <c:v>67</c:v>
                </c:pt>
                <c:pt idx="4">
                  <c:v>77</c:v>
                </c:pt>
                <c:pt idx="5">
                  <c:v>51</c:v>
                </c:pt>
                <c:pt idx="6">
                  <c:v>27</c:v>
                </c:pt>
                <c:pt idx="7">
                  <c:v>24</c:v>
                </c:pt>
                <c:pt idx="8">
                  <c:v>11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7-4132-8D9D-A8F10B9B4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まっつん!$K$2:$K$166</c:f>
              <c:numCache>
                <c:formatCode>General</c:formatCode>
                <c:ptCount val="1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</c:numCache>
            </c:numRef>
          </c:xVal>
          <c:yVal>
            <c:numRef>
              <c:f>まっつん!$L$2:$L$166</c:f>
              <c:numCache>
                <c:formatCode>\+0.0;\-0.0;\±0</c:formatCode>
                <c:ptCount val="165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  <c:pt idx="159">
                  <c:v>-106.3</c:v>
                </c:pt>
                <c:pt idx="160">
                  <c:v>-74</c:v>
                </c:pt>
                <c:pt idx="161">
                  <c:v>-81</c:v>
                </c:pt>
                <c:pt idx="162">
                  <c:v>-87.8</c:v>
                </c:pt>
                <c:pt idx="163">
                  <c:v>-96.1</c:v>
                </c:pt>
                <c:pt idx="164">
                  <c:v>-64.699999999999989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D9-492D-87D8-E358F9338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-228.65853658536585</c:v>
                </c:pt>
                <c:pt idx="1">
                  <c:v>545.96273291925468</c:v>
                </c:pt>
                <c:pt idx="2">
                  <c:v>261.84210526315792</c:v>
                </c:pt>
                <c:pt idx="3">
                  <c:v>-5.0724637681159424</c:v>
                </c:pt>
                <c:pt idx="4">
                  <c:v>168.54838709677421</c:v>
                </c:pt>
                <c:pt idx="5">
                  <c:v>-824.52830188679241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AE-4F80-AC2A-257A0628C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22</c:v>
                </c:pt>
                <c:pt idx="1">
                  <c:v>68</c:v>
                </c:pt>
                <c:pt idx="2">
                  <c:v>70</c:v>
                </c:pt>
                <c:pt idx="3">
                  <c:v>73</c:v>
                </c:pt>
                <c:pt idx="4">
                  <c:v>51</c:v>
                </c:pt>
                <c:pt idx="5">
                  <c:v>42</c:v>
                </c:pt>
                <c:pt idx="6">
                  <c:v>19</c:v>
                </c:pt>
                <c:pt idx="7">
                  <c:v>9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0-4980-A113-0753E5767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のり!$L$2:$L$77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  <c:pt idx="74">
                  <c:v>-854.50000000000023</c:v>
                </c:pt>
                <c:pt idx="75">
                  <c:v>-859.4000000000002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1-4243-B918-750162FEA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-3541.3333333333335</c:v>
                </c:pt>
                <c:pt idx="1">
                  <c:v>1344.5945945945946</c:v>
                </c:pt>
                <c:pt idx="2">
                  <c:v>-1360</c:v>
                </c:pt>
                <c:pt idx="3">
                  <c:v>-1795.2380952380952</c:v>
                </c:pt>
                <c:pt idx="4">
                  <c:v>-1438.9830508474577</c:v>
                </c:pt>
                <c:pt idx="5">
                  <c:v>-2165.9574468085107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5D-46D2-B8F2-D1A029BC4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D-4DDC-90CF-48BE406D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A7-4C22-AAAA-B26C681A1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-2816.1290322580644</c:v>
                </c:pt>
                <c:pt idx="1">
                  <c:v>-1836.6666666666667</c:v>
                </c:pt>
                <c:pt idx="2">
                  <c:v>1862.0689655172414</c:v>
                </c:pt>
                <c:pt idx="3">
                  <c:v>-2503.4482758620688</c:v>
                </c:pt>
                <c:pt idx="4">
                  <c:v>3992.3076923076924</c:v>
                </c:pt>
                <c:pt idx="5">
                  <c:v>772.72727272727275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8-4FF2-A439-8059E0B94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C-49E8-ABA4-5DB8A0421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06-47E6-89C0-AD4029956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D-4FF8-BE71-74425588A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2-48C1-8FE0-89530D16E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6D-45F2-A7C9-3AED63C14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1F-4C72-B3F6-56DDE682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6-49DB-81C5-657E0E00E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5B-44C2-9BA2-C072D76B7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1-4347-B1DF-24C6AF77A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8-4D5C-956D-542263754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0D-4315-8B61-AC1FE1950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F-428E-86A4-AD2D72D84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A-4E61-9A8D-7E7C1CF32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D8-4B46-8BBF-4788DB2C8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14-41BB-A309-E80535335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C4-43F1-8969-5AE8CE0ED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237055564881302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529137179022439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39933993399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515951595159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9.5200599925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60.27586206896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72299168975069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724972497249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3333333333333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6696035242290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313059877416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0693663292088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6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193</v>
      </c>
      <c r="B2" s="3">
        <v>43795.510601851849</v>
      </c>
      <c r="C2" s="2" t="s">
        <v>128</v>
      </c>
      <c r="D2" s="2" t="s">
        <v>129</v>
      </c>
    </row>
    <row r="3" spans="1:12" x14ac:dyDescent="0.45">
      <c r="A3" s="2" t="s">
        <v>207</v>
      </c>
      <c r="B3" s="3">
        <v>43737.532500000001</v>
      </c>
      <c r="C3" s="2" t="s">
        <v>128</v>
      </c>
    </row>
    <row r="4" spans="1:12" x14ac:dyDescent="0.45">
      <c r="A4" s="2" t="s">
        <v>208</v>
      </c>
      <c r="B4" s="3">
        <v>43737.532500000001</v>
      </c>
      <c r="C4" s="2" t="s">
        <v>128</v>
      </c>
    </row>
    <row r="5" spans="1:12" x14ac:dyDescent="0.45">
      <c r="A5" s="2" t="s">
        <v>209</v>
      </c>
      <c r="B5" s="3">
        <v>43737.532500000001</v>
      </c>
      <c r="C5" s="2" t="s">
        <v>128</v>
      </c>
      <c r="D5" s="2" t="s">
        <v>129</v>
      </c>
      <c r="E5" s="2" t="s">
        <v>170</v>
      </c>
      <c r="F5" s="2" t="s">
        <v>171</v>
      </c>
      <c r="G5" s="2" t="s">
        <v>172</v>
      </c>
      <c r="H5" s="2" t="s">
        <v>196</v>
      </c>
    </row>
    <row r="6" spans="1:12" x14ac:dyDescent="0.45">
      <c r="A6" s="2" t="s">
        <v>210</v>
      </c>
      <c r="B6" s="3">
        <v>43737.532500000001</v>
      </c>
      <c r="C6" s="2" t="s">
        <v>128</v>
      </c>
      <c r="D6" s="2" t="s">
        <v>129</v>
      </c>
      <c r="E6" s="2" t="s">
        <v>170</v>
      </c>
    </row>
    <row r="7" spans="1:12" x14ac:dyDescent="0.45">
      <c r="A7" s="2" t="s">
        <v>211</v>
      </c>
      <c r="B7" s="3">
        <v>43795.510601851849</v>
      </c>
      <c r="C7" s="2" t="s">
        <v>128</v>
      </c>
      <c r="D7" s="2" t="s">
        <v>129</v>
      </c>
      <c r="E7" s="2" t="s">
        <v>170</v>
      </c>
      <c r="F7" s="2" t="s">
        <v>171</v>
      </c>
      <c r="G7" s="2" t="s">
        <v>172</v>
      </c>
      <c r="H7" s="2" t="s">
        <v>196</v>
      </c>
      <c r="I7" s="2" t="s">
        <v>197</v>
      </c>
      <c r="J7" s="2" t="s">
        <v>198</v>
      </c>
      <c r="K7" s="2" t="s">
        <v>199</v>
      </c>
      <c r="L7" s="2" t="s">
        <v>200</v>
      </c>
    </row>
    <row r="8" spans="1:12" x14ac:dyDescent="0.45">
      <c r="A8" s="2" t="s">
        <v>212</v>
      </c>
      <c r="B8" s="3">
        <v>43740.96733796296</v>
      </c>
      <c r="C8" s="2" t="s">
        <v>128</v>
      </c>
    </row>
    <row r="9" spans="1:12" x14ac:dyDescent="0.45">
      <c r="A9" s="2" t="s">
        <v>213</v>
      </c>
      <c r="B9" s="3">
        <v>43739.43246527778</v>
      </c>
      <c r="C9" s="2" t="s">
        <v>129</v>
      </c>
      <c r="D9" s="2" t="s">
        <v>170</v>
      </c>
      <c r="E9" s="2" t="s">
        <v>128</v>
      </c>
    </row>
    <row r="10" spans="1:12" x14ac:dyDescent="0.45">
      <c r="A10" s="2" t="s">
        <v>214</v>
      </c>
      <c r="B10" s="3">
        <v>43742.036736111113</v>
      </c>
      <c r="C10" s="2" t="s">
        <v>128</v>
      </c>
      <c r="D10" s="2" t="s">
        <v>129</v>
      </c>
      <c r="E10" s="2" t="s">
        <v>170</v>
      </c>
      <c r="F10" s="2" t="s">
        <v>171</v>
      </c>
      <c r="G10" s="2" t="s">
        <v>172</v>
      </c>
      <c r="H10" s="2" t="s">
        <v>196</v>
      </c>
    </row>
    <row r="11" spans="1:12" x14ac:dyDescent="0.45">
      <c r="A11" s="2" t="s">
        <v>215</v>
      </c>
      <c r="B11" s="3">
        <v>43741.028969907406</v>
      </c>
      <c r="C11" s="2" t="s">
        <v>128</v>
      </c>
    </row>
    <row r="12" spans="1:12" x14ac:dyDescent="0.45">
      <c r="A12" s="2" t="s">
        <v>216</v>
      </c>
      <c r="B12" s="3">
        <v>43742.037129629629</v>
      </c>
      <c r="C12" s="2" t="s">
        <v>128</v>
      </c>
      <c r="D12" s="2" t="s">
        <v>129</v>
      </c>
      <c r="E12" s="2" t="s">
        <v>170</v>
      </c>
    </row>
    <row r="13" spans="1:12" x14ac:dyDescent="0.45">
      <c r="A13" s="2" t="s">
        <v>217</v>
      </c>
      <c r="B13" s="3">
        <v>43742.036944444444</v>
      </c>
      <c r="C13" s="2" t="s">
        <v>128</v>
      </c>
      <c r="D13" s="2" t="s">
        <v>129</v>
      </c>
    </row>
    <row r="14" spans="1:12" x14ac:dyDescent="0.45">
      <c r="A14" s="2" t="s">
        <v>218</v>
      </c>
      <c r="B14" s="3">
        <v>43745.536574074074</v>
      </c>
      <c r="C14" s="2" t="s">
        <v>128</v>
      </c>
      <c r="D14" s="2" t="s">
        <v>129</v>
      </c>
      <c r="E14" s="2" t="s">
        <v>170</v>
      </c>
      <c r="F14" s="2" t="s">
        <v>171</v>
      </c>
    </row>
    <row r="15" spans="1:12" x14ac:dyDescent="0.45">
      <c r="A15" s="2" t="s">
        <v>219</v>
      </c>
      <c r="B15" s="3">
        <v>43745.374525462961</v>
      </c>
      <c r="C15" s="2" t="s">
        <v>128</v>
      </c>
      <c r="D15" s="2" t="s">
        <v>129</v>
      </c>
    </row>
    <row r="16" spans="1:12" x14ac:dyDescent="0.45">
      <c r="A16" s="2" t="s">
        <v>220</v>
      </c>
      <c r="B16" s="3">
        <v>43745.536574074074</v>
      </c>
      <c r="C16" s="2" t="s">
        <v>128</v>
      </c>
      <c r="D16" s="2" t="s">
        <v>129</v>
      </c>
      <c r="E16" s="2" t="s">
        <v>170</v>
      </c>
      <c r="F16" s="2" t="s">
        <v>171</v>
      </c>
    </row>
    <row r="17" spans="1:12" x14ac:dyDescent="0.45">
      <c r="A17" s="2" t="s">
        <v>221</v>
      </c>
      <c r="B17" s="3">
        <v>43745.536574074074</v>
      </c>
      <c r="C17" s="2" t="s">
        <v>128</v>
      </c>
      <c r="D17" s="2" t="s">
        <v>129</v>
      </c>
    </row>
    <row r="18" spans="1:12" x14ac:dyDescent="0.45">
      <c r="A18" s="2" t="s">
        <v>222</v>
      </c>
      <c r="B18" s="3">
        <v>43745.374525462961</v>
      </c>
      <c r="C18" s="2" t="s">
        <v>128</v>
      </c>
    </row>
    <row r="19" spans="1:12" x14ac:dyDescent="0.45">
      <c r="A19" s="2" t="s">
        <v>223</v>
      </c>
      <c r="B19" s="3">
        <v>43750.963090277779</v>
      </c>
      <c r="C19" s="2" t="s">
        <v>128</v>
      </c>
    </row>
    <row r="20" spans="1:12" x14ac:dyDescent="0.45">
      <c r="A20" s="2" t="s">
        <v>224</v>
      </c>
      <c r="B20" s="3">
        <v>43750.963090277779</v>
      </c>
      <c r="C20" s="2" t="s">
        <v>128</v>
      </c>
      <c r="D20" s="2" t="s">
        <v>129</v>
      </c>
    </row>
    <row r="21" spans="1:12" x14ac:dyDescent="0.45">
      <c r="A21" s="2" t="s">
        <v>225</v>
      </c>
      <c r="B21" s="3">
        <v>43750.963090277779</v>
      </c>
      <c r="C21" s="2" t="s">
        <v>128</v>
      </c>
    </row>
    <row r="22" spans="1:12" x14ac:dyDescent="0.45">
      <c r="A22" s="2" t="s">
        <v>226</v>
      </c>
      <c r="B22" s="3">
        <v>43750.963090277779</v>
      </c>
      <c r="C22" s="2" t="s">
        <v>128</v>
      </c>
      <c r="D22" s="2" t="s">
        <v>129</v>
      </c>
      <c r="E22" s="2" t="s">
        <v>170</v>
      </c>
    </row>
    <row r="23" spans="1:12" x14ac:dyDescent="0.45">
      <c r="A23" s="2" t="s">
        <v>227</v>
      </c>
      <c r="B23" s="3">
        <v>43800.062326388892</v>
      </c>
      <c r="C23" s="2" t="s">
        <v>128</v>
      </c>
    </row>
    <row r="24" spans="1:12" x14ac:dyDescent="0.45">
      <c r="A24" s="2" t="s">
        <v>228</v>
      </c>
      <c r="B24" s="3">
        <v>43750.963993055557</v>
      </c>
      <c r="C24" s="2" t="s">
        <v>128</v>
      </c>
      <c r="D24" s="2" t="s">
        <v>129</v>
      </c>
      <c r="E24" s="2" t="s">
        <v>170</v>
      </c>
      <c r="F24" s="2" t="s">
        <v>171</v>
      </c>
      <c r="G24" s="2" t="s">
        <v>172</v>
      </c>
    </row>
    <row r="25" spans="1:12" x14ac:dyDescent="0.45">
      <c r="A25" s="2" t="s">
        <v>229</v>
      </c>
      <c r="B25" s="3">
        <v>43751.106828703705</v>
      </c>
      <c r="C25" s="2" t="s">
        <v>128</v>
      </c>
      <c r="D25" s="2" t="s">
        <v>129</v>
      </c>
      <c r="E25" s="2" t="s">
        <v>170</v>
      </c>
      <c r="F25" s="2" t="s">
        <v>171</v>
      </c>
      <c r="G25" s="2" t="s">
        <v>172</v>
      </c>
      <c r="H25" s="2" t="s">
        <v>196</v>
      </c>
      <c r="I25" s="2" t="s">
        <v>197</v>
      </c>
      <c r="J25" s="2" t="s">
        <v>198</v>
      </c>
      <c r="K25" s="2" t="s">
        <v>199</v>
      </c>
      <c r="L25" s="2" t="s">
        <v>200</v>
      </c>
    </row>
    <row r="26" spans="1:12" x14ac:dyDescent="0.45">
      <c r="A26" s="2" t="s">
        <v>230</v>
      </c>
      <c r="B26" s="3">
        <v>43752.102708333332</v>
      </c>
      <c r="C26" s="2" t="s">
        <v>128</v>
      </c>
      <c r="D26" s="2" t="s">
        <v>129</v>
      </c>
      <c r="E26" s="2" t="s">
        <v>170</v>
      </c>
      <c r="F26" s="2" t="s">
        <v>171</v>
      </c>
      <c r="G26" s="2" t="s">
        <v>172</v>
      </c>
      <c r="H26" s="2" t="s">
        <v>196</v>
      </c>
    </row>
    <row r="27" spans="1:12" x14ac:dyDescent="0.45">
      <c r="A27" s="2" t="s">
        <v>231</v>
      </c>
      <c r="B27" s="3">
        <v>43753.073148148149</v>
      </c>
      <c r="C27" s="2" t="s">
        <v>128</v>
      </c>
      <c r="D27" s="2" t="s">
        <v>129</v>
      </c>
      <c r="E27" s="2" t="s">
        <v>170</v>
      </c>
      <c r="F27" s="2" t="s">
        <v>171</v>
      </c>
      <c r="G27" s="2" t="s">
        <v>172</v>
      </c>
      <c r="H27" s="2" t="s">
        <v>196</v>
      </c>
      <c r="I27" s="2" t="s">
        <v>197</v>
      </c>
      <c r="J27" s="2" t="s">
        <v>198</v>
      </c>
      <c r="K27" s="2" t="s">
        <v>199</v>
      </c>
    </row>
    <row r="28" spans="1:12" x14ac:dyDescent="0.45">
      <c r="A28" s="2" t="s">
        <v>232</v>
      </c>
      <c r="B28" s="3">
        <v>43800.062893518516</v>
      </c>
      <c r="C28" s="2" t="s">
        <v>128</v>
      </c>
      <c r="D28" s="2" t="s">
        <v>129</v>
      </c>
      <c r="E28" s="2" t="s">
        <v>170</v>
      </c>
      <c r="F28" s="2" t="s">
        <v>171</v>
      </c>
      <c r="G28" s="2" t="s">
        <v>172</v>
      </c>
      <c r="H28" s="2" t="s">
        <v>196</v>
      </c>
      <c r="I28" s="2" t="s">
        <v>197</v>
      </c>
      <c r="J28" s="2" t="s">
        <v>198</v>
      </c>
      <c r="K28" s="2" t="s">
        <v>199</v>
      </c>
    </row>
    <row r="29" spans="1:12" x14ac:dyDescent="0.45">
      <c r="A29" s="2" t="s">
        <v>233</v>
      </c>
      <c r="B29" s="3">
        <v>43755.034178240741</v>
      </c>
      <c r="C29" s="2" t="s">
        <v>128</v>
      </c>
      <c r="D29" s="2" t="s">
        <v>129</v>
      </c>
      <c r="E29" s="2" t="s">
        <v>170</v>
      </c>
      <c r="F29" s="2" t="s">
        <v>171</v>
      </c>
      <c r="G29" s="2" t="s">
        <v>172</v>
      </c>
      <c r="H29" s="2" t="s">
        <v>196</v>
      </c>
    </row>
    <row r="30" spans="1:12" x14ac:dyDescent="0.45">
      <c r="A30" s="2" t="s">
        <v>234</v>
      </c>
      <c r="B30" s="3">
        <v>43756.099849537037</v>
      </c>
      <c r="C30" s="2" t="s">
        <v>128</v>
      </c>
      <c r="D30" s="2" t="s">
        <v>129</v>
      </c>
      <c r="E30" s="2" t="s">
        <v>170</v>
      </c>
      <c r="F30" s="2" t="s">
        <v>171</v>
      </c>
      <c r="G30" s="2" t="s">
        <v>172</v>
      </c>
      <c r="H30" s="2" t="s">
        <v>196</v>
      </c>
      <c r="I30" s="2" t="s">
        <v>197</v>
      </c>
    </row>
    <row r="31" spans="1:12" x14ac:dyDescent="0.45">
      <c r="A31" s="2" t="s">
        <v>235</v>
      </c>
      <c r="B31" s="3">
        <v>43757.072893518518</v>
      </c>
      <c r="C31" s="2" t="s">
        <v>128</v>
      </c>
      <c r="D31" s="2" t="s">
        <v>129</v>
      </c>
      <c r="E31" s="2" t="s">
        <v>170</v>
      </c>
    </row>
    <row r="32" spans="1:12" x14ac:dyDescent="0.45">
      <c r="A32" s="2" t="s">
        <v>236</v>
      </c>
      <c r="B32" s="3">
        <v>43758.041724537034</v>
      </c>
      <c r="C32" s="2" t="s">
        <v>128</v>
      </c>
      <c r="D32" s="2" t="s">
        <v>129</v>
      </c>
      <c r="E32" s="2" t="s">
        <v>170</v>
      </c>
    </row>
    <row r="33" spans="1:9" x14ac:dyDescent="0.45">
      <c r="A33" s="2" t="s">
        <v>237</v>
      </c>
      <c r="B33" s="3">
        <v>43758.856203703705</v>
      </c>
      <c r="C33" s="2" t="s">
        <v>128</v>
      </c>
      <c r="D33" s="2" t="s">
        <v>129</v>
      </c>
      <c r="E33" s="2" t="s">
        <v>170</v>
      </c>
    </row>
    <row r="34" spans="1:9" x14ac:dyDescent="0.45">
      <c r="A34" s="2" t="s">
        <v>238</v>
      </c>
      <c r="B34" s="3">
        <v>43760.041956018518</v>
      </c>
      <c r="C34" s="2" t="s">
        <v>128</v>
      </c>
      <c r="D34" s="2" t="s">
        <v>129</v>
      </c>
      <c r="E34" s="2" t="s">
        <v>170</v>
      </c>
    </row>
    <row r="35" spans="1:9" x14ac:dyDescent="0.45">
      <c r="A35" s="2" t="s">
        <v>239</v>
      </c>
      <c r="B35" s="3">
        <v>43761.976099537038</v>
      </c>
      <c r="C35" s="2" t="s">
        <v>128</v>
      </c>
      <c r="D35" s="2" t="s">
        <v>129</v>
      </c>
      <c r="E35" s="2" t="s">
        <v>170</v>
      </c>
    </row>
    <row r="36" spans="1:9" x14ac:dyDescent="0.45">
      <c r="A36" s="2" t="s">
        <v>240</v>
      </c>
      <c r="B36" s="3">
        <v>43763.022106481483</v>
      </c>
      <c r="C36" s="2" t="s">
        <v>128</v>
      </c>
      <c r="D36" s="2" t="s">
        <v>129</v>
      </c>
    </row>
    <row r="37" spans="1:9" x14ac:dyDescent="0.45">
      <c r="A37" s="2" t="s">
        <v>241</v>
      </c>
      <c r="B37" s="3">
        <v>43763.041087962964</v>
      </c>
      <c r="C37" s="2" t="s">
        <v>128</v>
      </c>
      <c r="D37" s="2" t="s">
        <v>129</v>
      </c>
      <c r="E37" s="2" t="s">
        <v>170</v>
      </c>
    </row>
    <row r="38" spans="1:9" x14ac:dyDescent="0.45">
      <c r="A38" s="2" t="s">
        <v>242</v>
      </c>
      <c r="B38" s="3">
        <v>43764.041712962964</v>
      </c>
      <c r="C38" s="2" t="s">
        <v>128</v>
      </c>
      <c r="D38" s="2" t="s">
        <v>129</v>
      </c>
      <c r="E38" s="2" t="s">
        <v>170</v>
      </c>
      <c r="F38" s="2" t="s">
        <v>171</v>
      </c>
    </row>
    <row r="39" spans="1:9" x14ac:dyDescent="0.45">
      <c r="A39" s="2" t="s">
        <v>243</v>
      </c>
      <c r="B39" s="3">
        <v>43765.540532407409</v>
      </c>
      <c r="C39" s="2" t="s">
        <v>128</v>
      </c>
      <c r="D39" s="2" t="s">
        <v>129</v>
      </c>
      <c r="E39" s="2" t="s">
        <v>170</v>
      </c>
    </row>
    <row r="40" spans="1:9" x14ac:dyDescent="0.45">
      <c r="A40" s="2" t="s">
        <v>244</v>
      </c>
      <c r="B40" s="3">
        <v>43765.654629629629</v>
      </c>
      <c r="C40" s="2" t="s">
        <v>128</v>
      </c>
      <c r="D40" s="2" t="s">
        <v>129</v>
      </c>
      <c r="E40" s="2" t="s">
        <v>170</v>
      </c>
      <c r="F40" s="2" t="s">
        <v>171</v>
      </c>
      <c r="G40" s="2" t="s">
        <v>172</v>
      </c>
    </row>
    <row r="41" spans="1:9" x14ac:dyDescent="0.45">
      <c r="A41" s="2" t="s">
        <v>245</v>
      </c>
      <c r="B41" s="3">
        <v>43766.037835648145</v>
      </c>
      <c r="C41" s="2" t="s">
        <v>128</v>
      </c>
    </row>
    <row r="42" spans="1:9" x14ac:dyDescent="0.45">
      <c r="A42" s="2" t="s">
        <v>246</v>
      </c>
      <c r="B42" s="3">
        <v>43766.89675925926</v>
      </c>
      <c r="C42" s="2" t="s">
        <v>128</v>
      </c>
      <c r="D42" s="2" t="s">
        <v>129</v>
      </c>
      <c r="E42" s="2" t="s">
        <v>170</v>
      </c>
      <c r="F42" s="2" t="s">
        <v>171</v>
      </c>
    </row>
    <row r="43" spans="1:9" x14ac:dyDescent="0.45">
      <c r="A43" s="2" t="s">
        <v>247</v>
      </c>
      <c r="B43" s="3">
        <v>43768.005439814813</v>
      </c>
      <c r="C43" s="2" t="s">
        <v>128</v>
      </c>
      <c r="D43" s="2" t="s">
        <v>129</v>
      </c>
      <c r="E43" s="2" t="s">
        <v>170</v>
      </c>
      <c r="F43" s="2" t="s">
        <v>171</v>
      </c>
      <c r="G43" s="2" t="s">
        <v>172</v>
      </c>
      <c r="H43" s="2" t="s">
        <v>196</v>
      </c>
    </row>
    <row r="44" spans="1:9" x14ac:dyDescent="0.45">
      <c r="A44" s="2" t="s">
        <v>248</v>
      </c>
      <c r="B44" s="3">
        <v>43768.983483796299</v>
      </c>
      <c r="C44" s="2" t="s">
        <v>128</v>
      </c>
      <c r="D44" s="2" t="s">
        <v>129</v>
      </c>
      <c r="E44" s="2" t="s">
        <v>170</v>
      </c>
      <c r="F44" s="2" t="s">
        <v>171</v>
      </c>
    </row>
    <row r="45" spans="1:9" x14ac:dyDescent="0.45">
      <c r="A45" s="2" t="s">
        <v>249</v>
      </c>
      <c r="B45" s="3">
        <v>43770.558391203704</v>
      </c>
      <c r="C45" s="2" t="s">
        <v>128</v>
      </c>
      <c r="D45" s="2" t="s">
        <v>129</v>
      </c>
    </row>
    <row r="46" spans="1:9" x14ac:dyDescent="0.45">
      <c r="A46" s="2" t="s">
        <v>250</v>
      </c>
      <c r="B46" s="3">
        <v>43771.018865740742</v>
      </c>
      <c r="C46" s="2" t="s">
        <v>128</v>
      </c>
      <c r="D46" s="2" t="s">
        <v>129</v>
      </c>
    </row>
    <row r="47" spans="1:9" x14ac:dyDescent="0.45">
      <c r="A47" s="2" t="s">
        <v>251</v>
      </c>
      <c r="B47" s="3">
        <v>43770.815983796296</v>
      </c>
      <c r="C47" s="2" t="s">
        <v>128</v>
      </c>
    </row>
    <row r="48" spans="1:9" x14ac:dyDescent="0.45">
      <c r="A48" s="2" t="s">
        <v>252</v>
      </c>
      <c r="B48" s="3">
        <v>43771.741539351853</v>
      </c>
      <c r="C48" s="2" t="s">
        <v>128</v>
      </c>
      <c r="D48" s="2" t="s">
        <v>129</v>
      </c>
      <c r="E48" s="2" t="s">
        <v>170</v>
      </c>
      <c r="F48" s="2" t="s">
        <v>171</v>
      </c>
      <c r="G48" s="2" t="s">
        <v>172</v>
      </c>
      <c r="H48" s="2" t="s">
        <v>196</v>
      </c>
      <c r="I48" s="2" t="s">
        <v>197</v>
      </c>
    </row>
    <row r="49" spans="1:9" x14ac:dyDescent="0.45">
      <c r="A49" s="2" t="s">
        <v>253</v>
      </c>
      <c r="B49" s="3">
        <v>43772.854699074072</v>
      </c>
      <c r="C49" s="2" t="s">
        <v>128</v>
      </c>
      <c r="D49" s="2" t="s">
        <v>129</v>
      </c>
    </row>
    <row r="50" spans="1:9" x14ac:dyDescent="0.45">
      <c r="A50" s="2" t="s">
        <v>254</v>
      </c>
      <c r="B50" s="3">
        <v>43773.722453703704</v>
      </c>
      <c r="C50" s="2" t="s">
        <v>128</v>
      </c>
    </row>
    <row r="51" spans="1:9" x14ac:dyDescent="0.45">
      <c r="A51" s="2" t="s">
        <v>255</v>
      </c>
      <c r="B51" s="3">
        <v>43780.866018518522</v>
      </c>
      <c r="C51" s="2" t="s">
        <v>128</v>
      </c>
      <c r="D51" s="2" t="s">
        <v>129</v>
      </c>
      <c r="E51" s="2" t="s">
        <v>170</v>
      </c>
      <c r="F51" s="2" t="s">
        <v>171</v>
      </c>
      <c r="G51" s="2" t="s">
        <v>172</v>
      </c>
    </row>
    <row r="52" spans="1:9" x14ac:dyDescent="0.45">
      <c r="A52" s="2" t="s">
        <v>256</v>
      </c>
      <c r="B52" s="3">
        <v>43781.02715277778</v>
      </c>
      <c r="C52" s="2" t="s">
        <v>128</v>
      </c>
      <c r="D52" s="2" t="s">
        <v>129</v>
      </c>
    </row>
    <row r="53" spans="1:9" x14ac:dyDescent="0.45">
      <c r="A53" s="2" t="s">
        <v>257</v>
      </c>
      <c r="B53" s="3">
        <v>43781.637499999997</v>
      </c>
      <c r="C53" s="2" t="s">
        <v>128</v>
      </c>
    </row>
    <row r="54" spans="1:9" x14ac:dyDescent="0.45">
      <c r="A54" s="2" t="s">
        <v>258</v>
      </c>
      <c r="B54" s="3">
        <v>43782.018078703702</v>
      </c>
      <c r="C54" s="2" t="s">
        <v>128</v>
      </c>
      <c r="D54" s="2" t="s">
        <v>129</v>
      </c>
    </row>
    <row r="55" spans="1:9" x14ac:dyDescent="0.45">
      <c r="A55" s="2" t="s">
        <v>259</v>
      </c>
      <c r="B55" s="3">
        <v>43782.830752314818</v>
      </c>
      <c r="C55" s="2" t="s">
        <v>128</v>
      </c>
      <c r="D55" s="2" t="s">
        <v>129</v>
      </c>
      <c r="E55" s="2" t="s">
        <v>170</v>
      </c>
      <c r="F55" s="2" t="s">
        <v>171</v>
      </c>
      <c r="G55" s="2" t="s">
        <v>172</v>
      </c>
    </row>
    <row r="56" spans="1:9" x14ac:dyDescent="0.45">
      <c r="A56" s="2" t="s">
        <v>260</v>
      </c>
      <c r="B56" s="3">
        <v>43783.744745370372</v>
      </c>
      <c r="C56" s="2" t="s">
        <v>128</v>
      </c>
    </row>
    <row r="57" spans="1:9" x14ac:dyDescent="0.45">
      <c r="A57" s="2" t="s">
        <v>261</v>
      </c>
      <c r="B57" s="3">
        <v>43784.974247685182</v>
      </c>
      <c r="C57" s="2" t="s">
        <v>128</v>
      </c>
    </row>
    <row r="58" spans="1:9" x14ac:dyDescent="0.45">
      <c r="A58" s="2" t="s">
        <v>262</v>
      </c>
      <c r="B58" s="3">
        <v>43786.052789351852</v>
      </c>
      <c r="C58" s="2" t="s">
        <v>128</v>
      </c>
      <c r="D58" s="2" t="s">
        <v>129</v>
      </c>
    </row>
    <row r="59" spans="1:9" x14ac:dyDescent="0.45">
      <c r="A59" s="2" t="s">
        <v>263</v>
      </c>
      <c r="B59" s="3">
        <v>43786.909467592595</v>
      </c>
      <c r="C59" s="2" t="s">
        <v>128</v>
      </c>
      <c r="D59" s="2" t="s">
        <v>129</v>
      </c>
      <c r="E59" s="2" t="s">
        <v>170</v>
      </c>
      <c r="F59" s="2" t="s">
        <v>171</v>
      </c>
      <c r="G59" s="2" t="s">
        <v>172</v>
      </c>
      <c r="H59" s="2" t="s">
        <v>196</v>
      </c>
      <c r="I59" s="2" t="s">
        <v>197</v>
      </c>
    </row>
    <row r="60" spans="1:9" x14ac:dyDescent="0.45">
      <c r="A60" s="2" t="s">
        <v>264</v>
      </c>
      <c r="B60" s="3">
        <v>43787.745706018519</v>
      </c>
      <c r="C60" s="2" t="s">
        <v>128</v>
      </c>
    </row>
    <row r="61" spans="1:9" x14ac:dyDescent="0.45">
      <c r="A61" s="2" t="s">
        <v>265</v>
      </c>
      <c r="B61" s="3">
        <v>43789.053402777776</v>
      </c>
      <c r="C61" s="2" t="s">
        <v>128</v>
      </c>
      <c r="D61" s="2" t="s">
        <v>129</v>
      </c>
      <c r="E61" s="2" t="s">
        <v>170</v>
      </c>
      <c r="F61" s="2" t="s">
        <v>171</v>
      </c>
      <c r="G61" s="2" t="s">
        <v>172</v>
      </c>
    </row>
    <row r="62" spans="1:9" x14ac:dyDescent="0.45">
      <c r="A62" s="2" t="s">
        <v>266</v>
      </c>
      <c r="B62" s="3">
        <v>43789.730671296296</v>
      </c>
      <c r="C62" s="2" t="s">
        <v>128</v>
      </c>
    </row>
    <row r="63" spans="1:9" x14ac:dyDescent="0.45">
      <c r="A63" s="2" t="s">
        <v>267</v>
      </c>
      <c r="B63" s="3">
        <v>43790.974027777775</v>
      </c>
      <c r="C63" s="2" t="s">
        <v>128</v>
      </c>
    </row>
    <row r="64" spans="1:9" x14ac:dyDescent="0.45">
      <c r="A64" s="2" t="s">
        <v>268</v>
      </c>
      <c r="B64" s="3">
        <v>43792.884085648147</v>
      </c>
      <c r="C64" s="2" t="s">
        <v>128</v>
      </c>
      <c r="D64" s="2" t="s">
        <v>129</v>
      </c>
    </row>
    <row r="65" spans="1:12" x14ac:dyDescent="0.45">
      <c r="A65" s="2" t="s">
        <v>269</v>
      </c>
      <c r="B65" s="3">
        <v>43793.868402777778</v>
      </c>
      <c r="C65" s="2" t="s">
        <v>128</v>
      </c>
      <c r="D65" s="2" t="s">
        <v>129</v>
      </c>
      <c r="E65" s="2" t="s">
        <v>170</v>
      </c>
    </row>
    <row r="66" spans="1:12" x14ac:dyDescent="0.45">
      <c r="A66" s="2" t="s">
        <v>270</v>
      </c>
      <c r="B66" s="3">
        <v>43795.03466435185</v>
      </c>
      <c r="C66" s="2" t="s">
        <v>128</v>
      </c>
    </row>
    <row r="67" spans="1:12" x14ac:dyDescent="0.45">
      <c r="A67" s="2" t="s">
        <v>271</v>
      </c>
      <c r="B67" s="3">
        <v>43800.056134259263</v>
      </c>
      <c r="C67" s="2" t="s">
        <v>128</v>
      </c>
      <c r="D67" s="2" t="s">
        <v>129</v>
      </c>
      <c r="E67" s="2" t="s">
        <v>170</v>
      </c>
      <c r="F67" s="2" t="s">
        <v>171</v>
      </c>
      <c r="G67" s="2" t="s">
        <v>172</v>
      </c>
      <c r="H67" s="2" t="s">
        <v>196</v>
      </c>
      <c r="I67" s="2" t="s">
        <v>197</v>
      </c>
      <c r="J67" s="2" t="s">
        <v>198</v>
      </c>
      <c r="K67" s="2" t="s">
        <v>199</v>
      </c>
      <c r="L67" s="2" t="s">
        <v>200</v>
      </c>
    </row>
    <row r="68" spans="1:12" x14ac:dyDescent="0.45">
      <c r="A68" s="2" t="s">
        <v>272</v>
      </c>
      <c r="B68" s="3">
        <v>43800.047013888892</v>
      </c>
      <c r="C68" s="2" t="s">
        <v>128</v>
      </c>
      <c r="D68" s="2" t="s">
        <v>129</v>
      </c>
      <c r="E68" s="2" t="s">
        <v>170</v>
      </c>
    </row>
    <row r="69" spans="1:12" x14ac:dyDescent="0.45">
      <c r="A69" s="2" t="s">
        <v>273</v>
      </c>
      <c r="B69" s="3">
        <v>43801.877546296295</v>
      </c>
      <c r="C69" s="2" t="s">
        <v>128</v>
      </c>
      <c r="D69" s="2" t="s">
        <v>129</v>
      </c>
      <c r="E69" s="2" t="s">
        <v>170</v>
      </c>
    </row>
    <row r="70" spans="1:12" x14ac:dyDescent="0.45">
      <c r="A70" s="2" t="s">
        <v>274</v>
      </c>
      <c r="B70" s="3">
        <v>43802.991469907407</v>
      </c>
      <c r="C70" s="2" t="s">
        <v>128</v>
      </c>
      <c r="D70" s="2" t="s">
        <v>129</v>
      </c>
      <c r="E70" s="2" t="s">
        <v>170</v>
      </c>
      <c r="F70" s="2" t="s">
        <v>171</v>
      </c>
    </row>
    <row r="71" spans="1:12" x14ac:dyDescent="0.45">
      <c r="A71" s="2" t="s">
        <v>276</v>
      </c>
      <c r="B71" s="3">
        <v>43804.096018518518</v>
      </c>
      <c r="C71" s="2" t="s">
        <v>128</v>
      </c>
      <c r="D71" s="2" t="s">
        <v>129</v>
      </c>
      <c r="E71" s="2" t="s">
        <v>170</v>
      </c>
      <c r="F71" s="2" t="s">
        <v>171</v>
      </c>
      <c r="G71" s="2" t="s">
        <v>172</v>
      </c>
    </row>
    <row r="72" spans="1:12" x14ac:dyDescent="0.45">
      <c r="A72" s="2" t="s">
        <v>277</v>
      </c>
      <c r="B72" s="3">
        <v>43805.055914351855</v>
      </c>
      <c r="C72" s="2" t="s">
        <v>128</v>
      </c>
      <c r="D72" s="2" t="s">
        <v>129</v>
      </c>
    </row>
    <row r="73" spans="1:12" x14ac:dyDescent="0.45">
      <c r="A73" s="2" t="s">
        <v>278</v>
      </c>
      <c r="B73" s="3">
        <v>43805.880937499998</v>
      </c>
      <c r="C73" s="2" t="s">
        <v>128</v>
      </c>
    </row>
    <row r="74" spans="1:12" x14ac:dyDescent="0.45">
      <c r="A74" s="2" t="s">
        <v>279</v>
      </c>
      <c r="B74" s="3">
        <v>43806.068379629629</v>
      </c>
      <c r="C74" s="2" t="s">
        <v>128</v>
      </c>
    </row>
    <row r="75" spans="1:12" x14ac:dyDescent="0.45">
      <c r="A75" s="2" t="s">
        <v>280</v>
      </c>
      <c r="B75" s="3">
        <v>43807.045578703706</v>
      </c>
      <c r="C75" s="2" t="s">
        <v>128</v>
      </c>
      <c r="D75" s="2" t="s">
        <v>129</v>
      </c>
      <c r="E75" s="2" t="s">
        <v>170</v>
      </c>
      <c r="F75" s="2" t="s">
        <v>171</v>
      </c>
    </row>
    <row r="76" spans="1:12" x14ac:dyDescent="0.45">
      <c r="A76" s="2" t="s">
        <v>283</v>
      </c>
      <c r="B76" s="3">
        <v>43809.906898148147</v>
      </c>
      <c r="C76" s="2" t="s">
        <v>128</v>
      </c>
    </row>
    <row r="77" spans="1:12" x14ac:dyDescent="0.45">
      <c r="A77" s="2" t="s">
        <v>284</v>
      </c>
      <c r="B77" s="3">
        <v>43809.906898148147</v>
      </c>
      <c r="C77" s="2" t="s">
        <v>128</v>
      </c>
      <c r="D77" s="2" t="s">
        <v>129</v>
      </c>
    </row>
    <row r="78" spans="1:12" x14ac:dyDescent="0.45">
      <c r="A78" s="2" t="s">
        <v>285</v>
      </c>
      <c r="B78" s="3">
        <v>43809.081944444442</v>
      </c>
      <c r="C78" s="2" t="s">
        <v>128</v>
      </c>
      <c r="D78" s="2" t="s">
        <v>129</v>
      </c>
      <c r="E78" s="2" t="s">
        <v>170</v>
      </c>
    </row>
    <row r="79" spans="1:12" x14ac:dyDescent="0.45">
      <c r="A79" s="2" t="s">
        <v>286</v>
      </c>
      <c r="B79" s="3">
        <v>43810.051180555558</v>
      </c>
      <c r="C79" s="2" t="s">
        <v>128</v>
      </c>
      <c r="D79" s="2" t="s">
        <v>129</v>
      </c>
      <c r="E79" s="2" t="s">
        <v>170</v>
      </c>
      <c r="F79" s="2" t="s">
        <v>171</v>
      </c>
      <c r="G79" s="2" t="s">
        <v>172</v>
      </c>
    </row>
    <row r="80" spans="1:12" x14ac:dyDescent="0.45">
      <c r="A80" s="2" t="s">
        <v>287</v>
      </c>
      <c r="B80" s="3">
        <v>43812.000752314816</v>
      </c>
      <c r="C80" s="2" t="s">
        <v>128</v>
      </c>
    </row>
    <row r="81" spans="1:9" x14ac:dyDescent="0.45">
      <c r="A81" s="2" t="s">
        <v>288</v>
      </c>
      <c r="B81" s="3">
        <v>43813.948321759257</v>
      </c>
      <c r="C81" s="2" t="s">
        <v>128</v>
      </c>
      <c r="D81" s="2" t="s">
        <v>129</v>
      </c>
      <c r="E81" s="2" t="s">
        <v>170</v>
      </c>
    </row>
    <row r="82" spans="1:9" x14ac:dyDescent="0.45">
      <c r="A82" s="2" t="s">
        <v>289</v>
      </c>
      <c r="B82" s="3">
        <v>43814.578449074077</v>
      </c>
      <c r="C82" s="2" t="s">
        <v>128</v>
      </c>
    </row>
    <row r="83" spans="1:9" x14ac:dyDescent="0.45">
      <c r="A83" s="2" t="s">
        <v>290</v>
      </c>
      <c r="B83" s="3">
        <v>43817.934259259258</v>
      </c>
      <c r="C83" s="2" t="s">
        <v>128</v>
      </c>
      <c r="D83" s="2" t="s">
        <v>129</v>
      </c>
      <c r="E83" s="2" t="s">
        <v>170</v>
      </c>
    </row>
    <row r="84" spans="1:9" x14ac:dyDescent="0.45">
      <c r="A84" s="2" t="s">
        <v>291</v>
      </c>
      <c r="B84" s="3">
        <v>43818.430601851855</v>
      </c>
      <c r="C84" s="2" t="s">
        <v>128</v>
      </c>
      <c r="D84" s="2" t="s">
        <v>129</v>
      </c>
    </row>
    <row r="85" spans="1:9" x14ac:dyDescent="0.45">
      <c r="A85" s="2" t="s">
        <v>292</v>
      </c>
      <c r="B85" s="3">
        <v>43818.433738425927</v>
      </c>
      <c r="C85" s="2" t="s">
        <v>128</v>
      </c>
      <c r="D85" s="2" t="s">
        <v>129</v>
      </c>
      <c r="E85" s="2" t="s">
        <v>170</v>
      </c>
      <c r="F85" s="2" t="s">
        <v>171</v>
      </c>
    </row>
    <row r="86" spans="1:9" x14ac:dyDescent="0.45">
      <c r="A86" s="2" t="s">
        <v>293</v>
      </c>
      <c r="B86" s="3">
        <v>43819.091747685183</v>
      </c>
      <c r="C86" s="2" t="s">
        <v>128</v>
      </c>
      <c r="D86" s="2" t="s">
        <v>129</v>
      </c>
    </row>
    <row r="87" spans="1:9" x14ac:dyDescent="0.45">
      <c r="A87" s="2" t="s">
        <v>294</v>
      </c>
      <c r="B87" s="3">
        <v>43836.020520833335</v>
      </c>
      <c r="C87" s="2" t="s">
        <v>128</v>
      </c>
      <c r="D87" s="2" t="s">
        <v>129</v>
      </c>
      <c r="E87" s="2" t="s">
        <v>170</v>
      </c>
      <c r="F87" s="2" t="s">
        <v>171</v>
      </c>
      <c r="G87" s="2" t="s">
        <v>196</v>
      </c>
      <c r="H87" s="2" t="s">
        <v>172</v>
      </c>
    </row>
    <row r="88" spans="1:9" x14ac:dyDescent="0.45">
      <c r="A88" s="2" t="s">
        <v>295</v>
      </c>
      <c r="B88" s="3">
        <v>43838.76290509259</v>
      </c>
      <c r="C88" s="2" t="s">
        <v>128</v>
      </c>
    </row>
    <row r="89" spans="1:9" x14ac:dyDescent="0.45">
      <c r="A89" s="2" t="s">
        <v>296</v>
      </c>
      <c r="B89" s="3">
        <v>43839.021249999998</v>
      </c>
      <c r="C89" s="2" t="s">
        <v>128</v>
      </c>
      <c r="D89" s="2" t="s">
        <v>129</v>
      </c>
      <c r="E89" s="2" t="s">
        <v>170</v>
      </c>
      <c r="F89" s="2" t="s">
        <v>171</v>
      </c>
    </row>
    <row r="90" spans="1:9" x14ac:dyDescent="0.45">
      <c r="A90" s="2" t="s">
        <v>297</v>
      </c>
      <c r="B90" s="3">
        <v>43840.436331018522</v>
      </c>
      <c r="C90" s="2" t="s">
        <v>128</v>
      </c>
    </row>
    <row r="91" spans="1:9" x14ac:dyDescent="0.45">
      <c r="A91" s="2" t="s">
        <v>298</v>
      </c>
      <c r="B91" s="3">
        <v>43840.602083333331</v>
      </c>
      <c r="C91" s="2" t="s">
        <v>128</v>
      </c>
      <c r="D91" s="2" t="s">
        <v>129</v>
      </c>
      <c r="E91" s="2" t="s">
        <v>170</v>
      </c>
    </row>
    <row r="92" spans="1:9" x14ac:dyDescent="0.45">
      <c r="A92" s="2" t="s">
        <v>299</v>
      </c>
      <c r="B92" s="3">
        <v>43843.027384259258</v>
      </c>
      <c r="C92" s="2" t="s">
        <v>128</v>
      </c>
      <c r="D92" s="2" t="s">
        <v>129</v>
      </c>
      <c r="E92" s="2" t="s">
        <v>170</v>
      </c>
      <c r="F92" s="2" t="s">
        <v>171</v>
      </c>
      <c r="G92" s="2" t="s">
        <v>172</v>
      </c>
      <c r="H92" s="2" t="s">
        <v>196</v>
      </c>
      <c r="I92" s="2" t="s">
        <v>197</v>
      </c>
    </row>
    <row r="93" spans="1:9" x14ac:dyDescent="0.45">
      <c r="A93" s="2" t="s">
        <v>300</v>
      </c>
      <c r="B93" s="3">
        <v>43844.951261574075</v>
      </c>
      <c r="C93" s="2" t="s">
        <v>128</v>
      </c>
      <c r="D93" s="2" t="s">
        <v>129</v>
      </c>
      <c r="E93" s="2" t="s">
        <v>170</v>
      </c>
    </row>
    <row r="94" spans="1:9" x14ac:dyDescent="0.45">
      <c r="A94" s="2" t="s">
        <v>301</v>
      </c>
      <c r="B94" s="3">
        <v>43845.034178240741</v>
      </c>
      <c r="C94" s="2" t="s">
        <v>128</v>
      </c>
      <c r="D94" s="2" t="s">
        <v>129</v>
      </c>
      <c r="E94" s="2" t="s">
        <v>170</v>
      </c>
    </row>
    <row r="95" spans="1:9" x14ac:dyDescent="0.45">
      <c r="A95" s="2" t="s">
        <v>302</v>
      </c>
      <c r="B95" s="3">
        <v>43846.004641203705</v>
      </c>
      <c r="C95" s="2" t="s">
        <v>128</v>
      </c>
    </row>
    <row r="96" spans="1:9" x14ac:dyDescent="0.45">
      <c r="A96" s="2" t="s">
        <v>303</v>
      </c>
      <c r="B96" s="3">
        <v>43847.005300925928</v>
      </c>
      <c r="C96" s="2" t="s">
        <v>128</v>
      </c>
      <c r="D96" s="2" t="s">
        <v>129</v>
      </c>
      <c r="E96" s="2" t="s">
        <v>170</v>
      </c>
      <c r="F96" s="2" t="s">
        <v>171</v>
      </c>
    </row>
    <row r="97" spans="1:7" x14ac:dyDescent="0.45">
      <c r="A97" s="2" t="s">
        <v>304</v>
      </c>
      <c r="B97" s="3">
        <v>43847.644155092596</v>
      </c>
      <c r="C97" s="2" t="s">
        <v>128</v>
      </c>
      <c r="D97" s="2" t="s">
        <v>129</v>
      </c>
      <c r="E97" s="2" t="s">
        <v>170</v>
      </c>
    </row>
    <row r="98" spans="1:7" x14ac:dyDescent="0.45">
      <c r="A98" s="2" t="s">
        <v>305</v>
      </c>
      <c r="B98" s="3">
        <v>43848.686238425929</v>
      </c>
      <c r="C98" s="2" t="s">
        <v>128</v>
      </c>
      <c r="D98" s="2" t="s">
        <v>129</v>
      </c>
    </row>
    <row r="99" spans="1:7" x14ac:dyDescent="0.45">
      <c r="A99" s="2" t="s">
        <v>306</v>
      </c>
      <c r="B99" s="3">
        <v>43852.043136574073</v>
      </c>
      <c r="C99" s="2" t="s">
        <v>128</v>
      </c>
      <c r="D99" s="2" t="s">
        <v>129</v>
      </c>
      <c r="E99" s="2" t="s">
        <v>170</v>
      </c>
      <c r="F99" s="2" t="s">
        <v>171</v>
      </c>
      <c r="G99" s="2" t="s">
        <v>172</v>
      </c>
    </row>
    <row r="100" spans="1:7" x14ac:dyDescent="0.45">
      <c r="A100" s="2" t="s">
        <v>307</v>
      </c>
      <c r="B100" s="3">
        <v>43856.016423611109</v>
      </c>
      <c r="C100" s="2" t="s">
        <v>128</v>
      </c>
      <c r="D100" s="2" t="s">
        <v>129</v>
      </c>
      <c r="E100" s="2" t="s">
        <v>170</v>
      </c>
    </row>
    <row r="101" spans="1:7" x14ac:dyDescent="0.45">
      <c r="A101" s="2" t="s">
        <v>308</v>
      </c>
      <c r="B101" s="3">
        <v>43857.063576388886</v>
      </c>
      <c r="C101" s="2" t="s">
        <v>128</v>
      </c>
      <c r="D101" s="2" t="s">
        <v>129</v>
      </c>
      <c r="E101" s="2" t="s">
        <v>170</v>
      </c>
    </row>
    <row r="102" spans="1:7" x14ac:dyDescent="0.45">
      <c r="A102" s="2" t="s">
        <v>309</v>
      </c>
      <c r="B102" s="3">
        <v>43858.020173611112</v>
      </c>
      <c r="C102" s="2" t="s">
        <v>128</v>
      </c>
      <c r="D102" s="2" t="s">
        <v>129</v>
      </c>
      <c r="E102" s="2" t="s">
        <v>170</v>
      </c>
    </row>
    <row r="103" spans="1:7" x14ac:dyDescent="0.45">
      <c r="A103" s="2" t="s">
        <v>310</v>
      </c>
      <c r="B103" s="3">
        <v>43862.05269675926</v>
      </c>
      <c r="C103" s="2" t="s">
        <v>128</v>
      </c>
      <c r="D103" s="2" t="s">
        <v>129</v>
      </c>
      <c r="E103" s="2" t="s">
        <v>170</v>
      </c>
      <c r="F103" s="2" t="s">
        <v>171</v>
      </c>
    </row>
    <row r="104" spans="1:7" x14ac:dyDescent="0.45">
      <c r="A104" s="2" t="s">
        <v>311</v>
      </c>
      <c r="B104" s="3">
        <v>43860.026909722219</v>
      </c>
      <c r="C104" s="2" t="s">
        <v>128</v>
      </c>
      <c r="D104" s="2" t="s">
        <v>129</v>
      </c>
      <c r="E104" s="2" t="s">
        <v>170</v>
      </c>
    </row>
    <row r="105" spans="1:7" x14ac:dyDescent="0.45">
      <c r="A105" s="2" t="s">
        <v>312</v>
      </c>
      <c r="B105" s="3">
        <v>43862.053043981483</v>
      </c>
      <c r="C105" s="2" t="s">
        <v>128</v>
      </c>
      <c r="D105" s="2" t="s">
        <v>129</v>
      </c>
    </row>
    <row r="106" spans="1:7" x14ac:dyDescent="0.45">
      <c r="A106" s="2" t="s">
        <v>313</v>
      </c>
      <c r="B106" s="3">
        <v>43862.101307870369</v>
      </c>
      <c r="C106" s="2" t="s">
        <v>128</v>
      </c>
      <c r="D106" s="2" t="s">
        <v>129</v>
      </c>
      <c r="E106" s="2" t="s">
        <v>170</v>
      </c>
    </row>
    <row r="107" spans="1:7" x14ac:dyDescent="0.45">
      <c r="A107" s="2" t="s">
        <v>314</v>
      </c>
      <c r="B107" s="3">
        <v>43863.061215277776</v>
      </c>
      <c r="C107" s="2" t="s">
        <v>128</v>
      </c>
      <c r="D107" s="2" t="s">
        <v>129</v>
      </c>
      <c r="E107" s="2" t="s">
        <v>170</v>
      </c>
    </row>
    <row r="108" spans="1:7" x14ac:dyDescent="0.45">
      <c r="A108" s="2" t="s">
        <v>315</v>
      </c>
      <c r="B108" s="3">
        <v>43865.925081018519</v>
      </c>
      <c r="C108" s="2" t="s">
        <v>128</v>
      </c>
    </row>
    <row r="109" spans="1:7" x14ac:dyDescent="0.45">
      <c r="A109" s="2" t="s">
        <v>316</v>
      </c>
      <c r="B109" s="3">
        <v>43865.989189814813</v>
      </c>
      <c r="C109" s="2" t="s">
        <v>128</v>
      </c>
      <c r="D109" s="2" t="s">
        <v>129</v>
      </c>
    </row>
    <row r="110" spans="1:7" x14ac:dyDescent="0.45">
      <c r="A110" s="2" t="s">
        <v>317</v>
      </c>
      <c r="B110" s="3">
        <v>43866.98027777778</v>
      </c>
      <c r="C110" s="2" t="s">
        <v>128</v>
      </c>
    </row>
    <row r="111" spans="1:7" x14ac:dyDescent="0.45">
      <c r="A111" s="2" t="s">
        <v>318</v>
      </c>
      <c r="B111" s="3">
        <v>43871.735081018516</v>
      </c>
      <c r="C111" s="2" t="s">
        <v>128</v>
      </c>
      <c r="D111" s="2" t="s">
        <v>129</v>
      </c>
    </row>
    <row r="112" spans="1:7" x14ac:dyDescent="0.45">
      <c r="A112" s="2" t="s">
        <v>319</v>
      </c>
      <c r="B112" s="3">
        <v>43875.771134259259</v>
      </c>
      <c r="C112" s="2" t="s">
        <v>128</v>
      </c>
      <c r="D112" s="2" t="s">
        <v>129</v>
      </c>
    </row>
    <row r="113" spans="1:6" x14ac:dyDescent="0.45">
      <c r="A113" s="2" t="s">
        <v>320</v>
      </c>
      <c r="B113" s="3">
        <v>43876.0153587963</v>
      </c>
      <c r="C113" s="2" t="s">
        <v>128</v>
      </c>
      <c r="D113" s="2" t="s">
        <v>129</v>
      </c>
      <c r="E113" s="2" t="s">
        <v>170</v>
      </c>
      <c r="F113" s="2" t="s">
        <v>171</v>
      </c>
    </row>
    <row r="114" spans="1:6" x14ac:dyDescent="0.45">
      <c r="A114" s="2" t="s">
        <v>321</v>
      </c>
      <c r="B114" s="3">
        <v>43876.606481481482</v>
      </c>
      <c r="C114" s="2" t="s">
        <v>128</v>
      </c>
      <c r="D114" s="2" t="s">
        <v>129</v>
      </c>
    </row>
    <row r="115" spans="1:6" x14ac:dyDescent="0.45">
      <c r="A115" s="2" t="s">
        <v>322</v>
      </c>
      <c r="B115" s="3">
        <v>43879.024421296293</v>
      </c>
      <c r="C115" s="2" t="s">
        <v>128</v>
      </c>
      <c r="D115" s="2" t="s">
        <v>129</v>
      </c>
      <c r="E115" s="2" t="s">
        <v>170</v>
      </c>
      <c r="F115" s="2" t="s">
        <v>171</v>
      </c>
    </row>
    <row r="116" spans="1:6" x14ac:dyDescent="0.45">
      <c r="A116" s="2" t="s">
        <v>323</v>
      </c>
      <c r="B116" s="3">
        <v>43880.042349537034</v>
      </c>
      <c r="C116" s="2" t="s">
        <v>128</v>
      </c>
      <c r="D116" s="2" t="s">
        <v>129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1083</v>
      </c>
    </row>
    <row r="2" spans="1:2" x14ac:dyDescent="0.45">
      <c r="A2" t="s">
        <v>158</v>
      </c>
      <c r="B2">
        <v>93</v>
      </c>
    </row>
    <row r="3" spans="1:2" x14ac:dyDescent="0.45">
      <c r="A3" t="s">
        <v>126</v>
      </c>
      <c r="B3">
        <v>220</v>
      </c>
    </row>
    <row r="4" spans="1:2" x14ac:dyDescent="0.45">
      <c r="A4" t="s">
        <v>127</v>
      </c>
      <c r="B4">
        <v>189</v>
      </c>
    </row>
    <row r="5" spans="1:2" x14ac:dyDescent="0.45">
      <c r="A5" t="s">
        <v>169</v>
      </c>
      <c r="B5">
        <v>106</v>
      </c>
    </row>
    <row r="6" spans="1:2" x14ac:dyDescent="0.45">
      <c r="A6" t="s">
        <v>167</v>
      </c>
      <c r="B6">
        <v>162</v>
      </c>
    </row>
    <row r="7" spans="1:2" x14ac:dyDescent="0.45">
      <c r="A7" t="s">
        <v>168</v>
      </c>
      <c r="B7">
        <v>164</v>
      </c>
    </row>
    <row r="8" spans="1:2" x14ac:dyDescent="0.45">
      <c r="A8" t="s">
        <v>195</v>
      </c>
      <c r="B8">
        <v>75</v>
      </c>
    </row>
    <row r="9" spans="1:2" x14ac:dyDescent="0.45">
      <c r="A9" t="s">
        <v>194</v>
      </c>
      <c r="B9">
        <v>32</v>
      </c>
    </row>
    <row r="10" spans="1:2" x14ac:dyDescent="0.45">
      <c r="A10" t="s">
        <v>201</v>
      </c>
      <c r="B10">
        <v>7</v>
      </c>
    </row>
    <row r="11" spans="1:2" x14ac:dyDescent="0.45">
      <c r="A11" t="s">
        <v>202</v>
      </c>
      <c r="B11">
        <v>2</v>
      </c>
    </row>
    <row r="12" spans="1:2" x14ac:dyDescent="0.45">
      <c r="A12" t="s">
        <v>275</v>
      </c>
      <c r="B12">
        <v>18</v>
      </c>
    </row>
    <row r="13" spans="1:2" x14ac:dyDescent="0.45">
      <c r="A13" t="s">
        <v>282</v>
      </c>
      <c r="B13">
        <v>10</v>
      </c>
    </row>
    <row r="14" spans="1:2" x14ac:dyDescent="0.45">
      <c r="A14" t="s">
        <v>281</v>
      </c>
      <c r="B14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/>
      <c r="C1" s="128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0</v>
      </c>
      <c r="C2" s="13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130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1">
        <v>0</v>
      </c>
      <c r="C3" s="13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131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3">
        <v>0</v>
      </c>
      <c r="C4" s="13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132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1">
        <f>IF(B$2=0,0,B$4/B$2)</f>
        <v>0</v>
      </c>
      <c r="C5" s="12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133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5">
        <f>IF(B$2=0,0,(B$7*1+B$8*2+B$9*3)/B$2)</f>
        <v>0</v>
      </c>
      <c r="C6" s="13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134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135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192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190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191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174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175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173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161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162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138</v>
      </c>
      <c r="B32" s="123">
        <v>0</v>
      </c>
      <c r="C32" s="12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189</v>
      </c>
      <c r="B33" s="125">
        <v>-1000000</v>
      </c>
      <c r="C33" s="12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180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176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177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178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179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181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182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183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184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185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186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187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159</v>
      </c>
      <c r="F50" s="26" t="s">
        <v>160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163</v>
      </c>
      <c r="F51" s="96" t="s">
        <v>164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165</v>
      </c>
      <c r="F52" s="27" t="s">
        <v>166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49" customWidth="1"/>
    <col min="3" max="3" width="10.69921875" style="50" customWidth="1"/>
    <col min="4" max="4" width="10.69921875" style="51" customWidth="1"/>
    <col min="5" max="5" width="10.69921875" style="63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52" customWidth="1"/>
    <col min="10" max="10" width="10.69921875" style="51" customWidth="1"/>
    <col min="11" max="11" width="10.69921875" style="53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4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5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3" customWidth="1"/>
    <col min="24" max="24" width="10.69921875" style="51" customWidth="1"/>
    <col min="25" max="25" width="10.69921875" style="54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8" customWidth="1"/>
    <col min="36" max="16384" width="9" style="39"/>
  </cols>
  <sheetData>
    <row r="1" spans="1:35" x14ac:dyDescent="0.45">
      <c r="A1" s="38"/>
      <c r="B1" s="139" t="s">
        <v>6</v>
      </c>
      <c r="C1" s="140"/>
      <c r="D1" s="139" t="s">
        <v>7</v>
      </c>
      <c r="E1" s="140"/>
      <c r="F1" s="143" t="s">
        <v>206</v>
      </c>
      <c r="G1" s="144"/>
      <c r="H1" s="139" t="s">
        <v>15</v>
      </c>
      <c r="I1" s="140"/>
      <c r="J1" s="139" t="s">
        <v>14</v>
      </c>
      <c r="K1" s="140"/>
      <c r="L1" s="139" t="s">
        <v>152</v>
      </c>
      <c r="M1" s="140"/>
      <c r="N1" s="139" t="s">
        <v>145</v>
      </c>
      <c r="O1" s="140"/>
      <c r="P1" s="139" t="s">
        <v>146</v>
      </c>
      <c r="Q1" s="140"/>
      <c r="R1" s="139" t="s">
        <v>5</v>
      </c>
      <c r="S1" s="140"/>
      <c r="T1" s="139" t="s">
        <v>16</v>
      </c>
      <c r="U1" s="140"/>
      <c r="V1" s="139" t="s">
        <v>17</v>
      </c>
      <c r="W1" s="140"/>
      <c r="X1" s="139" t="s">
        <v>122</v>
      </c>
      <c r="Y1" s="140"/>
      <c r="Z1" s="139" t="s">
        <v>119</v>
      </c>
      <c r="AA1" s="140"/>
      <c r="AB1" s="139" t="s">
        <v>125</v>
      </c>
      <c r="AC1" s="140"/>
      <c r="AD1" s="139" t="s">
        <v>147</v>
      </c>
      <c r="AE1" s="140"/>
      <c r="AF1" s="139" t="s">
        <v>140</v>
      </c>
      <c r="AG1" s="140"/>
      <c r="AH1" s="139" t="s">
        <v>189</v>
      </c>
      <c r="AI1" s="140"/>
    </row>
    <row r="2" spans="1:35" x14ac:dyDescent="0.45">
      <c r="A2" s="38" t="s">
        <v>151</v>
      </c>
      <c r="B2" s="141"/>
      <c r="C2" s="142"/>
      <c r="D2" s="141"/>
      <c r="E2" s="142"/>
      <c r="F2" s="137">
        <v>0.74246095954452251</v>
      </c>
      <c r="G2" s="138"/>
      <c r="H2" s="137">
        <v>0.97601692301867082</v>
      </c>
      <c r="I2" s="138"/>
      <c r="J2" s="137">
        <v>0.8288918078908728</v>
      </c>
      <c r="K2" s="138"/>
      <c r="L2" s="137">
        <v>0.6523398083512445</v>
      </c>
      <c r="M2" s="138"/>
      <c r="N2" s="137">
        <v>0.58629661110487707</v>
      </c>
      <c r="O2" s="138"/>
      <c r="P2" s="137">
        <v>0.26590596920641263</v>
      </c>
      <c r="Q2" s="138"/>
      <c r="R2" s="137">
        <v>0.45671698292019186</v>
      </c>
      <c r="S2" s="138"/>
      <c r="T2" s="137">
        <v>-8.0085949730009251E-2</v>
      </c>
      <c r="U2" s="138"/>
      <c r="V2" s="137">
        <v>0.33343113424326332</v>
      </c>
      <c r="W2" s="138"/>
      <c r="X2" s="137">
        <v>0.4152387008150944</v>
      </c>
      <c r="Y2" s="138"/>
      <c r="Z2" s="137">
        <v>-2.336347527949717E-2</v>
      </c>
      <c r="AA2" s="138"/>
      <c r="AB2" s="137">
        <v>0.46559094685601088</v>
      </c>
      <c r="AC2" s="138"/>
      <c r="AD2" s="137">
        <v>8.6642791234174579E-2</v>
      </c>
      <c r="AE2" s="138"/>
      <c r="AF2" s="137">
        <v>-7.75871795672569E-2</v>
      </c>
      <c r="AG2" s="138"/>
      <c r="AH2" s="137">
        <v>0.72304995777091419</v>
      </c>
      <c r="AI2" s="138"/>
    </row>
    <row r="3" spans="1:35" x14ac:dyDescent="0.45">
      <c r="A3" s="40">
        <v>1</v>
      </c>
      <c r="B3" s="41" t="s">
        <v>126</v>
      </c>
      <c r="C3" s="42">
        <v>1969.1</v>
      </c>
      <c r="D3" s="43" t="s">
        <v>202</v>
      </c>
      <c r="E3" s="62">
        <v>13.1</v>
      </c>
      <c r="F3" s="43" t="s">
        <v>202</v>
      </c>
      <c r="G3" s="62">
        <v>8.7333333333333325</v>
      </c>
      <c r="H3" s="43" t="s">
        <v>202</v>
      </c>
      <c r="I3" s="44">
        <v>1.5</v>
      </c>
      <c r="J3" s="43" t="s">
        <v>282</v>
      </c>
      <c r="K3" s="45">
        <v>0.5</v>
      </c>
      <c r="L3" s="43" t="s">
        <v>202</v>
      </c>
      <c r="M3" s="45">
        <v>0</v>
      </c>
      <c r="N3" s="43" t="s">
        <v>202</v>
      </c>
      <c r="O3" s="46">
        <v>0.46666666666666667</v>
      </c>
      <c r="P3" s="43" t="s">
        <v>202</v>
      </c>
      <c r="Q3" s="46">
        <v>6.6666666666666666E-2</v>
      </c>
      <c r="R3" s="43" t="s">
        <v>167</v>
      </c>
      <c r="S3" s="47">
        <v>11012.534059945505</v>
      </c>
      <c r="T3" s="43" t="s">
        <v>194</v>
      </c>
      <c r="U3" s="47">
        <v>-7102</v>
      </c>
      <c r="V3" s="43" t="s">
        <v>202</v>
      </c>
      <c r="W3" s="45">
        <v>0</v>
      </c>
      <c r="X3" s="43" t="s">
        <v>282</v>
      </c>
      <c r="Y3" s="46">
        <v>0.38461538461538464</v>
      </c>
      <c r="Z3" s="43" t="s">
        <v>201</v>
      </c>
      <c r="AA3" s="46">
        <v>0.35483870967741937</v>
      </c>
      <c r="AB3" s="43" t="s">
        <v>282</v>
      </c>
      <c r="AC3" s="46">
        <v>0.6333333333333333</v>
      </c>
      <c r="AD3" s="43" t="s">
        <v>202</v>
      </c>
      <c r="AE3" s="46">
        <v>1</v>
      </c>
      <c r="AF3" s="43" t="s">
        <v>194</v>
      </c>
      <c r="AG3" s="46">
        <v>0.58441558441558439</v>
      </c>
      <c r="AH3" s="43" t="s">
        <v>126</v>
      </c>
      <c r="AI3" s="57">
        <v>149100</v>
      </c>
    </row>
    <row r="4" spans="1:35" x14ac:dyDescent="0.45">
      <c r="A4" s="48">
        <v>2</v>
      </c>
      <c r="B4" s="49" t="s">
        <v>167</v>
      </c>
      <c r="C4" s="50">
        <v>777.80000000000041</v>
      </c>
      <c r="D4" s="51" t="s">
        <v>126</v>
      </c>
      <c r="E4" s="63">
        <v>8.9504545454545443</v>
      </c>
      <c r="F4" s="51" t="s">
        <v>167</v>
      </c>
      <c r="G4" s="63">
        <v>1.5067521367521313</v>
      </c>
      <c r="H4" s="51" t="s">
        <v>126</v>
      </c>
      <c r="I4" s="52">
        <v>1.7772727272727273</v>
      </c>
      <c r="J4" s="51" t="s">
        <v>202</v>
      </c>
      <c r="K4" s="53">
        <v>0.5</v>
      </c>
      <c r="L4" s="51" t="s">
        <v>126</v>
      </c>
      <c r="M4" s="53">
        <v>0.24545454545454545</v>
      </c>
      <c r="N4" s="51" t="s">
        <v>275</v>
      </c>
      <c r="O4" s="54">
        <v>0.34838709677419355</v>
      </c>
      <c r="P4" s="51" t="s">
        <v>126</v>
      </c>
      <c r="Q4" s="54">
        <v>0.12581699346405228</v>
      </c>
      <c r="R4" s="51" t="s">
        <v>282</v>
      </c>
      <c r="S4" s="55">
        <v>9534.6153846153848</v>
      </c>
      <c r="T4" s="51" t="s">
        <v>168</v>
      </c>
      <c r="U4" s="55">
        <v>-7259.677419354839</v>
      </c>
      <c r="V4" s="51" t="s">
        <v>126</v>
      </c>
      <c r="W4" s="53">
        <v>0.05</v>
      </c>
      <c r="X4" s="51" t="s">
        <v>281</v>
      </c>
      <c r="Y4" s="54">
        <v>0.375</v>
      </c>
      <c r="Z4" s="51" t="s">
        <v>202</v>
      </c>
      <c r="AA4" s="54">
        <v>0.33333333333333331</v>
      </c>
      <c r="AB4" s="51" t="s">
        <v>126</v>
      </c>
      <c r="AC4" s="54">
        <v>0.58024691358024694</v>
      </c>
      <c r="AD4" s="51" t="s">
        <v>275</v>
      </c>
      <c r="AE4" s="54">
        <v>0.68421052631578949</v>
      </c>
      <c r="AF4" s="51" t="s">
        <v>275</v>
      </c>
      <c r="AG4" s="54">
        <v>0.53703703703703709</v>
      </c>
      <c r="AH4" s="51" t="s">
        <v>141</v>
      </c>
      <c r="AI4" s="58">
        <v>149100</v>
      </c>
    </row>
    <row r="5" spans="1:35" x14ac:dyDescent="0.45">
      <c r="A5" s="48">
        <v>3</v>
      </c>
      <c r="B5" s="49" t="s">
        <v>202</v>
      </c>
      <c r="C5" s="50">
        <v>26.2</v>
      </c>
      <c r="D5" s="51" t="s">
        <v>167</v>
      </c>
      <c r="E5" s="63">
        <v>4.8012345679012371</v>
      </c>
      <c r="F5" s="51" t="s">
        <v>126</v>
      </c>
      <c r="G5" s="63">
        <v>1.4659089741613951</v>
      </c>
      <c r="H5" s="51" t="s">
        <v>167</v>
      </c>
      <c r="I5" s="52">
        <v>1.9197530864197532</v>
      </c>
      <c r="J5" s="51" t="s">
        <v>126</v>
      </c>
      <c r="K5" s="53">
        <v>0.4681818181818182</v>
      </c>
      <c r="L5" s="51" t="s">
        <v>168</v>
      </c>
      <c r="M5" s="53">
        <v>0.29878048780487804</v>
      </c>
      <c r="N5" s="51" t="s">
        <v>126</v>
      </c>
      <c r="O5" s="54">
        <v>0.33714596949891068</v>
      </c>
      <c r="P5" s="51" t="s">
        <v>168</v>
      </c>
      <c r="Q5" s="54">
        <v>0.13943028485757122</v>
      </c>
      <c r="R5" s="51" t="s">
        <v>195</v>
      </c>
      <c r="S5" s="55">
        <v>8516.339869281046</v>
      </c>
      <c r="T5" s="51" t="s">
        <v>126</v>
      </c>
      <c r="U5" s="55">
        <v>-7575.757575757576</v>
      </c>
      <c r="V5" s="51" t="s">
        <v>169</v>
      </c>
      <c r="W5" s="53">
        <v>7.5471698113207544E-2</v>
      </c>
      <c r="X5" s="51" t="s">
        <v>275</v>
      </c>
      <c r="Y5" s="54">
        <v>0.34838709677419355</v>
      </c>
      <c r="Z5" s="51" t="s">
        <v>127</v>
      </c>
      <c r="AA5" s="54">
        <v>0.30025445292620867</v>
      </c>
      <c r="AB5" s="51" t="s">
        <v>275</v>
      </c>
      <c r="AC5" s="54">
        <v>0.57407407407407407</v>
      </c>
      <c r="AD5" s="51" t="s">
        <v>126</v>
      </c>
      <c r="AE5" s="54">
        <v>0.46910755148741418</v>
      </c>
      <c r="AF5" s="51" t="s">
        <v>167</v>
      </c>
      <c r="AG5" s="54">
        <v>0.5122615803814714</v>
      </c>
      <c r="AH5" s="51" t="s">
        <v>167</v>
      </c>
      <c r="AI5" s="58">
        <v>122100</v>
      </c>
    </row>
    <row r="6" spans="1:35" x14ac:dyDescent="0.45">
      <c r="A6" s="48">
        <v>4</v>
      </c>
      <c r="B6" s="49" t="s">
        <v>282</v>
      </c>
      <c r="C6" s="50">
        <v>9.2999999999999972</v>
      </c>
      <c r="D6" s="51" t="s">
        <v>282</v>
      </c>
      <c r="E6" s="63">
        <v>0.92999999999999972</v>
      </c>
      <c r="F6" s="51" t="s">
        <v>168</v>
      </c>
      <c r="G6" s="63">
        <v>1.1502577387544168</v>
      </c>
      <c r="H6" s="51" t="s">
        <v>127</v>
      </c>
      <c r="I6" s="52">
        <v>1.9894179894179893</v>
      </c>
      <c r="J6" s="51" t="s">
        <v>201</v>
      </c>
      <c r="K6" s="53">
        <v>0.42857142857142855</v>
      </c>
      <c r="L6" s="51" t="s">
        <v>127</v>
      </c>
      <c r="M6" s="53">
        <v>0.31746031746031744</v>
      </c>
      <c r="N6" s="51" t="s">
        <v>282</v>
      </c>
      <c r="O6" s="54">
        <v>0.33333333333333331</v>
      </c>
      <c r="P6" s="51" t="s">
        <v>141</v>
      </c>
      <c r="Q6" s="54">
        <v>0.15951595159515952</v>
      </c>
      <c r="R6" s="51" t="s">
        <v>281</v>
      </c>
      <c r="S6" s="55">
        <v>8512.5</v>
      </c>
      <c r="T6" s="51" t="s">
        <v>158</v>
      </c>
      <c r="U6" s="55">
        <v>-7708.8888888888887</v>
      </c>
      <c r="V6" s="51" t="s">
        <v>168</v>
      </c>
      <c r="W6" s="53">
        <v>8.5365853658536592E-2</v>
      </c>
      <c r="X6" s="51" t="s">
        <v>167</v>
      </c>
      <c r="Y6" s="54">
        <v>0.29598788796366388</v>
      </c>
      <c r="Z6" s="51" t="s">
        <v>158</v>
      </c>
      <c r="AA6" s="54">
        <v>0.26322115384615385</v>
      </c>
      <c r="AB6" s="51" t="s">
        <v>194</v>
      </c>
      <c r="AC6" s="54">
        <v>0.5662650602409639</v>
      </c>
      <c r="AD6" s="51" t="s">
        <v>168</v>
      </c>
      <c r="AE6" s="54">
        <v>0.42156862745098039</v>
      </c>
      <c r="AF6" s="51" t="s">
        <v>169</v>
      </c>
      <c r="AG6" s="54">
        <v>0.47773279352226722</v>
      </c>
      <c r="AH6" s="51" t="s">
        <v>168</v>
      </c>
      <c r="AI6" s="58">
        <v>101400</v>
      </c>
    </row>
    <row r="7" spans="1:35" x14ac:dyDescent="0.45">
      <c r="A7" s="48">
        <v>5</v>
      </c>
      <c r="B7" s="49" t="s">
        <v>141</v>
      </c>
      <c r="C7" s="50">
        <v>-9.2370555648813024E-14</v>
      </c>
      <c r="D7" s="51" t="s">
        <v>141</v>
      </c>
      <c r="E7" s="63">
        <v>-8.5291371790224398E-17</v>
      </c>
      <c r="F7" s="51" t="s">
        <v>282</v>
      </c>
      <c r="G7" s="63">
        <v>0.61999999999999977</v>
      </c>
      <c r="H7" s="51" t="s">
        <v>194</v>
      </c>
      <c r="I7" s="52">
        <v>2</v>
      </c>
      <c r="J7" s="51" t="s">
        <v>167</v>
      </c>
      <c r="K7" s="53">
        <v>0.40123456790123457</v>
      </c>
      <c r="L7" s="51" t="s">
        <v>167</v>
      </c>
      <c r="M7" s="53">
        <v>0.32098765432098764</v>
      </c>
      <c r="N7" s="51" t="s">
        <v>127</v>
      </c>
      <c r="O7" s="54">
        <v>0.31679389312977096</v>
      </c>
      <c r="P7" s="51" t="s">
        <v>275</v>
      </c>
      <c r="Q7" s="54">
        <v>0.16129032258064516</v>
      </c>
      <c r="R7" s="51" t="s">
        <v>168</v>
      </c>
      <c r="S7" s="55">
        <v>8485.3658536585372</v>
      </c>
      <c r="T7" s="51" t="s">
        <v>169</v>
      </c>
      <c r="U7" s="55">
        <v>-7752.6627218934909</v>
      </c>
      <c r="V7" s="51" t="s">
        <v>158</v>
      </c>
      <c r="W7" s="53">
        <v>9.6774193548387094E-2</v>
      </c>
      <c r="X7" s="51" t="s">
        <v>194</v>
      </c>
      <c r="Y7" s="54">
        <v>0.27852348993288589</v>
      </c>
      <c r="Z7" s="51" t="s">
        <v>126</v>
      </c>
      <c r="AA7" s="54">
        <v>0.23801742919389979</v>
      </c>
      <c r="AB7" s="51" t="s">
        <v>141</v>
      </c>
      <c r="AC7" s="54">
        <v>0.54669603524229071</v>
      </c>
      <c r="AD7" s="51" t="s">
        <v>141</v>
      </c>
      <c r="AE7" s="54">
        <v>0.41631305987741629</v>
      </c>
      <c r="AF7" s="51" t="s">
        <v>282</v>
      </c>
      <c r="AG7" s="54">
        <v>0.46153846153846156</v>
      </c>
      <c r="AH7" s="51" t="s">
        <v>194</v>
      </c>
      <c r="AI7" s="58">
        <v>95200</v>
      </c>
    </row>
    <row r="8" spans="1:35" x14ac:dyDescent="0.45">
      <c r="A8" s="48">
        <v>6</v>
      </c>
      <c r="B8" s="49" t="s">
        <v>275</v>
      </c>
      <c r="C8" s="50">
        <v>-55.6</v>
      </c>
      <c r="D8" s="51" t="s">
        <v>168</v>
      </c>
      <c r="E8" s="63">
        <v>-0.39451219512195113</v>
      </c>
      <c r="F8" s="51" t="s">
        <v>141</v>
      </c>
      <c r="G8" s="63">
        <v>0</v>
      </c>
      <c r="H8" s="51" t="s">
        <v>282</v>
      </c>
      <c r="I8" s="52">
        <v>2</v>
      </c>
      <c r="J8" s="51" t="s">
        <v>194</v>
      </c>
      <c r="K8" s="53">
        <v>0.375</v>
      </c>
      <c r="L8" s="51" t="s">
        <v>141</v>
      </c>
      <c r="M8" s="53">
        <v>0.33333333333333331</v>
      </c>
      <c r="N8" s="51" t="s">
        <v>141</v>
      </c>
      <c r="O8" s="54">
        <v>0.29339933993399342</v>
      </c>
      <c r="P8" s="51" t="s">
        <v>158</v>
      </c>
      <c r="Q8" s="54">
        <v>0.16225961538461539</v>
      </c>
      <c r="R8" s="51" t="s">
        <v>141</v>
      </c>
      <c r="S8" s="55">
        <v>8439.520059992501</v>
      </c>
      <c r="T8" s="51" t="s">
        <v>141</v>
      </c>
      <c r="U8" s="55">
        <v>-7860.2758620689656</v>
      </c>
      <c r="V8" s="51" t="s">
        <v>141</v>
      </c>
      <c r="W8" s="53">
        <v>9.9722991689750698E-2</v>
      </c>
      <c r="X8" s="51" t="s">
        <v>169</v>
      </c>
      <c r="Y8" s="54">
        <v>0.27410617551462624</v>
      </c>
      <c r="Z8" s="51" t="s">
        <v>141</v>
      </c>
      <c r="AA8" s="54">
        <v>0.23333333333333334</v>
      </c>
      <c r="AB8" s="51" t="s">
        <v>168</v>
      </c>
      <c r="AC8" s="54">
        <v>0.54599406528189909</v>
      </c>
      <c r="AD8" s="51" t="s">
        <v>127</v>
      </c>
      <c r="AE8" s="54">
        <v>0.40254237288135591</v>
      </c>
      <c r="AF8" s="51" t="s">
        <v>195</v>
      </c>
      <c r="AG8" s="54">
        <v>0.45751633986928103</v>
      </c>
      <c r="AH8" s="51" t="s">
        <v>127</v>
      </c>
      <c r="AI8" s="58">
        <v>91800</v>
      </c>
    </row>
    <row r="9" spans="1:35" x14ac:dyDescent="0.45">
      <c r="A9" s="48">
        <v>7</v>
      </c>
      <c r="B9" s="49" t="s">
        <v>168</v>
      </c>
      <c r="C9" s="50">
        <v>-64.699999999999989</v>
      </c>
      <c r="D9" s="51" t="s">
        <v>127</v>
      </c>
      <c r="E9" s="63">
        <v>-0.47142857142857258</v>
      </c>
      <c r="F9" s="51" t="s">
        <v>127</v>
      </c>
      <c r="G9" s="63">
        <v>-0.84346707323596581</v>
      </c>
      <c r="H9" s="51" t="s">
        <v>141</v>
      </c>
      <c r="I9" s="52">
        <v>2</v>
      </c>
      <c r="J9" s="51" t="s">
        <v>275</v>
      </c>
      <c r="K9" s="53">
        <v>0.33333333333333331</v>
      </c>
      <c r="L9" s="51" t="s">
        <v>194</v>
      </c>
      <c r="M9" s="53">
        <v>0.375</v>
      </c>
      <c r="N9" s="51" t="s">
        <v>167</v>
      </c>
      <c r="O9" s="54">
        <v>0.2778198334595004</v>
      </c>
      <c r="P9" s="51" t="s">
        <v>194</v>
      </c>
      <c r="Q9" s="54">
        <v>0.16778523489932887</v>
      </c>
      <c r="R9" s="51" t="s">
        <v>126</v>
      </c>
      <c r="S9" s="55">
        <v>8308.7237479806136</v>
      </c>
      <c r="T9" s="51" t="s">
        <v>281</v>
      </c>
      <c r="U9" s="55">
        <v>-7987.5</v>
      </c>
      <c r="V9" s="51" t="s">
        <v>127</v>
      </c>
      <c r="W9" s="53">
        <v>0.10052910052910052</v>
      </c>
      <c r="X9" s="51" t="s">
        <v>202</v>
      </c>
      <c r="Y9" s="54">
        <v>0.26666666666666666</v>
      </c>
      <c r="Z9" s="51" t="s">
        <v>168</v>
      </c>
      <c r="AA9" s="54">
        <v>0.22938530734632684</v>
      </c>
      <c r="AB9" s="51" t="s">
        <v>169</v>
      </c>
      <c r="AC9" s="54">
        <v>0.54545454545454541</v>
      </c>
      <c r="AD9" s="51" t="s">
        <v>195</v>
      </c>
      <c r="AE9" s="54">
        <v>0.39860139860139859</v>
      </c>
      <c r="AF9" s="51" t="s">
        <v>168</v>
      </c>
      <c r="AG9" s="54">
        <v>0.45528455284552843</v>
      </c>
      <c r="AH9" s="51" t="s">
        <v>158</v>
      </c>
      <c r="AI9" s="58">
        <v>87400</v>
      </c>
    </row>
    <row r="10" spans="1:35" x14ac:dyDescent="0.45">
      <c r="A10" s="48">
        <v>8</v>
      </c>
      <c r="B10" s="49" t="s">
        <v>281</v>
      </c>
      <c r="C10" s="50">
        <v>-80.800000000000011</v>
      </c>
      <c r="D10" s="51" t="s">
        <v>194</v>
      </c>
      <c r="E10" s="63">
        <v>-3.0218749999999992</v>
      </c>
      <c r="F10" s="51" t="s">
        <v>195</v>
      </c>
      <c r="G10" s="63">
        <v>-0.88347996089931746</v>
      </c>
      <c r="H10" s="51" t="s">
        <v>168</v>
      </c>
      <c r="I10" s="52">
        <v>2.0365853658536586</v>
      </c>
      <c r="J10" s="51" t="s">
        <v>141</v>
      </c>
      <c r="K10" s="53">
        <v>0.33333333333333331</v>
      </c>
      <c r="L10" s="51" t="s">
        <v>275</v>
      </c>
      <c r="M10" s="53">
        <v>0.3888888888888889</v>
      </c>
      <c r="N10" s="51" t="s">
        <v>168</v>
      </c>
      <c r="O10" s="54">
        <v>0.27661169415292353</v>
      </c>
      <c r="P10" s="51" t="s">
        <v>167</v>
      </c>
      <c r="Q10" s="54">
        <v>0.17108251324753973</v>
      </c>
      <c r="R10" s="51" t="s">
        <v>194</v>
      </c>
      <c r="S10" s="55">
        <v>8164.9350649350654</v>
      </c>
      <c r="T10" s="51" t="s">
        <v>202</v>
      </c>
      <c r="U10" s="55">
        <v>-8000</v>
      </c>
      <c r="V10" s="51" t="s">
        <v>167</v>
      </c>
      <c r="W10" s="53">
        <v>0.11728395061728394</v>
      </c>
      <c r="X10" s="51" t="s">
        <v>126</v>
      </c>
      <c r="Y10" s="54">
        <v>0.26470588235294118</v>
      </c>
      <c r="Z10" s="51" t="s">
        <v>195</v>
      </c>
      <c r="AA10" s="54">
        <v>0.22916666666666666</v>
      </c>
      <c r="AB10" s="51" t="s">
        <v>167</v>
      </c>
      <c r="AC10" s="54">
        <v>0.5421994884910486</v>
      </c>
      <c r="AD10" s="51" t="s">
        <v>158</v>
      </c>
      <c r="AE10" s="54">
        <v>0.39726027397260272</v>
      </c>
      <c r="AF10" s="51" t="s">
        <v>141</v>
      </c>
      <c r="AG10" s="54">
        <v>0.45069366329208849</v>
      </c>
      <c r="AH10" s="51" t="s">
        <v>195</v>
      </c>
      <c r="AI10" s="58">
        <v>85100</v>
      </c>
    </row>
    <row r="11" spans="1:35" x14ac:dyDescent="0.45">
      <c r="A11" s="48">
        <v>9</v>
      </c>
      <c r="B11" s="49" t="s">
        <v>127</v>
      </c>
      <c r="C11" s="50">
        <v>-89.100000000000222</v>
      </c>
      <c r="D11" s="51" t="s">
        <v>275</v>
      </c>
      <c r="E11" s="63">
        <v>-3.088888888888889</v>
      </c>
      <c r="F11" s="51" t="s">
        <v>275</v>
      </c>
      <c r="G11" s="63">
        <v>-0.98952380952380992</v>
      </c>
      <c r="H11" s="51" t="s">
        <v>275</v>
      </c>
      <c r="I11" s="52">
        <v>2.0555555555555554</v>
      </c>
      <c r="J11" s="51" t="s">
        <v>127</v>
      </c>
      <c r="K11" s="53">
        <v>0.32804232804232802</v>
      </c>
      <c r="L11" s="51" t="s">
        <v>169</v>
      </c>
      <c r="M11" s="53">
        <v>0.39622641509433965</v>
      </c>
      <c r="N11" s="51" t="s">
        <v>158</v>
      </c>
      <c r="O11" s="54">
        <v>0.27283653846153844</v>
      </c>
      <c r="P11" s="51" t="s">
        <v>127</v>
      </c>
      <c r="Q11" s="54">
        <v>0.17366412213740459</v>
      </c>
      <c r="R11" s="51" t="s">
        <v>169</v>
      </c>
      <c r="S11" s="55">
        <v>7870.0404858299598</v>
      </c>
      <c r="T11" s="51" t="s">
        <v>127</v>
      </c>
      <c r="U11" s="55">
        <v>-8050.9157509157512</v>
      </c>
      <c r="V11" s="51" t="s">
        <v>194</v>
      </c>
      <c r="W11" s="53">
        <v>0.15625</v>
      </c>
      <c r="X11" s="51" t="s">
        <v>168</v>
      </c>
      <c r="Y11" s="54">
        <v>0.25262368815592207</v>
      </c>
      <c r="Z11" s="51" t="s">
        <v>169</v>
      </c>
      <c r="AA11" s="54">
        <v>0.19718309859154928</v>
      </c>
      <c r="AB11" s="51" t="s">
        <v>201</v>
      </c>
      <c r="AC11" s="54">
        <v>0.53333333333333333</v>
      </c>
      <c r="AD11" s="51" t="s">
        <v>169</v>
      </c>
      <c r="AE11" s="54">
        <v>0.39560439560439559</v>
      </c>
      <c r="AF11" s="51" t="s">
        <v>158</v>
      </c>
      <c r="AG11" s="54">
        <v>0.42290748898678415</v>
      </c>
      <c r="AH11" s="51" t="s">
        <v>282</v>
      </c>
      <c r="AI11" s="58">
        <v>70900</v>
      </c>
    </row>
    <row r="12" spans="1:35" x14ac:dyDescent="0.45">
      <c r="A12" s="48">
        <v>10</v>
      </c>
      <c r="B12" s="49" t="s">
        <v>194</v>
      </c>
      <c r="C12" s="50">
        <v>-96.699999999999974</v>
      </c>
      <c r="D12" s="51" t="s">
        <v>169</v>
      </c>
      <c r="E12" s="63">
        <v>-6.8632075471698117</v>
      </c>
      <c r="F12" s="51" t="s">
        <v>158</v>
      </c>
      <c r="G12" s="63">
        <v>-1.9166251129177947</v>
      </c>
      <c r="H12" s="51" t="s">
        <v>201</v>
      </c>
      <c r="I12" s="52">
        <v>2.1428571428571428</v>
      </c>
      <c r="J12" s="51" t="s">
        <v>158</v>
      </c>
      <c r="K12" s="53">
        <v>0.26881720430107525</v>
      </c>
      <c r="L12" s="51" t="s">
        <v>281</v>
      </c>
      <c r="M12" s="53">
        <v>0.4</v>
      </c>
      <c r="N12" s="51" t="s">
        <v>169</v>
      </c>
      <c r="O12" s="54">
        <v>0.26760563380281688</v>
      </c>
      <c r="P12" s="51" t="s">
        <v>169</v>
      </c>
      <c r="Q12" s="54">
        <v>0.18309859154929578</v>
      </c>
      <c r="R12" s="51" t="s">
        <v>127</v>
      </c>
      <c r="S12" s="55">
        <v>7782.9317269076309</v>
      </c>
      <c r="T12" s="51" t="s">
        <v>195</v>
      </c>
      <c r="U12" s="55">
        <v>-8213.9130434782601</v>
      </c>
      <c r="V12" s="51" t="s">
        <v>275</v>
      </c>
      <c r="W12" s="53">
        <v>0.16666666666666666</v>
      </c>
      <c r="X12" s="51" t="s">
        <v>141</v>
      </c>
      <c r="Y12" s="54">
        <v>0.24972497249724973</v>
      </c>
      <c r="Z12" s="51" t="s">
        <v>167</v>
      </c>
      <c r="AA12" s="54">
        <v>0.18849356548069643</v>
      </c>
      <c r="AB12" s="51" t="s">
        <v>158</v>
      </c>
      <c r="AC12" s="54">
        <v>0.52542372881355937</v>
      </c>
      <c r="AD12" s="51" t="s">
        <v>167</v>
      </c>
      <c r="AE12" s="54">
        <v>0.38955823293172692</v>
      </c>
      <c r="AF12" s="51" t="s">
        <v>126</v>
      </c>
      <c r="AG12" s="54">
        <v>0.42164781906300486</v>
      </c>
      <c r="AH12" s="51" t="s">
        <v>169</v>
      </c>
      <c r="AI12" s="58">
        <v>69500</v>
      </c>
    </row>
    <row r="13" spans="1:35" x14ac:dyDescent="0.45">
      <c r="A13" s="48">
        <v>11</v>
      </c>
      <c r="B13" s="49" t="s">
        <v>201</v>
      </c>
      <c r="C13" s="50">
        <v>-104.80000000000001</v>
      </c>
      <c r="D13" s="51" t="s">
        <v>158</v>
      </c>
      <c r="E13" s="63">
        <v>-7.5677419354838742</v>
      </c>
      <c r="F13" s="51" t="s">
        <v>169</v>
      </c>
      <c r="G13" s="63">
        <v>-2.1949206349206349</v>
      </c>
      <c r="H13" s="51" t="s">
        <v>169</v>
      </c>
      <c r="I13" s="52">
        <v>2.1698113207547172</v>
      </c>
      <c r="J13" s="51" t="s">
        <v>168</v>
      </c>
      <c r="K13" s="53">
        <v>0.26219512195121952</v>
      </c>
      <c r="L13" s="51" t="s">
        <v>195</v>
      </c>
      <c r="M13" s="53">
        <v>0.44</v>
      </c>
      <c r="N13" s="51" t="s">
        <v>194</v>
      </c>
      <c r="O13" s="54">
        <v>0.25838926174496646</v>
      </c>
      <c r="P13" s="51" t="s">
        <v>195</v>
      </c>
      <c r="Q13" s="54">
        <v>0.18429487179487181</v>
      </c>
      <c r="R13" s="51" t="s">
        <v>201</v>
      </c>
      <c r="S13" s="55">
        <v>7473.333333333333</v>
      </c>
      <c r="T13" s="51" t="s">
        <v>275</v>
      </c>
      <c r="U13" s="55">
        <v>-8220</v>
      </c>
      <c r="V13" s="51" t="s">
        <v>195</v>
      </c>
      <c r="W13" s="53">
        <v>0.17333333333333334</v>
      </c>
      <c r="X13" s="51" t="s">
        <v>201</v>
      </c>
      <c r="Y13" s="54">
        <v>0.24193548387096775</v>
      </c>
      <c r="Z13" s="51" t="s">
        <v>282</v>
      </c>
      <c r="AA13" s="54">
        <v>0.16666666666666666</v>
      </c>
      <c r="AB13" s="51" t="s">
        <v>127</v>
      </c>
      <c r="AC13" s="54">
        <v>0.51694915254237284</v>
      </c>
      <c r="AD13" s="51" t="s">
        <v>282</v>
      </c>
      <c r="AE13" s="54">
        <v>0.38461538461538464</v>
      </c>
      <c r="AF13" s="51" t="s">
        <v>127</v>
      </c>
      <c r="AG13" s="54">
        <v>0.41365461847389556</v>
      </c>
      <c r="AH13" s="51" t="s">
        <v>275</v>
      </c>
      <c r="AI13" s="58">
        <v>65900</v>
      </c>
    </row>
    <row r="14" spans="1:35" x14ac:dyDescent="0.45">
      <c r="A14" s="48">
        <v>12</v>
      </c>
      <c r="B14" s="49" t="s">
        <v>158</v>
      </c>
      <c r="C14" s="50">
        <v>-703.8000000000003</v>
      </c>
      <c r="D14" s="51" t="s">
        <v>195</v>
      </c>
      <c r="E14" s="63">
        <v>-11.458666666666669</v>
      </c>
      <c r="F14" s="51" t="s">
        <v>194</v>
      </c>
      <c r="G14" s="63">
        <v>-2.7208333333333337</v>
      </c>
      <c r="H14" s="51" t="s">
        <v>158</v>
      </c>
      <c r="I14" s="52">
        <v>2.172043010752688</v>
      </c>
      <c r="J14" s="51" t="s">
        <v>169</v>
      </c>
      <c r="K14" s="53">
        <v>0.22641509433962265</v>
      </c>
      <c r="L14" s="51" t="s">
        <v>158</v>
      </c>
      <c r="M14" s="53">
        <v>0.44086021505376344</v>
      </c>
      <c r="N14" s="51" t="s">
        <v>195</v>
      </c>
      <c r="O14" s="54">
        <v>0.24519230769230768</v>
      </c>
      <c r="P14" s="51" t="s">
        <v>201</v>
      </c>
      <c r="Q14" s="54">
        <v>0.19354838709677419</v>
      </c>
      <c r="R14" s="51" t="s">
        <v>202</v>
      </c>
      <c r="S14" s="55">
        <v>7385.7142857142853</v>
      </c>
      <c r="T14" s="51" t="s">
        <v>167</v>
      </c>
      <c r="U14" s="55">
        <v>-8283.6283185840712</v>
      </c>
      <c r="V14" s="51" t="s">
        <v>282</v>
      </c>
      <c r="W14" s="53">
        <v>0.2</v>
      </c>
      <c r="X14" s="51" t="s">
        <v>127</v>
      </c>
      <c r="Y14" s="54">
        <v>0.22519083969465647</v>
      </c>
      <c r="Z14" s="51" t="s">
        <v>194</v>
      </c>
      <c r="AA14" s="54">
        <v>0.16107382550335569</v>
      </c>
      <c r="AB14" s="51" t="s">
        <v>195</v>
      </c>
      <c r="AC14" s="54">
        <v>0.51538461538461533</v>
      </c>
      <c r="AD14" s="51" t="s">
        <v>281</v>
      </c>
      <c r="AE14" s="54">
        <v>0.33333333333333331</v>
      </c>
      <c r="AF14" s="51" t="s">
        <v>201</v>
      </c>
      <c r="AG14" s="54">
        <v>0.33333333333333331</v>
      </c>
      <c r="AH14" s="51" t="s">
        <v>201</v>
      </c>
      <c r="AI14" s="58">
        <v>59500</v>
      </c>
    </row>
    <row r="15" spans="1:35" x14ac:dyDescent="0.45">
      <c r="A15" s="48">
        <v>13</v>
      </c>
      <c r="B15" s="49" t="s">
        <v>169</v>
      </c>
      <c r="C15" s="50">
        <v>-727.5</v>
      </c>
      <c r="D15" s="51" t="s">
        <v>201</v>
      </c>
      <c r="E15" s="63">
        <v>-14.971428571428573</v>
      </c>
      <c r="F15" s="51" t="s">
        <v>201</v>
      </c>
      <c r="G15" s="63">
        <v>-6.4861111111111098</v>
      </c>
      <c r="H15" s="51" t="s">
        <v>281</v>
      </c>
      <c r="I15" s="52">
        <v>2.2000000000000002</v>
      </c>
      <c r="J15" s="51" t="s">
        <v>281</v>
      </c>
      <c r="K15" s="53">
        <v>0.2</v>
      </c>
      <c r="L15" s="51" t="s">
        <v>282</v>
      </c>
      <c r="M15" s="53">
        <v>0.5</v>
      </c>
      <c r="N15" s="51" t="s">
        <v>201</v>
      </c>
      <c r="O15" s="54">
        <v>0.24193548387096775</v>
      </c>
      <c r="P15" s="51" t="s">
        <v>281</v>
      </c>
      <c r="Q15" s="54">
        <v>0.2</v>
      </c>
      <c r="R15" s="51" t="s">
        <v>158</v>
      </c>
      <c r="S15" s="55">
        <v>7057.7092511013216</v>
      </c>
      <c r="T15" s="51" t="s">
        <v>201</v>
      </c>
      <c r="U15" s="55">
        <v>-9075</v>
      </c>
      <c r="V15" s="51" t="s">
        <v>281</v>
      </c>
      <c r="W15" s="53">
        <v>0.2</v>
      </c>
      <c r="X15" s="51" t="s">
        <v>195</v>
      </c>
      <c r="Y15" s="54">
        <v>0.20833333333333334</v>
      </c>
      <c r="Z15" s="51" t="s">
        <v>281</v>
      </c>
      <c r="AA15" s="54">
        <v>0.15</v>
      </c>
      <c r="AB15" s="51" t="s">
        <v>202</v>
      </c>
      <c r="AC15" s="54">
        <v>0.5</v>
      </c>
      <c r="AD15" s="51" t="s">
        <v>194</v>
      </c>
      <c r="AE15" s="54">
        <v>0.3125</v>
      </c>
      <c r="AF15" s="51" t="s">
        <v>202</v>
      </c>
      <c r="AG15" s="54">
        <v>0.2857142857142857</v>
      </c>
      <c r="AH15" s="51" t="s">
        <v>202</v>
      </c>
      <c r="AI15" s="58">
        <v>52800</v>
      </c>
    </row>
    <row r="16" spans="1:35" x14ac:dyDescent="0.45">
      <c r="A16" s="48">
        <v>14</v>
      </c>
      <c r="B16" s="49" t="s">
        <v>195</v>
      </c>
      <c r="C16" s="50">
        <v>-859.4000000000002</v>
      </c>
      <c r="D16" s="51" t="s">
        <v>281</v>
      </c>
      <c r="E16" s="63">
        <v>-16.160000000000004</v>
      </c>
      <c r="F16" s="51" t="s">
        <v>281</v>
      </c>
      <c r="G16" s="63">
        <v>-8.9666666666666668</v>
      </c>
      <c r="H16" s="51" t="s">
        <v>195</v>
      </c>
      <c r="I16" s="52">
        <v>2.2933333333333334</v>
      </c>
      <c r="J16" s="51" t="s">
        <v>195</v>
      </c>
      <c r="K16" s="53">
        <v>0.14666666666666667</v>
      </c>
      <c r="L16" s="51" t="s">
        <v>201</v>
      </c>
      <c r="M16" s="53">
        <v>0.5714285714285714</v>
      </c>
      <c r="N16" s="51" t="s">
        <v>281</v>
      </c>
      <c r="O16" s="54">
        <v>0.2</v>
      </c>
      <c r="P16" s="51" t="s">
        <v>282</v>
      </c>
      <c r="Q16" s="54">
        <v>0.24358974358974358</v>
      </c>
      <c r="R16" s="51" t="s">
        <v>275</v>
      </c>
      <c r="S16" s="55">
        <v>6648.1481481481478</v>
      </c>
      <c r="T16" s="51" t="s">
        <v>282</v>
      </c>
      <c r="U16" s="55">
        <v>-10010.526315789473</v>
      </c>
      <c r="V16" s="51" t="s">
        <v>201</v>
      </c>
      <c r="W16" s="53">
        <v>0.5714285714285714</v>
      </c>
      <c r="X16" s="51" t="s">
        <v>158</v>
      </c>
      <c r="Y16" s="54">
        <v>0.14182692307692307</v>
      </c>
      <c r="Z16" s="51" t="s">
        <v>275</v>
      </c>
      <c r="AA16" s="54">
        <v>0.12258064516129032</v>
      </c>
      <c r="AB16" s="51" t="s">
        <v>281</v>
      </c>
      <c r="AC16" s="54">
        <v>0.4</v>
      </c>
      <c r="AD16" s="51" t="s">
        <v>201</v>
      </c>
      <c r="AE16" s="54">
        <v>0.27272727272727271</v>
      </c>
      <c r="AF16" s="51" t="s">
        <v>281</v>
      </c>
      <c r="AG16" s="54">
        <v>0.25</v>
      </c>
      <c r="AH16" s="51" t="s">
        <v>281</v>
      </c>
      <c r="AI16" s="58">
        <v>52000</v>
      </c>
    </row>
  </sheetData>
  <sortState xmlns:xlrd2="http://schemas.microsoft.com/office/spreadsheetml/2017/richdata2" ref="AH3:AI47">
    <sortCondition descending="1" ref="AI1"/>
  </sortState>
  <mergeCells count="34"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  <mergeCell ref="B2:C2"/>
    <mergeCell ref="D2:E2"/>
    <mergeCell ref="H2:I2"/>
    <mergeCell ref="J2:K2"/>
    <mergeCell ref="N2:O2"/>
    <mergeCell ref="L2:M2"/>
    <mergeCell ref="F2:G2"/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32D3-54B6-478D-8D41-FDCE2F911B4F}">
  <sheetPr codeName="Sheet4"/>
  <dimension ref="A1:Q1085"/>
  <sheetViews>
    <sheetView showGridLines="0" topLeftCell="A14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141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1083</v>
      </c>
      <c r="C2" s="130"/>
      <c r="E2" s="28" t="s">
        <v>66</v>
      </c>
      <c r="F2" s="25" t="s">
        <v>22</v>
      </c>
      <c r="G2" s="13">
        <v>2008</v>
      </c>
      <c r="H2" s="91">
        <f>IF(B$19=0,0,G2/B$19)</f>
        <v>0.75290588676415449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-28.783658310120707</v>
      </c>
      <c r="P2" s="80">
        <v>1077</v>
      </c>
      <c r="Q2" s="67">
        <v>-31000</v>
      </c>
    </row>
    <row r="3" spans="1:17" x14ac:dyDescent="0.45">
      <c r="A3" s="21" t="s">
        <v>8</v>
      </c>
      <c r="B3" s="131">
        <v>9090</v>
      </c>
      <c r="C3" s="132"/>
      <c r="E3" s="29" t="s">
        <v>72</v>
      </c>
      <c r="F3" s="26" t="s">
        <v>27</v>
      </c>
      <c r="G3" s="14">
        <v>1450</v>
      </c>
      <c r="H3" s="92">
        <f>IF(B$19=0,0,G3/B$19)</f>
        <v>0.54368203974503182</v>
      </c>
      <c r="I3" s="60">
        <v>7</v>
      </c>
      <c r="K3" s="7">
        <v>1</v>
      </c>
      <c r="L3" s="65">
        <v>-4.5999999999999996</v>
      </c>
      <c r="N3" s="78" t="s">
        <v>131</v>
      </c>
      <c r="O3" s="84">
        <f t="shared" si="0"/>
        <v>7.5542965061378657</v>
      </c>
      <c r="P3" s="81">
        <v>1059</v>
      </c>
      <c r="Q3" s="68">
        <v>8000</v>
      </c>
    </row>
    <row r="4" spans="1:17" x14ac:dyDescent="0.45">
      <c r="A4" s="21" t="s">
        <v>6</v>
      </c>
      <c r="B4" s="133">
        <v>-9.2370555648813024E-14</v>
      </c>
      <c r="C4" s="134"/>
      <c r="E4" s="29" t="s">
        <v>64</v>
      </c>
      <c r="F4" s="26" t="s">
        <v>20</v>
      </c>
      <c r="G4" s="14">
        <v>1203</v>
      </c>
      <c r="H4" s="92">
        <f>IF(B$19=0,0,G4/B$19)</f>
        <v>0.45106861642294716</v>
      </c>
      <c r="I4" s="60">
        <v>9</v>
      </c>
      <c r="K4" s="7">
        <v>2</v>
      </c>
      <c r="L4" s="65">
        <v>45.6</v>
      </c>
      <c r="N4" s="78" t="s">
        <v>132</v>
      </c>
      <c r="O4" s="84">
        <f t="shared" si="0"/>
        <v>-1.0010010010010011</v>
      </c>
      <c r="P4" s="81">
        <v>999</v>
      </c>
      <c r="Q4" s="68">
        <v>-1000</v>
      </c>
    </row>
    <row r="5" spans="1:17" x14ac:dyDescent="0.45">
      <c r="A5" s="21" t="s">
        <v>7</v>
      </c>
      <c r="B5" s="121">
        <f>IF(B$2=0,0,B$4/B$2)</f>
        <v>-8.5291371790224398E-17</v>
      </c>
      <c r="C5" s="122"/>
      <c r="E5" s="29" t="s">
        <v>163</v>
      </c>
      <c r="F5" s="26" t="s">
        <v>164</v>
      </c>
      <c r="G5" s="14">
        <v>1048</v>
      </c>
      <c r="H5" s="92">
        <f>IF(B$19=0,0,G5/B$19)</f>
        <v>0.39295088113985754</v>
      </c>
      <c r="I5" s="60">
        <v>7</v>
      </c>
      <c r="K5" s="7">
        <v>3</v>
      </c>
      <c r="L5" s="65">
        <v>0</v>
      </c>
      <c r="N5" s="78" t="s">
        <v>133</v>
      </c>
      <c r="O5" s="84">
        <f t="shared" si="0"/>
        <v>0</v>
      </c>
      <c r="P5" s="81">
        <v>936</v>
      </c>
      <c r="Q5" s="68">
        <v>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833</v>
      </c>
      <c r="H6" s="92">
        <f>IF(B$19=0,0,G6/B$19)</f>
        <v>0.31233595800524933</v>
      </c>
      <c r="I6" s="60">
        <v>6</v>
      </c>
      <c r="K6" s="7">
        <v>4</v>
      </c>
      <c r="L6" s="65">
        <v>24.5</v>
      </c>
      <c r="N6" s="78" t="s">
        <v>134</v>
      </c>
      <c r="O6" s="84">
        <f t="shared" si="0"/>
        <v>9.2915214866434379</v>
      </c>
      <c r="P6" s="81">
        <v>861</v>
      </c>
      <c r="Q6" s="68">
        <v>8000</v>
      </c>
    </row>
    <row r="7" spans="1:17" x14ac:dyDescent="0.45">
      <c r="A7" s="21" t="s">
        <v>2</v>
      </c>
      <c r="B7" s="14">
        <v>361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736</v>
      </c>
      <c r="H7" s="92">
        <f>IF(B$19=0,0,G7/B$19)</f>
        <v>0.27596550431196099</v>
      </c>
      <c r="I7" s="60">
        <v>8</v>
      </c>
      <c r="K7" s="7">
        <v>5</v>
      </c>
      <c r="L7" s="65">
        <v>-11.299999999999997</v>
      </c>
      <c r="N7" s="79" t="s">
        <v>135</v>
      </c>
      <c r="O7" s="85">
        <f t="shared" si="0"/>
        <v>21.008403361344538</v>
      </c>
      <c r="P7" s="82">
        <v>714</v>
      </c>
      <c r="Q7" s="69">
        <v>15000</v>
      </c>
    </row>
    <row r="8" spans="1:17" x14ac:dyDescent="0.45">
      <c r="A8" s="21" t="s">
        <v>3</v>
      </c>
      <c r="B8" s="14">
        <v>361</v>
      </c>
      <c r="C8" s="8">
        <f t="shared" si="1"/>
        <v>0.33333333333333331</v>
      </c>
      <c r="E8" s="29" t="s">
        <v>89</v>
      </c>
      <c r="F8" s="26" t="s">
        <v>44</v>
      </c>
      <c r="G8" s="14">
        <v>377</v>
      </c>
      <c r="H8" s="92">
        <f>IF(B$19=0,0,G8/B$19)</f>
        <v>0.14135733033370829</v>
      </c>
      <c r="I8" s="60">
        <v>6</v>
      </c>
      <c r="K8" s="7">
        <v>6</v>
      </c>
      <c r="L8" s="65">
        <v>3.5527136788005009E-15</v>
      </c>
      <c r="N8" s="111"/>
      <c r="O8" s="89"/>
      <c r="P8" s="112"/>
      <c r="Q8" s="74"/>
    </row>
    <row r="9" spans="1:17" x14ac:dyDescent="0.45">
      <c r="A9" s="22" t="s">
        <v>4</v>
      </c>
      <c r="B9" s="15">
        <v>361</v>
      </c>
      <c r="C9" s="9">
        <f t="shared" si="1"/>
        <v>0.33333333333333331</v>
      </c>
      <c r="E9" s="29" t="s">
        <v>69</v>
      </c>
      <c r="F9" s="26" t="s">
        <v>24</v>
      </c>
      <c r="G9" s="14">
        <v>371</v>
      </c>
      <c r="H9" s="92">
        <f>IF(B$19=0,0,G9/B$19)</f>
        <v>0.13910761154855644</v>
      </c>
      <c r="I9" s="60">
        <v>7</v>
      </c>
      <c r="K9" s="7">
        <v>7</v>
      </c>
      <c r="L9" s="65">
        <v>-37.799999999999997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35.205263157894741</v>
      </c>
      <c r="C10" s="114">
        <v>12709.100000000002</v>
      </c>
      <c r="E10" s="29" t="s">
        <v>65</v>
      </c>
      <c r="F10" s="26" t="s">
        <v>21</v>
      </c>
      <c r="G10" s="14">
        <v>271</v>
      </c>
      <c r="H10" s="92">
        <f>IF(B$19=0,0,G10/B$19)</f>
        <v>0.10161229846269217</v>
      </c>
      <c r="I10" s="60">
        <v>10</v>
      </c>
      <c r="K10" s="7">
        <v>8</v>
      </c>
      <c r="L10" s="65">
        <v>-46.9</v>
      </c>
      <c r="N10" s="77" t="s">
        <v>154</v>
      </c>
      <c r="O10" s="86">
        <f>IF(P10=0,0,Q10/P10)</f>
        <v>-4.0745152354570635</v>
      </c>
      <c r="P10" s="80">
        <v>361</v>
      </c>
      <c r="Q10" s="71">
        <v>-1470.8999999999999</v>
      </c>
    </row>
    <row r="11" spans="1:17" x14ac:dyDescent="0.45">
      <c r="A11" s="22" t="s">
        <v>204</v>
      </c>
      <c r="B11" s="113">
        <f>IF(B8=0,0,C11/B8)</f>
        <v>-3.43490304709144E-2</v>
      </c>
      <c r="C11" s="114">
        <v>-12.400000000000098</v>
      </c>
      <c r="E11" s="29" t="s">
        <v>70</v>
      </c>
      <c r="F11" s="26" t="s">
        <v>25</v>
      </c>
      <c r="G11" s="14">
        <v>252</v>
      </c>
      <c r="H11" s="92">
        <f>IF(B$19=0,0,G11/B$19)</f>
        <v>9.4488188976377951E-2</v>
      </c>
      <c r="I11" s="60">
        <v>8</v>
      </c>
      <c r="K11" s="7">
        <v>9</v>
      </c>
      <c r="L11" s="65">
        <v>0</v>
      </c>
      <c r="N11" s="78" t="s">
        <v>155</v>
      </c>
      <c r="O11" s="87">
        <f>IF(P11=0,0,Q11/P11)</f>
        <v>1.8132963988919666</v>
      </c>
      <c r="P11" s="81">
        <v>361</v>
      </c>
      <c r="Q11" s="72">
        <v>654.59999999999991</v>
      </c>
    </row>
    <row r="12" spans="1:17" x14ac:dyDescent="0.45">
      <c r="A12" s="22" t="s">
        <v>205</v>
      </c>
      <c r="B12" s="113">
        <f>IF(B9=0,0,C12/B9)</f>
        <v>-35.170914127423863</v>
      </c>
      <c r="C12" s="114">
        <v>-12696.700000000015</v>
      </c>
      <c r="E12" s="29" t="s">
        <v>71</v>
      </c>
      <c r="F12" s="26" t="s">
        <v>26</v>
      </c>
      <c r="G12" s="14">
        <v>215</v>
      </c>
      <c r="H12" s="92">
        <f>IF(B$19=0,0,G12/B$19)</f>
        <v>8.0614923134608177E-2</v>
      </c>
      <c r="I12" s="60">
        <v>7</v>
      </c>
      <c r="K12" s="7">
        <v>10</v>
      </c>
      <c r="L12" s="65">
        <v>-12</v>
      </c>
      <c r="N12" s="79" t="s">
        <v>156</v>
      </c>
      <c r="O12" s="88">
        <f>IF(P12=0,0,Q12/P12)</f>
        <v>2.2612188365650954</v>
      </c>
      <c r="P12" s="82">
        <v>361</v>
      </c>
      <c r="Q12" s="73">
        <v>816.29999999999939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83</v>
      </c>
      <c r="F13" s="26" t="s">
        <v>38</v>
      </c>
      <c r="G13" s="14">
        <v>132</v>
      </c>
      <c r="H13" s="92">
        <f>IF(B$19=0,0,G13/B$19)</f>
        <v>4.9493813273340834E-2</v>
      </c>
      <c r="I13" s="60">
        <v>7</v>
      </c>
      <c r="K13" s="7">
        <v>11</v>
      </c>
      <c r="L13" s="65">
        <v>58.2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108</v>
      </c>
      <c r="C14" s="11">
        <f t="shared" si="1"/>
        <v>9.9722991689750698E-2</v>
      </c>
      <c r="E14" s="29" t="s">
        <v>86</v>
      </c>
      <c r="F14" s="26" t="s">
        <v>41</v>
      </c>
      <c r="G14" s="14">
        <v>128</v>
      </c>
      <c r="H14" s="92">
        <f>IF(B$19=0,0,G14/B$19)</f>
        <v>4.7994000749906264E-2</v>
      </c>
      <c r="I14" s="60">
        <v>7</v>
      </c>
      <c r="K14" s="7">
        <v>12</v>
      </c>
      <c r="L14" s="65">
        <v>0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2270</v>
      </c>
      <c r="C15" s="12">
        <f>IF(B$3=0,0,B15/B$3)</f>
        <v>0.24972497249724973</v>
      </c>
      <c r="E15" s="29" t="s">
        <v>78</v>
      </c>
      <c r="F15" s="26" t="s">
        <v>33</v>
      </c>
      <c r="G15" s="14">
        <v>74</v>
      </c>
      <c r="H15" s="92">
        <f>IF(B$19=0,0,G15/B$19)</f>
        <v>2.7746531683539556E-2</v>
      </c>
      <c r="I15" s="60">
        <v>6</v>
      </c>
      <c r="K15" s="7">
        <v>13</v>
      </c>
      <c r="L15" s="65">
        <v>-1.7</v>
      </c>
      <c r="N15" s="77" t="s">
        <v>281</v>
      </c>
      <c r="O15" s="86">
        <f>IF(P15=0,0,Q15/P15)</f>
        <v>24.240000000000006</v>
      </c>
      <c r="P15" s="80">
        <v>10</v>
      </c>
      <c r="Q15" s="71">
        <v>242.40000000000006</v>
      </c>
    </row>
    <row r="16" spans="1:17" x14ac:dyDescent="0.45">
      <c r="A16" s="21" t="s">
        <v>118</v>
      </c>
      <c r="B16" s="14">
        <v>2121</v>
      </c>
      <c r="C16" s="8">
        <f>IF(B$3=0,0,B16/B$3)</f>
        <v>0.23333333333333334</v>
      </c>
      <c r="E16" s="29" t="s">
        <v>81</v>
      </c>
      <c r="F16" s="26" t="s">
        <v>36</v>
      </c>
      <c r="G16" s="14">
        <v>62</v>
      </c>
      <c r="H16" s="92">
        <f>IF(B$19=0,0,G16/B$19)</f>
        <v>2.3247094113235847E-2</v>
      </c>
      <c r="I16" s="60">
        <v>6</v>
      </c>
      <c r="K16" s="7">
        <v>14</v>
      </c>
      <c r="L16" s="65">
        <v>24.3</v>
      </c>
      <c r="N16" s="78" t="s">
        <v>201</v>
      </c>
      <c r="O16" s="87">
        <f>IF(P16=0,0,Q16/P16)</f>
        <v>22.457142857142856</v>
      </c>
      <c r="P16" s="81">
        <v>14</v>
      </c>
      <c r="Q16" s="72">
        <v>314.39999999999998</v>
      </c>
    </row>
    <row r="17" spans="1:17" x14ac:dyDescent="0.45">
      <c r="A17" s="20" t="s">
        <v>123</v>
      </c>
      <c r="B17" s="13">
        <f>B23</f>
        <v>1241</v>
      </c>
      <c r="C17" s="6">
        <f>IF(B$15=0,0,B17/B$15)</f>
        <v>0.54669603524229071</v>
      </c>
      <c r="E17" s="29" t="s">
        <v>159</v>
      </c>
      <c r="F17" s="26" t="s">
        <v>160</v>
      </c>
      <c r="G17" s="14">
        <v>54</v>
      </c>
      <c r="H17" s="92">
        <f>IF(B$19=0,0,G17/B$19)</f>
        <v>2.0247469066366704E-2</v>
      </c>
      <c r="I17" s="60">
        <v>3</v>
      </c>
      <c r="K17" s="7">
        <v>15</v>
      </c>
      <c r="L17" s="65">
        <v>0</v>
      </c>
      <c r="N17" s="78" t="s">
        <v>195</v>
      </c>
      <c r="O17" s="87">
        <f>IF(P17=0,0,Q17/P17)</f>
        <v>17.187999999999978</v>
      </c>
      <c r="P17" s="81">
        <v>150</v>
      </c>
      <c r="Q17" s="72">
        <v>2578.1999999999966</v>
      </c>
    </row>
    <row r="18" spans="1:17" x14ac:dyDescent="0.45">
      <c r="A18" s="20" t="s">
        <v>124</v>
      </c>
      <c r="B18" s="13">
        <f>B24</f>
        <v>883</v>
      </c>
      <c r="C18" s="6">
        <f>IF(B$16=0,0,B18/B$16)</f>
        <v>0.41631305987741629</v>
      </c>
      <c r="E18" s="29" t="s">
        <v>91</v>
      </c>
      <c r="F18" s="26" t="s">
        <v>46</v>
      </c>
      <c r="G18" s="14">
        <v>42</v>
      </c>
      <c r="H18" s="92">
        <f>IF(B$19=0,0,G18/B$19)</f>
        <v>1.5748031496062992E-2</v>
      </c>
      <c r="I18" s="60">
        <v>6</v>
      </c>
      <c r="K18" s="7">
        <v>16</v>
      </c>
      <c r="L18" s="65">
        <v>-28.2</v>
      </c>
      <c r="N18" s="78" t="s">
        <v>169</v>
      </c>
      <c r="O18" s="87">
        <f>IF(P18=0,0,Q18/P18)</f>
        <v>10.294811320754711</v>
      </c>
      <c r="P18" s="81">
        <v>212</v>
      </c>
      <c r="Q18" s="72">
        <v>2182.4999999999986</v>
      </c>
    </row>
    <row r="19" spans="1:17" x14ac:dyDescent="0.45">
      <c r="A19" s="20" t="s">
        <v>10</v>
      </c>
      <c r="B19" s="13">
        <f>B22+B21</f>
        <v>2667</v>
      </c>
      <c r="C19" s="6">
        <f>IF(B$3=0,0,B19/B$3)</f>
        <v>0.29339933993399342</v>
      </c>
      <c r="E19" s="29" t="s">
        <v>79</v>
      </c>
      <c r="F19" s="26" t="s">
        <v>34</v>
      </c>
      <c r="G19" s="14">
        <v>37</v>
      </c>
      <c r="H19" s="92">
        <f>IF(B$19=0,0,G19/B$19)</f>
        <v>1.3873265841769778E-2</v>
      </c>
      <c r="I19" s="60">
        <v>7</v>
      </c>
      <c r="K19" s="7">
        <v>17</v>
      </c>
      <c r="L19" s="65">
        <v>-20.5</v>
      </c>
      <c r="N19" s="78" t="s">
        <v>158</v>
      </c>
      <c r="O19" s="87">
        <f>IF(P19=0,0,Q19/P19)</f>
        <v>10.114077669902903</v>
      </c>
      <c r="P19" s="81">
        <v>206</v>
      </c>
      <c r="Q19" s="72">
        <v>2083.4999999999982</v>
      </c>
    </row>
    <row r="20" spans="1:17" x14ac:dyDescent="0.45">
      <c r="A20" s="21" t="s">
        <v>13</v>
      </c>
      <c r="B20" s="14">
        <v>1450</v>
      </c>
      <c r="C20" s="8">
        <f>IF(B$3=0,0,B20/B$3)</f>
        <v>0.15951595159515952</v>
      </c>
      <c r="E20" s="29" t="s">
        <v>75</v>
      </c>
      <c r="F20" s="26" t="s">
        <v>30</v>
      </c>
      <c r="G20" s="14">
        <v>19</v>
      </c>
      <c r="H20" s="92">
        <f>IF(B$19=0,0,G20/B$19)</f>
        <v>7.1241094863142111E-3</v>
      </c>
      <c r="I20" s="60">
        <v>6</v>
      </c>
      <c r="K20" s="7">
        <v>18</v>
      </c>
      <c r="L20" s="65">
        <v>0</v>
      </c>
      <c r="N20" s="78" t="s">
        <v>275</v>
      </c>
      <c r="O20" s="87">
        <f>IF(P20=0,0,Q20/P20)</f>
        <v>4.6333333333333302</v>
      </c>
      <c r="P20" s="81">
        <v>36</v>
      </c>
      <c r="Q20" s="72">
        <v>166.7999999999999</v>
      </c>
    </row>
    <row r="21" spans="1:17" x14ac:dyDescent="0.45">
      <c r="A21" s="21" t="s">
        <v>12</v>
      </c>
      <c r="B21" s="14">
        <v>1202</v>
      </c>
      <c r="C21" s="8">
        <f>IF(B$19=0,0,B21/B$19)</f>
        <v>0.45069366329208849</v>
      </c>
      <c r="E21" s="29" t="s">
        <v>92</v>
      </c>
      <c r="F21" s="26" t="s">
        <v>47</v>
      </c>
      <c r="G21" s="14">
        <v>19</v>
      </c>
      <c r="H21" s="92">
        <f>IF(B$19=0,0,G21/B$19)</f>
        <v>7.1241094863142111E-3</v>
      </c>
      <c r="I21" s="60">
        <v>4</v>
      </c>
      <c r="K21" s="7">
        <v>19</v>
      </c>
      <c r="L21" s="65">
        <v>-22.4</v>
      </c>
      <c r="N21" s="78" t="s">
        <v>194</v>
      </c>
      <c r="O21" s="87">
        <f>IF(P21=0,0,Q21/P21)</f>
        <v>4.532812500000003</v>
      </c>
      <c r="P21" s="81">
        <v>64</v>
      </c>
      <c r="Q21" s="72">
        <v>290.10000000000019</v>
      </c>
    </row>
    <row r="22" spans="1:17" x14ac:dyDescent="0.45">
      <c r="A22" s="21" t="s">
        <v>11</v>
      </c>
      <c r="B22" s="14">
        <v>1465</v>
      </c>
      <c r="C22" s="8">
        <f>IF(B$19=0,0,B22/B$19)</f>
        <v>0.54930633670791151</v>
      </c>
      <c r="E22" s="29" t="s">
        <v>85</v>
      </c>
      <c r="F22" s="26" t="s">
        <v>40</v>
      </c>
      <c r="G22" s="14">
        <v>16</v>
      </c>
      <c r="H22" s="92">
        <f>IF(B$19=0,0,G22/B$19)</f>
        <v>5.999250093738283E-3</v>
      </c>
      <c r="I22" s="60">
        <v>6</v>
      </c>
      <c r="K22" s="7">
        <v>20</v>
      </c>
      <c r="L22" s="65">
        <v>-61.199999999999996</v>
      </c>
      <c r="N22" s="78" t="s">
        <v>127</v>
      </c>
      <c r="O22" s="87">
        <f>IF(P22=0,0,Q22/P22)</f>
        <v>0.7071428571428543</v>
      </c>
      <c r="P22" s="81">
        <v>378</v>
      </c>
      <c r="Q22" s="72">
        <v>267.29999999999893</v>
      </c>
    </row>
    <row r="23" spans="1:17" x14ac:dyDescent="0.45">
      <c r="A23" s="21" t="s">
        <v>192</v>
      </c>
      <c r="B23" s="14">
        <v>1241</v>
      </c>
      <c r="C23" s="8">
        <f>IF(B$19=0,0,B23/B$19)</f>
        <v>0.46531683539557556</v>
      </c>
      <c r="E23" s="29" t="s">
        <v>73</v>
      </c>
      <c r="F23" s="26" t="s">
        <v>28</v>
      </c>
      <c r="G23" s="14">
        <v>10</v>
      </c>
      <c r="H23" s="92">
        <f>IF(B$19=0,0,G23/B$19)</f>
        <v>3.7495313085864268E-3</v>
      </c>
      <c r="I23" s="60">
        <v>5</v>
      </c>
      <c r="K23" s="7">
        <v>21</v>
      </c>
      <c r="L23" s="65">
        <v>7.1054273576010019E-15</v>
      </c>
      <c r="N23" s="78" t="s">
        <v>168</v>
      </c>
      <c r="O23" s="87">
        <f>IF(P23=0,0,Q23/P23)</f>
        <v>0.59176829268292686</v>
      </c>
      <c r="P23" s="81">
        <v>328</v>
      </c>
      <c r="Q23" s="72">
        <v>194.10000000000002</v>
      </c>
    </row>
    <row r="24" spans="1:17" x14ac:dyDescent="0.45">
      <c r="A24" s="21" t="s">
        <v>190</v>
      </c>
      <c r="B24" s="14">
        <v>883</v>
      </c>
      <c r="C24" s="8">
        <f>IF(B$19=0,0,B24/B$19)</f>
        <v>0.33108361454818147</v>
      </c>
      <c r="E24" s="29" t="s">
        <v>74</v>
      </c>
      <c r="F24" s="26" t="s">
        <v>29</v>
      </c>
      <c r="G24" s="14">
        <v>8</v>
      </c>
      <c r="H24" s="92">
        <f>IF(B$19=0,0,G24/B$19)</f>
        <v>2.9996250468691415E-3</v>
      </c>
      <c r="I24" s="60">
        <v>5</v>
      </c>
      <c r="K24" s="7">
        <v>22</v>
      </c>
      <c r="L24" s="65">
        <v>-25.099999999999994</v>
      </c>
      <c r="N24" s="78" t="s">
        <v>167</v>
      </c>
      <c r="O24" s="87">
        <f>IF(P24=0,0,Q24/P24)</f>
        <v>-7.2018518518518482</v>
      </c>
      <c r="P24" s="81">
        <v>324</v>
      </c>
      <c r="Q24" s="72">
        <v>-2333.3999999999987</v>
      </c>
    </row>
    <row r="25" spans="1:17" x14ac:dyDescent="0.45">
      <c r="A25" s="21" t="s">
        <v>191</v>
      </c>
      <c r="B25" s="14">
        <v>543</v>
      </c>
      <c r="C25" s="8">
        <f>IF(B$19=0,0,B25/B$19)</f>
        <v>0.20359955005624297</v>
      </c>
      <c r="E25" s="29" t="s">
        <v>84</v>
      </c>
      <c r="F25" s="26" t="s">
        <v>39</v>
      </c>
      <c r="G25" s="14">
        <v>8</v>
      </c>
      <c r="H25" s="92">
        <f>IF(B$19=0,0,G25/B$19)</f>
        <v>2.9996250468691415E-3</v>
      </c>
      <c r="I25" s="60">
        <v>4</v>
      </c>
      <c r="K25" s="7">
        <v>23</v>
      </c>
      <c r="L25" s="65">
        <v>-26.799999999999994</v>
      </c>
      <c r="N25" s="78" t="s">
        <v>126</v>
      </c>
      <c r="O25" s="87">
        <f>IF(P25=0,0,Q25/P25)</f>
        <v>-13.425681818181816</v>
      </c>
      <c r="P25" s="81">
        <v>440</v>
      </c>
      <c r="Q25" s="72">
        <v>-5907.2999999999993</v>
      </c>
    </row>
    <row r="26" spans="1:17" x14ac:dyDescent="0.45">
      <c r="A26" s="21" t="s">
        <v>5</v>
      </c>
      <c r="B26" s="18">
        <f>IF(B$19=0,0,C26/B$19)</f>
        <v>8439.520059992501</v>
      </c>
      <c r="C26" s="10">
        <v>22508200</v>
      </c>
      <c r="E26" s="29" t="s">
        <v>77</v>
      </c>
      <c r="F26" s="26" t="s">
        <v>32</v>
      </c>
      <c r="G26" s="14">
        <v>7</v>
      </c>
      <c r="H26" s="92">
        <f>IF(B$19=0,0,G26/B$19)</f>
        <v>2.6246719160104987E-3</v>
      </c>
      <c r="I26" s="60">
        <v>4</v>
      </c>
      <c r="K26" s="7">
        <v>24</v>
      </c>
      <c r="L26" s="65">
        <v>7.1054273576010019E-15</v>
      </c>
      <c r="N26" s="78" t="s">
        <v>202</v>
      </c>
      <c r="O26" s="87">
        <f>IF(P26=0,0,Q26/P26)</f>
        <v>-19.650000000000006</v>
      </c>
      <c r="P26" s="81">
        <v>4</v>
      </c>
      <c r="Q26" s="72">
        <v>-78.600000000000023</v>
      </c>
    </row>
    <row r="27" spans="1:17" x14ac:dyDescent="0.45">
      <c r="A27" s="22" t="s">
        <v>174</v>
      </c>
      <c r="B27" s="99">
        <f>IF($B$19-B$18=0,0,C27/($B$19-B$18))</f>
        <v>9129.5403587443943</v>
      </c>
      <c r="C27" s="100">
        <v>16287100</v>
      </c>
      <c r="E27" s="29" t="s">
        <v>88</v>
      </c>
      <c r="F27" s="26" t="s">
        <v>43</v>
      </c>
      <c r="G27" s="14">
        <v>7</v>
      </c>
      <c r="H27" s="92">
        <f>IF(B$19=0,0,G27/B$19)</f>
        <v>2.6246719160104987E-3</v>
      </c>
      <c r="I27" s="60">
        <v>5</v>
      </c>
      <c r="K27" s="7">
        <v>25</v>
      </c>
      <c r="L27" s="65">
        <v>15.000000000000007</v>
      </c>
    </row>
    <row r="28" spans="1:17" x14ac:dyDescent="0.45">
      <c r="A28" s="22" t="s">
        <v>175</v>
      </c>
      <c r="B28" s="99">
        <f>IF(B$18=0,0,C28/B$18)</f>
        <v>7045.4133635334092</v>
      </c>
      <c r="C28" s="100">
        <v>6221100</v>
      </c>
      <c r="E28" s="29" t="s">
        <v>87</v>
      </c>
      <c r="F28" s="26" t="s">
        <v>42</v>
      </c>
      <c r="G28" s="14">
        <v>5</v>
      </c>
      <c r="H28" s="92">
        <f>IF(B$19=0,0,G28/B$19)</f>
        <v>1.8747656542932134E-3</v>
      </c>
      <c r="I28" s="60">
        <v>5</v>
      </c>
      <c r="K28" s="7">
        <v>26</v>
      </c>
      <c r="L28" s="65">
        <v>0.60000000000000675</v>
      </c>
    </row>
    <row r="29" spans="1:17" x14ac:dyDescent="0.45">
      <c r="A29" s="22" t="s">
        <v>173</v>
      </c>
      <c r="B29" s="99">
        <f>IF(B$20=0,0,C29/B$20)</f>
        <v>-7860.2758620689656</v>
      </c>
      <c r="C29" s="100">
        <v>-11397400</v>
      </c>
      <c r="E29" s="29" t="s">
        <v>90</v>
      </c>
      <c r="F29" s="26" t="s">
        <v>45</v>
      </c>
      <c r="G29" s="14">
        <v>5</v>
      </c>
      <c r="H29" s="92">
        <f>IF(B$19=0,0,G29/B$19)</f>
        <v>1.8747656542932134E-3</v>
      </c>
      <c r="I29" s="60">
        <v>3</v>
      </c>
      <c r="K29" s="7">
        <v>27</v>
      </c>
      <c r="L29" s="65">
        <v>6.7723604502134549E-15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95</v>
      </c>
      <c r="F30" s="26" t="s">
        <v>50</v>
      </c>
      <c r="G30" s="14">
        <v>5</v>
      </c>
      <c r="H30" s="92">
        <f>IF(B$19=0,0,G30/B$19)</f>
        <v>1.8747656542932134E-3</v>
      </c>
      <c r="I30" s="60">
        <v>5</v>
      </c>
      <c r="K30" s="7">
        <v>28</v>
      </c>
      <c r="L30" s="65">
        <v>-30.199999999999992</v>
      </c>
    </row>
    <row r="31" spans="1:17" x14ac:dyDescent="0.45">
      <c r="A31" s="21" t="s">
        <v>162</v>
      </c>
      <c r="B31" s="14">
        <v>31</v>
      </c>
      <c r="C31" s="94">
        <v>0</v>
      </c>
      <c r="E31" s="29" t="s">
        <v>93</v>
      </c>
      <c r="F31" s="26" t="s">
        <v>48</v>
      </c>
      <c r="G31" s="14">
        <v>4</v>
      </c>
      <c r="H31" s="92">
        <f>IF(B$19=0,0,G31/B$19)</f>
        <v>1.4998125234345708E-3</v>
      </c>
      <c r="I31" s="60">
        <v>4</v>
      </c>
      <c r="K31" s="7">
        <v>29</v>
      </c>
      <c r="L31" s="65">
        <v>-2.3999999999999915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1</v>
      </c>
      <c r="H32" s="92">
        <f>IF(B$19=0,0,G32/B$19)</f>
        <v>3.7495313085864269E-4</v>
      </c>
      <c r="I32" s="60">
        <v>2</v>
      </c>
      <c r="K32" s="7">
        <v>30</v>
      </c>
      <c r="L32" s="65">
        <v>8.4376949871511897E-15</v>
      </c>
    </row>
    <row r="33" spans="1:12" x14ac:dyDescent="0.45">
      <c r="A33" s="24" t="s">
        <v>189</v>
      </c>
      <c r="B33" s="125">
        <v>149100</v>
      </c>
      <c r="C33" s="126"/>
      <c r="E33" s="29" t="s">
        <v>97</v>
      </c>
      <c r="F33" s="26" t="s">
        <v>52</v>
      </c>
      <c r="G33" s="14">
        <v>1</v>
      </c>
      <c r="H33" s="92">
        <f>IF(B$19=0,0,G33/B$19)</f>
        <v>3.7495313085864269E-4</v>
      </c>
      <c r="I33" s="60">
        <v>2</v>
      </c>
      <c r="K33" s="7">
        <v>31</v>
      </c>
      <c r="L33" s="65">
        <v>12.500000000000009</v>
      </c>
    </row>
    <row r="34" spans="1:12" x14ac:dyDescent="0.45">
      <c r="A34" s="23" t="s">
        <v>139</v>
      </c>
      <c r="B34" s="31">
        <v>26</v>
      </c>
      <c r="C34" s="11">
        <f>IF(B$3=0,0,B34/B$3)</f>
        <v>2.8602860286028602E-3</v>
      </c>
      <c r="E34" s="29" t="s">
        <v>101</v>
      </c>
      <c r="F34" s="26" t="s">
        <v>56</v>
      </c>
      <c r="G34" s="14">
        <v>1</v>
      </c>
      <c r="H34" s="92">
        <f>IF(B$19=0,0,G34/B$19)</f>
        <v>3.7495313085864269E-4</v>
      </c>
      <c r="I34" s="60">
        <v>2</v>
      </c>
      <c r="K34" s="7">
        <v>32</v>
      </c>
      <c r="L34" s="65">
        <v>47.300000000000004</v>
      </c>
    </row>
    <row r="35" spans="1:12" x14ac:dyDescent="0.45">
      <c r="E35" s="29" t="s">
        <v>106</v>
      </c>
      <c r="F35" s="26" t="s">
        <v>113</v>
      </c>
      <c r="G35" s="14">
        <v>1</v>
      </c>
      <c r="H35" s="92">
        <f>IF(B$19=0,0,G35/B$19)</f>
        <v>3.7495313085864269E-4</v>
      </c>
      <c r="I35" s="60">
        <v>2</v>
      </c>
      <c r="K35" s="7">
        <v>33</v>
      </c>
      <c r="L35" s="65">
        <v>7.1054273576010019E-15</v>
      </c>
    </row>
    <row r="36" spans="1:12" x14ac:dyDescent="0.45">
      <c r="A36" s="56" t="s">
        <v>180</v>
      </c>
      <c r="B36" s="119">
        <v>209</v>
      </c>
      <c r="C36" s="102">
        <f t="shared" ref="C36:C48" si="2">IF(B$19=0,0,B36/B$19)</f>
        <v>7.8365204349456319E-2</v>
      </c>
      <c r="E36" s="29" t="s">
        <v>80</v>
      </c>
      <c r="F36" s="26" t="s">
        <v>35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-5.8999999999999932</v>
      </c>
    </row>
    <row r="37" spans="1:12" x14ac:dyDescent="0.45">
      <c r="A37" s="21" t="s">
        <v>176</v>
      </c>
      <c r="B37" s="14">
        <v>454</v>
      </c>
      <c r="C37" s="8">
        <f t="shared" si="2"/>
        <v>0.17022872140982379</v>
      </c>
      <c r="E37" s="29" t="s">
        <v>82</v>
      </c>
      <c r="F37" s="26" t="s">
        <v>37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26.900000000000006</v>
      </c>
    </row>
    <row r="38" spans="1:12" x14ac:dyDescent="0.45">
      <c r="A38" s="21" t="s">
        <v>177</v>
      </c>
      <c r="B38" s="120">
        <v>515</v>
      </c>
      <c r="C38" s="8">
        <f t="shared" si="2"/>
        <v>0.19310086239220098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7.1054273576010019E-15</v>
      </c>
    </row>
    <row r="39" spans="1:12" x14ac:dyDescent="0.45">
      <c r="A39" s="21" t="s">
        <v>178</v>
      </c>
      <c r="B39" s="120">
        <v>484</v>
      </c>
      <c r="C39" s="8">
        <f t="shared" si="2"/>
        <v>0.18147731533558306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17.400000000000006</v>
      </c>
    </row>
    <row r="40" spans="1:12" x14ac:dyDescent="0.45">
      <c r="A40" s="21" t="s">
        <v>179</v>
      </c>
      <c r="B40" s="120">
        <v>415</v>
      </c>
      <c r="C40" s="8">
        <f t="shared" si="2"/>
        <v>0.15560554930633672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-5.2999999999999936</v>
      </c>
    </row>
    <row r="41" spans="1:12" x14ac:dyDescent="0.45">
      <c r="A41" s="21" t="s">
        <v>181</v>
      </c>
      <c r="B41" s="120">
        <v>280</v>
      </c>
      <c r="C41" s="8">
        <f t="shared" si="2"/>
        <v>0.10498687664041995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6.2172489379008766E-15</v>
      </c>
    </row>
    <row r="42" spans="1:12" x14ac:dyDescent="0.45">
      <c r="A42" s="21" t="s">
        <v>182</v>
      </c>
      <c r="B42" s="120">
        <v>135</v>
      </c>
      <c r="C42" s="8">
        <f t="shared" si="2"/>
        <v>5.0618672665916763E-2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10.300000000000008</v>
      </c>
    </row>
    <row r="43" spans="1:12" x14ac:dyDescent="0.45">
      <c r="A43" s="21" t="s">
        <v>183</v>
      </c>
      <c r="B43" s="120">
        <v>76</v>
      </c>
      <c r="C43" s="8">
        <f t="shared" si="2"/>
        <v>2.8496437945256844E-2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-26.999999999999989</v>
      </c>
    </row>
    <row r="44" spans="1:12" x14ac:dyDescent="0.45">
      <c r="A44" s="21" t="s">
        <v>184</v>
      </c>
      <c r="B44" s="120">
        <v>35</v>
      </c>
      <c r="C44" s="8">
        <f t="shared" si="2"/>
        <v>1.3123359580052493E-2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185</v>
      </c>
      <c r="B45" s="120">
        <v>14</v>
      </c>
      <c r="C45" s="8">
        <f t="shared" si="2"/>
        <v>5.2493438320209973E-3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-20.899999999999988</v>
      </c>
    </row>
    <row r="46" spans="1:12" x14ac:dyDescent="0.45">
      <c r="A46" s="21" t="s">
        <v>186</v>
      </c>
      <c r="B46" s="120">
        <v>10</v>
      </c>
      <c r="C46" s="8">
        <f t="shared" si="2"/>
        <v>3.7495313085864268E-3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0.30000000000001137</v>
      </c>
    </row>
    <row r="47" spans="1:12" x14ac:dyDescent="0.45">
      <c r="A47" s="21" t="s">
        <v>187</v>
      </c>
      <c r="B47" s="120">
        <v>6</v>
      </c>
      <c r="C47" s="8">
        <f t="shared" si="2"/>
        <v>2.2497187851518562E-3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1.1379786002407855E-14</v>
      </c>
    </row>
    <row r="48" spans="1:12" x14ac:dyDescent="0.45">
      <c r="A48" s="23" t="s">
        <v>188</v>
      </c>
      <c r="B48" s="101">
        <v>34</v>
      </c>
      <c r="C48" s="11">
        <f t="shared" si="2"/>
        <v>1.2748406449193851E-2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2.2000000000000117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-21.499999999999986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1.4210854715202004E-14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-51.599999999999987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-33.699999999999989</v>
      </c>
    </row>
    <row r="53" spans="5:12" x14ac:dyDescent="0.45">
      <c r="K53" s="7">
        <v>51</v>
      </c>
      <c r="L53" s="65">
        <v>1.4210854715202004E-14</v>
      </c>
    </row>
    <row r="54" spans="5:12" x14ac:dyDescent="0.45">
      <c r="K54" s="7">
        <v>52</v>
      </c>
      <c r="L54" s="65">
        <v>-5.8999999999999861</v>
      </c>
    </row>
    <row r="55" spans="5:12" x14ac:dyDescent="0.45">
      <c r="K55" s="7">
        <v>53</v>
      </c>
      <c r="L55" s="65">
        <v>-29.399999999999984</v>
      </c>
    </row>
    <row r="56" spans="5:12" x14ac:dyDescent="0.45">
      <c r="K56" s="7">
        <v>54</v>
      </c>
      <c r="L56" s="65">
        <v>1.4210854715202004E-14</v>
      </c>
    </row>
    <row r="57" spans="5:12" x14ac:dyDescent="0.45">
      <c r="K57" s="7">
        <v>55</v>
      </c>
      <c r="L57" s="65">
        <v>-42.999999999999986</v>
      </c>
    </row>
    <row r="58" spans="5:12" x14ac:dyDescent="0.45">
      <c r="K58" s="7">
        <v>56</v>
      </c>
      <c r="L58" s="65">
        <v>-54.199999999999989</v>
      </c>
    </row>
    <row r="59" spans="5:12" x14ac:dyDescent="0.45">
      <c r="K59" s="7">
        <v>57</v>
      </c>
      <c r="L59" s="65">
        <v>1.4210854715202004E-14</v>
      </c>
    </row>
    <row r="60" spans="5:12" x14ac:dyDescent="0.45">
      <c r="K60" s="7">
        <v>58</v>
      </c>
      <c r="L60" s="65">
        <v>7.6000000000000139</v>
      </c>
    </row>
    <row r="61" spans="5:12" x14ac:dyDescent="0.45">
      <c r="K61" s="7">
        <v>59</v>
      </c>
      <c r="L61" s="65">
        <v>-35.399999999999984</v>
      </c>
    </row>
    <row r="62" spans="5:12" x14ac:dyDescent="0.45">
      <c r="K62" s="7">
        <v>60</v>
      </c>
      <c r="L62" s="65">
        <v>1.4210854715202004E-14</v>
      </c>
    </row>
    <row r="63" spans="5:12" x14ac:dyDescent="0.45">
      <c r="K63" s="7">
        <v>61</v>
      </c>
      <c r="L63" s="65">
        <v>66.800000000000011</v>
      </c>
    </row>
    <row r="64" spans="5:12" x14ac:dyDescent="0.45">
      <c r="K64" s="7">
        <v>62</v>
      </c>
      <c r="L64" s="65">
        <v>6.7000000000000099</v>
      </c>
    </row>
    <row r="65" spans="11:12" x14ac:dyDescent="0.45">
      <c r="K65" s="7">
        <v>63</v>
      </c>
      <c r="L65" s="65">
        <v>9.7699626167013776E-15</v>
      </c>
    </row>
    <row r="66" spans="11:12" x14ac:dyDescent="0.45">
      <c r="K66" s="7">
        <v>64</v>
      </c>
      <c r="L66" s="65">
        <v>-49.499999999999993</v>
      </c>
    </row>
    <row r="67" spans="11:12" x14ac:dyDescent="0.45">
      <c r="K67" s="7">
        <v>65</v>
      </c>
      <c r="L67" s="65">
        <v>-30.799999999999994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66.400000000000006</v>
      </c>
    </row>
    <row r="70" spans="11:12" x14ac:dyDescent="0.45">
      <c r="K70" s="7">
        <v>68</v>
      </c>
      <c r="L70" s="65">
        <v>17.700000000000003</v>
      </c>
    </row>
    <row r="71" spans="11:12" x14ac:dyDescent="0.45">
      <c r="K71" s="7">
        <v>69</v>
      </c>
      <c r="L71" s="65">
        <v>3.5527136788005009E-15</v>
      </c>
    </row>
    <row r="72" spans="11:12" x14ac:dyDescent="0.45">
      <c r="K72" s="7">
        <v>70</v>
      </c>
      <c r="L72" s="65">
        <v>17.700000000000003</v>
      </c>
    </row>
    <row r="73" spans="11:12" x14ac:dyDescent="0.45">
      <c r="K73" s="7">
        <v>71</v>
      </c>
      <c r="L73" s="65">
        <v>-28.799999999999997</v>
      </c>
    </row>
    <row r="74" spans="11:12" x14ac:dyDescent="0.45">
      <c r="K74" s="7">
        <v>72</v>
      </c>
      <c r="L74" s="65">
        <v>3.5527136788005009E-15</v>
      </c>
    </row>
    <row r="75" spans="11:12" x14ac:dyDescent="0.45">
      <c r="K75" s="7">
        <v>73</v>
      </c>
      <c r="L75" s="65">
        <v>7.5000000000000036</v>
      </c>
    </row>
    <row r="76" spans="11:12" x14ac:dyDescent="0.45">
      <c r="K76" s="7">
        <v>74</v>
      </c>
      <c r="L76" s="65">
        <v>28.600000000000005</v>
      </c>
    </row>
    <row r="77" spans="11:12" x14ac:dyDescent="0.45">
      <c r="K77" s="7">
        <v>75</v>
      </c>
      <c r="L77" s="65">
        <v>3.5527136788005009E-15</v>
      </c>
    </row>
    <row r="78" spans="11:12" x14ac:dyDescent="0.45">
      <c r="K78" s="7">
        <v>76</v>
      </c>
      <c r="L78" s="65">
        <v>39.5</v>
      </c>
    </row>
    <row r="79" spans="11:12" x14ac:dyDescent="0.45">
      <c r="K79" s="7">
        <v>77</v>
      </c>
      <c r="L79" s="65">
        <v>-7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-45.1</v>
      </c>
    </row>
    <row r="82" spans="11:12" x14ac:dyDescent="0.45">
      <c r="K82" s="7">
        <v>80</v>
      </c>
      <c r="L82" s="65">
        <v>-39.200000000000003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17.7</v>
      </c>
    </row>
    <row r="85" spans="11:12" x14ac:dyDescent="0.45">
      <c r="K85" s="7">
        <v>83</v>
      </c>
      <c r="L85" s="65">
        <v>-28.8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42.9</v>
      </c>
    </row>
    <row r="88" spans="11:12" x14ac:dyDescent="0.45">
      <c r="K88" s="7">
        <v>86</v>
      </c>
      <c r="L88" s="65">
        <v>-0.80000000000000426</v>
      </c>
    </row>
    <row r="89" spans="11:12" x14ac:dyDescent="0.45">
      <c r="K89" s="7">
        <v>87</v>
      </c>
      <c r="L89" s="65">
        <v>-4.2188474935755949E-15</v>
      </c>
    </row>
    <row r="90" spans="11:12" x14ac:dyDescent="0.45">
      <c r="K90" s="7">
        <v>88</v>
      </c>
      <c r="L90" s="65">
        <v>-58.000000000000007</v>
      </c>
    </row>
    <row r="91" spans="11:12" x14ac:dyDescent="0.45">
      <c r="K91" s="7">
        <v>89</v>
      </c>
      <c r="L91" s="65">
        <v>-7.1054273576010019E-15</v>
      </c>
    </row>
    <row r="92" spans="11:12" x14ac:dyDescent="0.45">
      <c r="K92" s="7">
        <v>90</v>
      </c>
      <c r="L92" s="65">
        <v>-7.1054273576010019E-15</v>
      </c>
    </row>
    <row r="93" spans="11:12" x14ac:dyDescent="0.45">
      <c r="K93" s="7">
        <v>91</v>
      </c>
      <c r="L93" s="65">
        <v>-26.400000000000006</v>
      </c>
    </row>
    <row r="94" spans="11:12" x14ac:dyDescent="0.45">
      <c r="K94" s="7">
        <v>92</v>
      </c>
      <c r="L94" s="65">
        <v>-26.900000000000006</v>
      </c>
    </row>
    <row r="95" spans="11:12" x14ac:dyDescent="0.45">
      <c r="K95" s="7">
        <v>93</v>
      </c>
      <c r="L95" s="65">
        <v>-7.1054273576010019E-15</v>
      </c>
    </row>
    <row r="96" spans="11:12" x14ac:dyDescent="0.45">
      <c r="K96" s="7">
        <v>94</v>
      </c>
      <c r="L96" s="65">
        <v>-34.900000000000006</v>
      </c>
    </row>
    <row r="97" spans="11:12" x14ac:dyDescent="0.45">
      <c r="K97" s="7">
        <v>95</v>
      </c>
      <c r="L97" s="65">
        <v>-8.100000000000005</v>
      </c>
    </row>
    <row r="98" spans="11:12" x14ac:dyDescent="0.45">
      <c r="K98" s="7">
        <v>96</v>
      </c>
      <c r="L98" s="65">
        <v>-5.3290705182007514E-15</v>
      </c>
    </row>
    <row r="99" spans="11:12" x14ac:dyDescent="0.45">
      <c r="K99" s="7">
        <v>97</v>
      </c>
      <c r="L99" s="65">
        <v>34.29999999999999</v>
      </c>
    </row>
    <row r="100" spans="11:12" x14ac:dyDescent="0.45">
      <c r="K100" s="7">
        <v>98</v>
      </c>
      <c r="L100" s="65">
        <v>31.499999999999989</v>
      </c>
    </row>
    <row r="101" spans="11:12" x14ac:dyDescent="0.45">
      <c r="K101" s="7">
        <v>99</v>
      </c>
      <c r="L101" s="65">
        <v>-1.0658141036401503E-14</v>
      </c>
    </row>
    <row r="102" spans="11:12" x14ac:dyDescent="0.45">
      <c r="K102" s="7">
        <v>100</v>
      </c>
      <c r="L102" s="65">
        <v>34.499999999999986</v>
      </c>
    </row>
    <row r="103" spans="11:12" x14ac:dyDescent="0.45">
      <c r="K103" s="7">
        <v>101</v>
      </c>
      <c r="L103" s="65">
        <v>46.899999999999984</v>
      </c>
    </row>
    <row r="104" spans="11:12" x14ac:dyDescent="0.45">
      <c r="K104" s="7">
        <v>102</v>
      </c>
      <c r="L104" s="65">
        <v>-1.4210854715202004E-14</v>
      </c>
    </row>
    <row r="105" spans="11:12" x14ac:dyDescent="0.45">
      <c r="K105" s="7">
        <v>103</v>
      </c>
      <c r="L105" s="65">
        <v>-49.400000000000013</v>
      </c>
    </row>
    <row r="106" spans="11:12" x14ac:dyDescent="0.45">
      <c r="K106" s="7">
        <v>104</v>
      </c>
      <c r="L106" s="65">
        <v>-18.000000000000014</v>
      </c>
    </row>
    <row r="107" spans="11:12" x14ac:dyDescent="0.45">
      <c r="K107" s="7">
        <v>105</v>
      </c>
      <c r="L107" s="65">
        <v>-1.4210854715202004E-14</v>
      </c>
    </row>
    <row r="108" spans="11:12" x14ac:dyDescent="0.45">
      <c r="K108" s="7">
        <v>106</v>
      </c>
      <c r="L108" s="65">
        <v>-10.800000000000015</v>
      </c>
    </row>
    <row r="109" spans="11:12" x14ac:dyDescent="0.45">
      <c r="K109" s="7">
        <v>107</v>
      </c>
      <c r="L109" s="65">
        <v>-56.90000000000002</v>
      </c>
    </row>
    <row r="110" spans="11:12" x14ac:dyDescent="0.45">
      <c r="K110" s="7">
        <v>108</v>
      </c>
      <c r="L110" s="65">
        <v>-2.1316282072803006E-14</v>
      </c>
    </row>
    <row r="111" spans="11:12" x14ac:dyDescent="0.45">
      <c r="K111" s="7">
        <v>109</v>
      </c>
      <c r="L111" s="65">
        <v>7.6999999999999789</v>
      </c>
    </row>
    <row r="112" spans="11:12" x14ac:dyDescent="0.45">
      <c r="K112" s="7">
        <v>110</v>
      </c>
      <c r="L112" s="65">
        <v>-22.700000000000021</v>
      </c>
    </row>
    <row r="113" spans="11:12" x14ac:dyDescent="0.45">
      <c r="K113" s="7">
        <v>111</v>
      </c>
      <c r="L113" s="65">
        <v>-2.1316282072803006E-14</v>
      </c>
    </row>
    <row r="114" spans="11:12" x14ac:dyDescent="0.45">
      <c r="K114" s="7">
        <v>112</v>
      </c>
      <c r="L114" s="65">
        <v>2.4999999999999787</v>
      </c>
    </row>
    <row r="115" spans="11:12" x14ac:dyDescent="0.45">
      <c r="K115" s="7">
        <v>113</v>
      </c>
      <c r="L115" s="65">
        <v>23.999999999999979</v>
      </c>
    </row>
    <row r="116" spans="11:12" x14ac:dyDescent="0.45">
      <c r="K116" s="7">
        <v>114</v>
      </c>
      <c r="L116" s="65">
        <v>-2.1316282072803006E-14</v>
      </c>
    </row>
    <row r="117" spans="11:12" x14ac:dyDescent="0.45">
      <c r="K117" s="7">
        <v>115</v>
      </c>
      <c r="L117" s="65">
        <v>33.09999999999998</v>
      </c>
    </row>
    <row r="118" spans="11:12" x14ac:dyDescent="0.45">
      <c r="K118" s="7">
        <v>116</v>
      </c>
      <c r="L118" s="65">
        <v>6.6999999999999815</v>
      </c>
    </row>
    <row r="119" spans="11:12" x14ac:dyDescent="0.45">
      <c r="K119" s="7">
        <v>117</v>
      </c>
      <c r="L119" s="65">
        <v>-1.865174681370263E-14</v>
      </c>
    </row>
    <row r="120" spans="11:12" x14ac:dyDescent="0.45">
      <c r="K120" s="7">
        <v>118</v>
      </c>
      <c r="L120" s="65">
        <v>-44.200000000000024</v>
      </c>
    </row>
    <row r="121" spans="11:12" x14ac:dyDescent="0.45">
      <c r="K121" s="7">
        <v>119</v>
      </c>
      <c r="L121" s="65">
        <v>-30.800000000000026</v>
      </c>
    </row>
    <row r="122" spans="11:12" x14ac:dyDescent="0.45">
      <c r="K122" s="7">
        <v>120</v>
      </c>
      <c r="L122" s="65">
        <v>-2.4868995751603507E-14</v>
      </c>
    </row>
    <row r="123" spans="11:12" x14ac:dyDescent="0.45">
      <c r="K123" s="7">
        <v>121</v>
      </c>
      <c r="L123" s="65">
        <v>-55.800000000000026</v>
      </c>
    </row>
    <row r="124" spans="11:12" x14ac:dyDescent="0.45">
      <c r="K124" s="7">
        <v>122</v>
      </c>
      <c r="L124" s="65">
        <v>-50.500000000000028</v>
      </c>
    </row>
    <row r="125" spans="11:12" x14ac:dyDescent="0.45">
      <c r="K125" s="7">
        <v>123</v>
      </c>
      <c r="L125" s="65">
        <v>-2.8421709430404007E-14</v>
      </c>
    </row>
    <row r="126" spans="11:12" x14ac:dyDescent="0.45">
      <c r="K126" s="7">
        <v>124</v>
      </c>
      <c r="L126" s="65">
        <v>31.699999999999971</v>
      </c>
    </row>
    <row r="127" spans="11:12" x14ac:dyDescent="0.45">
      <c r="K127" s="7">
        <v>125</v>
      </c>
      <c r="L127" s="65">
        <v>-8.6000000000000263</v>
      </c>
    </row>
    <row r="128" spans="11:12" x14ac:dyDescent="0.45">
      <c r="K128" s="7">
        <v>126</v>
      </c>
      <c r="L128" s="65">
        <v>-2.6645352591003757E-14</v>
      </c>
    </row>
    <row r="129" spans="11:12" x14ac:dyDescent="0.45">
      <c r="K129" s="7">
        <v>127</v>
      </c>
      <c r="L129" s="65">
        <v>-3.4000000000000266</v>
      </c>
    </row>
    <row r="130" spans="11:12" x14ac:dyDescent="0.45">
      <c r="K130" s="7">
        <v>128</v>
      </c>
      <c r="L130" s="65">
        <v>-24.700000000000028</v>
      </c>
    </row>
    <row r="131" spans="11:12" x14ac:dyDescent="0.45">
      <c r="K131" s="7">
        <v>129</v>
      </c>
      <c r="L131" s="65">
        <v>-2.8421709430404007E-14</v>
      </c>
    </row>
    <row r="132" spans="11:12" x14ac:dyDescent="0.45">
      <c r="K132" s="7">
        <v>130</v>
      </c>
      <c r="L132" s="65">
        <v>-16.700000000000028</v>
      </c>
    </row>
    <row r="133" spans="11:12" x14ac:dyDescent="0.45">
      <c r="K133" s="7">
        <v>131</v>
      </c>
      <c r="L133" s="65">
        <v>-15.100000000000028</v>
      </c>
    </row>
    <row r="134" spans="11:12" x14ac:dyDescent="0.45">
      <c r="K134" s="7">
        <v>132</v>
      </c>
      <c r="L134" s="65">
        <v>-2.8421709430404007E-14</v>
      </c>
    </row>
    <row r="135" spans="11:12" x14ac:dyDescent="0.45">
      <c r="K135" s="7">
        <v>133</v>
      </c>
      <c r="L135" s="65">
        <v>-2.8000000000000282</v>
      </c>
    </row>
    <row r="136" spans="11:12" x14ac:dyDescent="0.45">
      <c r="K136" s="7">
        <v>134</v>
      </c>
      <c r="L136" s="65">
        <v>14.099999999999969</v>
      </c>
    </row>
    <row r="137" spans="11:12" x14ac:dyDescent="0.45">
      <c r="K137" s="7">
        <v>135</v>
      </c>
      <c r="L137" s="65">
        <v>-3.0198066269804258E-14</v>
      </c>
    </row>
    <row r="138" spans="11:12" x14ac:dyDescent="0.45">
      <c r="K138" s="7">
        <v>136</v>
      </c>
      <c r="L138" s="65">
        <v>-43.800000000000026</v>
      </c>
    </row>
    <row r="139" spans="11:12" x14ac:dyDescent="0.45">
      <c r="K139" s="7">
        <v>137</v>
      </c>
      <c r="L139" s="65">
        <v>6.1999999999999744</v>
      </c>
    </row>
    <row r="140" spans="11:12" x14ac:dyDescent="0.45">
      <c r="K140" s="7">
        <v>138</v>
      </c>
      <c r="L140" s="65">
        <v>-2.5757174171303632E-14</v>
      </c>
    </row>
    <row r="141" spans="11:12" x14ac:dyDescent="0.45">
      <c r="K141" s="7">
        <v>139</v>
      </c>
      <c r="L141" s="65">
        <v>-35.300000000000026</v>
      </c>
    </row>
    <row r="142" spans="11:12" x14ac:dyDescent="0.45">
      <c r="K142" s="7">
        <v>140</v>
      </c>
      <c r="L142" s="65">
        <v>7.2999999999999758</v>
      </c>
    </row>
    <row r="143" spans="11:12" x14ac:dyDescent="0.45">
      <c r="K143" s="7">
        <v>141</v>
      </c>
      <c r="L143" s="65">
        <v>-2.3980817331903381E-14</v>
      </c>
    </row>
    <row r="144" spans="11:12" x14ac:dyDescent="0.45">
      <c r="K144" s="7">
        <v>142</v>
      </c>
      <c r="L144" s="65">
        <v>60.09999999999998</v>
      </c>
    </row>
    <row r="145" spans="11:12" x14ac:dyDescent="0.45">
      <c r="K145" s="7">
        <v>143</v>
      </c>
      <c r="L145" s="65">
        <v>50.399999999999977</v>
      </c>
    </row>
    <row r="146" spans="11:12" x14ac:dyDescent="0.45">
      <c r="K146" s="7">
        <v>144</v>
      </c>
      <c r="L146" s="65">
        <v>-2.1316282072803006E-14</v>
      </c>
    </row>
    <row r="147" spans="11:12" x14ac:dyDescent="0.45">
      <c r="K147" s="7">
        <v>145</v>
      </c>
      <c r="L147" s="65">
        <v>-53.100000000000023</v>
      </c>
    </row>
    <row r="148" spans="11:12" x14ac:dyDescent="0.45">
      <c r="K148" s="7">
        <v>146</v>
      </c>
      <c r="L148" s="65">
        <v>-53.200000000000024</v>
      </c>
    </row>
    <row r="149" spans="11:12" x14ac:dyDescent="0.45">
      <c r="K149" s="7">
        <v>147</v>
      </c>
      <c r="L149" s="65">
        <v>-2.1316282072803006E-14</v>
      </c>
    </row>
    <row r="150" spans="11:12" x14ac:dyDescent="0.45">
      <c r="K150" s="7">
        <v>148</v>
      </c>
      <c r="L150" s="65">
        <v>-21.90000000000002</v>
      </c>
    </row>
    <row r="151" spans="11:12" x14ac:dyDescent="0.45">
      <c r="K151" s="7">
        <v>149</v>
      </c>
      <c r="L151" s="65">
        <v>7.9999999999999787</v>
      </c>
    </row>
    <row r="152" spans="11:12" x14ac:dyDescent="0.45">
      <c r="K152" s="7">
        <v>150</v>
      </c>
      <c r="L152" s="65">
        <v>-2.1316282072803006E-14</v>
      </c>
    </row>
    <row r="153" spans="11:12" x14ac:dyDescent="0.45">
      <c r="K153" s="7">
        <v>151</v>
      </c>
      <c r="L153" s="65">
        <v>45.899999999999977</v>
      </c>
    </row>
    <row r="154" spans="11:12" x14ac:dyDescent="0.45">
      <c r="K154" s="7">
        <v>152</v>
      </c>
      <c r="L154" s="65">
        <v>45.699999999999974</v>
      </c>
    </row>
    <row r="155" spans="11:12" x14ac:dyDescent="0.45">
      <c r="K155" s="7">
        <v>153</v>
      </c>
      <c r="L155" s="65">
        <v>-2.8421709430404007E-14</v>
      </c>
    </row>
    <row r="156" spans="11:12" x14ac:dyDescent="0.45">
      <c r="K156" s="7">
        <v>154</v>
      </c>
      <c r="L156" s="65">
        <v>-27.10000000000003</v>
      </c>
    </row>
    <row r="157" spans="11:12" x14ac:dyDescent="0.45">
      <c r="K157" s="7">
        <v>155</v>
      </c>
      <c r="L157" s="65">
        <v>-5.8000000000000291</v>
      </c>
    </row>
    <row r="158" spans="11:12" x14ac:dyDescent="0.45">
      <c r="K158" s="7">
        <v>156</v>
      </c>
      <c r="L158" s="65">
        <v>-2.9309887850104133E-14</v>
      </c>
    </row>
    <row r="159" spans="11:12" x14ac:dyDescent="0.45">
      <c r="K159" s="7">
        <v>157</v>
      </c>
      <c r="L159" s="65">
        <v>11.39999999999997</v>
      </c>
    </row>
    <row r="160" spans="11:12" x14ac:dyDescent="0.45">
      <c r="K160" s="7">
        <v>158</v>
      </c>
      <c r="L160" s="65">
        <v>-25.300000000000033</v>
      </c>
    </row>
    <row r="161" spans="11:12" x14ac:dyDescent="0.45">
      <c r="K161" s="7">
        <v>159</v>
      </c>
      <c r="L161" s="65">
        <v>-3.1974423109204508E-14</v>
      </c>
    </row>
    <row r="162" spans="11:12" x14ac:dyDescent="0.45">
      <c r="K162" s="7">
        <v>160</v>
      </c>
      <c r="L162" s="65">
        <v>21.999999999999968</v>
      </c>
    </row>
    <row r="163" spans="11:12" x14ac:dyDescent="0.45">
      <c r="K163" s="7">
        <v>161</v>
      </c>
      <c r="L163" s="65">
        <v>16.599999999999966</v>
      </c>
    </row>
    <row r="164" spans="11:12" x14ac:dyDescent="0.45">
      <c r="K164" s="7">
        <v>162</v>
      </c>
      <c r="L164" s="65">
        <v>-3.5527136788005009E-14</v>
      </c>
    </row>
    <row r="165" spans="11:12" x14ac:dyDescent="0.45">
      <c r="K165" s="7">
        <v>163</v>
      </c>
      <c r="L165" s="65">
        <v>40.399999999999963</v>
      </c>
    </row>
    <row r="166" spans="11:12" x14ac:dyDescent="0.45">
      <c r="K166" s="7">
        <v>164</v>
      </c>
      <c r="L166" s="65">
        <v>45.799999999999962</v>
      </c>
    </row>
    <row r="167" spans="11:12" x14ac:dyDescent="0.45">
      <c r="K167" s="7">
        <v>165</v>
      </c>
      <c r="L167" s="65">
        <v>-3.5527136788005009E-14</v>
      </c>
    </row>
    <row r="168" spans="11:12" x14ac:dyDescent="0.45">
      <c r="K168" s="7">
        <v>166</v>
      </c>
      <c r="L168" s="65">
        <v>-32.600000000000037</v>
      </c>
    </row>
    <row r="169" spans="11:12" x14ac:dyDescent="0.45">
      <c r="K169" s="7">
        <v>167</v>
      </c>
      <c r="L169" s="65">
        <v>-47.900000000000034</v>
      </c>
    </row>
    <row r="170" spans="11:12" x14ac:dyDescent="0.45">
      <c r="K170" s="7">
        <v>168</v>
      </c>
      <c r="L170" s="65">
        <v>-3.5527136788005009E-14</v>
      </c>
    </row>
    <row r="171" spans="11:12" x14ac:dyDescent="0.45">
      <c r="K171" s="7">
        <v>169</v>
      </c>
      <c r="L171" s="65">
        <v>1.9999999999999645</v>
      </c>
    </row>
    <row r="172" spans="11:12" x14ac:dyDescent="0.45">
      <c r="K172" s="7">
        <v>170</v>
      </c>
      <c r="L172" s="65">
        <v>14.999999999999964</v>
      </c>
    </row>
    <row r="173" spans="11:12" x14ac:dyDescent="0.45">
      <c r="K173" s="7">
        <v>171</v>
      </c>
      <c r="L173" s="65">
        <v>-3.5527136788005009E-14</v>
      </c>
    </row>
    <row r="174" spans="11:12" x14ac:dyDescent="0.45">
      <c r="K174" s="7">
        <v>172</v>
      </c>
      <c r="L174" s="65">
        <v>-0.50000000000003553</v>
      </c>
    </row>
    <row r="175" spans="11:12" x14ac:dyDescent="0.45">
      <c r="K175" s="7">
        <v>173</v>
      </c>
      <c r="L175" s="65">
        <v>34.899999999999963</v>
      </c>
    </row>
    <row r="176" spans="11:12" x14ac:dyDescent="0.45">
      <c r="K176" s="7">
        <v>174</v>
      </c>
      <c r="L176" s="65">
        <v>-3.5527136788005009E-14</v>
      </c>
    </row>
    <row r="177" spans="11:12" x14ac:dyDescent="0.45">
      <c r="K177" s="7">
        <v>175</v>
      </c>
      <c r="L177" s="65">
        <v>4.8999999999999648</v>
      </c>
    </row>
    <row r="178" spans="11:12" x14ac:dyDescent="0.45">
      <c r="K178" s="7">
        <v>176</v>
      </c>
      <c r="L178" s="65">
        <v>49.19999999999996</v>
      </c>
    </row>
    <row r="179" spans="11:12" x14ac:dyDescent="0.45">
      <c r="K179" s="7">
        <v>177</v>
      </c>
      <c r="L179" s="65">
        <v>-4.2632564145606011E-14</v>
      </c>
    </row>
    <row r="180" spans="11:12" x14ac:dyDescent="0.45">
      <c r="K180" s="7">
        <v>178</v>
      </c>
      <c r="L180" s="65">
        <v>-31.300000000000043</v>
      </c>
    </row>
    <row r="181" spans="11:12" x14ac:dyDescent="0.45">
      <c r="K181" s="7">
        <v>179</v>
      </c>
      <c r="L181" s="65">
        <v>-25.300000000000043</v>
      </c>
    </row>
    <row r="182" spans="11:12" x14ac:dyDescent="0.45">
      <c r="K182" s="7">
        <v>180</v>
      </c>
      <c r="L182" s="65">
        <v>-4.2632564145606011E-14</v>
      </c>
    </row>
    <row r="183" spans="11:12" x14ac:dyDescent="0.45">
      <c r="K183" s="7">
        <v>181</v>
      </c>
      <c r="L183" s="65">
        <v>-23.900000000000041</v>
      </c>
    </row>
    <row r="184" spans="11:12" x14ac:dyDescent="0.45">
      <c r="K184" s="7">
        <v>182</v>
      </c>
      <c r="L184" s="65">
        <v>-22.000000000000043</v>
      </c>
    </row>
    <row r="185" spans="11:12" x14ac:dyDescent="0.45">
      <c r="K185" s="7">
        <v>183</v>
      </c>
      <c r="L185" s="65">
        <v>-4.2632564145606011E-14</v>
      </c>
    </row>
    <row r="186" spans="11:12" x14ac:dyDescent="0.45">
      <c r="K186" s="7">
        <v>184</v>
      </c>
      <c r="L186" s="65">
        <v>-1.9000000000000425</v>
      </c>
    </row>
    <row r="187" spans="11:12" x14ac:dyDescent="0.45">
      <c r="K187" s="7">
        <v>185</v>
      </c>
      <c r="L187" s="65">
        <v>36.799999999999962</v>
      </c>
    </row>
    <row r="188" spans="11:12" x14ac:dyDescent="0.45">
      <c r="K188" s="7">
        <v>186</v>
      </c>
      <c r="L188" s="65">
        <v>-3.5527136788005009E-14</v>
      </c>
    </row>
    <row r="189" spans="11:12" x14ac:dyDescent="0.45">
      <c r="K189" s="7">
        <v>187</v>
      </c>
      <c r="L189" s="65">
        <v>-40.700000000000038</v>
      </c>
    </row>
    <row r="190" spans="11:12" x14ac:dyDescent="0.45">
      <c r="K190" s="7">
        <v>188</v>
      </c>
      <c r="L190" s="65">
        <v>-33.400000000000041</v>
      </c>
    </row>
    <row r="191" spans="11:12" x14ac:dyDescent="0.45">
      <c r="K191" s="7">
        <v>189</v>
      </c>
      <c r="L191" s="65">
        <v>-4.2632564145606011E-14</v>
      </c>
    </row>
    <row r="192" spans="11:12" x14ac:dyDescent="0.45">
      <c r="K192" s="7">
        <v>190</v>
      </c>
      <c r="L192" s="65">
        <v>-30.500000000000043</v>
      </c>
    </row>
    <row r="193" spans="11:12" x14ac:dyDescent="0.45">
      <c r="K193" s="7">
        <v>191</v>
      </c>
      <c r="L193" s="65">
        <v>0.29999999999995808</v>
      </c>
    </row>
    <row r="194" spans="11:12" x14ac:dyDescent="0.45">
      <c r="K194" s="7">
        <v>192</v>
      </c>
      <c r="L194" s="65">
        <v>-4.1910919179599659E-14</v>
      </c>
    </row>
    <row r="195" spans="11:12" x14ac:dyDescent="0.45">
      <c r="K195" s="7">
        <v>193</v>
      </c>
      <c r="L195" s="65">
        <v>52.099999999999959</v>
      </c>
    </row>
    <row r="196" spans="11:12" x14ac:dyDescent="0.45">
      <c r="K196" s="7">
        <v>194</v>
      </c>
      <c r="L196" s="65">
        <v>49.299999999999962</v>
      </c>
    </row>
    <row r="197" spans="11:12" x14ac:dyDescent="0.45">
      <c r="K197" s="7">
        <v>195</v>
      </c>
      <c r="L197" s="65">
        <v>-3.5527136788005009E-14</v>
      </c>
    </row>
    <row r="198" spans="11:12" x14ac:dyDescent="0.45">
      <c r="K198" s="7">
        <v>196</v>
      </c>
      <c r="L198" s="65">
        <v>-5.6000000000000352</v>
      </c>
    </row>
    <row r="199" spans="11:12" x14ac:dyDescent="0.45">
      <c r="K199" s="7">
        <v>197</v>
      </c>
      <c r="L199" s="65">
        <v>-28.200000000000038</v>
      </c>
    </row>
    <row r="200" spans="11:12" x14ac:dyDescent="0.45">
      <c r="K200" s="7">
        <v>198</v>
      </c>
      <c r="L200" s="65">
        <v>-3.907985046680551E-14</v>
      </c>
    </row>
    <row r="201" spans="11:12" x14ac:dyDescent="0.45">
      <c r="K201" s="7">
        <v>199</v>
      </c>
      <c r="L201" s="65">
        <v>-22.000000000000039</v>
      </c>
    </row>
    <row r="202" spans="11:12" x14ac:dyDescent="0.45">
      <c r="K202" s="7">
        <v>200</v>
      </c>
      <c r="L202" s="65">
        <v>-20.900000000000038</v>
      </c>
    </row>
    <row r="203" spans="11:12" x14ac:dyDescent="0.45">
      <c r="K203" s="7">
        <v>201</v>
      </c>
      <c r="L203" s="65">
        <v>-3.907985046680551E-14</v>
      </c>
    </row>
    <row r="204" spans="11:12" x14ac:dyDescent="0.45">
      <c r="K204" s="7">
        <v>202</v>
      </c>
      <c r="L204" s="65">
        <v>-1.0000000000000391</v>
      </c>
    </row>
    <row r="205" spans="11:12" x14ac:dyDescent="0.45">
      <c r="K205" s="7">
        <v>203</v>
      </c>
      <c r="L205" s="65">
        <v>18.399999999999959</v>
      </c>
    </row>
    <row r="206" spans="11:12" x14ac:dyDescent="0.45">
      <c r="K206" s="7">
        <v>204</v>
      </c>
      <c r="L206" s="65">
        <v>-3.907985046680551E-14</v>
      </c>
    </row>
    <row r="207" spans="11:12" x14ac:dyDescent="0.45">
      <c r="K207" s="7">
        <v>205</v>
      </c>
      <c r="L207" s="65">
        <v>-47.200000000000045</v>
      </c>
    </row>
    <row r="208" spans="11:12" x14ac:dyDescent="0.45">
      <c r="K208" s="7">
        <v>206</v>
      </c>
      <c r="L208" s="65">
        <v>-56.700000000000045</v>
      </c>
    </row>
    <row r="209" spans="11:12" x14ac:dyDescent="0.45">
      <c r="K209" s="7">
        <v>207</v>
      </c>
      <c r="L209" s="65">
        <v>-4.2632564145606011E-14</v>
      </c>
    </row>
    <row r="210" spans="11:12" x14ac:dyDescent="0.45">
      <c r="K210" s="7">
        <v>208</v>
      </c>
      <c r="L210" s="65">
        <v>-45.500000000000043</v>
      </c>
    </row>
    <row r="211" spans="11:12" x14ac:dyDescent="0.45">
      <c r="K211" s="7">
        <v>209</v>
      </c>
      <c r="L211" s="65">
        <v>-7.4000000000000412</v>
      </c>
    </row>
    <row r="212" spans="11:12" x14ac:dyDescent="0.45">
      <c r="K212" s="7">
        <v>210</v>
      </c>
      <c r="L212" s="65">
        <v>-4.0856207306205761E-14</v>
      </c>
    </row>
    <row r="213" spans="11:12" x14ac:dyDescent="0.45">
      <c r="K213" s="7">
        <v>211</v>
      </c>
      <c r="L213" s="65">
        <v>-31.80000000000004</v>
      </c>
    </row>
    <row r="214" spans="11:12" x14ac:dyDescent="0.45">
      <c r="K214" s="7">
        <v>212</v>
      </c>
      <c r="L214" s="65">
        <v>-26.30000000000004</v>
      </c>
    </row>
    <row r="215" spans="11:12" x14ac:dyDescent="0.45">
      <c r="K215" s="7">
        <v>213</v>
      </c>
      <c r="L215" s="65">
        <v>-3.907985046680551E-14</v>
      </c>
    </row>
    <row r="216" spans="11:12" x14ac:dyDescent="0.45">
      <c r="K216" s="7">
        <v>214</v>
      </c>
      <c r="L216" s="65">
        <v>22.999999999999961</v>
      </c>
    </row>
    <row r="217" spans="11:12" x14ac:dyDescent="0.45">
      <c r="K217" s="7">
        <v>215</v>
      </c>
      <c r="L217" s="65">
        <v>22.599999999999962</v>
      </c>
    </row>
    <row r="218" spans="11:12" x14ac:dyDescent="0.45">
      <c r="K218" s="7">
        <v>216</v>
      </c>
      <c r="L218" s="65">
        <v>-3.907985046680551E-14</v>
      </c>
    </row>
    <row r="219" spans="11:12" x14ac:dyDescent="0.45">
      <c r="K219" s="7">
        <v>217</v>
      </c>
      <c r="L219" s="65">
        <v>-18.700000000000038</v>
      </c>
    </row>
    <row r="220" spans="11:12" x14ac:dyDescent="0.45">
      <c r="K220" s="7">
        <v>218</v>
      </c>
      <c r="L220" s="65">
        <v>31.399999999999963</v>
      </c>
    </row>
    <row r="221" spans="11:12" x14ac:dyDescent="0.45">
      <c r="K221" s="7">
        <v>219</v>
      </c>
      <c r="L221" s="65">
        <v>-3.5527136788005009E-14</v>
      </c>
    </row>
    <row r="222" spans="11:12" x14ac:dyDescent="0.45">
      <c r="K222" s="7">
        <v>220</v>
      </c>
      <c r="L222" s="65">
        <v>11.499999999999964</v>
      </c>
    </row>
    <row r="223" spans="11:12" x14ac:dyDescent="0.45">
      <c r="K223" s="7">
        <v>221</v>
      </c>
      <c r="L223" s="65">
        <v>-1.3000000000000362</v>
      </c>
    </row>
    <row r="224" spans="11:12" x14ac:dyDescent="0.45">
      <c r="K224" s="7">
        <v>222</v>
      </c>
      <c r="L224" s="65">
        <v>-3.6193270602780103E-14</v>
      </c>
    </row>
    <row r="225" spans="11:12" x14ac:dyDescent="0.45">
      <c r="K225" s="7">
        <v>223</v>
      </c>
      <c r="L225" s="65">
        <v>-41.100000000000037</v>
      </c>
    </row>
    <row r="226" spans="11:12" x14ac:dyDescent="0.45">
      <c r="K226" s="7">
        <v>224</v>
      </c>
      <c r="L226" s="65">
        <v>-1.0000000000000355</v>
      </c>
    </row>
    <row r="227" spans="11:12" x14ac:dyDescent="0.45">
      <c r="K227" s="7">
        <v>225</v>
      </c>
      <c r="L227" s="65">
        <v>-3.5527136788005009E-14</v>
      </c>
    </row>
    <row r="228" spans="11:12" x14ac:dyDescent="0.45">
      <c r="K228" s="7">
        <v>226</v>
      </c>
      <c r="L228" s="65">
        <v>61.899999999999963</v>
      </c>
    </row>
    <row r="229" spans="11:12" x14ac:dyDescent="0.45">
      <c r="K229" s="7">
        <v>227</v>
      </c>
      <c r="L229" s="65">
        <v>16.099999999999966</v>
      </c>
    </row>
    <row r="230" spans="11:12" x14ac:dyDescent="0.45">
      <c r="K230" s="7">
        <v>228</v>
      </c>
      <c r="L230" s="65">
        <v>-3.5527136788005009E-14</v>
      </c>
    </row>
    <row r="231" spans="11:12" x14ac:dyDescent="0.45">
      <c r="K231" s="7">
        <v>229</v>
      </c>
      <c r="L231" s="65">
        <v>-30.700000000000035</v>
      </c>
    </row>
    <row r="232" spans="11:12" x14ac:dyDescent="0.45">
      <c r="K232" s="7">
        <v>230</v>
      </c>
      <c r="L232" s="65">
        <v>-8.9000000000000341</v>
      </c>
    </row>
    <row r="233" spans="11:12" x14ac:dyDescent="0.45">
      <c r="K233" s="7">
        <v>231</v>
      </c>
      <c r="L233" s="65">
        <v>-3.3750779948604759E-14</v>
      </c>
    </row>
    <row r="234" spans="11:12" x14ac:dyDescent="0.45">
      <c r="K234" s="7">
        <v>232</v>
      </c>
      <c r="L234" s="65">
        <v>4.5999999999999659</v>
      </c>
    </row>
    <row r="235" spans="11:12" x14ac:dyDescent="0.45">
      <c r="K235" s="7">
        <v>233</v>
      </c>
      <c r="L235" s="65">
        <v>-43.800000000000033</v>
      </c>
    </row>
    <row r="236" spans="11:12" x14ac:dyDescent="0.45">
      <c r="K236" s="7">
        <v>234</v>
      </c>
      <c r="L236" s="65">
        <v>-3.5527136788005009E-14</v>
      </c>
    </row>
    <row r="237" spans="11:12" x14ac:dyDescent="0.45">
      <c r="K237" s="7">
        <v>235</v>
      </c>
      <c r="L237" s="65">
        <v>2.7999999999999643</v>
      </c>
    </row>
    <row r="238" spans="11:12" x14ac:dyDescent="0.45">
      <c r="K238" s="7">
        <v>236</v>
      </c>
      <c r="L238" s="65">
        <v>-12.900000000000034</v>
      </c>
    </row>
    <row r="239" spans="11:12" x14ac:dyDescent="0.45">
      <c r="K239" s="7">
        <v>237</v>
      </c>
      <c r="L239" s="65">
        <v>-3.3750779948604759E-14</v>
      </c>
    </row>
    <row r="240" spans="11:12" x14ac:dyDescent="0.45">
      <c r="K240" s="7">
        <v>238</v>
      </c>
      <c r="L240" s="65">
        <v>46.899999999999963</v>
      </c>
    </row>
    <row r="241" spans="11:12" x14ac:dyDescent="0.45">
      <c r="K241" s="7">
        <v>239</v>
      </c>
      <c r="L241" s="65">
        <v>49.299999999999962</v>
      </c>
    </row>
    <row r="242" spans="11:12" x14ac:dyDescent="0.45">
      <c r="K242" s="7">
        <v>240</v>
      </c>
      <c r="L242" s="65">
        <v>-3.5527136788005009E-14</v>
      </c>
    </row>
    <row r="243" spans="11:12" x14ac:dyDescent="0.45">
      <c r="K243" s="7">
        <v>241</v>
      </c>
      <c r="L243" s="65">
        <v>10.499999999999964</v>
      </c>
    </row>
    <row r="244" spans="11:12" x14ac:dyDescent="0.45">
      <c r="K244" s="7">
        <v>242</v>
      </c>
      <c r="L244" s="65">
        <v>36.999999999999964</v>
      </c>
    </row>
    <row r="245" spans="11:12" x14ac:dyDescent="0.45">
      <c r="K245" s="7">
        <v>243</v>
      </c>
      <c r="L245" s="65">
        <v>-3.5527136788005009E-14</v>
      </c>
    </row>
    <row r="246" spans="11:12" x14ac:dyDescent="0.45">
      <c r="K246" s="7">
        <v>244</v>
      </c>
      <c r="L246" s="65">
        <v>34.099999999999966</v>
      </c>
    </row>
    <row r="247" spans="11:12" x14ac:dyDescent="0.45">
      <c r="K247" s="7">
        <v>245</v>
      </c>
      <c r="L247" s="65">
        <v>47.799999999999969</v>
      </c>
    </row>
    <row r="248" spans="11:12" x14ac:dyDescent="0.45">
      <c r="K248" s="7">
        <v>246</v>
      </c>
      <c r="L248" s="65">
        <v>-2.8421709430404007E-14</v>
      </c>
    </row>
    <row r="249" spans="11:12" x14ac:dyDescent="0.45">
      <c r="K249" s="7">
        <v>247</v>
      </c>
      <c r="L249" s="65">
        <v>-47.300000000000026</v>
      </c>
    </row>
    <row r="250" spans="11:12" x14ac:dyDescent="0.45">
      <c r="K250" s="7">
        <v>248</v>
      </c>
      <c r="L250" s="65">
        <v>-42.700000000000024</v>
      </c>
    </row>
    <row r="251" spans="11:12" x14ac:dyDescent="0.45">
      <c r="K251" s="7">
        <v>249</v>
      </c>
      <c r="L251" s="65">
        <v>-2.1316282072803006E-14</v>
      </c>
    </row>
    <row r="252" spans="11:12" x14ac:dyDescent="0.45">
      <c r="K252" s="7">
        <v>250</v>
      </c>
      <c r="L252" s="65">
        <v>-32.300000000000018</v>
      </c>
    </row>
    <row r="253" spans="11:12" x14ac:dyDescent="0.45">
      <c r="K253" s="7">
        <v>251</v>
      </c>
      <c r="L253" s="65">
        <v>-5.2000000000000171</v>
      </c>
    </row>
    <row r="254" spans="11:12" x14ac:dyDescent="0.45">
      <c r="K254" s="7">
        <v>252</v>
      </c>
      <c r="L254" s="65">
        <v>-1.6875389974302379E-14</v>
      </c>
    </row>
    <row r="255" spans="11:12" x14ac:dyDescent="0.45">
      <c r="K255" s="7">
        <v>253</v>
      </c>
      <c r="L255" s="65">
        <v>-2.9000000000000168</v>
      </c>
    </row>
    <row r="256" spans="11:12" x14ac:dyDescent="0.45">
      <c r="K256" s="7">
        <v>254</v>
      </c>
      <c r="L256" s="65">
        <v>15.099999999999984</v>
      </c>
    </row>
    <row r="257" spans="11:12" x14ac:dyDescent="0.45">
      <c r="K257" s="7">
        <v>255</v>
      </c>
      <c r="L257" s="65">
        <v>-1.5987211554602254E-14</v>
      </c>
    </row>
    <row r="258" spans="11:12" x14ac:dyDescent="0.45">
      <c r="K258" s="7">
        <v>256</v>
      </c>
      <c r="L258" s="65">
        <v>-45.100000000000016</v>
      </c>
    </row>
    <row r="259" spans="11:12" x14ac:dyDescent="0.45">
      <c r="K259" s="7">
        <v>257</v>
      </c>
      <c r="L259" s="65">
        <v>8.3999999999999844</v>
      </c>
    </row>
    <row r="260" spans="11:12" x14ac:dyDescent="0.45">
      <c r="K260" s="7">
        <v>258</v>
      </c>
      <c r="L260" s="65">
        <v>-1.5987211554602254E-14</v>
      </c>
    </row>
    <row r="261" spans="11:12" x14ac:dyDescent="0.45">
      <c r="K261" s="7">
        <v>259</v>
      </c>
      <c r="L261" s="65">
        <v>-27.500000000000014</v>
      </c>
    </row>
    <row r="262" spans="11:12" x14ac:dyDescent="0.45">
      <c r="K262" s="7">
        <v>260</v>
      </c>
      <c r="L262" s="65">
        <v>-7.0000000000000142</v>
      </c>
    </row>
    <row r="263" spans="11:12" x14ac:dyDescent="0.45">
      <c r="K263" s="7">
        <v>261</v>
      </c>
      <c r="L263" s="65">
        <v>-1.4210854715202004E-14</v>
      </c>
    </row>
    <row r="264" spans="11:12" x14ac:dyDescent="0.45">
      <c r="K264" s="7">
        <v>262</v>
      </c>
      <c r="L264" s="65">
        <v>6.0999999999999854</v>
      </c>
    </row>
    <row r="265" spans="11:12" x14ac:dyDescent="0.45">
      <c r="K265" s="7">
        <v>263</v>
      </c>
      <c r="L265" s="65">
        <v>-26.100000000000016</v>
      </c>
    </row>
    <row r="266" spans="11:12" x14ac:dyDescent="0.45">
      <c r="K266" s="7">
        <v>264</v>
      </c>
      <c r="L266" s="65">
        <v>-1.4210854715202004E-14</v>
      </c>
    </row>
    <row r="267" spans="11:12" x14ac:dyDescent="0.45">
      <c r="K267" s="7">
        <v>265</v>
      </c>
      <c r="L267" s="65">
        <v>14.099999999999985</v>
      </c>
    </row>
    <row r="268" spans="11:12" x14ac:dyDescent="0.45">
      <c r="K268" s="7">
        <v>266</v>
      </c>
      <c r="L268" s="65">
        <v>16.499999999999986</v>
      </c>
    </row>
    <row r="269" spans="11:12" x14ac:dyDescent="0.45">
      <c r="K269" s="7">
        <v>267</v>
      </c>
      <c r="L269" s="65">
        <v>-1.4210854715202004E-14</v>
      </c>
    </row>
    <row r="270" spans="11:12" x14ac:dyDescent="0.45">
      <c r="K270" s="7">
        <v>268</v>
      </c>
      <c r="L270" s="65">
        <v>4.4999999999999858</v>
      </c>
    </row>
    <row r="271" spans="11:12" x14ac:dyDescent="0.45">
      <c r="K271" s="7">
        <v>269</v>
      </c>
      <c r="L271" s="65">
        <v>-21.100000000000016</v>
      </c>
    </row>
    <row r="272" spans="11:12" x14ac:dyDescent="0.45">
      <c r="K272" s="7">
        <v>270</v>
      </c>
      <c r="L272" s="65">
        <v>-1.4210854715202004E-14</v>
      </c>
    </row>
    <row r="273" spans="11:12" x14ac:dyDescent="0.45">
      <c r="K273" s="7">
        <v>271</v>
      </c>
      <c r="L273" s="65">
        <v>-2.1000000000000143</v>
      </c>
    </row>
    <row r="274" spans="11:12" x14ac:dyDescent="0.45">
      <c r="K274" s="7">
        <v>272</v>
      </c>
      <c r="L274" s="65">
        <v>-28.100000000000016</v>
      </c>
    </row>
    <row r="275" spans="11:12" x14ac:dyDescent="0.45">
      <c r="K275" s="7">
        <v>273</v>
      </c>
      <c r="L275" s="65">
        <v>-1.4210854715202004E-14</v>
      </c>
    </row>
    <row r="276" spans="11:12" x14ac:dyDescent="0.45">
      <c r="K276" s="7">
        <v>274</v>
      </c>
      <c r="L276" s="65">
        <v>0.79999999999998583</v>
      </c>
    </row>
    <row r="277" spans="11:12" x14ac:dyDescent="0.45">
      <c r="K277" s="7">
        <v>275</v>
      </c>
      <c r="L277" s="65">
        <v>-26.200000000000014</v>
      </c>
    </row>
    <row r="278" spans="11:12" x14ac:dyDescent="0.45">
      <c r="K278" s="7">
        <v>276</v>
      </c>
      <c r="L278" s="65">
        <v>-1.4210854715202004E-14</v>
      </c>
    </row>
    <row r="279" spans="11:12" x14ac:dyDescent="0.45">
      <c r="K279" s="7">
        <v>277</v>
      </c>
      <c r="L279" s="65">
        <v>-5.5000000000000142</v>
      </c>
    </row>
    <row r="280" spans="11:12" x14ac:dyDescent="0.45">
      <c r="K280" s="7">
        <v>278</v>
      </c>
      <c r="L280" s="65">
        <v>-22.300000000000015</v>
      </c>
    </row>
    <row r="281" spans="11:12" x14ac:dyDescent="0.45">
      <c r="K281" s="7">
        <v>279</v>
      </c>
      <c r="L281" s="65">
        <v>-1.4210854715202004E-14</v>
      </c>
    </row>
    <row r="282" spans="11:12" x14ac:dyDescent="0.45">
      <c r="K282" s="7">
        <v>280</v>
      </c>
      <c r="L282" s="65">
        <v>47.399999999999984</v>
      </c>
    </row>
    <row r="283" spans="11:12" x14ac:dyDescent="0.45">
      <c r="K283" s="7">
        <v>281</v>
      </c>
      <c r="L283" s="65">
        <v>51.499999999999986</v>
      </c>
    </row>
    <row r="284" spans="11:12" x14ac:dyDescent="0.45">
      <c r="K284" s="7">
        <v>282</v>
      </c>
      <c r="L284" s="65">
        <v>-1.4210854715202004E-14</v>
      </c>
    </row>
    <row r="285" spans="11:12" x14ac:dyDescent="0.45">
      <c r="K285" s="7">
        <v>283</v>
      </c>
      <c r="L285" s="65">
        <v>6.7999999999999856</v>
      </c>
    </row>
    <row r="286" spans="11:12" x14ac:dyDescent="0.45">
      <c r="K286" s="7">
        <v>284</v>
      </c>
      <c r="L286" s="65">
        <v>-24.500000000000014</v>
      </c>
    </row>
    <row r="287" spans="11:12" x14ac:dyDescent="0.45">
      <c r="K287" s="7">
        <v>285</v>
      </c>
      <c r="L287" s="65">
        <v>-1.4210854715202004E-14</v>
      </c>
    </row>
    <row r="288" spans="11:12" x14ac:dyDescent="0.45">
      <c r="K288" s="7">
        <v>286</v>
      </c>
      <c r="L288" s="65">
        <v>6.7999999999999856</v>
      </c>
    </row>
    <row r="289" spans="11:12" x14ac:dyDescent="0.45">
      <c r="K289" s="7">
        <v>287</v>
      </c>
      <c r="L289" s="65">
        <v>31.599999999999987</v>
      </c>
    </row>
    <row r="290" spans="11:12" x14ac:dyDescent="0.45">
      <c r="K290" s="7">
        <v>288</v>
      </c>
      <c r="L290" s="65">
        <v>-1.4210854715202004E-14</v>
      </c>
    </row>
    <row r="291" spans="11:12" x14ac:dyDescent="0.45">
      <c r="K291" s="7">
        <v>289</v>
      </c>
      <c r="L291" s="65">
        <v>-16.100000000000016</v>
      </c>
    </row>
    <row r="292" spans="11:12" x14ac:dyDescent="0.45">
      <c r="K292" s="7">
        <v>290</v>
      </c>
      <c r="L292" s="65">
        <v>26.899999999999984</v>
      </c>
    </row>
    <row r="293" spans="11:12" x14ac:dyDescent="0.45">
      <c r="K293" s="7">
        <v>291</v>
      </c>
      <c r="L293" s="65">
        <v>-1.4210854715202004E-14</v>
      </c>
    </row>
    <row r="294" spans="11:12" x14ac:dyDescent="0.45">
      <c r="K294" s="7">
        <v>292</v>
      </c>
      <c r="L294" s="65">
        <v>6.5999999999999854</v>
      </c>
    </row>
    <row r="295" spans="11:12" x14ac:dyDescent="0.45">
      <c r="K295" s="7">
        <v>293</v>
      </c>
      <c r="L295" s="65">
        <v>28.799999999999983</v>
      </c>
    </row>
    <row r="296" spans="11:12" x14ac:dyDescent="0.45">
      <c r="K296" s="7">
        <v>294</v>
      </c>
      <c r="L296" s="65">
        <v>-1.7763568394002505E-14</v>
      </c>
    </row>
    <row r="297" spans="11:12" x14ac:dyDescent="0.45">
      <c r="K297" s="7">
        <v>295</v>
      </c>
      <c r="L297" s="65">
        <v>4.3999999999999826</v>
      </c>
    </row>
    <row r="298" spans="11:12" x14ac:dyDescent="0.45">
      <c r="K298" s="7">
        <v>296</v>
      </c>
      <c r="L298" s="65">
        <v>20.299999999999983</v>
      </c>
    </row>
    <row r="299" spans="11:12" x14ac:dyDescent="0.45">
      <c r="K299" s="7">
        <v>297</v>
      </c>
      <c r="L299" s="65">
        <v>-1.7763568394002505E-14</v>
      </c>
    </row>
    <row r="300" spans="11:12" x14ac:dyDescent="0.45">
      <c r="K300" s="7">
        <v>298</v>
      </c>
      <c r="L300" s="65">
        <v>18.299999999999983</v>
      </c>
    </row>
    <row r="301" spans="11:12" x14ac:dyDescent="0.45">
      <c r="K301" s="7">
        <v>299</v>
      </c>
      <c r="L301" s="65">
        <v>16.699999999999982</v>
      </c>
    </row>
    <row r="302" spans="11:12" x14ac:dyDescent="0.45">
      <c r="K302" s="7">
        <v>300</v>
      </c>
      <c r="L302" s="65">
        <v>-1.7763568394002505E-14</v>
      </c>
    </row>
    <row r="303" spans="11:12" x14ac:dyDescent="0.45">
      <c r="K303" s="7">
        <v>301</v>
      </c>
      <c r="L303" s="65">
        <v>19.199999999999982</v>
      </c>
    </row>
    <row r="304" spans="11:12" x14ac:dyDescent="0.45">
      <c r="K304" s="7">
        <v>302</v>
      </c>
      <c r="L304" s="65">
        <v>27.799999999999983</v>
      </c>
    </row>
    <row r="305" spans="11:12" x14ac:dyDescent="0.45">
      <c r="K305" s="7">
        <v>303</v>
      </c>
      <c r="L305" s="65">
        <v>-1.7763568394002505E-14</v>
      </c>
    </row>
    <row r="306" spans="11:12" x14ac:dyDescent="0.45">
      <c r="K306" s="7">
        <v>304</v>
      </c>
      <c r="L306" s="65">
        <v>12.399999999999983</v>
      </c>
    </row>
    <row r="307" spans="11:12" x14ac:dyDescent="0.45">
      <c r="K307" s="7">
        <v>305</v>
      </c>
      <c r="L307" s="65">
        <v>12.999999999999982</v>
      </c>
    </row>
    <row r="308" spans="11:12" x14ac:dyDescent="0.45">
      <c r="K308" s="7">
        <v>306</v>
      </c>
      <c r="L308" s="65">
        <v>-1.7763568394002505E-14</v>
      </c>
    </row>
    <row r="309" spans="11:12" x14ac:dyDescent="0.45">
      <c r="K309" s="7">
        <v>307</v>
      </c>
      <c r="L309" s="65">
        <v>61.499999999999986</v>
      </c>
    </row>
    <row r="310" spans="11:12" x14ac:dyDescent="0.45">
      <c r="K310" s="7">
        <v>308</v>
      </c>
      <c r="L310" s="65">
        <v>8.7999999999999829</v>
      </c>
    </row>
    <row r="311" spans="11:12" x14ac:dyDescent="0.45">
      <c r="K311" s="7">
        <v>309</v>
      </c>
      <c r="L311" s="65">
        <v>-1.7763568394002505E-14</v>
      </c>
    </row>
    <row r="312" spans="11:12" x14ac:dyDescent="0.45">
      <c r="K312" s="7">
        <v>310</v>
      </c>
      <c r="L312" s="65">
        <v>-2.0000000000000178</v>
      </c>
    </row>
    <row r="313" spans="11:12" x14ac:dyDescent="0.45">
      <c r="K313" s="7">
        <v>311</v>
      </c>
      <c r="L313" s="65">
        <v>35.199999999999989</v>
      </c>
    </row>
    <row r="314" spans="11:12" x14ac:dyDescent="0.45">
      <c r="K314" s="7">
        <v>312</v>
      </c>
      <c r="L314" s="65">
        <v>-1.4210854715202004E-14</v>
      </c>
    </row>
    <row r="315" spans="11:12" x14ac:dyDescent="0.45">
      <c r="K315" s="7">
        <v>313</v>
      </c>
      <c r="L315" s="65">
        <v>30.499999999999986</v>
      </c>
    </row>
    <row r="316" spans="11:12" x14ac:dyDescent="0.45">
      <c r="K316" s="7">
        <v>314</v>
      </c>
      <c r="L316" s="65">
        <v>34.899999999999984</v>
      </c>
    </row>
    <row r="317" spans="11:12" x14ac:dyDescent="0.45">
      <c r="K317" s="7">
        <v>315</v>
      </c>
      <c r="L317" s="65">
        <v>-1.4210854715202004E-14</v>
      </c>
    </row>
    <row r="318" spans="11:12" x14ac:dyDescent="0.45">
      <c r="K318" s="7">
        <v>316</v>
      </c>
      <c r="L318" s="65">
        <v>12.199999999999985</v>
      </c>
    </row>
    <row r="319" spans="11:12" x14ac:dyDescent="0.45">
      <c r="K319" s="7">
        <v>317</v>
      </c>
      <c r="L319" s="65">
        <v>-40.600000000000009</v>
      </c>
    </row>
    <row r="320" spans="11:12" x14ac:dyDescent="0.45">
      <c r="K320" s="7">
        <v>318</v>
      </c>
      <c r="L320" s="65">
        <v>-7.1054273576010019E-15</v>
      </c>
    </row>
    <row r="321" spans="11:12" x14ac:dyDescent="0.45">
      <c r="K321" s="7">
        <v>319</v>
      </c>
      <c r="L321" s="65">
        <v>32.399999999999991</v>
      </c>
    </row>
    <row r="322" spans="11:12" x14ac:dyDescent="0.45">
      <c r="K322" s="7">
        <v>320</v>
      </c>
      <c r="L322" s="65">
        <v>47.999999999999993</v>
      </c>
    </row>
    <row r="323" spans="11:12" x14ac:dyDescent="0.45">
      <c r="K323" s="7">
        <v>321</v>
      </c>
      <c r="L323" s="65">
        <v>-7.1054273576010019E-15</v>
      </c>
    </row>
    <row r="324" spans="11:12" x14ac:dyDescent="0.45">
      <c r="K324" s="7">
        <v>322</v>
      </c>
      <c r="L324" s="65">
        <v>55.099999999999994</v>
      </c>
    </row>
    <row r="325" spans="11:12" x14ac:dyDescent="0.45">
      <c r="K325" s="7">
        <v>323</v>
      </c>
      <c r="L325" s="65">
        <v>35.099999999999994</v>
      </c>
    </row>
    <row r="326" spans="11:12" x14ac:dyDescent="0.45">
      <c r="K326" s="7">
        <v>324</v>
      </c>
      <c r="L326" s="65">
        <v>-7.1054273576010019E-15</v>
      </c>
    </row>
    <row r="327" spans="11:12" x14ac:dyDescent="0.45">
      <c r="K327" s="7">
        <v>325</v>
      </c>
      <c r="L327" s="65">
        <v>40.899999999999991</v>
      </c>
    </row>
    <row r="328" spans="11:12" x14ac:dyDescent="0.45">
      <c r="K328" s="7">
        <v>326</v>
      </c>
      <c r="L328" s="65">
        <v>31.699999999999992</v>
      </c>
    </row>
    <row r="329" spans="11:12" x14ac:dyDescent="0.45">
      <c r="K329" s="7">
        <v>327</v>
      </c>
      <c r="L329" s="65">
        <v>-7.1054273576010019E-15</v>
      </c>
    </row>
    <row r="330" spans="11:12" x14ac:dyDescent="0.45">
      <c r="K330" s="7">
        <v>328</v>
      </c>
      <c r="L330" s="65">
        <v>-1.400000000000007</v>
      </c>
    </row>
    <row r="331" spans="11:12" x14ac:dyDescent="0.45">
      <c r="K331" s="7">
        <v>329</v>
      </c>
      <c r="L331" s="65">
        <v>-18.400000000000006</v>
      </c>
    </row>
    <row r="332" spans="11:12" x14ac:dyDescent="0.45">
      <c r="K332" s="7">
        <v>330</v>
      </c>
      <c r="L332" s="65">
        <v>-7.1054273576010019E-15</v>
      </c>
    </row>
    <row r="333" spans="11:12" x14ac:dyDescent="0.45">
      <c r="K333" s="7">
        <v>331</v>
      </c>
      <c r="L333" s="65">
        <v>-8.7000000000000064</v>
      </c>
    </row>
    <row r="334" spans="11:12" x14ac:dyDescent="0.45">
      <c r="K334" s="7">
        <v>332</v>
      </c>
      <c r="L334" s="65">
        <v>-35.500000000000007</v>
      </c>
    </row>
    <row r="335" spans="11:12" x14ac:dyDescent="0.45">
      <c r="K335" s="7">
        <v>333</v>
      </c>
      <c r="L335" s="65">
        <v>-7.1054273576010019E-15</v>
      </c>
    </row>
    <row r="336" spans="11:12" x14ac:dyDescent="0.45">
      <c r="K336" s="7">
        <v>334</v>
      </c>
      <c r="L336" s="65">
        <v>28.799999999999994</v>
      </c>
    </row>
    <row r="337" spans="11:12" x14ac:dyDescent="0.45">
      <c r="K337" s="7">
        <v>335</v>
      </c>
      <c r="L337" s="65">
        <v>41.399999999999991</v>
      </c>
    </row>
    <row r="338" spans="11:12" x14ac:dyDescent="0.45">
      <c r="K338" s="7">
        <v>336</v>
      </c>
      <c r="L338" s="65">
        <v>-7.1054273576010019E-15</v>
      </c>
    </row>
    <row r="339" spans="11:12" x14ac:dyDescent="0.45">
      <c r="K339" s="7">
        <v>337</v>
      </c>
      <c r="L339" s="65">
        <v>12.599999999999993</v>
      </c>
    </row>
    <row r="340" spans="11:12" x14ac:dyDescent="0.45">
      <c r="K340" s="7">
        <v>338</v>
      </c>
      <c r="L340" s="65">
        <v>-28.700000000000003</v>
      </c>
    </row>
    <row r="341" spans="11:12" x14ac:dyDescent="0.45">
      <c r="K341" s="7">
        <v>339</v>
      </c>
      <c r="L341" s="65">
        <v>-3.5527136788005009E-15</v>
      </c>
    </row>
    <row r="342" spans="11:12" x14ac:dyDescent="0.45">
      <c r="K342" s="7">
        <v>340</v>
      </c>
      <c r="L342" s="65">
        <v>14.899999999999997</v>
      </c>
    </row>
    <row r="343" spans="11:12" x14ac:dyDescent="0.45">
      <c r="K343" s="7">
        <v>341</v>
      </c>
      <c r="L343" s="65">
        <v>42.699999999999996</v>
      </c>
    </row>
    <row r="344" spans="11:12" x14ac:dyDescent="0.45">
      <c r="K344" s="7">
        <v>342</v>
      </c>
      <c r="L344" s="65">
        <v>-7.1054273576010019E-15</v>
      </c>
    </row>
    <row r="345" spans="11:12" x14ac:dyDescent="0.45">
      <c r="K345" s="7">
        <v>343</v>
      </c>
      <c r="L345" s="65">
        <v>-24.000000000000007</v>
      </c>
    </row>
    <row r="346" spans="11:12" x14ac:dyDescent="0.45">
      <c r="K346" s="7">
        <v>344</v>
      </c>
      <c r="L346" s="65">
        <v>-25.600000000000009</v>
      </c>
    </row>
    <row r="347" spans="11:12" x14ac:dyDescent="0.45">
      <c r="K347" s="7">
        <v>345</v>
      </c>
      <c r="L347" s="65">
        <v>-7.1054273576010019E-15</v>
      </c>
    </row>
    <row r="348" spans="11:12" x14ac:dyDescent="0.45">
      <c r="K348" s="7">
        <v>346</v>
      </c>
      <c r="L348" s="65">
        <v>3.9999999999999929</v>
      </c>
    </row>
    <row r="349" spans="11:12" x14ac:dyDescent="0.45">
      <c r="K349" s="7">
        <v>347</v>
      </c>
      <c r="L349" s="65">
        <v>-24.100000000000009</v>
      </c>
    </row>
    <row r="350" spans="11:12" x14ac:dyDescent="0.45">
      <c r="K350" s="7">
        <v>348</v>
      </c>
      <c r="L350" s="65">
        <v>-7.1054273576010019E-15</v>
      </c>
    </row>
    <row r="351" spans="11:12" x14ac:dyDescent="0.45">
      <c r="K351" s="7">
        <v>349</v>
      </c>
      <c r="L351" s="65">
        <v>-4.5000000000000071</v>
      </c>
    </row>
    <row r="352" spans="11:12" x14ac:dyDescent="0.45">
      <c r="K352" s="7">
        <v>350</v>
      </c>
      <c r="L352" s="65">
        <v>-34.500000000000007</v>
      </c>
    </row>
    <row r="353" spans="11:12" x14ac:dyDescent="0.45">
      <c r="K353" s="7">
        <v>351</v>
      </c>
      <c r="L353" s="65">
        <v>-7.1054273576010019E-15</v>
      </c>
    </row>
    <row r="354" spans="11:12" x14ac:dyDescent="0.45">
      <c r="K354" s="7">
        <v>352</v>
      </c>
      <c r="L354" s="65">
        <v>-30.500000000000007</v>
      </c>
    </row>
    <row r="355" spans="11:12" x14ac:dyDescent="0.45">
      <c r="K355" s="7">
        <v>353</v>
      </c>
      <c r="L355" s="65">
        <v>-33.800000000000004</v>
      </c>
    </row>
    <row r="356" spans="11:12" x14ac:dyDescent="0.45">
      <c r="K356" s="7">
        <v>354</v>
      </c>
      <c r="L356" s="65">
        <v>-7.1054273576010019E-15</v>
      </c>
    </row>
    <row r="357" spans="11:12" x14ac:dyDescent="0.45">
      <c r="K357" s="7">
        <v>355</v>
      </c>
      <c r="L357" s="65">
        <v>-31.300000000000008</v>
      </c>
    </row>
    <row r="358" spans="11:12" x14ac:dyDescent="0.45">
      <c r="K358" s="7">
        <v>356</v>
      </c>
      <c r="L358" s="65">
        <v>-6.5000000000000071</v>
      </c>
    </row>
    <row r="359" spans="11:12" x14ac:dyDescent="0.45">
      <c r="K359" s="7">
        <v>357</v>
      </c>
      <c r="L359" s="65">
        <v>-7.1054273576010019E-15</v>
      </c>
    </row>
    <row r="360" spans="11:12" x14ac:dyDescent="0.45">
      <c r="K360" s="7">
        <v>358</v>
      </c>
      <c r="L360" s="65">
        <v>-22.400000000000006</v>
      </c>
    </row>
    <row r="361" spans="11:12" x14ac:dyDescent="0.45">
      <c r="K361" s="7">
        <v>359</v>
      </c>
      <c r="L361" s="65">
        <v>3.0999999999999943</v>
      </c>
    </row>
    <row r="362" spans="11:12" x14ac:dyDescent="0.45">
      <c r="K362" s="7">
        <v>360</v>
      </c>
      <c r="L362" s="65">
        <v>-5.773159728050814E-15</v>
      </c>
    </row>
    <row r="363" spans="11:12" x14ac:dyDescent="0.45">
      <c r="K363" s="7">
        <v>361</v>
      </c>
      <c r="L363" s="65">
        <v>1.2999999999999943</v>
      </c>
    </row>
    <row r="364" spans="11:12" x14ac:dyDescent="0.45">
      <c r="K364" s="7">
        <v>362</v>
      </c>
      <c r="L364" s="65">
        <v>26.099999999999994</v>
      </c>
    </row>
    <row r="365" spans="11:12" x14ac:dyDescent="0.45">
      <c r="K365" s="7">
        <v>363</v>
      </c>
      <c r="L365" s="65">
        <v>-7.1054273576010019E-15</v>
      </c>
    </row>
    <row r="366" spans="11:12" x14ac:dyDescent="0.45">
      <c r="K366" s="7">
        <v>364</v>
      </c>
      <c r="L366" s="65">
        <v>5.5999999999999925</v>
      </c>
    </row>
    <row r="367" spans="11:12" x14ac:dyDescent="0.45">
      <c r="K367" s="7">
        <v>365</v>
      </c>
      <c r="L367" s="65">
        <v>-19.400000000000006</v>
      </c>
    </row>
    <row r="368" spans="11:12" x14ac:dyDescent="0.45">
      <c r="K368" s="7">
        <v>366</v>
      </c>
      <c r="L368" s="65">
        <v>-7.1054273576010019E-15</v>
      </c>
    </row>
    <row r="369" spans="11:12" x14ac:dyDescent="0.45">
      <c r="K369" s="7">
        <v>367</v>
      </c>
      <c r="L369" s="65">
        <v>14.799999999999994</v>
      </c>
    </row>
    <row r="370" spans="11:12" x14ac:dyDescent="0.45">
      <c r="K370" s="7">
        <v>368</v>
      </c>
      <c r="L370" s="65">
        <v>14.199999999999994</v>
      </c>
    </row>
    <row r="371" spans="11:12" x14ac:dyDescent="0.45">
      <c r="K371" s="7">
        <v>369</v>
      </c>
      <c r="L371" s="65">
        <v>-5.3290705182007514E-15</v>
      </c>
    </row>
    <row r="372" spans="11:12" x14ac:dyDescent="0.45">
      <c r="K372" s="7">
        <v>370</v>
      </c>
      <c r="L372" s="65">
        <v>-42.300000000000004</v>
      </c>
    </row>
    <row r="373" spans="11:12" x14ac:dyDescent="0.45">
      <c r="K373" s="7">
        <v>371</v>
      </c>
      <c r="L373" s="65">
        <v>-49.1</v>
      </c>
    </row>
    <row r="374" spans="11:12" x14ac:dyDescent="0.45">
      <c r="K374" s="7">
        <v>372</v>
      </c>
      <c r="L374" s="65">
        <v>0</v>
      </c>
    </row>
    <row r="375" spans="11:12" x14ac:dyDescent="0.45">
      <c r="K375" s="7">
        <v>373</v>
      </c>
      <c r="L375" s="65">
        <v>11.4</v>
      </c>
    </row>
    <row r="376" spans="11:12" x14ac:dyDescent="0.45">
      <c r="K376" s="7">
        <v>374</v>
      </c>
      <c r="L376" s="65">
        <v>53.4</v>
      </c>
    </row>
    <row r="377" spans="11:12" x14ac:dyDescent="0.45">
      <c r="K377" s="7">
        <v>375</v>
      </c>
      <c r="L377" s="65">
        <v>0</v>
      </c>
    </row>
    <row r="378" spans="11:12" x14ac:dyDescent="0.45">
      <c r="K378" s="7">
        <v>376</v>
      </c>
      <c r="L378" s="65">
        <v>22.2</v>
      </c>
    </row>
    <row r="379" spans="11:12" x14ac:dyDescent="0.45">
      <c r="K379" s="7">
        <v>377</v>
      </c>
      <c r="L379" s="65">
        <v>-9.4000000000000021</v>
      </c>
    </row>
    <row r="380" spans="11:12" x14ac:dyDescent="0.45">
      <c r="K380" s="7">
        <v>378</v>
      </c>
      <c r="L380" s="65">
        <v>-1.7763568394002505E-15</v>
      </c>
    </row>
    <row r="381" spans="11:12" x14ac:dyDescent="0.45">
      <c r="K381" s="7">
        <v>379</v>
      </c>
      <c r="L381" s="65">
        <v>9.0999999999999979</v>
      </c>
    </row>
    <row r="382" spans="11:12" x14ac:dyDescent="0.45">
      <c r="K382" s="7">
        <v>380</v>
      </c>
      <c r="L382" s="65">
        <v>-20.400000000000002</v>
      </c>
    </row>
    <row r="383" spans="11:12" x14ac:dyDescent="0.45">
      <c r="K383" s="7">
        <v>381</v>
      </c>
      <c r="L383" s="65">
        <v>-3.5527136788005009E-15</v>
      </c>
    </row>
    <row r="384" spans="11:12" x14ac:dyDescent="0.45">
      <c r="K384" s="7">
        <v>382</v>
      </c>
      <c r="L384" s="65">
        <v>-36.100000000000009</v>
      </c>
    </row>
    <row r="385" spans="11:12" x14ac:dyDescent="0.45">
      <c r="K385" s="7">
        <v>383</v>
      </c>
      <c r="L385" s="65">
        <v>-7.3000000000000078</v>
      </c>
    </row>
    <row r="386" spans="11:12" x14ac:dyDescent="0.45">
      <c r="K386" s="7">
        <v>384</v>
      </c>
      <c r="L386" s="65">
        <v>-7.9936057773011271E-15</v>
      </c>
    </row>
    <row r="387" spans="11:12" x14ac:dyDescent="0.45">
      <c r="K387" s="7">
        <v>385</v>
      </c>
      <c r="L387" s="65">
        <v>-3.000000000000008</v>
      </c>
    </row>
    <row r="388" spans="11:12" x14ac:dyDescent="0.45">
      <c r="K388" s="7">
        <v>386</v>
      </c>
      <c r="L388" s="65">
        <v>-31.500000000000007</v>
      </c>
    </row>
    <row r="389" spans="11:12" x14ac:dyDescent="0.45">
      <c r="K389" s="7">
        <v>387</v>
      </c>
      <c r="L389" s="65">
        <v>-7.1054273576010019E-15</v>
      </c>
    </row>
    <row r="390" spans="11:12" x14ac:dyDescent="0.45">
      <c r="K390" s="7">
        <v>388</v>
      </c>
      <c r="L390" s="65">
        <v>32.499999999999993</v>
      </c>
    </row>
    <row r="391" spans="11:12" x14ac:dyDescent="0.45">
      <c r="K391" s="7">
        <v>389</v>
      </c>
      <c r="L391" s="65">
        <v>21.299999999999994</v>
      </c>
    </row>
    <row r="392" spans="11:12" x14ac:dyDescent="0.45">
      <c r="K392" s="7">
        <v>390</v>
      </c>
      <c r="L392" s="65">
        <v>-7.1054273576010019E-15</v>
      </c>
    </row>
    <row r="393" spans="11:12" x14ac:dyDescent="0.45">
      <c r="K393" s="7">
        <v>391</v>
      </c>
      <c r="L393" s="65">
        <v>-22.400000000000006</v>
      </c>
    </row>
    <row r="394" spans="11:12" x14ac:dyDescent="0.45">
      <c r="K394" s="7">
        <v>392</v>
      </c>
      <c r="L394" s="65">
        <v>-69.100000000000009</v>
      </c>
    </row>
    <row r="395" spans="11:12" x14ac:dyDescent="0.45">
      <c r="K395" s="7">
        <v>393</v>
      </c>
      <c r="L395" s="65">
        <v>-1.4210854715202004E-14</v>
      </c>
    </row>
    <row r="396" spans="11:12" x14ac:dyDescent="0.45">
      <c r="K396" s="7">
        <v>394</v>
      </c>
      <c r="L396" s="65">
        <v>15.199999999999985</v>
      </c>
    </row>
    <row r="397" spans="11:12" x14ac:dyDescent="0.45">
      <c r="K397" s="7">
        <v>395</v>
      </c>
      <c r="L397" s="65">
        <v>18.299999999999986</v>
      </c>
    </row>
    <row r="398" spans="11:12" x14ac:dyDescent="0.45">
      <c r="K398" s="7">
        <v>396</v>
      </c>
      <c r="L398" s="65">
        <v>-1.4210854715202004E-14</v>
      </c>
    </row>
    <row r="399" spans="11:12" x14ac:dyDescent="0.45">
      <c r="K399" s="7">
        <v>397</v>
      </c>
      <c r="L399" s="65">
        <v>1.5999999999999859</v>
      </c>
    </row>
    <row r="400" spans="11:12" x14ac:dyDescent="0.45">
      <c r="K400" s="7">
        <v>398</v>
      </c>
      <c r="L400" s="65">
        <v>-48.900000000000013</v>
      </c>
    </row>
    <row r="401" spans="11:12" x14ac:dyDescent="0.45">
      <c r="K401" s="7">
        <v>399</v>
      </c>
      <c r="L401" s="65">
        <v>-1.4210854715202004E-14</v>
      </c>
    </row>
    <row r="402" spans="11:12" x14ac:dyDescent="0.45">
      <c r="K402" s="7">
        <v>400</v>
      </c>
      <c r="L402" s="65">
        <v>26.799999999999986</v>
      </c>
    </row>
    <row r="403" spans="11:12" x14ac:dyDescent="0.45">
      <c r="K403" s="7">
        <v>401</v>
      </c>
      <c r="L403" s="65">
        <v>40.099999999999987</v>
      </c>
    </row>
    <row r="404" spans="11:12" x14ac:dyDescent="0.45">
      <c r="K404" s="7">
        <v>402</v>
      </c>
      <c r="L404" s="65">
        <v>-1.4210854715202004E-14</v>
      </c>
    </row>
    <row r="405" spans="11:12" x14ac:dyDescent="0.45">
      <c r="K405" s="7">
        <v>403</v>
      </c>
      <c r="L405" s="65">
        <v>-21.300000000000015</v>
      </c>
    </row>
    <row r="406" spans="11:12" x14ac:dyDescent="0.45">
      <c r="K406" s="7">
        <v>404</v>
      </c>
      <c r="L406" s="65">
        <v>-4.7000000000000135</v>
      </c>
    </row>
    <row r="407" spans="11:12" x14ac:dyDescent="0.45">
      <c r="K407" s="7">
        <v>405</v>
      </c>
      <c r="L407" s="65">
        <v>-1.3322676295501878E-14</v>
      </c>
    </row>
    <row r="408" spans="11:12" x14ac:dyDescent="0.45">
      <c r="K408" s="7">
        <v>406</v>
      </c>
      <c r="L408" s="65">
        <v>-29.900000000000013</v>
      </c>
    </row>
    <row r="409" spans="11:12" x14ac:dyDescent="0.45">
      <c r="K409" s="7">
        <v>407</v>
      </c>
      <c r="L409" s="65">
        <v>-5.1000000000000121</v>
      </c>
    </row>
    <row r="410" spans="11:12" x14ac:dyDescent="0.45">
      <c r="K410" s="7">
        <v>408</v>
      </c>
      <c r="L410" s="65">
        <v>-1.2434497875801753E-14</v>
      </c>
    </row>
    <row r="411" spans="11:12" x14ac:dyDescent="0.45">
      <c r="K411" s="7">
        <v>409</v>
      </c>
      <c r="L411" s="65">
        <v>-13.800000000000013</v>
      </c>
    </row>
    <row r="412" spans="11:12" x14ac:dyDescent="0.45">
      <c r="K412" s="7">
        <v>410</v>
      </c>
      <c r="L412" s="65">
        <v>-39.300000000000011</v>
      </c>
    </row>
    <row r="413" spans="11:12" x14ac:dyDescent="0.45">
      <c r="K413" s="7">
        <v>411</v>
      </c>
      <c r="L413" s="65">
        <v>-1.4210854715202004E-14</v>
      </c>
    </row>
    <row r="414" spans="11:12" x14ac:dyDescent="0.45">
      <c r="K414" s="7">
        <v>412</v>
      </c>
      <c r="L414" s="65">
        <v>10.899999999999986</v>
      </c>
    </row>
    <row r="415" spans="11:12" x14ac:dyDescent="0.45">
      <c r="K415" s="7">
        <v>413</v>
      </c>
      <c r="L415" s="65">
        <v>55.899999999999984</v>
      </c>
    </row>
    <row r="416" spans="11:12" x14ac:dyDescent="0.45">
      <c r="K416" s="7">
        <v>414</v>
      </c>
      <c r="L416" s="65">
        <v>-1.4210854715202004E-14</v>
      </c>
    </row>
    <row r="417" spans="11:12" x14ac:dyDescent="0.45">
      <c r="K417" s="7">
        <v>415</v>
      </c>
      <c r="L417" s="65">
        <v>5.9999999999999858</v>
      </c>
    </row>
    <row r="418" spans="11:12" x14ac:dyDescent="0.45">
      <c r="K418" s="7">
        <v>416</v>
      </c>
      <c r="L418" s="65">
        <v>-23.600000000000016</v>
      </c>
    </row>
    <row r="419" spans="11:12" x14ac:dyDescent="0.45">
      <c r="K419" s="7">
        <v>417</v>
      </c>
      <c r="L419" s="65">
        <v>-1.4210854715202004E-14</v>
      </c>
    </row>
    <row r="420" spans="11:12" x14ac:dyDescent="0.45">
      <c r="K420" s="7">
        <v>418</v>
      </c>
      <c r="L420" s="65">
        <v>-15.300000000000015</v>
      </c>
    </row>
    <row r="421" spans="11:12" x14ac:dyDescent="0.45">
      <c r="K421" s="7">
        <v>419</v>
      </c>
      <c r="L421" s="65">
        <v>1.7999999999999865</v>
      </c>
    </row>
    <row r="422" spans="11:12" x14ac:dyDescent="0.45">
      <c r="K422" s="7">
        <v>420</v>
      </c>
      <c r="L422" s="65">
        <v>-1.354472090042691E-14</v>
      </c>
    </row>
    <row r="423" spans="11:12" x14ac:dyDescent="0.45">
      <c r="K423" s="7">
        <v>421</v>
      </c>
      <c r="L423" s="65">
        <v>34.599999999999987</v>
      </c>
    </row>
    <row r="424" spans="11:12" x14ac:dyDescent="0.45">
      <c r="K424" s="7">
        <v>422</v>
      </c>
      <c r="L424" s="65">
        <v>-19.900000000000013</v>
      </c>
    </row>
    <row r="425" spans="11:12" x14ac:dyDescent="0.45">
      <c r="K425" s="7">
        <v>423</v>
      </c>
      <c r="L425" s="65">
        <v>-1.4210854715202004E-14</v>
      </c>
    </row>
    <row r="426" spans="11:12" x14ac:dyDescent="0.45">
      <c r="K426" s="7">
        <v>424</v>
      </c>
      <c r="L426" s="65">
        <v>-6.5000000000000142</v>
      </c>
    </row>
    <row r="427" spans="11:12" x14ac:dyDescent="0.45">
      <c r="K427" s="7">
        <v>425</v>
      </c>
      <c r="L427" s="65">
        <v>36.699999999999989</v>
      </c>
    </row>
    <row r="428" spans="11:12" x14ac:dyDescent="0.45">
      <c r="K428" s="7">
        <v>426</v>
      </c>
      <c r="L428" s="65">
        <v>-1.4210854715202004E-14</v>
      </c>
    </row>
    <row r="429" spans="11:12" x14ac:dyDescent="0.45">
      <c r="K429" s="7">
        <v>427</v>
      </c>
      <c r="L429" s="65">
        <v>-25.300000000000015</v>
      </c>
    </row>
    <row r="430" spans="11:12" x14ac:dyDescent="0.45">
      <c r="K430" s="7">
        <v>428</v>
      </c>
      <c r="L430" s="65">
        <v>-20.600000000000016</v>
      </c>
    </row>
    <row r="431" spans="11:12" x14ac:dyDescent="0.45">
      <c r="K431" s="7">
        <v>429</v>
      </c>
      <c r="L431" s="65">
        <v>-1.4210854715202004E-14</v>
      </c>
    </row>
    <row r="432" spans="11:12" x14ac:dyDescent="0.45">
      <c r="K432" s="7">
        <v>430</v>
      </c>
      <c r="L432" s="65">
        <v>-20.900000000000013</v>
      </c>
    </row>
    <row r="433" spans="11:12" x14ac:dyDescent="0.45">
      <c r="K433" s="7">
        <v>431</v>
      </c>
      <c r="L433" s="65">
        <v>-4.0000000000000142</v>
      </c>
    </row>
    <row r="434" spans="11:12" x14ac:dyDescent="0.45">
      <c r="K434" s="7">
        <v>432</v>
      </c>
      <c r="L434" s="65">
        <v>-1.4210854715202004E-14</v>
      </c>
    </row>
    <row r="435" spans="11:12" x14ac:dyDescent="0.45">
      <c r="K435" s="7">
        <v>433</v>
      </c>
      <c r="L435" s="65">
        <v>16.499999999999986</v>
      </c>
    </row>
    <row r="436" spans="11:12" x14ac:dyDescent="0.45">
      <c r="K436" s="7">
        <v>434</v>
      </c>
      <c r="L436" s="65">
        <v>0.59999999999998543</v>
      </c>
    </row>
    <row r="437" spans="11:12" x14ac:dyDescent="0.45">
      <c r="K437" s="7">
        <v>435</v>
      </c>
      <c r="L437" s="65">
        <v>-1.4543921622589551E-14</v>
      </c>
    </row>
    <row r="438" spans="11:12" x14ac:dyDescent="0.45">
      <c r="K438" s="7">
        <v>436</v>
      </c>
      <c r="L438" s="65">
        <v>3.4999999999999853</v>
      </c>
    </row>
    <row r="439" spans="11:12" x14ac:dyDescent="0.45">
      <c r="K439" s="7">
        <v>437</v>
      </c>
      <c r="L439" s="65">
        <v>38.999999999999986</v>
      </c>
    </row>
    <row r="440" spans="11:12" x14ac:dyDescent="0.45">
      <c r="K440" s="7">
        <v>438</v>
      </c>
      <c r="L440" s="65">
        <v>-1.4210854715202004E-14</v>
      </c>
    </row>
    <row r="441" spans="11:12" x14ac:dyDescent="0.45">
      <c r="K441" s="7">
        <v>439</v>
      </c>
      <c r="L441" s="65">
        <v>-33.000000000000014</v>
      </c>
    </row>
    <row r="442" spans="11:12" x14ac:dyDescent="0.45">
      <c r="K442" s="7">
        <v>440</v>
      </c>
      <c r="L442" s="65">
        <v>45.59999999999998</v>
      </c>
    </row>
    <row r="443" spans="11:12" x14ac:dyDescent="0.45">
      <c r="K443" s="7">
        <v>441</v>
      </c>
      <c r="L443" s="65">
        <v>-2.1316282072803006E-14</v>
      </c>
    </row>
    <row r="444" spans="11:12" x14ac:dyDescent="0.45">
      <c r="K444" s="7">
        <v>442</v>
      </c>
      <c r="L444" s="65">
        <v>-24.100000000000023</v>
      </c>
    </row>
    <row r="445" spans="11:12" x14ac:dyDescent="0.45">
      <c r="K445" s="7">
        <v>443</v>
      </c>
      <c r="L445" s="65">
        <v>-23.800000000000022</v>
      </c>
    </row>
    <row r="446" spans="11:12" x14ac:dyDescent="0.45">
      <c r="K446" s="7">
        <v>444</v>
      </c>
      <c r="L446" s="65">
        <v>-2.1316282072803006E-14</v>
      </c>
    </row>
    <row r="447" spans="11:12" x14ac:dyDescent="0.45">
      <c r="K447" s="7">
        <v>445</v>
      </c>
      <c r="L447" s="65">
        <v>10.299999999999979</v>
      </c>
    </row>
    <row r="448" spans="11:12" x14ac:dyDescent="0.45">
      <c r="K448" s="7">
        <v>446</v>
      </c>
      <c r="L448" s="65">
        <v>45.399999999999977</v>
      </c>
    </row>
    <row r="449" spans="11:12" x14ac:dyDescent="0.45">
      <c r="K449" s="7">
        <v>447</v>
      </c>
      <c r="L449" s="65">
        <v>-2.1316282072803006E-14</v>
      </c>
    </row>
    <row r="450" spans="11:12" x14ac:dyDescent="0.45">
      <c r="K450" s="7">
        <v>448</v>
      </c>
      <c r="L450" s="65">
        <v>26.699999999999978</v>
      </c>
    </row>
    <row r="451" spans="11:12" x14ac:dyDescent="0.45">
      <c r="K451" s="7">
        <v>449</v>
      </c>
      <c r="L451" s="65">
        <v>22.299999999999976</v>
      </c>
    </row>
    <row r="452" spans="11:12" x14ac:dyDescent="0.45">
      <c r="K452" s="7">
        <v>450</v>
      </c>
      <c r="L452" s="65">
        <v>-2.4868995751603507E-14</v>
      </c>
    </row>
    <row r="453" spans="11:12" x14ac:dyDescent="0.45">
      <c r="K453" s="7">
        <v>451</v>
      </c>
      <c r="L453" s="65">
        <v>-28.900000000000023</v>
      </c>
    </row>
    <row r="454" spans="11:12" x14ac:dyDescent="0.45">
      <c r="K454" s="7">
        <v>452</v>
      </c>
      <c r="L454" s="65">
        <v>-43.100000000000023</v>
      </c>
    </row>
    <row r="455" spans="11:12" x14ac:dyDescent="0.45">
      <c r="K455" s="7">
        <v>453</v>
      </c>
      <c r="L455" s="65">
        <v>-2.1316282072803006E-14</v>
      </c>
    </row>
    <row r="456" spans="11:12" x14ac:dyDescent="0.45">
      <c r="K456" s="7">
        <v>454</v>
      </c>
      <c r="L456" s="65">
        <v>21.499999999999979</v>
      </c>
    </row>
    <row r="457" spans="11:12" x14ac:dyDescent="0.45">
      <c r="K457" s="7">
        <v>455</v>
      </c>
      <c r="L457" s="65">
        <v>23.999999999999979</v>
      </c>
    </row>
    <row r="458" spans="11:12" x14ac:dyDescent="0.45">
      <c r="K458" s="7">
        <v>456</v>
      </c>
      <c r="L458" s="65">
        <v>-2.1316282072803006E-14</v>
      </c>
    </row>
    <row r="459" spans="11:12" x14ac:dyDescent="0.45">
      <c r="K459" s="7">
        <v>457</v>
      </c>
      <c r="L459" s="65">
        <v>-25.100000000000023</v>
      </c>
    </row>
    <row r="460" spans="11:12" x14ac:dyDescent="0.45">
      <c r="K460" s="7">
        <v>458</v>
      </c>
      <c r="L460" s="65">
        <v>4.9999999999999787</v>
      </c>
    </row>
    <row r="461" spans="11:12" x14ac:dyDescent="0.45">
      <c r="K461" s="7">
        <v>459</v>
      </c>
      <c r="L461" s="65">
        <v>-2.1316282072803006E-14</v>
      </c>
    </row>
    <row r="462" spans="11:12" x14ac:dyDescent="0.45">
      <c r="K462" s="7">
        <v>460</v>
      </c>
      <c r="L462" s="65">
        <v>2.9999999999999787</v>
      </c>
    </row>
    <row r="463" spans="11:12" x14ac:dyDescent="0.45">
      <c r="K463" s="7">
        <v>461</v>
      </c>
      <c r="L463" s="65">
        <v>37.09999999999998</v>
      </c>
    </row>
    <row r="464" spans="11:12" x14ac:dyDescent="0.45">
      <c r="K464" s="7">
        <v>462</v>
      </c>
      <c r="L464" s="65">
        <v>-2.1316282072803006E-14</v>
      </c>
    </row>
    <row r="465" spans="11:12" x14ac:dyDescent="0.45">
      <c r="K465" s="7">
        <v>463</v>
      </c>
      <c r="L465" s="65">
        <v>-1.9000000000000212</v>
      </c>
    </row>
    <row r="466" spans="11:12" x14ac:dyDescent="0.45">
      <c r="K466" s="7">
        <v>464</v>
      </c>
      <c r="L466" s="65">
        <v>-27.700000000000021</v>
      </c>
    </row>
    <row r="467" spans="11:12" x14ac:dyDescent="0.45">
      <c r="K467" s="7">
        <v>465</v>
      </c>
      <c r="L467" s="65">
        <v>-2.1316282072803006E-14</v>
      </c>
    </row>
    <row r="468" spans="11:12" x14ac:dyDescent="0.45">
      <c r="K468" s="7">
        <v>466</v>
      </c>
      <c r="L468" s="65">
        <v>35.899999999999977</v>
      </c>
    </row>
    <row r="469" spans="11:12" x14ac:dyDescent="0.45">
      <c r="K469" s="7">
        <v>467</v>
      </c>
      <c r="L469" s="65">
        <v>45.199999999999974</v>
      </c>
    </row>
    <row r="470" spans="11:12" x14ac:dyDescent="0.45">
      <c r="K470" s="7">
        <v>468</v>
      </c>
      <c r="L470" s="65">
        <v>-2.8421709430404007E-14</v>
      </c>
    </row>
    <row r="471" spans="11:12" x14ac:dyDescent="0.45">
      <c r="K471" s="7">
        <v>469</v>
      </c>
      <c r="L471" s="65">
        <v>37.39999999999997</v>
      </c>
    </row>
    <row r="472" spans="11:12" x14ac:dyDescent="0.45">
      <c r="K472" s="7">
        <v>470</v>
      </c>
      <c r="L472" s="65">
        <v>59.099999999999966</v>
      </c>
    </row>
    <row r="473" spans="11:12" x14ac:dyDescent="0.45">
      <c r="K473" s="7">
        <v>471</v>
      </c>
      <c r="L473" s="65">
        <v>-3.5527136788005009E-14</v>
      </c>
    </row>
    <row r="474" spans="11:12" x14ac:dyDescent="0.45">
      <c r="K474" s="7">
        <v>472</v>
      </c>
      <c r="L474" s="65">
        <v>-3.5000000000000355</v>
      </c>
    </row>
    <row r="475" spans="11:12" x14ac:dyDescent="0.45">
      <c r="K475" s="7">
        <v>473</v>
      </c>
      <c r="L475" s="65">
        <v>15.999999999999964</v>
      </c>
    </row>
    <row r="476" spans="11:12" x14ac:dyDescent="0.45">
      <c r="K476" s="7">
        <v>474</v>
      </c>
      <c r="L476" s="65">
        <v>-3.5527136788005009E-14</v>
      </c>
    </row>
    <row r="477" spans="11:12" x14ac:dyDescent="0.45">
      <c r="K477" s="7">
        <v>475</v>
      </c>
      <c r="L477" s="65">
        <v>28.099999999999966</v>
      </c>
    </row>
    <row r="478" spans="11:12" x14ac:dyDescent="0.45">
      <c r="K478" s="7">
        <v>476</v>
      </c>
      <c r="L478" s="65">
        <v>41.699999999999967</v>
      </c>
    </row>
    <row r="479" spans="11:12" x14ac:dyDescent="0.45">
      <c r="K479" s="7">
        <v>477</v>
      </c>
      <c r="L479" s="65">
        <v>-3.5527136788005009E-14</v>
      </c>
    </row>
    <row r="480" spans="11:12" x14ac:dyDescent="0.45">
      <c r="K480" s="7">
        <v>478</v>
      </c>
      <c r="L480" s="65">
        <v>51.899999999999963</v>
      </c>
    </row>
    <row r="481" spans="11:12" x14ac:dyDescent="0.45">
      <c r="K481" s="7">
        <v>479</v>
      </c>
      <c r="L481" s="65">
        <v>2.3999999999999631</v>
      </c>
    </row>
    <row r="482" spans="11:12" x14ac:dyDescent="0.45">
      <c r="K482" s="7">
        <v>480</v>
      </c>
      <c r="L482" s="65">
        <v>-3.6859404417555197E-14</v>
      </c>
    </row>
    <row r="483" spans="11:12" x14ac:dyDescent="0.45">
      <c r="K483" s="7">
        <v>481</v>
      </c>
      <c r="L483" s="65">
        <v>-17.100000000000037</v>
      </c>
    </row>
    <row r="484" spans="11:12" x14ac:dyDescent="0.45">
      <c r="K484" s="7">
        <v>482</v>
      </c>
      <c r="L484" s="65">
        <v>-21.900000000000038</v>
      </c>
    </row>
    <row r="485" spans="11:12" x14ac:dyDescent="0.45">
      <c r="K485" s="7">
        <v>483</v>
      </c>
      <c r="L485" s="65">
        <v>-3.907985046680551E-14</v>
      </c>
    </row>
    <row r="486" spans="11:12" x14ac:dyDescent="0.45">
      <c r="K486" s="7">
        <v>484</v>
      </c>
      <c r="L486" s="65">
        <v>-46.100000000000037</v>
      </c>
    </row>
    <row r="487" spans="11:12" x14ac:dyDescent="0.45">
      <c r="K487" s="7">
        <v>485</v>
      </c>
      <c r="L487" s="65">
        <v>-41.900000000000034</v>
      </c>
    </row>
    <row r="488" spans="11:12" x14ac:dyDescent="0.45">
      <c r="K488" s="7">
        <v>486</v>
      </c>
      <c r="L488" s="65">
        <v>-3.5527136788005009E-14</v>
      </c>
    </row>
    <row r="489" spans="11:12" x14ac:dyDescent="0.45">
      <c r="K489" s="7">
        <v>487</v>
      </c>
      <c r="L489" s="65">
        <v>-30.300000000000036</v>
      </c>
    </row>
    <row r="490" spans="11:12" x14ac:dyDescent="0.45">
      <c r="K490" s="7">
        <v>488</v>
      </c>
      <c r="L490" s="65">
        <v>16.499999999999961</v>
      </c>
    </row>
    <row r="491" spans="11:12" x14ac:dyDescent="0.45">
      <c r="K491" s="7">
        <v>489</v>
      </c>
      <c r="L491" s="65">
        <v>-3.907985046680551E-14</v>
      </c>
    </row>
    <row r="492" spans="11:12" x14ac:dyDescent="0.45">
      <c r="K492" s="7">
        <v>490</v>
      </c>
      <c r="L492" s="65">
        <v>-36.600000000000037</v>
      </c>
    </row>
    <row r="493" spans="11:12" x14ac:dyDescent="0.45">
      <c r="K493" s="7">
        <v>491</v>
      </c>
      <c r="L493" s="65">
        <v>-49.000000000000036</v>
      </c>
    </row>
    <row r="494" spans="11:12" x14ac:dyDescent="0.45">
      <c r="K494" s="7">
        <v>492</v>
      </c>
      <c r="L494" s="65">
        <v>-3.5527136788005009E-14</v>
      </c>
    </row>
    <row r="495" spans="11:12" x14ac:dyDescent="0.45">
      <c r="K495" s="7">
        <v>493</v>
      </c>
      <c r="L495" s="65">
        <v>-48.600000000000037</v>
      </c>
    </row>
    <row r="496" spans="11:12" x14ac:dyDescent="0.45">
      <c r="K496" s="7">
        <v>494</v>
      </c>
      <c r="L496" s="65">
        <v>-44.400000000000034</v>
      </c>
    </row>
    <row r="497" spans="11:12" x14ac:dyDescent="0.45">
      <c r="K497" s="7">
        <v>495</v>
      </c>
      <c r="L497" s="65">
        <v>-3.5527136788005009E-14</v>
      </c>
    </row>
    <row r="498" spans="11:12" x14ac:dyDescent="0.45">
      <c r="K498" s="7">
        <v>496</v>
      </c>
      <c r="L498" s="65">
        <v>-9.6000000000000352</v>
      </c>
    </row>
    <row r="499" spans="11:12" x14ac:dyDescent="0.45">
      <c r="K499" s="7">
        <v>497</v>
      </c>
      <c r="L499" s="65">
        <v>40.19999999999996</v>
      </c>
    </row>
    <row r="500" spans="11:12" x14ac:dyDescent="0.45">
      <c r="K500" s="7">
        <v>498</v>
      </c>
      <c r="L500" s="65">
        <v>-4.2632564145606011E-14</v>
      </c>
    </row>
    <row r="501" spans="11:12" x14ac:dyDescent="0.45">
      <c r="K501" s="7">
        <v>499</v>
      </c>
      <c r="L501" s="65">
        <v>-48.80000000000004</v>
      </c>
    </row>
    <row r="502" spans="11:12" x14ac:dyDescent="0.45">
      <c r="K502" s="7">
        <v>500</v>
      </c>
      <c r="L502" s="65">
        <v>-50.000000000000043</v>
      </c>
    </row>
    <row r="503" spans="11:12" x14ac:dyDescent="0.45">
      <c r="K503" s="7">
        <v>501</v>
      </c>
      <c r="L503" s="65">
        <v>-4.2632564145606011E-14</v>
      </c>
    </row>
    <row r="504" spans="11:12" x14ac:dyDescent="0.45">
      <c r="K504" s="7">
        <v>502</v>
      </c>
      <c r="L504" s="65">
        <v>-11.400000000000043</v>
      </c>
    </row>
    <row r="505" spans="11:12" x14ac:dyDescent="0.45">
      <c r="K505" s="7">
        <v>503</v>
      </c>
      <c r="L505" s="65">
        <v>33.69999999999996</v>
      </c>
    </row>
    <row r="506" spans="11:12" x14ac:dyDescent="0.45">
      <c r="K506" s="7">
        <v>504</v>
      </c>
      <c r="L506" s="65">
        <v>-4.2632564145606011E-14</v>
      </c>
    </row>
    <row r="507" spans="11:12" x14ac:dyDescent="0.45">
      <c r="K507" s="7">
        <v>505</v>
      </c>
      <c r="L507" s="65">
        <v>124.09999999999995</v>
      </c>
    </row>
    <row r="508" spans="11:12" x14ac:dyDescent="0.45">
      <c r="K508" s="7">
        <v>506</v>
      </c>
      <c r="L508" s="65">
        <v>132.89999999999995</v>
      </c>
    </row>
    <row r="509" spans="11:12" x14ac:dyDescent="0.45">
      <c r="K509" s="7">
        <v>507</v>
      </c>
      <c r="L509" s="65">
        <v>-5.6843418860808015E-14</v>
      </c>
    </row>
    <row r="510" spans="11:12" x14ac:dyDescent="0.45">
      <c r="K510" s="7">
        <v>508</v>
      </c>
      <c r="L510" s="65">
        <v>22.399999999999942</v>
      </c>
    </row>
    <row r="511" spans="11:12" x14ac:dyDescent="0.45">
      <c r="K511" s="7">
        <v>509</v>
      </c>
      <c r="L511" s="65">
        <v>29.399999999999942</v>
      </c>
    </row>
    <row r="512" spans="11:12" x14ac:dyDescent="0.45">
      <c r="K512" s="7">
        <v>510</v>
      </c>
      <c r="L512" s="65">
        <v>-5.6843418860808015E-14</v>
      </c>
    </row>
    <row r="513" spans="11:12" x14ac:dyDescent="0.45">
      <c r="K513" s="7">
        <v>511</v>
      </c>
      <c r="L513" s="65">
        <v>13.599999999999943</v>
      </c>
    </row>
    <row r="514" spans="11:12" x14ac:dyDescent="0.45">
      <c r="K514" s="7">
        <v>512</v>
      </c>
      <c r="L514" s="65">
        <v>-0.50000000000005684</v>
      </c>
    </row>
    <row r="515" spans="11:12" x14ac:dyDescent="0.45">
      <c r="K515" s="7">
        <v>513</v>
      </c>
      <c r="L515" s="65">
        <v>-5.6843418860808015E-14</v>
      </c>
    </row>
    <row r="516" spans="11:12" x14ac:dyDescent="0.45">
      <c r="K516" s="7">
        <v>514</v>
      </c>
      <c r="L516" s="65">
        <v>-48.20000000000006</v>
      </c>
    </row>
    <row r="517" spans="11:12" x14ac:dyDescent="0.45">
      <c r="K517" s="7">
        <v>515</v>
      </c>
      <c r="L517" s="65">
        <v>-70.600000000000051</v>
      </c>
    </row>
    <row r="518" spans="11:12" x14ac:dyDescent="0.45">
      <c r="K518" s="7">
        <v>516</v>
      </c>
      <c r="L518" s="65">
        <v>-5.6843418860808015E-14</v>
      </c>
    </row>
    <row r="519" spans="11:12" x14ac:dyDescent="0.45">
      <c r="K519" s="7">
        <v>517</v>
      </c>
      <c r="L519" s="65">
        <v>44.499999999999943</v>
      </c>
    </row>
    <row r="520" spans="11:12" x14ac:dyDescent="0.45">
      <c r="K520" s="7">
        <v>518</v>
      </c>
      <c r="L520" s="65">
        <v>30.999999999999943</v>
      </c>
    </row>
    <row r="521" spans="11:12" x14ac:dyDescent="0.45">
      <c r="K521" s="7">
        <v>519</v>
      </c>
      <c r="L521" s="65">
        <v>-5.6843418860808015E-14</v>
      </c>
    </row>
    <row r="522" spans="11:12" x14ac:dyDescent="0.45">
      <c r="K522" s="7">
        <v>520</v>
      </c>
      <c r="L522" s="65">
        <v>16.999999999999943</v>
      </c>
    </row>
    <row r="523" spans="11:12" x14ac:dyDescent="0.45">
      <c r="K523" s="7">
        <v>521</v>
      </c>
      <c r="L523" s="65">
        <v>-6.6000000000000583</v>
      </c>
    </row>
    <row r="524" spans="11:12" x14ac:dyDescent="0.45">
      <c r="K524" s="7">
        <v>522</v>
      </c>
      <c r="L524" s="65">
        <v>-5.8619775700208265E-14</v>
      </c>
    </row>
    <row r="525" spans="11:12" x14ac:dyDescent="0.45">
      <c r="K525" s="7">
        <v>523</v>
      </c>
      <c r="L525" s="65">
        <v>3.1999999999999416</v>
      </c>
    </row>
    <row r="526" spans="11:12" x14ac:dyDescent="0.45">
      <c r="K526" s="7">
        <v>524</v>
      </c>
      <c r="L526" s="65">
        <v>-26.400000000000059</v>
      </c>
    </row>
    <row r="527" spans="11:12" x14ac:dyDescent="0.45">
      <c r="K527" s="7">
        <v>525</v>
      </c>
      <c r="L527" s="65">
        <v>-6.0396132539608516E-14</v>
      </c>
    </row>
    <row r="528" spans="11:12" x14ac:dyDescent="0.45">
      <c r="K528" s="7">
        <v>526</v>
      </c>
      <c r="L528" s="65">
        <v>-52.300000000000054</v>
      </c>
    </row>
    <row r="529" spans="11:12" x14ac:dyDescent="0.45">
      <c r="K529" s="7">
        <v>527</v>
      </c>
      <c r="L529" s="65">
        <v>-11.500000000000057</v>
      </c>
    </row>
    <row r="530" spans="11:12" x14ac:dyDescent="0.45">
      <c r="K530" s="7">
        <v>528</v>
      </c>
      <c r="L530" s="65">
        <v>-5.6843418860808015E-14</v>
      </c>
    </row>
    <row r="531" spans="11:12" x14ac:dyDescent="0.45">
      <c r="K531" s="7">
        <v>529</v>
      </c>
      <c r="L531" s="65">
        <v>-22.800000000000058</v>
      </c>
    </row>
    <row r="532" spans="11:12" x14ac:dyDescent="0.45">
      <c r="K532" s="7">
        <v>530</v>
      </c>
      <c r="L532" s="65">
        <v>-70.600000000000051</v>
      </c>
    </row>
    <row r="533" spans="11:12" x14ac:dyDescent="0.45">
      <c r="K533" s="7">
        <v>531</v>
      </c>
      <c r="L533" s="65">
        <v>-5.6843418860808015E-14</v>
      </c>
    </row>
    <row r="534" spans="11:12" x14ac:dyDescent="0.45">
      <c r="K534" s="7">
        <v>532</v>
      </c>
      <c r="L534" s="65">
        <v>5.799999999999943</v>
      </c>
    </row>
    <row r="535" spans="11:12" x14ac:dyDescent="0.45">
      <c r="K535" s="7">
        <v>533</v>
      </c>
      <c r="L535" s="65">
        <v>-16.300000000000058</v>
      </c>
    </row>
    <row r="536" spans="11:12" x14ac:dyDescent="0.45">
      <c r="K536" s="7">
        <v>534</v>
      </c>
      <c r="L536" s="65">
        <v>-5.6843418860808015E-14</v>
      </c>
    </row>
    <row r="537" spans="11:12" x14ac:dyDescent="0.45">
      <c r="K537" s="7">
        <v>535</v>
      </c>
      <c r="L537" s="65">
        <v>-41.100000000000058</v>
      </c>
    </row>
    <row r="538" spans="11:12" x14ac:dyDescent="0.45">
      <c r="K538" s="7">
        <v>536</v>
      </c>
      <c r="L538" s="65">
        <v>5.7999999999999403</v>
      </c>
    </row>
    <row r="539" spans="11:12" x14ac:dyDescent="0.45">
      <c r="K539" s="7">
        <v>537</v>
      </c>
      <c r="L539" s="65">
        <v>-5.9507954119908391E-14</v>
      </c>
    </row>
    <row r="540" spans="11:12" x14ac:dyDescent="0.45">
      <c r="K540" s="7">
        <v>538</v>
      </c>
      <c r="L540" s="65">
        <v>-56.400000000000055</v>
      </c>
    </row>
    <row r="541" spans="11:12" x14ac:dyDescent="0.45">
      <c r="K541" s="7">
        <v>539</v>
      </c>
      <c r="L541" s="65">
        <v>-7.4000000000000554</v>
      </c>
    </row>
    <row r="542" spans="11:12" x14ac:dyDescent="0.45">
      <c r="K542" s="7">
        <v>540</v>
      </c>
      <c r="L542" s="65">
        <v>-5.5067062021407764E-14</v>
      </c>
    </row>
    <row r="543" spans="11:12" x14ac:dyDescent="0.45">
      <c r="K543" s="7">
        <v>541</v>
      </c>
      <c r="L543" s="65">
        <v>36.199999999999946</v>
      </c>
    </row>
    <row r="544" spans="11:12" x14ac:dyDescent="0.45">
      <c r="K544" s="7">
        <v>542</v>
      </c>
      <c r="L544" s="65">
        <v>43.299999999999947</v>
      </c>
    </row>
    <row r="545" spans="11:12" x14ac:dyDescent="0.45">
      <c r="K545" s="7">
        <v>543</v>
      </c>
      <c r="L545" s="65">
        <v>-4.9737991503207013E-14</v>
      </c>
    </row>
    <row r="546" spans="11:12" x14ac:dyDescent="0.45">
      <c r="K546" s="7">
        <v>544</v>
      </c>
      <c r="L546" s="65">
        <v>-26.400000000000048</v>
      </c>
    </row>
    <row r="547" spans="11:12" x14ac:dyDescent="0.45">
      <c r="K547" s="7">
        <v>545</v>
      </c>
      <c r="L547" s="65">
        <v>-25.00000000000005</v>
      </c>
    </row>
    <row r="548" spans="11:12" x14ac:dyDescent="0.45">
      <c r="K548" s="7">
        <v>546</v>
      </c>
      <c r="L548" s="65">
        <v>-4.9737991503207013E-14</v>
      </c>
    </row>
    <row r="549" spans="11:12" x14ac:dyDescent="0.45">
      <c r="K549" s="7">
        <v>547</v>
      </c>
      <c r="L549" s="65">
        <v>-13.100000000000049</v>
      </c>
    </row>
    <row r="550" spans="11:12" x14ac:dyDescent="0.45">
      <c r="K550" s="7">
        <v>548</v>
      </c>
      <c r="L550" s="65">
        <v>36.099999999999952</v>
      </c>
    </row>
    <row r="551" spans="11:12" x14ac:dyDescent="0.45">
      <c r="K551" s="7">
        <v>549</v>
      </c>
      <c r="L551" s="65">
        <v>-4.9737991503207013E-14</v>
      </c>
    </row>
    <row r="552" spans="11:12" x14ac:dyDescent="0.45">
      <c r="K552" s="7">
        <v>550</v>
      </c>
      <c r="L552" s="65">
        <v>-3.9000000000000496</v>
      </c>
    </row>
    <row r="553" spans="11:12" x14ac:dyDescent="0.45">
      <c r="K553" s="7">
        <v>551</v>
      </c>
      <c r="L553" s="65">
        <v>-19.200000000000049</v>
      </c>
    </row>
    <row r="554" spans="11:12" x14ac:dyDescent="0.45">
      <c r="K554" s="7">
        <v>552</v>
      </c>
      <c r="L554" s="65">
        <v>-4.9737991503207013E-14</v>
      </c>
    </row>
    <row r="555" spans="11:12" x14ac:dyDescent="0.45">
      <c r="K555" s="7">
        <v>553</v>
      </c>
      <c r="L555" s="65">
        <v>-49.00000000000005</v>
      </c>
    </row>
    <row r="556" spans="11:12" x14ac:dyDescent="0.45">
      <c r="K556" s="7">
        <v>554</v>
      </c>
      <c r="L556" s="65">
        <v>12.99999999999995</v>
      </c>
    </row>
    <row r="557" spans="11:12" x14ac:dyDescent="0.45">
      <c r="K557" s="7">
        <v>555</v>
      </c>
      <c r="L557" s="65">
        <v>-4.9737991503207013E-14</v>
      </c>
    </row>
    <row r="558" spans="11:12" x14ac:dyDescent="0.45">
      <c r="K558" s="7">
        <v>556</v>
      </c>
      <c r="L558" s="65">
        <v>-19.50000000000005</v>
      </c>
    </row>
    <row r="559" spans="11:12" x14ac:dyDescent="0.45">
      <c r="K559" s="7">
        <v>557</v>
      </c>
      <c r="L559" s="65">
        <v>-16.80000000000005</v>
      </c>
    </row>
    <row r="560" spans="11:12" x14ac:dyDescent="0.45">
      <c r="K560" s="7">
        <v>558</v>
      </c>
      <c r="L560" s="65">
        <v>-4.9737991503207013E-14</v>
      </c>
    </row>
    <row r="561" spans="11:12" x14ac:dyDescent="0.45">
      <c r="K561" s="7">
        <v>559</v>
      </c>
      <c r="L561" s="65">
        <v>37.799999999999947</v>
      </c>
    </row>
    <row r="562" spans="11:12" x14ac:dyDescent="0.45">
      <c r="K562" s="7">
        <v>560</v>
      </c>
      <c r="L562" s="65">
        <v>-7.7000000000000526</v>
      </c>
    </row>
    <row r="563" spans="11:12" x14ac:dyDescent="0.45">
      <c r="K563" s="7">
        <v>561</v>
      </c>
      <c r="L563" s="65">
        <v>-5.2402526762307389E-14</v>
      </c>
    </row>
    <row r="564" spans="11:12" x14ac:dyDescent="0.45">
      <c r="K564" s="7">
        <v>562</v>
      </c>
      <c r="L564" s="65">
        <v>-18.400000000000052</v>
      </c>
    </row>
    <row r="565" spans="11:12" x14ac:dyDescent="0.45">
      <c r="K565" s="7">
        <v>563</v>
      </c>
      <c r="L565" s="65">
        <v>-59.200000000000045</v>
      </c>
    </row>
    <row r="566" spans="11:12" x14ac:dyDescent="0.45">
      <c r="K566" s="7">
        <v>564</v>
      </c>
      <c r="L566" s="65">
        <v>-4.2632564145606011E-14</v>
      </c>
    </row>
    <row r="567" spans="11:12" x14ac:dyDescent="0.45">
      <c r="K567" s="7">
        <v>565</v>
      </c>
      <c r="L567" s="65">
        <v>1.0999999999999575</v>
      </c>
    </row>
    <row r="568" spans="11:12" x14ac:dyDescent="0.45">
      <c r="K568" s="7">
        <v>566</v>
      </c>
      <c r="L568" s="65">
        <v>44.799999999999962</v>
      </c>
    </row>
    <row r="569" spans="11:12" x14ac:dyDescent="0.45">
      <c r="K569" s="7">
        <v>567</v>
      </c>
      <c r="L569" s="65">
        <v>-3.5527136788005009E-14</v>
      </c>
    </row>
    <row r="570" spans="11:12" x14ac:dyDescent="0.45">
      <c r="K570" s="7">
        <v>568</v>
      </c>
      <c r="L570" s="65">
        <v>1.0999999999999646</v>
      </c>
    </row>
    <row r="571" spans="11:12" x14ac:dyDescent="0.45">
      <c r="K571" s="7">
        <v>569</v>
      </c>
      <c r="L571" s="65">
        <v>25.099999999999966</v>
      </c>
    </row>
    <row r="572" spans="11:12" x14ac:dyDescent="0.45">
      <c r="K572" s="7">
        <v>570</v>
      </c>
      <c r="L572" s="65">
        <v>-3.5527136788005009E-14</v>
      </c>
    </row>
    <row r="573" spans="11:12" x14ac:dyDescent="0.45">
      <c r="K573" s="7">
        <v>571</v>
      </c>
      <c r="L573" s="65">
        <v>-0.10000000000003553</v>
      </c>
    </row>
    <row r="574" spans="11:12" x14ac:dyDescent="0.45">
      <c r="K574" s="7">
        <v>572</v>
      </c>
      <c r="L574" s="65">
        <v>-35.80000000000004</v>
      </c>
    </row>
    <row r="575" spans="11:12" x14ac:dyDescent="0.45">
      <c r="K575" s="7">
        <v>573</v>
      </c>
      <c r="L575" s="65">
        <v>-4.2632564145606011E-14</v>
      </c>
    </row>
    <row r="576" spans="11:12" x14ac:dyDescent="0.45">
      <c r="K576" s="7">
        <v>574</v>
      </c>
      <c r="L576" s="65">
        <v>-22.500000000000043</v>
      </c>
    </row>
    <row r="577" spans="11:12" x14ac:dyDescent="0.45">
      <c r="K577" s="7">
        <v>575</v>
      </c>
      <c r="L577" s="65">
        <v>-30.400000000000041</v>
      </c>
    </row>
    <row r="578" spans="11:12" x14ac:dyDescent="0.45">
      <c r="K578" s="7">
        <v>576</v>
      </c>
      <c r="L578" s="65">
        <v>-4.2632564145606011E-14</v>
      </c>
    </row>
    <row r="579" spans="11:12" x14ac:dyDescent="0.45">
      <c r="K579" s="7">
        <v>577</v>
      </c>
      <c r="L579" s="65">
        <v>-87.400000000000048</v>
      </c>
    </row>
    <row r="580" spans="11:12" x14ac:dyDescent="0.45">
      <c r="K580" s="7">
        <v>578</v>
      </c>
      <c r="L580" s="65">
        <v>9.699999999999946</v>
      </c>
    </row>
    <row r="581" spans="11:12" x14ac:dyDescent="0.45">
      <c r="K581" s="7">
        <v>579</v>
      </c>
      <c r="L581" s="65">
        <v>-5.3290705182007514E-14</v>
      </c>
    </row>
    <row r="582" spans="11:12" x14ac:dyDescent="0.45">
      <c r="K582" s="7">
        <v>580</v>
      </c>
      <c r="L582" s="65">
        <v>25.899999999999945</v>
      </c>
    </row>
    <row r="583" spans="11:12" x14ac:dyDescent="0.45">
      <c r="K583" s="7">
        <v>581</v>
      </c>
      <c r="L583" s="65">
        <v>2.7999999999999439</v>
      </c>
    </row>
    <row r="584" spans="11:12" x14ac:dyDescent="0.45">
      <c r="K584" s="7">
        <v>582</v>
      </c>
      <c r="L584" s="65">
        <v>-5.595524044110789E-14</v>
      </c>
    </row>
    <row r="585" spans="11:12" x14ac:dyDescent="0.45">
      <c r="K585" s="7">
        <v>583</v>
      </c>
      <c r="L585" s="65">
        <v>-12.900000000000055</v>
      </c>
    </row>
    <row r="586" spans="11:12" x14ac:dyDescent="0.45">
      <c r="K586" s="7">
        <v>584</v>
      </c>
      <c r="L586" s="65">
        <v>32.299999999999947</v>
      </c>
    </row>
    <row r="587" spans="11:12" x14ac:dyDescent="0.45">
      <c r="K587" s="7">
        <v>585</v>
      </c>
      <c r="L587" s="65">
        <v>-4.9737991503207013E-14</v>
      </c>
    </row>
    <row r="588" spans="11:12" x14ac:dyDescent="0.45">
      <c r="K588" s="7">
        <v>586</v>
      </c>
      <c r="L588" s="65">
        <v>35.99999999999995</v>
      </c>
    </row>
    <row r="589" spans="11:12" x14ac:dyDescent="0.45">
      <c r="K589" s="7">
        <v>587</v>
      </c>
      <c r="L589" s="65">
        <v>-12.800000000000047</v>
      </c>
    </row>
    <row r="590" spans="11:12" x14ac:dyDescent="0.45">
      <c r="K590" s="7">
        <v>588</v>
      </c>
      <c r="L590" s="65">
        <v>-4.6185277824406512E-14</v>
      </c>
    </row>
    <row r="591" spans="11:12" x14ac:dyDescent="0.45">
      <c r="K591" s="7">
        <v>589</v>
      </c>
      <c r="L591" s="65">
        <v>20.399999999999952</v>
      </c>
    </row>
    <row r="592" spans="11:12" x14ac:dyDescent="0.45">
      <c r="K592" s="7">
        <v>590</v>
      </c>
      <c r="L592" s="65">
        <v>-30.700000000000049</v>
      </c>
    </row>
    <row r="593" spans="11:12" x14ac:dyDescent="0.45">
      <c r="K593" s="7">
        <v>591</v>
      </c>
      <c r="L593" s="65">
        <v>-4.9737991503207013E-14</v>
      </c>
    </row>
    <row r="594" spans="11:12" x14ac:dyDescent="0.45">
      <c r="K594" s="7">
        <v>592</v>
      </c>
      <c r="L594" s="65">
        <v>-60.300000000000047</v>
      </c>
    </row>
    <row r="595" spans="11:12" x14ac:dyDescent="0.45">
      <c r="K595" s="7">
        <v>593</v>
      </c>
      <c r="L595" s="65">
        <v>-0.3000000000000469</v>
      </c>
    </row>
    <row r="596" spans="11:12" x14ac:dyDescent="0.45">
      <c r="K596" s="7">
        <v>594</v>
      </c>
      <c r="L596" s="65">
        <v>-4.6906922790412864E-14</v>
      </c>
    </row>
    <row r="597" spans="11:12" x14ac:dyDescent="0.45">
      <c r="K597" s="7">
        <v>595</v>
      </c>
      <c r="L597" s="65">
        <v>-45.600000000000051</v>
      </c>
    </row>
    <row r="598" spans="11:12" x14ac:dyDescent="0.45">
      <c r="K598" s="7">
        <v>596</v>
      </c>
      <c r="L598" s="65">
        <v>9.5999999999999517</v>
      </c>
    </row>
    <row r="599" spans="11:12" x14ac:dyDescent="0.45">
      <c r="K599" s="7">
        <v>597</v>
      </c>
      <c r="L599" s="65">
        <v>-4.7961634663806763E-14</v>
      </c>
    </row>
    <row r="600" spans="11:12" x14ac:dyDescent="0.45">
      <c r="K600" s="7">
        <v>598</v>
      </c>
      <c r="L600" s="65">
        <v>28.899999999999949</v>
      </c>
    </row>
    <row r="601" spans="11:12" x14ac:dyDescent="0.45">
      <c r="K601" s="7">
        <v>599</v>
      </c>
      <c r="L601" s="65">
        <v>27.899999999999949</v>
      </c>
    </row>
    <row r="602" spans="11:12" x14ac:dyDescent="0.45">
      <c r="K602" s="7">
        <v>600</v>
      </c>
      <c r="L602" s="65">
        <v>-4.9737991503207013E-14</v>
      </c>
    </row>
    <row r="603" spans="11:12" x14ac:dyDescent="0.45">
      <c r="K603" s="7">
        <v>601</v>
      </c>
      <c r="L603" s="65">
        <v>-31.50000000000005</v>
      </c>
    </row>
    <row r="604" spans="11:12" x14ac:dyDescent="0.45">
      <c r="K604" s="7">
        <v>602</v>
      </c>
      <c r="L604" s="65">
        <v>-38.400000000000048</v>
      </c>
    </row>
    <row r="605" spans="11:12" x14ac:dyDescent="0.45">
      <c r="K605" s="7">
        <v>603</v>
      </c>
      <c r="L605" s="65">
        <v>-4.9737991503207013E-14</v>
      </c>
    </row>
    <row r="606" spans="11:12" x14ac:dyDescent="0.45">
      <c r="K606" s="7">
        <v>604</v>
      </c>
      <c r="L606" s="65">
        <v>33.49999999999995</v>
      </c>
    </row>
    <row r="607" spans="11:12" x14ac:dyDescent="0.45">
      <c r="K607" s="7">
        <v>605</v>
      </c>
      <c r="L607" s="65">
        <v>0.6999999999999531</v>
      </c>
    </row>
    <row r="608" spans="11:12" x14ac:dyDescent="0.45">
      <c r="K608" s="7">
        <v>606</v>
      </c>
      <c r="L608" s="65">
        <v>-4.6851411639181606E-14</v>
      </c>
    </row>
    <row r="609" spans="11:12" x14ac:dyDescent="0.45">
      <c r="K609" s="7">
        <v>607</v>
      </c>
      <c r="L609" s="65">
        <v>11.999999999999954</v>
      </c>
    </row>
    <row r="610" spans="11:12" x14ac:dyDescent="0.45">
      <c r="K610" s="7">
        <v>608</v>
      </c>
      <c r="L610" s="65">
        <v>38.299999999999955</v>
      </c>
    </row>
    <row r="611" spans="11:12" x14ac:dyDescent="0.45">
      <c r="K611" s="7">
        <v>609</v>
      </c>
      <c r="L611" s="65">
        <v>-4.2632564145606011E-14</v>
      </c>
    </row>
    <row r="612" spans="11:12" x14ac:dyDescent="0.45">
      <c r="K612" s="7">
        <v>610</v>
      </c>
      <c r="L612" s="65">
        <v>7.3999999999999577</v>
      </c>
    </row>
    <row r="613" spans="11:12" x14ac:dyDescent="0.45">
      <c r="K613" s="7">
        <v>611</v>
      </c>
      <c r="L613" s="65">
        <v>26.799999999999955</v>
      </c>
    </row>
    <row r="614" spans="11:12" x14ac:dyDescent="0.45">
      <c r="K614" s="7">
        <v>612</v>
      </c>
      <c r="L614" s="65">
        <v>-4.6185277824406512E-14</v>
      </c>
    </row>
    <row r="615" spans="11:12" x14ac:dyDescent="0.45">
      <c r="K615" s="7">
        <v>613</v>
      </c>
      <c r="L615" s="65">
        <v>-26.800000000000047</v>
      </c>
    </row>
    <row r="616" spans="11:12" x14ac:dyDescent="0.45">
      <c r="K616" s="7">
        <v>614</v>
      </c>
      <c r="L616" s="65">
        <v>-5.3000000000000469</v>
      </c>
    </row>
    <row r="617" spans="11:12" x14ac:dyDescent="0.45">
      <c r="K617" s="7">
        <v>615</v>
      </c>
      <c r="L617" s="65">
        <v>-4.7073456244106637E-14</v>
      </c>
    </row>
    <row r="618" spans="11:12" x14ac:dyDescent="0.45">
      <c r="K618" s="7">
        <v>616</v>
      </c>
      <c r="L618" s="65">
        <v>-20.200000000000045</v>
      </c>
    </row>
    <row r="619" spans="11:12" x14ac:dyDescent="0.45">
      <c r="K619" s="7">
        <v>617</v>
      </c>
      <c r="L619" s="65">
        <v>-28.900000000000045</v>
      </c>
    </row>
    <row r="620" spans="11:12" x14ac:dyDescent="0.45">
      <c r="K620" s="7">
        <v>618</v>
      </c>
      <c r="L620" s="65">
        <v>-4.6185277824406512E-14</v>
      </c>
    </row>
    <row r="621" spans="11:12" x14ac:dyDescent="0.45">
      <c r="K621" s="7">
        <v>619</v>
      </c>
      <c r="L621" s="65">
        <v>-22.600000000000048</v>
      </c>
    </row>
    <row r="622" spans="11:12" x14ac:dyDescent="0.45">
      <c r="K622" s="7">
        <v>620</v>
      </c>
      <c r="L622" s="65">
        <v>-20.000000000000046</v>
      </c>
    </row>
    <row r="623" spans="11:12" x14ac:dyDescent="0.45">
      <c r="K623" s="7">
        <v>621</v>
      </c>
      <c r="L623" s="65">
        <v>-4.6185277824406512E-14</v>
      </c>
    </row>
    <row r="624" spans="11:12" x14ac:dyDescent="0.45">
      <c r="K624" s="7">
        <v>622</v>
      </c>
      <c r="L624" s="65">
        <v>42.299999999999955</v>
      </c>
    </row>
    <row r="625" spans="11:12" x14ac:dyDescent="0.45">
      <c r="K625" s="7">
        <v>623</v>
      </c>
      <c r="L625" s="65">
        <v>46.999999999999957</v>
      </c>
    </row>
    <row r="626" spans="11:12" x14ac:dyDescent="0.45">
      <c r="K626" s="7">
        <v>624</v>
      </c>
      <c r="L626" s="65">
        <v>-4.2632564145606011E-14</v>
      </c>
    </row>
    <row r="627" spans="11:12" x14ac:dyDescent="0.45">
      <c r="K627" s="7">
        <v>625</v>
      </c>
      <c r="L627" s="65">
        <v>-21.600000000000044</v>
      </c>
    </row>
    <row r="628" spans="11:12" x14ac:dyDescent="0.45">
      <c r="K628" s="7">
        <v>626</v>
      </c>
      <c r="L628" s="65">
        <v>0.59999999999995524</v>
      </c>
    </row>
    <row r="629" spans="11:12" x14ac:dyDescent="0.45">
      <c r="K629" s="7">
        <v>627</v>
      </c>
      <c r="L629" s="65">
        <v>-4.4741987892393809E-14</v>
      </c>
    </row>
    <row r="630" spans="11:12" x14ac:dyDescent="0.45">
      <c r="K630" s="7">
        <v>628</v>
      </c>
      <c r="L630" s="65">
        <v>1.0999999999999552</v>
      </c>
    </row>
    <row r="631" spans="11:12" x14ac:dyDescent="0.45">
      <c r="K631" s="7">
        <v>629</v>
      </c>
      <c r="L631" s="65">
        <v>-47.400000000000048</v>
      </c>
    </row>
    <row r="632" spans="11:12" x14ac:dyDescent="0.45">
      <c r="K632" s="7">
        <v>630</v>
      </c>
      <c r="L632" s="65">
        <v>-4.9737991503207013E-14</v>
      </c>
    </row>
    <row r="633" spans="11:12" x14ac:dyDescent="0.45">
      <c r="K633" s="7">
        <v>631</v>
      </c>
      <c r="L633" s="65">
        <v>-55.50000000000005</v>
      </c>
    </row>
    <row r="634" spans="11:12" x14ac:dyDescent="0.45">
      <c r="K634" s="7">
        <v>632</v>
      </c>
      <c r="L634" s="65">
        <v>-66.200000000000045</v>
      </c>
    </row>
    <row r="635" spans="11:12" x14ac:dyDescent="0.45">
      <c r="K635" s="7">
        <v>633</v>
      </c>
      <c r="L635" s="65">
        <v>-4.2632564145606011E-14</v>
      </c>
    </row>
    <row r="636" spans="11:12" x14ac:dyDescent="0.45">
      <c r="K636" s="7">
        <v>634</v>
      </c>
      <c r="L636" s="65">
        <v>54.19999999999996</v>
      </c>
    </row>
    <row r="637" spans="11:12" x14ac:dyDescent="0.45">
      <c r="K637" s="7">
        <v>635</v>
      </c>
      <c r="L637" s="65">
        <v>48.69999999999996</v>
      </c>
    </row>
    <row r="638" spans="11:12" x14ac:dyDescent="0.45">
      <c r="K638" s="7">
        <v>636</v>
      </c>
      <c r="L638" s="65">
        <v>-4.2632564145606011E-14</v>
      </c>
    </row>
    <row r="639" spans="11:12" x14ac:dyDescent="0.45">
      <c r="K639" s="7">
        <v>637</v>
      </c>
      <c r="L639" s="65">
        <v>15.699999999999957</v>
      </c>
    </row>
    <row r="640" spans="11:12" x14ac:dyDescent="0.45">
      <c r="K640" s="7">
        <v>638</v>
      </c>
      <c r="L640" s="65">
        <v>18.299999999999958</v>
      </c>
    </row>
    <row r="641" spans="11:12" x14ac:dyDescent="0.45">
      <c r="K641" s="7">
        <v>639</v>
      </c>
      <c r="L641" s="65">
        <v>-4.2632564145606011E-14</v>
      </c>
    </row>
    <row r="642" spans="11:12" x14ac:dyDescent="0.45">
      <c r="K642" s="7">
        <v>640</v>
      </c>
      <c r="L642" s="65">
        <v>26.799999999999958</v>
      </c>
    </row>
    <row r="643" spans="11:12" x14ac:dyDescent="0.45">
      <c r="K643" s="7">
        <v>641</v>
      </c>
      <c r="L643" s="65">
        <v>-14.900000000000045</v>
      </c>
    </row>
    <row r="644" spans="11:12" x14ac:dyDescent="0.45">
      <c r="K644" s="7">
        <v>642</v>
      </c>
      <c r="L644" s="65">
        <v>-4.4408920985006262E-14</v>
      </c>
    </row>
    <row r="645" spans="11:12" x14ac:dyDescent="0.45">
      <c r="K645" s="7">
        <v>643</v>
      </c>
      <c r="L645" s="65">
        <v>57.799999999999955</v>
      </c>
    </row>
    <row r="646" spans="11:12" x14ac:dyDescent="0.45">
      <c r="K646" s="7">
        <v>644</v>
      </c>
      <c r="L646" s="65">
        <v>45.199999999999953</v>
      </c>
    </row>
    <row r="647" spans="11:12" x14ac:dyDescent="0.45">
      <c r="K647" s="7">
        <v>645</v>
      </c>
      <c r="L647" s="65">
        <v>-4.9737991503207013E-14</v>
      </c>
    </row>
    <row r="648" spans="11:12" x14ac:dyDescent="0.45">
      <c r="K648" s="7">
        <v>646</v>
      </c>
      <c r="L648" s="65">
        <v>-4.5000000000000497</v>
      </c>
    </row>
    <row r="649" spans="11:12" x14ac:dyDescent="0.45">
      <c r="K649" s="7">
        <v>647</v>
      </c>
      <c r="L649" s="65">
        <v>-28.80000000000005</v>
      </c>
    </row>
    <row r="650" spans="11:12" x14ac:dyDescent="0.45">
      <c r="K650" s="7">
        <v>648</v>
      </c>
      <c r="L650" s="65">
        <v>-4.9737991503207013E-14</v>
      </c>
    </row>
    <row r="651" spans="11:12" x14ac:dyDescent="0.45">
      <c r="K651" s="7">
        <v>649</v>
      </c>
      <c r="L651" s="65">
        <v>-19.700000000000049</v>
      </c>
    </row>
    <row r="652" spans="11:12" x14ac:dyDescent="0.45">
      <c r="K652" s="7">
        <v>650</v>
      </c>
      <c r="L652" s="65">
        <v>-1.6000000000000476</v>
      </c>
    </row>
    <row r="653" spans="11:12" x14ac:dyDescent="0.45">
      <c r="K653" s="7">
        <v>651</v>
      </c>
      <c r="L653" s="65">
        <v>-4.75175454539567E-14</v>
      </c>
    </row>
    <row r="654" spans="11:12" x14ac:dyDescent="0.45">
      <c r="K654" s="7">
        <v>652</v>
      </c>
      <c r="L654" s="65">
        <v>-46.800000000000047</v>
      </c>
    </row>
    <row r="655" spans="11:12" x14ac:dyDescent="0.45">
      <c r="K655" s="7">
        <v>653</v>
      </c>
      <c r="L655" s="65">
        <v>29.599999999999959</v>
      </c>
    </row>
    <row r="656" spans="11:12" x14ac:dyDescent="0.45">
      <c r="K656" s="7">
        <v>654</v>
      </c>
      <c r="L656" s="65">
        <v>-4.2632564145606011E-14</v>
      </c>
    </row>
    <row r="657" spans="11:12" x14ac:dyDescent="0.45">
      <c r="K657" s="7">
        <v>655</v>
      </c>
      <c r="L657" s="65">
        <v>36.799999999999955</v>
      </c>
    </row>
    <row r="658" spans="11:12" x14ac:dyDescent="0.45">
      <c r="K658" s="7">
        <v>656</v>
      </c>
      <c r="L658" s="65">
        <v>0.89999999999995595</v>
      </c>
    </row>
    <row r="659" spans="11:12" x14ac:dyDescent="0.45">
      <c r="K659" s="7">
        <v>657</v>
      </c>
      <c r="L659" s="65">
        <v>-4.4075854077618715E-14</v>
      </c>
    </row>
    <row r="660" spans="11:12" x14ac:dyDescent="0.45">
      <c r="K660" s="7">
        <v>658</v>
      </c>
      <c r="L660" s="65">
        <v>0.5999999999999559</v>
      </c>
    </row>
    <row r="661" spans="11:12" x14ac:dyDescent="0.45">
      <c r="K661" s="7">
        <v>659</v>
      </c>
      <c r="L661" s="65">
        <v>18.699999999999957</v>
      </c>
    </row>
    <row r="662" spans="11:12" x14ac:dyDescent="0.45">
      <c r="K662" s="7">
        <v>660</v>
      </c>
      <c r="L662" s="65">
        <v>-4.2632564145606011E-14</v>
      </c>
    </row>
    <row r="663" spans="11:12" x14ac:dyDescent="0.45">
      <c r="K663" s="7">
        <v>661</v>
      </c>
      <c r="L663" s="65">
        <v>-18.500000000000043</v>
      </c>
    </row>
    <row r="664" spans="11:12" x14ac:dyDescent="0.45">
      <c r="K664" s="7">
        <v>662</v>
      </c>
      <c r="L664" s="65">
        <v>-63.600000000000044</v>
      </c>
    </row>
    <row r="665" spans="11:12" x14ac:dyDescent="0.45">
      <c r="K665" s="7">
        <v>663</v>
      </c>
      <c r="L665" s="65">
        <v>-4.2632564145606011E-14</v>
      </c>
    </row>
    <row r="666" spans="11:12" x14ac:dyDescent="0.45">
      <c r="K666" s="7">
        <v>664</v>
      </c>
      <c r="L666" s="65">
        <v>35.19999999999996</v>
      </c>
    </row>
    <row r="667" spans="11:12" x14ac:dyDescent="0.45">
      <c r="K667" s="7">
        <v>665</v>
      </c>
      <c r="L667" s="65">
        <v>-11.500000000000043</v>
      </c>
    </row>
    <row r="668" spans="11:12" x14ac:dyDescent="0.45">
      <c r="K668" s="7">
        <v>666</v>
      </c>
      <c r="L668" s="65">
        <v>-4.2632564145606011E-14</v>
      </c>
    </row>
    <row r="669" spans="11:12" x14ac:dyDescent="0.45">
      <c r="K669" s="7">
        <v>667</v>
      </c>
      <c r="L669" s="65">
        <v>28.899999999999956</v>
      </c>
    </row>
    <row r="670" spans="11:12" x14ac:dyDescent="0.45">
      <c r="K670" s="7">
        <v>668</v>
      </c>
      <c r="L670" s="65">
        <v>25.399999999999956</v>
      </c>
    </row>
    <row r="671" spans="11:12" x14ac:dyDescent="0.45">
      <c r="K671" s="7">
        <v>669</v>
      </c>
      <c r="L671" s="65">
        <v>-4.2632564145606011E-14</v>
      </c>
    </row>
    <row r="672" spans="11:12" x14ac:dyDescent="0.45">
      <c r="K672" s="7">
        <v>670</v>
      </c>
      <c r="L672" s="65">
        <v>3.2999999999999572</v>
      </c>
    </row>
    <row r="673" spans="11:12" x14ac:dyDescent="0.45">
      <c r="K673" s="7">
        <v>671</v>
      </c>
      <c r="L673" s="65">
        <v>22.699999999999957</v>
      </c>
    </row>
    <row r="674" spans="11:12" x14ac:dyDescent="0.45">
      <c r="K674" s="7">
        <v>672</v>
      </c>
      <c r="L674" s="65">
        <v>-4.2632564145606011E-14</v>
      </c>
    </row>
    <row r="675" spans="11:12" x14ac:dyDescent="0.45">
      <c r="K675" s="7">
        <v>673</v>
      </c>
      <c r="L675" s="65">
        <v>8.9999999999999574</v>
      </c>
    </row>
    <row r="676" spans="11:12" x14ac:dyDescent="0.45">
      <c r="K676" s="7">
        <v>674</v>
      </c>
      <c r="L676" s="65">
        <v>-43.600000000000044</v>
      </c>
    </row>
    <row r="677" spans="11:12" x14ac:dyDescent="0.45">
      <c r="K677" s="7">
        <v>675</v>
      </c>
      <c r="L677" s="65">
        <v>-4.2632564145606011E-14</v>
      </c>
    </row>
    <row r="678" spans="11:12" x14ac:dyDescent="0.45">
      <c r="K678" s="7">
        <v>676</v>
      </c>
      <c r="L678" s="65">
        <v>27.399999999999956</v>
      </c>
    </row>
    <row r="679" spans="11:12" x14ac:dyDescent="0.45">
      <c r="K679" s="7">
        <v>677</v>
      </c>
      <c r="L679" s="65">
        <v>41.999999999999957</v>
      </c>
    </row>
    <row r="680" spans="11:12" x14ac:dyDescent="0.45">
      <c r="K680" s="7">
        <v>678</v>
      </c>
      <c r="L680" s="65">
        <v>-4.2632564145606011E-14</v>
      </c>
    </row>
    <row r="681" spans="11:12" x14ac:dyDescent="0.45">
      <c r="K681" s="7">
        <v>679</v>
      </c>
      <c r="L681" s="65">
        <v>-22.300000000000043</v>
      </c>
    </row>
    <row r="682" spans="11:12" x14ac:dyDescent="0.45">
      <c r="K682" s="7">
        <v>680</v>
      </c>
      <c r="L682" s="65">
        <v>-17.100000000000044</v>
      </c>
    </row>
    <row r="683" spans="11:12" x14ac:dyDescent="0.45">
      <c r="K683" s="7">
        <v>681</v>
      </c>
      <c r="L683" s="65">
        <v>-4.2632564145606011E-14</v>
      </c>
    </row>
    <row r="684" spans="11:12" x14ac:dyDescent="0.45">
      <c r="K684" s="7">
        <v>682</v>
      </c>
      <c r="L684" s="65">
        <v>-5.0000000000000426</v>
      </c>
    </row>
    <row r="685" spans="11:12" x14ac:dyDescent="0.45">
      <c r="K685" s="7">
        <v>683</v>
      </c>
      <c r="L685" s="65">
        <v>19.999999999999957</v>
      </c>
    </row>
    <row r="686" spans="11:12" x14ac:dyDescent="0.45">
      <c r="K686" s="7">
        <v>684</v>
      </c>
      <c r="L686" s="65">
        <v>-4.2632564145606011E-14</v>
      </c>
    </row>
    <row r="687" spans="11:12" x14ac:dyDescent="0.45">
      <c r="K687" s="7">
        <v>685</v>
      </c>
      <c r="L687" s="65">
        <v>47.499999999999957</v>
      </c>
    </row>
    <row r="688" spans="11:12" x14ac:dyDescent="0.45">
      <c r="K688" s="7">
        <v>686</v>
      </c>
      <c r="L688" s="65">
        <v>45.499999999999957</v>
      </c>
    </row>
    <row r="689" spans="11:12" x14ac:dyDescent="0.45">
      <c r="K689" s="7">
        <v>687</v>
      </c>
      <c r="L689" s="65">
        <v>-4.2632564145606011E-14</v>
      </c>
    </row>
    <row r="690" spans="11:12" x14ac:dyDescent="0.45">
      <c r="K690" s="7">
        <v>688</v>
      </c>
      <c r="L690" s="65">
        <v>4.1999999999999575</v>
      </c>
    </row>
    <row r="691" spans="11:12" x14ac:dyDescent="0.45">
      <c r="K691" s="7">
        <v>689</v>
      </c>
      <c r="L691" s="65">
        <v>26.199999999999957</v>
      </c>
    </row>
    <row r="692" spans="11:12" x14ac:dyDescent="0.45">
      <c r="K692" s="7">
        <v>690</v>
      </c>
      <c r="L692" s="65">
        <v>-4.2632564145606011E-14</v>
      </c>
    </row>
    <row r="693" spans="11:12" x14ac:dyDescent="0.45">
      <c r="K693" s="7">
        <v>691</v>
      </c>
      <c r="L693" s="65">
        <v>46.19999999999996</v>
      </c>
    </row>
    <row r="694" spans="11:12" x14ac:dyDescent="0.45">
      <c r="K694" s="7">
        <v>692</v>
      </c>
      <c r="L694" s="65">
        <v>-5.3000000000000398</v>
      </c>
    </row>
    <row r="695" spans="11:12" x14ac:dyDescent="0.45">
      <c r="K695" s="7">
        <v>693</v>
      </c>
      <c r="L695" s="65">
        <v>-3.9968028886505635E-14</v>
      </c>
    </row>
    <row r="696" spans="11:12" x14ac:dyDescent="0.45">
      <c r="K696" s="7">
        <v>694</v>
      </c>
      <c r="L696" s="65">
        <v>5.5999999999999597</v>
      </c>
    </row>
    <row r="697" spans="11:12" x14ac:dyDescent="0.45">
      <c r="K697" s="7">
        <v>695</v>
      </c>
      <c r="L697" s="65">
        <v>23.19999999999996</v>
      </c>
    </row>
    <row r="698" spans="11:12" x14ac:dyDescent="0.45">
      <c r="K698" s="7">
        <v>696</v>
      </c>
      <c r="L698" s="65">
        <v>-3.907985046680551E-14</v>
      </c>
    </row>
    <row r="699" spans="11:12" x14ac:dyDescent="0.45">
      <c r="K699" s="7">
        <v>697</v>
      </c>
      <c r="L699" s="65">
        <v>3.8999999999999608</v>
      </c>
    </row>
    <row r="700" spans="11:12" x14ac:dyDescent="0.45">
      <c r="K700" s="7">
        <v>698</v>
      </c>
      <c r="L700" s="65">
        <v>-36.30000000000004</v>
      </c>
    </row>
    <row r="701" spans="11:12" x14ac:dyDescent="0.45">
      <c r="K701" s="7">
        <v>699</v>
      </c>
      <c r="L701" s="65">
        <v>-4.2632564145606011E-14</v>
      </c>
    </row>
    <row r="702" spans="11:12" x14ac:dyDescent="0.45">
      <c r="K702" s="7">
        <v>700</v>
      </c>
      <c r="L702" s="65">
        <v>-7.0000000000000426</v>
      </c>
    </row>
    <row r="703" spans="11:12" x14ac:dyDescent="0.45">
      <c r="K703" s="7">
        <v>701</v>
      </c>
      <c r="L703" s="65">
        <v>-35.700000000000045</v>
      </c>
    </row>
    <row r="704" spans="11:12" x14ac:dyDescent="0.45">
      <c r="K704" s="7">
        <v>702</v>
      </c>
      <c r="L704" s="65">
        <v>-4.2632564145606011E-14</v>
      </c>
    </row>
    <row r="705" spans="11:12" x14ac:dyDescent="0.45">
      <c r="K705" s="7">
        <v>703</v>
      </c>
      <c r="L705" s="65">
        <v>-7.1000000000000423</v>
      </c>
    </row>
    <row r="706" spans="11:12" x14ac:dyDescent="0.45">
      <c r="K706" s="7">
        <v>704</v>
      </c>
      <c r="L706" s="65">
        <v>17.599999999999959</v>
      </c>
    </row>
    <row r="707" spans="11:12" x14ac:dyDescent="0.45">
      <c r="K707" s="7">
        <v>705</v>
      </c>
      <c r="L707" s="65">
        <v>-4.2632564145606011E-14</v>
      </c>
    </row>
    <row r="708" spans="11:12" x14ac:dyDescent="0.45">
      <c r="K708" s="7">
        <v>706</v>
      </c>
      <c r="L708" s="65">
        <v>32.999999999999957</v>
      </c>
    </row>
    <row r="709" spans="11:12" x14ac:dyDescent="0.45">
      <c r="K709" s="7">
        <v>707</v>
      </c>
      <c r="L709" s="65">
        <v>33.099999999999959</v>
      </c>
    </row>
    <row r="710" spans="11:12" x14ac:dyDescent="0.45">
      <c r="K710" s="7">
        <v>708</v>
      </c>
      <c r="L710" s="65">
        <v>-4.2632564145606011E-14</v>
      </c>
    </row>
    <row r="711" spans="11:12" x14ac:dyDescent="0.45">
      <c r="K711" s="7">
        <v>709</v>
      </c>
      <c r="L711" s="65">
        <v>-12.100000000000042</v>
      </c>
    </row>
    <row r="712" spans="11:12" x14ac:dyDescent="0.45">
      <c r="K712" s="7">
        <v>710</v>
      </c>
      <c r="L712" s="65">
        <v>-12.800000000000042</v>
      </c>
    </row>
    <row r="713" spans="11:12" x14ac:dyDescent="0.45">
      <c r="K713" s="7">
        <v>711</v>
      </c>
      <c r="L713" s="65">
        <v>-4.0856207306205761E-14</v>
      </c>
    </row>
    <row r="714" spans="11:12" x14ac:dyDescent="0.45">
      <c r="K714" s="7">
        <v>712</v>
      </c>
      <c r="L714" s="65">
        <v>-13.800000000000042</v>
      </c>
    </row>
    <row r="715" spans="11:12" x14ac:dyDescent="0.45">
      <c r="K715" s="7">
        <v>713</v>
      </c>
      <c r="L715" s="65">
        <v>0.49999999999995914</v>
      </c>
    </row>
    <row r="716" spans="11:12" x14ac:dyDescent="0.45">
      <c r="K716" s="7">
        <v>714</v>
      </c>
      <c r="L716" s="65">
        <v>-4.0856207306205761E-14</v>
      </c>
    </row>
    <row r="717" spans="11:12" x14ac:dyDescent="0.45">
      <c r="K717" s="7">
        <v>715</v>
      </c>
      <c r="L717" s="65">
        <v>-2.8000000000000407</v>
      </c>
    </row>
    <row r="718" spans="11:12" x14ac:dyDescent="0.45">
      <c r="K718" s="7">
        <v>716</v>
      </c>
      <c r="L718" s="65">
        <v>-15.700000000000042</v>
      </c>
    </row>
    <row r="719" spans="11:12" x14ac:dyDescent="0.45">
      <c r="K719" s="7">
        <v>717</v>
      </c>
      <c r="L719" s="65">
        <v>-4.2632564145606011E-14</v>
      </c>
    </row>
    <row r="720" spans="11:12" x14ac:dyDescent="0.45">
      <c r="K720" s="7">
        <v>718</v>
      </c>
      <c r="L720" s="65">
        <v>10.199999999999957</v>
      </c>
    </row>
    <row r="721" spans="11:12" x14ac:dyDescent="0.45">
      <c r="K721" s="7">
        <v>719</v>
      </c>
      <c r="L721" s="65">
        <v>-37.700000000000045</v>
      </c>
    </row>
    <row r="722" spans="11:12" x14ac:dyDescent="0.45">
      <c r="K722" s="7">
        <v>720</v>
      </c>
      <c r="L722" s="65">
        <v>-4.2632564145606011E-14</v>
      </c>
    </row>
    <row r="723" spans="11:12" x14ac:dyDescent="0.45">
      <c r="K723" s="7">
        <v>721</v>
      </c>
      <c r="L723" s="65">
        <v>-30.900000000000041</v>
      </c>
    </row>
    <row r="724" spans="11:12" x14ac:dyDescent="0.45">
      <c r="K724" s="7">
        <v>722</v>
      </c>
      <c r="L724" s="65">
        <v>-9.2000000000000419</v>
      </c>
    </row>
    <row r="725" spans="11:12" x14ac:dyDescent="0.45">
      <c r="K725" s="7">
        <v>723</v>
      </c>
      <c r="L725" s="65">
        <v>-4.2632564145606011E-14</v>
      </c>
    </row>
    <row r="726" spans="11:12" x14ac:dyDescent="0.45">
      <c r="K726" s="7">
        <v>724</v>
      </c>
      <c r="L726" s="65">
        <v>-49.500000000000043</v>
      </c>
    </row>
    <row r="727" spans="11:12" x14ac:dyDescent="0.45">
      <c r="K727" s="7">
        <v>725</v>
      </c>
      <c r="L727" s="65">
        <v>-56.900000000000041</v>
      </c>
    </row>
    <row r="728" spans="11:12" x14ac:dyDescent="0.45">
      <c r="K728" s="7">
        <v>726</v>
      </c>
      <c r="L728" s="65">
        <v>-4.2632564145606011E-14</v>
      </c>
    </row>
    <row r="729" spans="11:12" x14ac:dyDescent="0.45">
      <c r="K729" s="7">
        <v>727</v>
      </c>
      <c r="L729" s="65">
        <v>-36.400000000000041</v>
      </c>
    </row>
    <row r="730" spans="11:12" x14ac:dyDescent="0.45">
      <c r="K730" s="7">
        <v>728</v>
      </c>
      <c r="L730" s="65">
        <v>-32.700000000000038</v>
      </c>
    </row>
    <row r="731" spans="11:12" x14ac:dyDescent="0.45">
      <c r="K731" s="7">
        <v>729</v>
      </c>
      <c r="L731" s="65">
        <v>-3.5527136788005009E-14</v>
      </c>
    </row>
    <row r="732" spans="11:12" x14ac:dyDescent="0.45">
      <c r="K732" s="7">
        <v>730</v>
      </c>
      <c r="L732" s="65">
        <v>34.999999999999964</v>
      </c>
    </row>
    <row r="733" spans="11:12" x14ac:dyDescent="0.45">
      <c r="K733" s="7">
        <v>731</v>
      </c>
      <c r="L733" s="65">
        <v>-1.3000000000000327</v>
      </c>
    </row>
    <row r="734" spans="11:12" x14ac:dyDescent="0.45">
      <c r="K734" s="7">
        <v>732</v>
      </c>
      <c r="L734" s="65">
        <v>-3.2640556923979602E-14</v>
      </c>
    </row>
    <row r="735" spans="11:12" x14ac:dyDescent="0.45">
      <c r="K735" s="7">
        <v>733</v>
      </c>
      <c r="L735" s="65">
        <v>-16.600000000000033</v>
      </c>
    </row>
    <row r="736" spans="11:12" x14ac:dyDescent="0.45">
      <c r="K736" s="7">
        <v>734</v>
      </c>
      <c r="L736" s="65">
        <v>-14.600000000000033</v>
      </c>
    </row>
    <row r="737" spans="11:12" x14ac:dyDescent="0.45">
      <c r="K737" s="7">
        <v>735</v>
      </c>
      <c r="L737" s="65">
        <v>-3.3750779948604759E-14</v>
      </c>
    </row>
    <row r="738" spans="11:12" x14ac:dyDescent="0.45">
      <c r="K738" s="7">
        <v>736</v>
      </c>
      <c r="L738" s="65">
        <v>45.899999999999963</v>
      </c>
    </row>
    <row r="739" spans="11:12" x14ac:dyDescent="0.45">
      <c r="K739" s="7">
        <v>737</v>
      </c>
      <c r="L739" s="65">
        <v>10.499999999999964</v>
      </c>
    </row>
    <row r="740" spans="11:12" x14ac:dyDescent="0.45">
      <c r="K740" s="7">
        <v>738</v>
      </c>
      <c r="L740" s="65">
        <v>-3.5527136788005009E-14</v>
      </c>
    </row>
    <row r="741" spans="11:12" x14ac:dyDescent="0.45">
      <c r="K741" s="7">
        <v>739</v>
      </c>
      <c r="L741" s="65">
        <v>45.599999999999966</v>
      </c>
    </row>
    <row r="742" spans="11:12" x14ac:dyDescent="0.45">
      <c r="K742" s="7">
        <v>740</v>
      </c>
      <c r="L742" s="65">
        <v>57.199999999999967</v>
      </c>
    </row>
    <row r="743" spans="11:12" x14ac:dyDescent="0.45">
      <c r="K743" s="7">
        <v>741</v>
      </c>
      <c r="L743" s="65">
        <v>-3.5527136788005009E-14</v>
      </c>
    </row>
    <row r="744" spans="11:12" x14ac:dyDescent="0.45">
      <c r="K744" s="7">
        <v>742</v>
      </c>
      <c r="L744" s="65">
        <v>11.399999999999965</v>
      </c>
    </row>
    <row r="745" spans="11:12" x14ac:dyDescent="0.45">
      <c r="K745" s="7">
        <v>743</v>
      </c>
      <c r="L745" s="65">
        <v>49.499999999999964</v>
      </c>
    </row>
    <row r="746" spans="11:12" x14ac:dyDescent="0.45">
      <c r="K746" s="7">
        <v>744</v>
      </c>
      <c r="L746" s="65">
        <v>-3.5527136788005009E-14</v>
      </c>
    </row>
    <row r="747" spans="11:12" x14ac:dyDescent="0.45">
      <c r="K747" s="7">
        <v>745</v>
      </c>
      <c r="L747" s="65">
        <v>-3.8000000000000353</v>
      </c>
    </row>
    <row r="748" spans="11:12" x14ac:dyDescent="0.45">
      <c r="K748" s="7">
        <v>746</v>
      </c>
      <c r="L748" s="65">
        <v>-28.300000000000036</v>
      </c>
    </row>
    <row r="749" spans="11:12" x14ac:dyDescent="0.45">
      <c r="K749" s="7">
        <v>747</v>
      </c>
      <c r="L749" s="65">
        <v>-3.5527136788005009E-14</v>
      </c>
    </row>
    <row r="750" spans="11:12" x14ac:dyDescent="0.45">
      <c r="K750" s="7">
        <v>748</v>
      </c>
      <c r="L750" s="65">
        <v>42.499999999999964</v>
      </c>
    </row>
    <row r="751" spans="11:12" x14ac:dyDescent="0.45">
      <c r="K751" s="7">
        <v>749</v>
      </c>
      <c r="L751" s="65">
        <v>-3.9000000000000341</v>
      </c>
    </row>
    <row r="752" spans="11:12" x14ac:dyDescent="0.45">
      <c r="K752" s="7">
        <v>750</v>
      </c>
      <c r="L752" s="65">
        <v>-3.4194869158454821E-14</v>
      </c>
    </row>
    <row r="753" spans="11:12" x14ac:dyDescent="0.45">
      <c r="K753" s="7">
        <v>751</v>
      </c>
      <c r="L753" s="65">
        <v>-25.200000000000035</v>
      </c>
    </row>
    <row r="754" spans="11:12" x14ac:dyDescent="0.45">
      <c r="K754" s="7">
        <v>752</v>
      </c>
      <c r="L754" s="65">
        <v>1.7999999999999652</v>
      </c>
    </row>
    <row r="755" spans="11:12" x14ac:dyDescent="0.45">
      <c r="K755" s="7">
        <v>753</v>
      </c>
      <c r="L755" s="65">
        <v>-3.4861002973229915E-14</v>
      </c>
    </row>
    <row r="756" spans="11:12" x14ac:dyDescent="0.45">
      <c r="K756" s="7">
        <v>754</v>
      </c>
      <c r="L756" s="65">
        <v>44.399999999999963</v>
      </c>
    </row>
    <row r="757" spans="11:12" x14ac:dyDescent="0.45">
      <c r="K757" s="7">
        <v>755</v>
      </c>
      <c r="L757" s="65">
        <v>2.9999999999999645</v>
      </c>
    </row>
    <row r="758" spans="11:12" x14ac:dyDescent="0.45">
      <c r="K758" s="7">
        <v>756</v>
      </c>
      <c r="L758" s="65">
        <v>-3.5527136788005009E-14</v>
      </c>
    </row>
    <row r="759" spans="11:12" x14ac:dyDescent="0.45">
      <c r="K759" s="7">
        <v>757</v>
      </c>
      <c r="L759" s="65">
        <v>26.199999999999964</v>
      </c>
    </row>
    <row r="760" spans="11:12" x14ac:dyDescent="0.45">
      <c r="K760" s="7">
        <v>758</v>
      </c>
      <c r="L760" s="65">
        <v>-15.400000000000038</v>
      </c>
    </row>
    <row r="761" spans="11:12" x14ac:dyDescent="0.45">
      <c r="K761" s="7">
        <v>759</v>
      </c>
      <c r="L761" s="65">
        <v>-3.730349362740526E-14</v>
      </c>
    </row>
    <row r="762" spans="11:12" x14ac:dyDescent="0.45">
      <c r="K762" s="7">
        <v>760</v>
      </c>
      <c r="L762" s="65">
        <v>0.89999999999996272</v>
      </c>
    </row>
    <row r="763" spans="11:12" x14ac:dyDescent="0.45">
      <c r="K763" s="7">
        <v>761</v>
      </c>
      <c r="L763" s="65">
        <v>41.799999999999962</v>
      </c>
    </row>
    <row r="764" spans="11:12" x14ac:dyDescent="0.45">
      <c r="K764" s="7">
        <v>762</v>
      </c>
      <c r="L764" s="65">
        <v>-3.5527136788005009E-14</v>
      </c>
    </row>
    <row r="765" spans="11:12" x14ac:dyDescent="0.45">
      <c r="K765" s="7">
        <v>763</v>
      </c>
      <c r="L765" s="65">
        <v>34.499999999999964</v>
      </c>
    </row>
    <row r="766" spans="11:12" x14ac:dyDescent="0.45">
      <c r="K766" s="7">
        <v>764</v>
      </c>
      <c r="L766" s="65">
        <v>29.099999999999966</v>
      </c>
    </row>
    <row r="767" spans="11:12" x14ac:dyDescent="0.45">
      <c r="K767" s="7">
        <v>765</v>
      </c>
      <c r="L767" s="65">
        <v>-3.5527136788005009E-14</v>
      </c>
    </row>
    <row r="768" spans="11:12" x14ac:dyDescent="0.45">
      <c r="K768" s="7">
        <v>766</v>
      </c>
      <c r="L768" s="65">
        <v>2.3999999999999644</v>
      </c>
    </row>
    <row r="769" spans="11:12" x14ac:dyDescent="0.45">
      <c r="K769" s="7">
        <v>767</v>
      </c>
      <c r="L769" s="65">
        <v>16.999999999999964</v>
      </c>
    </row>
    <row r="770" spans="11:12" x14ac:dyDescent="0.45">
      <c r="K770" s="7">
        <v>768</v>
      </c>
      <c r="L770" s="65">
        <v>-3.5527136788005009E-14</v>
      </c>
    </row>
    <row r="771" spans="11:12" x14ac:dyDescent="0.45">
      <c r="K771" s="7">
        <v>769</v>
      </c>
      <c r="L771" s="65">
        <v>-7.2000000000000357</v>
      </c>
    </row>
    <row r="772" spans="11:12" x14ac:dyDescent="0.45">
      <c r="K772" s="7">
        <v>770</v>
      </c>
      <c r="L772" s="65">
        <v>-42.80000000000004</v>
      </c>
    </row>
    <row r="773" spans="11:12" x14ac:dyDescent="0.45">
      <c r="K773" s="7">
        <v>771</v>
      </c>
      <c r="L773" s="65">
        <v>-4.2632564145606011E-14</v>
      </c>
    </row>
    <row r="774" spans="11:12" x14ac:dyDescent="0.45">
      <c r="K774" s="7">
        <v>772</v>
      </c>
      <c r="L774" s="65">
        <v>-26.700000000000042</v>
      </c>
    </row>
    <row r="775" spans="11:12" x14ac:dyDescent="0.45">
      <c r="K775" s="7">
        <v>773</v>
      </c>
      <c r="L775" s="65">
        <v>-34.80000000000004</v>
      </c>
    </row>
    <row r="776" spans="11:12" x14ac:dyDescent="0.45">
      <c r="K776" s="7">
        <v>774</v>
      </c>
      <c r="L776" s="65">
        <v>-4.2632564145606011E-14</v>
      </c>
    </row>
    <row r="777" spans="11:12" x14ac:dyDescent="0.45">
      <c r="K777" s="7">
        <v>775</v>
      </c>
      <c r="L777" s="65">
        <v>-19.000000000000043</v>
      </c>
    </row>
    <row r="778" spans="11:12" x14ac:dyDescent="0.45">
      <c r="K778" s="7">
        <v>776</v>
      </c>
      <c r="L778" s="65">
        <v>-4.2632564145606011E-14</v>
      </c>
    </row>
    <row r="779" spans="11:12" x14ac:dyDescent="0.45">
      <c r="K779" s="7">
        <v>777</v>
      </c>
      <c r="L779" s="65">
        <v>-4.2632564145606011E-14</v>
      </c>
    </row>
    <row r="780" spans="11:12" x14ac:dyDescent="0.45">
      <c r="K780" s="7">
        <v>778</v>
      </c>
      <c r="L780" s="65">
        <v>6.599999999999957</v>
      </c>
    </row>
    <row r="781" spans="11:12" x14ac:dyDescent="0.45">
      <c r="K781" s="7">
        <v>779</v>
      </c>
      <c r="L781" s="65">
        <v>-18.200000000000045</v>
      </c>
    </row>
    <row r="782" spans="11:12" x14ac:dyDescent="0.45">
      <c r="K782" s="7">
        <v>780</v>
      </c>
      <c r="L782" s="65">
        <v>-4.6185277824406512E-14</v>
      </c>
    </row>
    <row r="783" spans="11:12" x14ac:dyDescent="0.45">
      <c r="K783" s="7">
        <v>781</v>
      </c>
      <c r="L783" s="65">
        <v>-36.600000000000051</v>
      </c>
    </row>
    <row r="784" spans="11:12" x14ac:dyDescent="0.45">
      <c r="K784" s="7">
        <v>782</v>
      </c>
      <c r="L784" s="65">
        <v>1.7999999999999474</v>
      </c>
    </row>
    <row r="785" spans="11:12" x14ac:dyDescent="0.45">
      <c r="K785" s="7">
        <v>783</v>
      </c>
      <c r="L785" s="65">
        <v>-5.262457136723242E-14</v>
      </c>
    </row>
    <row r="786" spans="11:12" x14ac:dyDescent="0.45">
      <c r="K786" s="7">
        <v>784</v>
      </c>
      <c r="L786" s="65">
        <v>23.499999999999947</v>
      </c>
    </row>
    <row r="787" spans="11:12" x14ac:dyDescent="0.45">
      <c r="K787" s="7">
        <v>785</v>
      </c>
      <c r="L787" s="65">
        <v>29.899999999999949</v>
      </c>
    </row>
    <row r="788" spans="11:12" x14ac:dyDescent="0.45">
      <c r="K788" s="7">
        <v>786</v>
      </c>
      <c r="L788" s="65">
        <v>-4.9737991503207013E-14</v>
      </c>
    </row>
    <row r="789" spans="11:12" x14ac:dyDescent="0.45">
      <c r="K789" s="7">
        <v>787</v>
      </c>
      <c r="L789" s="65">
        <v>36.199999999999953</v>
      </c>
    </row>
    <row r="790" spans="11:12" x14ac:dyDescent="0.45">
      <c r="K790" s="7">
        <v>788</v>
      </c>
      <c r="L790" s="65">
        <v>9.8999999999999524</v>
      </c>
    </row>
    <row r="791" spans="11:12" x14ac:dyDescent="0.45">
      <c r="K791" s="7">
        <v>789</v>
      </c>
      <c r="L791" s="65">
        <v>-4.7961634663806763E-14</v>
      </c>
    </row>
    <row r="792" spans="11:12" x14ac:dyDescent="0.45">
      <c r="K792" s="7">
        <v>790</v>
      </c>
      <c r="L792" s="65">
        <v>-32.50000000000005</v>
      </c>
    </row>
    <row r="793" spans="11:12" x14ac:dyDescent="0.45">
      <c r="K793" s="7">
        <v>791</v>
      </c>
      <c r="L793" s="65">
        <v>-30.400000000000048</v>
      </c>
    </row>
    <row r="794" spans="11:12" x14ac:dyDescent="0.45">
      <c r="K794" s="7">
        <v>792</v>
      </c>
      <c r="L794" s="65">
        <v>-4.9737991503207013E-14</v>
      </c>
    </row>
    <row r="795" spans="11:12" x14ac:dyDescent="0.45">
      <c r="K795" s="7">
        <v>793</v>
      </c>
      <c r="L795" s="65">
        <v>42.399999999999949</v>
      </c>
    </row>
    <row r="796" spans="11:12" x14ac:dyDescent="0.45">
      <c r="K796" s="7">
        <v>794</v>
      </c>
      <c r="L796" s="65">
        <v>34.099999999999952</v>
      </c>
    </row>
    <row r="797" spans="11:12" x14ac:dyDescent="0.45">
      <c r="K797" s="7">
        <v>795</v>
      </c>
      <c r="L797" s="65">
        <v>-4.9737991503207013E-14</v>
      </c>
    </row>
    <row r="798" spans="11:12" x14ac:dyDescent="0.45">
      <c r="K798" s="7">
        <v>796</v>
      </c>
      <c r="L798" s="65">
        <v>32.899999999999949</v>
      </c>
    </row>
    <row r="799" spans="11:12" x14ac:dyDescent="0.45">
      <c r="K799" s="7">
        <v>797</v>
      </c>
      <c r="L799" s="65">
        <v>37.099999999999952</v>
      </c>
    </row>
    <row r="800" spans="11:12" x14ac:dyDescent="0.45">
      <c r="K800" s="7">
        <v>798</v>
      </c>
      <c r="L800" s="65">
        <v>-4.9737991503207013E-14</v>
      </c>
    </row>
    <row r="801" spans="11:12" x14ac:dyDescent="0.45">
      <c r="K801" s="7">
        <v>799</v>
      </c>
      <c r="L801" s="65">
        <v>-31.900000000000048</v>
      </c>
    </row>
    <row r="802" spans="11:12" x14ac:dyDescent="0.45">
      <c r="K802" s="7">
        <v>800</v>
      </c>
      <c r="L802" s="65">
        <v>-36.700000000000045</v>
      </c>
    </row>
    <row r="803" spans="11:12" x14ac:dyDescent="0.45">
      <c r="K803" s="7">
        <v>801</v>
      </c>
      <c r="L803" s="65">
        <v>-4.2632564145606011E-14</v>
      </c>
    </row>
    <row r="804" spans="11:12" x14ac:dyDescent="0.45">
      <c r="K804" s="7">
        <v>802</v>
      </c>
      <c r="L804" s="65">
        <v>50.099999999999959</v>
      </c>
    </row>
    <row r="805" spans="11:12" x14ac:dyDescent="0.45">
      <c r="K805" s="7">
        <v>803</v>
      </c>
      <c r="L805" s="65">
        <v>39.599999999999959</v>
      </c>
    </row>
    <row r="806" spans="11:12" x14ac:dyDescent="0.45">
      <c r="K806" s="7">
        <v>804</v>
      </c>
      <c r="L806" s="65">
        <v>-4.2632564145606011E-14</v>
      </c>
    </row>
    <row r="807" spans="11:12" x14ac:dyDescent="0.45">
      <c r="K807" s="7">
        <v>805</v>
      </c>
      <c r="L807" s="65">
        <v>6.3999999999999577</v>
      </c>
    </row>
    <row r="808" spans="11:12" x14ac:dyDescent="0.45">
      <c r="K808" s="7">
        <v>806</v>
      </c>
      <c r="L808" s="65">
        <v>-23.500000000000043</v>
      </c>
    </row>
    <row r="809" spans="11:12" x14ac:dyDescent="0.45">
      <c r="K809" s="7">
        <v>807</v>
      </c>
      <c r="L809" s="65">
        <v>-4.2632564145606011E-14</v>
      </c>
    </row>
    <row r="810" spans="11:12" x14ac:dyDescent="0.45">
      <c r="K810" s="7">
        <v>808</v>
      </c>
      <c r="L810" s="65">
        <v>-3.6000000000000427</v>
      </c>
    </row>
    <row r="811" spans="11:12" x14ac:dyDescent="0.45">
      <c r="K811" s="7">
        <v>809</v>
      </c>
      <c r="L811" s="65">
        <v>17.999999999999957</v>
      </c>
    </row>
    <row r="812" spans="11:12" x14ac:dyDescent="0.45">
      <c r="K812" s="7">
        <v>810</v>
      </c>
      <c r="L812" s="65">
        <v>-4.2632564145606011E-14</v>
      </c>
    </row>
    <row r="813" spans="11:12" x14ac:dyDescent="0.45">
      <c r="K813" s="7">
        <v>811</v>
      </c>
      <c r="L813" s="65">
        <v>9.3999999999999577</v>
      </c>
    </row>
    <row r="814" spans="11:12" x14ac:dyDescent="0.45">
      <c r="K814" s="7">
        <v>812</v>
      </c>
      <c r="L814" s="65">
        <v>47.299999999999955</v>
      </c>
    </row>
    <row r="815" spans="11:12" x14ac:dyDescent="0.45">
      <c r="K815" s="7">
        <v>813</v>
      </c>
      <c r="L815" s="65">
        <v>-4.2632564145606011E-14</v>
      </c>
    </row>
    <row r="816" spans="11:12" x14ac:dyDescent="0.45">
      <c r="K816" s="7">
        <v>814</v>
      </c>
      <c r="L816" s="65">
        <v>-13.200000000000042</v>
      </c>
    </row>
    <row r="817" spans="11:12" x14ac:dyDescent="0.45">
      <c r="K817" s="7">
        <v>815</v>
      </c>
      <c r="L817" s="65">
        <v>-13.500000000000043</v>
      </c>
    </row>
    <row r="818" spans="11:12" x14ac:dyDescent="0.45">
      <c r="K818" s="7">
        <v>816</v>
      </c>
      <c r="L818" s="65">
        <v>-4.2632564145606011E-14</v>
      </c>
    </row>
    <row r="819" spans="11:12" x14ac:dyDescent="0.45">
      <c r="K819" s="7">
        <v>817</v>
      </c>
      <c r="L819" s="65">
        <v>-29.000000000000043</v>
      </c>
    </row>
    <row r="820" spans="11:12" x14ac:dyDescent="0.45">
      <c r="K820" s="7">
        <v>818</v>
      </c>
      <c r="L820" s="65">
        <v>49.299999999999955</v>
      </c>
    </row>
    <row r="821" spans="11:12" x14ac:dyDescent="0.45">
      <c r="K821" s="7">
        <v>819</v>
      </c>
      <c r="L821" s="65">
        <v>-4.2632564145606011E-14</v>
      </c>
    </row>
    <row r="822" spans="11:12" x14ac:dyDescent="0.45">
      <c r="K822" s="7">
        <v>820</v>
      </c>
      <c r="L822" s="65">
        <v>15.599999999999957</v>
      </c>
    </row>
    <row r="823" spans="11:12" x14ac:dyDescent="0.45">
      <c r="K823" s="7">
        <v>821</v>
      </c>
      <c r="L823" s="65">
        <v>52.499999999999957</v>
      </c>
    </row>
    <row r="824" spans="11:12" x14ac:dyDescent="0.45">
      <c r="K824" s="7">
        <v>822</v>
      </c>
      <c r="L824" s="65">
        <v>-4.2632564145606011E-14</v>
      </c>
    </row>
    <row r="825" spans="11:12" x14ac:dyDescent="0.45">
      <c r="K825" s="7">
        <v>823</v>
      </c>
      <c r="L825" s="65">
        <v>-1.5000000000000426</v>
      </c>
    </row>
    <row r="826" spans="11:12" x14ac:dyDescent="0.45">
      <c r="K826" s="7">
        <v>824</v>
      </c>
      <c r="L826" s="65">
        <v>20.199999999999957</v>
      </c>
    </row>
    <row r="827" spans="11:12" x14ac:dyDescent="0.45">
      <c r="K827" s="7">
        <v>825</v>
      </c>
      <c r="L827" s="65">
        <v>-4.2632564145606011E-14</v>
      </c>
    </row>
    <row r="828" spans="11:12" x14ac:dyDescent="0.45">
      <c r="K828" s="7">
        <v>826</v>
      </c>
      <c r="L828" s="65">
        <v>-30.000000000000043</v>
      </c>
    </row>
    <row r="829" spans="11:12" x14ac:dyDescent="0.45">
      <c r="K829" s="7">
        <v>827</v>
      </c>
      <c r="L829" s="65">
        <v>0.99999999999995737</v>
      </c>
    </row>
    <row r="830" spans="11:12" x14ac:dyDescent="0.45">
      <c r="K830" s="7">
        <v>828</v>
      </c>
      <c r="L830" s="65">
        <v>-4.2632564145606011E-14</v>
      </c>
    </row>
    <row r="831" spans="11:12" x14ac:dyDescent="0.45">
      <c r="K831" s="7">
        <v>829</v>
      </c>
      <c r="L831" s="65">
        <v>-56.000000000000043</v>
      </c>
    </row>
    <row r="832" spans="11:12" x14ac:dyDescent="0.45">
      <c r="K832" s="7">
        <v>830</v>
      </c>
      <c r="L832" s="65">
        <v>-46.500000000000043</v>
      </c>
    </row>
    <row r="833" spans="11:12" x14ac:dyDescent="0.45">
      <c r="K833" s="7">
        <v>831</v>
      </c>
      <c r="L833" s="65">
        <v>-4.2632564145606011E-14</v>
      </c>
    </row>
    <row r="834" spans="11:12" x14ac:dyDescent="0.45">
      <c r="K834" s="7">
        <v>832</v>
      </c>
      <c r="L834" s="65">
        <v>-22.300000000000043</v>
      </c>
    </row>
    <row r="835" spans="11:12" x14ac:dyDescent="0.45">
      <c r="K835" s="7">
        <v>833</v>
      </c>
      <c r="L835" s="65">
        <v>-19.100000000000044</v>
      </c>
    </row>
    <row r="836" spans="11:12" x14ac:dyDescent="0.45">
      <c r="K836" s="7">
        <v>834</v>
      </c>
      <c r="L836" s="65">
        <v>-4.2632564145606011E-14</v>
      </c>
    </row>
    <row r="837" spans="11:12" x14ac:dyDescent="0.45">
      <c r="K837" s="7">
        <v>835</v>
      </c>
      <c r="L837" s="65">
        <v>-48.600000000000044</v>
      </c>
    </row>
    <row r="838" spans="11:12" x14ac:dyDescent="0.45">
      <c r="K838" s="7">
        <v>836</v>
      </c>
      <c r="L838" s="65">
        <v>-48.800000000000047</v>
      </c>
    </row>
    <row r="839" spans="11:12" x14ac:dyDescent="0.45">
      <c r="K839" s="7">
        <v>837</v>
      </c>
      <c r="L839" s="65">
        <v>-4.9737991503207013E-14</v>
      </c>
    </row>
    <row r="840" spans="11:12" x14ac:dyDescent="0.45">
      <c r="K840" s="7">
        <v>838</v>
      </c>
      <c r="L840" s="65">
        <v>-29.200000000000049</v>
      </c>
    </row>
    <row r="841" spans="11:12" x14ac:dyDescent="0.45">
      <c r="K841" s="7">
        <v>839</v>
      </c>
      <c r="L841" s="65">
        <v>-30.700000000000049</v>
      </c>
    </row>
    <row r="842" spans="11:12" x14ac:dyDescent="0.45">
      <c r="K842" s="7">
        <v>840</v>
      </c>
      <c r="L842" s="65">
        <v>-4.9737991503207013E-14</v>
      </c>
    </row>
    <row r="843" spans="11:12" x14ac:dyDescent="0.45">
      <c r="K843" s="7">
        <v>841</v>
      </c>
      <c r="L843" s="65">
        <v>-20.600000000000051</v>
      </c>
    </row>
    <row r="844" spans="11:12" x14ac:dyDescent="0.45">
      <c r="K844" s="7">
        <v>842</v>
      </c>
      <c r="L844" s="65">
        <v>39.599999999999952</v>
      </c>
    </row>
    <row r="845" spans="11:12" x14ac:dyDescent="0.45">
      <c r="K845" s="7">
        <v>843</v>
      </c>
      <c r="L845" s="65">
        <v>-4.9737991503207013E-14</v>
      </c>
    </row>
    <row r="846" spans="11:12" x14ac:dyDescent="0.45">
      <c r="K846" s="7">
        <v>844</v>
      </c>
      <c r="L846" s="65">
        <v>34.399999999999949</v>
      </c>
    </row>
    <row r="847" spans="11:12" x14ac:dyDescent="0.45">
      <c r="K847" s="7">
        <v>845</v>
      </c>
      <c r="L847" s="65">
        <v>22.899999999999949</v>
      </c>
    </row>
    <row r="848" spans="11:12" x14ac:dyDescent="0.45">
      <c r="K848" s="7">
        <v>846</v>
      </c>
      <c r="L848" s="65">
        <v>-4.9737991503207013E-14</v>
      </c>
    </row>
    <row r="849" spans="11:12" x14ac:dyDescent="0.45">
      <c r="K849" s="7">
        <v>847</v>
      </c>
      <c r="L849" s="65">
        <v>4.1999999999999504</v>
      </c>
    </row>
    <row r="850" spans="11:12" x14ac:dyDescent="0.45">
      <c r="K850" s="7">
        <v>848</v>
      </c>
      <c r="L850" s="65">
        <v>34.399999999999949</v>
      </c>
    </row>
    <row r="851" spans="11:12" x14ac:dyDescent="0.45">
      <c r="K851" s="7">
        <v>849</v>
      </c>
      <c r="L851" s="65">
        <v>-4.9737991503207013E-14</v>
      </c>
    </row>
    <row r="852" spans="11:12" x14ac:dyDescent="0.45">
      <c r="K852" s="7">
        <v>850</v>
      </c>
      <c r="L852" s="65">
        <v>-28.80000000000005</v>
      </c>
    </row>
    <row r="853" spans="11:12" x14ac:dyDescent="0.45">
      <c r="K853" s="7">
        <v>851</v>
      </c>
      <c r="L853" s="65">
        <v>-87.100000000000051</v>
      </c>
    </row>
    <row r="854" spans="11:12" x14ac:dyDescent="0.45">
      <c r="K854" s="7">
        <v>852</v>
      </c>
      <c r="L854" s="65">
        <v>-5.6843418860808015E-14</v>
      </c>
    </row>
    <row r="855" spans="11:12" x14ac:dyDescent="0.45">
      <c r="K855" s="7">
        <v>853</v>
      </c>
      <c r="L855" s="65">
        <v>2.799999999999943</v>
      </c>
    </row>
    <row r="856" spans="11:12" x14ac:dyDescent="0.45">
      <c r="K856" s="7">
        <v>854</v>
      </c>
      <c r="L856" s="65">
        <v>33.29999999999994</v>
      </c>
    </row>
    <row r="857" spans="11:12" x14ac:dyDescent="0.45">
      <c r="K857" s="7">
        <v>855</v>
      </c>
      <c r="L857" s="65">
        <v>-5.6843418860808015E-14</v>
      </c>
    </row>
    <row r="858" spans="11:12" x14ac:dyDescent="0.45">
      <c r="K858" s="7">
        <v>856</v>
      </c>
      <c r="L858" s="65">
        <v>-12.000000000000057</v>
      </c>
    </row>
    <row r="859" spans="11:12" x14ac:dyDescent="0.45">
      <c r="K859" s="7">
        <v>857</v>
      </c>
      <c r="L859" s="65">
        <v>-62.400000000000055</v>
      </c>
    </row>
    <row r="860" spans="11:12" x14ac:dyDescent="0.45">
      <c r="K860" s="7">
        <v>858</v>
      </c>
      <c r="L860" s="65">
        <v>-5.6843418860808015E-14</v>
      </c>
    </row>
    <row r="861" spans="11:12" x14ac:dyDescent="0.45">
      <c r="K861" s="7">
        <v>859</v>
      </c>
      <c r="L861" s="65">
        <v>22.099999999999945</v>
      </c>
    </row>
    <row r="862" spans="11:12" x14ac:dyDescent="0.45">
      <c r="K862" s="7">
        <v>860</v>
      </c>
      <c r="L862" s="65">
        <v>23.399999999999945</v>
      </c>
    </row>
    <row r="863" spans="11:12" x14ac:dyDescent="0.45">
      <c r="K863" s="7">
        <v>861</v>
      </c>
      <c r="L863" s="65">
        <v>-5.3290705182007514E-14</v>
      </c>
    </row>
    <row r="864" spans="11:12" x14ac:dyDescent="0.45">
      <c r="K864" s="7">
        <v>862</v>
      </c>
      <c r="L864" s="65">
        <v>60.599999999999952</v>
      </c>
    </row>
    <row r="865" spans="11:12" x14ac:dyDescent="0.45">
      <c r="K865" s="7">
        <v>863</v>
      </c>
      <c r="L865" s="65">
        <v>46.199999999999953</v>
      </c>
    </row>
    <row r="866" spans="11:12" x14ac:dyDescent="0.45">
      <c r="K866" s="7">
        <v>864</v>
      </c>
      <c r="L866" s="65">
        <v>-4.9737991503207013E-14</v>
      </c>
    </row>
    <row r="867" spans="11:12" x14ac:dyDescent="0.45">
      <c r="K867" s="7">
        <v>865</v>
      </c>
      <c r="L867" s="65">
        <v>-38.50000000000005</v>
      </c>
    </row>
    <row r="868" spans="11:12" x14ac:dyDescent="0.45">
      <c r="K868" s="7">
        <v>866</v>
      </c>
      <c r="L868" s="65">
        <v>-26.30000000000005</v>
      </c>
    </row>
    <row r="869" spans="11:12" x14ac:dyDescent="0.45">
      <c r="K869" s="7">
        <v>867</v>
      </c>
      <c r="L869" s="65">
        <v>-4.9737991503207013E-14</v>
      </c>
    </row>
    <row r="870" spans="11:12" x14ac:dyDescent="0.45">
      <c r="K870" s="7">
        <v>868</v>
      </c>
      <c r="L870" s="65">
        <v>39.799999999999947</v>
      </c>
    </row>
    <row r="871" spans="11:12" x14ac:dyDescent="0.45">
      <c r="K871" s="7">
        <v>869</v>
      </c>
      <c r="L871" s="65">
        <v>-10.700000000000053</v>
      </c>
    </row>
    <row r="872" spans="11:12" x14ac:dyDescent="0.45">
      <c r="K872" s="7">
        <v>870</v>
      </c>
      <c r="L872" s="65">
        <v>-5.3290705182007514E-14</v>
      </c>
    </row>
    <row r="873" spans="11:12" x14ac:dyDescent="0.45">
      <c r="K873" s="7">
        <v>871</v>
      </c>
      <c r="L873" s="65">
        <v>-32.000000000000057</v>
      </c>
    </row>
    <row r="874" spans="11:12" x14ac:dyDescent="0.45">
      <c r="K874" s="7">
        <v>872</v>
      </c>
      <c r="L874" s="65">
        <v>1.8999999999999417</v>
      </c>
    </row>
    <row r="875" spans="11:12" x14ac:dyDescent="0.45">
      <c r="K875" s="7">
        <v>873</v>
      </c>
      <c r="L875" s="65">
        <v>-5.8175686490358203E-14</v>
      </c>
    </row>
    <row r="876" spans="11:12" x14ac:dyDescent="0.45">
      <c r="K876" s="7">
        <v>874</v>
      </c>
      <c r="L876" s="65">
        <v>-42.300000000000054</v>
      </c>
    </row>
    <row r="877" spans="11:12" x14ac:dyDescent="0.45">
      <c r="K877" s="7">
        <v>875</v>
      </c>
      <c r="L877" s="65">
        <v>-60.800000000000054</v>
      </c>
    </row>
    <row r="878" spans="11:12" x14ac:dyDescent="0.45">
      <c r="K878" s="7">
        <v>876</v>
      </c>
      <c r="L878" s="65">
        <v>-5.6843418860808015E-14</v>
      </c>
    </row>
    <row r="879" spans="11:12" x14ac:dyDescent="0.45">
      <c r="K879" s="7">
        <v>877</v>
      </c>
      <c r="L879" s="65">
        <v>32.999999999999943</v>
      </c>
    </row>
    <row r="880" spans="11:12" x14ac:dyDescent="0.45">
      <c r="K880" s="7">
        <v>878</v>
      </c>
      <c r="L880" s="65">
        <v>-2.0000000000000568</v>
      </c>
    </row>
    <row r="881" spans="11:12" x14ac:dyDescent="0.45">
      <c r="K881" s="7">
        <v>879</v>
      </c>
      <c r="L881" s="65">
        <v>-5.6843418860808015E-14</v>
      </c>
    </row>
    <row r="882" spans="11:12" x14ac:dyDescent="0.45">
      <c r="K882" s="7">
        <v>880</v>
      </c>
      <c r="L882" s="65">
        <v>26.799999999999944</v>
      </c>
    </row>
    <row r="883" spans="11:12" x14ac:dyDescent="0.45">
      <c r="K883" s="7">
        <v>881</v>
      </c>
      <c r="L883" s="65">
        <v>32.199999999999946</v>
      </c>
    </row>
    <row r="884" spans="11:12" x14ac:dyDescent="0.45">
      <c r="K884" s="7">
        <v>882</v>
      </c>
      <c r="L884" s="65">
        <v>-5.6843418860808015E-14</v>
      </c>
    </row>
    <row r="885" spans="11:12" x14ac:dyDescent="0.45">
      <c r="K885" s="7">
        <v>883</v>
      </c>
      <c r="L885" s="65">
        <v>45.199999999999946</v>
      </c>
    </row>
    <row r="886" spans="11:12" x14ac:dyDescent="0.45">
      <c r="K886" s="7">
        <v>884</v>
      </c>
      <c r="L886" s="65">
        <v>10.199999999999946</v>
      </c>
    </row>
    <row r="887" spans="11:12" x14ac:dyDescent="0.45">
      <c r="K887" s="7">
        <v>885</v>
      </c>
      <c r="L887" s="65">
        <v>-5.3290705182007514E-14</v>
      </c>
    </row>
    <row r="888" spans="11:12" x14ac:dyDescent="0.45">
      <c r="K888" s="7">
        <v>886</v>
      </c>
      <c r="L888" s="65">
        <v>-12.500000000000053</v>
      </c>
    </row>
    <row r="889" spans="11:12" x14ac:dyDescent="0.45">
      <c r="K889" s="7">
        <v>887</v>
      </c>
      <c r="L889" s="65">
        <v>-12.200000000000053</v>
      </c>
    </row>
    <row r="890" spans="11:12" x14ac:dyDescent="0.45">
      <c r="K890" s="7">
        <v>888</v>
      </c>
      <c r="L890" s="65">
        <v>-5.3290705182007514E-14</v>
      </c>
    </row>
    <row r="891" spans="11:12" x14ac:dyDescent="0.45">
      <c r="K891" s="7">
        <v>889</v>
      </c>
      <c r="L891" s="65">
        <v>-65.500000000000057</v>
      </c>
    </row>
    <row r="892" spans="11:12" x14ac:dyDescent="0.45">
      <c r="K892" s="7">
        <v>890</v>
      </c>
      <c r="L892" s="65">
        <v>-12.000000000000057</v>
      </c>
    </row>
    <row r="893" spans="11:12" x14ac:dyDescent="0.45">
      <c r="K893" s="7">
        <v>891</v>
      </c>
      <c r="L893" s="65">
        <v>-5.6843418860808015E-14</v>
      </c>
    </row>
    <row r="894" spans="11:12" x14ac:dyDescent="0.45">
      <c r="K894" s="7">
        <v>892</v>
      </c>
      <c r="L894" s="65">
        <v>-9.2000000000000561</v>
      </c>
    </row>
    <row r="895" spans="11:12" x14ac:dyDescent="0.45">
      <c r="K895" s="7">
        <v>893</v>
      </c>
      <c r="L895" s="65">
        <v>-39.70000000000006</v>
      </c>
    </row>
    <row r="896" spans="11:12" x14ac:dyDescent="0.45">
      <c r="K896" s="7">
        <v>894</v>
      </c>
      <c r="L896" s="65">
        <v>-5.6843418860808015E-14</v>
      </c>
    </row>
    <row r="897" spans="11:12" x14ac:dyDescent="0.45">
      <c r="K897" s="7">
        <v>895</v>
      </c>
      <c r="L897" s="65">
        <v>-36.300000000000054</v>
      </c>
    </row>
    <row r="898" spans="11:12" x14ac:dyDescent="0.45">
      <c r="K898" s="7">
        <v>896</v>
      </c>
      <c r="L898" s="65">
        <v>-56.300000000000054</v>
      </c>
    </row>
    <row r="899" spans="11:12" x14ac:dyDescent="0.45">
      <c r="K899" s="7">
        <v>897</v>
      </c>
      <c r="L899" s="65">
        <v>-5.6843418860808015E-14</v>
      </c>
    </row>
    <row r="900" spans="11:12" x14ac:dyDescent="0.45">
      <c r="K900" s="7">
        <v>898</v>
      </c>
      <c r="L900" s="65">
        <v>-37.20000000000006</v>
      </c>
    </row>
    <row r="901" spans="11:12" x14ac:dyDescent="0.45">
      <c r="K901" s="7">
        <v>899</v>
      </c>
      <c r="L901" s="65">
        <v>-8.400000000000059</v>
      </c>
    </row>
    <row r="902" spans="11:12" x14ac:dyDescent="0.45">
      <c r="K902" s="7">
        <v>900</v>
      </c>
      <c r="L902" s="65">
        <v>-5.8619775700208265E-14</v>
      </c>
    </row>
    <row r="903" spans="11:12" x14ac:dyDescent="0.45">
      <c r="K903" s="7">
        <v>901</v>
      </c>
      <c r="L903" s="65">
        <v>-27.400000000000055</v>
      </c>
    </row>
    <row r="904" spans="11:12" x14ac:dyDescent="0.45">
      <c r="K904" s="7">
        <v>902</v>
      </c>
      <c r="L904" s="65">
        <v>-35.70000000000006</v>
      </c>
    </row>
    <row r="905" spans="11:12" x14ac:dyDescent="0.45">
      <c r="K905" s="7">
        <v>903</v>
      </c>
      <c r="L905" s="65">
        <v>-5.6843418860808015E-14</v>
      </c>
    </row>
    <row r="906" spans="11:12" x14ac:dyDescent="0.45">
      <c r="K906" s="7">
        <v>904</v>
      </c>
      <c r="L906" s="65">
        <v>-3.4000000000000568</v>
      </c>
    </row>
    <row r="907" spans="11:12" x14ac:dyDescent="0.45">
      <c r="K907" s="7">
        <v>905</v>
      </c>
      <c r="L907" s="65">
        <v>17.599999999999945</v>
      </c>
    </row>
    <row r="908" spans="11:12" x14ac:dyDescent="0.45">
      <c r="K908" s="7">
        <v>906</v>
      </c>
      <c r="L908" s="65">
        <v>-5.6843418860808015E-14</v>
      </c>
    </row>
    <row r="909" spans="11:12" x14ac:dyDescent="0.45">
      <c r="K909" s="7">
        <v>907</v>
      </c>
      <c r="L909" s="65">
        <v>-11.000000000000057</v>
      </c>
    </row>
    <row r="910" spans="11:12" x14ac:dyDescent="0.45">
      <c r="K910" s="7">
        <v>908</v>
      </c>
      <c r="L910" s="65">
        <v>27.199999999999946</v>
      </c>
    </row>
    <row r="911" spans="11:12" x14ac:dyDescent="0.45">
      <c r="K911" s="7">
        <v>909</v>
      </c>
      <c r="L911" s="65">
        <v>-5.3290705182007514E-14</v>
      </c>
    </row>
    <row r="912" spans="11:12" x14ac:dyDescent="0.45">
      <c r="K912" s="7">
        <v>910</v>
      </c>
      <c r="L912" s="65">
        <v>-28.700000000000053</v>
      </c>
    </row>
    <row r="913" spans="11:12" x14ac:dyDescent="0.45">
      <c r="K913" s="7">
        <v>911</v>
      </c>
      <c r="L913" s="65">
        <v>-27.900000000000052</v>
      </c>
    </row>
    <row r="914" spans="11:12" x14ac:dyDescent="0.45">
      <c r="K914" s="7">
        <v>912</v>
      </c>
      <c r="L914" s="65">
        <v>-5.3290705182007514E-14</v>
      </c>
    </row>
    <row r="915" spans="11:12" x14ac:dyDescent="0.45">
      <c r="K915" s="7">
        <v>913</v>
      </c>
      <c r="L915" s="65">
        <v>-44.000000000000057</v>
      </c>
    </row>
    <row r="916" spans="11:12" x14ac:dyDescent="0.45">
      <c r="K916" s="7">
        <v>914</v>
      </c>
      <c r="L916" s="65">
        <v>0.79999999999994031</v>
      </c>
    </row>
    <row r="917" spans="11:12" x14ac:dyDescent="0.45">
      <c r="K917" s="7">
        <v>915</v>
      </c>
      <c r="L917" s="65">
        <v>-5.9729998724833422E-14</v>
      </c>
    </row>
    <row r="918" spans="11:12" x14ac:dyDescent="0.45">
      <c r="K918" s="7">
        <v>916</v>
      </c>
      <c r="L918" s="65">
        <v>-18.900000000000059</v>
      </c>
    </row>
    <row r="919" spans="11:12" x14ac:dyDescent="0.45">
      <c r="K919" s="7">
        <v>917</v>
      </c>
      <c r="L919" s="65">
        <v>-56.400000000000063</v>
      </c>
    </row>
    <row r="920" spans="11:12" x14ac:dyDescent="0.45">
      <c r="K920" s="7">
        <v>918</v>
      </c>
      <c r="L920" s="65">
        <v>-6.3948846218409017E-14</v>
      </c>
    </row>
    <row r="921" spans="11:12" x14ac:dyDescent="0.45">
      <c r="K921" s="7">
        <v>919</v>
      </c>
      <c r="L921" s="65">
        <v>12.199999999999935</v>
      </c>
    </row>
    <row r="922" spans="11:12" x14ac:dyDescent="0.45">
      <c r="K922" s="7">
        <v>920</v>
      </c>
      <c r="L922" s="65">
        <v>34.499999999999936</v>
      </c>
    </row>
    <row r="923" spans="11:12" x14ac:dyDescent="0.45">
      <c r="K923" s="7">
        <v>921</v>
      </c>
      <c r="L923" s="65">
        <v>-6.3948846218409017E-14</v>
      </c>
    </row>
    <row r="924" spans="11:12" x14ac:dyDescent="0.45">
      <c r="K924" s="7">
        <v>922</v>
      </c>
      <c r="L924" s="65">
        <v>-47.000000000000064</v>
      </c>
    </row>
    <row r="925" spans="11:12" x14ac:dyDescent="0.45">
      <c r="K925" s="7">
        <v>923</v>
      </c>
      <c r="L925" s="65">
        <v>-47.300000000000061</v>
      </c>
    </row>
    <row r="926" spans="11:12" x14ac:dyDescent="0.45">
      <c r="K926" s="7">
        <v>924</v>
      </c>
      <c r="L926" s="65">
        <v>-6.3948846218409017E-14</v>
      </c>
    </row>
    <row r="927" spans="11:12" x14ac:dyDescent="0.45">
      <c r="K927" s="7">
        <v>925</v>
      </c>
      <c r="L927" s="65">
        <v>-34.500000000000064</v>
      </c>
    </row>
    <row r="928" spans="11:12" x14ac:dyDescent="0.45">
      <c r="K928" s="7">
        <v>926</v>
      </c>
      <c r="L928" s="65">
        <v>-47.500000000000064</v>
      </c>
    </row>
    <row r="929" spans="11:12" x14ac:dyDescent="0.45">
      <c r="K929" s="7">
        <v>927</v>
      </c>
      <c r="L929" s="65">
        <v>-6.3948846218409017E-14</v>
      </c>
    </row>
    <row r="930" spans="11:12" x14ac:dyDescent="0.45">
      <c r="K930" s="7">
        <v>928</v>
      </c>
      <c r="L930" s="65">
        <v>-22.000000000000064</v>
      </c>
    </row>
    <row r="931" spans="11:12" x14ac:dyDescent="0.45">
      <c r="K931" s="7">
        <v>929</v>
      </c>
      <c r="L931" s="65">
        <v>-60.700000000000067</v>
      </c>
    </row>
    <row r="932" spans="11:12" x14ac:dyDescent="0.45">
      <c r="K932" s="7">
        <v>930</v>
      </c>
      <c r="L932" s="65">
        <v>-6.3948846218409017E-14</v>
      </c>
    </row>
    <row r="933" spans="11:12" x14ac:dyDescent="0.45">
      <c r="K933" s="7">
        <v>931</v>
      </c>
      <c r="L933" s="65">
        <v>31.199999999999935</v>
      </c>
    </row>
    <row r="934" spans="11:12" x14ac:dyDescent="0.45">
      <c r="K934" s="7">
        <v>932</v>
      </c>
      <c r="L934" s="65">
        <v>6.6999999999999353</v>
      </c>
    </row>
    <row r="935" spans="11:12" x14ac:dyDescent="0.45">
      <c r="K935" s="7">
        <v>933</v>
      </c>
      <c r="L935" s="65">
        <v>-6.4837024638109142E-14</v>
      </c>
    </row>
    <row r="936" spans="11:12" x14ac:dyDescent="0.45">
      <c r="K936" s="7">
        <v>934</v>
      </c>
      <c r="L936" s="65">
        <v>-45.300000000000061</v>
      </c>
    </row>
    <row r="937" spans="11:12" x14ac:dyDescent="0.45">
      <c r="K937" s="7">
        <v>935</v>
      </c>
      <c r="L937" s="65">
        <v>-4.5000000000000639</v>
      </c>
    </row>
    <row r="938" spans="11:12" x14ac:dyDescent="0.45">
      <c r="K938" s="7">
        <v>936</v>
      </c>
      <c r="L938" s="65">
        <v>-6.3948846218409017E-14</v>
      </c>
    </row>
    <row r="939" spans="11:12" x14ac:dyDescent="0.45">
      <c r="K939" s="7">
        <v>937</v>
      </c>
      <c r="L939" s="65">
        <v>-31.700000000000063</v>
      </c>
    </row>
    <row r="940" spans="11:12" x14ac:dyDescent="0.45">
      <c r="K940" s="7">
        <v>938</v>
      </c>
      <c r="L940" s="65">
        <v>-25.200000000000063</v>
      </c>
    </row>
    <row r="941" spans="11:12" x14ac:dyDescent="0.45">
      <c r="K941" s="7">
        <v>939</v>
      </c>
      <c r="L941" s="65">
        <v>-6.3948846218409017E-14</v>
      </c>
    </row>
    <row r="942" spans="11:12" x14ac:dyDescent="0.45">
      <c r="K942" s="7">
        <v>940</v>
      </c>
      <c r="L942" s="65">
        <v>-61.300000000000061</v>
      </c>
    </row>
    <row r="943" spans="11:12" x14ac:dyDescent="0.45">
      <c r="K943" s="7">
        <v>941</v>
      </c>
      <c r="L943" s="65">
        <v>-20.100000000000058</v>
      </c>
    </row>
    <row r="944" spans="11:12" x14ac:dyDescent="0.45">
      <c r="K944" s="7">
        <v>942</v>
      </c>
      <c r="L944" s="65">
        <v>-5.6843418860808015E-14</v>
      </c>
    </row>
    <row r="945" spans="11:12" x14ac:dyDescent="0.45">
      <c r="K945" s="7">
        <v>943</v>
      </c>
      <c r="L945" s="65">
        <v>-25.700000000000056</v>
      </c>
    </row>
    <row r="946" spans="11:12" x14ac:dyDescent="0.45">
      <c r="K946" s="7">
        <v>944</v>
      </c>
      <c r="L946" s="65">
        <v>7.6999999999999424</v>
      </c>
    </row>
    <row r="947" spans="11:12" x14ac:dyDescent="0.45">
      <c r="K947" s="7">
        <v>945</v>
      </c>
      <c r="L947" s="65">
        <v>-5.773159728050814E-14</v>
      </c>
    </row>
    <row r="948" spans="11:12" x14ac:dyDescent="0.45">
      <c r="K948" s="7">
        <v>946</v>
      </c>
      <c r="L948" s="65">
        <v>-31.800000000000058</v>
      </c>
    </row>
    <row r="949" spans="11:12" x14ac:dyDescent="0.45">
      <c r="K949" s="7">
        <v>947</v>
      </c>
      <c r="L949" s="65">
        <v>-24.20000000000006</v>
      </c>
    </row>
    <row r="950" spans="11:12" x14ac:dyDescent="0.45">
      <c r="K950" s="7">
        <v>948</v>
      </c>
      <c r="L950" s="65">
        <v>-6.0396132539608516E-14</v>
      </c>
    </row>
    <row r="951" spans="11:12" x14ac:dyDescent="0.45">
      <c r="K951" s="7">
        <v>949</v>
      </c>
      <c r="L951" s="65">
        <v>-0.60000000000006037</v>
      </c>
    </row>
    <row r="952" spans="11:12" x14ac:dyDescent="0.45">
      <c r="K952" s="7">
        <v>950</v>
      </c>
      <c r="L952" s="65">
        <v>-25.200000000000063</v>
      </c>
    </row>
    <row r="953" spans="11:12" x14ac:dyDescent="0.45">
      <c r="K953" s="7">
        <v>951</v>
      </c>
      <c r="L953" s="65">
        <v>-6.3948846218409017E-14</v>
      </c>
    </row>
    <row r="954" spans="11:12" x14ac:dyDescent="0.45">
      <c r="K954" s="7">
        <v>952</v>
      </c>
      <c r="L954" s="65">
        <v>31.699999999999935</v>
      </c>
    </row>
    <row r="955" spans="11:12" x14ac:dyDescent="0.45">
      <c r="K955" s="7">
        <v>953</v>
      </c>
      <c r="L955" s="65">
        <v>23.799999999999933</v>
      </c>
    </row>
    <row r="956" spans="11:12" x14ac:dyDescent="0.45">
      <c r="K956" s="7">
        <v>954</v>
      </c>
      <c r="L956" s="65">
        <v>-6.7501559897209518E-14</v>
      </c>
    </row>
    <row r="957" spans="11:12" x14ac:dyDescent="0.45">
      <c r="K957" s="7">
        <v>955</v>
      </c>
      <c r="L957" s="65">
        <v>-7.8000000000000673</v>
      </c>
    </row>
    <row r="958" spans="11:12" x14ac:dyDescent="0.45">
      <c r="K958" s="7">
        <v>956</v>
      </c>
      <c r="L958" s="65">
        <v>-32.200000000000067</v>
      </c>
    </row>
    <row r="959" spans="11:12" x14ac:dyDescent="0.45">
      <c r="K959" s="7">
        <v>957</v>
      </c>
      <c r="L959" s="65">
        <v>-6.3948846218409017E-14</v>
      </c>
    </row>
    <row r="960" spans="11:12" x14ac:dyDescent="0.45">
      <c r="K960" s="7">
        <v>958</v>
      </c>
      <c r="L960" s="65">
        <v>-2.9000000000000639</v>
      </c>
    </row>
    <row r="961" spans="11:12" x14ac:dyDescent="0.45">
      <c r="K961" s="7">
        <v>959</v>
      </c>
      <c r="L961" s="65">
        <v>33.099999999999937</v>
      </c>
    </row>
    <row r="962" spans="11:12" x14ac:dyDescent="0.45">
      <c r="K962" s="7">
        <v>960</v>
      </c>
      <c r="L962" s="65">
        <v>-6.3948846218409017E-14</v>
      </c>
    </row>
    <row r="963" spans="11:12" x14ac:dyDescent="0.45">
      <c r="K963" s="7">
        <v>961</v>
      </c>
      <c r="L963" s="65">
        <v>31.999999999999936</v>
      </c>
    </row>
    <row r="964" spans="11:12" x14ac:dyDescent="0.45">
      <c r="K964" s="7">
        <v>962</v>
      </c>
      <c r="L964" s="65">
        <v>37.999999999999936</v>
      </c>
    </row>
    <row r="965" spans="11:12" x14ac:dyDescent="0.45">
      <c r="K965" s="7">
        <v>963</v>
      </c>
      <c r="L965" s="65">
        <v>-6.3948846218409017E-14</v>
      </c>
    </row>
    <row r="966" spans="11:12" x14ac:dyDescent="0.45">
      <c r="K966" s="7">
        <v>964</v>
      </c>
      <c r="L966" s="65">
        <v>-53.000000000000064</v>
      </c>
    </row>
    <row r="967" spans="11:12" x14ac:dyDescent="0.45">
      <c r="K967" s="7">
        <v>965</v>
      </c>
      <c r="L967" s="65">
        <v>-11.500000000000064</v>
      </c>
    </row>
    <row r="968" spans="11:12" x14ac:dyDescent="0.45">
      <c r="K968" s="7">
        <v>966</v>
      </c>
      <c r="L968" s="65">
        <v>-6.3948846218409017E-14</v>
      </c>
    </row>
    <row r="969" spans="11:12" x14ac:dyDescent="0.45">
      <c r="K969" s="7">
        <v>967</v>
      </c>
      <c r="L969" s="65">
        <v>-53.200000000000067</v>
      </c>
    </row>
    <row r="970" spans="11:12" x14ac:dyDescent="0.45">
      <c r="K970" s="7">
        <v>968</v>
      </c>
      <c r="L970" s="65">
        <v>-16.600000000000065</v>
      </c>
    </row>
    <row r="971" spans="11:12" x14ac:dyDescent="0.45">
      <c r="K971" s="7">
        <v>969</v>
      </c>
      <c r="L971" s="65">
        <v>-6.3948846218409017E-14</v>
      </c>
    </row>
    <row r="972" spans="11:12" x14ac:dyDescent="0.45">
      <c r="K972" s="7">
        <v>970</v>
      </c>
      <c r="L972" s="65">
        <v>-23.200000000000063</v>
      </c>
    </row>
    <row r="973" spans="11:12" x14ac:dyDescent="0.45">
      <c r="K973" s="7">
        <v>971</v>
      </c>
      <c r="L973" s="65">
        <v>-31.900000000000063</v>
      </c>
    </row>
    <row r="974" spans="11:12" x14ac:dyDescent="0.45">
      <c r="K974" s="7">
        <v>972</v>
      </c>
      <c r="L974" s="65">
        <v>-6.3948846218409017E-14</v>
      </c>
    </row>
    <row r="975" spans="11:12" x14ac:dyDescent="0.45">
      <c r="K975" s="7">
        <v>973</v>
      </c>
      <c r="L975" s="65">
        <v>-47.400000000000063</v>
      </c>
    </row>
    <row r="976" spans="11:12" x14ac:dyDescent="0.45">
      <c r="K976" s="7">
        <v>974</v>
      </c>
      <c r="L976" s="65">
        <v>-41.500000000000064</v>
      </c>
    </row>
    <row r="977" spans="11:12" x14ac:dyDescent="0.45">
      <c r="K977" s="7">
        <v>975</v>
      </c>
      <c r="L977" s="65">
        <v>-6.3948846218409017E-14</v>
      </c>
    </row>
    <row r="978" spans="11:12" x14ac:dyDescent="0.45">
      <c r="K978" s="7">
        <v>976</v>
      </c>
      <c r="L978" s="65">
        <v>-10.900000000000064</v>
      </c>
    </row>
    <row r="979" spans="11:12" x14ac:dyDescent="0.45">
      <c r="K979" s="7">
        <v>977</v>
      </c>
      <c r="L979" s="65">
        <v>-49.600000000000065</v>
      </c>
    </row>
    <row r="980" spans="11:12" x14ac:dyDescent="0.45">
      <c r="K980" s="7">
        <v>978</v>
      </c>
      <c r="L980" s="65">
        <v>-6.3948846218409017E-14</v>
      </c>
    </row>
    <row r="981" spans="11:12" x14ac:dyDescent="0.45">
      <c r="K981" s="7">
        <v>979</v>
      </c>
      <c r="L981" s="65">
        <v>9.1999999999999353</v>
      </c>
    </row>
    <row r="982" spans="11:12" x14ac:dyDescent="0.45">
      <c r="K982" s="7">
        <v>980</v>
      </c>
      <c r="L982" s="65">
        <v>45.499999999999929</v>
      </c>
    </row>
    <row r="983" spans="11:12" x14ac:dyDescent="0.45">
      <c r="K983" s="7">
        <v>981</v>
      </c>
      <c r="L983" s="65">
        <v>-7.1054273576010019E-14</v>
      </c>
    </row>
    <row r="984" spans="11:12" x14ac:dyDescent="0.45">
      <c r="K984" s="7">
        <v>982</v>
      </c>
      <c r="L984" s="65">
        <v>30.29999999999993</v>
      </c>
    </row>
    <row r="985" spans="11:12" x14ac:dyDescent="0.45">
      <c r="K985" s="7">
        <v>983</v>
      </c>
      <c r="L985" s="65">
        <v>46.499999999999929</v>
      </c>
    </row>
    <row r="986" spans="11:12" x14ac:dyDescent="0.45">
      <c r="K986" s="7">
        <v>984</v>
      </c>
      <c r="L986" s="65">
        <v>-7.1054273576010019E-14</v>
      </c>
    </row>
    <row r="987" spans="11:12" x14ac:dyDescent="0.45">
      <c r="K987" s="7">
        <v>985</v>
      </c>
      <c r="L987" s="65">
        <v>30.399999999999928</v>
      </c>
    </row>
    <row r="988" spans="11:12" x14ac:dyDescent="0.45">
      <c r="K988" s="7">
        <v>986</v>
      </c>
      <c r="L988" s="65">
        <v>45.499999999999929</v>
      </c>
    </row>
    <row r="989" spans="11:12" x14ac:dyDescent="0.45">
      <c r="K989" s="7">
        <v>987</v>
      </c>
      <c r="L989" s="65">
        <v>-7.1054273576010019E-14</v>
      </c>
    </row>
    <row r="990" spans="11:12" x14ac:dyDescent="0.45">
      <c r="K990" s="7">
        <v>988</v>
      </c>
      <c r="L990" s="65">
        <v>34.59999999999993</v>
      </c>
    </row>
    <row r="991" spans="11:12" x14ac:dyDescent="0.45">
      <c r="K991" s="7">
        <v>989</v>
      </c>
      <c r="L991" s="65">
        <v>-11.500000000000071</v>
      </c>
    </row>
    <row r="992" spans="11:12" x14ac:dyDescent="0.45">
      <c r="K992" s="7">
        <v>990</v>
      </c>
      <c r="L992" s="65">
        <v>-7.1054273576010019E-14</v>
      </c>
    </row>
    <row r="993" spans="11:12" x14ac:dyDescent="0.45">
      <c r="K993" s="7">
        <v>991</v>
      </c>
      <c r="L993" s="65">
        <v>1.299999999999929</v>
      </c>
    </row>
    <row r="994" spans="11:12" x14ac:dyDescent="0.45">
      <c r="K994" s="7">
        <v>992</v>
      </c>
      <c r="L994" s="65">
        <v>-15.800000000000072</v>
      </c>
    </row>
    <row r="995" spans="11:12" x14ac:dyDescent="0.45">
      <c r="K995" s="7">
        <v>993</v>
      </c>
      <c r="L995" s="65">
        <v>-7.1054273576010019E-14</v>
      </c>
    </row>
    <row r="996" spans="11:12" x14ac:dyDescent="0.45">
      <c r="K996" s="7">
        <v>994</v>
      </c>
      <c r="L996" s="65">
        <v>74.099999999999923</v>
      </c>
    </row>
    <row r="997" spans="11:12" x14ac:dyDescent="0.45">
      <c r="K997" s="7">
        <v>995</v>
      </c>
      <c r="L997" s="65">
        <v>27.499999999999922</v>
      </c>
    </row>
    <row r="998" spans="11:12" x14ac:dyDescent="0.45">
      <c r="K998" s="7">
        <v>996</v>
      </c>
      <c r="L998" s="65">
        <v>-7.815970093361102E-14</v>
      </c>
    </row>
    <row r="999" spans="11:12" x14ac:dyDescent="0.45">
      <c r="K999" s="7">
        <v>997</v>
      </c>
      <c r="L999" s="65">
        <v>62.599999999999923</v>
      </c>
    </row>
    <row r="1000" spans="11:12" x14ac:dyDescent="0.45">
      <c r="K1000" s="7">
        <v>998</v>
      </c>
      <c r="L1000" s="65">
        <v>9.4999999999999218</v>
      </c>
    </row>
    <row r="1001" spans="11:12" x14ac:dyDescent="0.45">
      <c r="K1001" s="7">
        <v>999</v>
      </c>
      <c r="L1001" s="65">
        <v>-7.815970093361102E-14</v>
      </c>
    </row>
    <row r="1002" spans="11:12" x14ac:dyDescent="0.45">
      <c r="K1002" s="7">
        <v>1000</v>
      </c>
      <c r="L1002" s="65">
        <v>-52.000000000000078</v>
      </c>
    </row>
    <row r="1003" spans="11:12" x14ac:dyDescent="0.45">
      <c r="K1003" s="7">
        <v>1001</v>
      </c>
      <c r="L1003" s="65">
        <v>-55.500000000000078</v>
      </c>
    </row>
    <row r="1004" spans="11:12" x14ac:dyDescent="0.45">
      <c r="K1004" s="7">
        <v>1002</v>
      </c>
      <c r="L1004" s="65">
        <v>-7.815970093361102E-14</v>
      </c>
    </row>
    <row r="1005" spans="11:12" x14ac:dyDescent="0.45">
      <c r="K1005" s="7">
        <v>1003</v>
      </c>
      <c r="L1005" s="65">
        <v>-45.200000000000081</v>
      </c>
    </row>
    <row r="1006" spans="11:12" x14ac:dyDescent="0.45">
      <c r="K1006" s="7">
        <v>1004</v>
      </c>
      <c r="L1006" s="65">
        <v>-28.200000000000081</v>
      </c>
    </row>
    <row r="1007" spans="11:12" x14ac:dyDescent="0.45">
      <c r="K1007" s="7">
        <v>1005</v>
      </c>
      <c r="L1007" s="65">
        <v>-8.1712414612411521E-14</v>
      </c>
    </row>
    <row r="1008" spans="11:12" x14ac:dyDescent="0.45">
      <c r="K1008" s="7">
        <v>1006</v>
      </c>
      <c r="L1008" s="65">
        <v>24.09999999999992</v>
      </c>
    </row>
    <row r="1009" spans="11:12" x14ac:dyDescent="0.45">
      <c r="K1009" s="7">
        <v>1007</v>
      </c>
      <c r="L1009" s="65">
        <v>24.89999999999992</v>
      </c>
    </row>
    <row r="1010" spans="11:12" x14ac:dyDescent="0.45">
      <c r="K1010" s="7">
        <v>1008</v>
      </c>
      <c r="L1010" s="65">
        <v>-7.815970093361102E-14</v>
      </c>
    </row>
    <row r="1011" spans="11:12" x14ac:dyDescent="0.45">
      <c r="K1011" s="7">
        <v>1009</v>
      </c>
      <c r="L1011" s="65">
        <v>22.39999999999992</v>
      </c>
    </row>
    <row r="1012" spans="11:12" x14ac:dyDescent="0.45">
      <c r="K1012" s="7">
        <v>1010</v>
      </c>
      <c r="L1012" s="65">
        <v>17.39999999999992</v>
      </c>
    </row>
    <row r="1013" spans="11:12" x14ac:dyDescent="0.45">
      <c r="K1013" s="7">
        <v>1011</v>
      </c>
      <c r="L1013" s="65">
        <v>-7.815970093361102E-14</v>
      </c>
    </row>
    <row r="1014" spans="11:12" x14ac:dyDescent="0.45">
      <c r="K1014" s="7">
        <v>1012</v>
      </c>
      <c r="L1014" s="65">
        <v>-36.000000000000078</v>
      </c>
    </row>
    <row r="1015" spans="11:12" x14ac:dyDescent="0.45">
      <c r="K1015" s="7">
        <v>1013</v>
      </c>
      <c r="L1015" s="65">
        <v>4.6999999999999247</v>
      </c>
    </row>
    <row r="1016" spans="11:12" x14ac:dyDescent="0.45">
      <c r="K1016" s="7">
        <v>1014</v>
      </c>
      <c r="L1016" s="65">
        <v>-7.5495165674510645E-14</v>
      </c>
    </row>
    <row r="1017" spans="11:12" x14ac:dyDescent="0.45">
      <c r="K1017" s="7">
        <v>1015</v>
      </c>
      <c r="L1017" s="65">
        <v>-13.300000000000075</v>
      </c>
    </row>
    <row r="1018" spans="11:12" x14ac:dyDescent="0.45">
      <c r="K1018" s="7">
        <v>1016</v>
      </c>
      <c r="L1018" s="65">
        <v>-14.000000000000075</v>
      </c>
    </row>
    <row r="1019" spans="11:12" x14ac:dyDescent="0.45">
      <c r="K1019" s="7">
        <v>1017</v>
      </c>
      <c r="L1019" s="65">
        <v>-7.460698725481052E-14</v>
      </c>
    </row>
    <row r="1020" spans="11:12" x14ac:dyDescent="0.45">
      <c r="K1020" s="7">
        <v>1018</v>
      </c>
      <c r="L1020" s="65">
        <v>6.7999999999999252</v>
      </c>
    </row>
    <row r="1021" spans="11:12" x14ac:dyDescent="0.45">
      <c r="K1021" s="7">
        <v>1019</v>
      </c>
      <c r="L1021" s="65">
        <v>35.799999999999926</v>
      </c>
    </row>
    <row r="1022" spans="11:12" x14ac:dyDescent="0.45">
      <c r="K1022" s="7">
        <v>1020</v>
      </c>
      <c r="L1022" s="65">
        <v>-7.1054273576010019E-14</v>
      </c>
    </row>
    <row r="1023" spans="11:12" x14ac:dyDescent="0.45">
      <c r="K1023" s="7">
        <v>1021</v>
      </c>
      <c r="L1023" s="65">
        <v>-47.600000000000072</v>
      </c>
    </row>
    <row r="1024" spans="11:12" x14ac:dyDescent="0.45">
      <c r="K1024" s="7">
        <v>1022</v>
      </c>
      <c r="L1024" s="65">
        <v>19.299999999999933</v>
      </c>
    </row>
    <row r="1025" spans="11:12" x14ac:dyDescent="0.45">
      <c r="K1025" s="7">
        <v>1023</v>
      </c>
      <c r="L1025" s="65">
        <v>-6.7501559897209518E-14</v>
      </c>
    </row>
    <row r="1026" spans="11:12" x14ac:dyDescent="0.45">
      <c r="K1026" s="7">
        <v>1024</v>
      </c>
      <c r="L1026" s="65">
        <v>16.699999999999932</v>
      </c>
    </row>
    <row r="1027" spans="11:12" x14ac:dyDescent="0.45">
      <c r="K1027" s="7">
        <v>1025</v>
      </c>
      <c r="L1027" s="65">
        <v>46.699999999999932</v>
      </c>
    </row>
    <row r="1028" spans="11:12" x14ac:dyDescent="0.45">
      <c r="K1028" s="7">
        <v>1026</v>
      </c>
      <c r="L1028" s="65">
        <v>-7.1054273576010019E-14</v>
      </c>
    </row>
    <row r="1029" spans="11:12" x14ac:dyDescent="0.45">
      <c r="K1029" s="7">
        <v>1027</v>
      </c>
      <c r="L1029" s="65">
        <v>-62.200000000000074</v>
      </c>
    </row>
    <row r="1030" spans="11:12" x14ac:dyDescent="0.45">
      <c r="K1030" s="7">
        <v>1028</v>
      </c>
      <c r="L1030" s="65">
        <v>-3.2000000000000739</v>
      </c>
    </row>
    <row r="1031" spans="11:12" x14ac:dyDescent="0.45">
      <c r="K1031" s="7">
        <v>1029</v>
      </c>
      <c r="L1031" s="65">
        <v>-7.3718808835110394E-14</v>
      </c>
    </row>
    <row r="1032" spans="11:12" x14ac:dyDescent="0.45">
      <c r="K1032" s="7">
        <v>1030</v>
      </c>
      <c r="L1032" s="65">
        <v>16.499999999999925</v>
      </c>
    </row>
    <row r="1033" spans="11:12" x14ac:dyDescent="0.45">
      <c r="K1033" s="7">
        <v>1031</v>
      </c>
      <c r="L1033" s="65">
        <v>16.199999999999925</v>
      </c>
    </row>
    <row r="1034" spans="11:12" x14ac:dyDescent="0.45">
      <c r="K1034" s="7">
        <v>1032</v>
      </c>
      <c r="L1034" s="65">
        <v>-7.460698725481052E-14</v>
      </c>
    </row>
    <row r="1035" spans="11:12" x14ac:dyDescent="0.45">
      <c r="K1035" s="7">
        <v>1033</v>
      </c>
      <c r="L1035" s="65">
        <v>-54.700000000000074</v>
      </c>
    </row>
    <row r="1036" spans="11:12" x14ac:dyDescent="0.45">
      <c r="K1036" s="7">
        <v>1034</v>
      </c>
      <c r="L1036" s="65">
        <v>-14.800000000000075</v>
      </c>
    </row>
    <row r="1037" spans="11:12" x14ac:dyDescent="0.45">
      <c r="K1037" s="7">
        <v>1035</v>
      </c>
      <c r="L1037" s="65">
        <v>-7.460698725481052E-14</v>
      </c>
    </row>
    <row r="1038" spans="11:12" x14ac:dyDescent="0.45">
      <c r="K1038" s="7">
        <v>1036</v>
      </c>
      <c r="L1038" s="65">
        <v>20.899999999999924</v>
      </c>
    </row>
    <row r="1039" spans="11:12" x14ac:dyDescent="0.45">
      <c r="K1039" s="7">
        <v>1037</v>
      </c>
      <c r="L1039" s="65">
        <v>2.1999999999999247</v>
      </c>
    </row>
    <row r="1040" spans="11:12" x14ac:dyDescent="0.45">
      <c r="K1040" s="7">
        <v>1038</v>
      </c>
      <c r="L1040" s="65">
        <v>-7.5495165674510645E-14</v>
      </c>
    </row>
    <row r="1041" spans="11:12" x14ac:dyDescent="0.45">
      <c r="K1041" s="7">
        <v>1039</v>
      </c>
      <c r="L1041" s="65">
        <v>60.89999999999992</v>
      </c>
    </row>
    <row r="1042" spans="11:12" x14ac:dyDescent="0.45">
      <c r="K1042" s="7">
        <v>1040</v>
      </c>
      <c r="L1042" s="65">
        <v>51.099999999999923</v>
      </c>
    </row>
    <row r="1043" spans="11:12" x14ac:dyDescent="0.45">
      <c r="K1043" s="7">
        <v>1041</v>
      </c>
      <c r="L1043" s="65">
        <v>-7.815970093361102E-14</v>
      </c>
    </row>
    <row r="1044" spans="11:12" x14ac:dyDescent="0.45">
      <c r="K1044" s="7">
        <v>1042</v>
      </c>
      <c r="L1044" s="65">
        <v>-3.9000000000000781</v>
      </c>
    </row>
    <row r="1045" spans="11:12" x14ac:dyDescent="0.45">
      <c r="K1045" s="7">
        <v>1043</v>
      </c>
      <c r="L1045" s="65">
        <v>14.399999999999922</v>
      </c>
    </row>
    <row r="1046" spans="11:12" x14ac:dyDescent="0.45">
      <c r="K1046" s="7">
        <v>1044</v>
      </c>
      <c r="L1046" s="65">
        <v>-7.815970093361102E-14</v>
      </c>
    </row>
    <row r="1047" spans="11:12" x14ac:dyDescent="0.45">
      <c r="K1047" s="7">
        <v>1045</v>
      </c>
      <c r="L1047" s="65">
        <v>-21.200000000000077</v>
      </c>
    </row>
    <row r="1048" spans="11:12" x14ac:dyDescent="0.45">
      <c r="K1048" s="7">
        <v>1046</v>
      </c>
      <c r="L1048" s="65">
        <v>4.0999999999999233</v>
      </c>
    </row>
    <row r="1049" spans="11:12" x14ac:dyDescent="0.45">
      <c r="K1049" s="7">
        <v>1047</v>
      </c>
      <c r="L1049" s="65">
        <v>-7.638334409421077E-14</v>
      </c>
    </row>
    <row r="1050" spans="11:12" x14ac:dyDescent="0.45">
      <c r="K1050" s="7">
        <v>1048</v>
      </c>
      <c r="L1050" s="65">
        <v>-42.000000000000078</v>
      </c>
    </row>
    <row r="1051" spans="11:12" x14ac:dyDescent="0.45">
      <c r="K1051" s="7">
        <v>1049</v>
      </c>
      <c r="L1051" s="65">
        <v>-48.900000000000077</v>
      </c>
    </row>
    <row r="1052" spans="11:12" x14ac:dyDescent="0.45">
      <c r="K1052" s="7">
        <v>1050</v>
      </c>
      <c r="L1052" s="65">
        <v>-7.815970093361102E-14</v>
      </c>
    </row>
    <row r="1053" spans="11:12" x14ac:dyDescent="0.45">
      <c r="K1053" s="7">
        <v>1051</v>
      </c>
      <c r="L1053" s="65">
        <v>21.699999999999921</v>
      </c>
    </row>
    <row r="1054" spans="11:12" x14ac:dyDescent="0.45">
      <c r="K1054" s="7">
        <v>1052</v>
      </c>
      <c r="L1054" s="65">
        <v>26.89999999999992</v>
      </c>
    </row>
    <row r="1055" spans="11:12" x14ac:dyDescent="0.45">
      <c r="K1055" s="7">
        <v>1053</v>
      </c>
      <c r="L1055" s="65">
        <v>-7.815970093361102E-14</v>
      </c>
    </row>
    <row r="1056" spans="11:12" x14ac:dyDescent="0.45">
      <c r="K1056" s="7">
        <v>1054</v>
      </c>
      <c r="L1056" s="65">
        <v>44.499999999999922</v>
      </c>
    </row>
    <row r="1057" spans="11:12" x14ac:dyDescent="0.45">
      <c r="K1057" s="7">
        <v>1055</v>
      </c>
      <c r="L1057" s="65">
        <v>54.599999999999923</v>
      </c>
    </row>
    <row r="1058" spans="11:12" x14ac:dyDescent="0.45">
      <c r="K1058" s="7">
        <v>1056</v>
      </c>
      <c r="L1058" s="65">
        <v>-7.815970093361102E-14</v>
      </c>
    </row>
    <row r="1059" spans="11:12" x14ac:dyDescent="0.45">
      <c r="K1059" s="7">
        <v>1057</v>
      </c>
      <c r="L1059" s="65">
        <v>-60.200000000000081</v>
      </c>
    </row>
    <row r="1060" spans="11:12" x14ac:dyDescent="0.45">
      <c r="K1060" s="7">
        <v>1058</v>
      </c>
      <c r="L1060" s="65">
        <v>4.8999999999999133</v>
      </c>
    </row>
    <row r="1061" spans="11:12" x14ac:dyDescent="0.45">
      <c r="K1061" s="7">
        <v>1059</v>
      </c>
      <c r="L1061" s="65">
        <v>-8.7041485130612273E-14</v>
      </c>
    </row>
    <row r="1062" spans="11:12" x14ac:dyDescent="0.45">
      <c r="K1062" s="7">
        <v>1060</v>
      </c>
      <c r="L1062" s="65">
        <v>37.499999999999915</v>
      </c>
    </row>
    <row r="1063" spans="11:12" x14ac:dyDescent="0.45">
      <c r="K1063" s="7">
        <v>1061</v>
      </c>
      <c r="L1063" s="65">
        <v>-8.7000000000000881</v>
      </c>
    </row>
    <row r="1064" spans="11:12" x14ac:dyDescent="0.45">
      <c r="K1064" s="7">
        <v>1062</v>
      </c>
      <c r="L1064" s="65">
        <v>-8.8817841970012523E-14</v>
      </c>
    </row>
    <row r="1065" spans="11:12" x14ac:dyDescent="0.45">
      <c r="K1065" s="7">
        <v>1063</v>
      </c>
      <c r="L1065" s="65">
        <v>-21.80000000000009</v>
      </c>
    </row>
    <row r="1066" spans="11:12" x14ac:dyDescent="0.45">
      <c r="K1066" s="7">
        <v>1064</v>
      </c>
      <c r="L1066" s="65">
        <v>-32.30000000000009</v>
      </c>
    </row>
    <row r="1067" spans="11:12" x14ac:dyDescent="0.45">
      <c r="K1067" s="7">
        <v>1065</v>
      </c>
      <c r="L1067" s="65">
        <v>-9.2370555648813024E-14</v>
      </c>
    </row>
    <row r="1068" spans="11:12" x14ac:dyDescent="0.45">
      <c r="K1068" s="7">
        <v>1066</v>
      </c>
      <c r="L1068" s="65">
        <v>12.699999999999907</v>
      </c>
    </row>
    <row r="1069" spans="11:12" x14ac:dyDescent="0.45">
      <c r="K1069" s="7">
        <v>1067</v>
      </c>
      <c r="L1069" s="65">
        <v>13.099999999999907</v>
      </c>
    </row>
    <row r="1070" spans="11:12" x14ac:dyDescent="0.45">
      <c r="K1070" s="7">
        <v>1068</v>
      </c>
      <c r="L1070" s="65">
        <v>-9.2370555648813024E-14</v>
      </c>
    </row>
    <row r="1071" spans="11:12" x14ac:dyDescent="0.45">
      <c r="K1071" s="7">
        <v>1069</v>
      </c>
      <c r="L1071" s="65">
        <v>-17.100000000000094</v>
      </c>
    </row>
    <row r="1072" spans="11:12" x14ac:dyDescent="0.45">
      <c r="K1072" s="7">
        <v>1070</v>
      </c>
      <c r="L1072" s="65">
        <v>4.7999999999999048</v>
      </c>
    </row>
    <row r="1073" spans="11:12" x14ac:dyDescent="0.45">
      <c r="K1073" s="7">
        <v>1071</v>
      </c>
      <c r="L1073" s="65">
        <v>-9.50350909079134E-14</v>
      </c>
    </row>
    <row r="1074" spans="11:12" x14ac:dyDescent="0.45">
      <c r="K1074" s="7">
        <v>1072</v>
      </c>
      <c r="L1074" s="65">
        <v>-49.400000000000091</v>
      </c>
    </row>
    <row r="1075" spans="11:12" x14ac:dyDescent="0.45">
      <c r="K1075" s="7">
        <v>1073</v>
      </c>
      <c r="L1075" s="65">
        <v>6.9999999999999076</v>
      </c>
    </row>
    <row r="1076" spans="11:12" x14ac:dyDescent="0.45">
      <c r="K1076" s="7">
        <v>1074</v>
      </c>
      <c r="L1076" s="65">
        <v>-9.2370555648813024E-14</v>
      </c>
    </row>
    <row r="1077" spans="11:12" x14ac:dyDescent="0.45">
      <c r="K1077" s="7">
        <v>1075</v>
      </c>
      <c r="L1077" s="65">
        <v>-6.8000000000000922</v>
      </c>
    </row>
    <row r="1078" spans="11:12" x14ac:dyDescent="0.45">
      <c r="K1078" s="7">
        <v>1076</v>
      </c>
      <c r="L1078" s="65">
        <v>-40.400000000000091</v>
      </c>
    </row>
    <row r="1079" spans="11:12" x14ac:dyDescent="0.45">
      <c r="K1079" s="7">
        <v>1077</v>
      </c>
      <c r="L1079" s="65">
        <v>-9.2370555648813024E-14</v>
      </c>
    </row>
    <row r="1080" spans="11:12" x14ac:dyDescent="0.45">
      <c r="K1080" s="7">
        <v>1078</v>
      </c>
      <c r="L1080" s="65">
        <v>-8.3000000000000931</v>
      </c>
    </row>
    <row r="1081" spans="11:12" x14ac:dyDescent="0.45">
      <c r="K1081" s="7">
        <v>1079</v>
      </c>
      <c r="L1081" s="65">
        <v>18.599999999999905</v>
      </c>
    </row>
    <row r="1082" spans="11:12" x14ac:dyDescent="0.45">
      <c r="K1082" s="7">
        <v>1080</v>
      </c>
      <c r="L1082" s="65">
        <v>-9.5923269327613525E-14</v>
      </c>
    </row>
    <row r="1083" spans="11:12" x14ac:dyDescent="0.45">
      <c r="K1083" s="7">
        <v>1081</v>
      </c>
      <c r="L1083" s="65">
        <v>31.399999999999903</v>
      </c>
    </row>
    <row r="1084" spans="11:12" x14ac:dyDescent="0.45">
      <c r="K1084" s="7">
        <v>1082</v>
      </c>
      <c r="L1084" s="65">
        <v>43.399999999999906</v>
      </c>
    </row>
    <row r="1085" spans="11:12" x14ac:dyDescent="0.45">
      <c r="K1085" s="7">
        <v>1083</v>
      </c>
      <c r="L1085" s="65">
        <v>-9.2370555648813024E-14</v>
      </c>
    </row>
  </sheetData>
  <sortState xmlns:xlrd2="http://schemas.microsoft.com/office/spreadsheetml/2017/richdata2" ref="N15:Q2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3E513-04E4-4FD2-B990-E53DD798BD99}">
  <sheetPr codeName="Sheet7"/>
  <dimension ref="A1:Q9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158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93</v>
      </c>
      <c r="C2" s="130"/>
      <c r="E2" s="28" t="s">
        <v>66</v>
      </c>
      <c r="F2" s="25" t="s">
        <v>22</v>
      </c>
      <c r="G2" s="13">
        <v>155</v>
      </c>
      <c r="H2" s="91">
        <f>IF(B$19=0,0,G2/B$19)</f>
        <v>0.68281938325991187</v>
      </c>
      <c r="I2" s="59">
        <v>11</v>
      </c>
      <c r="K2" s="5">
        <v>0</v>
      </c>
      <c r="L2" s="64">
        <v>0</v>
      </c>
      <c r="N2" s="77" t="s">
        <v>130</v>
      </c>
      <c r="O2" s="83">
        <f t="shared" ref="O2:O7" si="0">IF(P2=0,0,Q2/P2)</f>
        <v>1841.9354838709678</v>
      </c>
      <c r="P2" s="80">
        <v>93</v>
      </c>
      <c r="Q2" s="67">
        <v>171300</v>
      </c>
    </row>
    <row r="3" spans="1:17" x14ac:dyDescent="0.45">
      <c r="A3" s="21" t="s">
        <v>8</v>
      </c>
      <c r="B3" s="131">
        <v>832</v>
      </c>
      <c r="C3" s="132"/>
      <c r="E3" s="29" t="s">
        <v>72</v>
      </c>
      <c r="F3" s="26" t="s">
        <v>27</v>
      </c>
      <c r="G3" s="14">
        <v>125</v>
      </c>
      <c r="H3" s="92">
        <f>IF(B$19=0,0,G3/B$19)</f>
        <v>0.5506607929515418</v>
      </c>
      <c r="I3" s="60">
        <v>5</v>
      </c>
      <c r="K3" s="7">
        <v>1</v>
      </c>
      <c r="L3" s="65">
        <v>-4.5999999999999996</v>
      </c>
      <c r="N3" s="78" t="s">
        <v>131</v>
      </c>
      <c r="O3" s="84">
        <f t="shared" si="0"/>
        <v>-1781.3186813186812</v>
      </c>
      <c r="P3" s="81">
        <v>91</v>
      </c>
      <c r="Q3" s="68">
        <v>-162100</v>
      </c>
    </row>
    <row r="4" spans="1:17" x14ac:dyDescent="0.45">
      <c r="A4" s="21" t="s">
        <v>6</v>
      </c>
      <c r="B4" s="133">
        <v>-703.8000000000003</v>
      </c>
      <c r="C4" s="134"/>
      <c r="E4" s="29" t="s">
        <v>163</v>
      </c>
      <c r="F4" s="26" t="s">
        <v>164</v>
      </c>
      <c r="G4" s="14">
        <v>80</v>
      </c>
      <c r="H4" s="92">
        <f>IF(B$19=0,0,G4/B$19)</f>
        <v>0.3524229074889868</v>
      </c>
      <c r="I4" s="60">
        <v>11</v>
      </c>
      <c r="K4" s="7">
        <v>2</v>
      </c>
      <c r="L4" s="65">
        <v>19.899999999999999</v>
      </c>
      <c r="N4" s="78" t="s">
        <v>132</v>
      </c>
      <c r="O4" s="84">
        <f t="shared" si="0"/>
        <v>-2753.932584269663</v>
      </c>
      <c r="P4" s="81">
        <v>89</v>
      </c>
      <c r="Q4" s="68">
        <v>-245100</v>
      </c>
    </row>
    <row r="5" spans="1:17" x14ac:dyDescent="0.45">
      <c r="A5" s="21" t="s">
        <v>7</v>
      </c>
      <c r="B5" s="121">
        <f>IF(B$2=0,0,B$4/B$2)</f>
        <v>-7.5677419354838742</v>
      </c>
      <c r="C5" s="122"/>
      <c r="E5" s="29" t="s">
        <v>68</v>
      </c>
      <c r="F5" s="26" t="s">
        <v>12</v>
      </c>
      <c r="G5" s="14">
        <v>62</v>
      </c>
      <c r="H5" s="92">
        <f>IF(B$19=0,0,G5/B$19)</f>
        <v>0.27312775330396477</v>
      </c>
      <c r="I5" s="60">
        <v>11</v>
      </c>
      <c r="K5" s="7">
        <v>3</v>
      </c>
      <c r="L5" s="65">
        <v>-8.3000000000000007</v>
      </c>
      <c r="N5" s="78" t="s">
        <v>133</v>
      </c>
      <c r="O5" s="84">
        <f t="shared" si="0"/>
        <v>-592.77108433734941</v>
      </c>
      <c r="P5" s="81">
        <v>83</v>
      </c>
      <c r="Q5" s="68">
        <v>-49200</v>
      </c>
    </row>
    <row r="6" spans="1:17" x14ac:dyDescent="0.45">
      <c r="A6" s="21" t="s">
        <v>1</v>
      </c>
      <c r="B6" s="135">
        <f>IF(B$2=0,0,(B$7*1+B$8*2+B$9*3)/B$2)</f>
        <v>2.172043010752688</v>
      </c>
      <c r="C6" s="136"/>
      <c r="E6" s="29" t="s">
        <v>64</v>
      </c>
      <c r="F6" s="26" t="s">
        <v>20</v>
      </c>
      <c r="G6" s="14">
        <v>61</v>
      </c>
      <c r="H6" s="92">
        <f>IF(B$19=0,0,G6/B$19)</f>
        <v>0.2687224669603524</v>
      </c>
      <c r="I6" s="60">
        <v>14</v>
      </c>
      <c r="K6" s="7">
        <v>4</v>
      </c>
      <c r="L6" s="65">
        <v>-30.7</v>
      </c>
      <c r="N6" s="78" t="s">
        <v>134</v>
      </c>
      <c r="O6" s="84">
        <f t="shared" si="0"/>
        <v>-1100</v>
      </c>
      <c r="P6" s="81">
        <v>81</v>
      </c>
      <c r="Q6" s="68">
        <v>-89100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0.26881720430107525</v>
      </c>
      <c r="E7" s="29" t="s">
        <v>67</v>
      </c>
      <c r="F7" s="26" t="s">
        <v>23</v>
      </c>
      <c r="G7" s="14">
        <v>41</v>
      </c>
      <c r="H7" s="92">
        <f>IF(B$19=0,0,G7/B$19)</f>
        <v>0.18061674008810572</v>
      </c>
      <c r="I7" s="60">
        <v>13</v>
      </c>
      <c r="K7" s="7">
        <v>5</v>
      </c>
      <c r="L7" s="65">
        <v>-55.8</v>
      </c>
      <c r="N7" s="79" t="s">
        <v>135</v>
      </c>
      <c r="O7" s="85">
        <f t="shared" si="0"/>
        <v>-2504.5454545454545</v>
      </c>
      <c r="P7" s="82">
        <v>66</v>
      </c>
      <c r="Q7" s="69">
        <v>-165300</v>
      </c>
    </row>
    <row r="8" spans="1:17" x14ac:dyDescent="0.45">
      <c r="A8" s="21" t="s">
        <v>3</v>
      </c>
      <c r="B8" s="14">
        <v>27</v>
      </c>
      <c r="C8" s="8">
        <f t="shared" si="1"/>
        <v>0.29032258064516131</v>
      </c>
      <c r="E8" s="29" t="s">
        <v>69</v>
      </c>
      <c r="F8" s="26" t="s">
        <v>24</v>
      </c>
      <c r="G8" s="14">
        <v>38</v>
      </c>
      <c r="H8" s="92">
        <f>IF(B$19=0,0,G8/B$19)</f>
        <v>0.16740088105726872</v>
      </c>
      <c r="I8" s="60">
        <v>5</v>
      </c>
      <c r="K8" s="7">
        <v>6</v>
      </c>
      <c r="L8" s="65">
        <v>-40.799999999999997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41</v>
      </c>
      <c r="C9" s="9">
        <f t="shared" si="1"/>
        <v>0.44086021505376344</v>
      </c>
      <c r="E9" s="29" t="s">
        <v>71</v>
      </c>
      <c r="F9" s="26" t="s">
        <v>26</v>
      </c>
      <c r="G9" s="14">
        <v>31</v>
      </c>
      <c r="H9" s="92">
        <f>IF(B$19=0,0,G9/B$19)</f>
        <v>0.13656387665198239</v>
      </c>
      <c r="I9" s="60">
        <v>2</v>
      </c>
      <c r="K9" s="7">
        <v>7</v>
      </c>
      <c r="L9" s="65">
        <v>-71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29.584</v>
      </c>
      <c r="C10" s="114">
        <v>739.6</v>
      </c>
      <c r="E10" s="29" t="s">
        <v>70</v>
      </c>
      <c r="F10" s="26" t="s">
        <v>25</v>
      </c>
      <c r="G10" s="14">
        <v>28</v>
      </c>
      <c r="H10" s="92">
        <f>IF(B$19=0,0,G10/B$19)</f>
        <v>0.12334801762114538</v>
      </c>
      <c r="I10" s="60">
        <v>4</v>
      </c>
      <c r="K10" s="7">
        <v>8</v>
      </c>
      <c r="L10" s="65">
        <v>-76.900000000000006</v>
      </c>
      <c r="N10" s="77" t="s">
        <v>154</v>
      </c>
      <c r="O10" s="86">
        <f>IF(P10=0,0,Q10/P10)</f>
        <v>-12.988235294117645</v>
      </c>
      <c r="P10" s="80">
        <v>34</v>
      </c>
      <c r="Q10" s="71">
        <v>-441.59999999999997</v>
      </c>
    </row>
    <row r="11" spans="1:17" x14ac:dyDescent="0.45">
      <c r="A11" s="22" t="s">
        <v>204</v>
      </c>
      <c r="B11" s="113">
        <f>IF(B8=0,0,C11/B8)</f>
        <v>-0.37777777777777816</v>
      </c>
      <c r="C11" s="114">
        <v>-10.20000000000001</v>
      </c>
      <c r="E11" s="29" t="s">
        <v>83</v>
      </c>
      <c r="F11" s="26" t="s">
        <v>38</v>
      </c>
      <c r="G11" s="14">
        <v>20</v>
      </c>
      <c r="H11" s="92">
        <f>IF(B$19=0,0,G11/B$19)</f>
        <v>8.8105726872246701E-2</v>
      </c>
      <c r="I11" s="60">
        <v>2</v>
      </c>
      <c r="K11" s="7">
        <v>9</v>
      </c>
      <c r="L11" s="65">
        <v>-59.500000000000007</v>
      </c>
      <c r="N11" s="78" t="s">
        <v>155</v>
      </c>
      <c r="O11" s="87">
        <f>IF(P11=0,0,Q11/P11)</f>
        <v>-6.7178571428571425</v>
      </c>
      <c r="P11" s="81">
        <v>28</v>
      </c>
      <c r="Q11" s="72">
        <v>-188.1</v>
      </c>
    </row>
    <row r="12" spans="1:17" x14ac:dyDescent="0.45">
      <c r="A12" s="22" t="s">
        <v>205</v>
      </c>
      <c r="B12" s="113">
        <f>IF(B9=0,0,C12/B9)</f>
        <v>-34.956097560975607</v>
      </c>
      <c r="C12" s="114">
        <v>-1433.1999999999998</v>
      </c>
      <c r="E12" s="29" t="s">
        <v>89</v>
      </c>
      <c r="F12" s="26" t="s">
        <v>44</v>
      </c>
      <c r="G12" s="14">
        <v>15</v>
      </c>
      <c r="H12" s="92">
        <f>IF(B$19=0,0,G12/B$19)</f>
        <v>6.6079295154185022E-2</v>
      </c>
      <c r="I12" s="60">
        <v>12</v>
      </c>
      <c r="K12" s="7">
        <v>10</v>
      </c>
      <c r="L12" s="65">
        <v>-32.700000000000003</v>
      </c>
      <c r="N12" s="79" t="s">
        <v>156</v>
      </c>
      <c r="O12" s="88">
        <f>IF(P12=0,0,Q12/P12)</f>
        <v>-2.3903225806451611</v>
      </c>
      <c r="P12" s="82">
        <v>31</v>
      </c>
      <c r="Q12" s="73">
        <v>-74.099999999999994</v>
      </c>
    </row>
    <row r="13" spans="1:17" x14ac:dyDescent="0.45">
      <c r="A13" s="22" t="s">
        <v>206</v>
      </c>
      <c r="B13" s="121">
        <f>AVERAGE(B10:B12)</f>
        <v>-1.9166251129177947</v>
      </c>
      <c r="C13" s="122"/>
      <c r="E13" s="29" t="s">
        <v>65</v>
      </c>
      <c r="F13" s="26" t="s">
        <v>21</v>
      </c>
      <c r="G13" s="14">
        <v>13</v>
      </c>
      <c r="H13" s="92">
        <f>IF(B$19=0,0,G13/B$19)</f>
        <v>5.7268722466960353E-2</v>
      </c>
      <c r="I13" s="60">
        <v>13</v>
      </c>
      <c r="K13" s="7">
        <v>11</v>
      </c>
      <c r="L13" s="65">
        <v>-35.5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9.6774193548387094E-2</v>
      </c>
      <c r="E14" s="29" t="s">
        <v>81</v>
      </c>
      <c r="F14" s="26" t="s">
        <v>36</v>
      </c>
      <c r="G14" s="14">
        <v>10</v>
      </c>
      <c r="H14" s="92">
        <f>IF(B$19=0,0,G14/B$19)</f>
        <v>4.405286343612335E-2</v>
      </c>
      <c r="I14" s="60">
        <v>3</v>
      </c>
      <c r="K14" s="7">
        <v>12</v>
      </c>
      <c r="L14" s="65">
        <v>-59.5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118</v>
      </c>
      <c r="C15" s="12">
        <f>IF(B$3=0,0,B15/B$3)</f>
        <v>0.14182692307692307</v>
      </c>
      <c r="E15" s="29" t="s">
        <v>86</v>
      </c>
      <c r="F15" s="26" t="s">
        <v>41</v>
      </c>
      <c r="G15" s="14">
        <v>7</v>
      </c>
      <c r="H15" s="92">
        <f>IF(B$19=0,0,G15/B$19)</f>
        <v>3.0837004405286344E-2</v>
      </c>
      <c r="I15" s="60">
        <v>10</v>
      </c>
      <c r="K15" s="7">
        <v>13</v>
      </c>
      <c r="L15" s="65">
        <v>-66.2</v>
      </c>
      <c r="N15" s="77" t="s">
        <v>275</v>
      </c>
      <c r="O15" s="86">
        <f t="shared" ref="O15:O23" si="2">IF(P15=0,0,Q15/P15)</f>
        <v>57.233333333333341</v>
      </c>
      <c r="P15" s="80">
        <v>3</v>
      </c>
      <c r="Q15" s="71">
        <v>171.70000000000002</v>
      </c>
    </row>
    <row r="16" spans="1:17" x14ac:dyDescent="0.45">
      <c r="A16" s="21" t="s">
        <v>118</v>
      </c>
      <c r="B16" s="14">
        <v>219</v>
      </c>
      <c r="C16" s="8">
        <f>IF(B$3=0,0,B16/B$3)</f>
        <v>0.26322115384615385</v>
      </c>
      <c r="E16" s="29" t="s">
        <v>79</v>
      </c>
      <c r="F16" s="26" t="s">
        <v>34</v>
      </c>
      <c r="G16" s="14">
        <v>5</v>
      </c>
      <c r="H16" s="92">
        <f>IF(B$19=0,0,G16/B$19)</f>
        <v>2.2026431718061675E-2</v>
      </c>
      <c r="I16" s="60">
        <v>3</v>
      </c>
      <c r="K16" s="7">
        <v>14</v>
      </c>
      <c r="L16" s="65">
        <v>-51.1</v>
      </c>
      <c r="N16" s="78" t="s">
        <v>194</v>
      </c>
      <c r="O16" s="87">
        <f t="shared" si="2"/>
        <v>7.4333333333333345</v>
      </c>
      <c r="P16" s="81">
        <v>6</v>
      </c>
      <c r="Q16" s="72">
        <v>44.600000000000009</v>
      </c>
    </row>
    <row r="17" spans="1:17" x14ac:dyDescent="0.45">
      <c r="A17" s="20" t="s">
        <v>123</v>
      </c>
      <c r="B17" s="13">
        <f>B23</f>
        <v>62</v>
      </c>
      <c r="C17" s="6">
        <f>IF(B$15=0,0,B17/B$15)</f>
        <v>0.52542372881355937</v>
      </c>
      <c r="E17" s="29" t="s">
        <v>91</v>
      </c>
      <c r="F17" s="26" t="s">
        <v>46</v>
      </c>
      <c r="G17" s="14">
        <v>4</v>
      </c>
      <c r="H17" s="92">
        <f>IF(B$19=0,0,G17/B$19)</f>
        <v>1.7621145374449341E-2</v>
      </c>
      <c r="I17" s="60">
        <v>5</v>
      </c>
      <c r="K17" s="7">
        <v>15</v>
      </c>
      <c r="L17" s="65">
        <v>-65.2</v>
      </c>
      <c r="N17" s="78" t="s">
        <v>169</v>
      </c>
      <c r="O17" s="87">
        <f t="shared" si="2"/>
        <v>-1.5750000000000026</v>
      </c>
      <c r="P17" s="81">
        <v>20</v>
      </c>
      <c r="Q17" s="72">
        <v>-31.500000000000053</v>
      </c>
    </row>
    <row r="18" spans="1:17" x14ac:dyDescent="0.45">
      <c r="A18" s="20" t="s">
        <v>124</v>
      </c>
      <c r="B18" s="13">
        <f>B24</f>
        <v>87</v>
      </c>
      <c r="C18" s="6">
        <f>IF(B$16=0,0,B18/B$16)</f>
        <v>0.39726027397260272</v>
      </c>
      <c r="E18" s="29" t="s">
        <v>74</v>
      </c>
      <c r="F18" s="26" t="s">
        <v>29</v>
      </c>
      <c r="G18" s="14">
        <v>2</v>
      </c>
      <c r="H18" s="92">
        <f>IF(B$19=0,0,G18/B$19)</f>
        <v>8.8105726872246704E-3</v>
      </c>
      <c r="I18" s="60">
        <v>1</v>
      </c>
      <c r="K18" s="7">
        <v>16</v>
      </c>
      <c r="L18" s="65">
        <v>-70.600000000000009</v>
      </c>
      <c r="N18" s="78" t="s">
        <v>168</v>
      </c>
      <c r="O18" s="87">
        <f t="shared" si="2"/>
        <v>-1.6133333333333333</v>
      </c>
      <c r="P18" s="81">
        <v>30</v>
      </c>
      <c r="Q18" s="72">
        <v>-48.4</v>
      </c>
    </row>
    <row r="19" spans="1:17" x14ac:dyDescent="0.45">
      <c r="A19" s="20" t="s">
        <v>10</v>
      </c>
      <c r="B19" s="13">
        <f>B22+B21</f>
        <v>227</v>
      </c>
      <c r="C19" s="6">
        <f>IF(B$3=0,0,B19/B$3)</f>
        <v>0.27283653846153844</v>
      </c>
      <c r="E19" s="29" t="s">
        <v>75</v>
      </c>
      <c r="F19" s="26" t="s">
        <v>30</v>
      </c>
      <c r="G19" s="14">
        <v>2</v>
      </c>
      <c r="H19" s="92">
        <f>IF(B$19=0,0,G19/B$19)</f>
        <v>8.8105726872246704E-3</v>
      </c>
      <c r="I19" s="60">
        <v>4</v>
      </c>
      <c r="K19" s="7">
        <v>17</v>
      </c>
      <c r="L19" s="65">
        <v>-65.2</v>
      </c>
      <c r="N19" s="78" t="s">
        <v>127</v>
      </c>
      <c r="O19" s="87">
        <f t="shared" si="2"/>
        <v>-13.864864864864865</v>
      </c>
      <c r="P19" s="81">
        <v>37</v>
      </c>
      <c r="Q19" s="72">
        <v>-513</v>
      </c>
    </row>
    <row r="20" spans="1:17" x14ac:dyDescent="0.45">
      <c r="A20" s="21" t="s">
        <v>13</v>
      </c>
      <c r="B20" s="14">
        <v>135</v>
      </c>
      <c r="C20" s="8">
        <f>IF(B$3=0,0,B20/B$3)</f>
        <v>0.16225961538461539</v>
      </c>
      <c r="E20" s="29" t="s">
        <v>78</v>
      </c>
      <c r="F20" s="26" t="s">
        <v>33</v>
      </c>
      <c r="G20" s="14">
        <v>2</v>
      </c>
      <c r="H20" s="92">
        <f>IF(B$19=0,0,G20/B$19)</f>
        <v>8.8105726872246704E-3</v>
      </c>
      <c r="I20" s="60">
        <v>10</v>
      </c>
      <c r="K20" s="7">
        <v>18</v>
      </c>
      <c r="L20" s="65">
        <v>-80.2</v>
      </c>
      <c r="N20" s="78" t="s">
        <v>126</v>
      </c>
      <c r="O20" s="87">
        <f t="shared" si="2"/>
        <v>-15.074418604651166</v>
      </c>
      <c r="P20" s="81">
        <v>43</v>
      </c>
      <c r="Q20" s="72">
        <v>-648.20000000000016</v>
      </c>
    </row>
    <row r="21" spans="1:17" x14ac:dyDescent="0.45">
      <c r="A21" s="21" t="s">
        <v>12</v>
      </c>
      <c r="B21" s="14">
        <v>96</v>
      </c>
      <c r="C21" s="8">
        <f>IF(B$19=0,0,B21/B$19)</f>
        <v>0.42290748898678415</v>
      </c>
      <c r="E21" s="29" t="s">
        <v>88</v>
      </c>
      <c r="F21" s="26" t="s">
        <v>43</v>
      </c>
      <c r="G21" s="14">
        <v>2</v>
      </c>
      <c r="H21" s="92">
        <f>IF(B$19=0,0,G21/B$19)</f>
        <v>8.8105726872246704E-3</v>
      </c>
      <c r="I21" s="60">
        <v>1</v>
      </c>
      <c r="K21" s="7">
        <v>19</v>
      </c>
      <c r="L21" s="65">
        <v>-115.1</v>
      </c>
      <c r="N21" s="78" t="s">
        <v>195</v>
      </c>
      <c r="O21" s="87">
        <f t="shared" si="2"/>
        <v>-18.406666666666663</v>
      </c>
      <c r="P21" s="81">
        <v>15</v>
      </c>
      <c r="Q21" s="72">
        <v>-276.09999999999997</v>
      </c>
    </row>
    <row r="22" spans="1:17" x14ac:dyDescent="0.45">
      <c r="A22" s="21" t="s">
        <v>11</v>
      </c>
      <c r="B22" s="14">
        <v>131</v>
      </c>
      <c r="C22" s="8">
        <f>IF(B$19=0,0,B22/B$19)</f>
        <v>0.5770925110132159</v>
      </c>
      <c r="E22" s="29" t="s">
        <v>93</v>
      </c>
      <c r="F22" s="26" t="s">
        <v>48</v>
      </c>
      <c r="G22" s="14">
        <v>2</v>
      </c>
      <c r="H22" s="92">
        <f>IF(B$19=0,0,G22/B$19)</f>
        <v>8.8105726872246704E-3</v>
      </c>
      <c r="I22" s="60">
        <v>1</v>
      </c>
      <c r="K22" s="7">
        <v>20</v>
      </c>
      <c r="L22" s="65">
        <v>-88.8</v>
      </c>
      <c r="N22" s="78" t="s">
        <v>167</v>
      </c>
      <c r="O22" s="87">
        <f t="shared" si="2"/>
        <v>-24.919354838709676</v>
      </c>
      <c r="P22" s="81">
        <v>31</v>
      </c>
      <c r="Q22" s="72">
        <v>-772.5</v>
      </c>
    </row>
    <row r="23" spans="1:17" x14ac:dyDescent="0.45">
      <c r="A23" s="21" t="s">
        <v>192</v>
      </c>
      <c r="B23" s="14">
        <v>62</v>
      </c>
      <c r="C23" s="8">
        <f>IF(B$19=0,0,B23/B$19)</f>
        <v>0.27312775330396477</v>
      </c>
      <c r="E23" s="29" t="s">
        <v>77</v>
      </c>
      <c r="F23" s="26" t="s">
        <v>32</v>
      </c>
      <c r="G23" s="14">
        <v>1</v>
      </c>
      <c r="H23" s="92">
        <f>IF(B$19=0,0,G23/B$19)</f>
        <v>4.4052863436123352E-3</v>
      </c>
      <c r="I23" s="60">
        <v>3</v>
      </c>
      <c r="K23" s="7">
        <v>21</v>
      </c>
      <c r="L23" s="65">
        <v>-111.4</v>
      </c>
      <c r="N23" s="78" t="s">
        <v>282</v>
      </c>
      <c r="O23" s="87">
        <f t="shared" si="2"/>
        <v>-38</v>
      </c>
      <c r="P23" s="81">
        <v>1</v>
      </c>
      <c r="Q23" s="72">
        <v>-38</v>
      </c>
    </row>
    <row r="24" spans="1:17" x14ac:dyDescent="0.45">
      <c r="A24" s="21" t="s">
        <v>190</v>
      </c>
      <c r="B24" s="14">
        <v>87</v>
      </c>
      <c r="C24" s="8">
        <f>IF(B$19=0,0,B24/B$19)</f>
        <v>0.38325991189427311</v>
      </c>
      <c r="E24" s="29" t="s">
        <v>84</v>
      </c>
      <c r="F24" s="26" t="s">
        <v>39</v>
      </c>
      <c r="G24" s="14">
        <v>1</v>
      </c>
      <c r="H24" s="92">
        <f>IF(B$19=0,0,G24/B$19)</f>
        <v>4.4052863436123352E-3</v>
      </c>
      <c r="I24" s="60">
        <v>3</v>
      </c>
      <c r="K24" s="7">
        <v>22</v>
      </c>
      <c r="L24" s="65">
        <v>-142.80000000000001</v>
      </c>
    </row>
    <row r="25" spans="1:17" x14ac:dyDescent="0.45">
      <c r="A25" s="21" t="s">
        <v>191</v>
      </c>
      <c r="B25" s="14">
        <v>78</v>
      </c>
      <c r="C25" s="8">
        <f>IF(B$19=0,0,B25/B$19)</f>
        <v>0.34361233480176212</v>
      </c>
      <c r="E25" s="29" t="s">
        <v>87</v>
      </c>
      <c r="F25" s="26" t="s">
        <v>42</v>
      </c>
      <c r="G25" s="14">
        <v>1</v>
      </c>
      <c r="H25" s="92">
        <f>IF(B$19=0,0,G25/B$19)</f>
        <v>4.4052863436123352E-3</v>
      </c>
      <c r="I25" s="60">
        <v>3</v>
      </c>
      <c r="K25" s="7">
        <v>23</v>
      </c>
      <c r="L25" s="65">
        <v>-80.900000000000006</v>
      </c>
    </row>
    <row r="26" spans="1:17" x14ac:dyDescent="0.45">
      <c r="A26" s="21" t="s">
        <v>5</v>
      </c>
      <c r="B26" s="18">
        <f>IF(B$19=0,0,C26/B$19)</f>
        <v>7057.7092511013216</v>
      </c>
      <c r="C26" s="10">
        <v>1602100</v>
      </c>
      <c r="E26" s="29" t="s">
        <v>73</v>
      </c>
      <c r="F26" s="26" t="s">
        <v>28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-111.60000000000001</v>
      </c>
    </row>
    <row r="27" spans="1:17" x14ac:dyDescent="0.45">
      <c r="A27" s="22" t="s">
        <v>174</v>
      </c>
      <c r="B27" s="99">
        <f>IF($B$19-B$18=0,0,C27/($B$19-B$18))</f>
        <v>7562.8571428571431</v>
      </c>
      <c r="C27" s="100">
        <v>1058800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-97.500000000000014</v>
      </c>
    </row>
    <row r="28" spans="1:17" x14ac:dyDescent="0.45">
      <c r="A28" s="22" t="s">
        <v>175</v>
      </c>
      <c r="B28" s="99">
        <f>IF(B$18=0,0,C28/B$18)</f>
        <v>6244.8275862068967</v>
      </c>
      <c r="C28" s="100">
        <v>543300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-123.10000000000002</v>
      </c>
    </row>
    <row r="29" spans="1:17" x14ac:dyDescent="0.45">
      <c r="A29" s="22" t="s">
        <v>173</v>
      </c>
      <c r="B29" s="99">
        <f>IF(B$20=0,0,C29/B$20)</f>
        <v>-7708.8888888888887</v>
      </c>
      <c r="C29" s="100">
        <v>-1040700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-125.20000000000002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-124.40000000000002</v>
      </c>
    </row>
    <row r="31" spans="1:17" x14ac:dyDescent="0.45">
      <c r="A31" s="21" t="s">
        <v>162</v>
      </c>
      <c r="B31" s="14">
        <v>32</v>
      </c>
      <c r="C31" s="94">
        <v>0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-156.00000000000003</v>
      </c>
    </row>
    <row r="32" spans="1:17" x14ac:dyDescent="0.45">
      <c r="A32" s="56" t="s">
        <v>138</v>
      </c>
      <c r="B32" s="123">
        <v>6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-182.90000000000003</v>
      </c>
    </row>
    <row r="33" spans="1:12" x14ac:dyDescent="0.45">
      <c r="A33" s="24" t="s">
        <v>189</v>
      </c>
      <c r="B33" s="125">
        <v>87400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-203.20000000000005</v>
      </c>
    </row>
    <row r="34" spans="1:12" x14ac:dyDescent="0.45">
      <c r="A34" s="23" t="s">
        <v>139</v>
      </c>
      <c r="B34" s="31">
        <v>2</v>
      </c>
      <c r="C34" s="11">
        <f>IF(B$3=0,0,B34/B$3)</f>
        <v>2.403846153846154E-3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  <c r="K34" s="7">
        <v>32</v>
      </c>
      <c r="L34" s="65">
        <v>-211.90000000000003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-183.10000000000002</v>
      </c>
    </row>
    <row r="36" spans="1:12" x14ac:dyDescent="0.45">
      <c r="A36" s="56" t="s">
        <v>180</v>
      </c>
      <c r="B36" s="119">
        <v>30</v>
      </c>
      <c r="C36" s="102">
        <f t="shared" ref="C36:C48" si="3">IF(B$19=0,0,B36/B$19)</f>
        <v>0.13215859030837004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-168.3</v>
      </c>
    </row>
    <row r="37" spans="1:12" x14ac:dyDescent="0.45">
      <c r="A37" s="21" t="s">
        <v>176</v>
      </c>
      <c r="B37" s="14">
        <v>46</v>
      </c>
      <c r="C37" s="8">
        <f t="shared" si="3"/>
        <v>0.20264317180616739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-210.60000000000002</v>
      </c>
    </row>
    <row r="38" spans="1:12" x14ac:dyDescent="0.45">
      <c r="A38" s="21" t="s">
        <v>177</v>
      </c>
      <c r="B38" s="120">
        <v>48</v>
      </c>
      <c r="C38" s="8">
        <f t="shared" si="3"/>
        <v>0.21145374449339208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-199.20000000000002</v>
      </c>
    </row>
    <row r="39" spans="1:12" x14ac:dyDescent="0.45">
      <c r="A39" s="21" t="s">
        <v>178</v>
      </c>
      <c r="B39" s="120">
        <v>42</v>
      </c>
      <c r="C39" s="8">
        <f t="shared" si="3"/>
        <v>0.18502202643171806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-177.00000000000003</v>
      </c>
    </row>
    <row r="40" spans="1:12" x14ac:dyDescent="0.45">
      <c r="A40" s="21" t="s">
        <v>179</v>
      </c>
      <c r="B40" s="120">
        <v>23</v>
      </c>
      <c r="C40" s="8">
        <f t="shared" si="3"/>
        <v>0.1013215859030837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  <c r="K40" s="7">
        <v>38</v>
      </c>
      <c r="L40" s="65">
        <v>-213.10000000000002</v>
      </c>
    </row>
    <row r="41" spans="1:12" x14ac:dyDescent="0.45">
      <c r="A41" s="21" t="s">
        <v>181</v>
      </c>
      <c r="B41" s="120">
        <v>18</v>
      </c>
      <c r="C41" s="8">
        <f t="shared" si="3"/>
        <v>7.9295154185022032E-2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-238.60000000000002</v>
      </c>
    </row>
    <row r="42" spans="1:12" x14ac:dyDescent="0.45">
      <c r="A42" s="21" t="s">
        <v>182</v>
      </c>
      <c r="B42" s="120">
        <v>11</v>
      </c>
      <c r="C42" s="8">
        <f t="shared" si="3"/>
        <v>4.8458149779735685E-2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-193.60000000000002</v>
      </c>
    </row>
    <row r="43" spans="1:12" x14ac:dyDescent="0.45">
      <c r="A43" s="21" t="s">
        <v>183</v>
      </c>
      <c r="B43" s="120">
        <v>6</v>
      </c>
      <c r="C43" s="8">
        <f t="shared" si="3"/>
        <v>2.643171806167401E-2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-170.00000000000003</v>
      </c>
    </row>
    <row r="44" spans="1:12" x14ac:dyDescent="0.45">
      <c r="A44" s="21" t="s">
        <v>184</v>
      </c>
      <c r="B44" s="120">
        <v>1</v>
      </c>
      <c r="C44" s="8">
        <f t="shared" si="3"/>
        <v>4.4052863436123352E-3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-143.30000000000004</v>
      </c>
    </row>
    <row r="45" spans="1:12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-172.20000000000005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-144.10000000000005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-97.300000000000054</v>
      </c>
    </row>
    <row r="48" spans="1:12" x14ac:dyDescent="0.45">
      <c r="A48" s="23" t="s">
        <v>188</v>
      </c>
      <c r="B48" s="101">
        <v>2</v>
      </c>
      <c r="C48" s="11">
        <f t="shared" si="3"/>
        <v>8.8105726872246704E-3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-145.90000000000006</v>
      </c>
    </row>
    <row r="49" spans="5:12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-187.00000000000006</v>
      </c>
    </row>
    <row r="50" spans="5:12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-230.30000000000007</v>
      </c>
    </row>
    <row r="51" spans="5:12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  <c r="K51" s="7">
        <v>49</v>
      </c>
      <c r="L51" s="65">
        <v>-256.70000000000005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-292.80000000000007</v>
      </c>
    </row>
    <row r="53" spans="5:12" x14ac:dyDescent="0.45">
      <c r="K53" s="7">
        <v>51</v>
      </c>
      <c r="L53" s="65">
        <v>-273.60000000000008</v>
      </c>
    </row>
    <row r="54" spans="5:12" x14ac:dyDescent="0.45">
      <c r="K54" s="7">
        <v>52</v>
      </c>
      <c r="L54" s="65">
        <v>-296.10000000000008</v>
      </c>
    </row>
    <row r="55" spans="5:12" x14ac:dyDescent="0.45">
      <c r="K55" s="7">
        <v>53</v>
      </c>
      <c r="L55" s="65">
        <v>-383.50000000000011</v>
      </c>
    </row>
    <row r="56" spans="5:12" x14ac:dyDescent="0.45">
      <c r="K56" s="7">
        <v>54</v>
      </c>
      <c r="L56" s="65">
        <v>-415.00000000000011</v>
      </c>
    </row>
    <row r="57" spans="5:12" x14ac:dyDescent="0.45">
      <c r="K57" s="7">
        <v>55</v>
      </c>
      <c r="L57" s="65">
        <v>-381.50000000000011</v>
      </c>
    </row>
    <row r="58" spans="5:12" x14ac:dyDescent="0.45">
      <c r="K58" s="7">
        <v>56</v>
      </c>
      <c r="L58" s="65">
        <v>-369.50000000000011</v>
      </c>
    </row>
    <row r="59" spans="5:12" x14ac:dyDescent="0.45">
      <c r="K59" s="7">
        <v>57</v>
      </c>
      <c r="L59" s="65">
        <v>-389.2000000000001</v>
      </c>
    </row>
    <row r="60" spans="5:12" x14ac:dyDescent="0.45">
      <c r="K60" s="7">
        <v>58</v>
      </c>
      <c r="L60" s="65">
        <v>-436.00000000000011</v>
      </c>
    </row>
    <row r="61" spans="5:12" x14ac:dyDescent="0.45">
      <c r="K61" s="7">
        <v>59</v>
      </c>
      <c r="L61" s="65">
        <v>-399.2000000000001</v>
      </c>
    </row>
    <row r="62" spans="5:12" x14ac:dyDescent="0.45">
      <c r="K62" s="7">
        <v>60</v>
      </c>
      <c r="L62" s="65">
        <v>-444.30000000000013</v>
      </c>
    </row>
    <row r="63" spans="5:12" x14ac:dyDescent="0.45">
      <c r="K63" s="7">
        <v>61</v>
      </c>
      <c r="L63" s="65">
        <v>-491.00000000000011</v>
      </c>
    </row>
    <row r="64" spans="5:12" x14ac:dyDescent="0.45">
      <c r="K64" s="7">
        <v>62</v>
      </c>
      <c r="L64" s="65">
        <v>-482.00000000000011</v>
      </c>
    </row>
    <row r="65" spans="11:12" x14ac:dyDescent="0.45">
      <c r="K65" s="7">
        <v>63</v>
      </c>
      <c r="L65" s="65">
        <v>-522.20000000000016</v>
      </c>
    </row>
    <row r="66" spans="11:12" x14ac:dyDescent="0.45">
      <c r="K66" s="7">
        <v>64</v>
      </c>
      <c r="L66" s="65">
        <v>-550.9000000000002</v>
      </c>
    </row>
    <row r="67" spans="11:12" x14ac:dyDescent="0.45">
      <c r="K67" s="7">
        <v>65</v>
      </c>
      <c r="L67" s="65">
        <v>-526.20000000000016</v>
      </c>
    </row>
    <row r="68" spans="11:12" x14ac:dyDescent="0.45">
      <c r="K68" s="7">
        <v>66</v>
      </c>
      <c r="L68" s="65">
        <v>-497.90000000000015</v>
      </c>
    </row>
    <row r="69" spans="11:12" x14ac:dyDescent="0.45">
      <c r="K69" s="7">
        <v>67</v>
      </c>
      <c r="L69" s="65">
        <v>-494.00000000000017</v>
      </c>
    </row>
    <row r="70" spans="11:12" x14ac:dyDescent="0.45">
      <c r="K70" s="7">
        <v>68</v>
      </c>
      <c r="L70" s="65">
        <v>-513.00000000000023</v>
      </c>
    </row>
    <row r="71" spans="11:12" x14ac:dyDescent="0.45">
      <c r="K71" s="7">
        <v>69</v>
      </c>
      <c r="L71" s="65">
        <v>-482.60000000000025</v>
      </c>
    </row>
    <row r="72" spans="11:12" x14ac:dyDescent="0.45">
      <c r="K72" s="7">
        <v>70</v>
      </c>
      <c r="L72" s="65">
        <v>-490.90000000000026</v>
      </c>
    </row>
    <row r="73" spans="11:12" x14ac:dyDescent="0.45">
      <c r="K73" s="7">
        <v>71</v>
      </c>
      <c r="L73" s="65">
        <v>-486.70000000000027</v>
      </c>
    </row>
    <row r="74" spans="11:12" x14ac:dyDescent="0.45">
      <c r="K74" s="7">
        <v>72</v>
      </c>
      <c r="L74" s="65">
        <v>-450.00000000000028</v>
      </c>
    </row>
    <row r="75" spans="11:12" x14ac:dyDescent="0.45">
      <c r="K75" s="7">
        <v>73</v>
      </c>
      <c r="L75" s="65">
        <v>-460.50000000000028</v>
      </c>
    </row>
    <row r="76" spans="11:12" x14ac:dyDescent="0.45">
      <c r="K76" s="7">
        <v>74</v>
      </c>
      <c r="L76" s="65">
        <v>-460.70000000000027</v>
      </c>
    </row>
    <row r="77" spans="11:12" x14ac:dyDescent="0.45">
      <c r="K77" s="7">
        <v>75</v>
      </c>
      <c r="L77" s="65">
        <v>-462.20000000000027</v>
      </c>
    </row>
    <row r="78" spans="11:12" x14ac:dyDescent="0.45">
      <c r="K78" s="7">
        <v>76</v>
      </c>
      <c r="L78" s="65">
        <v>-520.50000000000023</v>
      </c>
    </row>
    <row r="79" spans="11:12" x14ac:dyDescent="0.45">
      <c r="K79" s="7">
        <v>77</v>
      </c>
      <c r="L79" s="65">
        <v>-490.00000000000023</v>
      </c>
    </row>
    <row r="80" spans="11:12" x14ac:dyDescent="0.45">
      <c r="K80" s="7">
        <v>78</v>
      </c>
      <c r="L80" s="65">
        <v>-427.60000000000025</v>
      </c>
    </row>
    <row r="81" spans="11:12" x14ac:dyDescent="0.45">
      <c r="K81" s="7">
        <v>79</v>
      </c>
      <c r="L81" s="65">
        <v>-419.20000000000027</v>
      </c>
    </row>
    <row r="82" spans="11:12" x14ac:dyDescent="0.45">
      <c r="K82" s="7">
        <v>80</v>
      </c>
      <c r="L82" s="65">
        <v>-427.50000000000028</v>
      </c>
    </row>
    <row r="83" spans="11:12" x14ac:dyDescent="0.45">
      <c r="K83" s="7">
        <v>81</v>
      </c>
      <c r="L83" s="65">
        <v>-430.90000000000026</v>
      </c>
    </row>
    <row r="84" spans="11:12" x14ac:dyDescent="0.45">
      <c r="K84" s="7">
        <v>82</v>
      </c>
      <c r="L84" s="65">
        <v>-468.40000000000026</v>
      </c>
    </row>
    <row r="85" spans="11:12" x14ac:dyDescent="0.45">
      <c r="K85" s="7">
        <v>83</v>
      </c>
      <c r="L85" s="65">
        <v>-502.90000000000026</v>
      </c>
    </row>
    <row r="86" spans="11:12" x14ac:dyDescent="0.45">
      <c r="K86" s="7">
        <v>84</v>
      </c>
      <c r="L86" s="65">
        <v>-564.20000000000027</v>
      </c>
    </row>
    <row r="87" spans="11:12" x14ac:dyDescent="0.45">
      <c r="K87" s="7">
        <v>85</v>
      </c>
      <c r="L87" s="65">
        <v>-589.90000000000032</v>
      </c>
    </row>
    <row r="88" spans="11:12" x14ac:dyDescent="0.45">
      <c r="K88" s="7">
        <v>86</v>
      </c>
      <c r="L88" s="65">
        <v>-582.3000000000003</v>
      </c>
    </row>
    <row r="89" spans="11:12" x14ac:dyDescent="0.45">
      <c r="K89" s="7">
        <v>87</v>
      </c>
      <c r="L89" s="65">
        <v>-606.90000000000032</v>
      </c>
    </row>
    <row r="90" spans="11:12" x14ac:dyDescent="0.45">
      <c r="K90" s="7">
        <v>88</v>
      </c>
      <c r="L90" s="65">
        <v>-597.70000000000027</v>
      </c>
    </row>
    <row r="91" spans="11:12" x14ac:dyDescent="0.45">
      <c r="K91" s="7">
        <v>89</v>
      </c>
      <c r="L91" s="65">
        <v>-581.00000000000023</v>
      </c>
    </row>
    <row r="92" spans="11:12" x14ac:dyDescent="0.45">
      <c r="K92" s="7">
        <v>90</v>
      </c>
      <c r="L92" s="65">
        <v>-584.9000000000002</v>
      </c>
    </row>
    <row r="93" spans="11:12" x14ac:dyDescent="0.45">
      <c r="K93" s="7">
        <v>91</v>
      </c>
      <c r="L93" s="65">
        <v>-589.00000000000023</v>
      </c>
    </row>
    <row r="94" spans="11:12" x14ac:dyDescent="0.45">
      <c r="K94" s="7">
        <v>92</v>
      </c>
      <c r="L94" s="65">
        <v>-643.60000000000025</v>
      </c>
    </row>
    <row r="95" spans="11:12" x14ac:dyDescent="0.45">
      <c r="K95" s="7">
        <v>93</v>
      </c>
      <c r="L95" s="65">
        <v>-703.8000000000003</v>
      </c>
    </row>
  </sheetData>
  <sortState xmlns:xlrd2="http://schemas.microsoft.com/office/spreadsheetml/2017/richdata2" ref="E2:I96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E2616-B656-4EA8-9763-B391CEFBB08A}">
  <sheetPr codeName="Sheet9"/>
  <dimension ref="A1:Q22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126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220</v>
      </c>
      <c r="C2" s="130"/>
      <c r="E2" s="28" t="s">
        <v>66</v>
      </c>
      <c r="F2" s="25" t="s">
        <v>22</v>
      </c>
      <c r="G2" s="13">
        <v>437</v>
      </c>
      <c r="H2" s="91">
        <f>IF(B$19=0,0,G2/B$19)</f>
        <v>0.70597738287560585</v>
      </c>
      <c r="I2" s="59">
        <v>9</v>
      </c>
      <c r="K2" s="5">
        <v>0</v>
      </c>
      <c r="L2" s="64">
        <v>0</v>
      </c>
      <c r="N2" s="77" t="s">
        <v>130</v>
      </c>
      <c r="O2" s="83">
        <f t="shared" ref="O2:O7" si="0">IF(P2=0,0,Q2/P2)</f>
        <v>1203.6529680365297</v>
      </c>
      <c r="P2" s="80">
        <v>219</v>
      </c>
      <c r="Q2" s="67">
        <v>263600</v>
      </c>
    </row>
    <row r="3" spans="1:17" x14ac:dyDescent="0.45">
      <c r="A3" s="21" t="s">
        <v>8</v>
      </c>
      <c r="B3" s="131">
        <v>1836</v>
      </c>
      <c r="C3" s="132"/>
      <c r="E3" s="29" t="s">
        <v>72</v>
      </c>
      <c r="F3" s="26" t="s">
        <v>27</v>
      </c>
      <c r="G3" s="14">
        <v>331</v>
      </c>
      <c r="H3" s="92">
        <f>IF(B$19=0,0,G3/B$19)</f>
        <v>0.53473344103392573</v>
      </c>
      <c r="I3" s="60">
        <v>8</v>
      </c>
      <c r="K3" s="7">
        <v>1</v>
      </c>
      <c r="L3" s="65">
        <v>50.2</v>
      </c>
      <c r="N3" s="78" t="s">
        <v>131</v>
      </c>
      <c r="O3" s="84">
        <f t="shared" si="0"/>
        <v>1604.1666666666667</v>
      </c>
      <c r="P3" s="81">
        <v>216</v>
      </c>
      <c r="Q3" s="68">
        <v>346500</v>
      </c>
    </row>
    <row r="4" spans="1:17" x14ac:dyDescent="0.45">
      <c r="A4" s="21" t="s">
        <v>6</v>
      </c>
      <c r="B4" s="133">
        <v>1969.1</v>
      </c>
      <c r="C4" s="134"/>
      <c r="E4" s="29" t="s">
        <v>64</v>
      </c>
      <c r="F4" s="26" t="s">
        <v>20</v>
      </c>
      <c r="G4" s="14">
        <v>268</v>
      </c>
      <c r="H4" s="92">
        <f>IF(B$19=0,0,G4/B$19)</f>
        <v>0.43295638126009695</v>
      </c>
      <c r="I4" s="60">
        <v>10</v>
      </c>
      <c r="K4" s="7">
        <v>2</v>
      </c>
      <c r="L4" s="65">
        <v>14.400000000000006</v>
      </c>
      <c r="N4" s="78" t="s">
        <v>132</v>
      </c>
      <c r="O4" s="84">
        <f t="shared" si="0"/>
        <v>1251.4423076923076</v>
      </c>
      <c r="P4" s="81">
        <v>208</v>
      </c>
      <c r="Q4" s="68">
        <v>260300</v>
      </c>
    </row>
    <row r="5" spans="1:17" x14ac:dyDescent="0.45">
      <c r="A5" s="21" t="s">
        <v>7</v>
      </c>
      <c r="B5" s="121">
        <f>IF(B$2=0,0,B$4/B$2)</f>
        <v>8.9504545454545443</v>
      </c>
      <c r="C5" s="122"/>
      <c r="E5" s="29" t="s">
        <v>163</v>
      </c>
      <c r="F5" s="26" t="s">
        <v>164</v>
      </c>
      <c r="G5" s="14">
        <v>236</v>
      </c>
      <c r="H5" s="92">
        <f>IF(B$19=0,0,G5/B$19)</f>
        <v>0.38126009693053314</v>
      </c>
      <c r="I5" s="60">
        <v>9</v>
      </c>
      <c r="K5" s="7">
        <v>3</v>
      </c>
      <c r="L5" s="65">
        <v>40.400000000000006</v>
      </c>
      <c r="N5" s="78" t="s">
        <v>133</v>
      </c>
      <c r="O5" s="84">
        <f t="shared" si="0"/>
        <v>335.89743589743591</v>
      </c>
      <c r="P5" s="81">
        <v>195</v>
      </c>
      <c r="Q5" s="68">
        <v>65500</v>
      </c>
    </row>
    <row r="6" spans="1:17" x14ac:dyDescent="0.45">
      <c r="A6" s="21" t="s">
        <v>1</v>
      </c>
      <c r="B6" s="135">
        <f>IF(B$2=0,0,(B$7*1+B$8*2+B$9*3)/B$2)</f>
        <v>1.7772727272727273</v>
      </c>
      <c r="C6" s="136"/>
      <c r="E6" s="29" t="s">
        <v>68</v>
      </c>
      <c r="F6" s="26" t="s">
        <v>12</v>
      </c>
      <c r="G6" s="14">
        <v>176</v>
      </c>
      <c r="H6" s="92">
        <f>IF(B$19=0,0,G6/B$19)</f>
        <v>0.28432956381260099</v>
      </c>
      <c r="I6" s="60">
        <v>9</v>
      </c>
      <c r="K6" s="7">
        <v>4</v>
      </c>
      <c r="L6" s="65">
        <v>101.60000000000001</v>
      </c>
      <c r="N6" s="78" t="s">
        <v>134</v>
      </c>
      <c r="O6" s="84">
        <f t="shared" si="0"/>
        <v>1324.4444444444443</v>
      </c>
      <c r="P6" s="81">
        <v>180</v>
      </c>
      <c r="Q6" s="68">
        <v>238400</v>
      </c>
    </row>
    <row r="7" spans="1:17" x14ac:dyDescent="0.45">
      <c r="A7" s="21" t="s">
        <v>2</v>
      </c>
      <c r="B7" s="14">
        <v>103</v>
      </c>
      <c r="C7" s="8">
        <f t="shared" ref="C7:C14" si="1">IF(B$2=0,0,B7/B$2)</f>
        <v>0.4681818181818182</v>
      </c>
      <c r="E7" s="29" t="s">
        <v>67</v>
      </c>
      <c r="F7" s="26" t="s">
        <v>23</v>
      </c>
      <c r="G7" s="14">
        <v>152</v>
      </c>
      <c r="H7" s="92">
        <f>IF(B$19=0,0,G7/B$19)</f>
        <v>0.2455573505654281</v>
      </c>
      <c r="I7" s="60">
        <v>10</v>
      </c>
      <c r="K7" s="7">
        <v>5</v>
      </c>
      <c r="L7" s="65">
        <v>99.9</v>
      </c>
      <c r="N7" s="79" t="s">
        <v>135</v>
      </c>
      <c r="O7" s="85">
        <f t="shared" si="0"/>
        <v>1837.8378378378379</v>
      </c>
      <c r="P7" s="82">
        <v>148</v>
      </c>
      <c r="Q7" s="69">
        <v>272000</v>
      </c>
    </row>
    <row r="8" spans="1:17" x14ac:dyDescent="0.45">
      <c r="A8" s="21" t="s">
        <v>3</v>
      </c>
      <c r="B8" s="14">
        <v>63</v>
      </c>
      <c r="C8" s="8">
        <f t="shared" si="1"/>
        <v>0.28636363636363638</v>
      </c>
      <c r="E8" s="29" t="s">
        <v>89</v>
      </c>
      <c r="F8" s="26" t="s">
        <v>44</v>
      </c>
      <c r="G8" s="14">
        <v>94</v>
      </c>
      <c r="H8" s="92">
        <f>IF(B$19=0,0,G8/B$19)</f>
        <v>0.15185783521809371</v>
      </c>
      <c r="I8" s="60">
        <v>5</v>
      </c>
      <c r="K8" s="7">
        <v>6</v>
      </c>
      <c r="L8" s="65">
        <v>85.5</v>
      </c>
      <c r="N8" s="111"/>
      <c r="O8" s="89"/>
      <c r="P8" s="112"/>
      <c r="Q8" s="74"/>
    </row>
    <row r="9" spans="1:17" x14ac:dyDescent="0.45">
      <c r="A9" s="22" t="s">
        <v>4</v>
      </c>
      <c r="B9" s="15">
        <v>54</v>
      </c>
      <c r="C9" s="9">
        <f t="shared" si="1"/>
        <v>0.24545454545454545</v>
      </c>
      <c r="E9" s="29" t="s">
        <v>69</v>
      </c>
      <c r="F9" s="26" t="s">
        <v>24</v>
      </c>
      <c r="G9" s="14">
        <v>76</v>
      </c>
      <c r="H9" s="92">
        <f>IF(B$19=0,0,G9/B$19)</f>
        <v>0.12277867528271405</v>
      </c>
      <c r="I9" s="60">
        <v>9</v>
      </c>
      <c r="K9" s="7">
        <v>7</v>
      </c>
      <c r="L9" s="65">
        <v>113.3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35.122330097087371</v>
      </c>
      <c r="C10" s="114">
        <v>3617.599999999999</v>
      </c>
      <c r="E10" s="29" t="s">
        <v>65</v>
      </c>
      <c r="F10" s="26" t="s">
        <v>21</v>
      </c>
      <c r="G10" s="14">
        <v>70</v>
      </c>
      <c r="H10" s="92">
        <f>IF(B$19=0,0,G10/B$19)</f>
        <v>0.11308562197092084</v>
      </c>
      <c r="I10" s="60">
        <v>8</v>
      </c>
      <c r="K10" s="7">
        <v>8</v>
      </c>
      <c r="L10" s="65">
        <v>148.1</v>
      </c>
      <c r="N10" s="77" t="s">
        <v>154</v>
      </c>
      <c r="O10" s="86">
        <f>IF(P10=0,0,Q10/P10)</f>
        <v>11.6109375</v>
      </c>
      <c r="P10" s="80">
        <v>64</v>
      </c>
      <c r="Q10" s="71">
        <v>743.1</v>
      </c>
    </row>
    <row r="11" spans="1:17" x14ac:dyDescent="0.45">
      <c r="A11" s="22" t="s">
        <v>204</v>
      </c>
      <c r="B11" s="113">
        <f>IF(B8=0,0,C11/B8)</f>
        <v>1.1809523809523812</v>
      </c>
      <c r="C11" s="114">
        <v>74.40000000000002</v>
      </c>
      <c r="E11" s="29" t="s">
        <v>71</v>
      </c>
      <c r="F11" s="26" t="s">
        <v>26</v>
      </c>
      <c r="G11" s="14">
        <v>46</v>
      </c>
      <c r="H11" s="92">
        <f>IF(B$19=0,0,G11/B$19)</f>
        <v>7.4313408723747976E-2</v>
      </c>
      <c r="I11" s="60">
        <v>9</v>
      </c>
      <c r="K11" s="7">
        <v>9</v>
      </c>
      <c r="L11" s="65">
        <v>180.89999999999998</v>
      </c>
      <c r="N11" s="78" t="s">
        <v>155</v>
      </c>
      <c r="O11" s="87">
        <f>IF(P11=0,0,Q11/P11)</f>
        <v>6.628947368421052</v>
      </c>
      <c r="P11" s="81">
        <v>76</v>
      </c>
      <c r="Q11" s="72">
        <v>503.79999999999995</v>
      </c>
    </row>
    <row r="12" spans="1:17" x14ac:dyDescent="0.45">
      <c r="A12" s="22" t="s">
        <v>205</v>
      </c>
      <c r="B12" s="113">
        <f>IF(B9=0,0,C12/B9)</f>
        <v>-31.905555555555569</v>
      </c>
      <c r="C12" s="114">
        <v>-1722.9000000000008</v>
      </c>
      <c r="E12" s="29" t="s">
        <v>70</v>
      </c>
      <c r="F12" s="26" t="s">
        <v>25</v>
      </c>
      <c r="G12" s="14">
        <v>41</v>
      </c>
      <c r="H12" s="92">
        <f>IF(B$19=0,0,G12/B$19)</f>
        <v>6.623586429725363E-2</v>
      </c>
      <c r="I12" s="60">
        <v>13</v>
      </c>
      <c r="K12" s="7">
        <v>10</v>
      </c>
      <c r="L12" s="65">
        <v>158.19999999999999</v>
      </c>
      <c r="N12" s="79" t="s">
        <v>156</v>
      </c>
      <c r="O12" s="88">
        <f>IF(P12=0,0,Q12/P12)</f>
        <v>9.0274999999999981</v>
      </c>
      <c r="P12" s="82">
        <v>80</v>
      </c>
      <c r="Q12" s="73">
        <v>722.19999999999982</v>
      </c>
    </row>
    <row r="13" spans="1:17" x14ac:dyDescent="0.45">
      <c r="A13" s="22" t="s">
        <v>206</v>
      </c>
      <c r="B13" s="121">
        <f>AVERAGE(B10:B12)</f>
        <v>1.4659089741613951</v>
      </c>
      <c r="C13" s="122"/>
      <c r="E13" s="29" t="s">
        <v>86</v>
      </c>
      <c r="F13" s="26" t="s">
        <v>41</v>
      </c>
      <c r="G13" s="14">
        <v>39</v>
      </c>
      <c r="H13" s="92">
        <f>IF(B$19=0,0,G13/B$19)</f>
        <v>6.3004846526655903E-2</v>
      </c>
      <c r="I13" s="60">
        <v>2</v>
      </c>
      <c r="K13" s="7">
        <v>11</v>
      </c>
      <c r="L13" s="65">
        <v>185.2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0.05</v>
      </c>
      <c r="E14" s="29" t="s">
        <v>83</v>
      </c>
      <c r="F14" s="26" t="s">
        <v>38</v>
      </c>
      <c r="G14" s="14">
        <v>31</v>
      </c>
      <c r="H14" s="92">
        <f>IF(B$19=0,0,G14/B$19)</f>
        <v>5.0080775444264945E-2</v>
      </c>
      <c r="I14" s="60">
        <v>6</v>
      </c>
      <c r="K14" s="7">
        <v>12</v>
      </c>
      <c r="L14" s="65">
        <v>184.89999999999998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486</v>
      </c>
      <c r="C15" s="12">
        <f>IF(B$3=0,0,B15/B$3)</f>
        <v>0.26470588235294118</v>
      </c>
      <c r="E15" s="29" t="s">
        <v>78</v>
      </c>
      <c r="F15" s="26" t="s">
        <v>33</v>
      </c>
      <c r="G15" s="14">
        <v>21</v>
      </c>
      <c r="H15" s="92">
        <f>IF(B$19=0,0,G15/B$19)</f>
        <v>3.3925686591276254E-2</v>
      </c>
      <c r="I15" s="60">
        <v>4</v>
      </c>
      <c r="K15" s="7">
        <v>13</v>
      </c>
      <c r="L15" s="65">
        <v>206.39999999999998</v>
      </c>
      <c r="N15" s="77" t="s">
        <v>275</v>
      </c>
      <c r="O15" s="86">
        <f>IF(P15=0,0,Q15/P15)</f>
        <v>42.716666666666661</v>
      </c>
      <c r="P15" s="80">
        <v>6</v>
      </c>
      <c r="Q15" s="71">
        <v>256.29999999999995</v>
      </c>
    </row>
    <row r="16" spans="1:17" x14ac:dyDescent="0.45">
      <c r="A16" s="21" t="s">
        <v>118</v>
      </c>
      <c r="B16" s="14">
        <v>437</v>
      </c>
      <c r="C16" s="8">
        <f>IF(B$3=0,0,B16/B$3)</f>
        <v>0.23801742919389979</v>
      </c>
      <c r="E16" s="29" t="s">
        <v>159</v>
      </c>
      <c r="F16" s="26" t="s">
        <v>160</v>
      </c>
      <c r="G16" s="14">
        <v>17</v>
      </c>
      <c r="H16" s="92">
        <f>IF(B$19=0,0,G16/B$19)</f>
        <v>2.7463651050080775E-2</v>
      </c>
      <c r="I16" s="60">
        <v>2</v>
      </c>
      <c r="K16" s="7">
        <v>14</v>
      </c>
      <c r="L16" s="65">
        <v>240.09999999999997</v>
      </c>
      <c r="N16" s="78" t="s">
        <v>194</v>
      </c>
      <c r="O16" s="87">
        <f>IF(P16=0,0,Q16/P16)</f>
        <v>31.041666666666682</v>
      </c>
      <c r="P16" s="81">
        <v>12</v>
      </c>
      <c r="Q16" s="72">
        <v>372.50000000000017</v>
      </c>
    </row>
    <row r="17" spans="1:17" x14ac:dyDescent="0.45">
      <c r="A17" s="20" t="s">
        <v>123</v>
      </c>
      <c r="B17" s="13">
        <f>B23</f>
        <v>282</v>
      </c>
      <c r="C17" s="6">
        <f>IF(B$15=0,0,B17/B$15)</f>
        <v>0.58024691358024694</v>
      </c>
      <c r="E17" s="29" t="s">
        <v>81</v>
      </c>
      <c r="F17" s="26" t="s">
        <v>36</v>
      </c>
      <c r="G17" s="14">
        <v>9</v>
      </c>
      <c r="H17" s="92">
        <f>IF(B$19=0,0,G17/B$19)</f>
        <v>1.4539579967689823E-2</v>
      </c>
      <c r="I17" s="60">
        <v>8</v>
      </c>
      <c r="K17" s="7">
        <v>15</v>
      </c>
      <c r="L17" s="65">
        <v>269.49999999999994</v>
      </c>
      <c r="N17" s="78" t="s">
        <v>195</v>
      </c>
      <c r="O17" s="87">
        <f>IF(P17=0,0,Q17/P17)</f>
        <v>28.93076923076924</v>
      </c>
      <c r="P17" s="81">
        <v>26</v>
      </c>
      <c r="Q17" s="72">
        <v>752.20000000000027</v>
      </c>
    </row>
    <row r="18" spans="1:17" x14ac:dyDescent="0.45">
      <c r="A18" s="20" t="s">
        <v>124</v>
      </c>
      <c r="B18" s="13">
        <f>B24</f>
        <v>205</v>
      </c>
      <c r="C18" s="6">
        <f>IF(B$16=0,0,B18/B$16)</f>
        <v>0.46910755148741418</v>
      </c>
      <c r="E18" s="29" t="s">
        <v>91</v>
      </c>
      <c r="F18" s="26" t="s">
        <v>46</v>
      </c>
      <c r="G18" s="14">
        <v>6</v>
      </c>
      <c r="H18" s="92">
        <f>IF(B$19=0,0,G18/B$19)</f>
        <v>9.6930533117932146E-3</v>
      </c>
      <c r="I18" s="60">
        <v>8</v>
      </c>
      <c r="K18" s="7">
        <v>16</v>
      </c>
      <c r="L18" s="65">
        <v>323.69999999999993</v>
      </c>
      <c r="N18" s="78" t="s">
        <v>158</v>
      </c>
      <c r="O18" s="87">
        <f>IF(P18=0,0,Q18/P18)</f>
        <v>15.44090909090909</v>
      </c>
      <c r="P18" s="81">
        <v>44</v>
      </c>
      <c r="Q18" s="72">
        <v>679.4</v>
      </c>
    </row>
    <row r="19" spans="1:17" x14ac:dyDescent="0.45">
      <c r="A19" s="20" t="s">
        <v>10</v>
      </c>
      <c r="B19" s="13">
        <f>B22+B21</f>
        <v>619</v>
      </c>
      <c r="C19" s="6">
        <f>IF(B$3=0,0,B19/B$3)</f>
        <v>0.33714596949891068</v>
      </c>
      <c r="E19" s="29" t="s">
        <v>92</v>
      </c>
      <c r="F19" s="26" t="s">
        <v>47</v>
      </c>
      <c r="G19" s="14">
        <v>6</v>
      </c>
      <c r="H19" s="92">
        <f>IF(B$19=0,0,G19/B$19)</f>
        <v>9.6930533117932146E-3</v>
      </c>
      <c r="I19" s="60">
        <v>2</v>
      </c>
      <c r="K19" s="7">
        <v>17</v>
      </c>
      <c r="L19" s="65">
        <v>359.09999999999991</v>
      </c>
      <c r="N19" s="78" t="s">
        <v>169</v>
      </c>
      <c r="O19" s="87">
        <f>IF(P19=0,0,Q19/P19)</f>
        <v>15.148529411764704</v>
      </c>
      <c r="P19" s="81">
        <v>68</v>
      </c>
      <c r="Q19" s="72">
        <v>1030.0999999999999</v>
      </c>
    </row>
    <row r="20" spans="1:17" x14ac:dyDescent="0.45">
      <c r="A20" s="21" t="s">
        <v>13</v>
      </c>
      <c r="B20" s="14">
        <v>231</v>
      </c>
      <c r="C20" s="8">
        <f>IF(B$3=0,0,B20/B$3)</f>
        <v>0.12581699346405228</v>
      </c>
      <c r="E20" s="29" t="s">
        <v>75</v>
      </c>
      <c r="F20" s="26" t="s">
        <v>30</v>
      </c>
      <c r="G20" s="14">
        <v>5</v>
      </c>
      <c r="H20" s="92">
        <f>IF(B$19=0,0,G20/B$19)</f>
        <v>8.0775444264943458E-3</v>
      </c>
      <c r="I20" s="60">
        <v>5</v>
      </c>
      <c r="K20" s="7">
        <v>18</v>
      </c>
      <c r="L20" s="65">
        <v>352.39999999999992</v>
      </c>
      <c r="N20" s="78" t="s">
        <v>127</v>
      </c>
      <c r="O20" s="87">
        <f>IF(P20=0,0,Q20/P20)</f>
        <v>13.472440944881892</v>
      </c>
      <c r="P20" s="81">
        <v>127</v>
      </c>
      <c r="Q20" s="72">
        <v>1711.0000000000005</v>
      </c>
    </row>
    <row r="21" spans="1:17" x14ac:dyDescent="0.45">
      <c r="A21" s="21" t="s">
        <v>12</v>
      </c>
      <c r="B21" s="14">
        <v>261</v>
      </c>
      <c r="C21" s="8">
        <f>IF(B$19=0,0,B21/B$19)</f>
        <v>0.42164781906300486</v>
      </c>
      <c r="E21" s="29" t="s">
        <v>79</v>
      </c>
      <c r="F21" s="26" t="s">
        <v>34</v>
      </c>
      <c r="G21" s="14">
        <v>5</v>
      </c>
      <c r="H21" s="92">
        <f>IF(B$19=0,0,G21/B$19)</f>
        <v>8.0775444264943458E-3</v>
      </c>
      <c r="I21" s="60">
        <v>9</v>
      </c>
      <c r="K21" s="7">
        <v>19</v>
      </c>
      <c r="L21" s="65">
        <v>383.19999999999993</v>
      </c>
      <c r="N21" s="78" t="s">
        <v>168</v>
      </c>
      <c r="O21" s="87">
        <f>IF(P21=0,0,Q21/P21)</f>
        <v>12.032142857142862</v>
      </c>
      <c r="P21" s="81">
        <v>84</v>
      </c>
      <c r="Q21" s="72">
        <v>1010.7000000000004</v>
      </c>
    </row>
    <row r="22" spans="1:17" x14ac:dyDescent="0.45">
      <c r="A22" s="21" t="s">
        <v>11</v>
      </c>
      <c r="B22" s="14">
        <v>358</v>
      </c>
      <c r="C22" s="8">
        <f>IF(B$19=0,0,B22/B$19)</f>
        <v>0.57835218093699514</v>
      </c>
      <c r="E22" s="29" t="s">
        <v>85</v>
      </c>
      <c r="F22" s="26" t="s">
        <v>40</v>
      </c>
      <c r="G22" s="14">
        <v>4</v>
      </c>
      <c r="H22" s="92">
        <f>IF(B$19=0,0,G22/B$19)</f>
        <v>6.462035541195477E-3</v>
      </c>
      <c r="I22" s="60">
        <v>5</v>
      </c>
      <c r="K22" s="7">
        <v>20</v>
      </c>
      <c r="L22" s="65">
        <v>365.49999999999994</v>
      </c>
      <c r="N22" s="78" t="s">
        <v>167</v>
      </c>
      <c r="O22" s="87">
        <f>IF(P22=0,0,Q22/P22)</f>
        <v>2.2999999999999989</v>
      </c>
      <c r="P22" s="81">
        <v>72</v>
      </c>
      <c r="Q22" s="72">
        <v>165.59999999999991</v>
      </c>
    </row>
    <row r="23" spans="1:17" x14ac:dyDescent="0.45">
      <c r="A23" s="21" t="s">
        <v>192</v>
      </c>
      <c r="B23" s="14">
        <v>282</v>
      </c>
      <c r="C23" s="8">
        <f>IF(B$19=0,0,B23/B$19)</f>
        <v>0.45557350565428112</v>
      </c>
      <c r="E23" s="29" t="s">
        <v>77</v>
      </c>
      <c r="F23" s="26" t="s">
        <v>32</v>
      </c>
      <c r="G23" s="14">
        <v>3</v>
      </c>
      <c r="H23" s="92">
        <f>IF(B$19=0,0,G23/B$19)</f>
        <v>4.8465266558966073E-3</v>
      </c>
      <c r="I23" s="60">
        <v>2</v>
      </c>
      <c r="K23" s="7">
        <v>21</v>
      </c>
      <c r="L23" s="65">
        <v>371.39999999999992</v>
      </c>
      <c r="N23" s="78" t="s">
        <v>202</v>
      </c>
      <c r="O23" s="87">
        <f>IF(P23=0,0,Q23/P23)</f>
        <v>-70.5</v>
      </c>
      <c r="P23" s="81">
        <v>1</v>
      </c>
      <c r="Q23" s="72">
        <v>-70.5</v>
      </c>
    </row>
    <row r="24" spans="1:17" x14ac:dyDescent="0.45">
      <c r="A24" s="21" t="s">
        <v>190</v>
      </c>
      <c r="B24" s="14">
        <v>205</v>
      </c>
      <c r="C24" s="8">
        <f>IF(B$19=0,0,B24/B$19)</f>
        <v>0.33117932148626816</v>
      </c>
      <c r="E24" s="29" t="s">
        <v>84</v>
      </c>
      <c r="F24" s="26" t="s">
        <v>39</v>
      </c>
      <c r="G24" s="14">
        <v>3</v>
      </c>
      <c r="H24" s="92">
        <f>IF(B$19=0,0,G24/B$19)</f>
        <v>4.8465266558966073E-3</v>
      </c>
      <c r="I24" s="60">
        <v>2</v>
      </c>
      <c r="K24" s="7">
        <v>22</v>
      </c>
      <c r="L24" s="65">
        <v>414.2999999999999</v>
      </c>
    </row>
    <row r="25" spans="1:17" x14ac:dyDescent="0.45">
      <c r="A25" s="21" t="s">
        <v>191</v>
      </c>
      <c r="B25" s="14">
        <v>132</v>
      </c>
      <c r="C25" s="8">
        <f>IF(B$19=0,0,B25/B$19)</f>
        <v>0.21324717285945072</v>
      </c>
      <c r="E25" s="29" t="s">
        <v>74</v>
      </c>
      <c r="F25" s="26" t="s">
        <v>29</v>
      </c>
      <c r="G25" s="14">
        <v>2</v>
      </c>
      <c r="H25" s="92">
        <f>IF(B$19=0,0,G25/B$19)</f>
        <v>3.2310177705977385E-3</v>
      </c>
      <c r="I25" s="60">
        <v>4</v>
      </c>
      <c r="K25" s="7">
        <v>23</v>
      </c>
      <c r="L25" s="65">
        <v>356.2999999999999</v>
      </c>
    </row>
    <row r="26" spans="1:17" x14ac:dyDescent="0.45">
      <c r="A26" s="21" t="s">
        <v>5</v>
      </c>
      <c r="B26" s="18">
        <f>IF(B$19=0,0,C26/B$19)</f>
        <v>8308.7237479806136</v>
      </c>
      <c r="C26" s="10">
        <v>5143100</v>
      </c>
      <c r="E26" s="29" t="s">
        <v>88</v>
      </c>
      <c r="F26" s="26" t="s">
        <v>43</v>
      </c>
      <c r="G26" s="14">
        <v>2</v>
      </c>
      <c r="H26" s="92">
        <f>IF(B$19=0,0,G26/B$19)</f>
        <v>3.2310177705977385E-3</v>
      </c>
      <c r="I26" s="60">
        <v>3</v>
      </c>
      <c r="K26" s="7">
        <v>24</v>
      </c>
      <c r="L26" s="65">
        <v>329.89999999999992</v>
      </c>
    </row>
    <row r="27" spans="1:17" x14ac:dyDescent="0.45">
      <c r="A27" s="22" t="s">
        <v>174</v>
      </c>
      <c r="B27" s="99">
        <f>IF($B$19-B$18=0,0,C27/($B$19-B$18))</f>
        <v>8875.1207729468606</v>
      </c>
      <c r="C27" s="100">
        <v>3674300</v>
      </c>
      <c r="E27" s="29" t="s">
        <v>95</v>
      </c>
      <c r="F27" s="26" t="s">
        <v>50</v>
      </c>
      <c r="G27" s="14">
        <v>2</v>
      </c>
      <c r="H27" s="92">
        <f>IF(B$19=0,0,G27/B$19)</f>
        <v>3.2310177705977385E-3</v>
      </c>
      <c r="I27" s="60">
        <v>2</v>
      </c>
      <c r="K27" s="7">
        <v>25</v>
      </c>
      <c r="L27" s="65">
        <v>294.99999999999994</v>
      </c>
    </row>
    <row r="28" spans="1:17" x14ac:dyDescent="0.45">
      <c r="A28" s="22" t="s">
        <v>175</v>
      </c>
      <c r="B28" s="99">
        <f>IF(B$18=0,0,C28/B$18)</f>
        <v>7164.8780487804879</v>
      </c>
      <c r="C28" s="100">
        <v>1468800</v>
      </c>
      <c r="E28" s="29" t="s">
        <v>87</v>
      </c>
      <c r="F28" s="26" t="s">
        <v>42</v>
      </c>
      <c r="G28" s="14">
        <v>1</v>
      </c>
      <c r="H28" s="92">
        <f>IF(B$19=0,0,G28/B$19)</f>
        <v>1.6155088852988692E-3</v>
      </c>
      <c r="I28" s="60">
        <v>6</v>
      </c>
      <c r="K28" s="7">
        <v>26</v>
      </c>
      <c r="L28" s="65">
        <v>329.29999999999995</v>
      </c>
    </row>
    <row r="29" spans="1:17" x14ac:dyDescent="0.45">
      <c r="A29" s="22" t="s">
        <v>173</v>
      </c>
      <c r="B29" s="99">
        <f>IF(B$20=0,0,C29/B$20)</f>
        <v>-7575.757575757576</v>
      </c>
      <c r="C29" s="100">
        <v>-1750000</v>
      </c>
      <c r="E29" s="29" t="s">
        <v>90</v>
      </c>
      <c r="F29" s="26" t="s">
        <v>45</v>
      </c>
      <c r="G29" s="14">
        <v>1</v>
      </c>
      <c r="H29" s="92">
        <f>IF(B$19=0,0,G29/B$19)</f>
        <v>1.6155088852988692E-3</v>
      </c>
      <c r="I29" s="60">
        <v>4</v>
      </c>
      <c r="K29" s="7">
        <v>27</v>
      </c>
      <c r="L29" s="65">
        <v>362.4</v>
      </c>
    </row>
    <row r="30" spans="1:17" x14ac:dyDescent="0.45">
      <c r="A30" s="21" t="s">
        <v>161</v>
      </c>
      <c r="B30" s="14">
        <v>6</v>
      </c>
      <c r="C30" s="94">
        <v>1</v>
      </c>
      <c r="E30" s="29" t="s">
        <v>106</v>
      </c>
      <c r="F30" s="26" t="s">
        <v>113</v>
      </c>
      <c r="G30" s="14">
        <v>1</v>
      </c>
      <c r="H30" s="92">
        <f>IF(B$19=0,0,G30/B$19)</f>
        <v>1.6155088852988692E-3</v>
      </c>
      <c r="I30" s="60">
        <v>1</v>
      </c>
      <c r="K30" s="7">
        <v>28</v>
      </c>
      <c r="L30" s="65">
        <v>375.79999999999995</v>
      </c>
    </row>
    <row r="31" spans="1:17" x14ac:dyDescent="0.45">
      <c r="A31" s="21" t="s">
        <v>162</v>
      </c>
      <c r="B31" s="14">
        <v>43</v>
      </c>
      <c r="C31" s="94">
        <v>14</v>
      </c>
      <c r="E31" s="29" t="s">
        <v>73</v>
      </c>
      <c r="F31" s="26" t="s">
        <v>28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381.09999999999997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340.79999999999995</v>
      </c>
    </row>
    <row r="33" spans="1:12" x14ac:dyDescent="0.45">
      <c r="A33" s="24" t="s">
        <v>189</v>
      </c>
      <c r="B33" s="125">
        <v>149100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319.49999999999994</v>
      </c>
    </row>
    <row r="34" spans="1:12" x14ac:dyDescent="0.45">
      <c r="A34" s="23" t="s">
        <v>139</v>
      </c>
      <c r="B34" s="31">
        <v>2</v>
      </c>
      <c r="C34" s="11">
        <f>IF(B$3=0,0,B34/B$3)</f>
        <v>1.0893246187363835E-3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349.39999999999992</v>
      </c>
    </row>
    <row r="35" spans="1:12" x14ac:dyDescent="0.45">
      <c r="E35" s="29" t="s">
        <v>93</v>
      </c>
      <c r="F35" s="26" t="s">
        <v>48</v>
      </c>
      <c r="G35" s="14">
        <v>0</v>
      </c>
      <c r="H35" s="92">
        <f>IF(B$19=0,0,G35/B$19)</f>
        <v>0</v>
      </c>
      <c r="I35" s="60">
        <v>5</v>
      </c>
      <c r="K35" s="7">
        <v>33</v>
      </c>
      <c r="L35" s="65">
        <v>349.19999999999993</v>
      </c>
    </row>
    <row r="36" spans="1:12" x14ac:dyDescent="0.45">
      <c r="A36" s="56" t="s">
        <v>180</v>
      </c>
      <c r="B36" s="119">
        <v>55</v>
      </c>
      <c r="C36" s="102">
        <f t="shared" ref="C36:C48" si="2">IF(B$19=0,0,B36/B$19)</f>
        <v>8.8852988691437804E-2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374.49999999999994</v>
      </c>
    </row>
    <row r="37" spans="1:12" x14ac:dyDescent="0.45">
      <c r="A37" s="21" t="s">
        <v>176</v>
      </c>
      <c r="B37" s="14">
        <v>114</v>
      </c>
      <c r="C37" s="8">
        <f t="shared" si="2"/>
        <v>0.18416801292407109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357.89999999999992</v>
      </c>
    </row>
    <row r="38" spans="1:12" x14ac:dyDescent="0.45">
      <c r="A38" s="21" t="s">
        <v>177</v>
      </c>
      <c r="B38" s="120">
        <v>121</v>
      </c>
      <c r="C38" s="8">
        <f t="shared" si="2"/>
        <v>0.19547657512116318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312.09999999999991</v>
      </c>
    </row>
    <row r="39" spans="1:12" x14ac:dyDescent="0.45">
      <c r="A39" s="21" t="s">
        <v>178</v>
      </c>
      <c r="B39" s="120">
        <v>112</v>
      </c>
      <c r="C39" s="8">
        <f t="shared" si="2"/>
        <v>0.18093699515347333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325.09999999999991</v>
      </c>
    </row>
    <row r="40" spans="1:12" x14ac:dyDescent="0.45">
      <c r="A40" s="21" t="s">
        <v>179</v>
      </c>
      <c r="B40" s="120">
        <v>92</v>
      </c>
      <c r="C40" s="8">
        <f t="shared" si="2"/>
        <v>0.14862681744749595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360.49999999999989</v>
      </c>
    </row>
    <row r="41" spans="1:12" x14ac:dyDescent="0.45">
      <c r="A41" s="21" t="s">
        <v>181</v>
      </c>
      <c r="B41" s="120">
        <v>60</v>
      </c>
      <c r="C41" s="8">
        <f t="shared" si="2"/>
        <v>9.6930533117932149E-2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365.39999999999986</v>
      </c>
    </row>
    <row r="42" spans="1:12" x14ac:dyDescent="0.45">
      <c r="A42" s="21" t="s">
        <v>182</v>
      </c>
      <c r="B42" s="120">
        <v>28</v>
      </c>
      <c r="C42" s="8">
        <f t="shared" si="2"/>
        <v>4.5234248788368334E-2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398.79999999999984</v>
      </c>
    </row>
    <row r="43" spans="1:12" x14ac:dyDescent="0.45">
      <c r="A43" s="21" t="s">
        <v>183</v>
      </c>
      <c r="B43" s="120">
        <v>12</v>
      </c>
      <c r="C43" s="8">
        <f t="shared" si="2"/>
        <v>1.9386106623586429E-2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399.89999999999986</v>
      </c>
    </row>
    <row r="44" spans="1:12" x14ac:dyDescent="0.45">
      <c r="A44" s="21" t="s">
        <v>184</v>
      </c>
      <c r="B44" s="120">
        <v>11</v>
      </c>
      <c r="C44" s="8">
        <f t="shared" si="2"/>
        <v>1.7770597738287562E-2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419.29999999999984</v>
      </c>
    </row>
    <row r="45" spans="1:12" x14ac:dyDescent="0.45">
      <c r="A45" s="21" t="s">
        <v>185</v>
      </c>
      <c r="B45" s="120">
        <v>3</v>
      </c>
      <c r="C45" s="8">
        <f t="shared" si="2"/>
        <v>4.8465266558966073E-3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424.79999999999984</v>
      </c>
    </row>
    <row r="46" spans="1:12" x14ac:dyDescent="0.45">
      <c r="A46" s="21" t="s">
        <v>186</v>
      </c>
      <c r="B46" s="120">
        <v>0</v>
      </c>
      <c r="C46" s="8">
        <f t="shared" si="2"/>
        <v>0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424.39999999999986</v>
      </c>
    </row>
    <row r="47" spans="1:12" x14ac:dyDescent="0.45">
      <c r="A47" s="21" t="s">
        <v>187</v>
      </c>
      <c r="B47" s="120">
        <v>1</v>
      </c>
      <c r="C47" s="8">
        <f t="shared" si="2"/>
        <v>1.6155088852988692E-3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425.69999999999987</v>
      </c>
    </row>
    <row r="48" spans="1:12" x14ac:dyDescent="0.45">
      <c r="A48" s="23" t="s">
        <v>188</v>
      </c>
      <c r="B48" s="101">
        <v>10</v>
      </c>
      <c r="C48" s="11">
        <f t="shared" si="2"/>
        <v>1.6155088852988692E-2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465.7999999999999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419.99999999999989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424.59999999999991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427.39999999999992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474.2999999999999</v>
      </c>
    </row>
    <row r="53" spans="5:12" x14ac:dyDescent="0.45">
      <c r="K53" s="7">
        <v>51</v>
      </c>
      <c r="L53" s="65">
        <v>500.7999999999999</v>
      </c>
    </row>
    <row r="54" spans="5:12" x14ac:dyDescent="0.45">
      <c r="K54" s="7">
        <v>52</v>
      </c>
      <c r="L54" s="65">
        <v>534.89999999999986</v>
      </c>
    </row>
    <row r="55" spans="5:12" x14ac:dyDescent="0.45">
      <c r="K55" s="7">
        <v>53</v>
      </c>
      <c r="L55" s="65">
        <v>539.49999999999989</v>
      </c>
    </row>
    <row r="56" spans="5:12" x14ac:dyDescent="0.45">
      <c r="K56" s="7">
        <v>54</v>
      </c>
      <c r="L56" s="65">
        <v>566.59999999999991</v>
      </c>
    </row>
    <row r="57" spans="5:12" x14ac:dyDescent="0.45">
      <c r="K57" s="7">
        <v>55</v>
      </c>
      <c r="L57" s="65">
        <v>584.59999999999991</v>
      </c>
    </row>
    <row r="58" spans="5:12" x14ac:dyDescent="0.45">
      <c r="K58" s="7">
        <v>56</v>
      </c>
      <c r="L58" s="65">
        <v>590.69999999999993</v>
      </c>
    </row>
    <row r="59" spans="5:12" x14ac:dyDescent="0.45">
      <c r="K59" s="7">
        <v>57</v>
      </c>
      <c r="L59" s="65">
        <v>593.09999999999991</v>
      </c>
    </row>
    <row r="60" spans="5:12" x14ac:dyDescent="0.45">
      <c r="K60" s="7">
        <v>58</v>
      </c>
      <c r="L60" s="65">
        <v>597.59999999999991</v>
      </c>
    </row>
    <row r="61" spans="5:12" x14ac:dyDescent="0.45">
      <c r="K61" s="7">
        <v>59</v>
      </c>
      <c r="L61" s="65">
        <v>571.59999999999991</v>
      </c>
    </row>
    <row r="62" spans="5:12" x14ac:dyDescent="0.45">
      <c r="K62" s="7">
        <v>60</v>
      </c>
      <c r="L62" s="65">
        <v>544.59999999999991</v>
      </c>
    </row>
    <row r="63" spans="5:12" x14ac:dyDescent="0.45">
      <c r="K63" s="7">
        <v>61</v>
      </c>
      <c r="L63" s="65">
        <v>527.79999999999995</v>
      </c>
    </row>
    <row r="64" spans="5:12" x14ac:dyDescent="0.45">
      <c r="K64" s="7">
        <v>62</v>
      </c>
      <c r="L64" s="65">
        <v>531.9</v>
      </c>
    </row>
    <row r="65" spans="11:12" x14ac:dyDescent="0.45">
      <c r="K65" s="7">
        <v>63</v>
      </c>
      <c r="L65" s="65">
        <v>500.59999999999997</v>
      </c>
    </row>
    <row r="66" spans="11:12" x14ac:dyDescent="0.45">
      <c r="K66" s="7">
        <v>64</v>
      </c>
      <c r="L66" s="65">
        <v>518.9</v>
      </c>
    </row>
    <row r="67" spans="11:12" x14ac:dyDescent="0.45">
      <c r="K67" s="7">
        <v>65</v>
      </c>
      <c r="L67" s="65">
        <v>538.1</v>
      </c>
    </row>
    <row r="68" spans="11:12" x14ac:dyDescent="0.45">
      <c r="K68" s="7">
        <v>66</v>
      </c>
      <c r="L68" s="65">
        <v>538.70000000000005</v>
      </c>
    </row>
    <row r="69" spans="11:12" x14ac:dyDescent="0.45">
      <c r="K69" s="7">
        <v>67</v>
      </c>
      <c r="L69" s="65">
        <v>503.50000000000006</v>
      </c>
    </row>
    <row r="70" spans="11:12" x14ac:dyDescent="0.45">
      <c r="K70" s="7">
        <v>68</v>
      </c>
      <c r="L70" s="65">
        <v>544.1</v>
      </c>
    </row>
    <row r="71" spans="11:12" x14ac:dyDescent="0.45">
      <c r="K71" s="7">
        <v>69</v>
      </c>
      <c r="L71" s="65">
        <v>576.5</v>
      </c>
    </row>
    <row r="72" spans="11:12" x14ac:dyDescent="0.45">
      <c r="K72" s="7">
        <v>70</v>
      </c>
      <c r="L72" s="65">
        <v>544.79999999999995</v>
      </c>
    </row>
    <row r="73" spans="11:12" x14ac:dyDescent="0.45">
      <c r="K73" s="7">
        <v>71</v>
      </c>
      <c r="L73" s="65">
        <v>502.09999999999997</v>
      </c>
    </row>
    <row r="74" spans="11:12" x14ac:dyDescent="0.45">
      <c r="K74" s="7">
        <v>72</v>
      </c>
      <c r="L74" s="65">
        <v>526.19999999999993</v>
      </c>
    </row>
    <row r="75" spans="11:12" x14ac:dyDescent="0.45">
      <c r="K75" s="7">
        <v>73</v>
      </c>
      <c r="L75" s="65">
        <v>550.99999999999989</v>
      </c>
    </row>
    <row r="76" spans="11:12" x14ac:dyDescent="0.45">
      <c r="K76" s="7">
        <v>74</v>
      </c>
      <c r="L76" s="65">
        <v>576.49999999999989</v>
      </c>
    </row>
    <row r="77" spans="11:12" x14ac:dyDescent="0.45">
      <c r="K77" s="7">
        <v>75</v>
      </c>
      <c r="L77" s="65">
        <v>601.29999999999984</v>
      </c>
    </row>
    <row r="78" spans="11:12" x14ac:dyDescent="0.45">
      <c r="K78" s="7">
        <v>76</v>
      </c>
      <c r="L78" s="65">
        <v>576.29999999999984</v>
      </c>
    </row>
    <row r="79" spans="11:12" x14ac:dyDescent="0.45">
      <c r="K79" s="7">
        <v>77</v>
      </c>
      <c r="L79" s="65">
        <v>546.79999999999984</v>
      </c>
    </row>
    <row r="80" spans="11:12" x14ac:dyDescent="0.45">
      <c r="K80" s="7">
        <v>78</v>
      </c>
      <c r="L80" s="65">
        <v>579.29999999999984</v>
      </c>
    </row>
    <row r="81" spans="11:12" x14ac:dyDescent="0.45">
      <c r="K81" s="7">
        <v>79</v>
      </c>
      <c r="L81" s="65">
        <v>556.89999999999986</v>
      </c>
    </row>
    <row r="82" spans="11:12" x14ac:dyDescent="0.45">
      <c r="K82" s="7">
        <v>80</v>
      </c>
      <c r="L82" s="65">
        <v>572.09999999999991</v>
      </c>
    </row>
    <row r="83" spans="11:12" x14ac:dyDescent="0.45">
      <c r="K83" s="7">
        <v>81</v>
      </c>
      <c r="L83" s="65">
        <v>521.59999999999991</v>
      </c>
    </row>
    <row r="84" spans="11:12" x14ac:dyDescent="0.45">
      <c r="K84" s="7">
        <v>82</v>
      </c>
      <c r="L84" s="65">
        <v>548.39999999999986</v>
      </c>
    </row>
    <row r="85" spans="11:12" x14ac:dyDescent="0.45">
      <c r="K85" s="7">
        <v>83</v>
      </c>
      <c r="L85" s="65">
        <v>546.59999999999991</v>
      </c>
    </row>
    <row r="86" spans="11:12" x14ac:dyDescent="0.45">
      <c r="K86" s="7">
        <v>84</v>
      </c>
      <c r="L86" s="65">
        <v>566.49999999999989</v>
      </c>
    </row>
    <row r="87" spans="11:12" x14ac:dyDescent="0.45">
      <c r="K87" s="7">
        <v>85</v>
      </c>
      <c r="L87" s="65">
        <v>529.79999999999984</v>
      </c>
    </row>
    <row r="88" spans="11:12" x14ac:dyDescent="0.45">
      <c r="K88" s="7">
        <v>86</v>
      </c>
      <c r="L88" s="65">
        <v>550.39999999999986</v>
      </c>
    </row>
    <row r="89" spans="11:12" x14ac:dyDescent="0.45">
      <c r="K89" s="7">
        <v>87</v>
      </c>
      <c r="L89" s="65">
        <v>554.39999999999986</v>
      </c>
    </row>
    <row r="90" spans="11:12" x14ac:dyDescent="0.45">
      <c r="K90" s="7">
        <v>88</v>
      </c>
      <c r="L90" s="65">
        <v>570.89999999999986</v>
      </c>
    </row>
    <row r="91" spans="11:12" x14ac:dyDescent="0.45">
      <c r="K91" s="7">
        <v>89</v>
      </c>
      <c r="L91" s="65">
        <v>531.89999999999986</v>
      </c>
    </row>
    <row r="92" spans="11:12" x14ac:dyDescent="0.45">
      <c r="K92" s="7">
        <v>90</v>
      </c>
      <c r="L92" s="65">
        <v>486.29999999999984</v>
      </c>
    </row>
    <row r="93" spans="11:12" x14ac:dyDescent="0.45">
      <c r="K93" s="7">
        <v>91</v>
      </c>
      <c r="L93" s="65">
        <v>520.39999999999986</v>
      </c>
    </row>
    <row r="94" spans="11:12" x14ac:dyDescent="0.45">
      <c r="K94" s="7">
        <v>92</v>
      </c>
      <c r="L94" s="65">
        <v>548.09999999999991</v>
      </c>
    </row>
    <row r="95" spans="11:12" x14ac:dyDescent="0.45">
      <c r="K95" s="7">
        <v>93</v>
      </c>
      <c r="L95" s="65">
        <v>583.99999999999989</v>
      </c>
    </row>
    <row r="96" spans="11:12" x14ac:dyDescent="0.45">
      <c r="K96" s="7">
        <v>94</v>
      </c>
      <c r="L96" s="65">
        <v>605.69999999999993</v>
      </c>
    </row>
    <row r="97" spans="11:12" x14ac:dyDescent="0.45">
      <c r="K97" s="7">
        <v>95</v>
      </c>
      <c r="L97" s="65">
        <v>625.19999999999993</v>
      </c>
    </row>
    <row r="98" spans="11:12" x14ac:dyDescent="0.45">
      <c r="K98" s="7">
        <v>96</v>
      </c>
      <c r="L98" s="65">
        <v>638.79999999999995</v>
      </c>
    </row>
    <row r="99" spans="11:12" x14ac:dyDescent="0.45">
      <c r="K99" s="7">
        <v>97</v>
      </c>
      <c r="L99" s="65">
        <v>680.69999999999993</v>
      </c>
    </row>
    <row r="100" spans="11:12" x14ac:dyDescent="0.45">
      <c r="K100" s="7">
        <v>98</v>
      </c>
      <c r="L100" s="65">
        <v>664.19999999999993</v>
      </c>
    </row>
    <row r="101" spans="11:12" x14ac:dyDescent="0.45">
      <c r="K101" s="7">
        <v>99</v>
      </c>
      <c r="L101" s="65">
        <v>713.19999999999993</v>
      </c>
    </row>
    <row r="102" spans="11:12" x14ac:dyDescent="0.45">
      <c r="K102" s="7">
        <v>100</v>
      </c>
      <c r="L102" s="65">
        <v>757.59999999999991</v>
      </c>
    </row>
    <row r="103" spans="11:12" x14ac:dyDescent="0.45">
      <c r="K103" s="7">
        <v>101</v>
      </c>
      <c r="L103" s="65">
        <v>717.39999999999986</v>
      </c>
    </row>
    <row r="104" spans="11:12" x14ac:dyDescent="0.45">
      <c r="K104" s="7">
        <v>102</v>
      </c>
      <c r="L104" s="65">
        <v>767.39999999999986</v>
      </c>
    </row>
    <row r="105" spans="11:12" x14ac:dyDescent="0.45">
      <c r="K105" s="7">
        <v>103</v>
      </c>
      <c r="L105" s="65">
        <v>891.49999999999989</v>
      </c>
    </row>
    <row r="106" spans="11:12" x14ac:dyDescent="0.45">
      <c r="K106" s="7">
        <v>104</v>
      </c>
      <c r="L106" s="65">
        <v>898.49999999999989</v>
      </c>
    </row>
    <row r="107" spans="11:12" x14ac:dyDescent="0.45">
      <c r="K107" s="7">
        <v>105</v>
      </c>
      <c r="L107" s="65">
        <v>884.39999999999986</v>
      </c>
    </row>
    <row r="108" spans="11:12" x14ac:dyDescent="0.45">
      <c r="K108" s="7">
        <v>106</v>
      </c>
      <c r="L108" s="65">
        <v>954.99999999999989</v>
      </c>
    </row>
    <row r="109" spans="11:12" x14ac:dyDescent="0.45">
      <c r="K109" s="7">
        <v>107</v>
      </c>
      <c r="L109" s="65">
        <v>923.99999999999989</v>
      </c>
    </row>
    <row r="110" spans="11:12" x14ac:dyDescent="0.45">
      <c r="K110" s="7">
        <v>108</v>
      </c>
      <c r="L110" s="65">
        <v>900.39999999999986</v>
      </c>
    </row>
    <row r="111" spans="11:12" x14ac:dyDescent="0.45">
      <c r="K111" s="7">
        <v>109</v>
      </c>
      <c r="L111" s="65">
        <v>903.59999999999991</v>
      </c>
    </row>
    <row r="112" spans="11:12" x14ac:dyDescent="0.45">
      <c r="K112" s="7">
        <v>110</v>
      </c>
      <c r="L112" s="65">
        <v>915.09999999999991</v>
      </c>
    </row>
    <row r="113" spans="11:12" x14ac:dyDescent="0.45">
      <c r="K113" s="7">
        <v>111</v>
      </c>
      <c r="L113" s="65">
        <v>985.69999999999993</v>
      </c>
    </row>
    <row r="114" spans="11:12" x14ac:dyDescent="0.45">
      <c r="K114" s="7">
        <v>112</v>
      </c>
      <c r="L114" s="65">
        <v>991.49999999999989</v>
      </c>
    </row>
    <row r="115" spans="11:12" x14ac:dyDescent="0.45">
      <c r="K115" s="7">
        <v>113</v>
      </c>
      <c r="L115" s="65">
        <v>1038.3999999999999</v>
      </c>
    </row>
    <row r="116" spans="11:12" x14ac:dyDescent="0.45">
      <c r="K116" s="7">
        <v>114</v>
      </c>
      <c r="L116" s="65">
        <v>1045.8</v>
      </c>
    </row>
    <row r="117" spans="11:12" x14ac:dyDescent="0.45">
      <c r="K117" s="7">
        <v>115</v>
      </c>
      <c r="L117" s="65">
        <v>1047.2</v>
      </c>
    </row>
    <row r="118" spans="11:12" x14ac:dyDescent="0.45">
      <c r="K118" s="7">
        <v>116</v>
      </c>
      <c r="L118" s="65">
        <v>1043.3</v>
      </c>
    </row>
    <row r="119" spans="11:12" x14ac:dyDescent="0.45">
      <c r="K119" s="7">
        <v>117</v>
      </c>
      <c r="L119" s="65">
        <v>1060.0999999999999</v>
      </c>
    </row>
    <row r="120" spans="11:12" x14ac:dyDescent="0.45">
      <c r="K120" s="7">
        <v>118</v>
      </c>
      <c r="L120" s="65">
        <v>1067.8</v>
      </c>
    </row>
    <row r="121" spans="11:12" x14ac:dyDescent="0.45">
      <c r="K121" s="7">
        <v>119</v>
      </c>
      <c r="L121" s="65">
        <v>1027</v>
      </c>
    </row>
    <row r="122" spans="11:12" x14ac:dyDescent="0.45">
      <c r="K122" s="7">
        <v>120</v>
      </c>
      <c r="L122" s="65">
        <v>1070.7</v>
      </c>
    </row>
    <row r="123" spans="11:12" x14ac:dyDescent="0.45">
      <c r="K123" s="7">
        <v>121</v>
      </c>
      <c r="L123" s="65">
        <v>1071.8</v>
      </c>
    </row>
    <row r="124" spans="11:12" x14ac:dyDescent="0.45">
      <c r="K124" s="7">
        <v>122</v>
      </c>
      <c r="L124" s="65">
        <v>1110.2</v>
      </c>
    </row>
    <row r="125" spans="11:12" x14ac:dyDescent="0.45">
      <c r="K125" s="7">
        <v>123</v>
      </c>
      <c r="L125" s="65">
        <v>1077.4000000000001</v>
      </c>
    </row>
    <row r="126" spans="11:12" x14ac:dyDescent="0.45">
      <c r="K126" s="7">
        <v>124</v>
      </c>
      <c r="L126" s="65">
        <v>1103.7</v>
      </c>
    </row>
    <row r="127" spans="11:12" x14ac:dyDescent="0.45">
      <c r="K127" s="7">
        <v>125</v>
      </c>
      <c r="L127" s="65">
        <v>1125.2</v>
      </c>
    </row>
    <row r="128" spans="11:12" x14ac:dyDescent="0.45">
      <c r="K128" s="7">
        <v>126</v>
      </c>
      <c r="L128" s="65">
        <v>1116.5</v>
      </c>
    </row>
    <row r="129" spans="11:12" x14ac:dyDescent="0.45">
      <c r="K129" s="7">
        <v>127</v>
      </c>
      <c r="L129" s="65">
        <v>1093.9000000000001</v>
      </c>
    </row>
    <row r="130" spans="11:12" x14ac:dyDescent="0.45">
      <c r="K130" s="7">
        <v>128</v>
      </c>
      <c r="L130" s="65">
        <v>1098.6000000000001</v>
      </c>
    </row>
    <row r="131" spans="11:12" x14ac:dyDescent="0.45">
      <c r="K131" s="7">
        <v>129</v>
      </c>
      <c r="L131" s="65">
        <v>1120.8000000000002</v>
      </c>
    </row>
    <row r="132" spans="11:12" x14ac:dyDescent="0.45">
      <c r="K132" s="7">
        <v>130</v>
      </c>
      <c r="L132" s="65">
        <v>1072.3000000000002</v>
      </c>
    </row>
    <row r="133" spans="11:12" x14ac:dyDescent="0.45">
      <c r="K133" s="7">
        <v>131</v>
      </c>
      <c r="L133" s="65">
        <v>1138.5000000000002</v>
      </c>
    </row>
    <row r="134" spans="11:12" x14ac:dyDescent="0.45">
      <c r="K134" s="7">
        <v>132</v>
      </c>
      <c r="L134" s="65">
        <v>1192.7000000000003</v>
      </c>
    </row>
    <row r="135" spans="11:12" x14ac:dyDescent="0.45">
      <c r="K135" s="7">
        <v>133</v>
      </c>
      <c r="L135" s="65">
        <v>1208.4000000000003</v>
      </c>
    </row>
    <row r="136" spans="11:12" x14ac:dyDescent="0.45">
      <c r="K136" s="7">
        <v>134</v>
      </c>
      <c r="L136" s="65">
        <v>1166.7000000000003</v>
      </c>
    </row>
    <row r="137" spans="11:12" x14ac:dyDescent="0.45">
      <c r="K137" s="7">
        <v>135</v>
      </c>
      <c r="L137" s="65">
        <v>1154.1000000000004</v>
      </c>
    </row>
    <row r="138" spans="11:12" x14ac:dyDescent="0.45">
      <c r="K138" s="7">
        <v>136</v>
      </c>
      <c r="L138" s="65">
        <v>1129.8000000000004</v>
      </c>
    </row>
    <row r="139" spans="11:12" x14ac:dyDescent="0.45">
      <c r="K139" s="7">
        <v>137</v>
      </c>
      <c r="L139" s="65">
        <v>1111.1000000000004</v>
      </c>
    </row>
    <row r="140" spans="11:12" x14ac:dyDescent="0.45">
      <c r="K140" s="7">
        <v>138</v>
      </c>
      <c r="L140" s="65">
        <v>1174.7000000000003</v>
      </c>
    </row>
    <row r="141" spans="11:12" x14ac:dyDescent="0.45">
      <c r="K141" s="7">
        <v>139</v>
      </c>
      <c r="L141" s="65">
        <v>1218.3000000000002</v>
      </c>
    </row>
    <row r="142" spans="11:12" x14ac:dyDescent="0.45">
      <c r="K142" s="7">
        <v>140</v>
      </c>
      <c r="L142" s="65">
        <v>1245.7000000000003</v>
      </c>
    </row>
    <row r="143" spans="11:12" x14ac:dyDescent="0.45">
      <c r="K143" s="7">
        <v>141</v>
      </c>
      <c r="L143" s="65">
        <v>1262.8000000000002</v>
      </c>
    </row>
    <row r="144" spans="11:12" x14ac:dyDescent="0.45">
      <c r="K144" s="7">
        <v>142</v>
      </c>
      <c r="L144" s="65">
        <v>1242.8000000000002</v>
      </c>
    </row>
    <row r="145" spans="11:12" x14ac:dyDescent="0.45">
      <c r="K145" s="7">
        <v>143</v>
      </c>
      <c r="L145" s="65">
        <v>1197.3000000000002</v>
      </c>
    </row>
    <row r="146" spans="11:12" x14ac:dyDescent="0.45">
      <c r="K146" s="7">
        <v>144</v>
      </c>
      <c r="L146" s="65">
        <v>1171.1000000000001</v>
      </c>
    </row>
    <row r="147" spans="11:12" x14ac:dyDescent="0.45">
      <c r="K147" s="7">
        <v>145</v>
      </c>
      <c r="L147" s="65">
        <v>1175.0000000000002</v>
      </c>
    </row>
    <row r="148" spans="11:12" x14ac:dyDescent="0.45">
      <c r="K148" s="7">
        <v>146</v>
      </c>
      <c r="L148" s="65">
        <v>1172.2000000000003</v>
      </c>
    </row>
    <row r="149" spans="11:12" x14ac:dyDescent="0.45">
      <c r="K149" s="7">
        <v>147</v>
      </c>
      <c r="L149" s="65">
        <v>1141.3000000000002</v>
      </c>
    </row>
    <row r="150" spans="11:12" x14ac:dyDescent="0.45">
      <c r="K150" s="7">
        <v>148</v>
      </c>
      <c r="L150" s="65">
        <v>1145.0000000000002</v>
      </c>
    </row>
    <row r="151" spans="11:12" x14ac:dyDescent="0.45">
      <c r="K151" s="7">
        <v>149</v>
      </c>
      <c r="L151" s="65">
        <v>1159.6000000000001</v>
      </c>
    </row>
    <row r="152" spans="11:12" x14ac:dyDescent="0.45">
      <c r="K152" s="7">
        <v>150</v>
      </c>
      <c r="L152" s="65">
        <v>1171.0000000000002</v>
      </c>
    </row>
    <row r="153" spans="11:12" x14ac:dyDescent="0.45">
      <c r="K153" s="7">
        <v>151</v>
      </c>
      <c r="L153" s="65">
        <v>1213.5000000000002</v>
      </c>
    </row>
    <row r="154" spans="11:12" x14ac:dyDescent="0.45">
      <c r="K154" s="7">
        <v>152</v>
      </c>
      <c r="L154" s="65">
        <v>1248.0000000000002</v>
      </c>
    </row>
    <row r="155" spans="11:12" x14ac:dyDescent="0.45">
      <c r="K155" s="7">
        <v>153</v>
      </c>
      <c r="L155" s="65">
        <v>1250.4000000000003</v>
      </c>
    </row>
    <row r="156" spans="11:12" x14ac:dyDescent="0.45">
      <c r="K156" s="7">
        <v>154</v>
      </c>
      <c r="L156" s="65">
        <v>1223.7000000000003</v>
      </c>
    </row>
    <row r="157" spans="11:12" x14ac:dyDescent="0.45">
      <c r="K157" s="7">
        <v>155</v>
      </c>
      <c r="L157" s="65">
        <v>1213.8000000000002</v>
      </c>
    </row>
    <row r="158" spans="11:12" x14ac:dyDescent="0.45">
      <c r="K158" s="7">
        <v>156</v>
      </c>
      <c r="L158" s="65">
        <v>1263.9000000000001</v>
      </c>
    </row>
    <row r="159" spans="11:12" x14ac:dyDescent="0.45">
      <c r="K159" s="7">
        <v>157</v>
      </c>
      <c r="L159" s="65">
        <v>1287.4000000000001</v>
      </c>
    </row>
    <row r="160" spans="11:12" x14ac:dyDescent="0.45">
      <c r="K160" s="7">
        <v>158</v>
      </c>
      <c r="L160" s="65">
        <v>1309</v>
      </c>
    </row>
    <row r="161" spans="11:12" x14ac:dyDescent="0.45">
      <c r="K161" s="7">
        <v>159</v>
      </c>
      <c r="L161" s="65">
        <v>1345.9</v>
      </c>
    </row>
    <row r="162" spans="11:12" x14ac:dyDescent="0.45">
      <c r="K162" s="7">
        <v>160</v>
      </c>
      <c r="L162" s="65">
        <v>1344.4</v>
      </c>
    </row>
    <row r="163" spans="11:12" x14ac:dyDescent="0.45">
      <c r="K163" s="7">
        <v>161</v>
      </c>
      <c r="L163" s="65">
        <v>1375.4</v>
      </c>
    </row>
    <row r="164" spans="11:12" x14ac:dyDescent="0.45">
      <c r="K164" s="7">
        <v>162</v>
      </c>
      <c r="L164" s="65">
        <v>1421.9</v>
      </c>
    </row>
    <row r="165" spans="11:12" x14ac:dyDescent="0.45">
      <c r="K165" s="7">
        <v>163</v>
      </c>
      <c r="L165" s="65">
        <v>1425.1000000000001</v>
      </c>
    </row>
    <row r="166" spans="11:12" x14ac:dyDescent="0.45">
      <c r="K166" s="7">
        <v>164</v>
      </c>
      <c r="L166" s="65">
        <v>1402.2</v>
      </c>
    </row>
    <row r="167" spans="11:12" x14ac:dyDescent="0.45">
      <c r="K167" s="7">
        <v>165</v>
      </c>
      <c r="L167" s="65">
        <v>1432.4</v>
      </c>
    </row>
    <row r="168" spans="11:12" x14ac:dyDescent="0.45">
      <c r="K168" s="7">
        <v>166</v>
      </c>
      <c r="L168" s="65">
        <v>1454.5</v>
      </c>
    </row>
    <row r="169" spans="11:12" x14ac:dyDescent="0.45">
      <c r="K169" s="7">
        <v>167</v>
      </c>
      <c r="L169" s="65">
        <v>1408.3</v>
      </c>
    </row>
    <row r="170" spans="11:12" x14ac:dyDescent="0.45">
      <c r="K170" s="7">
        <v>168</v>
      </c>
      <c r="L170" s="65">
        <v>1434.6</v>
      </c>
    </row>
    <row r="171" spans="11:12" x14ac:dyDescent="0.45">
      <c r="K171" s="7">
        <v>169</v>
      </c>
      <c r="L171" s="65">
        <v>1474.3999999999999</v>
      </c>
    </row>
    <row r="172" spans="11:12" x14ac:dyDescent="0.45">
      <c r="K172" s="7">
        <v>170</v>
      </c>
      <c r="L172" s="65">
        <v>1472.4999999999998</v>
      </c>
    </row>
    <row r="173" spans="11:12" x14ac:dyDescent="0.45">
      <c r="K173" s="7">
        <v>171</v>
      </c>
      <c r="L173" s="65">
        <v>1533.2999999999997</v>
      </c>
    </row>
    <row r="174" spans="11:12" x14ac:dyDescent="0.45">
      <c r="K174" s="7">
        <v>172</v>
      </c>
      <c r="L174" s="65">
        <v>1535.2999999999997</v>
      </c>
    </row>
    <row r="175" spans="11:12" x14ac:dyDescent="0.45">
      <c r="K175" s="7">
        <v>173</v>
      </c>
      <c r="L175" s="65">
        <v>1503.0999999999997</v>
      </c>
    </row>
    <row r="176" spans="11:12" x14ac:dyDescent="0.45">
      <c r="K176" s="7">
        <v>174</v>
      </c>
      <c r="L176" s="65">
        <v>1548.2999999999997</v>
      </c>
    </row>
    <row r="177" spans="11:12" x14ac:dyDescent="0.45">
      <c r="K177" s="7">
        <v>175</v>
      </c>
      <c r="L177" s="65">
        <v>1535.7999999999997</v>
      </c>
    </row>
    <row r="178" spans="11:12" x14ac:dyDescent="0.45">
      <c r="K178" s="7">
        <v>176</v>
      </c>
      <c r="L178" s="65">
        <v>1564.5999999999997</v>
      </c>
    </row>
    <row r="179" spans="11:12" x14ac:dyDescent="0.45">
      <c r="K179" s="7">
        <v>177</v>
      </c>
      <c r="L179" s="65">
        <v>1537.1999999999996</v>
      </c>
    </row>
    <row r="180" spans="11:12" x14ac:dyDescent="0.45">
      <c r="K180" s="7">
        <v>178</v>
      </c>
      <c r="L180" s="65">
        <v>1526.1999999999996</v>
      </c>
    </row>
    <row r="181" spans="11:12" x14ac:dyDescent="0.45">
      <c r="K181" s="7">
        <v>179</v>
      </c>
      <c r="L181" s="65">
        <v>1554.0999999999997</v>
      </c>
    </row>
    <row r="182" spans="11:12" x14ac:dyDescent="0.45">
      <c r="K182" s="7">
        <v>180</v>
      </c>
      <c r="L182" s="65">
        <v>1553.2999999999997</v>
      </c>
    </row>
    <row r="183" spans="11:12" x14ac:dyDescent="0.45">
      <c r="K183" s="7">
        <v>181</v>
      </c>
      <c r="L183" s="65">
        <v>1552.9999999999998</v>
      </c>
    </row>
    <row r="184" spans="11:12" x14ac:dyDescent="0.45">
      <c r="K184" s="7">
        <v>182</v>
      </c>
      <c r="L184" s="65">
        <v>1600.4999999999998</v>
      </c>
    </row>
    <row r="185" spans="11:12" x14ac:dyDescent="0.45">
      <c r="K185" s="7">
        <v>183</v>
      </c>
      <c r="L185" s="65">
        <v>1578.4999999999998</v>
      </c>
    </row>
    <row r="186" spans="11:12" x14ac:dyDescent="0.45">
      <c r="K186" s="7">
        <v>184</v>
      </c>
      <c r="L186" s="65">
        <v>1553.9999999999998</v>
      </c>
    </row>
    <row r="187" spans="11:12" x14ac:dyDescent="0.45">
      <c r="K187" s="7">
        <v>185</v>
      </c>
      <c r="L187" s="65">
        <v>1594.7999999999997</v>
      </c>
    </row>
    <row r="188" spans="11:12" x14ac:dyDescent="0.45">
      <c r="K188" s="7">
        <v>186</v>
      </c>
      <c r="L188" s="65">
        <v>1635.9999999999998</v>
      </c>
    </row>
    <row r="189" spans="11:12" x14ac:dyDescent="0.45">
      <c r="K189" s="7">
        <v>187</v>
      </c>
      <c r="L189" s="65">
        <v>1628.2999999999997</v>
      </c>
    </row>
    <row r="190" spans="11:12" x14ac:dyDescent="0.45">
      <c r="K190" s="7">
        <v>188</v>
      </c>
      <c r="L190" s="65">
        <v>1659.9999999999998</v>
      </c>
    </row>
    <row r="191" spans="11:12" x14ac:dyDescent="0.45">
      <c r="K191" s="7">
        <v>189</v>
      </c>
      <c r="L191" s="65">
        <v>1692.1999999999998</v>
      </c>
    </row>
    <row r="192" spans="11:12" x14ac:dyDescent="0.45">
      <c r="K192" s="7">
        <v>190</v>
      </c>
      <c r="L192" s="65">
        <v>1689.2999999999997</v>
      </c>
    </row>
    <row r="193" spans="11:12" x14ac:dyDescent="0.45">
      <c r="K193" s="7">
        <v>191</v>
      </c>
      <c r="L193" s="65">
        <v>1721.2999999999997</v>
      </c>
    </row>
    <row r="194" spans="11:12" x14ac:dyDescent="0.45">
      <c r="K194" s="7">
        <v>192</v>
      </c>
      <c r="L194" s="65">
        <v>1762.7999999999997</v>
      </c>
    </row>
    <row r="195" spans="11:12" x14ac:dyDescent="0.45">
      <c r="K195" s="7">
        <v>193</v>
      </c>
      <c r="L195" s="65">
        <v>1799.3999999999996</v>
      </c>
    </row>
    <row r="196" spans="11:12" x14ac:dyDescent="0.45">
      <c r="K196" s="7">
        <v>194</v>
      </c>
      <c r="L196" s="65">
        <v>1831.2999999999997</v>
      </c>
    </row>
    <row r="197" spans="11:12" x14ac:dyDescent="0.45">
      <c r="K197" s="7">
        <v>195</v>
      </c>
      <c r="L197" s="65">
        <v>1872.7999999999997</v>
      </c>
    </row>
    <row r="198" spans="11:12" x14ac:dyDescent="0.45">
      <c r="K198" s="7">
        <v>196</v>
      </c>
      <c r="L198" s="65">
        <v>1834.0999999999997</v>
      </c>
    </row>
    <row r="199" spans="11:12" x14ac:dyDescent="0.45">
      <c r="K199" s="7">
        <v>197</v>
      </c>
      <c r="L199" s="65">
        <v>1788.5999999999997</v>
      </c>
    </row>
    <row r="200" spans="11:12" x14ac:dyDescent="0.45">
      <c r="K200" s="7">
        <v>198</v>
      </c>
      <c r="L200" s="65">
        <v>1804.7999999999997</v>
      </c>
    </row>
    <row r="201" spans="11:12" x14ac:dyDescent="0.45">
      <c r="K201" s="7">
        <v>199</v>
      </c>
      <c r="L201" s="65">
        <v>1806.0999999999997</v>
      </c>
    </row>
    <row r="202" spans="11:12" x14ac:dyDescent="0.45">
      <c r="K202" s="7">
        <v>200</v>
      </c>
      <c r="L202" s="65">
        <v>1830.1999999999996</v>
      </c>
    </row>
    <row r="203" spans="11:12" x14ac:dyDescent="0.45">
      <c r="K203" s="7">
        <v>201</v>
      </c>
      <c r="L203" s="65">
        <v>1812.7999999999995</v>
      </c>
    </row>
    <row r="204" spans="11:12" x14ac:dyDescent="0.45">
      <c r="K204" s="7">
        <v>202</v>
      </c>
      <c r="L204" s="65">
        <v>1853.4999999999995</v>
      </c>
    </row>
    <row r="205" spans="11:12" x14ac:dyDescent="0.45">
      <c r="K205" s="7">
        <v>203</v>
      </c>
      <c r="L205" s="65">
        <v>1867.4999999999995</v>
      </c>
    </row>
    <row r="206" spans="11:12" x14ac:dyDescent="0.45">
      <c r="K206" s="7">
        <v>204</v>
      </c>
      <c r="L206" s="65">
        <v>1934.3999999999996</v>
      </c>
    </row>
    <row r="207" spans="11:12" x14ac:dyDescent="0.45">
      <c r="K207" s="7">
        <v>205</v>
      </c>
      <c r="L207" s="65">
        <v>1937.5999999999997</v>
      </c>
    </row>
    <row r="208" spans="11:12" x14ac:dyDescent="0.45">
      <c r="K208" s="7">
        <v>206</v>
      </c>
      <c r="L208" s="65">
        <v>1937.2999999999997</v>
      </c>
    </row>
    <row r="209" spans="11:12" x14ac:dyDescent="0.45">
      <c r="K209" s="7">
        <v>207</v>
      </c>
      <c r="L209" s="65">
        <v>1977.1999999999998</v>
      </c>
    </row>
    <row r="210" spans="11:12" x14ac:dyDescent="0.45">
      <c r="K210" s="7">
        <v>208</v>
      </c>
      <c r="L210" s="65">
        <v>1974.9999999999998</v>
      </c>
    </row>
    <row r="211" spans="11:12" x14ac:dyDescent="0.45">
      <c r="K211" s="7">
        <v>209</v>
      </c>
      <c r="L211" s="65">
        <v>1923.8999999999999</v>
      </c>
    </row>
    <row r="212" spans="11:12" x14ac:dyDescent="0.45">
      <c r="K212" s="7">
        <v>210</v>
      </c>
      <c r="L212" s="65">
        <v>1949.1999999999998</v>
      </c>
    </row>
    <row r="213" spans="11:12" x14ac:dyDescent="0.45">
      <c r="K213" s="7">
        <v>211</v>
      </c>
      <c r="L213" s="65">
        <v>1970.8999999999999</v>
      </c>
    </row>
    <row r="214" spans="11:12" x14ac:dyDescent="0.45">
      <c r="K214" s="7">
        <v>212</v>
      </c>
      <c r="L214" s="65">
        <v>2015.3999999999999</v>
      </c>
    </row>
    <row r="215" spans="11:12" x14ac:dyDescent="0.45">
      <c r="K215" s="7">
        <v>213</v>
      </c>
      <c r="L215" s="65">
        <v>2052.8999999999996</v>
      </c>
    </row>
    <row r="216" spans="11:12" x14ac:dyDescent="0.45">
      <c r="K216" s="7">
        <v>214</v>
      </c>
      <c r="L216" s="65">
        <v>2031.0999999999997</v>
      </c>
    </row>
    <row r="217" spans="11:12" x14ac:dyDescent="0.45">
      <c r="K217" s="7">
        <v>215</v>
      </c>
      <c r="L217" s="65">
        <v>2017.9999999999998</v>
      </c>
    </row>
    <row r="218" spans="11:12" x14ac:dyDescent="0.45">
      <c r="K218" s="7">
        <v>216</v>
      </c>
      <c r="L218" s="65">
        <v>2013.1999999999998</v>
      </c>
    </row>
    <row r="219" spans="11:12" x14ac:dyDescent="0.45">
      <c r="K219" s="7">
        <v>217</v>
      </c>
      <c r="L219" s="65">
        <v>1963.7999999999997</v>
      </c>
    </row>
    <row r="220" spans="11:12" x14ac:dyDescent="0.45">
      <c r="K220" s="7">
        <v>218</v>
      </c>
      <c r="L220" s="65">
        <v>1930.1999999999998</v>
      </c>
    </row>
    <row r="221" spans="11:12" x14ac:dyDescent="0.45">
      <c r="K221" s="7">
        <v>219</v>
      </c>
      <c r="L221" s="65">
        <v>1957.1</v>
      </c>
    </row>
    <row r="222" spans="11:12" x14ac:dyDescent="0.45">
      <c r="K222" s="7">
        <v>220</v>
      </c>
      <c r="L222" s="65">
        <v>1969.1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6922-00AE-4DD6-A4CF-7E33AB550919}">
  <sheetPr codeName="Sheet11"/>
  <dimension ref="A1:Q19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189</v>
      </c>
      <c r="C2" s="130"/>
      <c r="E2" s="28" t="s">
        <v>66</v>
      </c>
      <c r="F2" s="25" t="s">
        <v>22</v>
      </c>
      <c r="G2" s="13">
        <v>370</v>
      </c>
      <c r="H2" s="91">
        <f>IF(B$19=0,0,G2/B$19)</f>
        <v>0.74297188755020083</v>
      </c>
      <c r="I2" s="59">
        <v>6</v>
      </c>
      <c r="K2" s="5">
        <v>0</v>
      </c>
      <c r="L2" s="64">
        <v>0</v>
      </c>
      <c r="N2" s="77" t="s">
        <v>130</v>
      </c>
      <c r="O2" s="83">
        <f t="shared" ref="O2:O7" si="0">IF(P2=0,0,Q2/P2)</f>
        <v>-1121.3903743315509</v>
      </c>
      <c r="P2" s="80">
        <v>187</v>
      </c>
      <c r="Q2" s="67">
        <v>-209700</v>
      </c>
    </row>
    <row r="3" spans="1:17" x14ac:dyDescent="0.45">
      <c r="A3" s="21" t="s">
        <v>8</v>
      </c>
      <c r="B3" s="131">
        <v>1572</v>
      </c>
      <c r="C3" s="132"/>
      <c r="E3" s="29" t="s">
        <v>72</v>
      </c>
      <c r="F3" s="26" t="s">
        <v>27</v>
      </c>
      <c r="G3" s="14">
        <v>281</v>
      </c>
      <c r="H3" s="92">
        <f>IF(B$19=0,0,G3/B$19)</f>
        <v>0.56425702811244982</v>
      </c>
      <c r="I3" s="60">
        <v>4</v>
      </c>
      <c r="K3" s="7">
        <v>1</v>
      </c>
      <c r="L3" s="65">
        <v>-45.6</v>
      </c>
      <c r="N3" s="78" t="s">
        <v>131</v>
      </c>
      <c r="O3" s="84">
        <f t="shared" si="0"/>
        <v>1017.9347826086956</v>
      </c>
      <c r="P3" s="81">
        <v>184</v>
      </c>
      <c r="Q3" s="68">
        <v>187300</v>
      </c>
    </row>
    <row r="4" spans="1:17" x14ac:dyDescent="0.45">
      <c r="A4" s="21" t="s">
        <v>6</v>
      </c>
      <c r="B4" s="133">
        <v>-89.100000000000222</v>
      </c>
      <c r="C4" s="134"/>
      <c r="E4" s="29" t="s">
        <v>163</v>
      </c>
      <c r="F4" s="26" t="s">
        <v>164</v>
      </c>
      <c r="G4" s="14">
        <v>202</v>
      </c>
      <c r="H4" s="92">
        <f>IF(B$19=0,0,G4/B$19)</f>
        <v>0.40562248995983935</v>
      </c>
      <c r="I4" s="60">
        <v>5</v>
      </c>
      <c r="K4" s="7">
        <v>2</v>
      </c>
      <c r="L4" s="65">
        <v>-34.299999999999997</v>
      </c>
      <c r="N4" s="78" t="s">
        <v>132</v>
      </c>
      <c r="O4" s="84">
        <f t="shared" si="0"/>
        <v>-281.39534883720933</v>
      </c>
      <c r="P4" s="81">
        <v>172</v>
      </c>
      <c r="Q4" s="68">
        <v>-48400</v>
      </c>
    </row>
    <row r="5" spans="1:17" x14ac:dyDescent="0.45">
      <c r="A5" s="21" t="s">
        <v>7</v>
      </c>
      <c r="B5" s="121">
        <f>IF(B$2=0,0,B$4/B$2)</f>
        <v>-0.47142857142857258</v>
      </c>
      <c r="C5" s="122"/>
      <c r="E5" s="29" t="s">
        <v>64</v>
      </c>
      <c r="F5" s="26" t="s">
        <v>20</v>
      </c>
      <c r="G5" s="14">
        <v>184</v>
      </c>
      <c r="H5" s="92">
        <f>IF(B$19=0,0,G5/B$19)</f>
        <v>0.36947791164658633</v>
      </c>
      <c r="I5" s="60">
        <v>12</v>
      </c>
      <c r="K5" s="7">
        <v>3</v>
      </c>
      <c r="L5" s="65">
        <v>-58.599999999999994</v>
      </c>
      <c r="N5" s="78" t="s">
        <v>133</v>
      </c>
      <c r="O5" s="84">
        <f t="shared" si="0"/>
        <v>-86.58536585365853</v>
      </c>
      <c r="P5" s="81">
        <v>164</v>
      </c>
      <c r="Q5" s="68">
        <v>-14200</v>
      </c>
    </row>
    <row r="6" spans="1:17" x14ac:dyDescent="0.45">
      <c r="A6" s="21" t="s">
        <v>1</v>
      </c>
      <c r="B6" s="135">
        <f>IF(B$2=0,0,(B$7*1+B$8*2+B$9*3)/B$2)</f>
        <v>1.9894179894179893</v>
      </c>
      <c r="C6" s="136"/>
      <c r="E6" s="29" t="s">
        <v>68</v>
      </c>
      <c r="F6" s="26" t="s">
        <v>12</v>
      </c>
      <c r="G6" s="14">
        <v>134</v>
      </c>
      <c r="H6" s="92">
        <f>IF(B$19=0,0,G6/B$19)</f>
        <v>0.26907630522088355</v>
      </c>
      <c r="I6" s="60">
        <v>12</v>
      </c>
      <c r="K6" s="7">
        <v>4</v>
      </c>
      <c r="L6" s="65">
        <v>-38.099999999999994</v>
      </c>
      <c r="N6" s="78" t="s">
        <v>134</v>
      </c>
      <c r="O6" s="84">
        <f t="shared" si="0"/>
        <v>-957.71812080536915</v>
      </c>
      <c r="P6" s="81">
        <v>149</v>
      </c>
      <c r="Q6" s="68">
        <v>-142700</v>
      </c>
    </row>
    <row r="7" spans="1:17" x14ac:dyDescent="0.45">
      <c r="A7" s="21" t="s">
        <v>2</v>
      </c>
      <c r="B7" s="14">
        <v>62</v>
      </c>
      <c r="C7" s="8">
        <f t="shared" ref="C7:C14" si="1">IF(B$2=0,0,B7/B$2)</f>
        <v>0.32804232804232802</v>
      </c>
      <c r="E7" s="29" t="s">
        <v>67</v>
      </c>
      <c r="F7" s="26" t="s">
        <v>23</v>
      </c>
      <c r="G7" s="14">
        <v>99</v>
      </c>
      <c r="H7" s="92">
        <f>IF(B$19=0,0,G7/B$19)</f>
        <v>0.19879518072289157</v>
      </c>
      <c r="I7" s="60">
        <v>12</v>
      </c>
      <c r="K7" s="7">
        <v>5</v>
      </c>
      <c r="L7" s="65">
        <v>-11.299999999999994</v>
      </c>
      <c r="N7" s="79" t="s">
        <v>135</v>
      </c>
      <c r="O7" s="85">
        <f t="shared" si="0"/>
        <v>1076.3779527559054</v>
      </c>
      <c r="P7" s="82">
        <v>127</v>
      </c>
      <c r="Q7" s="69">
        <v>136700</v>
      </c>
    </row>
    <row r="8" spans="1:17" x14ac:dyDescent="0.45">
      <c r="A8" s="21" t="s">
        <v>3</v>
      </c>
      <c r="B8" s="14">
        <v>67</v>
      </c>
      <c r="C8" s="8">
        <f t="shared" si="1"/>
        <v>0.35449735449735448</v>
      </c>
      <c r="E8" s="29" t="s">
        <v>69</v>
      </c>
      <c r="F8" s="26" t="s">
        <v>24</v>
      </c>
      <c r="G8" s="14">
        <v>55</v>
      </c>
      <c r="H8" s="92">
        <f>IF(B$19=0,0,G8/B$19)</f>
        <v>0.11044176706827309</v>
      </c>
      <c r="I8" s="60">
        <v>10</v>
      </c>
      <c r="K8" s="7">
        <v>6</v>
      </c>
      <c r="L8" s="65">
        <v>-11.899999999999993</v>
      </c>
      <c r="N8" s="111"/>
      <c r="O8" s="89"/>
      <c r="P8" s="112"/>
      <c r="Q8" s="74"/>
    </row>
    <row r="9" spans="1:17" x14ac:dyDescent="0.45">
      <c r="A9" s="22" t="s">
        <v>4</v>
      </c>
      <c r="B9" s="15">
        <v>60</v>
      </c>
      <c r="C9" s="9">
        <f t="shared" si="1"/>
        <v>0.31746031746031744</v>
      </c>
      <c r="E9" s="29" t="s">
        <v>89</v>
      </c>
      <c r="F9" s="26" t="s">
        <v>44</v>
      </c>
      <c r="G9" s="14">
        <v>53</v>
      </c>
      <c r="H9" s="92">
        <f>IF(B$19=0,0,G9/B$19)</f>
        <v>0.10642570281124498</v>
      </c>
      <c r="I9" s="60">
        <v>10</v>
      </c>
      <c r="K9" s="7">
        <v>7</v>
      </c>
      <c r="L9" s="65">
        <v>-9.4999999999999929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35.31129032258066</v>
      </c>
      <c r="C10" s="114">
        <v>2189.3000000000011</v>
      </c>
      <c r="E10" s="29" t="s">
        <v>70</v>
      </c>
      <c r="F10" s="26" t="s">
        <v>25</v>
      </c>
      <c r="G10" s="14">
        <v>46</v>
      </c>
      <c r="H10" s="92">
        <f>IF(B$19=0,0,G10/B$19)</f>
        <v>9.2369477911646583E-2</v>
      </c>
      <c r="I10" s="60">
        <v>9</v>
      </c>
      <c r="K10" s="7">
        <v>8</v>
      </c>
      <c r="L10" s="65">
        <v>-56.79999999999999</v>
      </c>
      <c r="N10" s="77" t="s">
        <v>154</v>
      </c>
      <c r="O10" s="86">
        <f>IF(P10=0,0,Q10/P10)</f>
        <v>-0.89655172413793083</v>
      </c>
      <c r="P10" s="80">
        <v>58</v>
      </c>
      <c r="Q10" s="71">
        <v>-51.999999999999986</v>
      </c>
    </row>
    <row r="11" spans="1:17" x14ac:dyDescent="0.45">
      <c r="A11" s="22" t="s">
        <v>204</v>
      </c>
      <c r="B11" s="113">
        <f>IF(B8=0,0,C11/B8)</f>
        <v>-1.1283582089552238</v>
      </c>
      <c r="C11" s="114">
        <v>-75.599999999999994</v>
      </c>
      <c r="E11" s="29" t="s">
        <v>71</v>
      </c>
      <c r="F11" s="26" t="s">
        <v>26</v>
      </c>
      <c r="G11" s="14">
        <v>42</v>
      </c>
      <c r="H11" s="92">
        <f>IF(B$19=0,0,G11/B$19)</f>
        <v>8.4337349397590355E-2</v>
      </c>
      <c r="I11" s="60">
        <v>6</v>
      </c>
      <c r="K11" s="7">
        <v>9</v>
      </c>
      <c r="L11" s="65">
        <v>-83.699999999999989</v>
      </c>
      <c r="N11" s="78" t="s">
        <v>155</v>
      </c>
      <c r="O11" s="87">
        <f>IF(P11=0,0,Q11/P11)</f>
        <v>3.2306451612903238</v>
      </c>
      <c r="P11" s="81">
        <v>62</v>
      </c>
      <c r="Q11" s="72">
        <v>200.30000000000007</v>
      </c>
    </row>
    <row r="12" spans="1:17" x14ac:dyDescent="0.45">
      <c r="A12" s="22" t="s">
        <v>205</v>
      </c>
      <c r="B12" s="113">
        <f>IF(B9=0,0,C12/B9)</f>
        <v>-36.713333333333331</v>
      </c>
      <c r="C12" s="114">
        <v>-2202.7999999999997</v>
      </c>
      <c r="E12" s="29" t="s">
        <v>65</v>
      </c>
      <c r="F12" s="26" t="s">
        <v>21</v>
      </c>
      <c r="G12" s="14">
        <v>38</v>
      </c>
      <c r="H12" s="92">
        <f>IF(B$19=0,0,G12/B$19)</f>
        <v>7.6305220883534142E-2</v>
      </c>
      <c r="I12" s="60">
        <v>12</v>
      </c>
      <c r="K12" s="7">
        <v>10</v>
      </c>
      <c r="L12" s="65">
        <v>-78.399999999999991</v>
      </c>
      <c r="N12" s="79" t="s">
        <v>156</v>
      </c>
      <c r="O12" s="88">
        <f>IF(P12=0,0,Q12/P12)</f>
        <v>-3.4405797101449282</v>
      </c>
      <c r="P12" s="82">
        <v>69</v>
      </c>
      <c r="Q12" s="73">
        <v>-237.40000000000003</v>
      </c>
    </row>
    <row r="13" spans="1:17" x14ac:dyDescent="0.45">
      <c r="A13" s="22" t="s">
        <v>206</v>
      </c>
      <c r="B13" s="121">
        <f>AVERAGE(B10:B12)</f>
        <v>-0.84346707323596581</v>
      </c>
      <c r="C13" s="122"/>
      <c r="E13" s="29" t="s">
        <v>86</v>
      </c>
      <c r="F13" s="26" t="s">
        <v>41</v>
      </c>
      <c r="G13" s="14">
        <v>27</v>
      </c>
      <c r="H13" s="92">
        <f>IF(B$19=0,0,G13/B$19)</f>
        <v>5.4216867469879519E-2</v>
      </c>
      <c r="I13" s="60">
        <v>3</v>
      </c>
      <c r="K13" s="7">
        <v>11</v>
      </c>
      <c r="L13" s="65">
        <v>-68.099999999999994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0.10052910052910052</v>
      </c>
      <c r="E14" s="29" t="s">
        <v>83</v>
      </c>
      <c r="F14" s="26" t="s">
        <v>38</v>
      </c>
      <c r="G14" s="14">
        <v>23</v>
      </c>
      <c r="H14" s="92">
        <f>IF(B$19=0,0,G14/B$19)</f>
        <v>4.6184738955823292E-2</v>
      </c>
      <c r="I14" s="60">
        <v>8</v>
      </c>
      <c r="K14" s="7">
        <v>12</v>
      </c>
      <c r="L14" s="65">
        <v>-89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354</v>
      </c>
      <c r="C15" s="12">
        <f>IF(B$3=0,0,B15/B$3)</f>
        <v>0.22519083969465647</v>
      </c>
      <c r="E15" s="29" t="s">
        <v>78</v>
      </c>
      <c r="F15" s="26" t="s">
        <v>33</v>
      </c>
      <c r="G15" s="14">
        <v>20</v>
      </c>
      <c r="H15" s="92">
        <f>IF(B$19=0,0,G15/B$19)</f>
        <v>4.0160642570281124E-2</v>
      </c>
      <c r="I15" s="60">
        <v>3</v>
      </c>
      <c r="K15" s="7">
        <v>13</v>
      </c>
      <c r="L15" s="65">
        <v>-86.8</v>
      </c>
      <c r="N15" s="77" t="s">
        <v>201</v>
      </c>
      <c r="O15" s="86">
        <f>IF(P15=0,0,Q15/P15)</f>
        <v>75.3</v>
      </c>
      <c r="P15" s="80">
        <v>2</v>
      </c>
      <c r="Q15" s="71">
        <v>150.6</v>
      </c>
    </row>
    <row r="16" spans="1:17" x14ac:dyDescent="0.45">
      <c r="A16" s="21" t="s">
        <v>118</v>
      </c>
      <c r="B16" s="14">
        <v>472</v>
      </c>
      <c r="C16" s="8">
        <f>IF(B$3=0,0,B16/B$3)</f>
        <v>0.30025445292620867</v>
      </c>
      <c r="E16" s="29" t="s">
        <v>91</v>
      </c>
      <c r="F16" s="26" t="s">
        <v>46</v>
      </c>
      <c r="G16" s="14">
        <v>14</v>
      </c>
      <c r="H16" s="92">
        <f>IF(B$19=0,0,G16/B$19)</f>
        <v>2.8112449799196786E-2</v>
      </c>
      <c r="I16" s="60">
        <v>2</v>
      </c>
      <c r="K16" s="7">
        <v>14</v>
      </c>
      <c r="L16" s="65">
        <v>-138.4</v>
      </c>
      <c r="N16" s="78" t="s">
        <v>194</v>
      </c>
      <c r="O16" s="87">
        <f>IF(P16=0,0,Q16/P16)</f>
        <v>21.862499999999997</v>
      </c>
      <c r="P16" s="81">
        <v>8</v>
      </c>
      <c r="Q16" s="72">
        <v>174.89999999999998</v>
      </c>
    </row>
    <row r="17" spans="1:17" x14ac:dyDescent="0.45">
      <c r="A17" s="20" t="s">
        <v>123</v>
      </c>
      <c r="B17" s="13">
        <f>B23</f>
        <v>183</v>
      </c>
      <c r="C17" s="6">
        <f>IF(B$15=0,0,B17/B$15)</f>
        <v>0.51694915254237284</v>
      </c>
      <c r="E17" s="29" t="s">
        <v>81</v>
      </c>
      <c r="F17" s="26" t="s">
        <v>36</v>
      </c>
      <c r="G17" s="14">
        <v>13</v>
      </c>
      <c r="H17" s="92">
        <f>IF(B$19=0,0,G17/B$19)</f>
        <v>2.6104417670682729E-2</v>
      </c>
      <c r="I17" s="60">
        <v>4</v>
      </c>
      <c r="K17" s="7">
        <v>15</v>
      </c>
      <c r="L17" s="65">
        <v>-144.30000000000001</v>
      </c>
      <c r="N17" s="78" t="s">
        <v>169</v>
      </c>
      <c r="O17" s="87">
        <f>IF(P17=0,0,Q17/P17)</f>
        <v>16.70588235294117</v>
      </c>
      <c r="P17" s="81">
        <v>51</v>
      </c>
      <c r="Q17" s="72">
        <v>851.99999999999966</v>
      </c>
    </row>
    <row r="18" spans="1:17" x14ac:dyDescent="0.45">
      <c r="A18" s="20" t="s">
        <v>124</v>
      </c>
      <c r="B18" s="13">
        <f>B24</f>
        <v>190</v>
      </c>
      <c r="C18" s="6">
        <f>IF(B$16=0,0,B18/B$16)</f>
        <v>0.40254237288135591</v>
      </c>
      <c r="E18" s="29" t="s">
        <v>79</v>
      </c>
      <c r="F18" s="26" t="s">
        <v>34</v>
      </c>
      <c r="G18" s="14">
        <v>8</v>
      </c>
      <c r="H18" s="92">
        <f>IF(B$19=0,0,G18/B$19)</f>
        <v>1.6064257028112448E-2</v>
      </c>
      <c r="I18" s="60">
        <v>6</v>
      </c>
      <c r="K18" s="7">
        <v>16</v>
      </c>
      <c r="L18" s="65">
        <v>-187.3</v>
      </c>
      <c r="N18" s="78" t="s">
        <v>195</v>
      </c>
      <c r="O18" s="87">
        <f>IF(P18=0,0,Q18/P18)</f>
        <v>15.222222222222221</v>
      </c>
      <c r="P18" s="81">
        <v>18</v>
      </c>
      <c r="Q18" s="72">
        <v>274</v>
      </c>
    </row>
    <row r="19" spans="1:17" x14ac:dyDescent="0.45">
      <c r="A19" s="20" t="s">
        <v>10</v>
      </c>
      <c r="B19" s="13">
        <f>B22+B21</f>
        <v>498</v>
      </c>
      <c r="C19" s="6">
        <f>IF(B$3=0,0,B19/B$3)</f>
        <v>0.31679389312977096</v>
      </c>
      <c r="E19" s="29" t="s">
        <v>159</v>
      </c>
      <c r="F19" s="26" t="s">
        <v>160</v>
      </c>
      <c r="G19" s="14">
        <v>6</v>
      </c>
      <c r="H19" s="92">
        <f>IF(B$19=0,0,G19/B$19)</f>
        <v>1.2048192771084338E-2</v>
      </c>
      <c r="I19" s="60">
        <v>7</v>
      </c>
      <c r="K19" s="7">
        <v>17</v>
      </c>
      <c r="L19" s="65">
        <v>-179.70000000000002</v>
      </c>
      <c r="N19" s="78" t="s">
        <v>158</v>
      </c>
      <c r="O19" s="87">
        <f>IF(P19=0,0,Q19/P19)</f>
        <v>13.864864864864865</v>
      </c>
      <c r="P19" s="81">
        <v>37</v>
      </c>
      <c r="Q19" s="72">
        <v>513</v>
      </c>
    </row>
    <row r="20" spans="1:17" x14ac:dyDescent="0.45">
      <c r="A20" s="21" t="s">
        <v>13</v>
      </c>
      <c r="B20" s="14">
        <v>273</v>
      </c>
      <c r="C20" s="8">
        <f>IF(B$3=0,0,B20/B$3)</f>
        <v>0.17366412213740459</v>
      </c>
      <c r="E20" s="29" t="s">
        <v>92</v>
      </c>
      <c r="F20" s="26" t="s">
        <v>47</v>
      </c>
      <c r="G20" s="14">
        <v>3</v>
      </c>
      <c r="H20" s="92">
        <f>IF(B$19=0,0,G20/B$19)</f>
        <v>6.024096385542169E-3</v>
      </c>
      <c r="I20" s="60">
        <v>6</v>
      </c>
      <c r="K20" s="7">
        <v>18</v>
      </c>
      <c r="L20" s="65">
        <v>-112.90000000000002</v>
      </c>
      <c r="N20" s="78" t="s">
        <v>275</v>
      </c>
      <c r="O20" s="87">
        <f>IF(P20=0,0,Q20/P20)</f>
        <v>-2.86</v>
      </c>
      <c r="P20" s="81">
        <v>5</v>
      </c>
      <c r="Q20" s="72">
        <v>-14.299999999999999</v>
      </c>
    </row>
    <row r="21" spans="1:17" x14ac:dyDescent="0.45">
      <c r="A21" s="21" t="s">
        <v>12</v>
      </c>
      <c r="B21" s="14">
        <v>206</v>
      </c>
      <c r="C21" s="8">
        <f>IF(B$19=0,0,B21/B$19)</f>
        <v>0.41365461847389556</v>
      </c>
      <c r="E21" s="29" t="s">
        <v>73</v>
      </c>
      <c r="F21" s="26" t="s">
        <v>28</v>
      </c>
      <c r="G21" s="14">
        <v>2</v>
      </c>
      <c r="H21" s="92">
        <f>IF(B$19=0,0,G21/B$19)</f>
        <v>4.0160642570281121E-3</v>
      </c>
      <c r="I21" s="60">
        <v>4</v>
      </c>
      <c r="K21" s="7">
        <v>19</v>
      </c>
      <c r="L21" s="65">
        <v>-162.40000000000003</v>
      </c>
      <c r="N21" s="78" t="s">
        <v>167</v>
      </c>
      <c r="O21" s="87">
        <f>IF(P21=0,0,Q21/P21)</f>
        <v>-3.8437499999999973</v>
      </c>
      <c r="P21" s="81">
        <v>64</v>
      </c>
      <c r="Q21" s="72">
        <v>-245.99999999999983</v>
      </c>
    </row>
    <row r="22" spans="1:17" x14ac:dyDescent="0.45">
      <c r="A22" s="21" t="s">
        <v>11</v>
      </c>
      <c r="B22" s="14">
        <v>292</v>
      </c>
      <c r="C22" s="8">
        <f>IF(B$19=0,0,B22/B$19)</f>
        <v>0.58634538152610438</v>
      </c>
      <c r="E22" s="29" t="s">
        <v>74</v>
      </c>
      <c r="F22" s="26" t="s">
        <v>29</v>
      </c>
      <c r="G22" s="14">
        <v>2</v>
      </c>
      <c r="H22" s="92">
        <f>IF(B$19=0,0,G22/B$19)</f>
        <v>4.0160642570281121E-3</v>
      </c>
      <c r="I22" s="60">
        <v>3</v>
      </c>
      <c r="K22" s="7">
        <v>20</v>
      </c>
      <c r="L22" s="65">
        <v>-96.000000000000028</v>
      </c>
      <c r="N22" s="78" t="s">
        <v>168</v>
      </c>
      <c r="O22" s="87">
        <f>IF(P22=0,0,Q22/P22)</f>
        <v>-3.9469696969696959</v>
      </c>
      <c r="P22" s="81">
        <v>66</v>
      </c>
      <c r="Q22" s="72">
        <v>-260.49999999999994</v>
      </c>
    </row>
    <row r="23" spans="1:17" x14ac:dyDescent="0.45">
      <c r="A23" s="21" t="s">
        <v>192</v>
      </c>
      <c r="B23" s="14">
        <v>183</v>
      </c>
      <c r="C23" s="8">
        <f>IF(B$19=0,0,B23/B$19)</f>
        <v>0.36746987951807231</v>
      </c>
      <c r="E23" s="29" t="s">
        <v>75</v>
      </c>
      <c r="F23" s="26" t="s">
        <v>30</v>
      </c>
      <c r="G23" s="14">
        <v>2</v>
      </c>
      <c r="H23" s="92">
        <f>IF(B$19=0,0,G23/B$19)</f>
        <v>4.0160642570281121E-3</v>
      </c>
      <c r="I23" s="60">
        <v>9</v>
      </c>
      <c r="K23" s="7">
        <v>21</v>
      </c>
      <c r="L23" s="65">
        <v>-67.200000000000031</v>
      </c>
      <c r="N23" s="78" t="s">
        <v>126</v>
      </c>
      <c r="O23" s="87">
        <f>IF(P23=0,0,Q23/P23)</f>
        <v>-13.472440944881892</v>
      </c>
      <c r="P23" s="81">
        <v>127</v>
      </c>
      <c r="Q23" s="72">
        <v>-1711.0000000000005</v>
      </c>
    </row>
    <row r="24" spans="1:17" x14ac:dyDescent="0.45">
      <c r="A24" s="21" t="s">
        <v>190</v>
      </c>
      <c r="B24" s="14">
        <v>190</v>
      </c>
      <c r="C24" s="8">
        <f>IF(B$19=0,0,B24/B$19)</f>
        <v>0.38152610441767071</v>
      </c>
      <c r="E24" s="29" t="s">
        <v>90</v>
      </c>
      <c r="F24" s="26" t="s">
        <v>45</v>
      </c>
      <c r="G24" s="14">
        <v>2</v>
      </c>
      <c r="H24" s="92">
        <f>IF(B$19=0,0,G24/B$19)</f>
        <v>4.0160642570281121E-3</v>
      </c>
      <c r="I24" s="60">
        <v>2</v>
      </c>
      <c r="K24" s="7">
        <v>22</v>
      </c>
      <c r="L24" s="65">
        <v>-38.400000000000034</v>
      </c>
    </row>
    <row r="25" spans="1:17" x14ac:dyDescent="0.45">
      <c r="A25" s="21" t="s">
        <v>191</v>
      </c>
      <c r="B25" s="14">
        <v>125</v>
      </c>
      <c r="C25" s="8">
        <f>IF(B$19=0,0,B25/B$19)</f>
        <v>0.25100401606425704</v>
      </c>
      <c r="E25" s="29" t="s">
        <v>76</v>
      </c>
      <c r="F25" s="26" t="s">
        <v>31</v>
      </c>
      <c r="G25" s="14">
        <v>1</v>
      </c>
      <c r="H25" s="92">
        <f>IF(B$19=0,0,G25/B$19)</f>
        <v>2.008032128514056E-3</v>
      </c>
      <c r="I25" s="60">
        <v>1</v>
      </c>
      <c r="K25" s="7">
        <v>23</v>
      </c>
      <c r="L25" s="65">
        <v>-37.600000000000037</v>
      </c>
    </row>
    <row r="26" spans="1:17" x14ac:dyDescent="0.45">
      <c r="A26" s="21" t="s">
        <v>5</v>
      </c>
      <c r="B26" s="18">
        <f>IF(B$19=0,0,C26/B$19)</f>
        <v>7782.9317269076309</v>
      </c>
      <c r="C26" s="10">
        <v>3875900</v>
      </c>
      <c r="E26" s="29" t="s">
        <v>77</v>
      </c>
      <c r="F26" s="26" t="s">
        <v>32</v>
      </c>
      <c r="G26" s="14">
        <v>1</v>
      </c>
      <c r="H26" s="92">
        <f>IF(B$19=0,0,G26/B$19)</f>
        <v>2.008032128514056E-3</v>
      </c>
      <c r="I26" s="60">
        <v>5</v>
      </c>
      <c r="K26" s="7">
        <v>24</v>
      </c>
      <c r="L26" s="65">
        <v>-37.600000000000037</v>
      </c>
    </row>
    <row r="27" spans="1:17" x14ac:dyDescent="0.45">
      <c r="A27" s="22" t="s">
        <v>174</v>
      </c>
      <c r="B27" s="99">
        <f>IF($B$19-B$18=0,0,C27/($B$19-B$18))</f>
        <v>8463.636363636364</v>
      </c>
      <c r="C27" s="100">
        <v>2606800</v>
      </c>
      <c r="E27" s="29" t="s">
        <v>84</v>
      </c>
      <c r="F27" s="26" t="s">
        <v>39</v>
      </c>
      <c r="G27" s="14">
        <v>1</v>
      </c>
      <c r="H27" s="92">
        <f>IF(B$19=0,0,G27/B$19)</f>
        <v>2.008032128514056E-3</v>
      </c>
      <c r="I27" s="60">
        <v>5</v>
      </c>
      <c r="K27" s="7">
        <v>25</v>
      </c>
      <c r="L27" s="65">
        <v>-10.700000000000038</v>
      </c>
    </row>
    <row r="28" spans="1:17" x14ac:dyDescent="0.45">
      <c r="A28" s="22" t="s">
        <v>175</v>
      </c>
      <c r="B28" s="99">
        <f>IF(B$18=0,0,C28/B$18)</f>
        <v>6679.4736842105267</v>
      </c>
      <c r="C28" s="100">
        <v>1269100</v>
      </c>
      <c r="E28" s="29" t="s">
        <v>95</v>
      </c>
      <c r="F28" s="26" t="s">
        <v>50</v>
      </c>
      <c r="G28" s="14">
        <v>1</v>
      </c>
      <c r="H28" s="92">
        <f>IF(B$19=0,0,G28/B$19)</f>
        <v>2.008032128514056E-3</v>
      </c>
      <c r="I28" s="60">
        <v>4</v>
      </c>
      <c r="K28" s="7">
        <v>26</v>
      </c>
      <c r="L28" s="65">
        <v>-2.6000000000000387</v>
      </c>
    </row>
    <row r="29" spans="1:17" x14ac:dyDescent="0.45">
      <c r="A29" s="22" t="s">
        <v>173</v>
      </c>
      <c r="B29" s="99">
        <f>IF(B$20=0,0,C29/B$20)</f>
        <v>-8050.9157509157512</v>
      </c>
      <c r="C29" s="100">
        <v>-2197900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-34.100000000000037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-16.100000000000037</v>
      </c>
    </row>
    <row r="31" spans="1:17" x14ac:dyDescent="0.45">
      <c r="A31" s="21" t="s">
        <v>162</v>
      </c>
      <c r="B31" s="14">
        <v>36</v>
      </c>
      <c r="C31" s="94">
        <v>0</v>
      </c>
      <c r="E31" s="29" t="s">
        <v>85</v>
      </c>
      <c r="F31" s="26" t="s">
        <v>40</v>
      </c>
      <c r="G31" s="14">
        <v>0</v>
      </c>
      <c r="H31" s="92">
        <f>IF(B$19=0,0,G31/B$19)</f>
        <v>0</v>
      </c>
      <c r="I31" s="60">
        <v>8</v>
      </c>
      <c r="K31" s="7">
        <v>29</v>
      </c>
      <c r="L31" s="65">
        <v>40.799999999999962</v>
      </c>
    </row>
    <row r="32" spans="1:17" x14ac:dyDescent="0.45">
      <c r="A32" s="56" t="s">
        <v>138</v>
      </c>
      <c r="B32" s="123">
        <v>8</v>
      </c>
      <c r="C32" s="124"/>
      <c r="E32" s="29" t="s">
        <v>87</v>
      </c>
      <c r="F32" s="26" t="s">
        <v>42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63.499999999999957</v>
      </c>
    </row>
    <row r="33" spans="1:12" x14ac:dyDescent="0.45">
      <c r="A33" s="24" t="s">
        <v>189</v>
      </c>
      <c r="B33" s="125">
        <v>91800</v>
      </c>
      <c r="C33" s="126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94.299999999999955</v>
      </c>
    </row>
    <row r="34" spans="1:12" x14ac:dyDescent="0.45">
      <c r="A34" s="23" t="s">
        <v>139</v>
      </c>
      <c r="B34" s="31">
        <v>8</v>
      </c>
      <c r="C34" s="11">
        <f>IF(B$3=0,0,B34/B$3)</f>
        <v>5.0890585241730284E-3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144.79999999999995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153.39999999999995</v>
      </c>
    </row>
    <row r="36" spans="1:12" x14ac:dyDescent="0.45">
      <c r="A36" s="56" t="s">
        <v>180</v>
      </c>
      <c r="B36" s="119">
        <v>42</v>
      </c>
      <c r="C36" s="102">
        <f t="shared" ref="C36:C48" si="2">IF(B$19=0,0,B36/B$19)</f>
        <v>8.4337349397590355E-2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178.09999999999994</v>
      </c>
    </row>
    <row r="37" spans="1:12" x14ac:dyDescent="0.45">
      <c r="A37" s="21" t="s">
        <v>176</v>
      </c>
      <c r="B37" s="14">
        <v>95</v>
      </c>
      <c r="C37" s="8">
        <f t="shared" si="2"/>
        <v>0.19076305220883535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171.89999999999995</v>
      </c>
    </row>
    <row r="38" spans="1:12" x14ac:dyDescent="0.45">
      <c r="A38" s="21" t="s">
        <v>177</v>
      </c>
      <c r="B38" s="120">
        <v>108</v>
      </c>
      <c r="C38" s="8">
        <f t="shared" si="2"/>
        <v>0.21686746987951808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164.59999999999994</v>
      </c>
    </row>
    <row r="39" spans="1:12" x14ac:dyDescent="0.45">
      <c r="A39" s="21" t="s">
        <v>178</v>
      </c>
      <c r="B39" s="120">
        <v>99</v>
      </c>
      <c r="C39" s="8">
        <f t="shared" si="2"/>
        <v>0.19879518072289157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156.59999999999994</v>
      </c>
    </row>
    <row r="40" spans="1:12" x14ac:dyDescent="0.45">
      <c r="A40" s="21" t="s">
        <v>179</v>
      </c>
      <c r="B40" s="120">
        <v>70</v>
      </c>
      <c r="C40" s="8">
        <f t="shared" si="2"/>
        <v>0.14056224899598393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110.89999999999993</v>
      </c>
    </row>
    <row r="41" spans="1:12" x14ac:dyDescent="0.45">
      <c r="A41" s="21" t="s">
        <v>181</v>
      </c>
      <c r="B41" s="120">
        <v>45</v>
      </c>
      <c r="C41" s="8">
        <f t="shared" si="2"/>
        <v>9.036144578313253E-2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158.79999999999993</v>
      </c>
    </row>
    <row r="42" spans="1:12" x14ac:dyDescent="0.45">
      <c r="A42" s="21" t="s">
        <v>182</v>
      </c>
      <c r="B42" s="120">
        <v>16</v>
      </c>
      <c r="C42" s="8">
        <f t="shared" si="2"/>
        <v>3.2128514056224897E-2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109.59999999999992</v>
      </c>
    </row>
    <row r="43" spans="1:12" x14ac:dyDescent="0.45">
      <c r="A43" s="21" t="s">
        <v>183</v>
      </c>
      <c r="B43" s="120">
        <v>9</v>
      </c>
      <c r="C43" s="8">
        <f t="shared" si="2"/>
        <v>1.8072289156626505E-2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131.59999999999991</v>
      </c>
    </row>
    <row r="44" spans="1:12" x14ac:dyDescent="0.45">
      <c r="A44" s="21" t="s">
        <v>184</v>
      </c>
      <c r="B44" s="120">
        <v>6</v>
      </c>
      <c r="C44" s="8">
        <f t="shared" si="2"/>
        <v>1.2048192771084338E-2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183.6999999999999</v>
      </c>
    </row>
    <row r="45" spans="1:12" x14ac:dyDescent="0.45">
      <c r="A45" s="21" t="s">
        <v>185</v>
      </c>
      <c r="B45" s="120">
        <v>1</v>
      </c>
      <c r="C45" s="8">
        <f t="shared" si="2"/>
        <v>2.008032128514056E-3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211.89999999999989</v>
      </c>
    </row>
    <row r="46" spans="1:12" x14ac:dyDescent="0.45">
      <c r="A46" s="21" t="s">
        <v>186</v>
      </c>
      <c r="B46" s="120">
        <v>3</v>
      </c>
      <c r="C46" s="8">
        <f t="shared" si="2"/>
        <v>6.024096385542169E-3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232.7999999999999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214.39999999999989</v>
      </c>
    </row>
    <row r="48" spans="1:12" x14ac:dyDescent="0.45">
      <c r="A48" s="23" t="s">
        <v>188</v>
      </c>
      <c r="B48" s="101">
        <v>4</v>
      </c>
      <c r="C48" s="11">
        <f t="shared" si="2"/>
        <v>8.0321285140562242E-3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215.39999999999989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259.19999999999987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272.09999999999985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222.79999999999984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248.89999999999984</v>
      </c>
    </row>
    <row r="53" spans="5:12" x14ac:dyDescent="0.45">
      <c r="K53" s="7">
        <v>51</v>
      </c>
      <c r="L53" s="65">
        <v>269.99999999999983</v>
      </c>
    </row>
    <row r="54" spans="5:12" x14ac:dyDescent="0.45">
      <c r="K54" s="7">
        <v>52</v>
      </c>
      <c r="L54" s="65">
        <v>298.09999999999985</v>
      </c>
    </row>
    <row r="55" spans="5:12" x14ac:dyDescent="0.45">
      <c r="K55" s="7">
        <v>53</v>
      </c>
      <c r="L55" s="65">
        <v>324.29999999999984</v>
      </c>
    </row>
    <row r="56" spans="5:12" x14ac:dyDescent="0.45">
      <c r="K56" s="7">
        <v>54</v>
      </c>
      <c r="L56" s="65">
        <v>346.59999999999985</v>
      </c>
    </row>
    <row r="57" spans="5:12" x14ac:dyDescent="0.45">
      <c r="K57" s="7">
        <v>55</v>
      </c>
      <c r="L57" s="65">
        <v>295.09999999999985</v>
      </c>
    </row>
    <row r="58" spans="5:12" x14ac:dyDescent="0.45">
      <c r="K58" s="7">
        <v>56</v>
      </c>
      <c r="L58" s="65">
        <v>319.89999999999986</v>
      </c>
    </row>
    <row r="59" spans="5:12" x14ac:dyDescent="0.45">
      <c r="K59" s="7">
        <v>57</v>
      </c>
      <c r="L59" s="65">
        <v>291.09999999999985</v>
      </c>
    </row>
    <row r="60" spans="5:12" x14ac:dyDescent="0.45">
      <c r="K60" s="7">
        <v>58</v>
      </c>
      <c r="L60" s="65">
        <v>274.39999999999986</v>
      </c>
    </row>
    <row r="61" spans="5:12" x14ac:dyDescent="0.45">
      <c r="K61" s="7">
        <v>59</v>
      </c>
      <c r="L61" s="65">
        <v>261.39999999999986</v>
      </c>
    </row>
    <row r="62" spans="5:12" x14ac:dyDescent="0.45">
      <c r="K62" s="7">
        <v>60</v>
      </c>
      <c r="L62" s="65">
        <v>208.69999999999987</v>
      </c>
    </row>
    <row r="63" spans="5:12" x14ac:dyDescent="0.45">
      <c r="K63" s="7">
        <v>61</v>
      </c>
      <c r="L63" s="65">
        <v>245.89999999999986</v>
      </c>
    </row>
    <row r="64" spans="5:12" x14ac:dyDescent="0.45">
      <c r="K64" s="7">
        <v>62</v>
      </c>
      <c r="L64" s="65">
        <v>193.09999999999985</v>
      </c>
    </row>
    <row r="65" spans="11:12" x14ac:dyDescent="0.45">
      <c r="K65" s="7">
        <v>63</v>
      </c>
      <c r="L65" s="65">
        <v>248.19999999999985</v>
      </c>
    </row>
    <row r="66" spans="11:12" x14ac:dyDescent="0.45">
      <c r="K66" s="7">
        <v>64</v>
      </c>
      <c r="L66" s="65">
        <v>238.99999999999986</v>
      </c>
    </row>
    <row r="67" spans="11:12" x14ac:dyDescent="0.45">
      <c r="K67" s="7">
        <v>65</v>
      </c>
      <c r="L67" s="65">
        <v>274.49999999999989</v>
      </c>
    </row>
    <row r="68" spans="11:12" x14ac:dyDescent="0.45">
      <c r="K68" s="7">
        <v>66</v>
      </c>
      <c r="L68" s="65">
        <v>287.09999999999991</v>
      </c>
    </row>
    <row r="69" spans="11:12" x14ac:dyDescent="0.45">
      <c r="K69" s="7">
        <v>67</v>
      </c>
      <c r="L69" s="65">
        <v>315.7999999999999</v>
      </c>
    </row>
    <row r="70" spans="11:12" x14ac:dyDescent="0.45">
      <c r="K70" s="7">
        <v>68</v>
      </c>
      <c r="L70" s="65">
        <v>350.2999999999999</v>
      </c>
    </row>
    <row r="71" spans="11:12" x14ac:dyDescent="0.45">
      <c r="K71" s="7">
        <v>69</v>
      </c>
      <c r="L71" s="65">
        <v>384.09999999999991</v>
      </c>
    </row>
    <row r="72" spans="11:12" x14ac:dyDescent="0.45">
      <c r="K72" s="7">
        <v>70</v>
      </c>
      <c r="L72" s="65">
        <v>390.59999999999991</v>
      </c>
    </row>
    <row r="73" spans="11:12" x14ac:dyDescent="0.45">
      <c r="K73" s="7">
        <v>71</v>
      </c>
      <c r="L73" s="65">
        <v>387.49999999999989</v>
      </c>
    </row>
    <row r="74" spans="11:12" x14ac:dyDescent="0.45">
      <c r="K74" s="7">
        <v>72</v>
      </c>
      <c r="L74" s="65">
        <v>361.39999999999986</v>
      </c>
    </row>
    <row r="75" spans="11:12" x14ac:dyDescent="0.45">
      <c r="K75" s="7">
        <v>73</v>
      </c>
      <c r="L75" s="65">
        <v>380.79999999999984</v>
      </c>
    </row>
    <row r="76" spans="11:12" x14ac:dyDescent="0.45">
      <c r="K76" s="7">
        <v>74</v>
      </c>
      <c r="L76" s="65">
        <v>327.39999999999986</v>
      </c>
    </row>
    <row r="77" spans="11:12" x14ac:dyDescent="0.45">
      <c r="K77" s="7">
        <v>75</v>
      </c>
      <c r="L77" s="65">
        <v>336.79999999999984</v>
      </c>
    </row>
    <row r="78" spans="11:12" x14ac:dyDescent="0.45">
      <c r="K78" s="7">
        <v>76</v>
      </c>
      <c r="L78" s="65">
        <v>344.09999999999985</v>
      </c>
    </row>
    <row r="79" spans="11:12" x14ac:dyDescent="0.45">
      <c r="K79" s="7">
        <v>77</v>
      </c>
      <c r="L79" s="65">
        <v>375.59999999999985</v>
      </c>
    </row>
    <row r="80" spans="11:12" x14ac:dyDescent="0.45">
      <c r="K80" s="7">
        <v>78</v>
      </c>
      <c r="L80" s="65">
        <v>377.19999999999987</v>
      </c>
    </row>
    <row r="81" spans="11:12" x14ac:dyDescent="0.45">
      <c r="K81" s="7">
        <v>79</v>
      </c>
      <c r="L81" s="65">
        <v>390.49999999999989</v>
      </c>
    </row>
    <row r="82" spans="11:12" x14ac:dyDescent="0.45">
      <c r="K82" s="7">
        <v>80</v>
      </c>
      <c r="L82" s="65">
        <v>369.19999999999987</v>
      </c>
    </row>
    <row r="83" spans="11:12" x14ac:dyDescent="0.45">
      <c r="K83" s="7">
        <v>81</v>
      </c>
      <c r="L83" s="65">
        <v>374.2999999999999</v>
      </c>
    </row>
    <row r="84" spans="11:12" x14ac:dyDescent="0.45">
      <c r="K84" s="7">
        <v>82</v>
      </c>
      <c r="L84" s="65">
        <v>344.69999999999987</v>
      </c>
    </row>
    <row r="85" spans="11:12" x14ac:dyDescent="0.45">
      <c r="K85" s="7">
        <v>83</v>
      </c>
      <c r="L85" s="65">
        <v>328.7999999999999</v>
      </c>
    </row>
    <row r="86" spans="11:12" x14ac:dyDescent="0.45">
      <c r="K86" s="7">
        <v>84</v>
      </c>
      <c r="L86" s="65">
        <v>283.59999999999991</v>
      </c>
    </row>
    <row r="87" spans="11:12" x14ac:dyDescent="0.45">
      <c r="K87" s="7">
        <v>85</v>
      </c>
      <c r="L87" s="65">
        <v>320.99999999999989</v>
      </c>
    </row>
    <row r="88" spans="11:12" x14ac:dyDescent="0.45">
      <c r="K88" s="7">
        <v>86</v>
      </c>
      <c r="L88" s="65">
        <v>317.49999999999989</v>
      </c>
    </row>
    <row r="89" spans="11:12" x14ac:dyDescent="0.45">
      <c r="K89" s="7">
        <v>87</v>
      </c>
      <c r="L89" s="65">
        <v>369.39999999999986</v>
      </c>
    </row>
    <row r="90" spans="11:12" x14ac:dyDescent="0.45">
      <c r="K90" s="7">
        <v>88</v>
      </c>
      <c r="L90" s="65">
        <v>352.29999999999984</v>
      </c>
    </row>
    <row r="91" spans="11:12" x14ac:dyDescent="0.45">
      <c r="K91" s="7">
        <v>89</v>
      </c>
      <c r="L91" s="65">
        <v>356.49999999999983</v>
      </c>
    </row>
    <row r="92" spans="11:12" x14ac:dyDescent="0.45">
      <c r="K92" s="7">
        <v>90</v>
      </c>
      <c r="L92" s="65">
        <v>326.19999999999982</v>
      </c>
    </row>
    <row r="93" spans="11:12" x14ac:dyDescent="0.45">
      <c r="K93" s="7">
        <v>91</v>
      </c>
      <c r="L93" s="65">
        <v>316.5999999999998</v>
      </c>
    </row>
    <row r="94" spans="11:12" x14ac:dyDescent="0.45">
      <c r="K94" s="7">
        <v>92</v>
      </c>
      <c r="L94" s="65">
        <v>267.79999999999978</v>
      </c>
    </row>
    <row r="95" spans="11:12" x14ac:dyDescent="0.45">
      <c r="K95" s="7">
        <v>93</v>
      </c>
      <c r="L95" s="65">
        <v>234.0999999999998</v>
      </c>
    </row>
    <row r="96" spans="11:12" x14ac:dyDescent="0.45">
      <c r="K96" s="7">
        <v>94</v>
      </c>
      <c r="L96" s="65">
        <v>101.19999999999979</v>
      </c>
    </row>
    <row r="97" spans="11:12" x14ac:dyDescent="0.45">
      <c r="K97" s="7">
        <v>95</v>
      </c>
      <c r="L97" s="65">
        <v>71.799999999999784</v>
      </c>
    </row>
    <row r="98" spans="11:12" x14ac:dyDescent="0.45">
      <c r="K98" s="7">
        <v>96</v>
      </c>
      <c r="L98" s="65">
        <v>72.299999999999784</v>
      </c>
    </row>
    <row r="99" spans="11:12" x14ac:dyDescent="0.45">
      <c r="K99" s="7">
        <v>97</v>
      </c>
      <c r="L99" s="65">
        <v>49.899999999999785</v>
      </c>
    </row>
    <row r="100" spans="11:12" x14ac:dyDescent="0.45">
      <c r="K100" s="7">
        <v>98</v>
      </c>
      <c r="L100" s="65">
        <v>36.399999999999785</v>
      </c>
    </row>
    <row r="101" spans="11:12" x14ac:dyDescent="0.45">
      <c r="K101" s="7">
        <v>99</v>
      </c>
      <c r="L101" s="65">
        <v>42.999999999999787</v>
      </c>
    </row>
    <row r="102" spans="11:12" x14ac:dyDescent="0.45">
      <c r="K102" s="7">
        <v>100</v>
      </c>
      <c r="L102" s="65">
        <v>13.399999999999785</v>
      </c>
    </row>
    <row r="103" spans="11:12" x14ac:dyDescent="0.45">
      <c r="K103" s="7">
        <v>101</v>
      </c>
      <c r="L103" s="65">
        <v>-34.400000000000212</v>
      </c>
    </row>
    <row r="104" spans="11:12" x14ac:dyDescent="0.45">
      <c r="K104" s="7">
        <v>102</v>
      </c>
      <c r="L104" s="65">
        <v>-56.500000000000213</v>
      </c>
    </row>
    <row r="105" spans="11:12" x14ac:dyDescent="0.45">
      <c r="K105" s="7">
        <v>103</v>
      </c>
      <c r="L105" s="65">
        <v>-31.500000000000213</v>
      </c>
    </row>
    <row r="106" spans="11:12" x14ac:dyDescent="0.45">
      <c r="K106" s="7">
        <v>104</v>
      </c>
      <c r="L106" s="65">
        <v>-49.900000000000212</v>
      </c>
    </row>
    <row r="107" spans="11:12" x14ac:dyDescent="0.45">
      <c r="K107" s="7">
        <v>105</v>
      </c>
      <c r="L107" s="65">
        <v>-48.80000000000021</v>
      </c>
    </row>
    <row r="108" spans="11:12" x14ac:dyDescent="0.45">
      <c r="K108" s="7">
        <v>106</v>
      </c>
      <c r="L108" s="65">
        <v>-48.900000000000212</v>
      </c>
    </row>
    <row r="109" spans="11:12" x14ac:dyDescent="0.45">
      <c r="K109" s="7">
        <v>107</v>
      </c>
      <c r="L109" s="65">
        <v>-18.500000000000213</v>
      </c>
    </row>
    <row r="110" spans="11:12" x14ac:dyDescent="0.45">
      <c r="K110" s="7">
        <v>108</v>
      </c>
      <c r="L110" s="65">
        <v>-28.200000000000212</v>
      </c>
    </row>
    <row r="111" spans="11:12" x14ac:dyDescent="0.45">
      <c r="K111" s="7">
        <v>109</v>
      </c>
      <c r="L111" s="65">
        <v>31.799999999999788</v>
      </c>
    </row>
    <row r="112" spans="11:12" x14ac:dyDescent="0.45">
      <c r="K112" s="7">
        <v>110</v>
      </c>
      <c r="L112" s="65">
        <v>86.999999999999787</v>
      </c>
    </row>
    <row r="113" spans="11:12" x14ac:dyDescent="0.45">
      <c r="K113" s="7">
        <v>111</v>
      </c>
      <c r="L113" s="65">
        <v>85.999999999999787</v>
      </c>
    </row>
    <row r="114" spans="11:12" x14ac:dyDescent="0.45">
      <c r="K114" s="7">
        <v>112</v>
      </c>
      <c r="L114" s="65">
        <v>85.299999999999784</v>
      </c>
    </row>
    <row r="115" spans="11:12" x14ac:dyDescent="0.45">
      <c r="K115" s="7">
        <v>113</v>
      </c>
      <c r="L115" s="65">
        <v>104.69999999999979</v>
      </c>
    </row>
    <row r="116" spans="11:12" x14ac:dyDescent="0.45">
      <c r="K116" s="7">
        <v>114</v>
      </c>
      <c r="L116" s="65">
        <v>109.99999999999979</v>
      </c>
    </row>
    <row r="117" spans="11:12" x14ac:dyDescent="0.45">
      <c r="K117" s="7">
        <v>115</v>
      </c>
      <c r="L117" s="65">
        <v>138.89999999999978</v>
      </c>
    </row>
    <row r="118" spans="11:12" x14ac:dyDescent="0.45">
      <c r="K118" s="7">
        <v>116</v>
      </c>
      <c r="L118" s="65">
        <v>141.49999999999977</v>
      </c>
    </row>
    <row r="119" spans="11:12" x14ac:dyDescent="0.45">
      <c r="K119" s="7">
        <v>117</v>
      </c>
      <c r="L119" s="65">
        <v>94.499999999999773</v>
      </c>
    </row>
    <row r="120" spans="11:12" x14ac:dyDescent="0.45">
      <c r="K120" s="7">
        <v>118</v>
      </c>
      <c r="L120" s="65">
        <v>93.899999999999778</v>
      </c>
    </row>
    <row r="121" spans="11:12" x14ac:dyDescent="0.45">
      <c r="K121" s="7">
        <v>119</v>
      </c>
      <c r="L121" s="65">
        <v>141.29999999999978</v>
      </c>
    </row>
    <row r="122" spans="11:12" x14ac:dyDescent="0.45">
      <c r="K122" s="7">
        <v>120</v>
      </c>
      <c r="L122" s="65">
        <v>130.5999999999998</v>
      </c>
    </row>
    <row r="123" spans="11:12" x14ac:dyDescent="0.45">
      <c r="K123" s="7">
        <v>121</v>
      </c>
      <c r="L123" s="65">
        <v>125.0999999999998</v>
      </c>
    </row>
    <row r="124" spans="11:12" x14ac:dyDescent="0.45">
      <c r="K124" s="7">
        <v>122</v>
      </c>
      <c r="L124" s="65">
        <v>127.69999999999979</v>
      </c>
    </row>
    <row r="125" spans="11:12" x14ac:dyDescent="0.45">
      <c r="K125" s="7">
        <v>123</v>
      </c>
      <c r="L125" s="65">
        <v>154.4999999999998</v>
      </c>
    </row>
    <row r="126" spans="11:12" x14ac:dyDescent="0.45">
      <c r="K126" s="7">
        <v>124</v>
      </c>
      <c r="L126" s="65">
        <v>172.5999999999998</v>
      </c>
    </row>
    <row r="127" spans="11:12" x14ac:dyDescent="0.45">
      <c r="K127" s="7">
        <v>125</v>
      </c>
      <c r="L127" s="65">
        <v>119.9999999999998</v>
      </c>
    </row>
    <row r="128" spans="11:12" x14ac:dyDescent="0.45">
      <c r="K128" s="7">
        <v>126</v>
      </c>
      <c r="L128" s="65">
        <v>77.999999999999801</v>
      </c>
    </row>
    <row r="129" spans="11:12" x14ac:dyDescent="0.45">
      <c r="K129" s="7">
        <v>127</v>
      </c>
      <c r="L129" s="65">
        <v>83.199999999999804</v>
      </c>
    </row>
    <row r="130" spans="11:12" x14ac:dyDescent="0.45">
      <c r="K130" s="7">
        <v>128</v>
      </c>
      <c r="L130" s="65">
        <v>31.699999999999804</v>
      </c>
    </row>
    <row r="131" spans="11:12" x14ac:dyDescent="0.45">
      <c r="K131" s="7">
        <v>129</v>
      </c>
      <c r="L131" s="65">
        <v>24.699999999999804</v>
      </c>
    </row>
    <row r="132" spans="11:12" x14ac:dyDescent="0.45">
      <c r="K132" s="7">
        <v>130</v>
      </c>
      <c r="L132" s="65">
        <v>11.799999999999804</v>
      </c>
    </row>
    <row r="133" spans="11:12" x14ac:dyDescent="0.45">
      <c r="K133" s="7">
        <v>131</v>
      </c>
      <c r="L133" s="65">
        <v>33.499999999999801</v>
      </c>
    </row>
    <row r="134" spans="11:12" x14ac:dyDescent="0.45">
      <c r="K134" s="7">
        <v>132</v>
      </c>
      <c r="L134" s="65">
        <v>90.399999999999807</v>
      </c>
    </row>
    <row r="135" spans="11:12" x14ac:dyDescent="0.45">
      <c r="K135" s="7">
        <v>133</v>
      </c>
      <c r="L135" s="65">
        <v>91.299999999999812</v>
      </c>
    </row>
    <row r="136" spans="11:12" x14ac:dyDescent="0.45">
      <c r="K136" s="7">
        <v>134</v>
      </c>
      <c r="L136" s="65">
        <v>55.699999999999811</v>
      </c>
    </row>
    <row r="137" spans="11:12" x14ac:dyDescent="0.45">
      <c r="K137" s="7">
        <v>135</v>
      </c>
      <c r="L137" s="65">
        <v>47.59999999999981</v>
      </c>
    </row>
    <row r="138" spans="11:12" x14ac:dyDescent="0.45">
      <c r="K138" s="7">
        <v>136</v>
      </c>
      <c r="L138" s="65">
        <v>22.799999999999809</v>
      </c>
    </row>
    <row r="139" spans="11:12" x14ac:dyDescent="0.45">
      <c r="K139" s="7">
        <v>137</v>
      </c>
      <c r="L139" s="65">
        <v>58.999999999999815</v>
      </c>
    </row>
    <row r="140" spans="11:12" x14ac:dyDescent="0.45">
      <c r="K140" s="7">
        <v>138</v>
      </c>
      <c r="L140" s="65">
        <v>61.099999999999817</v>
      </c>
    </row>
    <row r="141" spans="11:12" x14ac:dyDescent="0.45">
      <c r="K141" s="7">
        <v>139</v>
      </c>
      <c r="L141" s="65">
        <v>32.099999999999817</v>
      </c>
    </row>
    <row r="142" spans="11:12" x14ac:dyDescent="0.45">
      <c r="K142" s="7">
        <v>140</v>
      </c>
      <c r="L142" s="65">
        <v>11.899999999999817</v>
      </c>
    </row>
    <row r="143" spans="11:12" x14ac:dyDescent="0.45">
      <c r="K143" s="7">
        <v>141</v>
      </c>
      <c r="L143" s="65">
        <v>-18.100000000000183</v>
      </c>
    </row>
    <row r="144" spans="11:12" x14ac:dyDescent="0.45">
      <c r="K144" s="7">
        <v>142</v>
      </c>
      <c r="L144" s="65">
        <v>30.699999999999815</v>
      </c>
    </row>
    <row r="145" spans="11:12" x14ac:dyDescent="0.45">
      <c r="K145" s="7">
        <v>143</v>
      </c>
      <c r="L145" s="65">
        <v>61.399999999999814</v>
      </c>
    </row>
    <row r="146" spans="11:12" x14ac:dyDescent="0.45">
      <c r="K146" s="7">
        <v>144</v>
      </c>
      <c r="L146" s="65">
        <v>21.799999999999812</v>
      </c>
    </row>
    <row r="147" spans="11:12" x14ac:dyDescent="0.45">
      <c r="K147" s="7">
        <v>145</v>
      </c>
      <c r="L147" s="65">
        <v>56.199999999999811</v>
      </c>
    </row>
    <row r="148" spans="11:12" x14ac:dyDescent="0.45">
      <c r="K148" s="7">
        <v>146</v>
      </c>
      <c r="L148" s="65">
        <v>21.799999999999812</v>
      </c>
    </row>
    <row r="149" spans="11:12" x14ac:dyDescent="0.45">
      <c r="K149" s="7">
        <v>147</v>
      </c>
      <c r="L149" s="65">
        <v>-1.6000000000001862</v>
      </c>
    </row>
    <row r="150" spans="11:12" x14ac:dyDescent="0.45">
      <c r="K150" s="7">
        <v>148</v>
      </c>
      <c r="L150" s="65">
        <v>58.999999999999815</v>
      </c>
    </row>
    <row r="151" spans="11:12" x14ac:dyDescent="0.45">
      <c r="K151" s="7">
        <v>149</v>
      </c>
      <c r="L151" s="65">
        <v>20.499999999999815</v>
      </c>
    </row>
    <row r="152" spans="11:12" x14ac:dyDescent="0.45">
      <c r="K152" s="7">
        <v>150</v>
      </c>
      <c r="L152" s="65">
        <v>-14.500000000000185</v>
      </c>
    </row>
    <row r="153" spans="11:12" x14ac:dyDescent="0.45">
      <c r="K153" s="7">
        <v>151</v>
      </c>
      <c r="L153" s="65">
        <v>-9.1000000000001844</v>
      </c>
    </row>
    <row r="154" spans="11:12" x14ac:dyDescent="0.45">
      <c r="K154" s="7">
        <v>152</v>
      </c>
      <c r="L154" s="65">
        <v>-44.100000000000186</v>
      </c>
    </row>
    <row r="155" spans="11:12" x14ac:dyDescent="0.45">
      <c r="K155" s="7">
        <v>153</v>
      </c>
      <c r="L155" s="65">
        <v>-43.800000000000189</v>
      </c>
    </row>
    <row r="156" spans="11:12" x14ac:dyDescent="0.45">
      <c r="K156" s="7">
        <v>154</v>
      </c>
      <c r="L156" s="65">
        <v>-31.800000000000189</v>
      </c>
    </row>
    <row r="157" spans="11:12" x14ac:dyDescent="0.45">
      <c r="K157" s="7">
        <v>155</v>
      </c>
      <c r="L157" s="65">
        <v>7.8999999999998138</v>
      </c>
    </row>
    <row r="158" spans="11:12" x14ac:dyDescent="0.45">
      <c r="K158" s="7">
        <v>156</v>
      </c>
      <c r="L158" s="65">
        <v>-12.100000000000186</v>
      </c>
    </row>
    <row r="159" spans="11:12" x14ac:dyDescent="0.45">
      <c r="K159" s="7">
        <v>157</v>
      </c>
      <c r="L159" s="65">
        <v>8.8999999999998138</v>
      </c>
    </row>
    <row r="160" spans="11:12" x14ac:dyDescent="0.45">
      <c r="K160" s="7">
        <v>158</v>
      </c>
      <c r="L160" s="65">
        <v>47.099999999999817</v>
      </c>
    </row>
    <row r="161" spans="11:12" x14ac:dyDescent="0.45">
      <c r="K161" s="7">
        <v>159</v>
      </c>
      <c r="L161" s="65">
        <v>18.399999999999817</v>
      </c>
    </row>
    <row r="162" spans="11:12" x14ac:dyDescent="0.45">
      <c r="K162" s="7">
        <v>160</v>
      </c>
      <c r="L162" s="65">
        <v>-25.600000000000183</v>
      </c>
    </row>
    <row r="163" spans="11:12" x14ac:dyDescent="0.45">
      <c r="K163" s="7">
        <v>161</v>
      </c>
      <c r="L163" s="65">
        <v>-44.500000000000185</v>
      </c>
    </row>
    <row r="164" spans="11:12" x14ac:dyDescent="0.45">
      <c r="K164" s="7">
        <v>162</v>
      </c>
      <c r="L164" s="65">
        <v>-22.200000000000184</v>
      </c>
    </row>
    <row r="165" spans="11:12" x14ac:dyDescent="0.45">
      <c r="K165" s="7">
        <v>163</v>
      </c>
      <c r="L165" s="65">
        <v>25.099999999999813</v>
      </c>
    </row>
    <row r="166" spans="11:12" x14ac:dyDescent="0.45">
      <c r="K166" s="7">
        <v>164</v>
      </c>
      <c r="L166" s="65">
        <v>-9.4000000000001869</v>
      </c>
    </row>
    <row r="167" spans="11:12" x14ac:dyDescent="0.45">
      <c r="K167" s="7">
        <v>165</v>
      </c>
      <c r="L167" s="65">
        <v>-48.100000000000193</v>
      </c>
    </row>
    <row r="168" spans="11:12" x14ac:dyDescent="0.45">
      <c r="K168" s="7">
        <v>166</v>
      </c>
      <c r="L168" s="65">
        <v>-22.900000000000194</v>
      </c>
    </row>
    <row r="169" spans="11:12" x14ac:dyDescent="0.45">
      <c r="K169" s="7">
        <v>167</v>
      </c>
      <c r="L169" s="65">
        <v>-2.8000000000001926</v>
      </c>
    </row>
    <row r="170" spans="11:12" x14ac:dyDescent="0.45">
      <c r="K170" s="7">
        <v>168</v>
      </c>
      <c r="L170" s="65">
        <v>21.399999999999807</v>
      </c>
    </row>
    <row r="171" spans="11:12" x14ac:dyDescent="0.45">
      <c r="K171" s="7">
        <v>169</v>
      </c>
      <c r="L171" s="65">
        <v>20.799999999999805</v>
      </c>
    </row>
    <row r="172" spans="11:12" x14ac:dyDescent="0.45">
      <c r="K172" s="7">
        <v>170</v>
      </c>
      <c r="L172" s="65">
        <v>-3.0000000000001954</v>
      </c>
    </row>
    <row r="173" spans="11:12" x14ac:dyDescent="0.45">
      <c r="K173" s="7">
        <v>171</v>
      </c>
      <c r="L173" s="65">
        <v>-27.400000000000194</v>
      </c>
    </row>
    <row r="174" spans="11:12" x14ac:dyDescent="0.45">
      <c r="K174" s="7">
        <v>172</v>
      </c>
      <c r="L174" s="65">
        <v>-60.500000000000199</v>
      </c>
    </row>
    <row r="175" spans="11:12" x14ac:dyDescent="0.45">
      <c r="K175" s="7">
        <v>173</v>
      </c>
      <c r="L175" s="65">
        <v>-71.400000000000205</v>
      </c>
    </row>
    <row r="176" spans="11:12" x14ac:dyDescent="0.45">
      <c r="K176" s="7">
        <v>174</v>
      </c>
      <c r="L176" s="65">
        <v>-41.100000000000207</v>
      </c>
    </row>
    <row r="177" spans="11:12" x14ac:dyDescent="0.45">
      <c r="K177" s="7">
        <v>175</v>
      </c>
      <c r="L177" s="65">
        <v>-68.600000000000207</v>
      </c>
    </row>
    <row r="178" spans="11:12" x14ac:dyDescent="0.45">
      <c r="K178" s="7">
        <v>176</v>
      </c>
      <c r="L178" s="65">
        <v>-6.0000000000002061</v>
      </c>
    </row>
    <row r="179" spans="11:12" x14ac:dyDescent="0.45">
      <c r="K179" s="7">
        <v>177</v>
      </c>
      <c r="L179" s="65">
        <v>-11.000000000000206</v>
      </c>
    </row>
    <row r="180" spans="11:12" x14ac:dyDescent="0.45">
      <c r="K180" s="7">
        <v>178</v>
      </c>
      <c r="L180" s="65">
        <v>-47.000000000000206</v>
      </c>
    </row>
    <row r="181" spans="11:12" x14ac:dyDescent="0.45">
      <c r="K181" s="7">
        <v>179</v>
      </c>
      <c r="L181" s="65">
        <v>-101.70000000000022</v>
      </c>
    </row>
    <row r="182" spans="11:12" x14ac:dyDescent="0.45">
      <c r="K182" s="7">
        <v>180</v>
      </c>
      <c r="L182" s="65">
        <v>-80.80000000000021</v>
      </c>
    </row>
    <row r="183" spans="11:12" x14ac:dyDescent="0.45">
      <c r="K183" s="7">
        <v>181</v>
      </c>
      <c r="L183" s="65">
        <v>-90.600000000000207</v>
      </c>
    </row>
    <row r="184" spans="11:12" x14ac:dyDescent="0.45">
      <c r="K184" s="7">
        <v>182</v>
      </c>
      <c r="L184" s="65">
        <v>-97.500000000000213</v>
      </c>
    </row>
    <row r="185" spans="11:12" x14ac:dyDescent="0.45">
      <c r="K185" s="7">
        <v>183</v>
      </c>
      <c r="L185" s="65">
        <v>-92.30000000000021</v>
      </c>
    </row>
    <row r="186" spans="11:12" x14ac:dyDescent="0.45">
      <c r="K186" s="7">
        <v>184</v>
      </c>
      <c r="L186" s="65">
        <v>-27.200000000000216</v>
      </c>
    </row>
    <row r="187" spans="11:12" x14ac:dyDescent="0.45">
      <c r="K187" s="7">
        <v>185</v>
      </c>
      <c r="L187" s="65">
        <v>-18.500000000000217</v>
      </c>
    </row>
    <row r="188" spans="11:12" x14ac:dyDescent="0.45">
      <c r="K188" s="7">
        <v>186</v>
      </c>
      <c r="L188" s="65">
        <v>-29.000000000000217</v>
      </c>
    </row>
    <row r="189" spans="11:12" x14ac:dyDescent="0.45">
      <c r="K189" s="7">
        <v>187</v>
      </c>
      <c r="L189" s="65">
        <v>-28.600000000000218</v>
      </c>
    </row>
    <row r="190" spans="11:12" x14ac:dyDescent="0.45">
      <c r="K190" s="7">
        <v>188</v>
      </c>
      <c r="L190" s="65">
        <v>-45.700000000000216</v>
      </c>
    </row>
    <row r="191" spans="11:12" x14ac:dyDescent="0.45">
      <c r="K191" s="7">
        <v>189</v>
      </c>
      <c r="L191" s="65">
        <v>-89.100000000000222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F8D04-BEA7-4254-83CD-B65B48E85DF4}">
  <sheetPr codeName="Sheet13"/>
  <dimension ref="A1:Q108"/>
  <sheetViews>
    <sheetView showGridLines="0" topLeftCell="A14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169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106</v>
      </c>
      <c r="C2" s="130"/>
      <c r="E2" s="28" t="s">
        <v>66</v>
      </c>
      <c r="F2" s="25" t="s">
        <v>22</v>
      </c>
      <c r="G2" s="13">
        <v>188</v>
      </c>
      <c r="H2" s="91">
        <f>IF(B$19=0,0,G2/B$19)</f>
        <v>0.76113360323886636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-640.95238095238096</v>
      </c>
      <c r="P2" s="80">
        <v>105</v>
      </c>
      <c r="Q2" s="67">
        <v>-67300</v>
      </c>
    </row>
    <row r="3" spans="1:17" x14ac:dyDescent="0.45">
      <c r="A3" s="21" t="s">
        <v>8</v>
      </c>
      <c r="B3" s="131">
        <v>923</v>
      </c>
      <c r="C3" s="132"/>
      <c r="E3" s="29" t="s">
        <v>64</v>
      </c>
      <c r="F3" s="26" t="s">
        <v>20</v>
      </c>
      <c r="G3" s="14">
        <v>138</v>
      </c>
      <c r="H3" s="92">
        <f>IF(B$19=0,0,G3/B$19)</f>
        <v>0.5587044534412956</v>
      </c>
      <c r="I3" s="60">
        <v>5</v>
      </c>
      <c r="K3" s="7">
        <v>1</v>
      </c>
      <c r="L3" s="65">
        <v>-37.799999999999997</v>
      </c>
      <c r="N3" s="78" t="s">
        <v>131</v>
      </c>
      <c r="O3" s="84">
        <f t="shared" si="0"/>
        <v>-829.52380952380952</v>
      </c>
      <c r="P3" s="81">
        <v>105</v>
      </c>
      <c r="Q3" s="68">
        <v>-87100</v>
      </c>
    </row>
    <row r="4" spans="1:17" x14ac:dyDescent="0.45">
      <c r="A4" s="21" t="s">
        <v>6</v>
      </c>
      <c r="B4" s="133">
        <v>-727.5</v>
      </c>
      <c r="C4" s="134"/>
      <c r="E4" s="29" t="s">
        <v>72</v>
      </c>
      <c r="F4" s="26" t="s">
        <v>27</v>
      </c>
      <c r="G4" s="14">
        <v>125</v>
      </c>
      <c r="H4" s="92">
        <f>IF(B$19=0,0,G4/B$19)</f>
        <v>0.50607287449392713</v>
      </c>
      <c r="I4" s="60">
        <v>9</v>
      </c>
      <c r="K4" s="7">
        <v>2</v>
      </c>
      <c r="L4" s="65">
        <v>-30.099999999999998</v>
      </c>
      <c r="N4" s="78" t="s">
        <v>132</v>
      </c>
      <c r="O4" s="84">
        <f t="shared" si="0"/>
        <v>620.20202020202021</v>
      </c>
      <c r="P4" s="81">
        <v>99</v>
      </c>
      <c r="Q4" s="68">
        <v>61400</v>
      </c>
    </row>
    <row r="5" spans="1:17" x14ac:dyDescent="0.45">
      <c r="A5" s="21" t="s">
        <v>7</v>
      </c>
      <c r="B5" s="121">
        <f>IF(B$2=0,0,B$4/B$2)</f>
        <v>-6.8632075471698117</v>
      </c>
      <c r="C5" s="122"/>
      <c r="E5" s="29" t="s">
        <v>163</v>
      </c>
      <c r="F5" s="26" t="s">
        <v>164</v>
      </c>
      <c r="G5" s="14">
        <v>101</v>
      </c>
      <c r="H5" s="92">
        <f>IF(B$19=0,0,G5/B$19)</f>
        <v>0.40890688259109309</v>
      </c>
      <c r="I5" s="60">
        <v>4</v>
      </c>
      <c r="K5" s="7">
        <v>3</v>
      </c>
      <c r="L5" s="65">
        <v>-17.599999999999998</v>
      </c>
      <c r="N5" s="78" t="s">
        <v>133</v>
      </c>
      <c r="O5" s="84">
        <f t="shared" si="0"/>
        <v>-1004.1237113402062</v>
      </c>
      <c r="P5" s="81">
        <v>97</v>
      </c>
      <c r="Q5" s="68">
        <v>-97400</v>
      </c>
    </row>
    <row r="6" spans="1:17" x14ac:dyDescent="0.45">
      <c r="A6" s="21" t="s">
        <v>1</v>
      </c>
      <c r="B6" s="135">
        <f>IF(B$2=0,0,(B$7*1+B$8*2+B$9*3)/B$2)</f>
        <v>2.1698113207547172</v>
      </c>
      <c r="C6" s="136"/>
      <c r="E6" s="29" t="s">
        <v>68</v>
      </c>
      <c r="F6" s="26" t="s">
        <v>12</v>
      </c>
      <c r="G6" s="14">
        <v>87</v>
      </c>
      <c r="H6" s="92">
        <f>IF(B$19=0,0,G6/B$19)</f>
        <v>0.35222672064777327</v>
      </c>
      <c r="I6" s="60">
        <v>4</v>
      </c>
      <c r="K6" s="7">
        <v>4</v>
      </c>
      <c r="L6" s="65">
        <v>-54.899999999999991</v>
      </c>
      <c r="N6" s="78" t="s">
        <v>134</v>
      </c>
      <c r="O6" s="84">
        <f t="shared" si="0"/>
        <v>-2415.217391304348</v>
      </c>
      <c r="P6" s="81">
        <v>92</v>
      </c>
      <c r="Q6" s="68">
        <v>-222200</v>
      </c>
    </row>
    <row r="7" spans="1:17" x14ac:dyDescent="0.45">
      <c r="A7" s="21" t="s">
        <v>2</v>
      </c>
      <c r="B7" s="14">
        <v>24</v>
      </c>
      <c r="C7" s="8">
        <f t="shared" ref="C7:C14" si="1">IF(B$2=0,0,B7/B$2)</f>
        <v>0.22641509433962265</v>
      </c>
      <c r="E7" s="29" t="s">
        <v>67</v>
      </c>
      <c r="F7" s="26" t="s">
        <v>23</v>
      </c>
      <c r="G7" s="14">
        <v>78</v>
      </c>
      <c r="H7" s="92">
        <f>IF(B$19=0,0,G7/B$19)</f>
        <v>0.31578947368421051</v>
      </c>
      <c r="I7" s="60">
        <v>7</v>
      </c>
      <c r="K7" s="7">
        <v>5</v>
      </c>
      <c r="L7" s="65">
        <v>-33.699999999999989</v>
      </c>
      <c r="N7" s="79" t="s">
        <v>135</v>
      </c>
      <c r="O7" s="85">
        <f t="shared" si="0"/>
        <v>-1737.037037037037</v>
      </c>
      <c r="P7" s="82">
        <v>81</v>
      </c>
      <c r="Q7" s="69">
        <v>-140700</v>
      </c>
    </row>
    <row r="8" spans="1:17" x14ac:dyDescent="0.45">
      <c r="A8" s="21" t="s">
        <v>3</v>
      </c>
      <c r="B8" s="14">
        <v>40</v>
      </c>
      <c r="C8" s="8">
        <f t="shared" si="1"/>
        <v>0.37735849056603776</v>
      </c>
      <c r="E8" s="29" t="s">
        <v>69</v>
      </c>
      <c r="F8" s="26" t="s">
        <v>24</v>
      </c>
      <c r="G8" s="14">
        <v>36</v>
      </c>
      <c r="H8" s="92">
        <f>IF(B$19=0,0,G8/B$19)</f>
        <v>0.145748987854251</v>
      </c>
      <c r="I8" s="60">
        <v>6</v>
      </c>
      <c r="K8" s="7">
        <v>6</v>
      </c>
      <c r="L8" s="65">
        <v>-57.399999999999991</v>
      </c>
      <c r="N8" s="111"/>
      <c r="O8" s="89"/>
      <c r="P8" s="112"/>
      <c r="Q8" s="74"/>
    </row>
    <row r="9" spans="1:17" x14ac:dyDescent="0.45">
      <c r="A9" s="22" t="s">
        <v>4</v>
      </c>
      <c r="B9" s="15">
        <v>42</v>
      </c>
      <c r="C9" s="9">
        <f t="shared" si="1"/>
        <v>0.39622641509433965</v>
      </c>
      <c r="E9" s="29" t="s">
        <v>70</v>
      </c>
      <c r="F9" s="26" t="s">
        <v>25</v>
      </c>
      <c r="G9" s="14">
        <v>30</v>
      </c>
      <c r="H9" s="92">
        <f>IF(B$19=0,0,G9/B$19)</f>
        <v>0.1214574898785425</v>
      </c>
      <c r="I9" s="60">
        <v>5</v>
      </c>
      <c r="K9" s="7">
        <v>7</v>
      </c>
      <c r="L9" s="65">
        <v>-39.499999999999993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24.866666666666664</v>
      </c>
      <c r="C10" s="114">
        <v>596.79999999999995</v>
      </c>
      <c r="E10" s="29" t="s">
        <v>89</v>
      </c>
      <c r="F10" s="26" t="s">
        <v>44</v>
      </c>
      <c r="G10" s="14">
        <v>30</v>
      </c>
      <c r="H10" s="92">
        <f>IF(B$19=0,0,G10/B$19)</f>
        <v>0.1214574898785425</v>
      </c>
      <c r="I10" s="60">
        <v>9</v>
      </c>
      <c r="K10" s="7">
        <v>8</v>
      </c>
      <c r="L10" s="65">
        <v>-62.999999999999993</v>
      </c>
      <c r="N10" s="77" t="s">
        <v>154</v>
      </c>
      <c r="O10" s="86">
        <f>IF(P10=0,0,Q10/P10)</f>
        <v>-6.65227272727273</v>
      </c>
      <c r="P10" s="80">
        <v>44</v>
      </c>
      <c r="Q10" s="71">
        <v>-292.7000000000001</v>
      </c>
    </row>
    <row r="11" spans="1:17" x14ac:dyDescent="0.45">
      <c r="A11" s="22" t="s">
        <v>204</v>
      </c>
      <c r="B11" s="113">
        <f>IF(B8=0,0,C11/B8)</f>
        <v>1.67</v>
      </c>
      <c r="C11" s="114">
        <v>66.8</v>
      </c>
      <c r="E11" s="29" t="s">
        <v>65</v>
      </c>
      <c r="F11" s="26" t="s">
        <v>21</v>
      </c>
      <c r="G11" s="14">
        <v>28</v>
      </c>
      <c r="H11" s="92">
        <f>IF(B$19=0,0,G11/B$19)</f>
        <v>0.11336032388663968</v>
      </c>
      <c r="I11" s="60">
        <v>7</v>
      </c>
      <c r="K11" s="7">
        <v>9</v>
      </c>
      <c r="L11" s="65">
        <v>-74.199999999999989</v>
      </c>
      <c r="N11" s="78" t="s">
        <v>155</v>
      </c>
      <c r="O11" s="87">
        <f>IF(P11=0,0,Q11/P11)</f>
        <v>-4.5258064516129046</v>
      </c>
      <c r="P11" s="81">
        <v>31</v>
      </c>
      <c r="Q11" s="72">
        <v>-140.30000000000004</v>
      </c>
    </row>
    <row r="12" spans="1:17" x14ac:dyDescent="0.45">
      <c r="A12" s="22" t="s">
        <v>205</v>
      </c>
      <c r="B12" s="113">
        <f>IF(B9=0,0,C12/B9)</f>
        <v>-33.121428571428567</v>
      </c>
      <c r="C12" s="114">
        <v>-1391.0999999999997</v>
      </c>
      <c r="E12" s="29" t="s">
        <v>83</v>
      </c>
      <c r="F12" s="26" t="s">
        <v>38</v>
      </c>
      <c r="G12" s="14">
        <v>15</v>
      </c>
      <c r="H12" s="92">
        <f>IF(B$19=0,0,G12/B$19)</f>
        <v>6.0728744939271252E-2</v>
      </c>
      <c r="I12" s="60">
        <v>4</v>
      </c>
      <c r="K12" s="7">
        <v>10</v>
      </c>
      <c r="L12" s="65">
        <v>-117.19999999999999</v>
      </c>
      <c r="N12" s="79" t="s">
        <v>156</v>
      </c>
      <c r="O12" s="88">
        <f>IF(P12=0,0,Q12/P12)</f>
        <v>-9.4999999999999982</v>
      </c>
      <c r="P12" s="82">
        <v>31</v>
      </c>
      <c r="Q12" s="73">
        <v>-294.49999999999994</v>
      </c>
    </row>
    <row r="13" spans="1:17" x14ac:dyDescent="0.45">
      <c r="A13" s="22" t="s">
        <v>206</v>
      </c>
      <c r="B13" s="121">
        <f>AVERAGE(B10:B12)</f>
        <v>-2.1949206349206349</v>
      </c>
      <c r="C13" s="122"/>
      <c r="E13" s="29" t="s">
        <v>86</v>
      </c>
      <c r="F13" s="26" t="s">
        <v>41</v>
      </c>
      <c r="G13" s="14">
        <v>11</v>
      </c>
      <c r="H13" s="92">
        <f>IF(B$19=0,0,G13/B$19)</f>
        <v>4.4534412955465584E-2</v>
      </c>
      <c r="I13" s="60">
        <v>8</v>
      </c>
      <c r="K13" s="7">
        <v>11</v>
      </c>
      <c r="L13" s="65">
        <v>-177.29999999999998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7.5471698113207544E-2</v>
      </c>
      <c r="E14" s="29" t="s">
        <v>71</v>
      </c>
      <c r="F14" s="26" t="s">
        <v>26</v>
      </c>
      <c r="G14" s="14">
        <v>10</v>
      </c>
      <c r="H14" s="92">
        <f>IF(B$19=0,0,G14/B$19)</f>
        <v>4.048582995951417E-2</v>
      </c>
      <c r="I14" s="60">
        <v>12</v>
      </c>
      <c r="K14" s="7">
        <v>12</v>
      </c>
      <c r="L14" s="65">
        <v>-158.6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253</v>
      </c>
      <c r="C15" s="12">
        <f>IF(B$3=0,0,B15/B$3)</f>
        <v>0.27410617551462624</v>
      </c>
      <c r="E15" s="29" t="s">
        <v>78</v>
      </c>
      <c r="F15" s="26" t="s">
        <v>33</v>
      </c>
      <c r="G15" s="14">
        <v>8</v>
      </c>
      <c r="H15" s="92">
        <f>IF(B$19=0,0,G15/B$19)</f>
        <v>3.2388663967611336E-2</v>
      </c>
      <c r="I15" s="60">
        <v>5</v>
      </c>
      <c r="K15" s="7">
        <v>13</v>
      </c>
      <c r="L15" s="65">
        <v>-207.3</v>
      </c>
      <c r="N15" s="77" t="s">
        <v>195</v>
      </c>
      <c r="O15" s="86">
        <f t="shared" ref="O15:O23" si="2">IF(P15=0,0,Q15/P15)</f>
        <v>21.183333333333334</v>
      </c>
      <c r="P15" s="80">
        <v>6</v>
      </c>
      <c r="Q15" s="71">
        <v>127.1</v>
      </c>
    </row>
    <row r="16" spans="1:17" x14ac:dyDescent="0.45">
      <c r="A16" s="21" t="s">
        <v>118</v>
      </c>
      <c r="B16" s="14">
        <v>182</v>
      </c>
      <c r="C16" s="8">
        <f>IF(B$3=0,0,B16/B$3)</f>
        <v>0.19718309859154928</v>
      </c>
      <c r="E16" s="29" t="s">
        <v>81</v>
      </c>
      <c r="F16" s="26" t="s">
        <v>36</v>
      </c>
      <c r="G16" s="14">
        <v>6</v>
      </c>
      <c r="H16" s="92">
        <f>IF(B$19=0,0,G16/B$19)</f>
        <v>2.4291497975708502E-2</v>
      </c>
      <c r="I16" s="60">
        <v>5</v>
      </c>
      <c r="K16" s="7">
        <v>14</v>
      </c>
      <c r="L16" s="65">
        <v>-204.8</v>
      </c>
      <c r="N16" s="78" t="s">
        <v>167</v>
      </c>
      <c r="O16" s="87">
        <f t="shared" si="2"/>
        <v>4.1120000000000019</v>
      </c>
      <c r="P16" s="81">
        <v>25</v>
      </c>
      <c r="Q16" s="72">
        <v>102.80000000000005</v>
      </c>
    </row>
    <row r="17" spans="1:17" x14ac:dyDescent="0.45">
      <c r="A17" s="20" t="s">
        <v>123</v>
      </c>
      <c r="B17" s="13">
        <f>B23</f>
        <v>138</v>
      </c>
      <c r="C17" s="6">
        <f>IF(B$15=0,0,B17/B$15)</f>
        <v>0.54545454545454541</v>
      </c>
      <c r="E17" s="29" t="s">
        <v>79</v>
      </c>
      <c r="F17" s="26" t="s">
        <v>34</v>
      </c>
      <c r="G17" s="14">
        <v>4</v>
      </c>
      <c r="H17" s="92">
        <f>IF(B$19=0,0,G17/B$19)</f>
        <v>1.6194331983805668E-2</v>
      </c>
      <c r="I17" s="60">
        <v>5</v>
      </c>
      <c r="K17" s="7">
        <v>15</v>
      </c>
      <c r="L17" s="65">
        <v>-221.5</v>
      </c>
      <c r="N17" s="78" t="s">
        <v>158</v>
      </c>
      <c r="O17" s="87">
        <f t="shared" si="2"/>
        <v>1.5750000000000028</v>
      </c>
      <c r="P17" s="81">
        <v>20</v>
      </c>
      <c r="Q17" s="72">
        <v>31.500000000000057</v>
      </c>
    </row>
    <row r="18" spans="1:17" x14ac:dyDescent="0.45">
      <c r="A18" s="20" t="s">
        <v>124</v>
      </c>
      <c r="B18" s="13">
        <f>B24</f>
        <v>72</v>
      </c>
      <c r="C18" s="6">
        <f>IF(B$16=0,0,B18/B$16)</f>
        <v>0.39560439560439559</v>
      </c>
      <c r="E18" s="29" t="s">
        <v>159</v>
      </c>
      <c r="F18" s="26" t="s">
        <v>160</v>
      </c>
      <c r="G18" s="14">
        <v>4</v>
      </c>
      <c r="H18" s="92">
        <f>IF(B$19=0,0,G18/B$19)</f>
        <v>1.6194331983805668E-2</v>
      </c>
      <c r="I18" s="60">
        <v>5</v>
      </c>
      <c r="K18" s="7">
        <v>16</v>
      </c>
      <c r="L18" s="65">
        <v>-224.3</v>
      </c>
      <c r="N18" s="78" t="s">
        <v>194</v>
      </c>
      <c r="O18" s="87">
        <f t="shared" si="2"/>
        <v>-1.8909090909090898</v>
      </c>
      <c r="P18" s="81">
        <v>11</v>
      </c>
      <c r="Q18" s="72">
        <v>-20.799999999999986</v>
      </c>
    </row>
    <row r="19" spans="1:17" x14ac:dyDescent="0.45">
      <c r="A19" s="20" t="s">
        <v>10</v>
      </c>
      <c r="B19" s="13">
        <f>B22+B21</f>
        <v>247</v>
      </c>
      <c r="C19" s="6">
        <f>IF(B$3=0,0,B19/B$3)</f>
        <v>0.26760563380281688</v>
      </c>
      <c r="E19" s="29" t="s">
        <v>75</v>
      </c>
      <c r="F19" s="26" t="s">
        <v>30</v>
      </c>
      <c r="G19" s="14">
        <v>3</v>
      </c>
      <c r="H19" s="92">
        <f>IF(B$19=0,0,G19/B$19)</f>
        <v>1.2145748987854251E-2</v>
      </c>
      <c r="I19" s="60">
        <v>3</v>
      </c>
      <c r="K19" s="7">
        <v>17</v>
      </c>
      <c r="L19" s="65">
        <v>-251.4</v>
      </c>
      <c r="N19" s="78" t="s">
        <v>126</v>
      </c>
      <c r="O19" s="87">
        <f t="shared" si="2"/>
        <v>-15.148529411764704</v>
      </c>
      <c r="P19" s="81">
        <v>68</v>
      </c>
      <c r="Q19" s="72">
        <v>-1030.0999999999999</v>
      </c>
    </row>
    <row r="20" spans="1:17" x14ac:dyDescent="0.45">
      <c r="A20" s="21" t="s">
        <v>13</v>
      </c>
      <c r="B20" s="14">
        <v>169</v>
      </c>
      <c r="C20" s="8">
        <f>IF(B$3=0,0,B20/B$3)</f>
        <v>0.18309859154929578</v>
      </c>
      <c r="E20" s="29" t="s">
        <v>85</v>
      </c>
      <c r="F20" s="26" t="s">
        <v>40</v>
      </c>
      <c r="G20" s="14">
        <v>1</v>
      </c>
      <c r="H20" s="92">
        <f>IF(B$19=0,0,G20/B$19)</f>
        <v>4.048582995951417E-3</v>
      </c>
      <c r="I20" s="60">
        <v>7</v>
      </c>
      <c r="K20" s="7">
        <v>18</v>
      </c>
      <c r="L20" s="65">
        <v>-240</v>
      </c>
      <c r="N20" s="78" t="s">
        <v>168</v>
      </c>
      <c r="O20" s="87">
        <f t="shared" si="2"/>
        <v>-15.669230769230769</v>
      </c>
      <c r="P20" s="81">
        <v>26</v>
      </c>
      <c r="Q20" s="72">
        <v>-407.4</v>
      </c>
    </row>
    <row r="21" spans="1:17" x14ac:dyDescent="0.45">
      <c r="A21" s="21" t="s">
        <v>12</v>
      </c>
      <c r="B21" s="14">
        <v>118</v>
      </c>
      <c r="C21" s="8">
        <f>IF(B$19=0,0,B21/B$19)</f>
        <v>0.47773279352226722</v>
      </c>
      <c r="E21" s="29" t="s">
        <v>91</v>
      </c>
      <c r="F21" s="26" t="s">
        <v>46</v>
      </c>
      <c r="G21" s="14">
        <v>1</v>
      </c>
      <c r="H21" s="92">
        <f>IF(B$19=0,0,G21/B$19)</f>
        <v>4.048582995951417E-3</v>
      </c>
      <c r="I21" s="60">
        <v>9</v>
      </c>
      <c r="K21" s="7">
        <v>19</v>
      </c>
      <c r="L21" s="65">
        <v>-218</v>
      </c>
      <c r="N21" s="78" t="s">
        <v>127</v>
      </c>
      <c r="O21" s="87">
        <f t="shared" si="2"/>
        <v>-16.70588235294117</v>
      </c>
      <c r="P21" s="81">
        <v>51</v>
      </c>
      <c r="Q21" s="72">
        <v>-851.99999999999966</v>
      </c>
    </row>
    <row r="22" spans="1:17" x14ac:dyDescent="0.45">
      <c r="A22" s="21" t="s">
        <v>11</v>
      </c>
      <c r="B22" s="14">
        <v>129</v>
      </c>
      <c r="C22" s="8">
        <f>IF(B$19=0,0,B22/B$19)</f>
        <v>0.52226720647773284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6</v>
      </c>
      <c r="K22" s="7">
        <v>20</v>
      </c>
      <c r="L22" s="65">
        <v>-177.6</v>
      </c>
      <c r="N22" s="78" t="s">
        <v>275</v>
      </c>
      <c r="O22" s="87">
        <f t="shared" si="2"/>
        <v>-19.25</v>
      </c>
      <c r="P22" s="81">
        <v>4</v>
      </c>
      <c r="Q22" s="72">
        <v>-77</v>
      </c>
    </row>
    <row r="23" spans="1:17" x14ac:dyDescent="0.45">
      <c r="A23" s="21" t="s">
        <v>192</v>
      </c>
      <c r="B23" s="14">
        <v>138</v>
      </c>
      <c r="C23" s="8">
        <f>IF(B$19=0,0,B23/B$19)</f>
        <v>0.5587044534412956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-133.30000000000001</v>
      </c>
      <c r="N23" s="78" t="s">
        <v>201</v>
      </c>
      <c r="O23" s="87">
        <f t="shared" si="2"/>
        <v>-56.6</v>
      </c>
      <c r="P23" s="81">
        <v>1</v>
      </c>
      <c r="Q23" s="72">
        <v>-56.6</v>
      </c>
    </row>
    <row r="24" spans="1:17" x14ac:dyDescent="0.45">
      <c r="A24" s="21" t="s">
        <v>190</v>
      </c>
      <c r="B24" s="14">
        <v>72</v>
      </c>
      <c r="C24" s="8">
        <f>IF(B$19=0,0,B24/B$19)</f>
        <v>0.291497975708502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-164.60000000000002</v>
      </c>
    </row>
    <row r="25" spans="1:17" x14ac:dyDescent="0.45">
      <c r="A25" s="21" t="s">
        <v>191</v>
      </c>
      <c r="B25" s="14">
        <v>37</v>
      </c>
      <c r="C25" s="8">
        <f>IF(B$19=0,0,B25/B$19)</f>
        <v>0.14979757085020243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-162.70000000000002</v>
      </c>
    </row>
    <row r="26" spans="1:17" x14ac:dyDescent="0.45">
      <c r="A26" s="21" t="s">
        <v>5</v>
      </c>
      <c r="B26" s="18">
        <f>IF(B$19=0,0,C26/B$19)</f>
        <v>7870.0404858299598</v>
      </c>
      <c r="C26" s="10">
        <v>1943900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-163.00000000000003</v>
      </c>
    </row>
    <row r="27" spans="1:17" x14ac:dyDescent="0.45">
      <c r="A27" s="22" t="s">
        <v>174</v>
      </c>
      <c r="B27" s="99">
        <f>IF($B$19-B$18=0,0,C27/($B$19-B$18))</f>
        <v>8484</v>
      </c>
      <c r="C27" s="100">
        <v>1484700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-185.00000000000003</v>
      </c>
    </row>
    <row r="28" spans="1:17" x14ac:dyDescent="0.45">
      <c r="A28" s="22" t="s">
        <v>175</v>
      </c>
      <c r="B28" s="99">
        <f>IF(B$18=0,0,C28/B$18)</f>
        <v>6377.7777777777774</v>
      </c>
      <c r="C28" s="100">
        <v>459200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-186.00000000000003</v>
      </c>
    </row>
    <row r="29" spans="1:17" x14ac:dyDescent="0.45">
      <c r="A29" s="22" t="s">
        <v>173</v>
      </c>
      <c r="B29" s="99">
        <f>IF(B$20=0,0,C29/B$20)</f>
        <v>-7752.6627218934909</v>
      </c>
      <c r="C29" s="100">
        <v>-1310200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7</v>
      </c>
      <c r="K29" s="7">
        <v>27</v>
      </c>
      <c r="L29" s="65">
        <v>-163.00000000000003</v>
      </c>
    </row>
    <row r="30" spans="1:17" x14ac:dyDescent="0.45">
      <c r="A30" s="21" t="s">
        <v>161</v>
      </c>
      <c r="B30" s="14">
        <v>4</v>
      </c>
      <c r="C30" s="94">
        <v>1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-181.70000000000002</v>
      </c>
    </row>
    <row r="31" spans="1:17" x14ac:dyDescent="0.45">
      <c r="A31" s="21" t="s">
        <v>162</v>
      </c>
      <c r="B31" s="14">
        <v>21</v>
      </c>
      <c r="C31" s="94">
        <v>1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-159.9</v>
      </c>
    </row>
    <row r="32" spans="1:17" x14ac:dyDescent="0.45">
      <c r="A32" s="56" t="s">
        <v>138</v>
      </c>
      <c r="B32" s="123">
        <v>8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-175.6</v>
      </c>
    </row>
    <row r="33" spans="1:12" x14ac:dyDescent="0.45">
      <c r="A33" s="24" t="s">
        <v>189</v>
      </c>
      <c r="B33" s="125">
        <v>69500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-212.6</v>
      </c>
    </row>
    <row r="34" spans="1:12" x14ac:dyDescent="0.45">
      <c r="A34" s="23" t="s">
        <v>139</v>
      </c>
      <c r="B34" s="31">
        <v>3</v>
      </c>
      <c r="C34" s="11">
        <f>IF(B$3=0,0,B34/B$3)</f>
        <v>3.2502708559046588E-3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-244.8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-261.3</v>
      </c>
    </row>
    <row r="36" spans="1:12" x14ac:dyDescent="0.45">
      <c r="A36" s="56" t="s">
        <v>180</v>
      </c>
      <c r="B36" s="119">
        <v>19</v>
      </c>
      <c r="C36" s="102">
        <f t="shared" ref="C36:C48" si="3">IF(B$19=0,0,B36/B$19)</f>
        <v>7.6923076923076927E-2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-236.8</v>
      </c>
    </row>
    <row r="37" spans="1:12" x14ac:dyDescent="0.45">
      <c r="A37" s="21" t="s">
        <v>176</v>
      </c>
      <c r="B37" s="14">
        <v>39</v>
      </c>
      <c r="C37" s="8">
        <f t="shared" si="3"/>
        <v>0.15789473684210525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-264.60000000000002</v>
      </c>
    </row>
    <row r="38" spans="1:12" x14ac:dyDescent="0.45">
      <c r="A38" s="21" t="s">
        <v>177</v>
      </c>
      <c r="B38" s="120">
        <v>56</v>
      </c>
      <c r="C38" s="8">
        <f t="shared" si="3"/>
        <v>0.22672064777327935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-252.20000000000002</v>
      </c>
    </row>
    <row r="39" spans="1:12" x14ac:dyDescent="0.45">
      <c r="A39" s="21" t="s">
        <v>178</v>
      </c>
      <c r="B39" s="120">
        <v>41</v>
      </c>
      <c r="C39" s="8">
        <f t="shared" si="3"/>
        <v>0.16599190283400811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-261</v>
      </c>
    </row>
    <row r="40" spans="1:12" x14ac:dyDescent="0.45">
      <c r="A40" s="21" t="s">
        <v>179</v>
      </c>
      <c r="B40" s="120">
        <v>42</v>
      </c>
      <c r="C40" s="8">
        <f t="shared" si="3"/>
        <v>0.17004048582995951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-245.4</v>
      </c>
    </row>
    <row r="41" spans="1:12" x14ac:dyDescent="0.45">
      <c r="A41" s="21" t="s">
        <v>181</v>
      </c>
      <c r="B41" s="120">
        <v>24</v>
      </c>
      <c r="C41" s="8">
        <f t="shared" si="3"/>
        <v>9.7165991902834009E-2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-227</v>
      </c>
    </row>
    <row r="42" spans="1:12" x14ac:dyDescent="0.45">
      <c r="A42" s="21" t="s">
        <v>182</v>
      </c>
      <c r="B42" s="120">
        <v>14</v>
      </c>
      <c r="C42" s="8">
        <f t="shared" si="3"/>
        <v>5.6680161943319839E-2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-268.39999999999998</v>
      </c>
    </row>
    <row r="43" spans="1:12" x14ac:dyDescent="0.45">
      <c r="A43" s="21" t="s">
        <v>183</v>
      </c>
      <c r="B43" s="120">
        <v>7</v>
      </c>
      <c r="C43" s="8">
        <f t="shared" si="3"/>
        <v>2.8340080971659919E-2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-264.39999999999998</v>
      </c>
    </row>
    <row r="44" spans="1:12" x14ac:dyDescent="0.45">
      <c r="A44" s="21" t="s">
        <v>184</v>
      </c>
      <c r="B44" s="120">
        <v>1</v>
      </c>
      <c r="C44" s="8">
        <f t="shared" si="3"/>
        <v>4.048582995951417E-3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-268.89999999999998</v>
      </c>
    </row>
    <row r="45" spans="1:12" x14ac:dyDescent="0.45">
      <c r="A45" s="21" t="s">
        <v>185</v>
      </c>
      <c r="B45" s="120">
        <v>1</v>
      </c>
      <c r="C45" s="8">
        <f t="shared" si="3"/>
        <v>4.048582995951417E-3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-299.39999999999998</v>
      </c>
    </row>
    <row r="46" spans="1:12" x14ac:dyDescent="0.45">
      <c r="A46" s="21" t="s">
        <v>186</v>
      </c>
      <c r="B46" s="120">
        <v>1</v>
      </c>
      <c r="C46" s="8">
        <f t="shared" si="3"/>
        <v>4.048582995951417E-3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-330.7</v>
      </c>
    </row>
    <row r="47" spans="1:12" x14ac:dyDescent="0.45">
      <c r="A47" s="21" t="s">
        <v>187</v>
      </c>
      <c r="B47" s="120">
        <v>2</v>
      </c>
      <c r="C47" s="8">
        <f t="shared" si="3"/>
        <v>8.0971659919028341E-3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-353.09999999999997</v>
      </c>
    </row>
    <row r="48" spans="1:12" x14ac:dyDescent="0.45">
      <c r="A48" s="23" t="s">
        <v>188</v>
      </c>
      <c r="B48" s="101">
        <v>0</v>
      </c>
      <c r="C48" s="11">
        <f t="shared" si="3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-351.79999999999995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-346.19999999999993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-357.39999999999992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-404.09999999999991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-400.99999999999989</v>
      </c>
    </row>
    <row r="53" spans="5:12" x14ac:dyDescent="0.45">
      <c r="K53" s="7">
        <v>51</v>
      </c>
      <c r="L53" s="65">
        <v>-414.7999999999999</v>
      </c>
    </row>
    <row r="54" spans="5:12" x14ac:dyDescent="0.45">
      <c r="K54" s="7">
        <v>52</v>
      </c>
      <c r="L54" s="65">
        <v>-403.89999999999992</v>
      </c>
    </row>
    <row r="55" spans="5:12" x14ac:dyDescent="0.45">
      <c r="K55" s="7">
        <v>53</v>
      </c>
      <c r="L55" s="65">
        <v>-386.7999999999999</v>
      </c>
    </row>
    <row r="56" spans="5:12" x14ac:dyDescent="0.45">
      <c r="K56" s="7">
        <v>54</v>
      </c>
      <c r="L56" s="65">
        <v>-441.2999999999999</v>
      </c>
    </row>
    <row r="57" spans="5:12" x14ac:dyDescent="0.45">
      <c r="K57" s="7">
        <v>55</v>
      </c>
      <c r="L57" s="65">
        <v>-398.09999999999991</v>
      </c>
    </row>
    <row r="58" spans="5:12" x14ac:dyDescent="0.45">
      <c r="K58" s="7">
        <v>56</v>
      </c>
      <c r="L58" s="65">
        <v>-393.39999999999992</v>
      </c>
    </row>
    <row r="59" spans="5:12" x14ac:dyDescent="0.45">
      <c r="K59" s="7">
        <v>57</v>
      </c>
      <c r="L59" s="65">
        <v>-376.49999999999994</v>
      </c>
    </row>
    <row r="60" spans="5:12" x14ac:dyDescent="0.45">
      <c r="K60" s="7">
        <v>58</v>
      </c>
      <c r="L60" s="65">
        <v>-373.49999999999994</v>
      </c>
    </row>
    <row r="61" spans="5:12" x14ac:dyDescent="0.45">
      <c r="K61" s="7">
        <v>59</v>
      </c>
      <c r="L61" s="65">
        <v>-399.29999999999995</v>
      </c>
    </row>
    <row r="62" spans="5:12" x14ac:dyDescent="0.45">
      <c r="K62" s="7">
        <v>60</v>
      </c>
      <c r="L62" s="65">
        <v>-448.79999999999995</v>
      </c>
    </row>
    <row r="63" spans="5:12" x14ac:dyDescent="0.45">
      <c r="K63" s="7">
        <v>61</v>
      </c>
      <c r="L63" s="65">
        <v>-453.59999999999997</v>
      </c>
    </row>
    <row r="64" spans="5:12" x14ac:dyDescent="0.45">
      <c r="K64" s="7">
        <v>62</v>
      </c>
      <c r="L64" s="65">
        <v>-501.79999999999995</v>
      </c>
    </row>
    <row r="65" spans="11:12" x14ac:dyDescent="0.45">
      <c r="K65" s="7">
        <v>63</v>
      </c>
      <c r="L65" s="65">
        <v>-457.29999999999995</v>
      </c>
    </row>
    <row r="66" spans="11:12" x14ac:dyDescent="0.45">
      <c r="K66" s="7">
        <v>64</v>
      </c>
      <c r="L66" s="65">
        <v>-421.09999999999997</v>
      </c>
    </row>
    <row r="67" spans="11:12" x14ac:dyDescent="0.45">
      <c r="K67" s="7">
        <v>65</v>
      </c>
      <c r="L67" s="65">
        <v>-465.9</v>
      </c>
    </row>
    <row r="68" spans="11:12" x14ac:dyDescent="0.45">
      <c r="K68" s="7">
        <v>66</v>
      </c>
      <c r="L68" s="65">
        <v>-441.9</v>
      </c>
    </row>
    <row r="69" spans="11:12" x14ac:dyDescent="0.45">
      <c r="K69" s="7">
        <v>67</v>
      </c>
      <c r="L69" s="65">
        <v>-477.59999999999997</v>
      </c>
    </row>
    <row r="70" spans="11:12" x14ac:dyDescent="0.45">
      <c r="K70" s="7">
        <v>68</v>
      </c>
      <c r="L70" s="65">
        <v>-477.29999999999995</v>
      </c>
    </row>
    <row r="71" spans="11:12" x14ac:dyDescent="0.45">
      <c r="K71" s="7">
        <v>69</v>
      </c>
      <c r="L71" s="65">
        <v>-486.9</v>
      </c>
    </row>
    <row r="72" spans="11:12" x14ac:dyDescent="0.45">
      <c r="K72" s="7">
        <v>70</v>
      </c>
      <c r="L72" s="65">
        <v>-458</v>
      </c>
    </row>
    <row r="73" spans="11:12" x14ac:dyDescent="0.45">
      <c r="K73" s="7">
        <v>71</v>
      </c>
      <c r="L73" s="65">
        <v>-484.8</v>
      </c>
    </row>
    <row r="74" spans="11:12" x14ac:dyDescent="0.45">
      <c r="K74" s="7">
        <v>72</v>
      </c>
      <c r="L74" s="65">
        <v>-506.40000000000003</v>
      </c>
    </row>
    <row r="75" spans="11:12" x14ac:dyDescent="0.45">
      <c r="K75" s="7">
        <v>73</v>
      </c>
      <c r="L75" s="65">
        <v>-505.3</v>
      </c>
    </row>
    <row r="76" spans="11:12" x14ac:dyDescent="0.45">
      <c r="K76" s="7">
        <v>74</v>
      </c>
      <c r="L76" s="65">
        <v>-490.40000000000003</v>
      </c>
    </row>
    <row r="77" spans="11:12" x14ac:dyDescent="0.45">
      <c r="K77" s="7">
        <v>75</v>
      </c>
      <c r="L77" s="65">
        <v>-489.8</v>
      </c>
    </row>
    <row r="78" spans="11:12" x14ac:dyDescent="0.45">
      <c r="K78" s="7">
        <v>76</v>
      </c>
      <c r="L78" s="65">
        <v>-493.3</v>
      </c>
    </row>
    <row r="79" spans="11:12" x14ac:dyDescent="0.45">
      <c r="K79" s="7">
        <v>77</v>
      </c>
      <c r="L79" s="65">
        <v>-473.90000000000003</v>
      </c>
    </row>
    <row r="80" spans="11:12" x14ac:dyDescent="0.45">
      <c r="K80" s="7">
        <v>78</v>
      </c>
      <c r="L80" s="65">
        <v>-459.3</v>
      </c>
    </row>
    <row r="81" spans="11:12" x14ac:dyDescent="0.45">
      <c r="K81" s="7">
        <v>79</v>
      </c>
      <c r="L81" s="65">
        <v>-481.6</v>
      </c>
    </row>
    <row r="82" spans="11:12" x14ac:dyDescent="0.45">
      <c r="K82" s="7">
        <v>80</v>
      </c>
      <c r="L82" s="65">
        <v>-486.6</v>
      </c>
    </row>
    <row r="83" spans="11:12" x14ac:dyDescent="0.45">
      <c r="K83" s="7">
        <v>81</v>
      </c>
      <c r="L83" s="65">
        <v>-504.20000000000005</v>
      </c>
    </row>
    <row r="84" spans="11:12" x14ac:dyDescent="0.45">
      <c r="K84" s="7">
        <v>82</v>
      </c>
      <c r="L84" s="65">
        <v>-537.30000000000007</v>
      </c>
    </row>
    <row r="85" spans="11:12" x14ac:dyDescent="0.45">
      <c r="K85" s="7">
        <v>83</v>
      </c>
      <c r="L85" s="65">
        <v>-524.50000000000011</v>
      </c>
    </row>
    <row r="86" spans="11:12" x14ac:dyDescent="0.45">
      <c r="K86" s="7">
        <v>84</v>
      </c>
      <c r="L86" s="65">
        <v>-525.00000000000011</v>
      </c>
    </row>
    <row r="87" spans="11:12" x14ac:dyDescent="0.45">
      <c r="K87" s="7">
        <v>85</v>
      </c>
      <c r="L87" s="65">
        <v>-509.30000000000013</v>
      </c>
    </row>
    <row r="88" spans="11:12" x14ac:dyDescent="0.45">
      <c r="K88" s="7">
        <v>86</v>
      </c>
      <c r="L88" s="65">
        <v>-500.10000000000014</v>
      </c>
    </row>
    <row r="89" spans="11:12" x14ac:dyDescent="0.45">
      <c r="K89" s="7">
        <v>87</v>
      </c>
      <c r="L89" s="65">
        <v>-549.60000000000014</v>
      </c>
    </row>
    <row r="90" spans="11:12" x14ac:dyDescent="0.45">
      <c r="K90" s="7">
        <v>88</v>
      </c>
      <c r="L90" s="65">
        <v>-511.50000000000011</v>
      </c>
    </row>
    <row r="91" spans="11:12" x14ac:dyDescent="0.45">
      <c r="K91" s="7">
        <v>89</v>
      </c>
      <c r="L91" s="65">
        <v>-515.30000000000007</v>
      </c>
    </row>
    <row r="92" spans="11:12" x14ac:dyDescent="0.45">
      <c r="K92" s="7">
        <v>90</v>
      </c>
      <c r="L92" s="65">
        <v>-557.1</v>
      </c>
    </row>
    <row r="93" spans="11:12" x14ac:dyDescent="0.45">
      <c r="K93" s="7">
        <v>91</v>
      </c>
      <c r="L93" s="65">
        <v>-583.4</v>
      </c>
    </row>
    <row r="94" spans="11:12" x14ac:dyDescent="0.45">
      <c r="K94" s="7">
        <v>92</v>
      </c>
      <c r="L94" s="65">
        <v>-588.19999999999993</v>
      </c>
    </row>
    <row r="95" spans="11:12" x14ac:dyDescent="0.45">
      <c r="K95" s="7">
        <v>93</v>
      </c>
      <c r="L95" s="65">
        <v>-627.79999999999995</v>
      </c>
    </row>
    <row r="96" spans="11:12" x14ac:dyDescent="0.45">
      <c r="K96" s="7">
        <v>94</v>
      </c>
      <c r="L96" s="65">
        <v>-618.29999999999995</v>
      </c>
    </row>
    <row r="97" spans="11:12" x14ac:dyDescent="0.45">
      <c r="K97" s="7">
        <v>95</v>
      </c>
      <c r="L97" s="65">
        <v>-599.19999999999993</v>
      </c>
    </row>
    <row r="98" spans="11:12" x14ac:dyDescent="0.45">
      <c r="K98" s="7">
        <v>96</v>
      </c>
      <c r="L98" s="65">
        <v>-631.19999999999993</v>
      </c>
    </row>
    <row r="99" spans="11:12" x14ac:dyDescent="0.45">
      <c r="K99" s="7">
        <v>97</v>
      </c>
      <c r="L99" s="65">
        <v>-673.49999999999989</v>
      </c>
    </row>
    <row r="100" spans="11:12" x14ac:dyDescent="0.45">
      <c r="K100" s="7">
        <v>98</v>
      </c>
      <c r="L100" s="65">
        <v>-700.69999999999993</v>
      </c>
    </row>
    <row r="101" spans="11:12" x14ac:dyDescent="0.45">
      <c r="K101" s="7">
        <v>99</v>
      </c>
      <c r="L101" s="65">
        <v>-707.4</v>
      </c>
    </row>
    <row r="102" spans="11:12" x14ac:dyDescent="0.45">
      <c r="K102" s="7">
        <v>100</v>
      </c>
      <c r="L102" s="65">
        <v>-752.69999999999993</v>
      </c>
    </row>
    <row r="103" spans="11:12" x14ac:dyDescent="0.45">
      <c r="K103" s="7">
        <v>101</v>
      </c>
      <c r="L103" s="65">
        <v>-765.99999999999989</v>
      </c>
    </row>
    <row r="104" spans="11:12" x14ac:dyDescent="0.45">
      <c r="K104" s="7">
        <v>102</v>
      </c>
      <c r="L104" s="65">
        <v>-759.19999999999993</v>
      </c>
    </row>
    <row r="105" spans="11:12" x14ac:dyDescent="0.45">
      <c r="K105" s="7">
        <v>103</v>
      </c>
      <c r="L105" s="65">
        <v>-740.9</v>
      </c>
    </row>
    <row r="106" spans="11:12" x14ac:dyDescent="0.45">
      <c r="K106" s="7">
        <v>104</v>
      </c>
      <c r="L106" s="65">
        <v>-762.1</v>
      </c>
    </row>
    <row r="107" spans="11:12" x14ac:dyDescent="0.45">
      <c r="K107" s="7">
        <v>105</v>
      </c>
      <c r="L107" s="65">
        <v>-749.4</v>
      </c>
    </row>
    <row r="108" spans="11:12" x14ac:dyDescent="0.45">
      <c r="K108" s="7">
        <v>106</v>
      </c>
      <c r="L108" s="65">
        <v>-727.5</v>
      </c>
    </row>
  </sheetData>
  <sortState xmlns:xlrd2="http://schemas.microsoft.com/office/spreadsheetml/2017/richdata2" ref="E2:I109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92336-32EC-4BB2-8C53-FBC5C392609F}">
  <sheetPr codeName="Sheet15"/>
  <dimension ref="A1:Q16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162</v>
      </c>
      <c r="C2" s="130"/>
      <c r="E2" s="28" t="s">
        <v>66</v>
      </c>
      <c r="F2" s="25" t="s">
        <v>22</v>
      </c>
      <c r="G2" s="13">
        <v>337</v>
      </c>
      <c r="H2" s="91">
        <f>IF(B$19=0,0,G2/B$19)</f>
        <v>0.91825613079019075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1788.8198757763976</v>
      </c>
      <c r="P2" s="80">
        <v>161</v>
      </c>
      <c r="Q2" s="67">
        <v>288000</v>
      </c>
    </row>
    <row r="3" spans="1:17" x14ac:dyDescent="0.45">
      <c r="A3" s="21" t="s">
        <v>8</v>
      </c>
      <c r="B3" s="131">
        <v>1321</v>
      </c>
      <c r="C3" s="132"/>
      <c r="E3" s="29" t="s">
        <v>72</v>
      </c>
      <c r="F3" s="26" t="s">
        <v>27</v>
      </c>
      <c r="G3" s="14">
        <v>210</v>
      </c>
      <c r="H3" s="92">
        <f>IF(B$19=0,0,G3/B$19)</f>
        <v>0.57220708446866486</v>
      </c>
      <c r="I3" s="60">
        <v>3</v>
      </c>
      <c r="K3" s="7">
        <v>1</v>
      </c>
      <c r="L3" s="65">
        <v>-9.1</v>
      </c>
      <c r="N3" s="78" t="s">
        <v>131</v>
      </c>
      <c r="O3" s="84">
        <f t="shared" si="0"/>
        <v>-2243.312101910828</v>
      </c>
      <c r="P3" s="81">
        <v>157</v>
      </c>
      <c r="Q3" s="68">
        <v>-352200</v>
      </c>
    </row>
    <row r="4" spans="1:17" x14ac:dyDescent="0.45">
      <c r="A4" s="21" t="s">
        <v>6</v>
      </c>
      <c r="B4" s="133">
        <v>777.80000000000041</v>
      </c>
      <c r="C4" s="134"/>
      <c r="E4" s="29" t="s">
        <v>64</v>
      </c>
      <c r="F4" s="26" t="s">
        <v>20</v>
      </c>
      <c r="G4" s="14">
        <v>196</v>
      </c>
      <c r="H4" s="92">
        <f>IF(B$19=0,0,G4/B$19)</f>
        <v>0.5340599455040872</v>
      </c>
      <c r="I4" s="60">
        <v>6</v>
      </c>
      <c r="K4" s="7">
        <v>2</v>
      </c>
      <c r="L4" s="65">
        <v>-67.3</v>
      </c>
      <c r="N4" s="78" t="s">
        <v>132</v>
      </c>
      <c r="O4" s="84">
        <f t="shared" si="0"/>
        <v>170.62937062937064</v>
      </c>
      <c r="P4" s="81">
        <v>143</v>
      </c>
      <c r="Q4" s="68">
        <v>24400</v>
      </c>
    </row>
    <row r="5" spans="1:17" x14ac:dyDescent="0.45">
      <c r="A5" s="21" t="s">
        <v>7</v>
      </c>
      <c r="B5" s="121">
        <f>IF(B$2=0,0,B$4/B$2)</f>
        <v>4.8012345679012371</v>
      </c>
      <c r="C5" s="122"/>
      <c r="E5" s="29" t="s">
        <v>163</v>
      </c>
      <c r="F5" s="26" t="s">
        <v>164</v>
      </c>
      <c r="G5" s="14">
        <v>143</v>
      </c>
      <c r="H5" s="92">
        <f>IF(B$19=0,0,G5/B$19)</f>
        <v>0.38964577656675747</v>
      </c>
      <c r="I5" s="60">
        <v>8</v>
      </c>
      <c r="K5" s="7">
        <v>3</v>
      </c>
      <c r="L5" s="65">
        <v>-113.8</v>
      </c>
      <c r="N5" s="78" t="s">
        <v>133</v>
      </c>
      <c r="O5" s="84">
        <f t="shared" si="0"/>
        <v>2291.6666666666665</v>
      </c>
      <c r="P5" s="81">
        <v>132</v>
      </c>
      <c r="Q5" s="68">
        <v>302500</v>
      </c>
    </row>
    <row r="6" spans="1:17" x14ac:dyDescent="0.45">
      <c r="A6" s="21" t="s">
        <v>1</v>
      </c>
      <c r="B6" s="135">
        <f>IF(B$2=0,0,(B$7*1+B$8*2+B$9*3)/B$2)</f>
        <v>1.9197530864197532</v>
      </c>
      <c r="C6" s="136"/>
      <c r="E6" s="29" t="s">
        <v>68</v>
      </c>
      <c r="F6" s="26" t="s">
        <v>12</v>
      </c>
      <c r="G6" s="14">
        <v>141</v>
      </c>
      <c r="H6" s="92">
        <f>IF(B$19=0,0,G6/B$19)</f>
        <v>0.38419618528610355</v>
      </c>
      <c r="I6" s="60">
        <v>3</v>
      </c>
      <c r="K6" s="7">
        <v>4</v>
      </c>
      <c r="L6" s="65">
        <v>-74.599999999999994</v>
      </c>
      <c r="N6" s="78" t="s">
        <v>134</v>
      </c>
      <c r="O6" s="84">
        <f t="shared" si="0"/>
        <v>1515.8333333333333</v>
      </c>
      <c r="P6" s="81">
        <v>120</v>
      </c>
      <c r="Q6" s="68">
        <v>181900</v>
      </c>
    </row>
    <row r="7" spans="1:17" x14ac:dyDescent="0.45">
      <c r="A7" s="21" t="s">
        <v>2</v>
      </c>
      <c r="B7" s="14">
        <v>65</v>
      </c>
      <c r="C7" s="8">
        <f t="shared" ref="C7:C14" si="1">IF(B$2=0,0,B7/B$2)</f>
        <v>0.40123456790123457</v>
      </c>
      <c r="E7" s="29" t="s">
        <v>67</v>
      </c>
      <c r="F7" s="26" t="s">
        <v>23</v>
      </c>
      <c r="G7" s="14">
        <v>138</v>
      </c>
      <c r="H7" s="92">
        <f>IF(B$19=0,0,G7/B$19)</f>
        <v>0.37602179836512262</v>
      </c>
      <c r="I7" s="60">
        <v>5</v>
      </c>
      <c r="K7" s="7">
        <v>5</v>
      </c>
      <c r="L7" s="65">
        <v>-118.3</v>
      </c>
      <c r="N7" s="79" t="s">
        <v>135</v>
      </c>
      <c r="O7" s="85">
        <f t="shared" si="0"/>
        <v>506.5934065934066</v>
      </c>
      <c r="P7" s="82">
        <v>91</v>
      </c>
      <c r="Q7" s="69">
        <v>46100</v>
      </c>
    </row>
    <row r="8" spans="1:17" x14ac:dyDescent="0.45">
      <c r="A8" s="21" t="s">
        <v>3</v>
      </c>
      <c r="B8" s="14">
        <v>45</v>
      </c>
      <c r="C8" s="8">
        <f t="shared" si="1"/>
        <v>0.27777777777777779</v>
      </c>
      <c r="E8" s="29" t="s">
        <v>89</v>
      </c>
      <c r="F8" s="26" t="s">
        <v>44</v>
      </c>
      <c r="G8" s="14">
        <v>90</v>
      </c>
      <c r="H8" s="92">
        <f>IF(B$19=0,0,G8/B$19)</f>
        <v>0.24523160762942781</v>
      </c>
      <c r="I8" s="60">
        <v>3</v>
      </c>
      <c r="K8" s="7">
        <v>6</v>
      </c>
      <c r="L8" s="65">
        <v>-60.3</v>
      </c>
      <c r="N8" s="111"/>
      <c r="O8" s="89"/>
      <c r="P8" s="112"/>
      <c r="Q8" s="74"/>
    </row>
    <row r="9" spans="1:17" x14ac:dyDescent="0.45">
      <c r="A9" s="22" t="s">
        <v>4</v>
      </c>
      <c r="B9" s="15">
        <v>52</v>
      </c>
      <c r="C9" s="9">
        <f t="shared" si="1"/>
        <v>0.32098765432098764</v>
      </c>
      <c r="E9" s="29" t="s">
        <v>69</v>
      </c>
      <c r="F9" s="26" t="s">
        <v>24</v>
      </c>
      <c r="G9" s="14">
        <v>73</v>
      </c>
      <c r="H9" s="92">
        <f>IF(B$19=0,0,G9/B$19)</f>
        <v>0.1989100817438692</v>
      </c>
      <c r="I9" s="60">
        <v>3</v>
      </c>
      <c r="K9" s="7">
        <v>7</v>
      </c>
      <c r="L9" s="65">
        <v>-60.8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41.347692307692299</v>
      </c>
      <c r="C10" s="114">
        <v>2687.5999999999995</v>
      </c>
      <c r="E10" s="29" t="s">
        <v>65</v>
      </c>
      <c r="F10" s="26" t="s">
        <v>21</v>
      </c>
      <c r="G10" s="14">
        <v>50</v>
      </c>
      <c r="H10" s="92">
        <f>IF(B$19=0,0,G10/B$19)</f>
        <v>0.13623978201634879</v>
      </c>
      <c r="I10" s="60">
        <v>4</v>
      </c>
      <c r="K10" s="7">
        <v>8</v>
      </c>
      <c r="L10" s="65">
        <v>-110.19999999999999</v>
      </c>
      <c r="N10" s="77" t="s">
        <v>154</v>
      </c>
      <c r="O10" s="86">
        <f>IF(P10=0,0,Q10/P10)</f>
        <v>-7.3666666666666663</v>
      </c>
      <c r="P10" s="80">
        <v>45</v>
      </c>
      <c r="Q10" s="71">
        <v>-331.5</v>
      </c>
    </row>
    <row r="11" spans="1:17" x14ac:dyDescent="0.45">
      <c r="A11" s="22" t="s">
        <v>204</v>
      </c>
      <c r="B11" s="113">
        <f>IF(B8=0,0,C11/B8)</f>
        <v>-0.74666666666666748</v>
      </c>
      <c r="C11" s="114">
        <v>-33.600000000000037</v>
      </c>
      <c r="E11" s="29" t="s">
        <v>70</v>
      </c>
      <c r="F11" s="26" t="s">
        <v>25</v>
      </c>
      <c r="G11" s="14">
        <v>47</v>
      </c>
      <c r="H11" s="92">
        <f>IF(B$19=0,0,G11/B$19)</f>
        <v>0.12806539509536785</v>
      </c>
      <c r="I11" s="60">
        <v>3</v>
      </c>
      <c r="K11" s="7">
        <v>9</v>
      </c>
      <c r="L11" s="65">
        <v>-120.99999999999999</v>
      </c>
      <c r="N11" s="78" t="s">
        <v>155</v>
      </c>
      <c r="O11" s="87">
        <f>IF(P11=0,0,Q11/P11)</f>
        <v>7.9299999999999979</v>
      </c>
      <c r="P11" s="81">
        <v>60</v>
      </c>
      <c r="Q11" s="72">
        <v>475.7999999999999</v>
      </c>
    </row>
    <row r="12" spans="1:17" x14ac:dyDescent="0.45">
      <c r="A12" s="22" t="s">
        <v>205</v>
      </c>
      <c r="B12" s="113">
        <f>IF(B9=0,0,C12/B9)</f>
        <v>-36.080769230769235</v>
      </c>
      <c r="C12" s="114">
        <v>-1876.2</v>
      </c>
      <c r="E12" s="29" t="s">
        <v>71</v>
      </c>
      <c r="F12" s="26" t="s">
        <v>26</v>
      </c>
      <c r="G12" s="14">
        <v>24</v>
      </c>
      <c r="H12" s="92">
        <f>IF(B$19=0,0,G12/B$19)</f>
        <v>6.5395095367847406E-2</v>
      </c>
      <c r="I12" s="60">
        <v>11</v>
      </c>
      <c r="K12" s="7">
        <v>10</v>
      </c>
      <c r="L12" s="65">
        <v>-113.29999999999998</v>
      </c>
      <c r="N12" s="79" t="s">
        <v>156</v>
      </c>
      <c r="O12" s="88">
        <f>IF(P12=0,0,Q12/P12)</f>
        <v>11.114035087719298</v>
      </c>
      <c r="P12" s="82">
        <v>57</v>
      </c>
      <c r="Q12" s="73">
        <v>633.5</v>
      </c>
    </row>
    <row r="13" spans="1:17" x14ac:dyDescent="0.45">
      <c r="A13" s="22" t="s">
        <v>206</v>
      </c>
      <c r="B13" s="121">
        <f>AVERAGE(B10:B12)</f>
        <v>1.5067521367521313</v>
      </c>
      <c r="C13" s="122"/>
      <c r="E13" s="29" t="s">
        <v>159</v>
      </c>
      <c r="F13" s="26" t="s">
        <v>160</v>
      </c>
      <c r="G13" s="14">
        <v>19</v>
      </c>
      <c r="H13" s="92">
        <f>IF(B$19=0,0,G13/B$19)</f>
        <v>5.1771117166212535E-2</v>
      </c>
      <c r="I13" s="60">
        <v>1</v>
      </c>
      <c r="K13" s="7">
        <v>11</v>
      </c>
      <c r="L13" s="65">
        <v>-163.69999999999999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0.11728395061728394</v>
      </c>
      <c r="E14" s="29" t="s">
        <v>83</v>
      </c>
      <c r="F14" s="26" t="s">
        <v>38</v>
      </c>
      <c r="G14" s="14">
        <v>12</v>
      </c>
      <c r="H14" s="92">
        <f>IF(B$19=0,0,G14/B$19)</f>
        <v>3.2697547683923703E-2</v>
      </c>
      <c r="I14" s="60">
        <v>11</v>
      </c>
      <c r="K14" s="7">
        <v>12</v>
      </c>
      <c r="L14" s="65">
        <v>-110.49999999999999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391</v>
      </c>
      <c r="C15" s="12">
        <f>IF(B$3=0,0,B15/B$3)</f>
        <v>0.29598788796366388</v>
      </c>
      <c r="E15" s="29" t="s">
        <v>86</v>
      </c>
      <c r="F15" s="26" t="s">
        <v>41</v>
      </c>
      <c r="G15" s="14">
        <v>12</v>
      </c>
      <c r="H15" s="92">
        <f>IF(B$19=0,0,G15/B$19)</f>
        <v>3.2697547683923703E-2</v>
      </c>
      <c r="I15" s="60">
        <v>9</v>
      </c>
      <c r="K15" s="7">
        <v>13</v>
      </c>
      <c r="L15" s="65">
        <v>-132.39999999999998</v>
      </c>
      <c r="N15" s="77" t="s">
        <v>201</v>
      </c>
      <c r="O15" s="86">
        <f>IF(P15=0,0,Q15/P15)</f>
        <v>60.650000000000006</v>
      </c>
      <c r="P15" s="80">
        <v>2</v>
      </c>
      <c r="Q15" s="71">
        <v>121.30000000000001</v>
      </c>
    </row>
    <row r="16" spans="1:17" x14ac:dyDescent="0.45">
      <c r="A16" s="21" t="s">
        <v>118</v>
      </c>
      <c r="B16" s="14">
        <v>249</v>
      </c>
      <c r="C16" s="8">
        <f>IF(B$3=0,0,B16/B$3)</f>
        <v>0.18849356548069643</v>
      </c>
      <c r="E16" s="29" t="s">
        <v>91</v>
      </c>
      <c r="F16" s="26" t="s">
        <v>46</v>
      </c>
      <c r="G16" s="14">
        <v>8</v>
      </c>
      <c r="H16" s="92">
        <f>IF(B$19=0,0,G16/B$19)</f>
        <v>2.1798365122615803E-2</v>
      </c>
      <c r="I16" s="60">
        <v>4</v>
      </c>
      <c r="K16" s="7">
        <v>14</v>
      </c>
      <c r="L16" s="65">
        <v>-86.499999999999972</v>
      </c>
      <c r="N16" s="78" t="s">
        <v>158</v>
      </c>
      <c r="O16" s="87">
        <f>IF(P16=0,0,Q16/P16)</f>
        <v>28.890909090909094</v>
      </c>
      <c r="P16" s="81">
        <v>33</v>
      </c>
      <c r="Q16" s="72">
        <v>953.40000000000009</v>
      </c>
    </row>
    <row r="17" spans="1:17" x14ac:dyDescent="0.45">
      <c r="A17" s="20" t="s">
        <v>123</v>
      </c>
      <c r="B17" s="13">
        <f>B23</f>
        <v>212</v>
      </c>
      <c r="C17" s="6">
        <f>IF(B$15=0,0,B17/B$15)</f>
        <v>0.5421994884910486</v>
      </c>
      <c r="E17" s="29" t="s">
        <v>81</v>
      </c>
      <c r="F17" s="26" t="s">
        <v>36</v>
      </c>
      <c r="G17" s="14">
        <v>6</v>
      </c>
      <c r="H17" s="92">
        <f>IF(B$19=0,0,G17/B$19)</f>
        <v>1.6348773841961851E-2</v>
      </c>
      <c r="I17" s="60">
        <v>7</v>
      </c>
      <c r="K17" s="7">
        <v>15</v>
      </c>
      <c r="L17" s="65">
        <v>-101.79999999999997</v>
      </c>
      <c r="N17" s="78" t="s">
        <v>195</v>
      </c>
      <c r="O17" s="87">
        <f>IF(P17=0,0,Q17/P17)</f>
        <v>19.176470588235297</v>
      </c>
      <c r="P17" s="81">
        <v>34</v>
      </c>
      <c r="Q17" s="72">
        <v>652.00000000000011</v>
      </c>
    </row>
    <row r="18" spans="1:17" x14ac:dyDescent="0.45">
      <c r="A18" s="20" t="s">
        <v>124</v>
      </c>
      <c r="B18" s="13">
        <f>B24</f>
        <v>97</v>
      </c>
      <c r="C18" s="6">
        <f>IF(B$16=0,0,B18/B$16)</f>
        <v>0.38955823293172692</v>
      </c>
      <c r="E18" s="29" t="s">
        <v>92</v>
      </c>
      <c r="F18" s="26" t="s">
        <v>47</v>
      </c>
      <c r="G18" s="14">
        <v>6</v>
      </c>
      <c r="H18" s="92">
        <f>IF(B$19=0,0,G18/B$19)</f>
        <v>1.6348773841961851E-2</v>
      </c>
      <c r="I18" s="60">
        <v>1</v>
      </c>
      <c r="K18" s="7">
        <v>16</v>
      </c>
      <c r="L18" s="65">
        <v>-63.099999999999966</v>
      </c>
      <c r="N18" s="78" t="s">
        <v>168</v>
      </c>
      <c r="O18" s="87">
        <f>IF(P18=0,0,Q18/P18)</f>
        <v>8.1986486486486463</v>
      </c>
      <c r="P18" s="81">
        <v>74</v>
      </c>
      <c r="Q18" s="72">
        <v>606.69999999999982</v>
      </c>
    </row>
    <row r="19" spans="1:17" x14ac:dyDescent="0.45">
      <c r="A19" s="20" t="s">
        <v>10</v>
      </c>
      <c r="B19" s="13">
        <f>B22+B21</f>
        <v>367</v>
      </c>
      <c r="C19" s="6">
        <f>IF(B$3=0,0,B19/B$3)</f>
        <v>0.2778198334595004</v>
      </c>
      <c r="E19" s="29" t="s">
        <v>78</v>
      </c>
      <c r="F19" s="26" t="s">
        <v>33</v>
      </c>
      <c r="G19" s="14">
        <v>5</v>
      </c>
      <c r="H19" s="92">
        <f>IF(B$19=0,0,G19/B$19)</f>
        <v>1.3623978201634877E-2</v>
      </c>
      <c r="I19" s="60">
        <v>8</v>
      </c>
      <c r="K19" s="7">
        <v>17</v>
      </c>
      <c r="L19" s="65">
        <v>-55.799999999999969</v>
      </c>
      <c r="N19" s="78" t="s">
        <v>194</v>
      </c>
      <c r="O19" s="87">
        <f>IF(P19=0,0,Q19/P19)</f>
        <v>5.1500000000000012</v>
      </c>
      <c r="P19" s="81">
        <v>10</v>
      </c>
      <c r="Q19" s="72">
        <v>51.500000000000014</v>
      </c>
    </row>
    <row r="20" spans="1:17" x14ac:dyDescent="0.45">
      <c r="A20" s="21" t="s">
        <v>13</v>
      </c>
      <c r="B20" s="14">
        <v>226</v>
      </c>
      <c r="C20" s="8">
        <f>IF(B$3=0,0,B20/B$3)</f>
        <v>0.17108251324753973</v>
      </c>
      <c r="E20" s="29" t="s">
        <v>79</v>
      </c>
      <c r="F20" s="26" t="s">
        <v>34</v>
      </c>
      <c r="G20" s="14">
        <v>4</v>
      </c>
      <c r="H20" s="92">
        <f>IF(B$19=0,0,G20/B$19)</f>
        <v>1.0899182561307902E-2</v>
      </c>
      <c r="I20" s="60">
        <v>8</v>
      </c>
      <c r="K20" s="7">
        <v>18</v>
      </c>
      <c r="L20" s="65">
        <v>-24.999999999999968</v>
      </c>
      <c r="N20" s="78" t="s">
        <v>127</v>
      </c>
      <c r="O20" s="87">
        <f>IF(P20=0,0,Q20/P20)</f>
        <v>3.8437499999999996</v>
      </c>
      <c r="P20" s="81">
        <v>64</v>
      </c>
      <c r="Q20" s="72">
        <v>245.99999999999997</v>
      </c>
    </row>
    <row r="21" spans="1:17" x14ac:dyDescent="0.45">
      <c r="A21" s="21" t="s">
        <v>12</v>
      </c>
      <c r="B21" s="14">
        <v>188</v>
      </c>
      <c r="C21" s="8">
        <f>IF(B$19=0,0,B21/B$19)</f>
        <v>0.5122615803814714</v>
      </c>
      <c r="E21" s="29" t="s">
        <v>85</v>
      </c>
      <c r="F21" s="26" t="s">
        <v>40</v>
      </c>
      <c r="G21" s="14">
        <v>4</v>
      </c>
      <c r="H21" s="92">
        <f>IF(B$19=0,0,G21/B$19)</f>
        <v>1.0899182561307902E-2</v>
      </c>
      <c r="I21" s="60">
        <v>3</v>
      </c>
      <c r="K21" s="7">
        <v>19</v>
      </c>
      <c r="L21" s="65">
        <v>-27.799999999999969</v>
      </c>
      <c r="N21" s="78" t="s">
        <v>126</v>
      </c>
      <c r="O21" s="87">
        <f>IF(P21=0,0,Q21/P21)</f>
        <v>-2.3000000000000003</v>
      </c>
      <c r="P21" s="81">
        <v>72</v>
      </c>
      <c r="Q21" s="72">
        <v>-165.60000000000002</v>
      </c>
    </row>
    <row r="22" spans="1:17" x14ac:dyDescent="0.45">
      <c r="A22" s="21" t="s">
        <v>11</v>
      </c>
      <c r="B22" s="14">
        <v>179</v>
      </c>
      <c r="C22" s="8">
        <f>IF(B$19=0,0,B22/B$19)</f>
        <v>0.4877384196185286</v>
      </c>
      <c r="E22" s="29" t="s">
        <v>84</v>
      </c>
      <c r="F22" s="26" t="s">
        <v>39</v>
      </c>
      <c r="G22" s="14">
        <v>3</v>
      </c>
      <c r="H22" s="92">
        <f>IF(B$19=0,0,G22/B$19)</f>
        <v>8.1743869209809257E-3</v>
      </c>
      <c r="I22" s="60">
        <v>1</v>
      </c>
      <c r="K22" s="7">
        <v>20</v>
      </c>
      <c r="L22" s="65">
        <v>-50.39999999999997</v>
      </c>
      <c r="N22" s="78" t="s">
        <v>275</v>
      </c>
      <c r="O22" s="87">
        <f>IF(P22=0,0,Q22/P22)</f>
        <v>-2.910000000000001</v>
      </c>
      <c r="P22" s="81">
        <v>10</v>
      </c>
      <c r="Q22" s="72">
        <v>-29.100000000000009</v>
      </c>
    </row>
    <row r="23" spans="1:17" x14ac:dyDescent="0.45">
      <c r="A23" s="21" t="s">
        <v>192</v>
      </c>
      <c r="B23" s="14">
        <v>212</v>
      </c>
      <c r="C23" s="8">
        <f>IF(B$19=0,0,B23/B$19)</f>
        <v>0.57765667574931878</v>
      </c>
      <c r="E23" s="29" t="s">
        <v>73</v>
      </c>
      <c r="F23" s="26" t="s">
        <v>28</v>
      </c>
      <c r="G23" s="14">
        <v>2</v>
      </c>
      <c r="H23" s="92">
        <f>IF(B$19=0,0,G23/B$19)</f>
        <v>5.4495912806539508E-3</v>
      </c>
      <c r="I23" s="60">
        <v>3</v>
      </c>
      <c r="K23" s="7">
        <v>21</v>
      </c>
      <c r="L23" s="65">
        <v>-59.89999999999997</v>
      </c>
      <c r="N23" s="78" t="s">
        <v>169</v>
      </c>
      <c r="O23" s="87">
        <f>IF(P23=0,0,Q23/P23)</f>
        <v>-4.1120000000000001</v>
      </c>
      <c r="P23" s="81">
        <v>25</v>
      </c>
      <c r="Q23" s="72">
        <v>-102.80000000000001</v>
      </c>
    </row>
    <row r="24" spans="1:17" x14ac:dyDescent="0.45">
      <c r="A24" s="21" t="s">
        <v>190</v>
      </c>
      <c r="B24" s="14">
        <v>97</v>
      </c>
      <c r="C24" s="8">
        <f>IF(B$19=0,0,B24/B$19)</f>
        <v>0.26430517711171664</v>
      </c>
      <c r="E24" s="29" t="s">
        <v>75</v>
      </c>
      <c r="F24" s="26" t="s">
        <v>30</v>
      </c>
      <c r="G24" s="14">
        <v>2</v>
      </c>
      <c r="H24" s="92">
        <f>IF(B$19=0,0,G24/B$19)</f>
        <v>5.4495912806539508E-3</v>
      </c>
      <c r="I24" s="60">
        <v>7</v>
      </c>
      <c r="K24" s="7">
        <v>22</v>
      </c>
      <c r="L24" s="65">
        <v>-21.799999999999969</v>
      </c>
    </row>
    <row r="25" spans="1:17" x14ac:dyDescent="0.45">
      <c r="A25" s="21" t="s">
        <v>191</v>
      </c>
      <c r="B25" s="14">
        <v>58</v>
      </c>
      <c r="C25" s="8">
        <f>IF(B$19=0,0,B25/B$19)</f>
        <v>0.15803814713896458</v>
      </c>
      <c r="E25" s="29" t="s">
        <v>77</v>
      </c>
      <c r="F25" s="26" t="s">
        <v>32</v>
      </c>
      <c r="G25" s="14">
        <v>2</v>
      </c>
      <c r="H25" s="92">
        <f>IF(B$19=0,0,G25/B$19)</f>
        <v>5.4495912806539508E-3</v>
      </c>
      <c r="I25" s="60">
        <v>1</v>
      </c>
      <c r="K25" s="7">
        <v>23</v>
      </c>
      <c r="L25" s="65">
        <v>-10.299999999999969</v>
      </c>
    </row>
    <row r="26" spans="1:17" x14ac:dyDescent="0.45">
      <c r="A26" s="21" t="s">
        <v>5</v>
      </c>
      <c r="B26" s="18">
        <f>IF(B$19=0,0,C26/B$19)</f>
        <v>11012.534059945505</v>
      </c>
      <c r="C26" s="10">
        <v>4041600</v>
      </c>
      <c r="E26" s="29" t="s">
        <v>90</v>
      </c>
      <c r="F26" s="26" t="s">
        <v>45</v>
      </c>
      <c r="G26" s="14">
        <v>2</v>
      </c>
      <c r="H26" s="92">
        <f>IF(B$19=0,0,G26/B$19)</f>
        <v>5.4495912806539508E-3</v>
      </c>
      <c r="I26" s="60">
        <v>1</v>
      </c>
      <c r="K26" s="7">
        <v>24</v>
      </c>
      <c r="L26" s="65">
        <v>-51.39999999999997</v>
      </c>
    </row>
    <row r="27" spans="1:17" x14ac:dyDescent="0.45">
      <c r="A27" s="22" t="s">
        <v>174</v>
      </c>
      <c r="B27" s="99">
        <f>IF($B$19-B$18=0,0,C27/($B$19-B$18))</f>
        <v>11666.296296296296</v>
      </c>
      <c r="C27" s="100">
        <v>3149900</v>
      </c>
      <c r="E27" s="29" t="s">
        <v>88</v>
      </c>
      <c r="F27" s="26" t="s">
        <v>43</v>
      </c>
      <c r="G27" s="14">
        <v>1</v>
      </c>
      <c r="H27" s="92">
        <f>IF(B$19=0,0,G27/B$19)</f>
        <v>2.7247956403269754E-3</v>
      </c>
      <c r="I27" s="60">
        <v>4</v>
      </c>
      <c r="K27" s="7">
        <v>25</v>
      </c>
      <c r="L27" s="65">
        <v>-37.699999999999974</v>
      </c>
    </row>
    <row r="28" spans="1:17" x14ac:dyDescent="0.45">
      <c r="A28" s="22" t="s">
        <v>175</v>
      </c>
      <c r="B28" s="99">
        <f>IF(B$18=0,0,C28/B$18)</f>
        <v>9192.783505154639</v>
      </c>
      <c r="C28" s="100">
        <v>891700</v>
      </c>
      <c r="E28" s="29" t="s">
        <v>93</v>
      </c>
      <c r="F28" s="26" t="s">
        <v>48</v>
      </c>
      <c r="G28" s="14">
        <v>1</v>
      </c>
      <c r="H28" s="92">
        <f>IF(B$19=0,0,G28/B$19)</f>
        <v>2.7247956403269754E-3</v>
      </c>
      <c r="I28" s="60">
        <v>2</v>
      </c>
      <c r="K28" s="7">
        <v>26</v>
      </c>
      <c r="L28" s="65">
        <v>-84.999999999999972</v>
      </c>
    </row>
    <row r="29" spans="1:17" x14ac:dyDescent="0.45">
      <c r="A29" s="22" t="s">
        <v>173</v>
      </c>
      <c r="B29" s="99">
        <f>IF(B$20=0,0,C29/B$20)</f>
        <v>-8283.6283185840712</v>
      </c>
      <c r="C29" s="100">
        <v>-1872100</v>
      </c>
      <c r="E29" s="29" t="s">
        <v>95</v>
      </c>
      <c r="F29" s="26" t="s">
        <v>50</v>
      </c>
      <c r="G29" s="14">
        <v>1</v>
      </c>
      <c r="H29" s="92">
        <f>IF(B$19=0,0,G29/B$19)</f>
        <v>2.7247956403269754E-3</v>
      </c>
      <c r="I29" s="60">
        <v>3</v>
      </c>
      <c r="K29" s="7">
        <v>27</v>
      </c>
      <c r="L29" s="65">
        <v>-31.499999999999972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97</v>
      </c>
      <c r="F30" s="26" t="s">
        <v>52</v>
      </c>
      <c r="G30" s="14">
        <v>1</v>
      </c>
      <c r="H30" s="92">
        <f>IF(B$19=0,0,G30/B$19)</f>
        <v>2.7247956403269754E-3</v>
      </c>
      <c r="I30" s="60">
        <v>1</v>
      </c>
      <c r="K30" s="7">
        <v>28</v>
      </c>
      <c r="L30" s="65">
        <v>-10.999999999999972</v>
      </c>
    </row>
    <row r="31" spans="1:17" x14ac:dyDescent="0.45">
      <c r="A31" s="21" t="s">
        <v>162</v>
      </c>
      <c r="B31" s="14">
        <v>25</v>
      </c>
      <c r="C31" s="94">
        <v>0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-16.499999999999972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30.900000000000027</v>
      </c>
    </row>
    <row r="33" spans="1:12" x14ac:dyDescent="0.45">
      <c r="A33" s="24" t="s">
        <v>189</v>
      </c>
      <c r="B33" s="125">
        <v>122100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73.900000000000034</v>
      </c>
    </row>
    <row r="34" spans="1:12" x14ac:dyDescent="0.45">
      <c r="A34" s="23" t="s">
        <v>139</v>
      </c>
      <c r="B34" s="31">
        <v>2</v>
      </c>
      <c r="C34" s="11">
        <f>IF(B$3=0,0,B34/B$3)</f>
        <v>1.514004542013626E-3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96.100000000000037</v>
      </c>
    </row>
    <row r="35" spans="1:12" x14ac:dyDescent="0.45">
      <c r="E35" s="29" t="s">
        <v>87</v>
      </c>
      <c r="F35" s="26" t="s">
        <v>42</v>
      </c>
      <c r="G35" s="14">
        <v>0</v>
      </c>
      <c r="H35" s="92">
        <f>IF(B$19=0,0,G35/B$19)</f>
        <v>0</v>
      </c>
      <c r="I35" s="60">
        <v>7</v>
      </c>
      <c r="K35" s="7">
        <v>33</v>
      </c>
      <c r="L35" s="65">
        <v>112.00000000000004</v>
      </c>
    </row>
    <row r="36" spans="1:12" x14ac:dyDescent="0.45">
      <c r="A36" s="56" t="s">
        <v>180</v>
      </c>
      <c r="B36" s="119">
        <v>10</v>
      </c>
      <c r="C36" s="102">
        <f t="shared" ref="C36:C48" si="2">IF(B$19=0,0,B36/B$19)</f>
        <v>2.7247956403269755E-2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110.00000000000004</v>
      </c>
    </row>
    <row r="37" spans="1:12" x14ac:dyDescent="0.45">
      <c r="A37" s="21" t="s">
        <v>176</v>
      </c>
      <c r="B37" s="14">
        <v>31</v>
      </c>
      <c r="C37" s="8">
        <f t="shared" si="2"/>
        <v>8.4468664850136238E-2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140.50000000000006</v>
      </c>
    </row>
    <row r="38" spans="1:12" x14ac:dyDescent="0.45">
      <c r="A38" s="21" t="s">
        <v>177</v>
      </c>
      <c r="B38" s="120">
        <v>51</v>
      </c>
      <c r="C38" s="8">
        <f t="shared" si="2"/>
        <v>0.13896457765667575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105.40000000000006</v>
      </c>
    </row>
    <row r="39" spans="1:12" x14ac:dyDescent="0.45">
      <c r="A39" s="21" t="s">
        <v>178</v>
      </c>
      <c r="B39" s="120">
        <v>67</v>
      </c>
      <c r="C39" s="8">
        <f t="shared" si="2"/>
        <v>0.18256130790190736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146.30000000000007</v>
      </c>
    </row>
    <row r="40" spans="1:12" x14ac:dyDescent="0.45">
      <c r="A40" s="21" t="s">
        <v>179</v>
      </c>
      <c r="B40" s="120">
        <v>77</v>
      </c>
      <c r="C40" s="8">
        <f t="shared" si="2"/>
        <v>0.2098092643051771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129.30000000000007</v>
      </c>
    </row>
    <row r="41" spans="1:12" x14ac:dyDescent="0.45">
      <c r="A41" s="21" t="s">
        <v>181</v>
      </c>
      <c r="B41" s="120">
        <v>51</v>
      </c>
      <c r="C41" s="8">
        <f t="shared" si="2"/>
        <v>0.13896457765667575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101.20000000000007</v>
      </c>
    </row>
    <row r="42" spans="1:12" x14ac:dyDescent="0.45">
      <c r="A42" s="21" t="s">
        <v>182</v>
      </c>
      <c r="B42" s="120">
        <v>27</v>
      </c>
      <c r="C42" s="8">
        <f t="shared" si="2"/>
        <v>7.3569482288828342E-2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71.200000000000074</v>
      </c>
    </row>
    <row r="43" spans="1:12" x14ac:dyDescent="0.45">
      <c r="A43" s="21" t="s">
        <v>183</v>
      </c>
      <c r="B43" s="120">
        <v>24</v>
      </c>
      <c r="C43" s="8">
        <f t="shared" si="2"/>
        <v>6.5395095367847406E-2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67.900000000000077</v>
      </c>
    </row>
    <row r="44" spans="1:12" x14ac:dyDescent="0.45">
      <c r="A44" s="21" t="s">
        <v>184</v>
      </c>
      <c r="B44" s="120">
        <v>11</v>
      </c>
      <c r="C44" s="8">
        <f t="shared" si="2"/>
        <v>2.9972752043596729E-2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109.90000000000008</v>
      </c>
    </row>
    <row r="45" spans="1:12" x14ac:dyDescent="0.45">
      <c r="A45" s="21" t="s">
        <v>185</v>
      </c>
      <c r="B45" s="120">
        <v>3</v>
      </c>
      <c r="C45" s="8">
        <f t="shared" si="2"/>
        <v>8.1743869209809257E-3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78.300000000000068</v>
      </c>
    </row>
    <row r="46" spans="1:12" x14ac:dyDescent="0.45">
      <c r="A46" s="21" t="s">
        <v>186</v>
      </c>
      <c r="B46" s="120">
        <v>3</v>
      </c>
      <c r="C46" s="8">
        <f t="shared" si="2"/>
        <v>8.1743869209809257E-3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107.10000000000007</v>
      </c>
    </row>
    <row r="47" spans="1:12" x14ac:dyDescent="0.45">
      <c r="A47" s="21" t="s">
        <v>187</v>
      </c>
      <c r="B47" s="120">
        <v>1</v>
      </c>
      <c r="C47" s="8">
        <f t="shared" si="2"/>
        <v>2.7247956403269754E-3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85.800000000000068</v>
      </c>
    </row>
    <row r="48" spans="1:12" x14ac:dyDescent="0.45">
      <c r="A48" s="23" t="s">
        <v>188</v>
      </c>
      <c r="B48" s="101">
        <v>11</v>
      </c>
      <c r="C48" s="11">
        <f t="shared" si="2"/>
        <v>2.9972752043596729E-2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154.90000000000006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190.40000000000006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269.00000000000006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269.30000000000007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304.40000000000009</v>
      </c>
    </row>
    <row r="53" spans="5:12" x14ac:dyDescent="0.45">
      <c r="K53" s="7">
        <v>51</v>
      </c>
      <c r="L53" s="65">
        <v>282.10000000000008</v>
      </c>
    </row>
    <row r="54" spans="5:12" x14ac:dyDescent="0.45">
      <c r="K54" s="7">
        <v>52</v>
      </c>
      <c r="L54" s="65">
        <v>325.2000000000001</v>
      </c>
    </row>
    <row r="55" spans="5:12" x14ac:dyDescent="0.45">
      <c r="K55" s="7">
        <v>53</v>
      </c>
      <c r="L55" s="65">
        <v>301.2000000000001</v>
      </c>
    </row>
    <row r="56" spans="5:12" x14ac:dyDescent="0.45">
      <c r="K56" s="7">
        <v>54</v>
      </c>
      <c r="L56" s="65">
        <v>296.2000000000001</v>
      </c>
    </row>
    <row r="57" spans="5:12" x14ac:dyDescent="0.45">
      <c r="K57" s="7">
        <v>55</v>
      </c>
      <c r="L57" s="65">
        <v>259.10000000000008</v>
      </c>
    </row>
    <row r="58" spans="5:12" x14ac:dyDescent="0.45">
      <c r="K58" s="7">
        <v>56</v>
      </c>
      <c r="L58" s="65">
        <v>246.70000000000007</v>
      </c>
    </row>
    <row r="59" spans="5:12" x14ac:dyDescent="0.45">
      <c r="K59" s="7">
        <v>57</v>
      </c>
      <c r="L59" s="65">
        <v>291.80000000000007</v>
      </c>
    </row>
    <row r="60" spans="5:12" x14ac:dyDescent="0.45">
      <c r="K60" s="7">
        <v>58</v>
      </c>
      <c r="L60" s="65">
        <v>308.80000000000007</v>
      </c>
    </row>
    <row r="61" spans="5:12" x14ac:dyDescent="0.45">
      <c r="K61" s="7">
        <v>59</v>
      </c>
      <c r="L61" s="65">
        <v>357.80000000000007</v>
      </c>
    </row>
    <row r="62" spans="5:12" x14ac:dyDescent="0.45">
      <c r="K62" s="7">
        <v>60</v>
      </c>
      <c r="L62" s="65">
        <v>364.90000000000009</v>
      </c>
    </row>
    <row r="63" spans="5:12" x14ac:dyDescent="0.45">
      <c r="K63" s="7">
        <v>61</v>
      </c>
      <c r="L63" s="65">
        <v>351.80000000000007</v>
      </c>
    </row>
    <row r="64" spans="5:12" x14ac:dyDescent="0.45">
      <c r="K64" s="7">
        <v>62</v>
      </c>
      <c r="L64" s="65">
        <v>338.80000000000007</v>
      </c>
    </row>
    <row r="65" spans="11:12" x14ac:dyDescent="0.45">
      <c r="K65" s="7">
        <v>63</v>
      </c>
      <c r="L65" s="65">
        <v>319.30000000000007</v>
      </c>
    </row>
    <row r="66" spans="11:12" x14ac:dyDescent="0.45">
      <c r="K66" s="7">
        <v>64</v>
      </c>
      <c r="L66" s="65">
        <v>273.80000000000007</v>
      </c>
    </row>
    <row r="67" spans="11:12" x14ac:dyDescent="0.45">
      <c r="K67" s="7">
        <v>65</v>
      </c>
      <c r="L67" s="65">
        <v>333.00000000000006</v>
      </c>
    </row>
    <row r="68" spans="11:12" x14ac:dyDescent="0.45">
      <c r="K68" s="7">
        <v>66</v>
      </c>
      <c r="L68" s="65">
        <v>368.80000000000007</v>
      </c>
    </row>
    <row r="69" spans="11:12" x14ac:dyDescent="0.45">
      <c r="K69" s="7">
        <v>67</v>
      </c>
      <c r="L69" s="65">
        <v>360.90000000000009</v>
      </c>
    </row>
    <row r="70" spans="11:12" x14ac:dyDescent="0.45">
      <c r="K70" s="7">
        <v>68</v>
      </c>
      <c r="L70" s="65">
        <v>458.00000000000011</v>
      </c>
    </row>
    <row r="71" spans="11:12" x14ac:dyDescent="0.45">
      <c r="K71" s="7">
        <v>69</v>
      </c>
      <c r="L71" s="65">
        <v>455.2000000000001</v>
      </c>
    </row>
    <row r="72" spans="11:12" x14ac:dyDescent="0.45">
      <c r="K72" s="7">
        <v>70</v>
      </c>
      <c r="L72" s="65">
        <v>422.90000000000009</v>
      </c>
    </row>
    <row r="73" spans="11:12" x14ac:dyDescent="0.45">
      <c r="K73" s="7">
        <v>71</v>
      </c>
      <c r="L73" s="65">
        <v>435.7000000000001</v>
      </c>
    </row>
    <row r="74" spans="11:12" x14ac:dyDescent="0.45">
      <c r="K74" s="7">
        <v>72</v>
      </c>
      <c r="L74" s="65">
        <v>466.40000000000009</v>
      </c>
    </row>
    <row r="75" spans="11:12" x14ac:dyDescent="0.45">
      <c r="K75" s="7">
        <v>73</v>
      </c>
      <c r="L75" s="65">
        <v>406.10000000000008</v>
      </c>
    </row>
    <row r="76" spans="11:12" x14ac:dyDescent="0.45">
      <c r="K76" s="7">
        <v>74</v>
      </c>
      <c r="L76" s="65">
        <v>360.50000000000006</v>
      </c>
    </row>
    <row r="77" spans="11:12" x14ac:dyDescent="0.45">
      <c r="K77" s="7">
        <v>75</v>
      </c>
      <c r="L77" s="65">
        <v>332.60000000000008</v>
      </c>
    </row>
    <row r="78" spans="11:12" x14ac:dyDescent="0.45">
      <c r="K78" s="7">
        <v>76</v>
      </c>
      <c r="L78" s="65">
        <v>325.7000000000001</v>
      </c>
    </row>
    <row r="79" spans="11:12" x14ac:dyDescent="0.45">
      <c r="K79" s="7">
        <v>77</v>
      </c>
      <c r="L79" s="65">
        <v>368.00000000000011</v>
      </c>
    </row>
    <row r="80" spans="11:12" x14ac:dyDescent="0.45">
      <c r="K80" s="7">
        <v>78</v>
      </c>
      <c r="L80" s="65">
        <v>312.50000000000011</v>
      </c>
    </row>
    <row r="81" spans="11:12" x14ac:dyDescent="0.45">
      <c r="K81" s="7">
        <v>79</v>
      </c>
      <c r="L81" s="65">
        <v>263.80000000000013</v>
      </c>
    </row>
    <row r="82" spans="11:12" x14ac:dyDescent="0.45">
      <c r="K82" s="7">
        <v>80</v>
      </c>
      <c r="L82" s="65">
        <v>245.50000000000011</v>
      </c>
    </row>
    <row r="83" spans="11:12" x14ac:dyDescent="0.45">
      <c r="K83" s="7">
        <v>81</v>
      </c>
      <c r="L83" s="65">
        <v>200.30000000000013</v>
      </c>
    </row>
    <row r="84" spans="11:12" x14ac:dyDescent="0.45">
      <c r="K84" s="7">
        <v>82</v>
      </c>
      <c r="L84" s="65">
        <v>229.10000000000014</v>
      </c>
    </row>
    <row r="85" spans="11:12" x14ac:dyDescent="0.45">
      <c r="K85" s="7">
        <v>83</v>
      </c>
      <c r="L85" s="65">
        <v>230.70000000000013</v>
      </c>
    </row>
    <row r="86" spans="11:12" x14ac:dyDescent="0.45">
      <c r="K86" s="7">
        <v>84</v>
      </c>
      <c r="L86" s="65">
        <v>201.10000000000014</v>
      </c>
    </row>
    <row r="87" spans="11:12" x14ac:dyDescent="0.45">
      <c r="K87" s="7">
        <v>85</v>
      </c>
      <c r="L87" s="65">
        <v>200.20000000000013</v>
      </c>
    </row>
    <row r="88" spans="11:12" x14ac:dyDescent="0.45">
      <c r="K88" s="7">
        <v>86</v>
      </c>
      <c r="L88" s="65">
        <v>211.70000000000013</v>
      </c>
    </row>
    <row r="89" spans="11:12" x14ac:dyDescent="0.45">
      <c r="K89" s="7">
        <v>87</v>
      </c>
      <c r="L89" s="65">
        <v>186.30000000000013</v>
      </c>
    </row>
    <row r="90" spans="11:12" x14ac:dyDescent="0.45">
      <c r="K90" s="7">
        <v>88</v>
      </c>
      <c r="L90" s="65">
        <v>163.60000000000014</v>
      </c>
    </row>
    <row r="91" spans="11:12" x14ac:dyDescent="0.45">
      <c r="K91" s="7">
        <v>89</v>
      </c>
      <c r="L91" s="65">
        <v>188.60000000000014</v>
      </c>
    </row>
    <row r="92" spans="11:12" x14ac:dyDescent="0.45">
      <c r="K92" s="7">
        <v>90</v>
      </c>
      <c r="L92" s="65">
        <v>236.10000000000014</v>
      </c>
    </row>
    <row r="93" spans="11:12" x14ac:dyDescent="0.45">
      <c r="K93" s="7">
        <v>91</v>
      </c>
      <c r="L93" s="65">
        <v>240.30000000000013</v>
      </c>
    </row>
    <row r="94" spans="11:12" x14ac:dyDescent="0.45">
      <c r="K94" s="7">
        <v>92</v>
      </c>
      <c r="L94" s="65">
        <v>286.50000000000011</v>
      </c>
    </row>
    <row r="95" spans="11:12" x14ac:dyDescent="0.45">
      <c r="K95" s="7">
        <v>93</v>
      </c>
      <c r="L95" s="65">
        <v>263.30000000000013</v>
      </c>
    </row>
    <row r="96" spans="11:12" x14ac:dyDescent="0.45">
      <c r="K96" s="7">
        <v>94</v>
      </c>
      <c r="L96" s="65">
        <v>299.60000000000014</v>
      </c>
    </row>
    <row r="97" spans="11:12" x14ac:dyDescent="0.45">
      <c r="K97" s="7">
        <v>95</v>
      </c>
      <c r="L97" s="65">
        <v>335.30000000000013</v>
      </c>
    </row>
    <row r="98" spans="11:12" x14ac:dyDescent="0.45">
      <c r="K98" s="7">
        <v>96</v>
      </c>
      <c r="L98" s="65">
        <v>335.40000000000015</v>
      </c>
    </row>
    <row r="99" spans="11:12" x14ac:dyDescent="0.45">
      <c r="K99" s="7">
        <v>97</v>
      </c>
      <c r="L99" s="65">
        <v>334.70000000000016</v>
      </c>
    </row>
    <row r="100" spans="11:12" x14ac:dyDescent="0.45">
      <c r="K100" s="7">
        <v>98</v>
      </c>
      <c r="L100" s="65">
        <v>349.00000000000017</v>
      </c>
    </row>
    <row r="101" spans="11:12" x14ac:dyDescent="0.45">
      <c r="K101" s="7">
        <v>99</v>
      </c>
      <c r="L101" s="65">
        <v>386.70000000000016</v>
      </c>
    </row>
    <row r="102" spans="11:12" x14ac:dyDescent="0.45">
      <c r="K102" s="7">
        <v>100</v>
      </c>
      <c r="L102" s="65">
        <v>350.30000000000018</v>
      </c>
    </row>
    <row r="103" spans="11:12" x14ac:dyDescent="0.45">
      <c r="K103" s="7">
        <v>101</v>
      </c>
      <c r="L103" s="65">
        <v>344.9000000000002</v>
      </c>
    </row>
    <row r="104" spans="11:12" x14ac:dyDescent="0.45">
      <c r="K104" s="7">
        <v>102</v>
      </c>
      <c r="L104" s="65">
        <v>359.50000000000023</v>
      </c>
    </row>
    <row r="105" spans="11:12" x14ac:dyDescent="0.45">
      <c r="K105" s="7">
        <v>103</v>
      </c>
      <c r="L105" s="65">
        <v>402.30000000000024</v>
      </c>
    </row>
    <row r="106" spans="11:12" x14ac:dyDescent="0.45">
      <c r="K106" s="7">
        <v>104</v>
      </c>
      <c r="L106" s="65">
        <v>408.90000000000026</v>
      </c>
    </row>
    <row r="107" spans="11:12" x14ac:dyDescent="0.45">
      <c r="K107" s="7">
        <v>105</v>
      </c>
      <c r="L107" s="65">
        <v>372.30000000000024</v>
      </c>
    </row>
    <row r="108" spans="11:12" x14ac:dyDescent="0.45">
      <c r="K108" s="7">
        <v>106</v>
      </c>
      <c r="L108" s="65">
        <v>395.80000000000024</v>
      </c>
    </row>
    <row r="109" spans="11:12" x14ac:dyDescent="0.45">
      <c r="K109" s="7">
        <v>107</v>
      </c>
      <c r="L109" s="65">
        <v>438.20000000000022</v>
      </c>
    </row>
    <row r="110" spans="11:12" x14ac:dyDescent="0.45">
      <c r="K110" s="7">
        <v>108</v>
      </c>
      <c r="L110" s="65">
        <v>471.10000000000019</v>
      </c>
    </row>
    <row r="111" spans="11:12" x14ac:dyDescent="0.45">
      <c r="K111" s="7">
        <v>109</v>
      </c>
      <c r="L111" s="65">
        <v>509.00000000000017</v>
      </c>
    </row>
    <row r="112" spans="11:12" x14ac:dyDescent="0.45">
      <c r="K112" s="7">
        <v>110</v>
      </c>
      <c r="L112" s="65">
        <v>522.50000000000023</v>
      </c>
    </row>
    <row r="113" spans="11:12" x14ac:dyDescent="0.45">
      <c r="K113" s="7">
        <v>111</v>
      </c>
      <c r="L113" s="65">
        <v>600.80000000000018</v>
      </c>
    </row>
    <row r="114" spans="11:12" x14ac:dyDescent="0.45">
      <c r="K114" s="7">
        <v>112</v>
      </c>
      <c r="L114" s="65">
        <v>616.4000000000002</v>
      </c>
    </row>
    <row r="115" spans="11:12" x14ac:dyDescent="0.45">
      <c r="K115" s="7">
        <v>113</v>
      </c>
      <c r="L115" s="65">
        <v>638.10000000000025</v>
      </c>
    </row>
    <row r="116" spans="11:12" x14ac:dyDescent="0.45">
      <c r="K116" s="7">
        <v>114</v>
      </c>
      <c r="L116" s="65">
        <v>637.10000000000025</v>
      </c>
    </row>
    <row r="117" spans="11:12" x14ac:dyDescent="0.45">
      <c r="K117" s="7">
        <v>115</v>
      </c>
      <c r="L117" s="65">
        <v>581.10000000000025</v>
      </c>
    </row>
    <row r="118" spans="11:12" x14ac:dyDescent="0.45">
      <c r="K118" s="7">
        <v>116</v>
      </c>
      <c r="L118" s="65">
        <v>558.8000000000003</v>
      </c>
    </row>
    <row r="119" spans="11:12" x14ac:dyDescent="0.45">
      <c r="K119" s="7">
        <v>117</v>
      </c>
      <c r="L119" s="65">
        <v>619.00000000000034</v>
      </c>
    </row>
    <row r="120" spans="11:12" x14ac:dyDescent="0.45">
      <c r="K120" s="7">
        <v>118</v>
      </c>
      <c r="L120" s="65">
        <v>706.10000000000036</v>
      </c>
    </row>
    <row r="121" spans="11:12" x14ac:dyDescent="0.45">
      <c r="K121" s="7">
        <v>119</v>
      </c>
      <c r="L121" s="65">
        <v>672.80000000000041</v>
      </c>
    </row>
    <row r="122" spans="11:12" x14ac:dyDescent="0.45">
      <c r="K122" s="7">
        <v>120</v>
      </c>
      <c r="L122" s="65">
        <v>622.40000000000043</v>
      </c>
    </row>
    <row r="123" spans="11:12" x14ac:dyDescent="0.45">
      <c r="K123" s="7">
        <v>121</v>
      </c>
      <c r="L123" s="65">
        <v>623.70000000000039</v>
      </c>
    </row>
    <row r="124" spans="11:12" x14ac:dyDescent="0.45">
      <c r="K124" s="7">
        <v>122</v>
      </c>
      <c r="L124" s="65">
        <v>609.30000000000041</v>
      </c>
    </row>
    <row r="125" spans="11:12" x14ac:dyDescent="0.45">
      <c r="K125" s="7">
        <v>123</v>
      </c>
      <c r="L125" s="65">
        <v>621.50000000000045</v>
      </c>
    </row>
    <row r="126" spans="11:12" x14ac:dyDescent="0.45">
      <c r="K126" s="7">
        <v>124</v>
      </c>
      <c r="L126" s="65">
        <v>571.00000000000045</v>
      </c>
    </row>
    <row r="127" spans="11:12" x14ac:dyDescent="0.45">
      <c r="K127" s="7">
        <v>125</v>
      </c>
      <c r="L127" s="65">
        <v>505.50000000000045</v>
      </c>
    </row>
    <row r="128" spans="11:12" x14ac:dyDescent="0.45">
      <c r="K128" s="7">
        <v>126</v>
      </c>
      <c r="L128" s="65">
        <v>475.00000000000045</v>
      </c>
    </row>
    <row r="129" spans="11:12" x14ac:dyDescent="0.45">
      <c r="K129" s="7">
        <v>127</v>
      </c>
      <c r="L129" s="65">
        <v>531.30000000000041</v>
      </c>
    </row>
    <row r="130" spans="11:12" x14ac:dyDescent="0.45">
      <c r="K130" s="7">
        <v>128</v>
      </c>
      <c r="L130" s="65">
        <v>494.10000000000042</v>
      </c>
    </row>
    <row r="131" spans="11:12" x14ac:dyDescent="0.45">
      <c r="K131" s="7">
        <v>129</v>
      </c>
      <c r="L131" s="65">
        <v>529.80000000000041</v>
      </c>
    </row>
    <row r="132" spans="11:12" x14ac:dyDescent="0.45">
      <c r="K132" s="7">
        <v>130</v>
      </c>
      <c r="L132" s="65">
        <v>512.20000000000039</v>
      </c>
    </row>
    <row r="133" spans="11:12" x14ac:dyDescent="0.45">
      <c r="K133" s="7">
        <v>131</v>
      </c>
      <c r="L133" s="65">
        <v>465.20000000000039</v>
      </c>
    </row>
    <row r="134" spans="11:12" x14ac:dyDescent="0.45">
      <c r="K134" s="7">
        <v>132</v>
      </c>
      <c r="L134" s="65">
        <v>452.20000000000039</v>
      </c>
    </row>
    <row r="135" spans="11:12" x14ac:dyDescent="0.45">
      <c r="K135" s="7">
        <v>133</v>
      </c>
      <c r="L135" s="65">
        <v>512.90000000000043</v>
      </c>
    </row>
    <row r="136" spans="11:12" x14ac:dyDescent="0.45">
      <c r="K136" s="7">
        <v>134</v>
      </c>
      <c r="L136" s="65">
        <v>544.10000000000048</v>
      </c>
    </row>
    <row r="137" spans="11:12" x14ac:dyDescent="0.45">
      <c r="K137" s="7">
        <v>135</v>
      </c>
      <c r="L137" s="65">
        <v>548.60000000000048</v>
      </c>
    </row>
    <row r="138" spans="11:12" x14ac:dyDescent="0.45">
      <c r="K138" s="7">
        <v>136</v>
      </c>
      <c r="L138" s="65">
        <v>555.10000000000048</v>
      </c>
    </row>
    <row r="139" spans="11:12" x14ac:dyDescent="0.45">
      <c r="K139" s="7">
        <v>137</v>
      </c>
      <c r="L139" s="65">
        <v>588.50000000000045</v>
      </c>
    </row>
    <row r="140" spans="11:12" x14ac:dyDescent="0.45">
      <c r="K140" s="7">
        <v>138</v>
      </c>
      <c r="L140" s="65">
        <v>556.7000000000005</v>
      </c>
    </row>
    <row r="141" spans="11:12" x14ac:dyDescent="0.45">
      <c r="K141" s="7">
        <v>139</v>
      </c>
      <c r="L141" s="65">
        <v>581.90000000000055</v>
      </c>
    </row>
    <row r="142" spans="11:12" x14ac:dyDescent="0.45">
      <c r="K142" s="7">
        <v>140</v>
      </c>
      <c r="L142" s="65">
        <v>587.90000000000055</v>
      </c>
    </row>
    <row r="143" spans="11:12" x14ac:dyDescent="0.45">
      <c r="K143" s="7">
        <v>141</v>
      </c>
      <c r="L143" s="65">
        <v>534.90000000000055</v>
      </c>
    </row>
    <row r="144" spans="11:12" x14ac:dyDescent="0.45">
      <c r="K144" s="7">
        <v>142</v>
      </c>
      <c r="L144" s="65">
        <v>551.50000000000057</v>
      </c>
    </row>
    <row r="145" spans="11:12" x14ac:dyDescent="0.45">
      <c r="K145" s="7">
        <v>143</v>
      </c>
      <c r="L145" s="65">
        <v>528.30000000000052</v>
      </c>
    </row>
    <row r="146" spans="11:12" x14ac:dyDescent="0.45">
      <c r="K146" s="7">
        <v>144</v>
      </c>
      <c r="L146" s="65">
        <v>480.90000000000055</v>
      </c>
    </row>
    <row r="147" spans="11:12" x14ac:dyDescent="0.45">
      <c r="K147" s="7">
        <v>145</v>
      </c>
      <c r="L147" s="65">
        <v>496.00000000000057</v>
      </c>
    </row>
    <row r="148" spans="11:12" x14ac:dyDescent="0.45">
      <c r="K148" s="7">
        <v>146</v>
      </c>
      <c r="L148" s="65">
        <v>449.90000000000055</v>
      </c>
    </row>
    <row r="149" spans="11:12" x14ac:dyDescent="0.45">
      <c r="K149" s="7">
        <v>147</v>
      </c>
      <c r="L149" s="65">
        <v>524.00000000000057</v>
      </c>
    </row>
    <row r="150" spans="11:12" x14ac:dyDescent="0.45">
      <c r="K150" s="7">
        <v>148</v>
      </c>
      <c r="L150" s="65">
        <v>514.50000000000057</v>
      </c>
    </row>
    <row r="151" spans="11:12" x14ac:dyDescent="0.45">
      <c r="K151" s="7">
        <v>149</v>
      </c>
      <c r="L151" s="65">
        <v>570.00000000000057</v>
      </c>
    </row>
    <row r="152" spans="11:12" x14ac:dyDescent="0.45">
      <c r="K152" s="7">
        <v>150</v>
      </c>
      <c r="L152" s="65">
        <v>598.20000000000061</v>
      </c>
    </row>
    <row r="153" spans="11:12" x14ac:dyDescent="0.45">
      <c r="K153" s="7">
        <v>151</v>
      </c>
      <c r="L153" s="65">
        <v>593.50000000000057</v>
      </c>
    </row>
    <row r="154" spans="11:12" x14ac:dyDescent="0.45">
      <c r="K154" s="7">
        <v>152</v>
      </c>
      <c r="L154" s="65">
        <v>623.50000000000057</v>
      </c>
    </row>
    <row r="155" spans="11:12" x14ac:dyDescent="0.45">
      <c r="K155" s="7">
        <v>153</v>
      </c>
      <c r="L155" s="65">
        <v>682.50000000000057</v>
      </c>
    </row>
    <row r="156" spans="11:12" x14ac:dyDescent="0.45">
      <c r="K156" s="7">
        <v>154</v>
      </c>
      <c r="L156" s="65">
        <v>699.00000000000057</v>
      </c>
    </row>
    <row r="157" spans="11:12" x14ac:dyDescent="0.45">
      <c r="K157" s="7">
        <v>155</v>
      </c>
      <c r="L157" s="65">
        <v>713.80000000000052</v>
      </c>
    </row>
    <row r="158" spans="11:12" x14ac:dyDescent="0.45">
      <c r="K158" s="7">
        <v>156</v>
      </c>
      <c r="L158" s="65">
        <v>695.10000000000048</v>
      </c>
    </row>
    <row r="159" spans="11:12" x14ac:dyDescent="0.45">
      <c r="K159" s="7">
        <v>157</v>
      </c>
      <c r="L159" s="65">
        <v>756.00000000000045</v>
      </c>
    </row>
    <row r="160" spans="11:12" x14ac:dyDescent="0.45">
      <c r="K160" s="7">
        <v>158</v>
      </c>
      <c r="L160" s="65">
        <v>741.60000000000048</v>
      </c>
    </row>
    <row r="161" spans="11:12" x14ac:dyDescent="0.45">
      <c r="K161" s="7">
        <v>159</v>
      </c>
      <c r="L161" s="65">
        <v>699.60000000000048</v>
      </c>
    </row>
    <row r="162" spans="11:12" x14ac:dyDescent="0.45">
      <c r="K162" s="7">
        <v>160</v>
      </c>
      <c r="L162" s="65">
        <v>756.00000000000045</v>
      </c>
    </row>
    <row r="163" spans="11:12" x14ac:dyDescent="0.45">
      <c r="K163" s="7">
        <v>161</v>
      </c>
      <c r="L163" s="65">
        <v>796.40000000000043</v>
      </c>
    </row>
    <row r="164" spans="11:12" x14ac:dyDescent="0.45">
      <c r="K164" s="7">
        <v>162</v>
      </c>
      <c r="L164" s="65">
        <v>777.80000000000041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64263-9889-4381-B55F-EF9E9388E37D}">
  <sheetPr codeName="Sheet17"/>
  <dimension ref="A1:Q166"/>
  <sheetViews>
    <sheetView showGridLines="0" topLeftCell="A11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164</v>
      </c>
      <c r="C2" s="130"/>
      <c r="E2" s="28" t="s">
        <v>66</v>
      </c>
      <c r="F2" s="25" t="s">
        <v>22</v>
      </c>
      <c r="G2" s="13">
        <v>272</v>
      </c>
      <c r="H2" s="91">
        <f>IF(B$19=0,0,G2/B$19)</f>
        <v>0.73712737127371275</v>
      </c>
      <c r="I2" s="59">
        <v>7</v>
      </c>
      <c r="K2" s="5">
        <v>0</v>
      </c>
      <c r="L2" s="64">
        <v>0</v>
      </c>
      <c r="N2" s="77" t="s">
        <v>130</v>
      </c>
      <c r="O2" s="83">
        <f t="shared" ref="O2:O7" si="0">IF(P2=0,0,Q2/P2)</f>
        <v>-228.65853658536585</v>
      </c>
      <c r="P2" s="80">
        <v>164</v>
      </c>
      <c r="Q2" s="67">
        <v>-37500</v>
      </c>
    </row>
    <row r="3" spans="1:17" x14ac:dyDescent="0.45">
      <c r="A3" s="21" t="s">
        <v>8</v>
      </c>
      <c r="B3" s="131">
        <v>1334</v>
      </c>
      <c r="C3" s="132"/>
      <c r="E3" s="29" t="s">
        <v>72</v>
      </c>
      <c r="F3" s="26" t="s">
        <v>27</v>
      </c>
      <c r="G3" s="14">
        <v>203</v>
      </c>
      <c r="H3" s="92">
        <f>IF(B$19=0,0,G3/B$19)</f>
        <v>0.55013550135501355</v>
      </c>
      <c r="I3" s="60">
        <v>6</v>
      </c>
      <c r="K3" s="7">
        <v>1</v>
      </c>
      <c r="L3" s="65">
        <v>46.9</v>
      </c>
      <c r="N3" s="78" t="s">
        <v>131</v>
      </c>
      <c r="O3" s="84">
        <f t="shared" si="0"/>
        <v>545.96273291925468</v>
      </c>
      <c r="P3" s="81">
        <v>161</v>
      </c>
      <c r="Q3" s="68">
        <v>87900</v>
      </c>
    </row>
    <row r="4" spans="1:17" x14ac:dyDescent="0.45">
      <c r="A4" s="21" t="s">
        <v>6</v>
      </c>
      <c r="B4" s="133">
        <v>-64.699999999999989</v>
      </c>
      <c r="C4" s="134"/>
      <c r="E4" s="29" t="s">
        <v>64</v>
      </c>
      <c r="F4" s="26" t="s">
        <v>20</v>
      </c>
      <c r="G4" s="14">
        <v>178</v>
      </c>
      <c r="H4" s="92">
        <f>IF(B$19=0,0,G4/B$19)</f>
        <v>0.4823848238482385</v>
      </c>
      <c r="I4" s="60">
        <v>8</v>
      </c>
      <c r="K4" s="7">
        <v>2</v>
      </c>
      <c r="L4" s="65">
        <v>8.1000000000000014</v>
      </c>
      <c r="N4" s="78" t="s">
        <v>132</v>
      </c>
      <c r="O4" s="84">
        <f t="shared" si="0"/>
        <v>261.84210526315792</v>
      </c>
      <c r="P4" s="81">
        <v>152</v>
      </c>
      <c r="Q4" s="68">
        <v>39800</v>
      </c>
    </row>
    <row r="5" spans="1:17" x14ac:dyDescent="0.45">
      <c r="A5" s="21" t="s">
        <v>7</v>
      </c>
      <c r="B5" s="121">
        <f>IF(B$2=0,0,B$4/B$2)</f>
        <v>-0.39451219512195113</v>
      </c>
      <c r="C5" s="122"/>
      <c r="E5" s="29" t="s">
        <v>163</v>
      </c>
      <c r="F5" s="26" t="s">
        <v>164</v>
      </c>
      <c r="G5" s="14">
        <v>165</v>
      </c>
      <c r="H5" s="92">
        <f>IF(B$19=0,0,G5/B$19)</f>
        <v>0.44715447154471544</v>
      </c>
      <c r="I5" s="60">
        <v>3</v>
      </c>
      <c r="K5" s="7">
        <v>3</v>
      </c>
      <c r="L5" s="65">
        <v>25.8</v>
      </c>
      <c r="N5" s="78" t="s">
        <v>133</v>
      </c>
      <c r="O5" s="84">
        <f t="shared" si="0"/>
        <v>-5.0724637681159424</v>
      </c>
      <c r="P5" s="81">
        <v>138</v>
      </c>
      <c r="Q5" s="68">
        <v>-700</v>
      </c>
    </row>
    <row r="6" spans="1:17" x14ac:dyDescent="0.45">
      <c r="A6" s="21" t="s">
        <v>1</v>
      </c>
      <c r="B6" s="135">
        <f>IF(B$2=0,0,(B$7*1+B$8*2+B$9*3)/B$2)</f>
        <v>2.0365853658536586</v>
      </c>
      <c r="C6" s="136"/>
      <c r="E6" s="29" t="s">
        <v>67</v>
      </c>
      <c r="F6" s="26" t="s">
        <v>23</v>
      </c>
      <c r="G6" s="14">
        <v>117</v>
      </c>
      <c r="H6" s="92">
        <f>IF(B$19=0,0,G6/B$19)</f>
        <v>0.31707317073170732</v>
      </c>
      <c r="I6" s="60">
        <v>6</v>
      </c>
      <c r="K6" s="7">
        <v>4</v>
      </c>
      <c r="L6" s="65">
        <v>-19.3</v>
      </c>
      <c r="N6" s="78" t="s">
        <v>134</v>
      </c>
      <c r="O6" s="84">
        <f t="shared" si="0"/>
        <v>168.54838709677421</v>
      </c>
      <c r="P6" s="81">
        <v>124</v>
      </c>
      <c r="Q6" s="68">
        <v>20900</v>
      </c>
    </row>
    <row r="7" spans="1:17" x14ac:dyDescent="0.45">
      <c r="A7" s="21" t="s">
        <v>2</v>
      </c>
      <c r="B7" s="14">
        <v>43</v>
      </c>
      <c r="C7" s="8">
        <f t="shared" ref="C7:C14" si="1">IF(B$2=0,0,B7/B$2)</f>
        <v>0.26219512195121952</v>
      </c>
      <c r="E7" s="29" t="s">
        <v>68</v>
      </c>
      <c r="F7" s="26" t="s">
        <v>12</v>
      </c>
      <c r="G7" s="14">
        <v>117</v>
      </c>
      <c r="H7" s="92">
        <f>IF(B$19=0,0,G7/B$19)</f>
        <v>0.31707317073170732</v>
      </c>
      <c r="I7" s="60">
        <v>5</v>
      </c>
      <c r="K7" s="7">
        <v>5</v>
      </c>
      <c r="L7" s="65">
        <v>-1.6000000000000014</v>
      </c>
      <c r="N7" s="79" t="s">
        <v>135</v>
      </c>
      <c r="O7" s="85">
        <f t="shared" si="0"/>
        <v>-824.52830188679241</v>
      </c>
      <c r="P7" s="82">
        <v>106</v>
      </c>
      <c r="Q7" s="69">
        <v>-87400</v>
      </c>
    </row>
    <row r="8" spans="1:17" x14ac:dyDescent="0.45">
      <c r="A8" s="21" t="s">
        <v>3</v>
      </c>
      <c r="B8" s="14">
        <v>72</v>
      </c>
      <c r="C8" s="8">
        <f t="shared" si="1"/>
        <v>0.43902439024390244</v>
      </c>
      <c r="E8" s="29" t="s">
        <v>89</v>
      </c>
      <c r="F8" s="26" t="s">
        <v>44</v>
      </c>
      <c r="G8" s="14">
        <v>52</v>
      </c>
      <c r="H8" s="92">
        <f>IF(B$19=0,0,G8/B$19)</f>
        <v>0.14092140921409213</v>
      </c>
      <c r="I8" s="60">
        <v>7</v>
      </c>
      <c r="K8" s="7">
        <v>6</v>
      </c>
      <c r="L8" s="65">
        <v>29.799999999999997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49</v>
      </c>
      <c r="C9" s="9">
        <f t="shared" si="1"/>
        <v>0.29878048780487804</v>
      </c>
      <c r="E9" s="29" t="s">
        <v>69</v>
      </c>
      <c r="F9" s="26" t="s">
        <v>24</v>
      </c>
      <c r="G9" s="14">
        <v>51</v>
      </c>
      <c r="H9" s="92">
        <f>IF(B$19=0,0,G9/B$19)</f>
        <v>0.13821138211382114</v>
      </c>
      <c r="I9" s="60">
        <v>8</v>
      </c>
      <c r="K9" s="7">
        <v>7</v>
      </c>
      <c r="L9" s="65">
        <v>-16.300000000000004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38.213953488372091</v>
      </c>
      <c r="C10" s="114">
        <v>1643.1999999999998</v>
      </c>
      <c r="E10" s="29" t="s">
        <v>71</v>
      </c>
      <c r="F10" s="26" t="s">
        <v>26</v>
      </c>
      <c r="G10" s="14">
        <v>37</v>
      </c>
      <c r="H10" s="92">
        <f>IF(B$19=0,0,G10/B$19)</f>
        <v>0.1002710027100271</v>
      </c>
      <c r="I10" s="60">
        <v>4</v>
      </c>
      <c r="K10" s="7">
        <v>8</v>
      </c>
      <c r="L10" s="65">
        <v>-46.7</v>
      </c>
      <c r="N10" s="77" t="s">
        <v>154</v>
      </c>
      <c r="O10" s="86">
        <f>IF(P10=0,0,Q10/P10)</f>
        <v>-2.4384615384615391</v>
      </c>
      <c r="P10" s="80">
        <v>65</v>
      </c>
      <c r="Q10" s="71">
        <v>-158.50000000000006</v>
      </c>
    </row>
    <row r="11" spans="1:17" x14ac:dyDescent="0.45">
      <c r="A11" s="22" t="s">
        <v>204</v>
      </c>
      <c r="B11" s="113">
        <f>IF(B8=0,0,C11/B8)</f>
        <v>-0.19583333333333316</v>
      </c>
      <c r="C11" s="114">
        <v>-14.099999999999987</v>
      </c>
      <c r="E11" s="29" t="s">
        <v>65</v>
      </c>
      <c r="F11" s="26" t="s">
        <v>21</v>
      </c>
      <c r="G11" s="14">
        <v>30</v>
      </c>
      <c r="H11" s="92">
        <f>IF(B$19=0,0,G11/B$19)</f>
        <v>8.1300813008130079E-2</v>
      </c>
      <c r="I11" s="60">
        <v>11</v>
      </c>
      <c r="K11" s="7">
        <v>9</v>
      </c>
      <c r="L11" s="65">
        <v>-90.9</v>
      </c>
      <c r="N11" s="78" t="s">
        <v>155</v>
      </c>
      <c r="O11" s="87">
        <f>IF(P11=0,0,Q11/P11)</f>
        <v>1.2560000000000004</v>
      </c>
      <c r="P11" s="81">
        <v>50</v>
      </c>
      <c r="Q11" s="72">
        <v>62.800000000000026</v>
      </c>
    </row>
    <row r="12" spans="1:17" x14ac:dyDescent="0.45">
      <c r="A12" s="22" t="s">
        <v>205</v>
      </c>
      <c r="B12" s="113">
        <f>IF(B9=0,0,C12/B9)</f>
        <v>-34.567346938775508</v>
      </c>
      <c r="C12" s="114">
        <v>-1693.7999999999997</v>
      </c>
      <c r="E12" s="29" t="s">
        <v>70</v>
      </c>
      <c r="F12" s="26" t="s">
        <v>25</v>
      </c>
      <c r="G12" s="14">
        <v>27</v>
      </c>
      <c r="H12" s="92">
        <f>IF(B$19=0,0,G12/B$19)</f>
        <v>7.3170731707317069E-2</v>
      </c>
      <c r="I12" s="60">
        <v>11</v>
      </c>
      <c r="K12" s="7">
        <v>10</v>
      </c>
      <c r="L12" s="65">
        <v>-146.69999999999999</v>
      </c>
      <c r="N12" s="79" t="s">
        <v>156</v>
      </c>
      <c r="O12" s="88">
        <f>IF(P12=0,0,Q12/P12)</f>
        <v>0.6326530612244895</v>
      </c>
      <c r="P12" s="82">
        <v>49</v>
      </c>
      <c r="Q12" s="73">
        <v>30.999999999999986</v>
      </c>
    </row>
    <row r="13" spans="1:17" x14ac:dyDescent="0.45">
      <c r="A13" s="22" t="s">
        <v>206</v>
      </c>
      <c r="B13" s="121">
        <f>AVERAGE(B10:B12)</f>
        <v>1.1502577387544168</v>
      </c>
      <c r="C13" s="122"/>
      <c r="E13" s="29" t="s">
        <v>86</v>
      </c>
      <c r="F13" s="26" t="s">
        <v>41</v>
      </c>
      <c r="G13" s="14">
        <v>18</v>
      </c>
      <c r="H13" s="92">
        <f>IF(B$19=0,0,G13/B$19)</f>
        <v>4.878048780487805E-2</v>
      </c>
      <c r="I13" s="60">
        <v>6</v>
      </c>
      <c r="K13" s="7">
        <v>11</v>
      </c>
      <c r="L13" s="65">
        <v>-114.99999999999999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14</v>
      </c>
      <c r="C14" s="11">
        <f t="shared" si="1"/>
        <v>8.5365853658536592E-2</v>
      </c>
      <c r="E14" s="29" t="s">
        <v>83</v>
      </c>
      <c r="F14" s="26" t="s">
        <v>38</v>
      </c>
      <c r="G14" s="14">
        <v>15</v>
      </c>
      <c r="H14" s="92">
        <f>IF(B$19=0,0,G14/B$19)</f>
        <v>4.065040650406504E-2</v>
      </c>
      <c r="I14" s="60">
        <v>9</v>
      </c>
      <c r="K14" s="7">
        <v>12</v>
      </c>
      <c r="L14" s="65">
        <v>-118.39999999999999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337</v>
      </c>
      <c r="C15" s="12">
        <f>IF(B$3=0,0,B15/B$3)</f>
        <v>0.25262368815592207</v>
      </c>
      <c r="E15" s="29" t="s">
        <v>78</v>
      </c>
      <c r="F15" s="26" t="s">
        <v>33</v>
      </c>
      <c r="G15" s="14">
        <v>8</v>
      </c>
      <c r="H15" s="92">
        <f>IF(B$19=0,0,G15/B$19)</f>
        <v>2.1680216802168022E-2</v>
      </c>
      <c r="I15" s="60">
        <v>7</v>
      </c>
      <c r="K15" s="7">
        <v>13</v>
      </c>
      <c r="L15" s="65">
        <v>-68.399999999999991</v>
      </c>
      <c r="N15" s="77" t="s">
        <v>201</v>
      </c>
      <c r="O15" s="86">
        <f>IF(P15=0,0,Q15/P15)</f>
        <v>53.179999999999993</v>
      </c>
      <c r="P15" s="80">
        <v>5</v>
      </c>
      <c r="Q15" s="71">
        <v>265.89999999999998</v>
      </c>
    </row>
    <row r="16" spans="1:17" x14ac:dyDescent="0.45">
      <c r="A16" s="21" t="s">
        <v>118</v>
      </c>
      <c r="B16" s="14">
        <v>306</v>
      </c>
      <c r="C16" s="8">
        <f>IF(B$3=0,0,B16/B$3)</f>
        <v>0.22938530734632684</v>
      </c>
      <c r="E16" s="29" t="s">
        <v>79</v>
      </c>
      <c r="F16" s="26" t="s">
        <v>34</v>
      </c>
      <c r="G16" s="14">
        <v>7</v>
      </c>
      <c r="H16" s="92">
        <f>IF(B$19=0,0,G16/B$19)</f>
        <v>1.8970189701897018E-2</v>
      </c>
      <c r="I16" s="60">
        <v>4</v>
      </c>
      <c r="K16" s="7">
        <v>14</v>
      </c>
      <c r="L16" s="65">
        <v>-25.79999999999999</v>
      </c>
      <c r="N16" s="78" t="s">
        <v>202</v>
      </c>
      <c r="O16" s="87">
        <f>IF(P16=0,0,Q16/P16)</f>
        <v>27.200000000000003</v>
      </c>
      <c r="P16" s="81">
        <v>1</v>
      </c>
      <c r="Q16" s="72">
        <v>27.200000000000003</v>
      </c>
    </row>
    <row r="17" spans="1:17" x14ac:dyDescent="0.45">
      <c r="A17" s="20" t="s">
        <v>123</v>
      </c>
      <c r="B17" s="13">
        <f>B23</f>
        <v>184</v>
      </c>
      <c r="C17" s="6">
        <f>IF(B$15=0,0,B17/B$15)</f>
        <v>0.54599406528189909</v>
      </c>
      <c r="E17" s="29" t="s">
        <v>159</v>
      </c>
      <c r="F17" s="26" t="s">
        <v>160</v>
      </c>
      <c r="G17" s="14">
        <v>6</v>
      </c>
      <c r="H17" s="92">
        <f>IF(B$19=0,0,G17/B$19)</f>
        <v>1.6260162601626018E-2</v>
      </c>
      <c r="I17" s="60">
        <v>4</v>
      </c>
      <c r="K17" s="7">
        <v>15</v>
      </c>
      <c r="L17" s="65">
        <v>-35.499999999999986</v>
      </c>
      <c r="N17" s="78" t="s">
        <v>195</v>
      </c>
      <c r="O17" s="87">
        <f>IF(P17=0,0,Q17/P17)</f>
        <v>16.860714285714284</v>
      </c>
      <c r="P17" s="81">
        <v>28</v>
      </c>
      <c r="Q17" s="72">
        <v>472.09999999999997</v>
      </c>
    </row>
    <row r="18" spans="1:17" x14ac:dyDescent="0.45">
      <c r="A18" s="20" t="s">
        <v>124</v>
      </c>
      <c r="B18" s="13">
        <f>B24</f>
        <v>129</v>
      </c>
      <c r="C18" s="6">
        <f>IF(B$16=0,0,B18/B$16)</f>
        <v>0.42156862745098039</v>
      </c>
      <c r="E18" s="29" t="s">
        <v>73</v>
      </c>
      <c r="F18" s="26" t="s">
        <v>28</v>
      </c>
      <c r="G18" s="14">
        <v>5</v>
      </c>
      <c r="H18" s="92">
        <f>IF(B$19=0,0,G18/B$19)</f>
        <v>1.3550135501355014E-2</v>
      </c>
      <c r="I18" s="60">
        <v>1</v>
      </c>
      <c r="K18" s="7">
        <v>16</v>
      </c>
      <c r="L18" s="65">
        <v>-35.599999999999987</v>
      </c>
      <c r="N18" s="78" t="s">
        <v>169</v>
      </c>
      <c r="O18" s="87">
        <f>IF(P18=0,0,Q18/P18)</f>
        <v>15.66923076923077</v>
      </c>
      <c r="P18" s="81">
        <v>26</v>
      </c>
      <c r="Q18" s="72">
        <v>407.40000000000003</v>
      </c>
    </row>
    <row r="19" spans="1:17" x14ac:dyDescent="0.45">
      <c r="A19" s="20" t="s">
        <v>10</v>
      </c>
      <c r="B19" s="13">
        <f>B22+B21</f>
        <v>369</v>
      </c>
      <c r="C19" s="6">
        <f>IF(B$3=0,0,B19/B$3)</f>
        <v>0.27661169415292353</v>
      </c>
      <c r="E19" s="29" t="s">
        <v>81</v>
      </c>
      <c r="F19" s="26" t="s">
        <v>36</v>
      </c>
      <c r="G19" s="14">
        <v>5</v>
      </c>
      <c r="H19" s="92">
        <f>IF(B$19=0,0,G19/B$19)</f>
        <v>1.3550135501355014E-2</v>
      </c>
      <c r="I19" s="60">
        <v>9</v>
      </c>
      <c r="K19" s="7">
        <v>17</v>
      </c>
      <c r="L19" s="65">
        <v>-29.799999999999986</v>
      </c>
      <c r="N19" s="78" t="s">
        <v>194</v>
      </c>
      <c r="O19" s="87">
        <f>IF(P19=0,0,Q19/P19)</f>
        <v>5.6999999999999984</v>
      </c>
      <c r="P19" s="81">
        <v>5</v>
      </c>
      <c r="Q19" s="72">
        <v>28.499999999999993</v>
      </c>
    </row>
    <row r="20" spans="1:17" x14ac:dyDescent="0.45">
      <c r="A20" s="21" t="s">
        <v>13</v>
      </c>
      <c r="B20" s="14">
        <v>186</v>
      </c>
      <c r="C20" s="8">
        <f>IF(B$3=0,0,B20/B$3)</f>
        <v>0.13943028485757122</v>
      </c>
      <c r="E20" s="29" t="s">
        <v>85</v>
      </c>
      <c r="F20" s="26" t="s">
        <v>40</v>
      </c>
      <c r="G20" s="14">
        <v>4</v>
      </c>
      <c r="H20" s="92">
        <f>IF(B$19=0,0,G20/B$19)</f>
        <v>1.0840108401084011E-2</v>
      </c>
      <c r="I20" s="60">
        <v>4</v>
      </c>
      <c r="K20" s="7">
        <v>18</v>
      </c>
      <c r="L20" s="65">
        <v>-62.399999999999991</v>
      </c>
      <c r="N20" s="78" t="s">
        <v>281</v>
      </c>
      <c r="O20" s="87">
        <f>IF(P20=0,0,Q20/P20)</f>
        <v>4.7999999999999989</v>
      </c>
      <c r="P20" s="81">
        <v>2</v>
      </c>
      <c r="Q20" s="72">
        <v>9.5999999999999979</v>
      </c>
    </row>
    <row r="21" spans="1:17" x14ac:dyDescent="0.45">
      <c r="A21" s="21" t="s">
        <v>12</v>
      </c>
      <c r="B21" s="14">
        <v>168</v>
      </c>
      <c r="C21" s="8">
        <f>IF(B$19=0,0,B21/B$19)</f>
        <v>0.45528455284552843</v>
      </c>
      <c r="E21" s="29" t="s">
        <v>91</v>
      </c>
      <c r="F21" s="26" t="s">
        <v>46</v>
      </c>
      <c r="G21" s="14">
        <v>4</v>
      </c>
      <c r="H21" s="92">
        <f>IF(B$19=0,0,G21/B$19)</f>
        <v>1.0840108401084011E-2</v>
      </c>
      <c r="I21" s="60">
        <v>7</v>
      </c>
      <c r="K21" s="7">
        <v>19</v>
      </c>
      <c r="L21" s="65">
        <v>-56.399999999999991</v>
      </c>
      <c r="N21" s="78" t="s">
        <v>127</v>
      </c>
      <c r="O21" s="87">
        <f>IF(P21=0,0,Q21/P21)</f>
        <v>3.9469696969696968</v>
      </c>
      <c r="P21" s="81">
        <v>66</v>
      </c>
      <c r="Q21" s="72">
        <v>260.5</v>
      </c>
    </row>
    <row r="22" spans="1:17" x14ac:dyDescent="0.45">
      <c r="A22" s="21" t="s">
        <v>11</v>
      </c>
      <c r="B22" s="14">
        <v>201</v>
      </c>
      <c r="C22" s="8">
        <f>IF(B$19=0,0,B22/B$19)</f>
        <v>0.54471544715447151</v>
      </c>
      <c r="E22" s="29" t="s">
        <v>92</v>
      </c>
      <c r="F22" s="26" t="s">
        <v>47</v>
      </c>
      <c r="G22" s="14">
        <v>3</v>
      </c>
      <c r="H22" s="92">
        <f>IF(B$19=0,0,G22/B$19)</f>
        <v>8.130081300813009E-3</v>
      </c>
      <c r="I22" s="60">
        <v>3</v>
      </c>
      <c r="K22" s="7">
        <v>20</v>
      </c>
      <c r="L22" s="65">
        <v>-93.199999999999989</v>
      </c>
      <c r="N22" s="78" t="s">
        <v>158</v>
      </c>
      <c r="O22" s="87">
        <f>IF(P22=0,0,Q22/P22)</f>
        <v>2.4666666666666668</v>
      </c>
      <c r="P22" s="81">
        <v>33</v>
      </c>
      <c r="Q22" s="72">
        <v>81.400000000000006</v>
      </c>
    </row>
    <row r="23" spans="1:17" x14ac:dyDescent="0.45">
      <c r="A23" s="21" t="s">
        <v>192</v>
      </c>
      <c r="B23" s="14">
        <v>184</v>
      </c>
      <c r="C23" s="8">
        <f>IF(B$19=0,0,B23/B$19)</f>
        <v>0.49864498644986449</v>
      </c>
      <c r="E23" s="29" t="s">
        <v>75</v>
      </c>
      <c r="F23" s="26" t="s">
        <v>30</v>
      </c>
      <c r="G23" s="14">
        <v>2</v>
      </c>
      <c r="H23" s="92">
        <f>IF(B$19=0,0,G23/B$19)</f>
        <v>5.4200542005420054E-3</v>
      </c>
      <c r="I23" s="60">
        <v>8</v>
      </c>
      <c r="K23" s="7">
        <v>21</v>
      </c>
      <c r="L23" s="65">
        <v>-123.69999999999999</v>
      </c>
      <c r="N23" s="78" t="s">
        <v>167</v>
      </c>
      <c r="O23" s="87">
        <f>IF(P23=0,0,Q23/P23)</f>
        <v>-8.1986486486486463</v>
      </c>
      <c r="P23" s="81">
        <v>74</v>
      </c>
      <c r="Q23" s="72">
        <v>-606.69999999999982</v>
      </c>
    </row>
    <row r="24" spans="1:17" x14ac:dyDescent="0.45">
      <c r="A24" s="21" t="s">
        <v>190</v>
      </c>
      <c r="B24" s="14">
        <v>129</v>
      </c>
      <c r="C24" s="8">
        <f>IF(B$19=0,0,B24/B$19)</f>
        <v>0.34959349593495936</v>
      </c>
      <c r="E24" s="29" t="s">
        <v>88</v>
      </c>
      <c r="F24" s="26" t="s">
        <v>43</v>
      </c>
      <c r="G24" s="14">
        <v>2</v>
      </c>
      <c r="H24" s="92">
        <f>IF(B$19=0,0,G24/B$19)</f>
        <v>5.4200542005420054E-3</v>
      </c>
      <c r="I24" s="60">
        <v>2</v>
      </c>
      <c r="K24" s="7">
        <v>22</v>
      </c>
      <c r="L24" s="65">
        <v>-66.999999999999986</v>
      </c>
      <c r="N24" s="78" t="s">
        <v>126</v>
      </c>
      <c r="O24" s="87">
        <f>IF(P24=0,0,Q24/P24)</f>
        <v>-12.032142857142862</v>
      </c>
      <c r="P24" s="81">
        <v>84</v>
      </c>
      <c r="Q24" s="72">
        <v>-1010.7000000000004</v>
      </c>
    </row>
    <row r="25" spans="1:17" x14ac:dyDescent="0.45">
      <c r="A25" s="21" t="s">
        <v>191</v>
      </c>
      <c r="B25" s="14">
        <v>56</v>
      </c>
      <c r="C25" s="8">
        <f>IF(B$19=0,0,B25/B$19)</f>
        <v>0.15176151761517614</v>
      </c>
      <c r="E25" s="29" t="s">
        <v>74</v>
      </c>
      <c r="F25" s="26" t="s">
        <v>29</v>
      </c>
      <c r="G25" s="14">
        <v>1</v>
      </c>
      <c r="H25" s="92">
        <f>IF(B$19=0,0,G25/B$19)</f>
        <v>2.7100271002710027E-3</v>
      </c>
      <c r="I25" s="60">
        <v>6</v>
      </c>
      <c r="K25" s="7">
        <v>23</v>
      </c>
      <c r="L25" s="65">
        <v>-59.599999999999987</v>
      </c>
      <c r="N25" s="78" t="s">
        <v>275</v>
      </c>
      <c r="O25" s="87">
        <f>IF(P25=0,0,Q25/P25)</f>
        <v>-32.325000000000003</v>
      </c>
      <c r="P25" s="81">
        <v>4</v>
      </c>
      <c r="Q25" s="72">
        <v>-129.30000000000001</v>
      </c>
    </row>
    <row r="26" spans="1:17" x14ac:dyDescent="0.45">
      <c r="A26" s="21" t="s">
        <v>5</v>
      </c>
      <c r="B26" s="18">
        <f>IF(B$19=0,0,C26/B$19)</f>
        <v>8485.3658536585372</v>
      </c>
      <c r="C26" s="10">
        <v>3131100</v>
      </c>
      <c r="E26" s="29" t="s">
        <v>87</v>
      </c>
      <c r="F26" s="26" t="s">
        <v>42</v>
      </c>
      <c r="G26" s="14">
        <v>1</v>
      </c>
      <c r="H26" s="92">
        <f>IF(B$19=0,0,G26/B$19)</f>
        <v>2.7100271002710027E-3</v>
      </c>
      <c r="I26" s="60">
        <v>4</v>
      </c>
      <c r="K26" s="7">
        <v>24</v>
      </c>
      <c r="L26" s="65">
        <v>-91.399999999999991</v>
      </c>
    </row>
    <row r="27" spans="1:17" x14ac:dyDescent="0.45">
      <c r="A27" s="22" t="s">
        <v>174</v>
      </c>
      <c r="B27" s="99">
        <f>IF($B$19-B$18=0,0,C27/($B$19-B$18))</f>
        <v>9436.6666666666661</v>
      </c>
      <c r="C27" s="100">
        <v>2264800</v>
      </c>
      <c r="E27" s="29" t="s">
        <v>93</v>
      </c>
      <c r="F27" s="26" t="s">
        <v>48</v>
      </c>
      <c r="G27" s="14">
        <v>1</v>
      </c>
      <c r="H27" s="92">
        <f>IF(B$19=0,0,G27/B$19)</f>
        <v>2.7100271002710027E-3</v>
      </c>
      <c r="I27" s="60">
        <v>3</v>
      </c>
      <c r="K27" s="7">
        <v>25</v>
      </c>
      <c r="L27" s="65">
        <v>-41.29999999999999</v>
      </c>
    </row>
    <row r="28" spans="1:17" x14ac:dyDescent="0.45">
      <c r="A28" s="22" t="s">
        <v>175</v>
      </c>
      <c r="B28" s="99">
        <f>IF(B$18=0,0,C28/B$18)</f>
        <v>6715.5038759689924</v>
      </c>
      <c r="C28" s="100">
        <v>866300</v>
      </c>
      <c r="E28" s="29" t="s">
        <v>101</v>
      </c>
      <c r="F28" s="26" t="s">
        <v>56</v>
      </c>
      <c r="G28" s="14">
        <v>1</v>
      </c>
      <c r="H28" s="92">
        <f>IF(B$19=0,0,G28/B$19)</f>
        <v>2.7100271002710027E-3</v>
      </c>
      <c r="I28" s="60">
        <v>1</v>
      </c>
      <c r="K28" s="7">
        <v>26</v>
      </c>
      <c r="L28" s="65">
        <v>-54.099999999999994</v>
      </c>
    </row>
    <row r="29" spans="1:17" x14ac:dyDescent="0.45">
      <c r="A29" s="22" t="s">
        <v>173</v>
      </c>
      <c r="B29" s="99">
        <f>IF(B$20=0,0,C29/B$20)</f>
        <v>-7259.677419354839</v>
      </c>
      <c r="C29" s="100">
        <v>-1350300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-70.199999999999989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77</v>
      </c>
      <c r="F30" s="26" t="s">
        <v>32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-61.29999999999999</v>
      </c>
    </row>
    <row r="31" spans="1:17" x14ac:dyDescent="0.45">
      <c r="A31" s="21" t="s">
        <v>162</v>
      </c>
      <c r="B31" s="14">
        <v>44</v>
      </c>
      <c r="C31" s="94">
        <v>11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-109.69999999999999</v>
      </c>
    </row>
    <row r="32" spans="1:17" x14ac:dyDescent="0.45">
      <c r="A32" s="56" t="s">
        <v>138</v>
      </c>
      <c r="B32" s="123">
        <v>8</v>
      </c>
      <c r="C32" s="124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-107.29999999999998</v>
      </c>
    </row>
    <row r="33" spans="1:12" x14ac:dyDescent="0.45">
      <c r="A33" s="24" t="s">
        <v>189</v>
      </c>
      <c r="B33" s="125">
        <v>101400</v>
      </c>
      <c r="C33" s="126"/>
      <c r="E33" s="29" t="s">
        <v>84</v>
      </c>
      <c r="F33" s="26" t="s">
        <v>39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-96.799999999999983</v>
      </c>
    </row>
    <row r="34" spans="1:12" x14ac:dyDescent="0.45">
      <c r="A34" s="23" t="s">
        <v>139</v>
      </c>
      <c r="B34" s="31">
        <v>2</v>
      </c>
      <c r="C34" s="11">
        <f>IF(B$3=0,0,B34/B$3)</f>
        <v>1.4992503748125937E-3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-54.09999999999998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-48.899999999999977</v>
      </c>
    </row>
    <row r="36" spans="1:12" x14ac:dyDescent="0.45">
      <c r="A36" s="56" t="s">
        <v>180</v>
      </c>
      <c r="B36" s="119">
        <v>22</v>
      </c>
      <c r="C36" s="102">
        <f t="shared" ref="C36:C48" si="2">IF(B$19=0,0,B36/B$19)</f>
        <v>5.9620596205962058E-2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6</v>
      </c>
      <c r="K36" s="7">
        <v>34</v>
      </c>
      <c r="L36" s="65">
        <v>-63.999999999999979</v>
      </c>
    </row>
    <row r="37" spans="1:12" x14ac:dyDescent="0.45">
      <c r="A37" s="21" t="s">
        <v>176</v>
      </c>
      <c r="B37" s="14">
        <v>68</v>
      </c>
      <c r="C37" s="8">
        <f t="shared" si="2"/>
        <v>0.18428184281842819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-72.399999999999977</v>
      </c>
    </row>
    <row r="38" spans="1:12" x14ac:dyDescent="0.45">
      <c r="A38" s="21" t="s">
        <v>177</v>
      </c>
      <c r="B38" s="120">
        <v>70</v>
      </c>
      <c r="C38" s="8">
        <f t="shared" si="2"/>
        <v>0.18970189701897019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-65.399999999999977</v>
      </c>
    </row>
    <row r="39" spans="1:12" x14ac:dyDescent="0.45">
      <c r="A39" s="21" t="s">
        <v>178</v>
      </c>
      <c r="B39" s="120">
        <v>73</v>
      </c>
      <c r="C39" s="8">
        <f t="shared" si="2"/>
        <v>0.19783197831978319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-58.59999999999998</v>
      </c>
    </row>
    <row r="40" spans="1:12" x14ac:dyDescent="0.45">
      <c r="A40" s="21" t="s">
        <v>179</v>
      </c>
      <c r="B40" s="120">
        <v>51</v>
      </c>
      <c r="C40" s="8">
        <f t="shared" si="2"/>
        <v>0.13821138211382114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-51.799999999999983</v>
      </c>
    </row>
    <row r="41" spans="1:12" x14ac:dyDescent="0.45">
      <c r="A41" s="21" t="s">
        <v>181</v>
      </c>
      <c r="B41" s="120">
        <v>42</v>
      </c>
      <c r="C41" s="8">
        <f t="shared" si="2"/>
        <v>0.11382113821138211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-67.899999999999977</v>
      </c>
    </row>
    <row r="42" spans="1:12" x14ac:dyDescent="0.45">
      <c r="A42" s="21" t="s">
        <v>182</v>
      </c>
      <c r="B42" s="120">
        <v>19</v>
      </c>
      <c r="C42" s="8">
        <f t="shared" si="2"/>
        <v>5.1490514905149054E-2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-61.299999999999976</v>
      </c>
    </row>
    <row r="43" spans="1:12" x14ac:dyDescent="0.45">
      <c r="A43" s="21" t="s">
        <v>183</v>
      </c>
      <c r="B43" s="120">
        <v>9</v>
      </c>
      <c r="C43" s="8">
        <f t="shared" si="2"/>
        <v>2.4390243902439025E-2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-56.899999999999977</v>
      </c>
    </row>
    <row r="44" spans="1:12" x14ac:dyDescent="0.45">
      <c r="A44" s="21" t="s">
        <v>184</v>
      </c>
      <c r="B44" s="120">
        <v>4</v>
      </c>
      <c r="C44" s="8">
        <f t="shared" si="2"/>
        <v>1.0840108401084011E-2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-58.499999999999979</v>
      </c>
    </row>
    <row r="45" spans="1:12" x14ac:dyDescent="0.45">
      <c r="A45" s="21" t="s">
        <v>185</v>
      </c>
      <c r="B45" s="120">
        <v>3</v>
      </c>
      <c r="C45" s="8">
        <f t="shared" si="2"/>
        <v>8.130081300813009E-3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-49.899999999999977</v>
      </c>
    </row>
    <row r="46" spans="1:12" x14ac:dyDescent="0.45">
      <c r="A46" s="21" t="s">
        <v>186</v>
      </c>
      <c r="B46" s="120">
        <v>1</v>
      </c>
      <c r="C46" s="8">
        <f t="shared" si="2"/>
        <v>2.7100271002710027E-3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11.600000000000023</v>
      </c>
    </row>
    <row r="47" spans="1:12" x14ac:dyDescent="0.45">
      <c r="A47" s="21" t="s">
        <v>187</v>
      </c>
      <c r="B47" s="120">
        <v>2</v>
      </c>
      <c r="C47" s="8">
        <f t="shared" si="2"/>
        <v>5.4200542005420054E-3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-23.299999999999976</v>
      </c>
    </row>
    <row r="48" spans="1:12" x14ac:dyDescent="0.45">
      <c r="A48" s="23" t="s">
        <v>188</v>
      </c>
      <c r="B48" s="101">
        <v>5</v>
      </c>
      <c r="C48" s="11">
        <f t="shared" si="2"/>
        <v>1.3550135501355014E-2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-11.099999999999977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-31.099999999999977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-18.499999999999979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7.1000000000000227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6.5000000000000231</v>
      </c>
    </row>
    <row r="53" spans="5:12" x14ac:dyDescent="0.45">
      <c r="K53" s="7">
        <v>51</v>
      </c>
      <c r="L53" s="65">
        <v>-0.29999999999997673</v>
      </c>
    </row>
    <row r="54" spans="5:12" x14ac:dyDescent="0.45">
      <c r="K54" s="7">
        <v>52</v>
      </c>
      <c r="L54" s="65">
        <v>8.800000000000022</v>
      </c>
    </row>
    <row r="55" spans="5:12" x14ac:dyDescent="0.45">
      <c r="K55" s="7">
        <v>53</v>
      </c>
      <c r="L55" s="65">
        <v>5.800000000000022</v>
      </c>
    </row>
    <row r="56" spans="5:12" x14ac:dyDescent="0.45">
      <c r="K56" s="7">
        <v>54</v>
      </c>
      <c r="L56" s="65">
        <v>-12.499999999999979</v>
      </c>
    </row>
    <row r="57" spans="5:12" x14ac:dyDescent="0.45">
      <c r="K57" s="7">
        <v>55</v>
      </c>
      <c r="L57" s="65">
        <v>36.40000000000002</v>
      </c>
    </row>
    <row r="58" spans="5:12" x14ac:dyDescent="0.45">
      <c r="K58" s="7">
        <v>56</v>
      </c>
      <c r="L58" s="65">
        <v>-3.6999999999999815</v>
      </c>
    </row>
    <row r="59" spans="5:12" x14ac:dyDescent="0.45">
      <c r="K59" s="7">
        <v>57</v>
      </c>
      <c r="L59" s="65">
        <v>12.90000000000002</v>
      </c>
    </row>
    <row r="60" spans="5:12" x14ac:dyDescent="0.45">
      <c r="K60" s="7">
        <v>58</v>
      </c>
      <c r="L60" s="65">
        <v>37.700000000000017</v>
      </c>
    </row>
    <row r="61" spans="5:12" x14ac:dyDescent="0.45">
      <c r="K61" s="7">
        <v>59</v>
      </c>
      <c r="L61" s="65">
        <v>77.000000000000014</v>
      </c>
    </row>
    <row r="62" spans="5:12" x14ac:dyDescent="0.45">
      <c r="K62" s="7">
        <v>60</v>
      </c>
      <c r="L62" s="65">
        <v>21.100000000000016</v>
      </c>
    </row>
    <row r="63" spans="5:12" x14ac:dyDescent="0.45">
      <c r="K63" s="7">
        <v>61</v>
      </c>
      <c r="L63" s="65">
        <v>27.100000000000016</v>
      </c>
    </row>
    <row r="64" spans="5:12" x14ac:dyDescent="0.45">
      <c r="K64" s="7">
        <v>62</v>
      </c>
      <c r="L64" s="65">
        <v>11.800000000000015</v>
      </c>
    </row>
    <row r="65" spans="11:12" x14ac:dyDescent="0.45">
      <c r="K65" s="7">
        <v>63</v>
      </c>
      <c r="L65" s="65">
        <v>46.40000000000002</v>
      </c>
    </row>
    <row r="66" spans="11:12" x14ac:dyDescent="0.45">
      <c r="K66" s="7">
        <v>64</v>
      </c>
      <c r="L66" s="65">
        <v>39.90000000000002</v>
      </c>
    </row>
    <row r="67" spans="11:12" x14ac:dyDescent="0.45">
      <c r="K67" s="7">
        <v>65</v>
      </c>
      <c r="L67" s="65">
        <v>14.600000000000019</v>
      </c>
    </row>
    <row r="68" spans="11:12" x14ac:dyDescent="0.45">
      <c r="K68" s="7">
        <v>66</v>
      </c>
      <c r="L68" s="65">
        <v>-6.2999999999999794</v>
      </c>
    </row>
    <row r="69" spans="11:12" x14ac:dyDescent="0.45">
      <c r="K69" s="7">
        <v>67</v>
      </c>
      <c r="L69" s="65">
        <v>-2.7999999999999794</v>
      </c>
    </row>
    <row r="70" spans="11:12" x14ac:dyDescent="0.45">
      <c r="K70" s="7">
        <v>68</v>
      </c>
      <c r="L70" s="65">
        <v>-35.799999999999983</v>
      </c>
    </row>
    <row r="71" spans="11:12" x14ac:dyDescent="0.45">
      <c r="K71" s="7">
        <v>69</v>
      </c>
      <c r="L71" s="65">
        <v>-59.899999999999984</v>
      </c>
    </row>
    <row r="72" spans="11:12" x14ac:dyDescent="0.45">
      <c r="K72" s="7">
        <v>70</v>
      </c>
      <c r="L72" s="65">
        <v>-49.59999999999998</v>
      </c>
    </row>
    <row r="73" spans="11:12" x14ac:dyDescent="0.45">
      <c r="K73" s="7">
        <v>71</v>
      </c>
      <c r="L73" s="65">
        <v>-53.999999999999979</v>
      </c>
    </row>
    <row r="74" spans="11:12" x14ac:dyDescent="0.45">
      <c r="K74" s="7">
        <v>72</v>
      </c>
      <c r="L74" s="65">
        <v>-68.199999999999974</v>
      </c>
    </row>
    <row r="75" spans="11:12" x14ac:dyDescent="0.45">
      <c r="K75" s="7">
        <v>73</v>
      </c>
      <c r="L75" s="65">
        <v>-65.699999999999974</v>
      </c>
    </row>
    <row r="76" spans="11:12" x14ac:dyDescent="0.45">
      <c r="K76" s="7">
        <v>74</v>
      </c>
      <c r="L76" s="65">
        <v>-35.599999999999973</v>
      </c>
    </row>
    <row r="77" spans="11:12" x14ac:dyDescent="0.45">
      <c r="K77" s="7">
        <v>75</v>
      </c>
      <c r="L77" s="65">
        <v>-37.499999999999972</v>
      </c>
    </row>
    <row r="78" spans="11:12" x14ac:dyDescent="0.45">
      <c r="K78" s="7">
        <v>76</v>
      </c>
      <c r="L78" s="65">
        <v>-28.199999999999971</v>
      </c>
    </row>
    <row r="79" spans="11:12" x14ac:dyDescent="0.45">
      <c r="K79" s="7">
        <v>77</v>
      </c>
      <c r="L79" s="65">
        <v>-87.299999999999969</v>
      </c>
    </row>
    <row r="80" spans="11:12" x14ac:dyDescent="0.45">
      <c r="K80" s="7">
        <v>78</v>
      </c>
      <c r="L80" s="65">
        <v>-133.39999999999998</v>
      </c>
    </row>
    <row r="81" spans="11:12" x14ac:dyDescent="0.45">
      <c r="K81" s="7">
        <v>79</v>
      </c>
      <c r="L81" s="65">
        <v>-169.99999999999997</v>
      </c>
    </row>
    <row r="82" spans="11:12" x14ac:dyDescent="0.45">
      <c r="K82" s="7">
        <v>80</v>
      </c>
      <c r="L82" s="65">
        <v>-165.79999999999998</v>
      </c>
    </row>
    <row r="83" spans="11:12" x14ac:dyDescent="0.45">
      <c r="K83" s="7">
        <v>81</v>
      </c>
      <c r="L83" s="65">
        <v>-115.99999999999999</v>
      </c>
    </row>
    <row r="84" spans="11:12" x14ac:dyDescent="0.45">
      <c r="K84" s="7">
        <v>82</v>
      </c>
      <c r="L84" s="65">
        <v>-117.19999999999999</v>
      </c>
    </row>
    <row r="85" spans="11:12" x14ac:dyDescent="0.45">
      <c r="K85" s="7">
        <v>83</v>
      </c>
      <c r="L85" s="65">
        <v>-128.6</v>
      </c>
    </row>
    <row r="86" spans="11:12" x14ac:dyDescent="0.45">
      <c r="K86" s="7">
        <v>84</v>
      </c>
      <c r="L86" s="65">
        <v>-119.8</v>
      </c>
    </row>
    <row r="87" spans="11:12" x14ac:dyDescent="0.45">
      <c r="K87" s="7">
        <v>85</v>
      </c>
      <c r="L87" s="65">
        <v>-97.4</v>
      </c>
    </row>
    <row r="88" spans="11:12" x14ac:dyDescent="0.45">
      <c r="K88" s="7">
        <v>86</v>
      </c>
      <c r="L88" s="65">
        <v>-83.800000000000011</v>
      </c>
    </row>
    <row r="89" spans="11:12" x14ac:dyDescent="0.45">
      <c r="K89" s="7">
        <v>87</v>
      </c>
      <c r="L89" s="65">
        <v>-57.400000000000013</v>
      </c>
    </row>
    <row r="90" spans="11:12" x14ac:dyDescent="0.45">
      <c r="K90" s="7">
        <v>88</v>
      </c>
      <c r="L90" s="65">
        <v>-63.20000000000001</v>
      </c>
    </row>
    <row r="91" spans="11:12" x14ac:dyDescent="0.45">
      <c r="K91" s="7">
        <v>89</v>
      </c>
      <c r="L91" s="65">
        <v>-119.60000000000001</v>
      </c>
    </row>
    <row r="92" spans="11:12" x14ac:dyDescent="0.45">
      <c r="K92" s="7">
        <v>90</v>
      </c>
      <c r="L92" s="65">
        <v>-57.600000000000009</v>
      </c>
    </row>
    <row r="93" spans="11:12" x14ac:dyDescent="0.45">
      <c r="K93" s="7">
        <v>91</v>
      </c>
      <c r="L93" s="65">
        <v>-54.900000000000006</v>
      </c>
    </row>
    <row r="94" spans="11:12" x14ac:dyDescent="0.45">
      <c r="K94" s="7">
        <v>92</v>
      </c>
      <c r="L94" s="65">
        <v>-17.100000000000009</v>
      </c>
    </row>
    <row r="95" spans="11:12" x14ac:dyDescent="0.45">
      <c r="K95" s="7">
        <v>93</v>
      </c>
      <c r="L95" s="65">
        <v>8.7999999999999901</v>
      </c>
    </row>
    <row r="96" spans="11:12" x14ac:dyDescent="0.45">
      <c r="K96" s="7">
        <v>94</v>
      </c>
      <c r="L96" s="65">
        <v>-4.1000000000000103</v>
      </c>
    </row>
    <row r="97" spans="11:12" x14ac:dyDescent="0.45">
      <c r="K97" s="7">
        <v>95</v>
      </c>
      <c r="L97" s="65">
        <v>31.899999999999991</v>
      </c>
    </row>
    <row r="98" spans="11:12" x14ac:dyDescent="0.45">
      <c r="K98" s="7">
        <v>96</v>
      </c>
      <c r="L98" s="65">
        <v>52.29999999999999</v>
      </c>
    </row>
    <row r="99" spans="11:12" x14ac:dyDescent="0.45">
      <c r="K99" s="7">
        <v>97</v>
      </c>
      <c r="L99" s="65">
        <v>13.999999999999993</v>
      </c>
    </row>
    <row r="100" spans="11:12" x14ac:dyDescent="0.45">
      <c r="K100" s="7">
        <v>98</v>
      </c>
      <c r="L100" s="65">
        <v>21.399999999999991</v>
      </c>
    </row>
    <row r="101" spans="11:12" x14ac:dyDescent="0.45">
      <c r="K101" s="7">
        <v>99</v>
      </c>
      <c r="L101" s="65">
        <v>-5.4000000000000092</v>
      </c>
    </row>
    <row r="102" spans="11:12" x14ac:dyDescent="0.45">
      <c r="K102" s="7">
        <v>100</v>
      </c>
      <c r="L102" s="65">
        <v>-25.600000000000009</v>
      </c>
    </row>
    <row r="103" spans="11:12" x14ac:dyDescent="0.45">
      <c r="K103" s="7">
        <v>101</v>
      </c>
      <c r="L103" s="65">
        <v>32.199999999999989</v>
      </c>
    </row>
    <row r="104" spans="11:12" x14ac:dyDescent="0.45">
      <c r="K104" s="7">
        <v>102</v>
      </c>
      <c r="L104" s="65">
        <v>27.699999999999989</v>
      </c>
    </row>
    <row r="105" spans="11:12" x14ac:dyDescent="0.45">
      <c r="K105" s="7">
        <v>103</v>
      </c>
      <c r="L105" s="65">
        <v>45.79999999999999</v>
      </c>
    </row>
    <row r="106" spans="11:12" x14ac:dyDescent="0.45">
      <c r="K106" s="7">
        <v>104</v>
      </c>
      <c r="L106" s="65">
        <v>122.19999999999999</v>
      </c>
    </row>
    <row r="107" spans="11:12" x14ac:dyDescent="0.45">
      <c r="K107" s="7">
        <v>105</v>
      </c>
      <c r="L107" s="65">
        <v>86.299999999999983</v>
      </c>
    </row>
    <row r="108" spans="11:12" x14ac:dyDescent="0.45">
      <c r="K108" s="7">
        <v>106</v>
      </c>
      <c r="L108" s="65">
        <v>84.299999999999983</v>
      </c>
    </row>
    <row r="109" spans="11:12" x14ac:dyDescent="0.45">
      <c r="K109" s="7">
        <v>107</v>
      </c>
      <c r="L109" s="65">
        <v>106.29999999999998</v>
      </c>
    </row>
    <row r="110" spans="11:12" x14ac:dyDescent="0.45">
      <c r="K110" s="7">
        <v>108</v>
      </c>
      <c r="L110" s="65">
        <v>99.199999999999989</v>
      </c>
    </row>
    <row r="111" spans="11:12" x14ac:dyDescent="0.45">
      <c r="K111" s="7">
        <v>109</v>
      </c>
      <c r="L111" s="65">
        <v>132.19999999999999</v>
      </c>
    </row>
    <row r="112" spans="11:12" x14ac:dyDescent="0.45">
      <c r="K112" s="7">
        <v>110</v>
      </c>
      <c r="L112" s="65">
        <v>120.1</v>
      </c>
    </row>
    <row r="113" spans="11:12" x14ac:dyDescent="0.45">
      <c r="K113" s="7">
        <v>111</v>
      </c>
      <c r="L113" s="65">
        <v>106.3</v>
      </c>
    </row>
    <row r="114" spans="11:12" x14ac:dyDescent="0.45">
      <c r="K114" s="7">
        <v>112</v>
      </c>
      <c r="L114" s="65">
        <v>104.5</v>
      </c>
    </row>
    <row r="115" spans="11:12" x14ac:dyDescent="0.45">
      <c r="K115" s="7">
        <v>113</v>
      </c>
      <c r="L115" s="65">
        <v>101.5</v>
      </c>
    </row>
    <row r="116" spans="11:12" x14ac:dyDescent="0.45">
      <c r="K116" s="7">
        <v>114</v>
      </c>
      <c r="L116" s="65">
        <v>116.9</v>
      </c>
    </row>
    <row r="117" spans="11:12" x14ac:dyDescent="0.45">
      <c r="K117" s="7">
        <v>115</v>
      </c>
      <c r="L117" s="65">
        <v>87.800000000000011</v>
      </c>
    </row>
    <row r="118" spans="11:12" x14ac:dyDescent="0.45">
      <c r="K118" s="7">
        <v>116</v>
      </c>
      <c r="L118" s="65">
        <v>70.800000000000011</v>
      </c>
    </row>
    <row r="119" spans="11:12" x14ac:dyDescent="0.45">
      <c r="K119" s="7">
        <v>117</v>
      </c>
      <c r="L119" s="65">
        <v>63.600000000000009</v>
      </c>
    </row>
    <row r="120" spans="11:12" x14ac:dyDescent="0.45">
      <c r="K120" s="7">
        <v>118</v>
      </c>
      <c r="L120" s="65">
        <v>98.4</v>
      </c>
    </row>
    <row r="121" spans="11:12" x14ac:dyDescent="0.45">
      <c r="K121" s="7">
        <v>119</v>
      </c>
      <c r="L121" s="65">
        <v>96.600000000000009</v>
      </c>
    </row>
    <row r="122" spans="11:12" x14ac:dyDescent="0.45">
      <c r="K122" s="7">
        <v>120</v>
      </c>
      <c r="L122" s="65">
        <v>66.700000000000017</v>
      </c>
    </row>
    <row r="123" spans="11:12" x14ac:dyDescent="0.45">
      <c r="K123" s="7">
        <v>121</v>
      </c>
      <c r="L123" s="65">
        <v>34.200000000000017</v>
      </c>
    </row>
    <row r="124" spans="11:12" x14ac:dyDescent="0.45">
      <c r="K124" s="7">
        <v>122</v>
      </c>
      <c r="L124" s="65">
        <v>0.10000000000001563</v>
      </c>
    </row>
    <row r="125" spans="11:12" x14ac:dyDescent="0.45">
      <c r="K125" s="7">
        <v>123</v>
      </c>
      <c r="L125" s="65">
        <v>-36.999999999999986</v>
      </c>
    </row>
    <row r="126" spans="11:12" x14ac:dyDescent="0.45">
      <c r="K126" s="7">
        <v>124</v>
      </c>
      <c r="L126" s="65">
        <v>-66.899999999999977</v>
      </c>
    </row>
    <row r="127" spans="11:12" x14ac:dyDescent="0.45">
      <c r="K127" s="7">
        <v>125</v>
      </c>
      <c r="L127" s="65">
        <v>-84.899999999999977</v>
      </c>
    </row>
    <row r="128" spans="11:12" x14ac:dyDescent="0.45">
      <c r="K128" s="7">
        <v>126</v>
      </c>
      <c r="L128" s="65">
        <v>-132.19999999999999</v>
      </c>
    </row>
    <row r="129" spans="11:12" x14ac:dyDescent="0.45">
      <c r="K129" s="7">
        <v>127</v>
      </c>
      <c r="L129" s="65">
        <v>-132.5</v>
      </c>
    </row>
    <row r="130" spans="11:12" x14ac:dyDescent="0.45">
      <c r="K130" s="7">
        <v>128</v>
      </c>
      <c r="L130" s="65">
        <v>-181.1</v>
      </c>
    </row>
    <row r="131" spans="11:12" x14ac:dyDescent="0.45">
      <c r="K131" s="7">
        <v>129</v>
      </c>
      <c r="L131" s="65">
        <v>-210.29999999999998</v>
      </c>
    </row>
    <row r="132" spans="11:12" x14ac:dyDescent="0.45">
      <c r="K132" s="7">
        <v>130</v>
      </c>
      <c r="L132" s="65">
        <v>-230.89999999999998</v>
      </c>
    </row>
    <row r="133" spans="11:12" x14ac:dyDescent="0.45">
      <c r="K133" s="7">
        <v>131</v>
      </c>
      <c r="L133" s="65">
        <v>-242.39999999999998</v>
      </c>
    </row>
    <row r="134" spans="11:12" x14ac:dyDescent="0.45">
      <c r="K134" s="7">
        <v>132</v>
      </c>
      <c r="L134" s="65">
        <v>-238.2</v>
      </c>
    </row>
    <row r="135" spans="11:12" x14ac:dyDescent="0.45">
      <c r="K135" s="7">
        <v>133</v>
      </c>
      <c r="L135" s="65">
        <v>-227.5</v>
      </c>
    </row>
    <row r="136" spans="11:12" x14ac:dyDescent="0.45">
      <c r="K136" s="7">
        <v>134</v>
      </c>
      <c r="L136" s="65">
        <v>-193.6</v>
      </c>
    </row>
    <row r="137" spans="11:12" x14ac:dyDescent="0.45">
      <c r="K137" s="7">
        <v>135</v>
      </c>
      <c r="L137" s="65">
        <v>-212.1</v>
      </c>
    </row>
    <row r="138" spans="11:12" x14ac:dyDescent="0.45">
      <c r="K138" s="7">
        <v>136</v>
      </c>
      <c r="L138" s="65">
        <v>-179.1</v>
      </c>
    </row>
    <row r="139" spans="11:12" x14ac:dyDescent="0.45">
      <c r="K139" s="7">
        <v>137</v>
      </c>
      <c r="L139" s="65">
        <v>-152.29999999999998</v>
      </c>
    </row>
    <row r="140" spans="11:12" x14ac:dyDescent="0.45">
      <c r="K140" s="7">
        <v>138</v>
      </c>
      <c r="L140" s="65">
        <v>-162.49999999999997</v>
      </c>
    </row>
    <row r="141" spans="11:12" x14ac:dyDescent="0.45">
      <c r="K141" s="7">
        <v>139</v>
      </c>
      <c r="L141" s="65">
        <v>-150.29999999999998</v>
      </c>
    </row>
    <row r="142" spans="11:12" x14ac:dyDescent="0.45">
      <c r="K142" s="7">
        <v>140</v>
      </c>
      <c r="L142" s="65">
        <v>-96.799999999999983</v>
      </c>
    </row>
    <row r="143" spans="11:12" x14ac:dyDescent="0.45">
      <c r="K143" s="7">
        <v>141</v>
      </c>
      <c r="L143" s="65">
        <v>-105.99999999999999</v>
      </c>
    </row>
    <row r="144" spans="11:12" x14ac:dyDescent="0.45">
      <c r="K144" s="7">
        <v>142</v>
      </c>
      <c r="L144" s="65">
        <v>-142.29999999999998</v>
      </c>
    </row>
    <row r="145" spans="11:12" x14ac:dyDescent="0.45">
      <c r="K145" s="7">
        <v>143</v>
      </c>
      <c r="L145" s="65">
        <v>-141.49999999999997</v>
      </c>
    </row>
    <row r="146" spans="11:12" x14ac:dyDescent="0.45">
      <c r="K146" s="7">
        <v>144</v>
      </c>
      <c r="L146" s="65">
        <v>-96.699999999999974</v>
      </c>
    </row>
    <row r="147" spans="11:12" x14ac:dyDescent="0.45">
      <c r="K147" s="7">
        <v>145</v>
      </c>
      <c r="L147" s="65">
        <v>-40.299999999999976</v>
      </c>
    </row>
    <row r="148" spans="11:12" x14ac:dyDescent="0.45">
      <c r="K148" s="7">
        <v>146</v>
      </c>
      <c r="L148" s="65">
        <v>-28.099999999999977</v>
      </c>
    </row>
    <row r="149" spans="11:12" x14ac:dyDescent="0.45">
      <c r="K149" s="7">
        <v>147</v>
      </c>
      <c r="L149" s="65">
        <v>-66.09999999999998</v>
      </c>
    </row>
    <row r="150" spans="11:12" x14ac:dyDescent="0.45">
      <c r="K150" s="7">
        <v>148</v>
      </c>
      <c r="L150" s="65">
        <v>-54.59999999999998</v>
      </c>
    </row>
    <row r="151" spans="11:12" x14ac:dyDescent="0.45">
      <c r="K151" s="7">
        <v>149</v>
      </c>
      <c r="L151" s="65">
        <v>-107.79999999999998</v>
      </c>
    </row>
    <row r="152" spans="11:12" x14ac:dyDescent="0.45">
      <c r="K152" s="7">
        <v>150</v>
      </c>
      <c r="L152" s="65">
        <v>-116.49999999999999</v>
      </c>
    </row>
    <row r="153" spans="11:12" x14ac:dyDescent="0.45">
      <c r="K153" s="7">
        <v>151</v>
      </c>
      <c r="L153" s="65">
        <v>-110.59999999999998</v>
      </c>
    </row>
    <row r="154" spans="11:12" x14ac:dyDescent="0.45">
      <c r="K154" s="7">
        <v>152</v>
      </c>
      <c r="L154" s="65">
        <v>-60.999999999999979</v>
      </c>
    </row>
    <row r="155" spans="11:12" x14ac:dyDescent="0.45">
      <c r="K155" s="7">
        <v>153</v>
      </c>
      <c r="L155" s="65">
        <v>-24.699999999999982</v>
      </c>
    </row>
    <row r="156" spans="11:12" x14ac:dyDescent="0.45">
      <c r="K156" s="7">
        <v>154</v>
      </c>
      <c r="L156" s="65">
        <v>-71.199999999999989</v>
      </c>
    </row>
    <row r="157" spans="11:12" x14ac:dyDescent="0.45">
      <c r="K157" s="7">
        <v>155</v>
      </c>
      <c r="L157" s="65">
        <v>-116.69999999999999</v>
      </c>
    </row>
    <row r="158" spans="11:12" x14ac:dyDescent="0.45">
      <c r="K158" s="7">
        <v>156</v>
      </c>
      <c r="L158" s="65">
        <v>-82.1</v>
      </c>
    </row>
    <row r="159" spans="11:12" x14ac:dyDescent="0.45">
      <c r="K159" s="7">
        <v>157</v>
      </c>
      <c r="L159" s="65">
        <v>-33.199999999999996</v>
      </c>
    </row>
    <row r="160" spans="11:12" x14ac:dyDescent="0.45">
      <c r="K160" s="7">
        <v>158</v>
      </c>
      <c r="L160" s="65">
        <v>-60.099999999999994</v>
      </c>
    </row>
    <row r="161" spans="11:12" x14ac:dyDescent="0.45">
      <c r="K161" s="7">
        <v>159</v>
      </c>
      <c r="L161" s="65">
        <v>-106.3</v>
      </c>
    </row>
    <row r="162" spans="11:12" x14ac:dyDescent="0.45">
      <c r="K162" s="7">
        <v>160</v>
      </c>
      <c r="L162" s="65">
        <v>-74</v>
      </c>
    </row>
    <row r="163" spans="11:12" x14ac:dyDescent="0.45">
      <c r="K163" s="7">
        <v>161</v>
      </c>
      <c r="L163" s="65">
        <v>-81</v>
      </c>
    </row>
    <row r="164" spans="11:12" x14ac:dyDescent="0.45">
      <c r="K164" s="7">
        <v>162</v>
      </c>
      <c r="L164" s="65">
        <v>-87.8</v>
      </c>
    </row>
    <row r="165" spans="11:12" x14ac:dyDescent="0.45">
      <c r="K165" s="7">
        <v>163</v>
      </c>
      <c r="L165" s="65">
        <v>-96.1</v>
      </c>
    </row>
    <row r="166" spans="11:12" x14ac:dyDescent="0.45">
      <c r="K166" s="7">
        <v>164</v>
      </c>
      <c r="L166" s="65">
        <v>-64.699999999999989</v>
      </c>
    </row>
  </sheetData>
  <sortState xmlns:xlrd2="http://schemas.microsoft.com/office/spreadsheetml/2017/richdata2" ref="N15:Q25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25214-1F11-431F-A7D8-34AB6079247D}">
  <sheetPr codeName="Sheet19"/>
  <dimension ref="A1:Q7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75</v>
      </c>
      <c r="C2" s="130"/>
      <c r="E2" s="28" t="s">
        <v>66</v>
      </c>
      <c r="F2" s="25" t="s">
        <v>22</v>
      </c>
      <c r="G2" s="13">
        <v>105</v>
      </c>
      <c r="H2" s="91">
        <f>IF(B$19=0,0,G2/B$19)</f>
        <v>0.68627450980392157</v>
      </c>
      <c r="I2" s="59">
        <v>10</v>
      </c>
      <c r="K2" s="5">
        <v>0</v>
      </c>
      <c r="L2" s="64">
        <v>0</v>
      </c>
      <c r="N2" s="77" t="s">
        <v>130</v>
      </c>
      <c r="O2" s="83">
        <f t="shared" ref="O2:O7" si="0">IF(P2=0,0,Q2/P2)</f>
        <v>-3541.3333333333335</v>
      </c>
      <c r="P2" s="80">
        <v>75</v>
      </c>
      <c r="Q2" s="67">
        <v>-265600</v>
      </c>
    </row>
    <row r="3" spans="1:17" x14ac:dyDescent="0.45">
      <c r="A3" s="21" t="s">
        <v>8</v>
      </c>
      <c r="B3" s="131">
        <v>624</v>
      </c>
      <c r="C3" s="132"/>
      <c r="E3" s="29" t="s">
        <v>72</v>
      </c>
      <c r="F3" s="26" t="s">
        <v>27</v>
      </c>
      <c r="G3" s="14">
        <v>102</v>
      </c>
      <c r="H3" s="92">
        <f>IF(B$19=0,0,G3/B$19)</f>
        <v>0.66666666666666663</v>
      </c>
      <c r="I3" s="60">
        <v>2</v>
      </c>
      <c r="K3" s="7">
        <v>1</v>
      </c>
      <c r="L3" s="65">
        <v>-12</v>
      </c>
      <c r="N3" s="78" t="s">
        <v>131</v>
      </c>
      <c r="O3" s="84">
        <f t="shared" si="0"/>
        <v>1344.5945945945946</v>
      </c>
      <c r="P3" s="81">
        <v>74</v>
      </c>
      <c r="Q3" s="68">
        <v>99500</v>
      </c>
    </row>
    <row r="4" spans="1:17" x14ac:dyDescent="0.45">
      <c r="A4" s="21" t="s">
        <v>6</v>
      </c>
      <c r="B4" s="133">
        <v>-859.4000000000002</v>
      </c>
      <c r="C4" s="134"/>
      <c r="E4" s="29" t="s">
        <v>64</v>
      </c>
      <c r="F4" s="26" t="s">
        <v>20</v>
      </c>
      <c r="G4" s="14">
        <v>64</v>
      </c>
      <c r="H4" s="92">
        <f>IF(B$19=0,0,G4/B$19)</f>
        <v>0.41830065359477125</v>
      </c>
      <c r="I4" s="60">
        <v>11</v>
      </c>
      <c r="K4" s="7">
        <v>2</v>
      </c>
      <c r="L4" s="65">
        <v>-40.6</v>
      </c>
      <c r="N4" s="78" t="s">
        <v>132</v>
      </c>
      <c r="O4" s="84">
        <f t="shared" si="0"/>
        <v>-1360</v>
      </c>
      <c r="P4" s="81">
        <v>70</v>
      </c>
      <c r="Q4" s="68">
        <v>-95200</v>
      </c>
    </row>
    <row r="5" spans="1:17" x14ac:dyDescent="0.45">
      <c r="A5" s="21" t="s">
        <v>7</v>
      </c>
      <c r="B5" s="121">
        <f>IF(B$2=0,0,B$4/B$2)</f>
        <v>-11.458666666666669</v>
      </c>
      <c r="C5" s="122"/>
      <c r="E5" s="29" t="s">
        <v>163</v>
      </c>
      <c r="F5" s="26" t="s">
        <v>164</v>
      </c>
      <c r="G5" s="14">
        <v>54</v>
      </c>
      <c r="H5" s="92">
        <f>IF(B$19=0,0,G5/B$19)</f>
        <v>0.35294117647058826</v>
      </c>
      <c r="I5" s="60">
        <v>10</v>
      </c>
      <c r="K5" s="7">
        <v>3</v>
      </c>
      <c r="L5" s="65">
        <v>-33.6</v>
      </c>
      <c r="N5" s="78" t="s">
        <v>133</v>
      </c>
      <c r="O5" s="84">
        <f t="shared" si="0"/>
        <v>-1795.2380952380952</v>
      </c>
      <c r="P5" s="81">
        <v>63</v>
      </c>
      <c r="Q5" s="68">
        <v>-113100</v>
      </c>
    </row>
    <row r="6" spans="1:17" x14ac:dyDescent="0.45">
      <c r="A6" s="21" t="s">
        <v>1</v>
      </c>
      <c r="B6" s="135">
        <f>IF(B$2=0,0,(B$7*1+B$8*2+B$9*3)/B$2)</f>
        <v>2.2933333333333334</v>
      </c>
      <c r="C6" s="136"/>
      <c r="E6" s="29" t="s">
        <v>68</v>
      </c>
      <c r="F6" s="26" t="s">
        <v>12</v>
      </c>
      <c r="G6" s="14">
        <v>43</v>
      </c>
      <c r="H6" s="92">
        <f>IF(B$19=0,0,G6/B$19)</f>
        <v>0.28104575163398693</v>
      </c>
      <c r="I6" s="60">
        <v>10</v>
      </c>
      <c r="K6" s="7">
        <v>4</v>
      </c>
      <c r="L6" s="65">
        <v>-80.5</v>
      </c>
      <c r="N6" s="78" t="s">
        <v>134</v>
      </c>
      <c r="O6" s="84">
        <f t="shared" si="0"/>
        <v>-1438.9830508474577</v>
      </c>
      <c r="P6" s="81">
        <v>59</v>
      </c>
      <c r="Q6" s="68">
        <v>-84900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0.14666666666666667</v>
      </c>
      <c r="E7" s="29" t="s">
        <v>67</v>
      </c>
      <c r="F7" s="26" t="s">
        <v>23</v>
      </c>
      <c r="G7" s="14">
        <v>40</v>
      </c>
      <c r="H7" s="92">
        <f>IF(B$19=0,0,G7/B$19)</f>
        <v>0.26143790849673204</v>
      </c>
      <c r="I7" s="60">
        <v>9</v>
      </c>
      <c r="K7" s="7">
        <v>5</v>
      </c>
      <c r="L7" s="65">
        <v>-124.3</v>
      </c>
      <c r="N7" s="79" t="s">
        <v>135</v>
      </c>
      <c r="O7" s="85">
        <f t="shared" si="0"/>
        <v>-2165.9574468085107</v>
      </c>
      <c r="P7" s="82">
        <v>47</v>
      </c>
      <c r="Q7" s="69">
        <v>-101800</v>
      </c>
    </row>
    <row r="8" spans="1:17" x14ac:dyDescent="0.45">
      <c r="A8" s="21" t="s">
        <v>3</v>
      </c>
      <c r="B8" s="14">
        <v>31</v>
      </c>
      <c r="C8" s="8">
        <f t="shared" si="1"/>
        <v>0.41333333333333333</v>
      </c>
      <c r="E8" s="29" t="s">
        <v>89</v>
      </c>
      <c r="F8" s="26" t="s">
        <v>44</v>
      </c>
      <c r="G8" s="14">
        <v>25</v>
      </c>
      <c r="H8" s="92">
        <f>IF(B$19=0,0,G8/B$19)</f>
        <v>0.16339869281045752</v>
      </c>
      <c r="I8" s="60">
        <v>4</v>
      </c>
      <c r="K8" s="7">
        <v>6</v>
      </c>
      <c r="L8" s="65">
        <v>-159.6</v>
      </c>
      <c r="N8" s="111"/>
      <c r="O8" s="89"/>
      <c r="P8" s="112"/>
      <c r="Q8" s="74"/>
    </row>
    <row r="9" spans="1:17" x14ac:dyDescent="0.45">
      <c r="A9" s="22" t="s">
        <v>4</v>
      </c>
      <c r="B9" s="15">
        <v>33</v>
      </c>
      <c r="C9" s="9">
        <f t="shared" si="1"/>
        <v>0.44</v>
      </c>
      <c r="E9" s="29" t="s">
        <v>65</v>
      </c>
      <c r="F9" s="26" t="s">
        <v>21</v>
      </c>
      <c r="G9" s="14">
        <v>16</v>
      </c>
      <c r="H9" s="92">
        <f>IF(B$19=0,0,G9/B$19)</f>
        <v>0.10457516339869281</v>
      </c>
      <c r="I9" s="60">
        <v>9</v>
      </c>
      <c r="K9" s="7">
        <v>7</v>
      </c>
      <c r="L9" s="65">
        <v>-99.5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35.145454545454541</v>
      </c>
      <c r="C10" s="114">
        <v>386.59999999999997</v>
      </c>
      <c r="E10" s="29" t="s">
        <v>69</v>
      </c>
      <c r="F10" s="26" t="s">
        <v>24</v>
      </c>
      <c r="G10" s="14">
        <v>13</v>
      </c>
      <c r="H10" s="92">
        <f>IF(B$19=0,0,G10/B$19)</f>
        <v>8.4967320261437912E-2</v>
      </c>
      <c r="I10" s="60">
        <v>12</v>
      </c>
      <c r="K10" s="7">
        <v>8</v>
      </c>
      <c r="L10" s="65">
        <v>-152.6</v>
      </c>
      <c r="N10" s="77" t="s">
        <v>154</v>
      </c>
      <c r="O10" s="86">
        <f>IF(P10=0,0,Q10/P10)</f>
        <v>-21.2</v>
      </c>
      <c r="P10" s="80">
        <v>30</v>
      </c>
      <c r="Q10" s="71">
        <v>-636</v>
      </c>
    </row>
    <row r="11" spans="1:17" x14ac:dyDescent="0.45">
      <c r="A11" s="22" t="s">
        <v>204</v>
      </c>
      <c r="B11" s="113">
        <f>IF(B8=0,0,C11/B8)</f>
        <v>-0.63225806451612887</v>
      </c>
      <c r="C11" s="114">
        <v>-19.599999999999994</v>
      </c>
      <c r="E11" s="29" t="s">
        <v>70</v>
      </c>
      <c r="F11" s="26" t="s">
        <v>25</v>
      </c>
      <c r="G11" s="14">
        <v>13</v>
      </c>
      <c r="H11" s="92">
        <f>IF(B$19=0,0,G11/B$19)</f>
        <v>8.4967320261437912E-2</v>
      </c>
      <c r="I11" s="60">
        <v>10</v>
      </c>
      <c r="K11" s="7">
        <v>9</v>
      </c>
      <c r="L11" s="65">
        <v>-150.6</v>
      </c>
      <c r="N11" s="78" t="s">
        <v>155</v>
      </c>
      <c r="O11" s="87">
        <f>IF(P11=0,0,Q11/P11)</f>
        <v>0.32608695652173947</v>
      </c>
      <c r="P11" s="81">
        <v>23</v>
      </c>
      <c r="Q11" s="72">
        <v>7.500000000000008</v>
      </c>
    </row>
    <row r="12" spans="1:17" x14ac:dyDescent="0.45">
      <c r="A12" s="22" t="s">
        <v>205</v>
      </c>
      <c r="B12" s="113">
        <f>IF(B9=0,0,C12/B9)</f>
        <v>-37.163636363636364</v>
      </c>
      <c r="C12" s="114">
        <v>-1226.4000000000001</v>
      </c>
      <c r="E12" s="29" t="s">
        <v>71</v>
      </c>
      <c r="F12" s="26" t="s">
        <v>26</v>
      </c>
      <c r="G12" s="14">
        <v>13</v>
      </c>
      <c r="H12" s="92">
        <f>IF(B$19=0,0,G12/B$19)</f>
        <v>8.4967320261437912E-2</v>
      </c>
      <c r="I12" s="60">
        <v>5</v>
      </c>
      <c r="K12" s="7">
        <v>10</v>
      </c>
      <c r="L12" s="65">
        <v>-151.1</v>
      </c>
      <c r="N12" s="79" t="s">
        <v>156</v>
      </c>
      <c r="O12" s="88">
        <f>IF(P12=0,0,Q12/P12)</f>
        <v>-10.495454545454546</v>
      </c>
      <c r="P12" s="82">
        <v>22</v>
      </c>
      <c r="Q12" s="73">
        <v>-230.9</v>
      </c>
    </row>
    <row r="13" spans="1:17" x14ac:dyDescent="0.45">
      <c r="A13" s="22" t="s">
        <v>206</v>
      </c>
      <c r="B13" s="121">
        <f>AVERAGE(B10:B12)</f>
        <v>-0.88347996089931746</v>
      </c>
      <c r="C13" s="122"/>
      <c r="E13" s="29" t="s">
        <v>81</v>
      </c>
      <c r="F13" s="26" t="s">
        <v>36</v>
      </c>
      <c r="G13" s="14">
        <v>10</v>
      </c>
      <c r="H13" s="92">
        <f>IF(B$19=0,0,G13/B$19)</f>
        <v>6.535947712418301E-2</v>
      </c>
      <c r="I13" s="60">
        <v>2</v>
      </c>
      <c r="K13" s="7">
        <v>11</v>
      </c>
      <c r="L13" s="65">
        <v>-175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13</v>
      </c>
      <c r="C14" s="11">
        <f t="shared" si="1"/>
        <v>0.17333333333333334</v>
      </c>
      <c r="E14" s="29" t="s">
        <v>83</v>
      </c>
      <c r="F14" s="26" t="s">
        <v>38</v>
      </c>
      <c r="G14" s="14">
        <v>9</v>
      </c>
      <c r="H14" s="92">
        <f>IF(B$19=0,0,G14/B$19)</f>
        <v>5.8823529411764705E-2</v>
      </c>
      <c r="I14" s="60">
        <v>5</v>
      </c>
      <c r="K14" s="7">
        <v>12</v>
      </c>
      <c r="L14" s="65">
        <v>-176.9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130</v>
      </c>
      <c r="C15" s="12">
        <f>IF(B$3=0,0,B15/B$3)</f>
        <v>0.20833333333333334</v>
      </c>
      <c r="E15" s="29" t="s">
        <v>86</v>
      </c>
      <c r="F15" s="26" t="s">
        <v>41</v>
      </c>
      <c r="G15" s="14">
        <v>8</v>
      </c>
      <c r="H15" s="92">
        <f>IF(B$19=0,0,G15/B$19)</f>
        <v>5.2287581699346407E-2</v>
      </c>
      <c r="I15" s="60">
        <v>4</v>
      </c>
      <c r="K15" s="7">
        <v>13</v>
      </c>
      <c r="L15" s="65">
        <v>-217.60000000000002</v>
      </c>
      <c r="N15" s="77" t="s">
        <v>158</v>
      </c>
      <c r="O15" s="86">
        <f t="shared" ref="O15:O25" si="2">IF(P15=0,0,Q15/P15)</f>
        <v>11.63478260869565</v>
      </c>
      <c r="P15" s="80">
        <v>23</v>
      </c>
      <c r="Q15" s="71">
        <v>267.59999999999997</v>
      </c>
    </row>
    <row r="16" spans="1:17" x14ac:dyDescent="0.45">
      <c r="A16" s="21" t="s">
        <v>118</v>
      </c>
      <c r="B16" s="14">
        <v>143</v>
      </c>
      <c r="C16" s="8">
        <f>IF(B$3=0,0,B16/B$3)</f>
        <v>0.22916666666666666</v>
      </c>
      <c r="E16" s="29" t="s">
        <v>91</v>
      </c>
      <c r="F16" s="26" t="s">
        <v>46</v>
      </c>
      <c r="G16" s="14">
        <v>4</v>
      </c>
      <c r="H16" s="92">
        <f>IF(B$19=0,0,G16/B$19)</f>
        <v>2.6143790849673203E-2</v>
      </c>
      <c r="I16" s="60">
        <v>3</v>
      </c>
      <c r="K16" s="7">
        <v>14</v>
      </c>
      <c r="L16" s="65">
        <v>-266.90000000000003</v>
      </c>
      <c r="N16" s="78" t="s">
        <v>281</v>
      </c>
      <c r="O16" s="87">
        <f t="shared" si="2"/>
        <v>2.1000000000000014</v>
      </c>
      <c r="P16" s="81">
        <v>3</v>
      </c>
      <c r="Q16" s="72">
        <v>6.3000000000000043</v>
      </c>
    </row>
    <row r="17" spans="1:17" x14ac:dyDescent="0.45">
      <c r="A17" s="20" t="s">
        <v>123</v>
      </c>
      <c r="B17" s="13">
        <f>B23</f>
        <v>67</v>
      </c>
      <c r="C17" s="6">
        <f>IF(B$15=0,0,B17/B$15)</f>
        <v>0.51538461538461533</v>
      </c>
      <c r="E17" s="29" t="s">
        <v>78</v>
      </c>
      <c r="F17" s="26" t="s">
        <v>33</v>
      </c>
      <c r="G17" s="14">
        <v>2</v>
      </c>
      <c r="H17" s="92">
        <f>IF(B$19=0,0,G17/B$19)</f>
        <v>1.3071895424836602E-2</v>
      </c>
      <c r="I17" s="60">
        <v>9</v>
      </c>
      <c r="K17" s="7">
        <v>15</v>
      </c>
      <c r="L17" s="65">
        <v>-272.50000000000006</v>
      </c>
      <c r="N17" s="78" t="s">
        <v>275</v>
      </c>
      <c r="O17" s="87">
        <f t="shared" si="2"/>
        <v>-12.000000000000002</v>
      </c>
      <c r="P17" s="81">
        <v>1</v>
      </c>
      <c r="Q17" s="72">
        <v>-12.000000000000002</v>
      </c>
    </row>
    <row r="18" spans="1:17" x14ac:dyDescent="0.45">
      <c r="A18" s="20" t="s">
        <v>124</v>
      </c>
      <c r="B18" s="13">
        <f>B24</f>
        <v>57</v>
      </c>
      <c r="C18" s="6">
        <f>IF(B$16=0,0,B18/B$16)</f>
        <v>0.39860139860139859</v>
      </c>
      <c r="E18" s="29" t="s">
        <v>73</v>
      </c>
      <c r="F18" s="26" t="s">
        <v>28</v>
      </c>
      <c r="G18" s="14">
        <v>1</v>
      </c>
      <c r="H18" s="92">
        <f>IF(B$19=0,0,G18/B$19)</f>
        <v>6.5359477124183009E-3</v>
      </c>
      <c r="I18" s="60">
        <v>2</v>
      </c>
      <c r="K18" s="7">
        <v>16</v>
      </c>
      <c r="L18" s="65">
        <v>-320.30000000000007</v>
      </c>
      <c r="N18" s="78" t="s">
        <v>127</v>
      </c>
      <c r="O18" s="87">
        <f t="shared" si="2"/>
        <v>-15.222222222222221</v>
      </c>
      <c r="P18" s="81">
        <v>18</v>
      </c>
      <c r="Q18" s="72">
        <v>-274</v>
      </c>
    </row>
    <row r="19" spans="1:17" x14ac:dyDescent="0.45">
      <c r="A19" s="20" t="s">
        <v>10</v>
      </c>
      <c r="B19" s="13">
        <f>B22+B21</f>
        <v>153</v>
      </c>
      <c r="C19" s="6">
        <f>IF(B$3=0,0,B19/B$3)</f>
        <v>0.24519230769230768</v>
      </c>
      <c r="E19" s="29" t="s">
        <v>74</v>
      </c>
      <c r="F19" s="26" t="s">
        <v>29</v>
      </c>
      <c r="G19" s="14">
        <v>1</v>
      </c>
      <c r="H19" s="92">
        <f>IF(B$19=0,0,G19/B$19)</f>
        <v>6.5359477124183009E-3</v>
      </c>
      <c r="I19" s="60">
        <v>2</v>
      </c>
      <c r="K19" s="7">
        <v>17</v>
      </c>
      <c r="L19" s="65">
        <v>-352.60000000000008</v>
      </c>
      <c r="N19" s="78" t="s">
        <v>168</v>
      </c>
      <c r="O19" s="87">
        <f t="shared" si="2"/>
        <v>-16.860714285714284</v>
      </c>
      <c r="P19" s="81">
        <v>28</v>
      </c>
      <c r="Q19" s="72">
        <v>-472.09999999999997</v>
      </c>
    </row>
    <row r="20" spans="1:17" x14ac:dyDescent="0.45">
      <c r="A20" s="21" t="s">
        <v>13</v>
      </c>
      <c r="B20" s="14">
        <v>115</v>
      </c>
      <c r="C20" s="8">
        <f>IF(B$3=0,0,B20/B$3)</f>
        <v>0.18429487179487181</v>
      </c>
      <c r="E20" s="29" t="s">
        <v>79</v>
      </c>
      <c r="F20" s="26" t="s">
        <v>34</v>
      </c>
      <c r="G20" s="14">
        <v>1</v>
      </c>
      <c r="H20" s="92">
        <f>IF(B$19=0,0,G20/B$19)</f>
        <v>6.5359477124183009E-3</v>
      </c>
      <c r="I20" s="60">
        <v>10</v>
      </c>
      <c r="K20" s="7">
        <v>18</v>
      </c>
      <c r="L20" s="65">
        <v>-355.50000000000006</v>
      </c>
      <c r="N20" s="78" t="s">
        <v>202</v>
      </c>
      <c r="O20" s="87">
        <f t="shared" si="2"/>
        <v>-17.649999999999999</v>
      </c>
      <c r="P20" s="81">
        <v>2</v>
      </c>
      <c r="Q20" s="72">
        <v>-35.299999999999997</v>
      </c>
    </row>
    <row r="21" spans="1:17" x14ac:dyDescent="0.45">
      <c r="A21" s="21" t="s">
        <v>12</v>
      </c>
      <c r="B21" s="14">
        <v>70</v>
      </c>
      <c r="C21" s="8">
        <f>IF(B$19=0,0,B21/B$19)</f>
        <v>0.45751633986928103</v>
      </c>
      <c r="E21" s="29" t="s">
        <v>92</v>
      </c>
      <c r="F21" s="26" t="s">
        <v>47</v>
      </c>
      <c r="G21" s="14">
        <v>1</v>
      </c>
      <c r="H21" s="92">
        <f>IF(B$19=0,0,G21/B$19)</f>
        <v>6.5359477124183009E-3</v>
      </c>
      <c r="I21" s="60">
        <v>5</v>
      </c>
      <c r="K21" s="7">
        <v>19</v>
      </c>
      <c r="L21" s="65">
        <v>-400.60000000000008</v>
      </c>
      <c r="N21" s="78" t="s">
        <v>167</v>
      </c>
      <c r="O21" s="87">
        <f t="shared" si="2"/>
        <v>-19.176470588235293</v>
      </c>
      <c r="P21" s="81">
        <v>34</v>
      </c>
      <c r="Q21" s="72">
        <v>-652</v>
      </c>
    </row>
    <row r="22" spans="1:17" x14ac:dyDescent="0.45">
      <c r="A22" s="21" t="s">
        <v>11</v>
      </c>
      <c r="B22" s="14">
        <v>83</v>
      </c>
      <c r="C22" s="8">
        <f>IF(B$19=0,0,B22/B$19)</f>
        <v>0.54248366013071891</v>
      </c>
      <c r="E22" s="29" t="s">
        <v>95</v>
      </c>
      <c r="F22" s="26" t="s">
        <v>50</v>
      </c>
      <c r="G22" s="14">
        <v>1</v>
      </c>
      <c r="H22" s="92">
        <f>IF(B$19=0,0,G22/B$19)</f>
        <v>6.5359477124183009E-3</v>
      </c>
      <c r="I22" s="60">
        <v>1</v>
      </c>
      <c r="K22" s="7">
        <v>20</v>
      </c>
      <c r="L22" s="65">
        <v>-428.10000000000008</v>
      </c>
      <c r="N22" s="78" t="s">
        <v>169</v>
      </c>
      <c r="O22" s="87">
        <f t="shared" si="2"/>
        <v>-21.183333333333334</v>
      </c>
      <c r="P22" s="81">
        <v>6</v>
      </c>
      <c r="Q22" s="72">
        <v>-127.1</v>
      </c>
    </row>
    <row r="23" spans="1:17" x14ac:dyDescent="0.45">
      <c r="A23" s="21" t="s">
        <v>192</v>
      </c>
      <c r="B23" s="14">
        <v>67</v>
      </c>
      <c r="C23" s="8">
        <f>IF(B$19=0,0,B23/B$19)</f>
        <v>0.43790849673202614</v>
      </c>
      <c r="E23" s="29" t="s">
        <v>159</v>
      </c>
      <c r="F23" s="26" t="s">
        <v>160</v>
      </c>
      <c r="G23" s="14">
        <v>1</v>
      </c>
      <c r="H23" s="92">
        <f>IF(B$19=0,0,G23/B$19)</f>
        <v>6.5359477124183009E-3</v>
      </c>
      <c r="I23" s="60">
        <v>8</v>
      </c>
      <c r="K23" s="7">
        <v>21</v>
      </c>
      <c r="L23" s="65">
        <v>-423.7000000000001</v>
      </c>
      <c r="N23" s="78" t="s">
        <v>126</v>
      </c>
      <c r="O23" s="87">
        <f t="shared" si="2"/>
        <v>-28.930769230769247</v>
      </c>
      <c r="P23" s="81">
        <v>26</v>
      </c>
      <c r="Q23" s="72">
        <v>-752.20000000000039</v>
      </c>
    </row>
    <row r="24" spans="1:17" x14ac:dyDescent="0.45">
      <c r="A24" s="21" t="s">
        <v>190</v>
      </c>
      <c r="B24" s="14">
        <v>57</v>
      </c>
      <c r="C24" s="8">
        <f>IF(B$19=0,0,B24/B$19)</f>
        <v>0.37254901960784315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10</v>
      </c>
      <c r="K24" s="7">
        <v>22</v>
      </c>
      <c r="L24" s="65">
        <v>-465.00000000000011</v>
      </c>
      <c r="N24" s="78" t="s">
        <v>194</v>
      </c>
      <c r="O24" s="87">
        <f t="shared" si="2"/>
        <v>-56.614285714285721</v>
      </c>
      <c r="P24" s="81">
        <v>7</v>
      </c>
      <c r="Q24" s="72">
        <v>-396.30000000000007</v>
      </c>
    </row>
    <row r="25" spans="1:17" x14ac:dyDescent="0.45">
      <c r="A25" s="21" t="s">
        <v>191</v>
      </c>
      <c r="B25" s="14">
        <v>29</v>
      </c>
      <c r="C25" s="8">
        <f>IF(B$19=0,0,B25/B$19)</f>
        <v>0.18954248366013071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-450.10000000000014</v>
      </c>
      <c r="N25" s="78" t="s">
        <v>201</v>
      </c>
      <c r="O25" s="87">
        <f t="shared" si="2"/>
        <v>-65.55</v>
      </c>
      <c r="P25" s="81">
        <v>2</v>
      </c>
      <c r="Q25" s="72">
        <v>-131.1</v>
      </c>
    </row>
    <row r="26" spans="1:17" x14ac:dyDescent="0.45">
      <c r="A26" s="21" t="s">
        <v>5</v>
      </c>
      <c r="B26" s="18">
        <f>IF(B$19=0,0,C26/B$19)</f>
        <v>8516.339869281046</v>
      </c>
      <c r="C26" s="10">
        <v>1303000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-474.10000000000014</v>
      </c>
    </row>
    <row r="27" spans="1:17" x14ac:dyDescent="0.45">
      <c r="A27" s="22" t="s">
        <v>174</v>
      </c>
      <c r="B27" s="99">
        <f>IF($B$19-B$18=0,0,C27/($B$19-B$18))</f>
        <v>9097.9166666666661</v>
      </c>
      <c r="C27" s="100">
        <v>873400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-488.30000000000013</v>
      </c>
    </row>
    <row r="28" spans="1:17" x14ac:dyDescent="0.45">
      <c r="A28" s="22" t="s">
        <v>175</v>
      </c>
      <c r="B28" s="99">
        <f>IF(B$18=0,0,C28/B$18)</f>
        <v>7536.8421052631575</v>
      </c>
      <c r="C28" s="100">
        <v>429600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-439.2000000000001</v>
      </c>
    </row>
    <row r="29" spans="1:17" x14ac:dyDescent="0.45">
      <c r="A29" s="22" t="s">
        <v>173</v>
      </c>
      <c r="B29" s="99">
        <f>IF(B$20=0,0,C29/B$20)</f>
        <v>-8213.9130434782601</v>
      </c>
      <c r="C29" s="100">
        <v>-944600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-418.80000000000013</v>
      </c>
    </row>
    <row r="30" spans="1:17" x14ac:dyDescent="0.45">
      <c r="A30" s="21" t="s">
        <v>161</v>
      </c>
      <c r="B30" s="14">
        <v>5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-447.30000000000013</v>
      </c>
    </row>
    <row r="31" spans="1:17" x14ac:dyDescent="0.45">
      <c r="A31" s="21" t="s">
        <v>162</v>
      </c>
      <c r="B31" s="14">
        <v>21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-442.60000000000014</v>
      </c>
    </row>
    <row r="32" spans="1:17" x14ac:dyDescent="0.45">
      <c r="A32" s="56" t="s">
        <v>138</v>
      </c>
      <c r="B32" s="123">
        <v>6</v>
      </c>
      <c r="C32" s="12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6</v>
      </c>
      <c r="K32" s="7">
        <v>30</v>
      </c>
      <c r="L32" s="65">
        <v>-472.50000000000011</v>
      </c>
    </row>
    <row r="33" spans="1:12" x14ac:dyDescent="0.45">
      <c r="A33" s="24" t="s">
        <v>189</v>
      </c>
      <c r="B33" s="125">
        <v>85100</v>
      </c>
      <c r="C33" s="12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-473.10000000000014</v>
      </c>
    </row>
    <row r="34" spans="1:12" x14ac:dyDescent="0.45">
      <c r="A34" s="23" t="s">
        <v>139</v>
      </c>
      <c r="B34" s="31">
        <v>3</v>
      </c>
      <c r="C34" s="11">
        <f>IF(B$3=0,0,B34/B$3)</f>
        <v>4.807692307692308E-3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-525.40000000000009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-548.20000000000005</v>
      </c>
    </row>
    <row r="36" spans="1:12" x14ac:dyDescent="0.45">
      <c r="A36" s="56" t="s">
        <v>180</v>
      </c>
      <c r="B36" s="119">
        <v>12</v>
      </c>
      <c r="C36" s="102">
        <f t="shared" ref="C36:C48" si="3">IF(B$19=0,0,B36/B$19)</f>
        <v>7.8431372549019607E-2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-531.90000000000009</v>
      </c>
    </row>
    <row r="37" spans="1:12" x14ac:dyDescent="0.45">
      <c r="A37" s="21" t="s">
        <v>176</v>
      </c>
      <c r="B37" s="14">
        <v>27</v>
      </c>
      <c r="C37" s="8">
        <f t="shared" si="3"/>
        <v>0.17647058823529413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-482.7000000000001</v>
      </c>
    </row>
    <row r="38" spans="1:12" x14ac:dyDescent="0.45">
      <c r="A38" s="21" t="s">
        <v>177</v>
      </c>
      <c r="B38" s="120">
        <v>30</v>
      </c>
      <c r="C38" s="8">
        <f t="shared" si="3"/>
        <v>0.19607843137254902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-498.00000000000011</v>
      </c>
    </row>
    <row r="39" spans="1:12" x14ac:dyDescent="0.45">
      <c r="A39" s="21" t="s">
        <v>178</v>
      </c>
      <c r="B39" s="120">
        <v>27</v>
      </c>
      <c r="C39" s="8">
        <f t="shared" si="3"/>
        <v>0.17647058823529413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-547.00000000000011</v>
      </c>
    </row>
    <row r="40" spans="1:12" x14ac:dyDescent="0.45">
      <c r="A40" s="21" t="s">
        <v>179</v>
      </c>
      <c r="B40" s="120">
        <v>22</v>
      </c>
      <c r="C40" s="8">
        <f t="shared" si="3"/>
        <v>0.1437908496732026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-570.10000000000014</v>
      </c>
    </row>
    <row r="41" spans="1:12" x14ac:dyDescent="0.45">
      <c r="A41" s="21" t="s">
        <v>181</v>
      </c>
      <c r="B41" s="120">
        <v>14</v>
      </c>
      <c r="C41" s="8">
        <f t="shared" si="3"/>
        <v>9.1503267973856203E-2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-524.90000000000009</v>
      </c>
    </row>
    <row r="42" spans="1:12" x14ac:dyDescent="0.45">
      <c r="A42" s="21" t="s">
        <v>182</v>
      </c>
      <c r="B42" s="120">
        <v>10</v>
      </c>
      <c r="C42" s="8">
        <f t="shared" si="3"/>
        <v>6.535947712418301E-2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-573.70000000000005</v>
      </c>
    </row>
    <row r="43" spans="1:12" x14ac:dyDescent="0.45">
      <c r="A43" s="21" t="s">
        <v>183</v>
      </c>
      <c r="B43" s="120">
        <v>6</v>
      </c>
      <c r="C43" s="8">
        <f t="shared" si="3"/>
        <v>3.9215686274509803E-2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-624.80000000000007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-604.80000000000007</v>
      </c>
    </row>
    <row r="45" spans="1:12" x14ac:dyDescent="0.45">
      <c r="A45" s="21" t="s">
        <v>185</v>
      </c>
      <c r="B45" s="120">
        <v>1</v>
      </c>
      <c r="C45" s="8">
        <f t="shared" si="3"/>
        <v>6.5359477124183009E-3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-623.30000000000007</v>
      </c>
    </row>
    <row r="46" spans="1:12" x14ac:dyDescent="0.45">
      <c r="A46" s="21" t="s">
        <v>186</v>
      </c>
      <c r="B46" s="120">
        <v>2</v>
      </c>
      <c r="C46" s="8">
        <f t="shared" si="3"/>
        <v>1.3071895424836602E-2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-588.1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-559.20000000000005</v>
      </c>
    </row>
    <row r="48" spans="1:12" x14ac:dyDescent="0.45">
      <c r="A48" s="23" t="s">
        <v>188</v>
      </c>
      <c r="B48" s="101">
        <v>2</v>
      </c>
      <c r="C48" s="11">
        <f t="shared" si="3"/>
        <v>1.3071895424836602E-2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-555.90000000000009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-550.60000000000014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-545.00000000000011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-581.30000000000007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-579.30000000000007</v>
      </c>
    </row>
    <row r="53" spans="5:12" x14ac:dyDescent="0.45">
      <c r="K53" s="7">
        <v>51</v>
      </c>
      <c r="L53" s="65">
        <v>-614.70000000000005</v>
      </c>
    </row>
    <row r="54" spans="5:12" x14ac:dyDescent="0.45">
      <c r="K54" s="7">
        <v>52</v>
      </c>
      <c r="L54" s="65">
        <v>-603.1</v>
      </c>
    </row>
    <row r="55" spans="5:12" x14ac:dyDescent="0.45">
      <c r="K55" s="7">
        <v>53</v>
      </c>
      <c r="L55" s="65">
        <v>-652.6</v>
      </c>
    </row>
    <row r="56" spans="5:12" x14ac:dyDescent="0.45">
      <c r="K56" s="7">
        <v>54</v>
      </c>
      <c r="L56" s="65">
        <v>-626.4</v>
      </c>
    </row>
    <row r="57" spans="5:12" x14ac:dyDescent="0.45">
      <c r="K57" s="7">
        <v>55</v>
      </c>
      <c r="L57" s="65">
        <v>-626.4</v>
      </c>
    </row>
    <row r="58" spans="5:12" x14ac:dyDescent="0.45">
      <c r="K58" s="7">
        <v>56</v>
      </c>
      <c r="L58" s="65">
        <v>-620</v>
      </c>
    </row>
    <row r="59" spans="5:12" x14ac:dyDescent="0.45">
      <c r="K59" s="7">
        <v>57</v>
      </c>
      <c r="L59" s="65">
        <v>-623.6</v>
      </c>
    </row>
    <row r="60" spans="5:12" x14ac:dyDescent="0.45">
      <c r="K60" s="7">
        <v>58</v>
      </c>
      <c r="L60" s="65">
        <v>-614.20000000000005</v>
      </c>
    </row>
    <row r="61" spans="5:12" x14ac:dyDescent="0.45">
      <c r="K61" s="7">
        <v>59</v>
      </c>
      <c r="L61" s="65">
        <v>-627.40000000000009</v>
      </c>
    </row>
    <row r="62" spans="5:12" x14ac:dyDescent="0.45">
      <c r="K62" s="7">
        <v>60</v>
      </c>
      <c r="L62" s="65">
        <v>-656.2</v>
      </c>
    </row>
    <row r="63" spans="5:12" x14ac:dyDescent="0.45">
      <c r="K63" s="7">
        <v>61</v>
      </c>
      <c r="L63" s="65">
        <v>-653.40000000000009</v>
      </c>
    </row>
    <row r="64" spans="5:12" x14ac:dyDescent="0.45">
      <c r="K64" s="7">
        <v>62</v>
      </c>
      <c r="L64" s="65">
        <v>-665.40000000000009</v>
      </c>
    </row>
    <row r="65" spans="11:12" x14ac:dyDescent="0.45">
      <c r="K65" s="7">
        <v>63</v>
      </c>
      <c r="L65" s="65">
        <v>-697.10000000000014</v>
      </c>
    </row>
    <row r="66" spans="11:12" x14ac:dyDescent="0.45">
      <c r="K66" s="7">
        <v>64</v>
      </c>
      <c r="L66" s="65">
        <v>-704.90000000000009</v>
      </c>
    </row>
    <row r="67" spans="11:12" x14ac:dyDescent="0.45">
      <c r="K67" s="7">
        <v>65</v>
      </c>
      <c r="L67" s="65">
        <v>-668.90000000000009</v>
      </c>
    </row>
    <row r="68" spans="11:12" x14ac:dyDescent="0.45">
      <c r="K68" s="7">
        <v>66</v>
      </c>
      <c r="L68" s="65">
        <v>-672.40000000000009</v>
      </c>
    </row>
    <row r="69" spans="11:12" x14ac:dyDescent="0.45">
      <c r="K69" s="7">
        <v>67</v>
      </c>
      <c r="L69" s="65">
        <v>-655.40000000000009</v>
      </c>
    </row>
    <row r="70" spans="11:12" x14ac:dyDescent="0.45">
      <c r="K70" s="7">
        <v>68</v>
      </c>
      <c r="L70" s="65">
        <v>-656.10000000000014</v>
      </c>
    </row>
    <row r="71" spans="11:12" x14ac:dyDescent="0.45">
      <c r="K71" s="7">
        <v>69</v>
      </c>
      <c r="L71" s="65">
        <v>-691.90000000000009</v>
      </c>
    </row>
    <row r="72" spans="11:12" x14ac:dyDescent="0.45">
      <c r="K72" s="7">
        <v>70</v>
      </c>
      <c r="L72" s="65">
        <v>-739.50000000000011</v>
      </c>
    </row>
    <row r="73" spans="11:12" x14ac:dyDescent="0.45">
      <c r="K73" s="7">
        <v>71</v>
      </c>
      <c r="L73" s="65">
        <v>-786.20000000000016</v>
      </c>
    </row>
    <row r="74" spans="11:12" x14ac:dyDescent="0.45">
      <c r="K74" s="7">
        <v>72</v>
      </c>
      <c r="L74" s="65">
        <v>-848.4000000000002</v>
      </c>
    </row>
    <row r="75" spans="11:12" x14ac:dyDescent="0.45">
      <c r="K75" s="7">
        <v>73</v>
      </c>
      <c r="L75" s="65">
        <v>-864.60000000000025</v>
      </c>
    </row>
    <row r="76" spans="11:12" x14ac:dyDescent="0.45">
      <c r="K76" s="7">
        <v>74</v>
      </c>
      <c r="L76" s="65">
        <v>-854.50000000000023</v>
      </c>
    </row>
    <row r="77" spans="11:12" x14ac:dyDescent="0.45">
      <c r="K77" s="7">
        <v>75</v>
      </c>
      <c r="L77" s="65">
        <v>-859.4000000000002</v>
      </c>
    </row>
  </sheetData>
  <sortState xmlns:xlrd2="http://schemas.microsoft.com/office/spreadsheetml/2017/richdata2" ref="E2:I7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6287B-1FE8-4199-8EA0-A840D3F2F1D2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194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32</v>
      </c>
      <c r="C2" s="130"/>
      <c r="E2" s="28" t="s">
        <v>66</v>
      </c>
      <c r="F2" s="25" t="s">
        <v>22</v>
      </c>
      <c r="G2" s="13">
        <v>67</v>
      </c>
      <c r="H2" s="91">
        <f>IF(B$19=0,0,G2/B$19)</f>
        <v>0.87012987012987009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-2816.1290322580644</v>
      </c>
      <c r="P2" s="80">
        <v>31</v>
      </c>
      <c r="Q2" s="67">
        <v>-87300</v>
      </c>
    </row>
    <row r="3" spans="1:17" x14ac:dyDescent="0.45">
      <c r="A3" s="21" t="s">
        <v>8</v>
      </c>
      <c r="B3" s="131">
        <v>298</v>
      </c>
      <c r="C3" s="132"/>
      <c r="E3" s="29" t="s">
        <v>64</v>
      </c>
      <c r="F3" s="26" t="s">
        <v>20</v>
      </c>
      <c r="G3" s="14">
        <v>47</v>
      </c>
      <c r="H3" s="92">
        <f>IF(B$19=0,0,G3/B$19)</f>
        <v>0.61038961038961037</v>
      </c>
      <c r="I3" s="60">
        <v>3</v>
      </c>
      <c r="K3" s="7">
        <v>1</v>
      </c>
      <c r="L3" s="65">
        <v>70.2</v>
      </c>
      <c r="N3" s="78" t="s">
        <v>131</v>
      </c>
      <c r="O3" s="84">
        <f t="shared" si="0"/>
        <v>-1836.6666666666667</v>
      </c>
      <c r="P3" s="81">
        <v>30</v>
      </c>
      <c r="Q3" s="68">
        <v>-55100</v>
      </c>
    </row>
    <row r="4" spans="1:17" x14ac:dyDescent="0.45">
      <c r="A4" s="21" t="s">
        <v>6</v>
      </c>
      <c r="B4" s="133">
        <v>-96.699999999999974</v>
      </c>
      <c r="C4" s="134"/>
      <c r="E4" s="29" t="s">
        <v>68</v>
      </c>
      <c r="F4" s="26" t="s">
        <v>12</v>
      </c>
      <c r="G4" s="14">
        <v>36</v>
      </c>
      <c r="H4" s="92">
        <f>IF(B$19=0,0,G4/B$19)</f>
        <v>0.46753246753246752</v>
      </c>
      <c r="I4" s="60">
        <v>1</v>
      </c>
      <c r="K4" s="7">
        <v>2</v>
      </c>
      <c r="L4" s="65">
        <v>68.5</v>
      </c>
      <c r="N4" s="78" t="s">
        <v>132</v>
      </c>
      <c r="O4" s="84">
        <f t="shared" si="0"/>
        <v>1862.0689655172414</v>
      </c>
      <c r="P4" s="81">
        <v>29</v>
      </c>
      <c r="Q4" s="68">
        <v>54000</v>
      </c>
    </row>
    <row r="5" spans="1:17" x14ac:dyDescent="0.45">
      <c r="A5" s="21" t="s">
        <v>7</v>
      </c>
      <c r="B5" s="121">
        <f>IF(B$2=0,0,B$4/B$2)</f>
        <v>-3.0218749999999992</v>
      </c>
      <c r="C5" s="122"/>
      <c r="E5" s="29" t="s">
        <v>163</v>
      </c>
      <c r="F5" s="26" t="s">
        <v>164</v>
      </c>
      <c r="G5" s="14">
        <v>31</v>
      </c>
      <c r="H5" s="92">
        <f>IF(B$19=0,0,G5/B$19)</f>
        <v>0.40259740259740262</v>
      </c>
      <c r="I5" s="60">
        <v>6</v>
      </c>
      <c r="K5" s="7">
        <v>3</v>
      </c>
      <c r="L5" s="65">
        <v>76</v>
      </c>
      <c r="N5" s="78" t="s">
        <v>133</v>
      </c>
      <c r="O5" s="84">
        <f t="shared" si="0"/>
        <v>-2503.4482758620688</v>
      </c>
      <c r="P5" s="81">
        <v>29</v>
      </c>
      <c r="Q5" s="68">
        <v>-72600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72</v>
      </c>
      <c r="F6" s="26" t="s">
        <v>27</v>
      </c>
      <c r="G6" s="14">
        <v>29</v>
      </c>
      <c r="H6" s="92">
        <f>IF(B$19=0,0,G6/B$19)</f>
        <v>0.37662337662337664</v>
      </c>
      <c r="I6" s="60">
        <v>12</v>
      </c>
      <c r="K6" s="7">
        <v>4</v>
      </c>
      <c r="L6" s="65">
        <v>115.5</v>
      </c>
      <c r="N6" s="78" t="s">
        <v>134</v>
      </c>
      <c r="O6" s="84">
        <f t="shared" si="0"/>
        <v>3992.3076923076924</v>
      </c>
      <c r="P6" s="81">
        <v>26</v>
      </c>
      <c r="Q6" s="68">
        <v>103800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0.375</v>
      </c>
      <c r="E7" s="29" t="s">
        <v>67</v>
      </c>
      <c r="F7" s="26" t="s">
        <v>23</v>
      </c>
      <c r="G7" s="14">
        <v>17</v>
      </c>
      <c r="H7" s="92">
        <f>IF(B$19=0,0,G7/B$19)</f>
        <v>0.22077922077922077</v>
      </c>
      <c r="I7" s="60">
        <v>11</v>
      </c>
      <c r="K7" s="7">
        <v>5</v>
      </c>
      <c r="L7" s="65">
        <v>127.9</v>
      </c>
      <c r="N7" s="79" t="s">
        <v>135</v>
      </c>
      <c r="O7" s="85">
        <f t="shared" si="0"/>
        <v>772.72727272727275</v>
      </c>
      <c r="P7" s="82">
        <v>22</v>
      </c>
      <c r="Q7" s="69">
        <v>17000</v>
      </c>
    </row>
    <row r="8" spans="1:17" x14ac:dyDescent="0.45">
      <c r="A8" s="21" t="s">
        <v>3</v>
      </c>
      <c r="B8" s="14">
        <v>8</v>
      </c>
      <c r="C8" s="8">
        <f t="shared" si="1"/>
        <v>0.25</v>
      </c>
      <c r="E8" s="29" t="s">
        <v>69</v>
      </c>
      <c r="F8" s="26" t="s">
        <v>24</v>
      </c>
      <c r="G8" s="14">
        <v>16</v>
      </c>
      <c r="H8" s="92">
        <f>IF(B$19=0,0,G8/B$19)</f>
        <v>0.20779220779220781</v>
      </c>
      <c r="I8" s="60">
        <v>2</v>
      </c>
      <c r="K8" s="7">
        <v>6</v>
      </c>
      <c r="L8" s="65">
        <v>149.4</v>
      </c>
      <c r="N8" s="111"/>
      <c r="O8" s="89"/>
      <c r="P8" s="112"/>
      <c r="Q8" s="74"/>
    </row>
    <row r="9" spans="1:17" x14ac:dyDescent="0.45">
      <c r="A9" s="22" t="s">
        <v>4</v>
      </c>
      <c r="B9" s="15">
        <v>12</v>
      </c>
      <c r="C9" s="9">
        <f t="shared" si="1"/>
        <v>0.375</v>
      </c>
      <c r="E9" s="29" t="s">
        <v>65</v>
      </c>
      <c r="F9" s="26" t="s">
        <v>21</v>
      </c>
      <c r="G9" s="14">
        <v>9</v>
      </c>
      <c r="H9" s="92">
        <f>IF(B$19=0,0,G9/B$19)</f>
        <v>0.11688311688311688</v>
      </c>
      <c r="I9" s="60">
        <v>6</v>
      </c>
      <c r="K9" s="7">
        <v>7</v>
      </c>
      <c r="L9" s="65">
        <v>123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28.716666666666669</v>
      </c>
      <c r="C10" s="114">
        <v>344.6</v>
      </c>
      <c r="E10" s="29" t="s">
        <v>70</v>
      </c>
      <c r="F10" s="26" t="s">
        <v>25</v>
      </c>
      <c r="G10" s="14">
        <v>8</v>
      </c>
      <c r="H10" s="92">
        <f>IF(B$19=0,0,G10/B$19)</f>
        <v>0.1038961038961039</v>
      </c>
      <c r="I10" s="60">
        <v>7</v>
      </c>
      <c r="K10" s="7">
        <v>8</v>
      </c>
      <c r="L10" s="65">
        <v>124.6</v>
      </c>
      <c r="N10" s="77" t="s">
        <v>154</v>
      </c>
      <c r="O10" s="86">
        <f>IF(P10=0,0,Q10/P10)</f>
        <v>-6.4916666666666671</v>
      </c>
      <c r="P10" s="80">
        <v>12</v>
      </c>
      <c r="Q10" s="71">
        <v>-77.900000000000006</v>
      </c>
    </row>
    <row r="11" spans="1:17" x14ac:dyDescent="0.45">
      <c r="A11" s="22" t="s">
        <v>204</v>
      </c>
      <c r="B11" s="113">
        <f>IF(B8=0,0,C11/B8)</f>
        <v>-0.31249999999999956</v>
      </c>
      <c r="C11" s="114">
        <v>-2.4999999999999964</v>
      </c>
      <c r="E11" s="29" t="s">
        <v>89</v>
      </c>
      <c r="F11" s="26" t="s">
        <v>44</v>
      </c>
      <c r="G11" s="14">
        <v>7</v>
      </c>
      <c r="H11" s="92">
        <f>IF(B$19=0,0,G11/B$19)</f>
        <v>9.0909090909090912E-2</v>
      </c>
      <c r="I11" s="60">
        <v>11</v>
      </c>
      <c r="K11" s="7">
        <v>9</v>
      </c>
      <c r="L11" s="65">
        <v>141.5</v>
      </c>
      <c r="N11" s="78" t="s">
        <v>155</v>
      </c>
      <c r="O11" s="87">
        <f>IF(P11=0,0,Q11/P11)</f>
        <v>-7.6800000000000015</v>
      </c>
      <c r="P11" s="81">
        <v>10</v>
      </c>
      <c r="Q11" s="72">
        <v>-76.800000000000011</v>
      </c>
    </row>
    <row r="12" spans="1:17" x14ac:dyDescent="0.45">
      <c r="A12" s="22" t="s">
        <v>205</v>
      </c>
      <c r="B12" s="113">
        <f>IF(B9=0,0,C12/B9)</f>
        <v>-36.56666666666667</v>
      </c>
      <c r="C12" s="114">
        <v>-438.80000000000007</v>
      </c>
      <c r="E12" s="29" t="s">
        <v>71</v>
      </c>
      <c r="F12" s="26" t="s">
        <v>26</v>
      </c>
      <c r="G12" s="14">
        <v>6</v>
      </c>
      <c r="H12" s="92">
        <f>IF(B$19=0,0,G12/B$19)</f>
        <v>7.792207792207792E-2</v>
      </c>
      <c r="I12" s="60">
        <v>8</v>
      </c>
      <c r="K12" s="7">
        <v>10</v>
      </c>
      <c r="L12" s="65">
        <v>162.80000000000001</v>
      </c>
      <c r="N12" s="79" t="s">
        <v>156</v>
      </c>
      <c r="O12" s="88">
        <f>IF(P12=0,0,Q12/P12)</f>
        <v>5.8</v>
      </c>
      <c r="P12" s="82">
        <v>10</v>
      </c>
      <c r="Q12" s="73">
        <v>58</v>
      </c>
    </row>
    <row r="13" spans="1:17" x14ac:dyDescent="0.45">
      <c r="A13" s="22" t="s">
        <v>206</v>
      </c>
      <c r="B13" s="121">
        <f>AVERAGE(B10:B12)</f>
        <v>-2.7208333333333337</v>
      </c>
      <c r="C13" s="122"/>
      <c r="E13" s="29" t="s">
        <v>78</v>
      </c>
      <c r="F13" s="26" t="s">
        <v>33</v>
      </c>
      <c r="G13" s="14">
        <v>5</v>
      </c>
      <c r="H13" s="92">
        <f>IF(B$19=0,0,G13/B$19)</f>
        <v>6.4935064935064929E-2</v>
      </c>
      <c r="I13" s="60">
        <v>2</v>
      </c>
      <c r="K13" s="7">
        <v>11</v>
      </c>
      <c r="L13" s="65">
        <v>126.10000000000001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0.15625</v>
      </c>
      <c r="E14" s="29" t="s">
        <v>86</v>
      </c>
      <c r="F14" s="26" t="s">
        <v>41</v>
      </c>
      <c r="G14" s="14">
        <v>4</v>
      </c>
      <c r="H14" s="92">
        <f>IF(B$19=0,0,G14/B$19)</f>
        <v>5.1948051948051951E-2</v>
      </c>
      <c r="I14" s="60">
        <v>5</v>
      </c>
      <c r="K14" s="7">
        <v>12</v>
      </c>
      <c r="L14" s="65">
        <v>78.100000000000009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83</v>
      </c>
      <c r="C15" s="12">
        <f>IF(B$3=0,0,B15/B$3)</f>
        <v>0.27852348993288589</v>
      </c>
      <c r="E15" s="29" t="s">
        <v>83</v>
      </c>
      <c r="F15" s="26" t="s">
        <v>38</v>
      </c>
      <c r="G15" s="14">
        <v>2</v>
      </c>
      <c r="H15" s="92">
        <f>IF(B$19=0,0,G15/B$19)</f>
        <v>2.5974025974025976E-2</v>
      </c>
      <c r="I15" s="60">
        <v>12</v>
      </c>
      <c r="K15" s="7">
        <v>13</v>
      </c>
      <c r="L15" s="65">
        <v>76.7</v>
      </c>
      <c r="N15" s="77" t="s">
        <v>195</v>
      </c>
      <c r="O15" s="86">
        <f t="shared" ref="O15:O23" si="2">IF(P15=0,0,Q15/P15)</f>
        <v>56.614285714285721</v>
      </c>
      <c r="P15" s="80">
        <v>7</v>
      </c>
      <c r="Q15" s="71">
        <v>396.30000000000007</v>
      </c>
    </row>
    <row r="16" spans="1:17" x14ac:dyDescent="0.45">
      <c r="A16" s="21" t="s">
        <v>118</v>
      </c>
      <c r="B16" s="14">
        <v>48</v>
      </c>
      <c r="C16" s="8">
        <f>IF(B$3=0,0,B16/B$3)</f>
        <v>0.16107382550335569</v>
      </c>
      <c r="E16" s="29" t="s">
        <v>75</v>
      </c>
      <c r="F16" s="26" t="s">
        <v>30</v>
      </c>
      <c r="G16" s="14">
        <v>1</v>
      </c>
      <c r="H16" s="92">
        <f>IF(B$19=0,0,G16/B$19)</f>
        <v>1.2987012987012988E-2</v>
      </c>
      <c r="I16" s="60">
        <v>2</v>
      </c>
      <c r="K16" s="7">
        <v>14</v>
      </c>
      <c r="L16" s="65">
        <v>49.900000000000006</v>
      </c>
      <c r="N16" s="78" t="s">
        <v>169</v>
      </c>
      <c r="O16" s="87">
        <f t="shared" si="2"/>
        <v>1.8909090909090909</v>
      </c>
      <c r="P16" s="81">
        <v>11</v>
      </c>
      <c r="Q16" s="72">
        <v>20.8</v>
      </c>
    </row>
    <row r="17" spans="1:17" x14ac:dyDescent="0.45">
      <c r="A17" s="20" t="s">
        <v>123</v>
      </c>
      <c r="B17" s="13">
        <f>B23</f>
        <v>47</v>
      </c>
      <c r="C17" s="6">
        <f>IF(B$15=0,0,B17/B$15)</f>
        <v>0.5662650602409639</v>
      </c>
      <c r="E17" s="29" t="s">
        <v>81</v>
      </c>
      <c r="F17" s="26" t="s">
        <v>36</v>
      </c>
      <c r="G17" s="14">
        <v>1</v>
      </c>
      <c r="H17" s="92">
        <f>IF(B$19=0,0,G17/B$19)</f>
        <v>1.2987012987012988E-2</v>
      </c>
      <c r="I17" s="60">
        <v>10</v>
      </c>
      <c r="K17" s="7">
        <v>15</v>
      </c>
      <c r="L17" s="65">
        <v>73.7</v>
      </c>
      <c r="N17" s="78" t="s">
        <v>275</v>
      </c>
      <c r="O17" s="87">
        <f t="shared" si="2"/>
        <v>0.16666666666666785</v>
      </c>
      <c r="P17" s="81">
        <v>3</v>
      </c>
      <c r="Q17" s="72">
        <v>0.50000000000000355</v>
      </c>
    </row>
    <row r="18" spans="1:17" x14ac:dyDescent="0.45">
      <c r="A18" s="20" t="s">
        <v>124</v>
      </c>
      <c r="B18" s="13">
        <f>B24</f>
        <v>15</v>
      </c>
      <c r="C18" s="6">
        <f>IF(B$16=0,0,B18/B$16)</f>
        <v>0.3125</v>
      </c>
      <c r="E18" s="29" t="s">
        <v>85</v>
      </c>
      <c r="F18" s="26" t="s">
        <v>40</v>
      </c>
      <c r="G18" s="14">
        <v>1</v>
      </c>
      <c r="H18" s="92">
        <f>IF(B$19=0,0,G18/B$19)</f>
        <v>1.2987012987012988E-2</v>
      </c>
      <c r="I18" s="60">
        <v>2</v>
      </c>
      <c r="K18" s="7">
        <v>16</v>
      </c>
      <c r="L18" s="65">
        <v>28.300000000000004</v>
      </c>
      <c r="N18" s="78" t="s">
        <v>167</v>
      </c>
      <c r="O18" s="87">
        <f t="shared" si="2"/>
        <v>-5.15</v>
      </c>
      <c r="P18" s="81">
        <v>10</v>
      </c>
      <c r="Q18" s="72">
        <v>-51.500000000000007</v>
      </c>
    </row>
    <row r="19" spans="1:17" x14ac:dyDescent="0.45">
      <c r="A19" s="20" t="s">
        <v>10</v>
      </c>
      <c r="B19" s="13">
        <f>B22+B21</f>
        <v>77</v>
      </c>
      <c r="C19" s="6">
        <f>IF(B$3=0,0,B19/B$3)</f>
        <v>0.25838926174496646</v>
      </c>
      <c r="E19" s="29" t="s">
        <v>87</v>
      </c>
      <c r="F19" s="26" t="s">
        <v>42</v>
      </c>
      <c r="G19" s="14">
        <v>1</v>
      </c>
      <c r="H19" s="92">
        <f>IF(B$19=0,0,G19/B$19)</f>
        <v>1.2987012987012988E-2</v>
      </c>
      <c r="I19" s="60">
        <v>2</v>
      </c>
      <c r="K19" s="7">
        <v>17</v>
      </c>
      <c r="L19" s="65">
        <v>49.800000000000004</v>
      </c>
      <c r="N19" s="78" t="s">
        <v>168</v>
      </c>
      <c r="O19" s="87">
        <f t="shared" si="2"/>
        <v>-5.7000000000000011</v>
      </c>
      <c r="P19" s="81">
        <v>5</v>
      </c>
      <c r="Q19" s="72">
        <v>-28.500000000000004</v>
      </c>
    </row>
    <row r="20" spans="1:17" x14ac:dyDescent="0.45">
      <c r="A20" s="21" t="s">
        <v>13</v>
      </c>
      <c r="B20" s="14">
        <v>50</v>
      </c>
      <c r="C20" s="8">
        <f>IF(B$3=0,0,B20/B$3)</f>
        <v>0.16778523489932887</v>
      </c>
      <c r="E20" s="29" t="s">
        <v>159</v>
      </c>
      <c r="F20" s="26" t="s">
        <v>160</v>
      </c>
      <c r="G20" s="14">
        <v>1</v>
      </c>
      <c r="H20" s="92">
        <f>IF(B$19=0,0,G20/B$19)</f>
        <v>1.2987012987012988E-2</v>
      </c>
      <c r="I20" s="60">
        <v>6</v>
      </c>
      <c r="K20" s="7">
        <v>18</v>
      </c>
      <c r="L20" s="65">
        <v>24.700000000000003</v>
      </c>
      <c r="N20" s="78" t="s">
        <v>158</v>
      </c>
      <c r="O20" s="87">
        <f t="shared" si="2"/>
        <v>-7.4333333333333336</v>
      </c>
      <c r="P20" s="81">
        <v>6</v>
      </c>
      <c r="Q20" s="72">
        <v>-44.6</v>
      </c>
    </row>
    <row r="21" spans="1:17" x14ac:dyDescent="0.45">
      <c r="A21" s="21" t="s">
        <v>12</v>
      </c>
      <c r="B21" s="14">
        <v>45</v>
      </c>
      <c r="C21" s="8">
        <f>IF(B$19=0,0,B21/B$19)</f>
        <v>0.58441558441558439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8.7000000000000028</v>
      </c>
      <c r="N21" s="78" t="s">
        <v>201</v>
      </c>
      <c r="O21" s="87">
        <f t="shared" si="2"/>
        <v>-17.850000000000001</v>
      </c>
      <c r="P21" s="81">
        <v>2</v>
      </c>
      <c r="Q21" s="72">
        <v>-35.700000000000003</v>
      </c>
    </row>
    <row r="22" spans="1:17" x14ac:dyDescent="0.45">
      <c r="A22" s="21" t="s">
        <v>11</v>
      </c>
      <c r="B22" s="14">
        <v>32</v>
      </c>
      <c r="C22" s="8">
        <f>IF(B$19=0,0,B22/B$19)</f>
        <v>0.41558441558441561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-33</v>
      </c>
      <c r="N22" s="78" t="s">
        <v>127</v>
      </c>
      <c r="O22" s="87">
        <f t="shared" si="2"/>
        <v>-21.862499999999997</v>
      </c>
      <c r="P22" s="81">
        <v>8</v>
      </c>
      <c r="Q22" s="72">
        <v>-174.89999999999998</v>
      </c>
    </row>
    <row r="23" spans="1:17" x14ac:dyDescent="0.45">
      <c r="A23" s="21" t="s">
        <v>192</v>
      </c>
      <c r="B23" s="14">
        <v>47</v>
      </c>
      <c r="C23" s="8">
        <f>IF(B$19=0,0,B23/B$19)</f>
        <v>0.61038961038961037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-35.4</v>
      </c>
      <c r="N23" s="78" t="s">
        <v>126</v>
      </c>
      <c r="O23" s="87">
        <f t="shared" si="2"/>
        <v>-31.041666666666675</v>
      </c>
      <c r="P23" s="81">
        <v>12</v>
      </c>
      <c r="Q23" s="72">
        <v>-372.50000000000011</v>
      </c>
    </row>
    <row r="24" spans="1:17" x14ac:dyDescent="0.45">
      <c r="A24" s="21" t="s">
        <v>190</v>
      </c>
      <c r="B24" s="14">
        <v>15</v>
      </c>
      <c r="C24" s="8">
        <f>IF(B$19=0,0,B24/B$19)</f>
        <v>0.19480519480519481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-13.5</v>
      </c>
    </row>
    <row r="25" spans="1:17" x14ac:dyDescent="0.45">
      <c r="A25" s="21" t="s">
        <v>191</v>
      </c>
      <c r="B25" s="14">
        <v>15</v>
      </c>
      <c r="C25" s="8">
        <f>IF(B$19=0,0,B25/B$19)</f>
        <v>0.19480519480519481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11</v>
      </c>
      <c r="K25" s="7">
        <v>23</v>
      </c>
      <c r="L25" s="65">
        <v>27.299999999999997</v>
      </c>
    </row>
    <row r="26" spans="1:17" x14ac:dyDescent="0.45">
      <c r="A26" s="21" t="s">
        <v>5</v>
      </c>
      <c r="B26" s="18">
        <f>IF(B$19=0,0,C26/B$19)</f>
        <v>8164.9350649350654</v>
      </c>
      <c r="C26" s="10">
        <v>628700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2.1999999999999957</v>
      </c>
    </row>
    <row r="27" spans="1:17" x14ac:dyDescent="0.45">
      <c r="A27" s="22" t="s">
        <v>174</v>
      </c>
      <c r="B27" s="99">
        <f>IF($B$19-B$18=0,0,C27/($B$19-B$18))</f>
        <v>8512.9032258064508</v>
      </c>
      <c r="C27" s="100">
        <v>527800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-45.7</v>
      </c>
    </row>
    <row r="28" spans="1:17" x14ac:dyDescent="0.45">
      <c r="A28" s="22" t="s">
        <v>175</v>
      </c>
      <c r="B28" s="99">
        <f>IF(B$18=0,0,C28/B$18)</f>
        <v>6726.666666666667</v>
      </c>
      <c r="C28" s="100">
        <v>100900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-29.900000000000002</v>
      </c>
    </row>
    <row r="29" spans="1:17" x14ac:dyDescent="0.45">
      <c r="A29" s="22" t="s">
        <v>173</v>
      </c>
      <c r="B29" s="99">
        <f>IF(B$20=0,0,C29/B$20)</f>
        <v>-7102</v>
      </c>
      <c r="C29" s="100">
        <v>-355100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-76.5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-129.6</v>
      </c>
    </row>
    <row r="31" spans="1:17" x14ac:dyDescent="0.45">
      <c r="A31" s="21" t="s">
        <v>162</v>
      </c>
      <c r="B31" s="14">
        <v>19</v>
      </c>
      <c r="C31" s="94">
        <v>8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  <c r="K31" s="7">
        <v>29</v>
      </c>
      <c r="L31" s="65">
        <v>-128.79999999999998</v>
      </c>
    </row>
    <row r="32" spans="1:17" x14ac:dyDescent="0.45">
      <c r="A32" s="56" t="s">
        <v>138</v>
      </c>
      <c r="B32" s="123">
        <v>7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-106.39999999999998</v>
      </c>
    </row>
    <row r="33" spans="1:12" x14ac:dyDescent="0.45">
      <c r="A33" s="24" t="s">
        <v>189</v>
      </c>
      <c r="B33" s="125">
        <v>95200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-77.399999999999977</v>
      </c>
    </row>
    <row r="34" spans="1:12" x14ac:dyDescent="0.45">
      <c r="A34" s="23" t="s">
        <v>139</v>
      </c>
      <c r="B34" s="31">
        <v>1</v>
      </c>
      <c r="C34" s="11">
        <f>IF(B$3=0,0,B34/B$3)</f>
        <v>3.3557046979865771E-3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-96.699999999999974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</row>
    <row r="36" spans="1:12" x14ac:dyDescent="0.45">
      <c r="A36" s="56" t="s">
        <v>180</v>
      </c>
      <c r="B36" s="119">
        <v>9</v>
      </c>
      <c r="C36" s="102">
        <f t="shared" ref="C36:C48" si="3">IF(B$19=0,0,B36/B$19)</f>
        <v>0.11688311688311688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176</v>
      </c>
      <c r="B37" s="14">
        <v>11</v>
      </c>
      <c r="C37" s="8">
        <f t="shared" si="3"/>
        <v>0.14285714285714285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177</v>
      </c>
      <c r="B38" s="120">
        <v>13</v>
      </c>
      <c r="C38" s="8">
        <f t="shared" si="3"/>
        <v>0.16883116883116883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178</v>
      </c>
      <c r="B39" s="120">
        <v>10</v>
      </c>
      <c r="C39" s="8">
        <f t="shared" si="3"/>
        <v>0.12987012987012986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179</v>
      </c>
      <c r="B40" s="120">
        <v>13</v>
      </c>
      <c r="C40" s="8">
        <f t="shared" si="3"/>
        <v>0.16883116883116883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181</v>
      </c>
      <c r="B41" s="120">
        <v>14</v>
      </c>
      <c r="C41" s="8">
        <f t="shared" si="3"/>
        <v>0.18181818181818182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182</v>
      </c>
      <c r="B42" s="120">
        <v>4</v>
      </c>
      <c r="C42" s="8">
        <f t="shared" si="3"/>
        <v>5.1948051948051951E-2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183</v>
      </c>
      <c r="B43" s="120">
        <v>2</v>
      </c>
      <c r="C43" s="8">
        <f t="shared" si="3"/>
        <v>2.5974025974025976E-2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185</v>
      </c>
      <c r="B45" s="120">
        <v>1</v>
      </c>
      <c r="C45" s="8">
        <f t="shared" si="3"/>
        <v>1.2987012987012988E-2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188</v>
      </c>
      <c r="B48" s="101">
        <v>0</v>
      </c>
      <c r="C48" s="11">
        <f t="shared" si="3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EF21-C0E1-4B49-B17E-CFFFDE786A2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</v>
      </c>
      <c r="C2" s="130"/>
      <c r="E2" s="28" t="s">
        <v>66</v>
      </c>
      <c r="F2" s="25" t="s">
        <v>22</v>
      </c>
      <c r="G2" s="13">
        <v>11</v>
      </c>
      <c r="H2" s="91">
        <f>IF(B$19=0,0,G2/B$19)</f>
        <v>0.73333333333333328</v>
      </c>
      <c r="I2" s="59">
        <v>8</v>
      </c>
      <c r="K2" s="5">
        <v>0</v>
      </c>
      <c r="L2" s="64">
        <v>0</v>
      </c>
      <c r="N2" s="77" t="s">
        <v>130</v>
      </c>
      <c r="O2" s="83">
        <f t="shared" ref="O2:O7" si="0">IF(P2=0,0,Q2/P2)</f>
        <v>-6085.7142857142853</v>
      </c>
      <c r="P2" s="80">
        <v>7</v>
      </c>
      <c r="Q2" s="67">
        <v>-42600</v>
      </c>
    </row>
    <row r="3" spans="1:17" x14ac:dyDescent="0.45">
      <c r="A3" s="21" t="s">
        <v>8</v>
      </c>
      <c r="B3" s="131">
        <v>62</v>
      </c>
      <c r="C3" s="132"/>
      <c r="E3" s="29" t="s">
        <v>64</v>
      </c>
      <c r="F3" s="26" t="s">
        <v>20</v>
      </c>
      <c r="G3" s="14">
        <v>8</v>
      </c>
      <c r="H3" s="92">
        <f>IF(B$19=0,0,G3/B$19)</f>
        <v>0.53333333333333333</v>
      </c>
      <c r="I3" s="60">
        <v>7</v>
      </c>
      <c r="K3" s="7">
        <v>1</v>
      </c>
      <c r="L3" s="65">
        <v>-46.5</v>
      </c>
      <c r="N3" s="78" t="s">
        <v>131</v>
      </c>
      <c r="O3" s="84">
        <f t="shared" si="0"/>
        <v>166.66666666666666</v>
      </c>
      <c r="P3" s="81">
        <v>6</v>
      </c>
      <c r="Q3" s="68">
        <v>1000</v>
      </c>
    </row>
    <row r="4" spans="1:17" x14ac:dyDescent="0.45">
      <c r="A4" s="21" t="s">
        <v>6</v>
      </c>
      <c r="B4" s="133">
        <v>-104.80000000000001</v>
      </c>
      <c r="C4" s="134"/>
      <c r="E4" s="29" t="s">
        <v>67</v>
      </c>
      <c r="F4" s="26" t="s">
        <v>23</v>
      </c>
      <c r="G4" s="14">
        <v>7</v>
      </c>
      <c r="H4" s="92">
        <f>IF(B$19=0,0,G4/B$19)</f>
        <v>0.46666666666666667</v>
      </c>
      <c r="I4" s="60">
        <v>3</v>
      </c>
      <c r="K4" s="7">
        <v>2</v>
      </c>
      <c r="L4" s="65">
        <v>-25.4</v>
      </c>
      <c r="N4" s="78" t="s">
        <v>132</v>
      </c>
      <c r="O4" s="84">
        <f t="shared" si="0"/>
        <v>-6066.666666666667</v>
      </c>
      <c r="P4" s="81">
        <v>6</v>
      </c>
      <c r="Q4" s="68">
        <v>-36400</v>
      </c>
    </row>
    <row r="5" spans="1:17" x14ac:dyDescent="0.45">
      <c r="A5" s="21" t="s">
        <v>7</v>
      </c>
      <c r="B5" s="121">
        <f>IF(B$2=0,0,B$4/B$2)</f>
        <v>-14.971428571428573</v>
      </c>
      <c r="C5" s="122"/>
      <c r="E5" s="29" t="s">
        <v>72</v>
      </c>
      <c r="F5" s="26" t="s">
        <v>27</v>
      </c>
      <c r="G5" s="14">
        <v>7</v>
      </c>
      <c r="H5" s="92">
        <f>IF(B$19=0,0,G5/B$19)</f>
        <v>0.46666666666666667</v>
      </c>
      <c r="I5" s="60">
        <v>10</v>
      </c>
      <c r="K5" s="7">
        <v>3</v>
      </c>
      <c r="L5" s="65">
        <v>-71.900000000000006</v>
      </c>
      <c r="N5" s="78" t="s">
        <v>133</v>
      </c>
      <c r="O5" s="84">
        <f t="shared" si="0"/>
        <v>-3333.3333333333335</v>
      </c>
      <c r="P5" s="81">
        <v>6</v>
      </c>
      <c r="Q5" s="68">
        <v>-20000</v>
      </c>
    </row>
    <row r="6" spans="1:17" x14ac:dyDescent="0.45">
      <c r="A6" s="21" t="s">
        <v>1</v>
      </c>
      <c r="B6" s="135">
        <f>IF(B$2=0,0,(B$7*1+B$8*2+B$9*3)/B$2)</f>
        <v>2.1428571428571428</v>
      </c>
      <c r="C6" s="136"/>
      <c r="E6" s="29" t="s">
        <v>163</v>
      </c>
      <c r="F6" s="26" t="s">
        <v>164</v>
      </c>
      <c r="G6" s="14">
        <v>5</v>
      </c>
      <c r="H6" s="92">
        <f>IF(B$19=0,0,G6/B$19)</f>
        <v>0.33333333333333331</v>
      </c>
      <c r="I6" s="60">
        <v>12</v>
      </c>
      <c r="K6" s="7">
        <v>4</v>
      </c>
      <c r="L6" s="65">
        <v>-37.400000000000006</v>
      </c>
      <c r="N6" s="78" t="s">
        <v>134</v>
      </c>
      <c r="O6" s="84">
        <f t="shared" si="0"/>
        <v>4566.666666666667</v>
      </c>
      <c r="P6" s="81">
        <v>3</v>
      </c>
      <c r="Q6" s="68">
        <v>13700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65</v>
      </c>
      <c r="F7" s="26" t="s">
        <v>21</v>
      </c>
      <c r="G7" s="14">
        <v>3</v>
      </c>
      <c r="H7" s="92">
        <f>IF(B$19=0,0,G7/B$19)</f>
        <v>0.2</v>
      </c>
      <c r="I7" s="60">
        <v>1</v>
      </c>
      <c r="K7" s="7">
        <v>5</v>
      </c>
      <c r="L7" s="65">
        <v>-12.100000000000005</v>
      </c>
      <c r="N7" s="79" t="s">
        <v>135</v>
      </c>
      <c r="O7" s="85">
        <f t="shared" si="0"/>
        <v>-5250</v>
      </c>
      <c r="P7" s="82">
        <v>2</v>
      </c>
      <c r="Q7" s="69">
        <v>-10500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68</v>
      </c>
      <c r="F8" s="26" t="s">
        <v>12</v>
      </c>
      <c r="G8" s="14">
        <v>3</v>
      </c>
      <c r="H8" s="92">
        <f>IF(B$19=0,0,G8/B$19)</f>
        <v>0.2</v>
      </c>
      <c r="I8" s="60">
        <v>14</v>
      </c>
      <c r="K8" s="7">
        <v>6</v>
      </c>
      <c r="L8" s="65">
        <v>-59.300000000000011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0.5714285714285714</v>
      </c>
      <c r="E9" s="29" t="s">
        <v>89</v>
      </c>
      <c r="F9" s="26" t="s">
        <v>44</v>
      </c>
      <c r="G9" s="14">
        <v>2</v>
      </c>
      <c r="H9" s="92">
        <f>IF(B$19=0,0,G9/B$19)</f>
        <v>0.13333333333333333</v>
      </c>
      <c r="I9" s="60">
        <v>8</v>
      </c>
      <c r="K9" s="7">
        <v>7</v>
      </c>
      <c r="L9" s="65">
        <v>-104.80000000000001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26.966666666666669</v>
      </c>
      <c r="C10" s="114">
        <v>80.900000000000006</v>
      </c>
      <c r="E10" s="29" t="s">
        <v>69</v>
      </c>
      <c r="F10" s="26" t="s">
        <v>24</v>
      </c>
      <c r="G10" s="14">
        <v>1</v>
      </c>
      <c r="H10" s="92">
        <f>IF(B$19=0,0,G10/B$19)</f>
        <v>6.6666666666666666E-2</v>
      </c>
      <c r="I10" s="60">
        <v>13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70</v>
      </c>
      <c r="F11" s="26" t="s">
        <v>25</v>
      </c>
      <c r="G11" s="14">
        <v>1</v>
      </c>
      <c r="H11" s="92">
        <f>IF(B$19=0,0,G11/B$19)</f>
        <v>6.6666666666666666E-2</v>
      </c>
      <c r="I11" s="60">
        <v>12</v>
      </c>
      <c r="N11" s="78" t="s">
        <v>155</v>
      </c>
      <c r="O11" s="87">
        <f>IF(P11=0,0,Q11/P11)</f>
        <v>-9.8833333333333346</v>
      </c>
      <c r="P11" s="81">
        <v>6</v>
      </c>
      <c r="Q11" s="72">
        <v>-59.300000000000011</v>
      </c>
    </row>
    <row r="12" spans="1:17" x14ac:dyDescent="0.45">
      <c r="A12" s="22" t="s">
        <v>205</v>
      </c>
      <c r="B12" s="113">
        <f>IF(B9=0,0,C12/B9)</f>
        <v>-46.424999999999997</v>
      </c>
      <c r="C12" s="114">
        <v>-185.7</v>
      </c>
      <c r="E12" s="29" t="s">
        <v>71</v>
      </c>
      <c r="F12" s="26" t="s">
        <v>26</v>
      </c>
      <c r="G12" s="14">
        <v>1</v>
      </c>
      <c r="H12" s="92">
        <f>IF(B$19=0,0,G12/B$19)</f>
        <v>6.6666666666666666E-2</v>
      </c>
      <c r="I12" s="60">
        <v>10</v>
      </c>
      <c r="N12" s="79" t="s">
        <v>156</v>
      </c>
      <c r="O12" s="88">
        <f>IF(P12=0,0,Q12/P12)</f>
        <v>-45.5</v>
      </c>
      <c r="P12" s="82">
        <v>1</v>
      </c>
      <c r="Q12" s="73">
        <v>-45.5</v>
      </c>
    </row>
    <row r="13" spans="1:17" x14ac:dyDescent="0.45">
      <c r="A13" s="22" t="s">
        <v>206</v>
      </c>
      <c r="B13" s="121">
        <f>AVERAGE(B10:B12)</f>
        <v>-6.4861111111111098</v>
      </c>
      <c r="C13" s="122"/>
      <c r="E13" s="29" t="s">
        <v>79</v>
      </c>
      <c r="F13" s="26" t="s">
        <v>34</v>
      </c>
      <c r="G13" s="14">
        <v>1</v>
      </c>
      <c r="H13" s="92">
        <f>IF(B$19=0,0,G13/B$19)</f>
        <v>6.6666666666666666E-2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0.5714285714285714</v>
      </c>
      <c r="E14" s="29" t="s">
        <v>83</v>
      </c>
      <c r="F14" s="26" t="s">
        <v>38</v>
      </c>
      <c r="G14" s="14">
        <v>1</v>
      </c>
      <c r="H14" s="92">
        <f>IF(B$19=0,0,G14/B$19)</f>
        <v>6.6666666666666666E-2</v>
      </c>
      <c r="I14" s="60">
        <v>3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0.24193548387096775</v>
      </c>
      <c r="E15" s="29" t="s">
        <v>86</v>
      </c>
      <c r="F15" s="26" t="s">
        <v>41</v>
      </c>
      <c r="G15" s="14">
        <v>1</v>
      </c>
      <c r="H15" s="92">
        <f>IF(B$19=0,0,G15/B$19)</f>
        <v>6.6666666666666666E-2</v>
      </c>
      <c r="I15" s="60">
        <v>1</v>
      </c>
      <c r="N15" s="77" t="s">
        <v>195</v>
      </c>
      <c r="O15" s="86">
        <f t="shared" ref="O15:O20" si="2">IF(P15=0,0,Q15/P15)</f>
        <v>65.55</v>
      </c>
      <c r="P15" s="80">
        <v>2</v>
      </c>
      <c r="Q15" s="71">
        <v>131.1</v>
      </c>
    </row>
    <row r="16" spans="1:17" x14ac:dyDescent="0.45">
      <c r="A16" s="21" t="s">
        <v>118</v>
      </c>
      <c r="B16" s="14">
        <v>22</v>
      </c>
      <c r="C16" s="8">
        <f>IF(B$3=0,0,B16/B$3)</f>
        <v>0.35483870967741937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6</v>
      </c>
      <c r="N16" s="78" t="s">
        <v>169</v>
      </c>
      <c r="O16" s="87">
        <f t="shared" si="2"/>
        <v>56.6</v>
      </c>
      <c r="P16" s="81">
        <v>1</v>
      </c>
      <c r="Q16" s="72">
        <v>56.6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  <c r="N17" s="78" t="s">
        <v>194</v>
      </c>
      <c r="O17" s="87">
        <f t="shared" si="2"/>
        <v>17.850000000000001</v>
      </c>
      <c r="P17" s="81">
        <v>2</v>
      </c>
      <c r="Q17" s="72">
        <v>35.700000000000003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0.27272727272727271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10</v>
      </c>
      <c r="N18" s="78" t="s">
        <v>168</v>
      </c>
      <c r="O18" s="87">
        <f t="shared" si="2"/>
        <v>-53.179999999999993</v>
      </c>
      <c r="P18" s="81">
        <v>5</v>
      </c>
      <c r="Q18" s="72">
        <v>-265.89999999999998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0.24193548387096775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3</v>
      </c>
      <c r="N19" s="78" t="s">
        <v>167</v>
      </c>
      <c r="O19" s="87">
        <f t="shared" si="2"/>
        <v>-60.650000000000006</v>
      </c>
      <c r="P19" s="81">
        <v>2</v>
      </c>
      <c r="Q19" s="72">
        <v>-121.30000000000001</v>
      </c>
    </row>
    <row r="20" spans="1:17" x14ac:dyDescent="0.45">
      <c r="A20" s="21" t="s">
        <v>13</v>
      </c>
      <c r="B20" s="14">
        <v>12</v>
      </c>
      <c r="C20" s="8">
        <f>IF(B$3=0,0,B20/B$3)</f>
        <v>0.19354838709677419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  <c r="N20" s="78" t="s">
        <v>127</v>
      </c>
      <c r="O20" s="87">
        <f t="shared" si="2"/>
        <v>-75.3</v>
      </c>
      <c r="P20" s="81">
        <v>2</v>
      </c>
      <c r="Q20" s="72">
        <v>-150.6</v>
      </c>
    </row>
    <row r="21" spans="1:17" x14ac:dyDescent="0.45">
      <c r="A21" s="21" t="s">
        <v>12</v>
      </c>
      <c r="B21" s="14">
        <v>5</v>
      </c>
      <c r="C21" s="8">
        <f>IF(B$19=0,0,B21/B$19)</f>
        <v>0.33333333333333331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10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8</v>
      </c>
      <c r="C23" s="8">
        <f>IF(B$19=0,0,B23/B$19)</f>
        <v>0.53333333333333333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11</v>
      </c>
    </row>
    <row r="24" spans="1:17" x14ac:dyDescent="0.45">
      <c r="A24" s="21" t="s">
        <v>190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191</v>
      </c>
      <c r="B25" s="14">
        <v>1</v>
      </c>
      <c r="C25" s="8">
        <f>IF(B$19=0,0,B25/B$19)</f>
        <v>6.6666666666666666E-2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7473.333333333333</v>
      </c>
      <c r="C26" s="10">
        <v>112100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7855.5555555555557</v>
      </c>
      <c r="C27" s="100">
        <v>70700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6900</v>
      </c>
      <c r="C28" s="100">
        <v>41400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-9075</v>
      </c>
      <c r="C29" s="100">
        <v>-108900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13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59500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2</v>
      </c>
      <c r="C36" s="102">
        <f t="shared" ref="C36:C48" si="3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1</v>
      </c>
      <c r="C38" s="8">
        <f t="shared" si="3"/>
        <v>6.6666666666666666E-2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3</v>
      </c>
      <c r="C39" s="8">
        <f t="shared" si="3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3"/>
        <v>0.26666666666666666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3"/>
        <v>6.6666666666666666E-2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3"/>
        <v>6.6666666666666666E-2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170FE-E9CA-43BF-85F5-A925B8D85A08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</v>
      </c>
      <c r="C2" s="130"/>
      <c r="E2" s="28" t="s">
        <v>72</v>
      </c>
      <c r="F2" s="25" t="s">
        <v>27</v>
      </c>
      <c r="G2" s="13">
        <v>7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3600</v>
      </c>
      <c r="P2" s="80">
        <v>2</v>
      </c>
      <c r="Q2" s="67">
        <v>7200</v>
      </c>
    </row>
    <row r="3" spans="1:17" x14ac:dyDescent="0.45">
      <c r="A3" s="21" t="s">
        <v>8</v>
      </c>
      <c r="B3" s="131">
        <v>15</v>
      </c>
      <c r="C3" s="132"/>
      <c r="E3" s="29" t="s">
        <v>66</v>
      </c>
      <c r="F3" s="26" t="s">
        <v>22</v>
      </c>
      <c r="G3" s="14">
        <v>3</v>
      </c>
      <c r="H3" s="92">
        <f>IF(B$19=0,0,G3/B$19)</f>
        <v>0.42857142857142855</v>
      </c>
      <c r="I3" s="60">
        <v>14</v>
      </c>
      <c r="K3" s="7">
        <v>1</v>
      </c>
      <c r="L3" s="65">
        <v>27.8</v>
      </c>
      <c r="N3" s="78" t="s">
        <v>131</v>
      </c>
      <c r="O3" s="84">
        <f t="shared" si="0"/>
        <v>-2200</v>
      </c>
      <c r="P3" s="81">
        <v>2</v>
      </c>
      <c r="Q3" s="68">
        <v>-4400</v>
      </c>
    </row>
    <row r="4" spans="1:17" x14ac:dyDescent="0.45">
      <c r="A4" s="21" t="s">
        <v>6</v>
      </c>
      <c r="B4" s="133">
        <v>26.2</v>
      </c>
      <c r="C4" s="134"/>
      <c r="E4" s="29" t="s">
        <v>67</v>
      </c>
      <c r="F4" s="26" t="s">
        <v>23</v>
      </c>
      <c r="G4" s="14">
        <v>3</v>
      </c>
      <c r="H4" s="92">
        <f>IF(B$19=0,0,G4/B$19)</f>
        <v>0.42857142857142855</v>
      </c>
      <c r="I4" s="60">
        <v>4</v>
      </c>
      <c r="K4" s="7">
        <v>2</v>
      </c>
      <c r="L4" s="65">
        <v>26.2</v>
      </c>
      <c r="N4" s="78" t="s">
        <v>132</v>
      </c>
      <c r="O4" s="84">
        <f t="shared" si="0"/>
        <v>-3500</v>
      </c>
      <c r="P4" s="81">
        <v>2</v>
      </c>
      <c r="Q4" s="68">
        <v>-7000</v>
      </c>
    </row>
    <row r="5" spans="1:17" x14ac:dyDescent="0.45">
      <c r="A5" s="21" t="s">
        <v>7</v>
      </c>
      <c r="B5" s="121">
        <f>IF(B$2=0,0,B$4/B$2)</f>
        <v>13.1</v>
      </c>
      <c r="C5" s="122"/>
      <c r="E5" s="29" t="s">
        <v>89</v>
      </c>
      <c r="F5" s="26" t="s">
        <v>44</v>
      </c>
      <c r="G5" s="14">
        <v>3</v>
      </c>
      <c r="H5" s="92">
        <f>IF(B$19=0,0,G5/B$19)</f>
        <v>0.42857142857142855</v>
      </c>
      <c r="I5" s="60">
        <v>1</v>
      </c>
      <c r="N5" s="78" t="s">
        <v>133</v>
      </c>
      <c r="O5" s="84">
        <f t="shared" si="0"/>
        <v>7950</v>
      </c>
      <c r="P5" s="81">
        <v>2</v>
      </c>
      <c r="Q5" s="68">
        <v>15900</v>
      </c>
    </row>
    <row r="6" spans="1:17" x14ac:dyDescent="0.45">
      <c r="A6" s="21" t="s">
        <v>1</v>
      </c>
      <c r="B6" s="135">
        <f>IF(B$2=0,0,(B$7*1+B$8*2+B$9*3)/B$2)</f>
        <v>1.5</v>
      </c>
      <c r="C6" s="136"/>
      <c r="E6" s="29" t="s">
        <v>64</v>
      </c>
      <c r="F6" s="26" t="s">
        <v>20</v>
      </c>
      <c r="G6" s="14">
        <v>2</v>
      </c>
      <c r="H6" s="92">
        <f>IF(B$19=0,0,G6/B$19)</f>
        <v>0.2857142857142857</v>
      </c>
      <c r="I6" s="60">
        <v>13</v>
      </c>
      <c r="N6" s="78" t="s">
        <v>134</v>
      </c>
      <c r="O6" s="84">
        <f t="shared" si="0"/>
        <v>6000</v>
      </c>
      <c r="P6" s="81">
        <v>2</v>
      </c>
      <c r="Q6" s="68">
        <v>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0.5</v>
      </c>
      <c r="E7" s="29" t="s">
        <v>68</v>
      </c>
      <c r="F7" s="26" t="s">
        <v>12</v>
      </c>
      <c r="G7" s="14">
        <v>2</v>
      </c>
      <c r="H7" s="92">
        <f>IF(B$19=0,0,G7/B$19)</f>
        <v>0.2857142857142857</v>
      </c>
      <c r="I7" s="60">
        <v>8</v>
      </c>
      <c r="N7" s="79" t="s">
        <v>135</v>
      </c>
      <c r="O7" s="85">
        <f t="shared" si="0"/>
        <v>0</v>
      </c>
      <c r="P7" s="82">
        <v>1</v>
      </c>
      <c r="Q7" s="69">
        <v>0</v>
      </c>
    </row>
    <row r="8" spans="1:17" x14ac:dyDescent="0.45">
      <c r="A8" s="21" t="s">
        <v>3</v>
      </c>
      <c r="B8" s="14">
        <v>1</v>
      </c>
      <c r="C8" s="8">
        <f t="shared" si="1"/>
        <v>0.5</v>
      </c>
      <c r="E8" s="29" t="s">
        <v>83</v>
      </c>
      <c r="F8" s="26" t="s">
        <v>38</v>
      </c>
      <c r="G8" s="14">
        <v>2</v>
      </c>
      <c r="H8" s="92">
        <f>IF(B$19=0,0,G8/B$19)</f>
        <v>0.2857142857142857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1</v>
      </c>
      <c r="H9" s="92">
        <f>IF(B$19=0,0,G9/B$19)</f>
        <v>0.14285714285714285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27.8</v>
      </c>
      <c r="C10" s="114">
        <v>27.8</v>
      </c>
      <c r="E10" s="29" t="s">
        <v>71</v>
      </c>
      <c r="F10" s="26" t="s">
        <v>26</v>
      </c>
      <c r="G10" s="14">
        <v>1</v>
      </c>
      <c r="H10" s="92">
        <f>IF(B$19=0,0,G10/B$19)</f>
        <v>0.14285714285714285</v>
      </c>
      <c r="I10" s="60">
        <v>1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-1.6</v>
      </c>
      <c r="C11" s="114">
        <v>-1.6</v>
      </c>
      <c r="E11" s="29" t="s">
        <v>163</v>
      </c>
      <c r="F11" s="26" t="s">
        <v>164</v>
      </c>
      <c r="G11" s="14">
        <v>1</v>
      </c>
      <c r="H11" s="92">
        <f>IF(B$19=0,0,G11/B$19)</f>
        <v>0.14285714285714285</v>
      </c>
      <c r="I11" s="60">
        <v>14</v>
      </c>
      <c r="N11" s="78" t="s">
        <v>155</v>
      </c>
      <c r="O11" s="87">
        <f>IF(P11=0,0,Q11/P11)</f>
        <v>-1.6</v>
      </c>
      <c r="P11" s="81">
        <v>1</v>
      </c>
      <c r="Q11" s="72">
        <v>-1.6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>IF(B$19=0,0,G12/B$19)</f>
        <v>0</v>
      </c>
      <c r="I12" s="60">
        <v>14</v>
      </c>
      <c r="N12" s="79" t="s">
        <v>156</v>
      </c>
      <c r="O12" s="88">
        <f>IF(P12=0,0,Q12/P12)</f>
        <v>27.8</v>
      </c>
      <c r="P12" s="82">
        <v>1</v>
      </c>
      <c r="Q12" s="73">
        <v>27.8</v>
      </c>
    </row>
    <row r="13" spans="1:17" x14ac:dyDescent="0.45">
      <c r="A13" s="22" t="s">
        <v>206</v>
      </c>
      <c r="B13" s="121">
        <f>AVERAGE(B10:B12)</f>
        <v>8.7333333333333325</v>
      </c>
      <c r="C13" s="122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</v>
      </c>
      <c r="C15" s="12">
        <f>IF(B$3=0,0,B15/B$3)</f>
        <v>0.26666666666666666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7</v>
      </c>
      <c r="N15" s="77" t="s">
        <v>126</v>
      </c>
      <c r="O15" s="86">
        <f>IF(P15=0,0,Q15/P15)</f>
        <v>70.5</v>
      </c>
      <c r="P15" s="80">
        <v>1</v>
      </c>
      <c r="Q15" s="71">
        <v>70.5</v>
      </c>
    </row>
    <row r="16" spans="1:17" x14ac:dyDescent="0.45">
      <c r="A16" s="21" t="s">
        <v>118</v>
      </c>
      <c r="B16" s="14">
        <v>5</v>
      </c>
      <c r="C16" s="8">
        <f>IF(B$3=0,0,B16/B$3)</f>
        <v>0.33333333333333331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10</v>
      </c>
      <c r="N16" s="78" t="s">
        <v>195</v>
      </c>
      <c r="O16" s="87">
        <f>IF(P16=0,0,Q16/P16)</f>
        <v>17.649999999999999</v>
      </c>
      <c r="P16" s="81">
        <v>2</v>
      </c>
      <c r="Q16" s="72">
        <v>35.299999999999997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0.5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3</v>
      </c>
      <c r="N17" s="78" t="s">
        <v>168</v>
      </c>
      <c r="O17" s="87">
        <f>IF(P17=0,0,Q17/P17)</f>
        <v>-27.200000000000003</v>
      </c>
      <c r="P17" s="81">
        <v>1</v>
      </c>
      <c r="Q17" s="72">
        <v>-27.200000000000003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6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0.46666666666666667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11</v>
      </c>
    </row>
    <row r="20" spans="1:17" x14ac:dyDescent="0.45">
      <c r="A20" s="21" t="s">
        <v>13</v>
      </c>
      <c r="B20" s="14">
        <v>1</v>
      </c>
      <c r="C20" s="8">
        <f>IF(B$3=0,0,B20/B$3)</f>
        <v>6.6666666666666666E-2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0.2857142857142857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0.7142857142857143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2</v>
      </c>
      <c r="C23" s="8">
        <f>IF(B$19=0,0,B23/B$19)</f>
        <v>0.2857142857142857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0.7142857142857143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8</v>
      </c>
    </row>
    <row r="26" spans="1:17" x14ac:dyDescent="0.45">
      <c r="A26" s="21" t="s">
        <v>5</v>
      </c>
      <c r="B26" s="18">
        <f>IF(B$19=0,0,C26/B$19)</f>
        <v>7385.7142857142853</v>
      </c>
      <c r="C26" s="10">
        <v>51700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12</v>
      </c>
    </row>
    <row r="27" spans="1:17" x14ac:dyDescent="0.45">
      <c r="A27" s="22" t="s">
        <v>174</v>
      </c>
      <c r="B27" s="99">
        <f>IF($B$19-B$18=0,0,C27/($B$19-B$18))</f>
        <v>8000</v>
      </c>
      <c r="C27" s="100">
        <v>16000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7140</v>
      </c>
      <c r="C28" s="100">
        <v>35700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-8000</v>
      </c>
      <c r="C29" s="100">
        <v>-8000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9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52800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1</v>
      </c>
      <c r="C34" s="11">
        <f>IF(B$3=0,0,B34/B$3)</f>
        <v>6.6666666666666666E-2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0.14285714285714285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3</v>
      </c>
      <c r="C38" s="8">
        <f t="shared" si="2"/>
        <v>0.42857142857142855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2"/>
        <v>0.2857142857142857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0.14285714285714285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2D89A-BE45-45FD-8A6A-6009224735D3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275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18</v>
      </c>
      <c r="C2" s="130"/>
      <c r="E2" s="28" t="s">
        <v>64</v>
      </c>
      <c r="F2" s="25" t="s">
        <v>20</v>
      </c>
      <c r="G2" s="13">
        <v>32</v>
      </c>
      <c r="H2" s="91">
        <f>IF(B$19=0,0,G2/B$19)</f>
        <v>0.59259259259259256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-2194.4444444444443</v>
      </c>
      <c r="P2" s="80">
        <v>18</v>
      </c>
      <c r="Q2" s="67">
        <v>-39500</v>
      </c>
    </row>
    <row r="3" spans="1:17" x14ac:dyDescent="0.45">
      <c r="A3" s="21" t="s">
        <v>8</v>
      </c>
      <c r="B3" s="131">
        <v>155</v>
      </c>
      <c r="C3" s="132"/>
      <c r="E3" s="29" t="s">
        <v>66</v>
      </c>
      <c r="F3" s="26" t="s">
        <v>22</v>
      </c>
      <c r="G3" s="14">
        <v>32</v>
      </c>
      <c r="H3" s="92">
        <f>IF(B$19=0,0,G3/B$19)</f>
        <v>0.59259259259259256</v>
      </c>
      <c r="I3" s="60">
        <v>13</v>
      </c>
      <c r="K3" s="7">
        <v>1</v>
      </c>
      <c r="L3" s="65">
        <v>17.600000000000001</v>
      </c>
      <c r="N3" s="78" t="s">
        <v>131</v>
      </c>
      <c r="O3" s="84">
        <f t="shared" si="0"/>
        <v>-188.88888888888889</v>
      </c>
      <c r="P3" s="81">
        <v>18</v>
      </c>
      <c r="Q3" s="68">
        <v>-3400</v>
      </c>
    </row>
    <row r="4" spans="1:17" x14ac:dyDescent="0.45">
      <c r="A4" s="21" t="s">
        <v>6</v>
      </c>
      <c r="B4" s="133">
        <v>-55.6</v>
      </c>
      <c r="C4" s="134"/>
      <c r="E4" s="29" t="s">
        <v>67</v>
      </c>
      <c r="F4" s="26" t="s">
        <v>23</v>
      </c>
      <c r="G4" s="14">
        <v>26</v>
      </c>
      <c r="H4" s="92">
        <f>IF(B$19=0,0,G4/B$19)</f>
        <v>0.48148148148148145</v>
      </c>
      <c r="I4" s="60">
        <v>2</v>
      </c>
      <c r="K4" s="7">
        <v>2</v>
      </c>
      <c r="L4" s="65">
        <v>27.8</v>
      </c>
      <c r="N4" s="78" t="s">
        <v>132</v>
      </c>
      <c r="O4" s="84">
        <f t="shared" si="0"/>
        <v>-2300</v>
      </c>
      <c r="P4" s="81">
        <v>18</v>
      </c>
      <c r="Q4" s="68">
        <v>-41400</v>
      </c>
    </row>
    <row r="5" spans="1:17" x14ac:dyDescent="0.45">
      <c r="A5" s="21" t="s">
        <v>7</v>
      </c>
      <c r="B5" s="121">
        <f>IF(B$2=0,0,B$4/B$2)</f>
        <v>-3.088888888888889</v>
      </c>
      <c r="C5" s="122"/>
      <c r="E5" s="29" t="s">
        <v>72</v>
      </c>
      <c r="F5" s="26" t="s">
        <v>27</v>
      </c>
      <c r="G5" s="14">
        <v>23</v>
      </c>
      <c r="H5" s="92">
        <f>IF(B$19=0,0,G5/B$19)</f>
        <v>0.42592592592592593</v>
      </c>
      <c r="I5" s="60">
        <v>11</v>
      </c>
      <c r="K5" s="7">
        <v>3</v>
      </c>
      <c r="L5" s="65">
        <v>20.399999999999999</v>
      </c>
      <c r="N5" s="78" t="s">
        <v>133</v>
      </c>
      <c r="O5" s="84">
        <f t="shared" si="0"/>
        <v>1650</v>
      </c>
      <c r="P5" s="81">
        <v>16</v>
      </c>
      <c r="Q5" s="68">
        <v>26400</v>
      </c>
    </row>
    <row r="6" spans="1:17" x14ac:dyDescent="0.45">
      <c r="A6" s="21" t="s">
        <v>1</v>
      </c>
      <c r="B6" s="135">
        <f>IF(B$2=0,0,(B$7*1+B$8*2+B$9*3)/B$2)</f>
        <v>2.0555555555555554</v>
      </c>
      <c r="C6" s="136"/>
      <c r="E6" s="29" t="s">
        <v>68</v>
      </c>
      <c r="F6" s="26" t="s">
        <v>12</v>
      </c>
      <c r="G6" s="14">
        <v>22</v>
      </c>
      <c r="H6" s="92">
        <f>IF(B$19=0,0,G6/B$19)</f>
        <v>0.40740740740740738</v>
      </c>
      <c r="I6" s="60">
        <v>2</v>
      </c>
      <c r="K6" s="7">
        <v>4</v>
      </c>
      <c r="L6" s="65">
        <v>53.1</v>
      </c>
      <c r="N6" s="78" t="s">
        <v>134</v>
      </c>
      <c r="O6" s="84">
        <f t="shared" si="0"/>
        <v>-1150</v>
      </c>
      <c r="P6" s="81">
        <v>14</v>
      </c>
      <c r="Q6" s="68">
        <v>-16100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0.33333333333333331</v>
      </c>
      <c r="E7" s="29" t="s">
        <v>163</v>
      </c>
      <c r="F7" s="26" t="s">
        <v>164</v>
      </c>
      <c r="G7" s="14">
        <v>14</v>
      </c>
      <c r="H7" s="92">
        <f>IF(B$19=0,0,G7/B$19)</f>
        <v>0.25925925925925924</v>
      </c>
      <c r="I7" s="60">
        <v>13</v>
      </c>
      <c r="K7" s="7">
        <v>5</v>
      </c>
      <c r="L7" s="65">
        <v>28.6</v>
      </c>
      <c r="N7" s="79" t="s">
        <v>135</v>
      </c>
      <c r="O7" s="85">
        <f t="shared" si="0"/>
        <v>2558.3333333333335</v>
      </c>
      <c r="P7" s="82">
        <v>12</v>
      </c>
      <c r="Q7" s="69">
        <v>30700</v>
      </c>
    </row>
    <row r="8" spans="1:17" x14ac:dyDescent="0.45">
      <c r="A8" s="21" t="s">
        <v>3</v>
      </c>
      <c r="B8" s="14">
        <v>5</v>
      </c>
      <c r="C8" s="8">
        <f t="shared" si="1"/>
        <v>0.27777777777777779</v>
      </c>
      <c r="E8" s="29" t="s">
        <v>65</v>
      </c>
      <c r="F8" s="26" t="s">
        <v>21</v>
      </c>
      <c r="G8" s="14">
        <v>9</v>
      </c>
      <c r="H8" s="92">
        <f>IF(B$19=0,0,G8/B$19)</f>
        <v>0.16666666666666666</v>
      </c>
      <c r="I8" s="60">
        <v>2</v>
      </c>
      <c r="K8" s="7">
        <v>6</v>
      </c>
      <c r="L8" s="65">
        <v>-17.799999999999997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7</v>
      </c>
      <c r="C9" s="9">
        <f t="shared" si="1"/>
        <v>0.3888888888888889</v>
      </c>
      <c r="E9" s="29" t="s">
        <v>70</v>
      </c>
      <c r="F9" s="26" t="s">
        <v>25</v>
      </c>
      <c r="G9" s="14">
        <v>6</v>
      </c>
      <c r="H9" s="92">
        <f>IF(B$19=0,0,G9/B$19)</f>
        <v>0.1111111111111111</v>
      </c>
      <c r="I9" s="60">
        <v>6</v>
      </c>
      <c r="K9" s="7">
        <v>7</v>
      </c>
      <c r="L9" s="65">
        <v>23.1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29.700000000000003</v>
      </c>
      <c r="C10" s="114">
        <v>178.20000000000002</v>
      </c>
      <c r="E10" s="29" t="s">
        <v>69</v>
      </c>
      <c r="F10" s="26" t="s">
        <v>24</v>
      </c>
      <c r="G10" s="14">
        <v>5</v>
      </c>
      <c r="H10" s="92">
        <f>IF(B$19=0,0,G10/B$19)</f>
        <v>9.2592592592592587E-2</v>
      </c>
      <c r="I10" s="60">
        <v>11</v>
      </c>
      <c r="K10" s="7">
        <v>8</v>
      </c>
      <c r="L10" s="65">
        <v>41.3</v>
      </c>
      <c r="N10" s="77" t="s">
        <v>154</v>
      </c>
      <c r="O10" s="86">
        <f>IF(P10=0,0,Q10/P10)</f>
        <v>-13.719999999999999</v>
      </c>
      <c r="P10" s="80">
        <v>5</v>
      </c>
      <c r="Q10" s="71">
        <v>-68.599999999999994</v>
      </c>
    </row>
    <row r="11" spans="1:17" x14ac:dyDescent="0.45">
      <c r="A11" s="22" t="s">
        <v>204</v>
      </c>
      <c r="B11" s="113">
        <f>IF(B8=0,0,C11/B8)</f>
        <v>2.5599999999999996</v>
      </c>
      <c r="C11" s="114">
        <v>12.799999999999999</v>
      </c>
      <c r="E11" s="29" t="s">
        <v>89</v>
      </c>
      <c r="F11" s="26" t="s">
        <v>44</v>
      </c>
      <c r="G11" s="14">
        <v>3</v>
      </c>
      <c r="H11" s="92">
        <f>IF(B$19=0,0,G11/B$19)</f>
        <v>5.5555555555555552E-2</v>
      </c>
      <c r="I11" s="60">
        <v>13</v>
      </c>
      <c r="K11" s="7">
        <v>9</v>
      </c>
      <c r="L11" s="65">
        <v>79.699999999999989</v>
      </c>
      <c r="N11" s="78" t="s">
        <v>155</v>
      </c>
      <c r="O11" s="87">
        <f>IF(P11=0,0,Q11/P11)</f>
        <v>-1.9124999999999996</v>
      </c>
      <c r="P11" s="81">
        <v>8</v>
      </c>
      <c r="Q11" s="72">
        <v>-15.299999999999997</v>
      </c>
    </row>
    <row r="12" spans="1:17" x14ac:dyDescent="0.45">
      <c r="A12" s="22" t="s">
        <v>205</v>
      </c>
      <c r="B12" s="113">
        <f>IF(B9=0,0,C12/B9)</f>
        <v>-35.228571428571435</v>
      </c>
      <c r="C12" s="114">
        <v>-246.60000000000002</v>
      </c>
      <c r="E12" s="29" t="s">
        <v>75</v>
      </c>
      <c r="F12" s="26" t="s">
        <v>30</v>
      </c>
      <c r="G12" s="14">
        <v>2</v>
      </c>
      <c r="H12" s="92">
        <f>IF(B$19=0,0,G12/B$19)</f>
        <v>3.7037037037037035E-2</v>
      </c>
      <c r="I12" s="60">
        <v>1</v>
      </c>
      <c r="K12" s="7">
        <v>10</v>
      </c>
      <c r="L12" s="65">
        <v>86.1</v>
      </c>
      <c r="N12" s="79" t="s">
        <v>156</v>
      </c>
      <c r="O12" s="88">
        <f>IF(P12=0,0,Q12/P12)</f>
        <v>5.6599999999999993</v>
      </c>
      <c r="P12" s="82">
        <v>5</v>
      </c>
      <c r="Q12" s="73">
        <v>28.299999999999997</v>
      </c>
    </row>
    <row r="13" spans="1:17" x14ac:dyDescent="0.45">
      <c r="A13" s="22" t="s">
        <v>206</v>
      </c>
      <c r="B13" s="121">
        <f>AVERAGE(B10:B12)</f>
        <v>-0.98952380952380992</v>
      </c>
      <c r="C13" s="122"/>
      <c r="E13" s="29" t="s">
        <v>79</v>
      </c>
      <c r="F13" s="26" t="s">
        <v>34</v>
      </c>
      <c r="G13" s="14">
        <v>2</v>
      </c>
      <c r="H13" s="92">
        <f>IF(B$19=0,0,G13/B$19)</f>
        <v>3.7037037037037035E-2</v>
      </c>
      <c r="I13" s="60">
        <v>2</v>
      </c>
      <c r="K13" s="7">
        <v>11</v>
      </c>
      <c r="L13" s="65">
        <v>54.199999999999996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0.16666666666666666</v>
      </c>
      <c r="E14" s="29" t="s">
        <v>83</v>
      </c>
      <c r="F14" s="26" t="s">
        <v>38</v>
      </c>
      <c r="G14" s="14">
        <v>2</v>
      </c>
      <c r="H14" s="92">
        <f>IF(B$19=0,0,G14/B$19)</f>
        <v>3.7037037037037035E-2</v>
      </c>
      <c r="I14" s="60">
        <v>10</v>
      </c>
      <c r="K14" s="7">
        <v>12</v>
      </c>
      <c r="L14" s="65">
        <v>4.8999999999999986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54</v>
      </c>
      <c r="C15" s="12">
        <f>IF(B$3=0,0,B15/B$3)</f>
        <v>0.34838709677419355</v>
      </c>
      <c r="E15" s="29" t="s">
        <v>85</v>
      </c>
      <c r="F15" s="26" t="s">
        <v>40</v>
      </c>
      <c r="G15" s="14">
        <v>2</v>
      </c>
      <c r="H15" s="92">
        <f>IF(B$19=0,0,G15/B$19)</f>
        <v>3.7037037037037035E-2</v>
      </c>
      <c r="I15" s="60">
        <v>1</v>
      </c>
      <c r="K15" s="7">
        <v>13</v>
      </c>
      <c r="L15" s="65">
        <v>-47.6</v>
      </c>
      <c r="N15" s="77" t="s">
        <v>168</v>
      </c>
      <c r="O15" s="86">
        <f t="shared" ref="O15:O22" si="2">IF(P15=0,0,Q15/P15)</f>
        <v>32.325000000000003</v>
      </c>
      <c r="P15" s="80">
        <v>4</v>
      </c>
      <c r="Q15" s="71">
        <v>129.30000000000001</v>
      </c>
    </row>
    <row r="16" spans="1:17" x14ac:dyDescent="0.45">
      <c r="A16" s="21" t="s">
        <v>118</v>
      </c>
      <c r="B16" s="14">
        <v>19</v>
      </c>
      <c r="C16" s="8">
        <f>IF(B$3=0,0,B16/B$3)</f>
        <v>0.12258064516129032</v>
      </c>
      <c r="E16" s="29" t="s">
        <v>71</v>
      </c>
      <c r="F16" s="26" t="s">
        <v>26</v>
      </c>
      <c r="G16" s="14">
        <v>1</v>
      </c>
      <c r="H16" s="92">
        <f>IF(B$19=0,0,G16/B$19)</f>
        <v>1.8518518518518517E-2</v>
      </c>
      <c r="I16" s="60">
        <v>13</v>
      </c>
      <c r="K16" s="7">
        <v>14</v>
      </c>
      <c r="L16" s="65">
        <v>-55.5</v>
      </c>
      <c r="N16" s="78" t="s">
        <v>169</v>
      </c>
      <c r="O16" s="87">
        <f t="shared" si="2"/>
        <v>19.249999999999996</v>
      </c>
      <c r="P16" s="81">
        <v>4</v>
      </c>
      <c r="Q16" s="72">
        <v>76.999999999999986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0.57407407407407407</v>
      </c>
      <c r="E17" s="29" t="s">
        <v>86</v>
      </c>
      <c r="F17" s="26" t="s">
        <v>41</v>
      </c>
      <c r="G17" s="14">
        <v>1</v>
      </c>
      <c r="H17" s="92">
        <f>IF(B$19=0,0,G17/B$19)</f>
        <v>1.8518518518518517E-2</v>
      </c>
      <c r="I17" s="60">
        <v>11</v>
      </c>
      <c r="K17" s="7">
        <v>15</v>
      </c>
      <c r="L17" s="65">
        <v>-25.1</v>
      </c>
      <c r="N17" s="78" t="s">
        <v>195</v>
      </c>
      <c r="O17" s="87">
        <f t="shared" si="2"/>
        <v>12.000000000000002</v>
      </c>
      <c r="P17" s="81">
        <v>1</v>
      </c>
      <c r="Q17" s="72">
        <v>12.000000000000002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0.68421052631578949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6</v>
      </c>
      <c r="K18" s="7">
        <v>16</v>
      </c>
      <c r="L18" s="65">
        <v>-13.600000000000001</v>
      </c>
      <c r="N18" s="78" t="s">
        <v>167</v>
      </c>
      <c r="O18" s="87">
        <f t="shared" si="2"/>
        <v>2.910000000000001</v>
      </c>
      <c r="P18" s="81">
        <v>10</v>
      </c>
      <c r="Q18" s="72">
        <v>29.100000000000009</v>
      </c>
    </row>
    <row r="19" spans="1:17" x14ac:dyDescent="0.45">
      <c r="A19" s="20" t="s">
        <v>10</v>
      </c>
      <c r="B19" s="13">
        <f>B22+B21</f>
        <v>54</v>
      </c>
      <c r="C19" s="6">
        <f>IF(B$3=0,0,B19/B$3)</f>
        <v>0.34838709677419355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7</v>
      </c>
      <c r="K19" s="7">
        <v>17</v>
      </c>
      <c r="L19" s="65">
        <v>-30.700000000000003</v>
      </c>
      <c r="N19" s="78" t="s">
        <v>127</v>
      </c>
      <c r="O19" s="87">
        <f t="shared" si="2"/>
        <v>2.8600000000000012</v>
      </c>
      <c r="P19" s="81">
        <v>5</v>
      </c>
      <c r="Q19" s="72">
        <v>14.300000000000006</v>
      </c>
    </row>
    <row r="20" spans="1:17" x14ac:dyDescent="0.45">
      <c r="A20" s="21" t="s">
        <v>13</v>
      </c>
      <c r="B20" s="14">
        <v>25</v>
      </c>
      <c r="C20" s="8">
        <f>IF(B$3=0,0,B20/B$3)</f>
        <v>0.16129032258064516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-55.6</v>
      </c>
      <c r="N20" s="78" t="s">
        <v>194</v>
      </c>
      <c r="O20" s="87">
        <f t="shared" si="2"/>
        <v>-0.16666666666666882</v>
      </c>
      <c r="P20" s="81">
        <v>3</v>
      </c>
      <c r="Q20" s="72">
        <v>-0.50000000000000644</v>
      </c>
    </row>
    <row r="21" spans="1:17" x14ac:dyDescent="0.45">
      <c r="A21" s="21" t="s">
        <v>12</v>
      </c>
      <c r="B21" s="14">
        <v>29</v>
      </c>
      <c r="C21" s="8">
        <f>IF(B$19=0,0,B21/B$19)</f>
        <v>0.53703703703703709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6</v>
      </c>
      <c r="N21" s="78" t="s">
        <v>126</v>
      </c>
      <c r="O21" s="87">
        <f t="shared" si="2"/>
        <v>-42.716666666666669</v>
      </c>
      <c r="P21" s="81">
        <v>6</v>
      </c>
      <c r="Q21" s="72">
        <v>-256.3</v>
      </c>
    </row>
    <row r="22" spans="1:17" x14ac:dyDescent="0.45">
      <c r="A22" s="21" t="s">
        <v>11</v>
      </c>
      <c r="B22" s="14">
        <v>25</v>
      </c>
      <c r="C22" s="8">
        <f>IF(B$19=0,0,B22/B$19)</f>
        <v>0.46296296296296297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11</v>
      </c>
      <c r="N22" s="78" t="s">
        <v>158</v>
      </c>
      <c r="O22" s="87">
        <f t="shared" si="2"/>
        <v>-57.233333333333327</v>
      </c>
      <c r="P22" s="81">
        <v>3</v>
      </c>
      <c r="Q22" s="72">
        <v>-171.7</v>
      </c>
    </row>
    <row r="23" spans="1:17" x14ac:dyDescent="0.45">
      <c r="A23" s="21" t="s">
        <v>192</v>
      </c>
      <c r="B23" s="14">
        <v>31</v>
      </c>
      <c r="C23" s="8">
        <f>IF(B$19=0,0,B23/B$19)</f>
        <v>0.57407407407407407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13</v>
      </c>
      <c r="C24" s="8">
        <f>IF(B$19=0,0,B24/B$19)</f>
        <v>0.24074074074074073</v>
      </c>
      <c r="E24" s="29" t="s">
        <v>81</v>
      </c>
      <c r="F24" s="26" t="s">
        <v>36</v>
      </c>
      <c r="G24" s="14">
        <v>0</v>
      </c>
      <c r="H24" s="92">
        <f>IF(B$19=0,0,G24/B$19)</f>
        <v>0</v>
      </c>
      <c r="I24" s="60">
        <v>11</v>
      </c>
    </row>
    <row r="25" spans="1:17" x14ac:dyDescent="0.45">
      <c r="A25" s="21" t="s">
        <v>191</v>
      </c>
      <c r="B25" s="14">
        <v>10</v>
      </c>
      <c r="C25" s="8">
        <f>IF(B$19=0,0,B25/B$19)</f>
        <v>0.18518518518518517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6648.1481481481478</v>
      </c>
      <c r="C26" s="10">
        <v>359000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174</v>
      </c>
      <c r="B27" s="99">
        <f>IF($B$19-B$18=0,0,C27/($B$19-B$18))</f>
        <v>7278.0487804878048</v>
      </c>
      <c r="C27" s="100">
        <v>298400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4661.5384615384619</v>
      </c>
      <c r="C28" s="100">
        <v>60600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-8220</v>
      </c>
      <c r="C29" s="100">
        <v>-205500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20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7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65900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2</v>
      </c>
      <c r="C34" s="11">
        <f>IF(B$3=0,0,B34/B$3)</f>
        <v>1.2903225806451613E-2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6</v>
      </c>
      <c r="C36" s="102">
        <f t="shared" ref="C36:C48" si="3">IF(B$19=0,0,B36/B$19)</f>
        <v>0.1111111111111111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15</v>
      </c>
      <c r="C37" s="8">
        <f t="shared" si="3"/>
        <v>0.27777777777777779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8</v>
      </c>
      <c r="C38" s="8">
        <f t="shared" si="3"/>
        <v>0.14814814814814814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9</v>
      </c>
      <c r="C39" s="8">
        <f t="shared" si="3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9</v>
      </c>
      <c r="C40" s="8">
        <f t="shared" si="3"/>
        <v>0.16666666666666666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3"/>
        <v>3.7037037037037035E-2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3</v>
      </c>
      <c r="C42" s="8">
        <f t="shared" si="3"/>
        <v>5.5555555555555552E-2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1</v>
      </c>
      <c r="C43" s="8">
        <f t="shared" si="3"/>
        <v>1.8518518518518517E-2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1</v>
      </c>
      <c r="C45" s="8">
        <f t="shared" si="3"/>
        <v>1.8518518518518517E-2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F28FA-0BF9-47E5-AAFE-55313548BB6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</v>
      </c>
      <c r="C2" s="130"/>
      <c r="E2" s="28" t="s">
        <v>66</v>
      </c>
      <c r="F2" s="25" t="s">
        <v>22</v>
      </c>
      <c r="G2" s="13">
        <v>26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410</v>
      </c>
      <c r="P2" s="80">
        <v>10</v>
      </c>
      <c r="Q2" s="67">
        <v>4100</v>
      </c>
    </row>
    <row r="3" spans="1:17" x14ac:dyDescent="0.45">
      <c r="A3" s="21" t="s">
        <v>8</v>
      </c>
      <c r="B3" s="131">
        <v>78</v>
      </c>
      <c r="C3" s="132"/>
      <c r="E3" s="29" t="s">
        <v>64</v>
      </c>
      <c r="F3" s="26" t="s">
        <v>20</v>
      </c>
      <c r="G3" s="14">
        <v>19</v>
      </c>
      <c r="H3" s="92">
        <f>IF(B$19=0,0,G3/B$19)</f>
        <v>0.73076923076923073</v>
      </c>
      <c r="I3" s="60">
        <v>2</v>
      </c>
      <c r="K3" s="7">
        <v>1</v>
      </c>
      <c r="L3" s="65">
        <v>35</v>
      </c>
      <c r="N3" s="78" t="s">
        <v>131</v>
      </c>
      <c r="O3" s="84">
        <f t="shared" si="0"/>
        <v>-2890</v>
      </c>
      <c r="P3" s="81">
        <v>10</v>
      </c>
      <c r="Q3" s="68">
        <v>-28900</v>
      </c>
    </row>
    <row r="4" spans="1:17" x14ac:dyDescent="0.45">
      <c r="A4" s="21" t="s">
        <v>6</v>
      </c>
      <c r="B4" s="133">
        <v>9.2999999999999972</v>
      </c>
      <c r="C4" s="134"/>
      <c r="E4" s="29" t="s">
        <v>67</v>
      </c>
      <c r="F4" s="26" t="s">
        <v>23</v>
      </c>
      <c r="G4" s="14">
        <v>17</v>
      </c>
      <c r="H4" s="92">
        <f>IF(B$19=0,0,G4/B$19)</f>
        <v>0.65384615384615385</v>
      </c>
      <c r="I4" s="60">
        <v>1</v>
      </c>
      <c r="K4" s="7">
        <v>2</v>
      </c>
      <c r="L4" s="65">
        <v>18.399999999999999</v>
      </c>
      <c r="N4" s="78" t="s">
        <v>132</v>
      </c>
      <c r="O4" s="84">
        <f t="shared" si="0"/>
        <v>6000</v>
      </c>
      <c r="P4" s="81">
        <v>7</v>
      </c>
      <c r="Q4" s="68">
        <v>42000</v>
      </c>
    </row>
    <row r="5" spans="1:17" x14ac:dyDescent="0.45">
      <c r="A5" s="21" t="s">
        <v>7</v>
      </c>
      <c r="B5" s="121">
        <f>IF(B$2=0,0,B$4/B$2)</f>
        <v>0.92999999999999972</v>
      </c>
      <c r="C5" s="122"/>
      <c r="E5" s="29" t="s">
        <v>163</v>
      </c>
      <c r="F5" s="26" t="s">
        <v>164</v>
      </c>
      <c r="G5" s="14">
        <v>12</v>
      </c>
      <c r="H5" s="92">
        <f>IF(B$19=0,0,G5/B$19)</f>
        <v>0.46153846153846156</v>
      </c>
      <c r="I5" s="60">
        <v>2</v>
      </c>
      <c r="K5" s="7">
        <v>3</v>
      </c>
      <c r="L5" s="65">
        <v>64.3</v>
      </c>
      <c r="N5" s="78" t="s">
        <v>133</v>
      </c>
      <c r="O5" s="84">
        <f t="shared" si="0"/>
        <v>-9657.1428571428569</v>
      </c>
      <c r="P5" s="81">
        <v>7</v>
      </c>
      <c r="Q5" s="68">
        <v>-67600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</v>
      </c>
      <c r="H6" s="92">
        <f>IF(B$19=0,0,G6/B$19)</f>
        <v>0.30769230769230771</v>
      </c>
      <c r="I6" s="60">
        <v>7</v>
      </c>
      <c r="K6" s="7">
        <v>4</v>
      </c>
      <c r="L6" s="65">
        <v>109.9</v>
      </c>
      <c r="N6" s="78" t="s">
        <v>134</v>
      </c>
      <c r="O6" s="84">
        <f t="shared" si="0"/>
        <v>1828.5714285714287</v>
      </c>
      <c r="P6" s="81">
        <v>7</v>
      </c>
      <c r="Q6" s="68">
        <v>12800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0.5</v>
      </c>
      <c r="E7" s="29" t="s">
        <v>69</v>
      </c>
      <c r="F7" s="26" t="s">
        <v>24</v>
      </c>
      <c r="G7" s="14">
        <v>5</v>
      </c>
      <c r="H7" s="92">
        <f>IF(B$19=0,0,G7/B$19)</f>
        <v>0.19230769230769232</v>
      </c>
      <c r="I7" s="60">
        <v>4</v>
      </c>
      <c r="K7" s="7">
        <v>5</v>
      </c>
      <c r="L7" s="65">
        <v>84.7</v>
      </c>
      <c r="N7" s="79" t="s">
        <v>135</v>
      </c>
      <c r="O7" s="85">
        <f t="shared" si="0"/>
        <v>3271.4285714285716</v>
      </c>
      <c r="P7" s="82">
        <v>7</v>
      </c>
      <c r="Q7" s="69">
        <v>22900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72</v>
      </c>
      <c r="F8" s="26" t="s">
        <v>27</v>
      </c>
      <c r="G8" s="14">
        <v>5</v>
      </c>
      <c r="H8" s="92">
        <f>IF(B$19=0,0,G8/B$19)</f>
        <v>0.19230769230769232</v>
      </c>
      <c r="I8" s="60">
        <v>14</v>
      </c>
      <c r="K8" s="7">
        <v>6</v>
      </c>
      <c r="L8" s="65">
        <v>129.1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0.5</v>
      </c>
      <c r="E9" s="29" t="s">
        <v>65</v>
      </c>
      <c r="F9" s="26" t="s">
        <v>21</v>
      </c>
      <c r="G9" s="14">
        <v>4</v>
      </c>
      <c r="H9" s="92">
        <f>IF(B$19=0,0,G9/B$19)</f>
        <v>0.15384615384615385</v>
      </c>
      <c r="I9" s="60">
        <v>3</v>
      </c>
      <c r="K9" s="7">
        <v>7</v>
      </c>
      <c r="L9" s="65">
        <v>87.5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37.980000000000004</v>
      </c>
      <c r="C10" s="114">
        <v>189.9</v>
      </c>
      <c r="E10" s="29" t="s">
        <v>70</v>
      </c>
      <c r="F10" s="26" t="s">
        <v>25</v>
      </c>
      <c r="G10" s="14">
        <v>4</v>
      </c>
      <c r="H10" s="92">
        <f>IF(B$19=0,0,G10/B$19)</f>
        <v>0.15384615384615385</v>
      </c>
      <c r="I10" s="60">
        <v>1</v>
      </c>
      <c r="K10" s="7">
        <v>8</v>
      </c>
      <c r="L10" s="65">
        <v>106.5</v>
      </c>
      <c r="N10" s="77" t="s">
        <v>154</v>
      </c>
      <c r="O10" s="86">
        <f>IF(P10=0,0,Q10/P10)</f>
        <v>-37.93333333333333</v>
      </c>
      <c r="P10" s="80">
        <v>3</v>
      </c>
      <c r="Q10" s="71">
        <v>-113.8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71</v>
      </c>
      <c r="F11" s="26" t="s">
        <v>26</v>
      </c>
      <c r="G11" s="14">
        <v>3</v>
      </c>
      <c r="H11" s="92">
        <f>IF(B$19=0,0,G11/B$19)</f>
        <v>0.11538461538461539</v>
      </c>
      <c r="I11" s="60">
        <v>3</v>
      </c>
      <c r="K11" s="7">
        <v>9</v>
      </c>
      <c r="L11" s="65">
        <v>54.5</v>
      </c>
      <c r="N11" s="78" t="s">
        <v>155</v>
      </c>
      <c r="O11" s="87">
        <f>IF(P11=0,0,Q11/P11)</f>
        <v>-15.933333333333332</v>
      </c>
      <c r="P11" s="81">
        <v>3</v>
      </c>
      <c r="Q11" s="72">
        <v>-47.8</v>
      </c>
    </row>
    <row r="12" spans="1:17" x14ac:dyDescent="0.45">
      <c r="A12" s="22" t="s">
        <v>205</v>
      </c>
      <c r="B12" s="113">
        <f>IF(B9=0,0,C12/B9)</f>
        <v>-36.120000000000005</v>
      </c>
      <c r="C12" s="114">
        <v>-180.60000000000002</v>
      </c>
      <c r="E12" s="29" t="s">
        <v>81</v>
      </c>
      <c r="F12" s="26" t="s">
        <v>36</v>
      </c>
      <c r="G12" s="14">
        <v>2</v>
      </c>
      <c r="H12" s="92">
        <f>IF(B$19=0,0,G12/B$19)</f>
        <v>7.6923076923076927E-2</v>
      </c>
      <c r="I12" s="60">
        <v>1</v>
      </c>
      <c r="K12" s="7">
        <v>10</v>
      </c>
      <c r="L12" s="65">
        <v>9.2999999999999972</v>
      </c>
      <c r="N12" s="79" t="s">
        <v>156</v>
      </c>
      <c r="O12" s="88">
        <f>IF(P12=0,0,Q12/P12)</f>
        <v>42.725000000000001</v>
      </c>
      <c r="P12" s="82">
        <v>4</v>
      </c>
      <c r="Q12" s="73">
        <v>170.9</v>
      </c>
    </row>
    <row r="13" spans="1:17" x14ac:dyDescent="0.45">
      <c r="A13" s="22" t="s">
        <v>206</v>
      </c>
      <c r="B13" s="121">
        <f>AVERAGE(B10:B12)</f>
        <v>0.61999999999999977</v>
      </c>
      <c r="C13" s="122"/>
      <c r="E13" s="29" t="s">
        <v>89</v>
      </c>
      <c r="F13" s="26" t="s">
        <v>44</v>
      </c>
      <c r="G13" s="14">
        <v>1</v>
      </c>
      <c r="H13" s="92">
        <f>IF(B$19=0,0,G13/B$19)</f>
        <v>3.8461538461538464E-2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</v>
      </c>
      <c r="E14" s="29" t="s">
        <v>91</v>
      </c>
      <c r="F14" s="26" t="s">
        <v>46</v>
      </c>
      <c r="G14" s="14">
        <v>1</v>
      </c>
      <c r="H14" s="92">
        <f>IF(B$19=0,0,G14/B$19)</f>
        <v>3.8461538461538464E-2</v>
      </c>
      <c r="I14" s="60">
        <v>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30</v>
      </c>
      <c r="C15" s="12">
        <f>IF(B$3=0,0,B15/B$3)</f>
        <v>0.38461538461538464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281</v>
      </c>
      <c r="O15" s="86">
        <f t="shared" ref="O15:O20" si="2">IF(P15=0,0,Q15/P15)</f>
        <v>45.3</v>
      </c>
      <c r="P15" s="80">
        <v>5</v>
      </c>
      <c r="Q15" s="71">
        <v>226.5</v>
      </c>
    </row>
    <row r="16" spans="1:17" x14ac:dyDescent="0.45">
      <c r="A16" s="21" t="s">
        <v>118</v>
      </c>
      <c r="B16" s="14">
        <v>13</v>
      </c>
      <c r="C16" s="8">
        <f>IF(B$3=0,0,B16/B$3)</f>
        <v>0.16666666666666666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158</v>
      </c>
      <c r="O16" s="87">
        <f t="shared" si="2"/>
        <v>38</v>
      </c>
      <c r="P16" s="81">
        <v>1</v>
      </c>
      <c r="Q16" s="72">
        <v>38</v>
      </c>
    </row>
    <row r="17" spans="1:17" x14ac:dyDescent="0.45">
      <c r="A17" s="20" t="s">
        <v>123</v>
      </c>
      <c r="B17" s="13">
        <f>B23</f>
        <v>19</v>
      </c>
      <c r="C17" s="6">
        <f>IF(B$15=0,0,B17/B$15)</f>
        <v>0.6333333333333333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195</v>
      </c>
      <c r="O17" s="87">
        <f t="shared" si="2"/>
        <v>1.0625</v>
      </c>
      <c r="P17" s="81">
        <v>8</v>
      </c>
      <c r="Q17" s="72">
        <v>8.5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  <c r="N18" s="78" t="s">
        <v>168</v>
      </c>
      <c r="O18" s="87">
        <f t="shared" si="2"/>
        <v>-11</v>
      </c>
      <c r="P18" s="81">
        <v>3</v>
      </c>
      <c r="Q18" s="72">
        <v>-33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  <c r="N19" s="78" t="s">
        <v>126</v>
      </c>
      <c r="O19" s="87">
        <f t="shared" si="2"/>
        <v>-31.200000000000003</v>
      </c>
      <c r="P19" s="81">
        <v>1</v>
      </c>
      <c r="Q19" s="72">
        <v>-31.200000000000003</v>
      </c>
    </row>
    <row r="20" spans="1:17" x14ac:dyDescent="0.45">
      <c r="A20" s="21" t="s">
        <v>13</v>
      </c>
      <c r="B20" s="14">
        <v>19</v>
      </c>
      <c r="C20" s="8">
        <f>IF(B$3=0,0,B20/B$3)</f>
        <v>0.24358974358974358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11</v>
      </c>
      <c r="N20" s="78" t="s">
        <v>167</v>
      </c>
      <c r="O20" s="87">
        <f t="shared" si="2"/>
        <v>-90.449999999999989</v>
      </c>
      <c r="P20" s="81">
        <v>2</v>
      </c>
      <c r="Q20" s="72">
        <v>-180.89999999999998</v>
      </c>
    </row>
    <row r="21" spans="1:17" x14ac:dyDescent="0.45">
      <c r="A21" s="21" t="s">
        <v>12</v>
      </c>
      <c r="B21" s="14">
        <v>12</v>
      </c>
      <c r="C21" s="8">
        <f>IF(B$19=0,0,B21/B$19)</f>
        <v>0.46153846153846156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14</v>
      </c>
      <c r="C22" s="8">
        <f>IF(B$19=0,0,B22/B$19)</f>
        <v>0.53846153846153844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19</v>
      </c>
      <c r="C23" s="8">
        <f>IF(B$19=0,0,B23/B$19)</f>
        <v>0.73076923076923073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0.19230769230769232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2</v>
      </c>
      <c r="C25" s="8">
        <f>IF(B$19=0,0,B25/B$19)</f>
        <v>7.6923076923076927E-2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9534.6153846153848</v>
      </c>
      <c r="C26" s="10">
        <v>247900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9661.9047619047615</v>
      </c>
      <c r="C27" s="100">
        <v>202900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9000</v>
      </c>
      <c r="C28" s="100">
        <v>45000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173</v>
      </c>
      <c r="B29" s="99">
        <f>IF(B$20=0,0,C29/B$20)</f>
        <v>-10010.526315789473</v>
      </c>
      <c r="C29" s="100">
        <v>-190200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162</v>
      </c>
      <c r="B31" s="14">
        <v>11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5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70900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3">IF(B$19=0,0,B36/B$19)</f>
        <v>3.8461538461538464E-2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0.11538461538461539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6</v>
      </c>
      <c r="C38" s="8">
        <f t="shared" si="3"/>
        <v>0.23076923076923078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1</v>
      </c>
      <c r="C39" s="8">
        <f t="shared" si="3"/>
        <v>3.8461538461538464E-2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8</v>
      </c>
      <c r="C40" s="8">
        <f t="shared" si="3"/>
        <v>0.30769230769230771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6</v>
      </c>
      <c r="C41" s="8">
        <f t="shared" si="3"/>
        <v>0.23076923076923078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0</v>
      </c>
      <c r="C42" s="8">
        <f t="shared" si="3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1</v>
      </c>
      <c r="C44" s="8">
        <f t="shared" si="3"/>
        <v>3.8461538461538464E-2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BA573-D395-4C16-A740-013C8AB28B18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5</v>
      </c>
      <c r="C2" s="130"/>
      <c r="E2" s="28" t="s">
        <v>64</v>
      </c>
      <c r="F2" s="25" t="s">
        <v>20</v>
      </c>
      <c r="G2" s="13">
        <v>6</v>
      </c>
      <c r="H2" s="91">
        <f>IF(B$19=0,0,G2/B$19)</f>
        <v>0.75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-3140</v>
      </c>
      <c r="P2" s="80">
        <v>5</v>
      </c>
      <c r="Q2" s="67">
        <v>-15700</v>
      </c>
    </row>
    <row r="3" spans="1:17" x14ac:dyDescent="0.45">
      <c r="A3" s="21" t="s">
        <v>8</v>
      </c>
      <c r="B3" s="131">
        <v>40</v>
      </c>
      <c r="C3" s="132"/>
      <c r="E3" s="29" t="s">
        <v>66</v>
      </c>
      <c r="F3" s="26" t="s">
        <v>22</v>
      </c>
      <c r="G3" s="14">
        <v>5</v>
      </c>
      <c r="H3" s="92">
        <f>IF(B$19=0,0,G3/B$19)</f>
        <v>0.625</v>
      </c>
      <c r="I3" s="60">
        <v>12</v>
      </c>
      <c r="K3" s="7">
        <v>1</v>
      </c>
      <c r="L3" s="65">
        <v>1.3</v>
      </c>
      <c r="N3" s="78" t="s">
        <v>131</v>
      </c>
      <c r="O3" s="84">
        <f t="shared" si="0"/>
        <v>-4200</v>
      </c>
      <c r="P3" s="81">
        <v>5</v>
      </c>
      <c r="Q3" s="68">
        <v>-21000</v>
      </c>
    </row>
    <row r="4" spans="1:17" x14ac:dyDescent="0.45">
      <c r="A4" s="21" t="s">
        <v>6</v>
      </c>
      <c r="B4" s="133">
        <v>-80.800000000000011</v>
      </c>
      <c r="C4" s="134"/>
      <c r="E4" s="29" t="s">
        <v>163</v>
      </c>
      <c r="F4" s="26" t="s">
        <v>164</v>
      </c>
      <c r="G4" s="14">
        <v>4</v>
      </c>
      <c r="H4" s="92">
        <f>IF(B$19=0,0,G4/B$19)</f>
        <v>0.5</v>
      </c>
      <c r="I4" s="60">
        <v>1</v>
      </c>
      <c r="K4" s="7">
        <v>2</v>
      </c>
      <c r="L4" s="65">
        <v>-9.1999999999999993</v>
      </c>
      <c r="N4" s="78" t="s">
        <v>132</v>
      </c>
      <c r="O4" s="84">
        <f t="shared" si="0"/>
        <v>-2350</v>
      </c>
      <c r="P4" s="81">
        <v>4</v>
      </c>
      <c r="Q4" s="68">
        <v>-9400</v>
      </c>
    </row>
    <row r="5" spans="1:17" x14ac:dyDescent="0.45">
      <c r="A5" s="21" t="s">
        <v>7</v>
      </c>
      <c r="B5" s="121">
        <f>IF(B$2=0,0,B$4/B$2)</f>
        <v>-16.160000000000004</v>
      </c>
      <c r="C5" s="122"/>
      <c r="E5" s="29" t="s">
        <v>78</v>
      </c>
      <c r="F5" s="26" t="s">
        <v>33</v>
      </c>
      <c r="G5" s="14">
        <v>3</v>
      </c>
      <c r="H5" s="92">
        <f>IF(B$19=0,0,G5/B$19)</f>
        <v>0.375</v>
      </c>
      <c r="I5" s="60">
        <v>1</v>
      </c>
      <c r="K5" s="7">
        <v>3</v>
      </c>
      <c r="L5" s="65">
        <v>-66.400000000000006</v>
      </c>
      <c r="N5" s="78" t="s">
        <v>133</v>
      </c>
      <c r="O5" s="84">
        <f t="shared" si="0"/>
        <v>6125</v>
      </c>
      <c r="P5" s="81">
        <v>4</v>
      </c>
      <c r="Q5" s="68">
        <v>24500</v>
      </c>
    </row>
    <row r="6" spans="1:17" x14ac:dyDescent="0.45">
      <c r="A6" s="21" t="s">
        <v>1</v>
      </c>
      <c r="B6" s="135">
        <f>IF(B$2=0,0,(B$7*1+B$8*2+B$9*3)/B$2)</f>
        <v>2.2000000000000002</v>
      </c>
      <c r="C6" s="136"/>
      <c r="E6" s="29" t="s">
        <v>68</v>
      </c>
      <c r="F6" s="26" t="s">
        <v>12</v>
      </c>
      <c r="G6" s="14">
        <v>2</v>
      </c>
      <c r="H6" s="92">
        <f>IF(B$19=0,0,G6/B$19)</f>
        <v>0.25</v>
      </c>
      <c r="I6" s="60">
        <v>13</v>
      </c>
      <c r="K6" s="7">
        <v>4</v>
      </c>
      <c r="L6" s="65">
        <v>-39.400000000000006</v>
      </c>
      <c r="N6" s="78" t="s">
        <v>134</v>
      </c>
      <c r="O6" s="84">
        <f t="shared" si="0"/>
        <v>-5125</v>
      </c>
      <c r="P6" s="81">
        <v>4</v>
      </c>
      <c r="Q6" s="68">
        <v>-20500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69</v>
      </c>
      <c r="F7" s="26" t="s">
        <v>24</v>
      </c>
      <c r="G7" s="14">
        <v>2</v>
      </c>
      <c r="H7" s="92">
        <f>IF(B$19=0,0,G7/B$19)</f>
        <v>0.25</v>
      </c>
      <c r="I7" s="60">
        <v>1</v>
      </c>
      <c r="K7" s="7">
        <v>5</v>
      </c>
      <c r="L7" s="65">
        <v>-80.800000000000011</v>
      </c>
      <c r="N7" s="79" t="s">
        <v>135</v>
      </c>
      <c r="O7" s="85">
        <f t="shared" si="0"/>
        <v>-1175</v>
      </c>
      <c r="P7" s="82">
        <v>4</v>
      </c>
      <c r="Q7" s="69">
        <v>-4700</v>
      </c>
    </row>
    <row r="8" spans="1:17" x14ac:dyDescent="0.45">
      <c r="A8" s="21" t="s">
        <v>3</v>
      </c>
      <c r="B8" s="14">
        <v>2</v>
      </c>
      <c r="C8" s="8">
        <f t="shared" si="1"/>
        <v>0.4</v>
      </c>
      <c r="E8" s="29" t="s">
        <v>72</v>
      </c>
      <c r="F8" s="26" t="s">
        <v>27</v>
      </c>
      <c r="G8" s="14">
        <v>2</v>
      </c>
      <c r="H8" s="92">
        <f>IF(B$19=0,0,G8/B$19)</f>
        <v>0.25</v>
      </c>
      <c r="I8" s="60">
        <v>13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89</v>
      </c>
      <c r="F9" s="26" t="s">
        <v>44</v>
      </c>
      <c r="G9" s="14">
        <v>2</v>
      </c>
      <c r="H9" s="92">
        <f>IF(B$19=0,0,G9/B$19)</f>
        <v>0.25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</v>
      </c>
      <c r="C10" s="114">
        <v>27</v>
      </c>
      <c r="E10" s="29" t="s">
        <v>65</v>
      </c>
      <c r="F10" s="26" t="s">
        <v>21</v>
      </c>
      <c r="G10" s="14">
        <v>1</v>
      </c>
      <c r="H10" s="92">
        <f>IF(B$19=0,0,G10/B$19)</f>
        <v>0.125</v>
      </c>
      <c r="I10" s="60">
        <v>5</v>
      </c>
      <c r="N10" s="77" t="s">
        <v>154</v>
      </c>
      <c r="O10" s="86">
        <f>IF(P10=0,0,Q10/P10)</f>
        <v>-41.4</v>
      </c>
      <c r="P10" s="80">
        <v>1</v>
      </c>
      <c r="Q10" s="71">
        <v>-41.4</v>
      </c>
    </row>
    <row r="11" spans="1:17" x14ac:dyDescent="0.45">
      <c r="A11" s="22" t="s">
        <v>204</v>
      </c>
      <c r="B11" s="113">
        <f>IF(B8=0,0,C11/B8)</f>
        <v>-4.5999999999999996</v>
      </c>
      <c r="C11" s="114">
        <v>-9.1999999999999993</v>
      </c>
      <c r="E11" s="29" t="s">
        <v>67</v>
      </c>
      <c r="F11" s="26" t="s">
        <v>23</v>
      </c>
      <c r="G11" s="14">
        <v>1</v>
      </c>
      <c r="H11" s="92">
        <f>IF(B$19=0,0,G11/B$19)</f>
        <v>0.125</v>
      </c>
      <c r="I11" s="60">
        <v>14</v>
      </c>
      <c r="N11" s="78" t="s">
        <v>155</v>
      </c>
      <c r="O11" s="87">
        <f>IF(P11=0,0,Q11/P11)</f>
        <v>-22.133333333333336</v>
      </c>
      <c r="P11" s="81">
        <v>3</v>
      </c>
      <c r="Q11" s="72">
        <v>-66.400000000000006</v>
      </c>
    </row>
    <row r="12" spans="1:17" x14ac:dyDescent="0.45">
      <c r="A12" s="22" t="s">
        <v>205</v>
      </c>
      <c r="B12" s="113">
        <f>IF(B9=0,0,C12/B9)</f>
        <v>-49.3</v>
      </c>
      <c r="C12" s="114">
        <v>-98.6</v>
      </c>
      <c r="E12" s="29" t="s">
        <v>87</v>
      </c>
      <c r="F12" s="26" t="s">
        <v>42</v>
      </c>
      <c r="G12" s="14">
        <v>1</v>
      </c>
      <c r="H12" s="92">
        <f>IF(B$19=0,0,G12/B$19)</f>
        <v>0.125</v>
      </c>
      <c r="I12" s="60">
        <v>1</v>
      </c>
      <c r="N12" s="79" t="s">
        <v>156</v>
      </c>
      <c r="O12" s="88">
        <f>IF(P12=0,0,Q12/P12)</f>
        <v>27</v>
      </c>
      <c r="P12" s="82">
        <v>1</v>
      </c>
      <c r="Q12" s="73">
        <v>27</v>
      </c>
    </row>
    <row r="13" spans="1:17" x14ac:dyDescent="0.45">
      <c r="A13" s="22" t="s">
        <v>206</v>
      </c>
      <c r="B13" s="121">
        <f>AVERAGE(B10:B12)</f>
        <v>-8.9666666666666668</v>
      </c>
      <c r="C13" s="122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14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0.375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195</v>
      </c>
      <c r="O15" s="86">
        <f>IF(P15=0,0,Q15/P15)</f>
        <v>-2.1000000000000032</v>
      </c>
      <c r="P15" s="80">
        <v>3</v>
      </c>
      <c r="Q15" s="71">
        <v>-6.3000000000000096</v>
      </c>
    </row>
    <row r="16" spans="1:17" x14ac:dyDescent="0.45">
      <c r="A16" s="21" t="s">
        <v>118</v>
      </c>
      <c r="B16" s="14">
        <v>6</v>
      </c>
      <c r="C16" s="8">
        <f>IF(B$3=0,0,B16/B$3)</f>
        <v>0.15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168</v>
      </c>
      <c r="O16" s="87">
        <f>IF(P16=0,0,Q16/P16)</f>
        <v>-4.7999999999999989</v>
      </c>
      <c r="P16" s="81">
        <v>2</v>
      </c>
      <c r="Q16" s="72">
        <v>-9.5999999999999979</v>
      </c>
    </row>
    <row r="17" spans="1:17" x14ac:dyDescent="0.45">
      <c r="A17" s="20" t="s">
        <v>123</v>
      </c>
      <c r="B17" s="13">
        <f>B23</f>
        <v>6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282</v>
      </c>
      <c r="O17" s="87">
        <f>IF(P17=0,0,Q17/P17)</f>
        <v>-45.300000000000004</v>
      </c>
      <c r="P17" s="81">
        <v>5</v>
      </c>
      <c r="Q17" s="72">
        <v>-226.50000000000003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</row>
    <row r="20" spans="1:17" x14ac:dyDescent="0.45">
      <c r="A20" s="21" t="s">
        <v>13</v>
      </c>
      <c r="B20" s="14">
        <v>8</v>
      </c>
      <c r="C20" s="8">
        <f>IF(B$3=0,0,B20/B$3)</f>
        <v>0.2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6</v>
      </c>
      <c r="C23" s="8">
        <f>IF(B$19=0,0,B23/B$19)</f>
        <v>0.75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2</v>
      </c>
      <c r="C24" s="8">
        <f>IF(B$19=0,0,B24/B$19)</f>
        <v>0.25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8512.5</v>
      </c>
      <c r="C26" s="10">
        <v>68100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9766.6666666666661</v>
      </c>
      <c r="C27" s="100">
        <v>58600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4750</v>
      </c>
      <c r="C28" s="100">
        <v>9500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-7987.5</v>
      </c>
      <c r="C29" s="100">
        <v>-63900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52000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2"/>
        <v>0.5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2"/>
        <v>0.125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0.125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FB0CB-A06E-479C-9F0F-F5BA8C3EDF31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281</v>
      </c>
      <c r="B1" s="36" t="s">
        <v>281</v>
      </c>
      <c r="C1" s="36" t="s">
        <v>281</v>
      </c>
      <c r="D1" s="37" t="s">
        <v>281</v>
      </c>
      <c r="E1" s="36" t="s">
        <v>281</v>
      </c>
      <c r="F1" s="36" t="s">
        <v>281</v>
      </c>
      <c r="G1" s="36" t="s">
        <v>281</v>
      </c>
      <c r="H1" s="36" t="s">
        <v>281</v>
      </c>
      <c r="I1" s="36" t="s">
        <v>281</v>
      </c>
      <c r="J1" s="36" t="s">
        <v>281</v>
      </c>
      <c r="K1" s="36" t="s">
        <v>281</v>
      </c>
      <c r="L1" s="36" t="s">
        <v>281</v>
      </c>
      <c r="M1" s="36" t="s">
        <v>281</v>
      </c>
      <c r="N1" s="36" t="s">
        <v>281</v>
      </c>
      <c r="O1" s="36" t="s">
        <v>281</v>
      </c>
      <c r="P1" s="36" t="s">
        <v>281</v>
      </c>
      <c r="Q1" s="36" t="s">
        <v>281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1.3</v>
      </c>
      <c r="C4" s="32">
        <v>1.3</v>
      </c>
      <c r="D4" s="37">
        <v>2</v>
      </c>
      <c r="E4" s="33">
        <v>0</v>
      </c>
      <c r="F4" s="33">
        <v>0</v>
      </c>
      <c r="G4" s="33">
        <v>0.2857142857142857</v>
      </c>
      <c r="H4" s="33">
        <v>0.14285714285714285</v>
      </c>
      <c r="I4" s="34">
        <v>10000</v>
      </c>
      <c r="J4" s="34">
        <v>-7700</v>
      </c>
      <c r="K4" s="33">
        <v>0</v>
      </c>
      <c r="L4" s="33">
        <v>0.5714285714285714</v>
      </c>
      <c r="M4" s="33">
        <v>0.2857142857142857</v>
      </c>
      <c r="N4" s="33">
        <v>0.25</v>
      </c>
      <c r="O4" s="33">
        <v>0.5</v>
      </c>
      <c r="P4" s="33">
        <v>0.5</v>
      </c>
    </row>
    <row r="5" spans="1:17" x14ac:dyDescent="0.45">
      <c r="A5" s="35">
        <v>2</v>
      </c>
      <c r="B5" s="32">
        <v>-9.1999999999999993</v>
      </c>
      <c r="C5" s="32">
        <v>-4.5999999999999996</v>
      </c>
      <c r="D5" s="37">
        <v>2</v>
      </c>
      <c r="E5" s="33">
        <v>0</v>
      </c>
      <c r="F5" s="33">
        <v>0</v>
      </c>
      <c r="G5" s="33">
        <v>0.16666666666666666</v>
      </c>
      <c r="H5" s="33">
        <v>0.22222222222222221</v>
      </c>
      <c r="I5" s="34">
        <v>10666.666666666666</v>
      </c>
      <c r="J5" s="34">
        <v>-3050</v>
      </c>
      <c r="K5" s="33">
        <v>0</v>
      </c>
      <c r="L5" s="33">
        <v>0.3888888888888889</v>
      </c>
      <c r="M5" s="33">
        <v>0.16666666666666666</v>
      </c>
      <c r="N5" s="33">
        <v>0.2857142857142857</v>
      </c>
      <c r="O5" s="33">
        <v>0.33333333333333331</v>
      </c>
      <c r="P5" s="33">
        <v>0.66666666666666663</v>
      </c>
    </row>
    <row r="6" spans="1:17" x14ac:dyDescent="0.45">
      <c r="A6" s="35">
        <v>3</v>
      </c>
      <c r="B6" s="32">
        <v>-66.400000000000006</v>
      </c>
      <c r="C6" s="32">
        <v>-22.133333333333336</v>
      </c>
      <c r="D6" s="37">
        <v>2.3333333333333335</v>
      </c>
      <c r="E6" s="33">
        <v>0</v>
      </c>
      <c r="F6" s="33">
        <v>0.33333333333333331</v>
      </c>
      <c r="G6" s="33">
        <v>0.125</v>
      </c>
      <c r="H6" s="33">
        <v>0.25</v>
      </c>
      <c r="I6" s="34">
        <v>10666.666666666666</v>
      </c>
      <c r="J6" s="34">
        <v>-7316.666666666667</v>
      </c>
      <c r="K6" s="33">
        <v>0.33333333333333331</v>
      </c>
      <c r="L6" s="33">
        <v>0.33333333333333331</v>
      </c>
      <c r="M6" s="33">
        <v>0.16666666666666666</v>
      </c>
      <c r="N6" s="33">
        <v>0.25</v>
      </c>
      <c r="O6" s="33">
        <v>0.25</v>
      </c>
      <c r="P6" s="33">
        <v>0.66666666666666663</v>
      </c>
    </row>
    <row r="7" spans="1:17" x14ac:dyDescent="0.45">
      <c r="A7" s="35">
        <v>4</v>
      </c>
      <c r="B7" s="32">
        <v>-39.400000000000006</v>
      </c>
      <c r="C7" s="32">
        <v>-9.8500000000000014</v>
      </c>
      <c r="D7" s="37">
        <v>2</v>
      </c>
      <c r="E7" s="33">
        <v>0.25</v>
      </c>
      <c r="F7" s="33">
        <v>0.25</v>
      </c>
      <c r="G7" s="33">
        <v>0.16666666666666666</v>
      </c>
      <c r="H7" s="33">
        <v>0.2</v>
      </c>
      <c r="I7" s="34">
        <v>10400</v>
      </c>
      <c r="J7" s="34">
        <v>-7316.666666666667</v>
      </c>
      <c r="K7" s="33">
        <v>0.25</v>
      </c>
      <c r="L7" s="33">
        <v>0.4</v>
      </c>
      <c r="M7" s="33">
        <v>0.13333333333333333</v>
      </c>
      <c r="N7" s="33">
        <v>0.33333333333333331</v>
      </c>
      <c r="O7" s="33">
        <v>0.25</v>
      </c>
      <c r="P7" s="33">
        <v>0.4</v>
      </c>
    </row>
    <row r="8" spans="1:17" x14ac:dyDescent="0.45">
      <c r="A8" s="35">
        <v>5</v>
      </c>
      <c r="B8" s="32">
        <v>-80.800000000000011</v>
      </c>
      <c r="C8" s="32">
        <v>-16.160000000000004</v>
      </c>
      <c r="D8" s="37">
        <v>2.2000000000000002</v>
      </c>
      <c r="E8" s="33">
        <v>0.2</v>
      </c>
      <c r="F8" s="33">
        <v>0.4</v>
      </c>
      <c r="G8" s="33">
        <v>0.2</v>
      </c>
      <c r="H8" s="33">
        <v>0.2</v>
      </c>
      <c r="I8" s="34">
        <v>8512.5</v>
      </c>
      <c r="J8" s="34">
        <v>-7987.5</v>
      </c>
      <c r="K8" s="33">
        <v>0.2</v>
      </c>
      <c r="L8" s="33">
        <v>0.375</v>
      </c>
      <c r="M8" s="33">
        <v>0.15</v>
      </c>
      <c r="N8" s="33">
        <v>0.4</v>
      </c>
      <c r="O8" s="33">
        <v>0.33333333333333331</v>
      </c>
      <c r="P8" s="3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12C09-42A8-42FA-B9CC-F84B640DACC3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282</v>
      </c>
      <c r="B1" s="36" t="s">
        <v>282</v>
      </c>
      <c r="C1" s="36" t="s">
        <v>282</v>
      </c>
      <c r="D1" s="37" t="s">
        <v>282</v>
      </c>
      <c r="E1" s="36" t="s">
        <v>282</v>
      </c>
      <c r="F1" s="36" t="s">
        <v>282</v>
      </c>
      <c r="G1" s="36" t="s">
        <v>282</v>
      </c>
      <c r="H1" s="36" t="s">
        <v>282</v>
      </c>
      <c r="I1" s="36" t="s">
        <v>282</v>
      </c>
      <c r="J1" s="36" t="s">
        <v>282</v>
      </c>
      <c r="K1" s="36" t="s">
        <v>282</v>
      </c>
      <c r="L1" s="36" t="s">
        <v>282</v>
      </c>
      <c r="M1" s="36" t="s">
        <v>282</v>
      </c>
      <c r="N1" s="36" t="s">
        <v>282</v>
      </c>
      <c r="O1" s="36" t="s">
        <v>282</v>
      </c>
      <c r="P1" s="36" t="s">
        <v>282</v>
      </c>
      <c r="Q1" s="36" t="s">
        <v>282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35</v>
      </c>
      <c r="C4" s="32">
        <v>35</v>
      </c>
      <c r="D4" s="37">
        <v>1</v>
      </c>
      <c r="E4" s="33">
        <v>1</v>
      </c>
      <c r="F4" s="33">
        <v>0</v>
      </c>
      <c r="G4" s="33">
        <v>0.7142857142857143</v>
      </c>
      <c r="H4" s="33">
        <v>0.14285714285714285</v>
      </c>
      <c r="I4" s="34">
        <v>7100</v>
      </c>
      <c r="J4" s="34">
        <v>-8000</v>
      </c>
      <c r="K4" s="33">
        <v>0</v>
      </c>
      <c r="L4" s="33">
        <v>0.8571428571428571</v>
      </c>
      <c r="M4" s="33">
        <v>0.14285714285714285</v>
      </c>
      <c r="N4" s="33">
        <v>0.66666666666666663</v>
      </c>
      <c r="O4" s="33">
        <v>1</v>
      </c>
      <c r="P4" s="33">
        <v>0.4</v>
      </c>
    </row>
    <row r="5" spans="1:17" x14ac:dyDescent="0.45">
      <c r="A5" s="35">
        <v>2</v>
      </c>
      <c r="B5" s="32">
        <v>18.399999999999999</v>
      </c>
      <c r="C5" s="32">
        <v>9.1999999999999993</v>
      </c>
      <c r="D5" s="37">
        <v>2</v>
      </c>
      <c r="E5" s="33">
        <v>0.5</v>
      </c>
      <c r="F5" s="33">
        <v>0.5</v>
      </c>
      <c r="G5" s="33">
        <v>0.46153846153846156</v>
      </c>
      <c r="H5" s="33">
        <v>0.15384615384615385</v>
      </c>
      <c r="I5" s="34">
        <v>6783.333333333333</v>
      </c>
      <c r="J5" s="34">
        <v>-8000</v>
      </c>
      <c r="K5" s="33">
        <v>0</v>
      </c>
      <c r="L5" s="33">
        <v>0.53846153846153844</v>
      </c>
      <c r="M5" s="33">
        <v>0.15384615384615385</v>
      </c>
      <c r="N5" s="33">
        <v>0.7142857142857143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64.3</v>
      </c>
      <c r="C6" s="32">
        <v>21.433333333333334</v>
      </c>
      <c r="D6" s="37">
        <v>1.6666666666666667</v>
      </c>
      <c r="E6" s="33">
        <v>0.66666666666666663</v>
      </c>
      <c r="F6" s="33">
        <v>0.33333333333333331</v>
      </c>
      <c r="G6" s="33">
        <v>0.5</v>
      </c>
      <c r="H6" s="33">
        <v>0.125</v>
      </c>
      <c r="I6" s="34">
        <v>7608.333333333333</v>
      </c>
      <c r="J6" s="34">
        <v>-7900</v>
      </c>
      <c r="K6" s="33">
        <v>0</v>
      </c>
      <c r="L6" s="33">
        <v>0.45833333333333331</v>
      </c>
      <c r="M6" s="33">
        <v>0.16666666666666666</v>
      </c>
      <c r="N6" s="33">
        <v>0.81818181818181823</v>
      </c>
      <c r="O6" s="33">
        <v>0.75</v>
      </c>
      <c r="P6" s="33">
        <v>0.33333333333333331</v>
      </c>
    </row>
    <row r="7" spans="1:17" x14ac:dyDescent="0.45">
      <c r="A7" s="35">
        <v>4</v>
      </c>
      <c r="B7" s="32">
        <v>109.9</v>
      </c>
      <c r="C7" s="32">
        <v>27.475000000000001</v>
      </c>
      <c r="D7" s="37">
        <v>1.5</v>
      </c>
      <c r="E7" s="33">
        <v>0.75</v>
      </c>
      <c r="F7" s="33">
        <v>0.25</v>
      </c>
      <c r="G7" s="33">
        <v>0.5</v>
      </c>
      <c r="H7" s="33">
        <v>0.1</v>
      </c>
      <c r="I7" s="34">
        <v>8393.3333333333339</v>
      </c>
      <c r="J7" s="34">
        <v>-7900</v>
      </c>
      <c r="K7" s="33">
        <v>0</v>
      </c>
      <c r="L7" s="33">
        <v>0.46666666666666667</v>
      </c>
      <c r="M7" s="33">
        <v>0.16666666666666666</v>
      </c>
      <c r="N7" s="33">
        <v>0.7857142857142857</v>
      </c>
      <c r="O7" s="33">
        <v>0.8</v>
      </c>
      <c r="P7" s="33">
        <v>0.33333333333333331</v>
      </c>
    </row>
    <row r="8" spans="1:17" x14ac:dyDescent="0.45">
      <c r="A8" s="35">
        <v>5</v>
      </c>
      <c r="B8" s="32">
        <v>84.7</v>
      </c>
      <c r="C8" s="32">
        <v>16.940000000000001</v>
      </c>
      <c r="D8" s="37">
        <v>1.8</v>
      </c>
      <c r="E8" s="33">
        <v>0.6</v>
      </c>
      <c r="F8" s="33">
        <v>0.4</v>
      </c>
      <c r="G8" s="33">
        <v>0.47222222222222221</v>
      </c>
      <c r="H8" s="33">
        <v>0.16666666666666666</v>
      </c>
      <c r="I8" s="34">
        <v>8347.0588235294126</v>
      </c>
      <c r="J8" s="34">
        <v>-8566.6666666666661</v>
      </c>
      <c r="K8" s="33">
        <v>0</v>
      </c>
      <c r="L8" s="33">
        <v>0.47222222222222221</v>
      </c>
      <c r="M8" s="33">
        <v>0.19444444444444445</v>
      </c>
      <c r="N8" s="33">
        <v>0.76470588235294112</v>
      </c>
      <c r="O8" s="33">
        <v>0.5714285714285714</v>
      </c>
      <c r="P8" s="33">
        <v>0.41176470588235292</v>
      </c>
    </row>
    <row r="9" spans="1:17" x14ac:dyDescent="0.45">
      <c r="A9" s="35">
        <v>6</v>
      </c>
      <c r="B9" s="32">
        <v>129.1</v>
      </c>
      <c r="C9" s="32">
        <v>21.516666666666666</v>
      </c>
      <c r="D9" s="37">
        <v>1.6666666666666667</v>
      </c>
      <c r="E9" s="33">
        <v>0.66666666666666663</v>
      </c>
      <c r="F9" s="33">
        <v>0.33333333333333331</v>
      </c>
      <c r="G9" s="33">
        <v>0.45652173913043476</v>
      </c>
      <c r="H9" s="33">
        <v>0.19565217391304349</v>
      </c>
      <c r="I9" s="34">
        <v>9138.0952380952385</v>
      </c>
      <c r="J9" s="34">
        <v>-7500</v>
      </c>
      <c r="K9" s="33">
        <v>0</v>
      </c>
      <c r="L9" s="33">
        <v>0.43478260869565216</v>
      </c>
      <c r="M9" s="33">
        <v>0.21739130434782608</v>
      </c>
      <c r="N9" s="33">
        <v>0.8</v>
      </c>
      <c r="O9" s="33">
        <v>0.5</v>
      </c>
      <c r="P9" s="33">
        <v>0.42857142857142855</v>
      </c>
    </row>
    <row r="10" spans="1:17" x14ac:dyDescent="0.45">
      <c r="A10" s="35">
        <v>7</v>
      </c>
      <c r="B10" s="32">
        <v>87.5</v>
      </c>
      <c r="C10" s="32">
        <v>12.5</v>
      </c>
      <c r="D10" s="37">
        <v>1.8571428571428572</v>
      </c>
      <c r="E10" s="33">
        <v>0.5714285714285714</v>
      </c>
      <c r="F10" s="33">
        <v>0.42857142857142855</v>
      </c>
      <c r="G10" s="33">
        <v>0.38983050847457629</v>
      </c>
      <c r="H10" s="33">
        <v>0.22033898305084745</v>
      </c>
      <c r="I10" s="34">
        <v>9647.826086956522</v>
      </c>
      <c r="J10" s="34">
        <v>-8692.3076923076915</v>
      </c>
      <c r="K10" s="33">
        <v>0</v>
      </c>
      <c r="L10" s="33">
        <v>0.44067796610169491</v>
      </c>
      <c r="M10" s="33">
        <v>0.1864406779661017</v>
      </c>
      <c r="N10" s="33">
        <v>0.65384615384615385</v>
      </c>
      <c r="O10" s="33">
        <v>0.45454545454545453</v>
      </c>
      <c r="P10" s="33">
        <v>0.43478260869565216</v>
      </c>
    </row>
    <row r="11" spans="1:17" x14ac:dyDescent="0.45">
      <c r="A11" s="35">
        <v>8</v>
      </c>
      <c r="B11" s="32">
        <v>106.5</v>
      </c>
      <c r="C11" s="32">
        <v>13.3125</v>
      </c>
      <c r="D11" s="37">
        <v>1.75</v>
      </c>
      <c r="E11" s="33">
        <v>0.625</v>
      </c>
      <c r="F11" s="33">
        <v>0.375</v>
      </c>
      <c r="G11" s="33">
        <v>0.37681159420289856</v>
      </c>
      <c r="H11" s="33">
        <v>0.2318840579710145</v>
      </c>
      <c r="I11" s="34">
        <v>9534.6153846153848</v>
      </c>
      <c r="J11" s="34">
        <v>-8437.5</v>
      </c>
      <c r="K11" s="33">
        <v>0</v>
      </c>
      <c r="L11" s="33">
        <v>0.40579710144927539</v>
      </c>
      <c r="M11" s="33">
        <v>0.15942028985507245</v>
      </c>
      <c r="N11" s="33">
        <v>0.6785714285714286</v>
      </c>
      <c r="O11" s="33">
        <v>0.45454545454545453</v>
      </c>
      <c r="P11" s="33">
        <v>0.46153846153846156</v>
      </c>
    </row>
    <row r="12" spans="1:17" x14ac:dyDescent="0.45">
      <c r="A12" s="35">
        <v>9</v>
      </c>
      <c r="B12" s="32">
        <v>54.5</v>
      </c>
      <c r="C12" s="32">
        <v>6.0555555555555554</v>
      </c>
      <c r="D12" s="37">
        <v>1.8888888888888888</v>
      </c>
      <c r="E12" s="33">
        <v>0.55555555555555558</v>
      </c>
      <c r="F12" s="33">
        <v>0.44444444444444442</v>
      </c>
      <c r="G12" s="33">
        <v>0.3611111111111111</v>
      </c>
      <c r="H12" s="33">
        <v>0.2361111111111111</v>
      </c>
      <c r="I12" s="34">
        <v>9534.6153846153848</v>
      </c>
      <c r="J12" s="34">
        <v>-9823.5294117647063</v>
      </c>
      <c r="K12" s="33">
        <v>0.1111111111111111</v>
      </c>
      <c r="L12" s="33">
        <v>0.3888888888888889</v>
      </c>
      <c r="M12" s="33">
        <v>0.16666666666666666</v>
      </c>
      <c r="N12" s="33">
        <v>0.6785714285714286</v>
      </c>
      <c r="O12" s="33">
        <v>0.41666666666666669</v>
      </c>
      <c r="P12" s="33">
        <v>0.46153846153846156</v>
      </c>
    </row>
    <row r="13" spans="1:17" x14ac:dyDescent="0.45">
      <c r="A13" s="35">
        <v>10</v>
      </c>
      <c r="B13" s="32">
        <v>9.2999999999999972</v>
      </c>
      <c r="C13" s="32">
        <v>0.92999999999999972</v>
      </c>
      <c r="D13" s="37">
        <v>2</v>
      </c>
      <c r="E13" s="33">
        <v>0.5</v>
      </c>
      <c r="F13" s="33">
        <v>0.5</v>
      </c>
      <c r="G13" s="33">
        <v>0.33333333333333331</v>
      </c>
      <c r="H13" s="33">
        <v>0.24358974358974358</v>
      </c>
      <c r="I13" s="34">
        <v>9534.6153846153848</v>
      </c>
      <c r="J13" s="34">
        <v>-10010.526315789473</v>
      </c>
      <c r="K13" s="33">
        <v>0.2</v>
      </c>
      <c r="L13" s="33">
        <v>0.38461538461538464</v>
      </c>
      <c r="M13" s="33">
        <v>0.16666666666666666</v>
      </c>
      <c r="N13" s="33">
        <v>0.6333333333333333</v>
      </c>
      <c r="O13" s="33">
        <v>0.38461538461538464</v>
      </c>
      <c r="P13" s="3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934E0-AA30-46C7-B527-D88CDB417365}">
  <sheetPr codeName="Sheet28"/>
  <dimension ref="A1:Q2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275</v>
      </c>
      <c r="B1" s="36" t="s">
        <v>275</v>
      </c>
      <c r="C1" s="36" t="s">
        <v>275</v>
      </c>
      <c r="D1" s="37" t="s">
        <v>275</v>
      </c>
      <c r="E1" s="36" t="s">
        <v>275</v>
      </c>
      <c r="F1" s="36" t="s">
        <v>275</v>
      </c>
      <c r="G1" s="36" t="s">
        <v>275</v>
      </c>
      <c r="H1" s="36" t="s">
        <v>275</v>
      </c>
      <c r="I1" s="36" t="s">
        <v>275</v>
      </c>
      <c r="J1" s="36" t="s">
        <v>275</v>
      </c>
      <c r="K1" s="36" t="s">
        <v>275</v>
      </c>
      <c r="L1" s="36" t="s">
        <v>275</v>
      </c>
      <c r="M1" s="36" t="s">
        <v>275</v>
      </c>
      <c r="N1" s="36" t="s">
        <v>275</v>
      </c>
      <c r="O1" s="36" t="s">
        <v>275</v>
      </c>
      <c r="P1" s="36" t="s">
        <v>275</v>
      </c>
      <c r="Q1" s="36" t="s">
        <v>275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17.600000000000001</v>
      </c>
      <c r="C4" s="32">
        <v>17.600000000000001</v>
      </c>
      <c r="D4" s="37">
        <v>1</v>
      </c>
      <c r="E4" s="33">
        <v>1</v>
      </c>
      <c r="F4" s="33">
        <v>0</v>
      </c>
      <c r="G4" s="33">
        <v>0.66666666666666663</v>
      </c>
      <c r="H4" s="33">
        <v>0.16666666666666666</v>
      </c>
      <c r="I4" s="34">
        <v>3900</v>
      </c>
      <c r="J4" s="34">
        <v>-8000</v>
      </c>
      <c r="K4" s="33">
        <v>0</v>
      </c>
      <c r="L4" s="33">
        <v>0.66666666666666663</v>
      </c>
      <c r="M4" s="33">
        <v>0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27.8</v>
      </c>
      <c r="C5" s="32">
        <v>13.9</v>
      </c>
      <c r="D5" s="37">
        <v>1.5</v>
      </c>
      <c r="E5" s="33">
        <v>0.5</v>
      </c>
      <c r="F5" s="33">
        <v>0</v>
      </c>
      <c r="G5" s="33">
        <v>0.47058823529411764</v>
      </c>
      <c r="H5" s="33">
        <v>5.8823529411764705E-2</v>
      </c>
      <c r="I5" s="34">
        <v>5575</v>
      </c>
      <c r="J5" s="34">
        <v>-8000</v>
      </c>
      <c r="K5" s="33">
        <v>0</v>
      </c>
      <c r="L5" s="33">
        <v>0.52941176470588236</v>
      </c>
      <c r="M5" s="33">
        <v>0.17647058823529413</v>
      </c>
      <c r="N5" s="33">
        <v>0.66666666666666663</v>
      </c>
      <c r="O5" s="33">
        <v>0.66666666666666663</v>
      </c>
      <c r="P5" s="33">
        <v>0.125</v>
      </c>
    </row>
    <row r="6" spans="1:17" x14ac:dyDescent="0.45">
      <c r="A6" s="35">
        <v>3</v>
      </c>
      <c r="B6" s="32">
        <v>20.399999999999999</v>
      </c>
      <c r="C6" s="32">
        <v>6.8</v>
      </c>
      <c r="D6" s="37">
        <v>1.6666666666666667</v>
      </c>
      <c r="E6" s="33">
        <v>0.33333333333333331</v>
      </c>
      <c r="F6" s="33">
        <v>0</v>
      </c>
      <c r="G6" s="33">
        <v>0.37931034482758619</v>
      </c>
      <c r="H6" s="33">
        <v>6.8965517241379309E-2</v>
      </c>
      <c r="I6" s="34">
        <v>6427.272727272727</v>
      </c>
      <c r="J6" s="34">
        <v>-5600</v>
      </c>
      <c r="K6" s="33">
        <v>0</v>
      </c>
      <c r="L6" s="33">
        <v>0.37931034482758619</v>
      </c>
      <c r="M6" s="33">
        <v>0.13793103448275862</v>
      </c>
      <c r="N6" s="33">
        <v>0.63636363636363635</v>
      </c>
      <c r="O6" s="33">
        <v>0.75</v>
      </c>
      <c r="P6" s="33">
        <v>0.36363636363636365</v>
      </c>
    </row>
    <row r="7" spans="1:17" x14ac:dyDescent="0.45">
      <c r="A7" s="35">
        <v>4</v>
      </c>
      <c r="B7" s="32">
        <v>53.1</v>
      </c>
      <c r="C7" s="32">
        <v>13.275</v>
      </c>
      <c r="D7" s="37">
        <v>1.5</v>
      </c>
      <c r="E7" s="33">
        <v>0.5</v>
      </c>
      <c r="F7" s="33">
        <v>0</v>
      </c>
      <c r="G7" s="33">
        <v>0.39473684210526316</v>
      </c>
      <c r="H7" s="33">
        <v>7.8947368421052627E-2</v>
      </c>
      <c r="I7" s="34">
        <v>6793.333333333333</v>
      </c>
      <c r="J7" s="34">
        <v>-4700</v>
      </c>
      <c r="K7" s="33">
        <v>0</v>
      </c>
      <c r="L7" s="33">
        <v>0.34210526315789475</v>
      </c>
      <c r="M7" s="33">
        <v>0.18421052631578946</v>
      </c>
      <c r="N7" s="33">
        <v>0.69230769230769229</v>
      </c>
      <c r="O7" s="33">
        <v>0.7142857142857143</v>
      </c>
      <c r="P7" s="33">
        <v>0.4</v>
      </c>
    </row>
    <row r="8" spans="1:17" x14ac:dyDescent="0.45">
      <c r="A8" s="35">
        <v>5</v>
      </c>
      <c r="B8" s="32">
        <v>28.6</v>
      </c>
      <c r="C8" s="32">
        <v>5.7200000000000006</v>
      </c>
      <c r="D8" s="37">
        <v>1.8</v>
      </c>
      <c r="E8" s="33">
        <v>0.4</v>
      </c>
      <c r="F8" s="33">
        <v>0.2</v>
      </c>
      <c r="G8" s="33">
        <v>0.35555555555555557</v>
      </c>
      <c r="H8" s="33">
        <v>8.8888888888888892E-2</v>
      </c>
      <c r="I8" s="34">
        <v>6868.75</v>
      </c>
      <c r="J8" s="34">
        <v>-6525</v>
      </c>
      <c r="K8" s="33">
        <v>0</v>
      </c>
      <c r="L8" s="33">
        <v>0.31111111111111112</v>
      </c>
      <c r="M8" s="33">
        <v>0.15555555555555556</v>
      </c>
      <c r="N8" s="33">
        <v>0.7142857142857143</v>
      </c>
      <c r="O8" s="33">
        <v>0.7142857142857143</v>
      </c>
      <c r="P8" s="33">
        <v>0.375</v>
      </c>
    </row>
    <row r="9" spans="1:17" x14ac:dyDescent="0.45">
      <c r="A9" s="35">
        <v>6</v>
      </c>
      <c r="B9" s="32">
        <v>-17.799999999999997</v>
      </c>
      <c r="C9" s="32">
        <v>-2.9666666666666663</v>
      </c>
      <c r="D9" s="37">
        <v>2</v>
      </c>
      <c r="E9" s="33">
        <v>0.33333333333333331</v>
      </c>
      <c r="F9" s="33">
        <v>0.33333333333333331</v>
      </c>
      <c r="G9" s="33">
        <v>0.32075471698113206</v>
      </c>
      <c r="H9" s="33">
        <v>0.11320754716981132</v>
      </c>
      <c r="I9" s="34">
        <v>6935.2941176470586</v>
      </c>
      <c r="J9" s="34">
        <v>-8500</v>
      </c>
      <c r="K9" s="33">
        <v>0.16666666666666666</v>
      </c>
      <c r="L9" s="33">
        <v>0.32075471698113206</v>
      </c>
      <c r="M9" s="33">
        <v>0.13207547169811321</v>
      </c>
      <c r="N9" s="33">
        <v>0.6470588235294118</v>
      </c>
      <c r="O9" s="33">
        <v>0.7142857142857143</v>
      </c>
      <c r="P9" s="33">
        <v>0.41176470588235292</v>
      </c>
    </row>
    <row r="10" spans="1:17" x14ac:dyDescent="0.45">
      <c r="A10" s="35">
        <v>7</v>
      </c>
      <c r="B10" s="32">
        <v>23.1</v>
      </c>
      <c r="C10" s="32">
        <v>3.3000000000000003</v>
      </c>
      <c r="D10" s="37">
        <v>1.8571428571428572</v>
      </c>
      <c r="E10" s="33">
        <v>0.42857142857142855</v>
      </c>
      <c r="F10" s="33">
        <v>0.2857142857142857</v>
      </c>
      <c r="G10" s="33">
        <v>0.35</v>
      </c>
      <c r="H10" s="33">
        <v>0.1</v>
      </c>
      <c r="I10" s="34">
        <v>7342.8571428571431</v>
      </c>
      <c r="J10" s="34">
        <v>-8500</v>
      </c>
      <c r="K10" s="33">
        <v>0.14285714285714285</v>
      </c>
      <c r="L10" s="33">
        <v>0.35</v>
      </c>
      <c r="M10" s="33">
        <v>0.11666666666666667</v>
      </c>
      <c r="N10" s="33">
        <v>0.7142857142857143</v>
      </c>
      <c r="O10" s="33">
        <v>0.7142857142857143</v>
      </c>
      <c r="P10" s="33">
        <v>0.38095238095238093</v>
      </c>
    </row>
    <row r="11" spans="1:17" x14ac:dyDescent="0.45">
      <c r="A11" s="35">
        <v>8</v>
      </c>
      <c r="B11" s="32">
        <v>41.3</v>
      </c>
      <c r="C11" s="32">
        <v>5.1624999999999996</v>
      </c>
      <c r="D11" s="37">
        <v>1.75</v>
      </c>
      <c r="E11" s="33">
        <v>0.5</v>
      </c>
      <c r="F11" s="33">
        <v>0.25</v>
      </c>
      <c r="G11" s="33">
        <v>0.36764705882352944</v>
      </c>
      <c r="H11" s="33">
        <v>0.13235294117647059</v>
      </c>
      <c r="I11" s="34">
        <v>7608</v>
      </c>
      <c r="J11" s="34">
        <v>-8477.7777777777774</v>
      </c>
      <c r="K11" s="33">
        <v>0.125</v>
      </c>
      <c r="L11" s="33">
        <v>0.36764705882352944</v>
      </c>
      <c r="M11" s="33">
        <v>0.13235294117647059</v>
      </c>
      <c r="N11" s="33">
        <v>0.68</v>
      </c>
      <c r="O11" s="33">
        <v>0.77777777777777779</v>
      </c>
      <c r="P11" s="33">
        <v>0.44</v>
      </c>
    </row>
    <row r="12" spans="1:17" x14ac:dyDescent="0.45">
      <c r="A12" s="35">
        <v>9</v>
      </c>
      <c r="B12" s="32">
        <v>79.699999999999989</v>
      </c>
      <c r="C12" s="32">
        <v>8.8555555555555543</v>
      </c>
      <c r="D12" s="37">
        <v>1.6666666666666667</v>
      </c>
      <c r="E12" s="33">
        <v>0.55555555555555558</v>
      </c>
      <c r="F12" s="33">
        <v>0.22222222222222221</v>
      </c>
      <c r="G12" s="33">
        <v>0.39240506329113922</v>
      </c>
      <c r="H12" s="33">
        <v>0.12658227848101267</v>
      </c>
      <c r="I12" s="34">
        <v>7138.7096774193551</v>
      </c>
      <c r="J12" s="34">
        <v>-8150</v>
      </c>
      <c r="K12" s="33">
        <v>0.1111111111111111</v>
      </c>
      <c r="L12" s="33">
        <v>0.35443037974683544</v>
      </c>
      <c r="M12" s="33">
        <v>0.12658227848101267</v>
      </c>
      <c r="N12" s="33">
        <v>0.6785714285714286</v>
      </c>
      <c r="O12" s="33">
        <v>0.7</v>
      </c>
      <c r="P12" s="33">
        <v>0.4838709677419355</v>
      </c>
    </row>
    <row r="13" spans="1:17" x14ac:dyDescent="0.45">
      <c r="A13" s="35">
        <v>10</v>
      </c>
      <c r="B13" s="32">
        <v>86.1</v>
      </c>
      <c r="C13" s="32">
        <v>8.61</v>
      </c>
      <c r="D13" s="37">
        <v>1.7</v>
      </c>
      <c r="E13" s="33">
        <v>0.5</v>
      </c>
      <c r="F13" s="33">
        <v>0.2</v>
      </c>
      <c r="G13" s="33">
        <v>0.37777777777777777</v>
      </c>
      <c r="H13" s="33">
        <v>0.12222222222222222</v>
      </c>
      <c r="I13" s="34">
        <v>7147.0588235294117</v>
      </c>
      <c r="J13" s="34">
        <v>-7990.909090909091</v>
      </c>
      <c r="K13" s="33">
        <v>0.1</v>
      </c>
      <c r="L13" s="33">
        <v>0.35555555555555557</v>
      </c>
      <c r="M13" s="33">
        <v>0.12222222222222222</v>
      </c>
      <c r="N13" s="33">
        <v>0.65625</v>
      </c>
      <c r="O13" s="33">
        <v>0.72727272727272729</v>
      </c>
      <c r="P13" s="33">
        <v>0.47058823529411764</v>
      </c>
    </row>
    <row r="14" spans="1:17" x14ac:dyDescent="0.45">
      <c r="A14" s="35">
        <v>11</v>
      </c>
      <c r="B14" s="32">
        <v>54.199999999999996</v>
      </c>
      <c r="C14" s="32">
        <v>4.9272727272727268</v>
      </c>
      <c r="D14" s="37">
        <v>1.8181818181818181</v>
      </c>
      <c r="E14" s="33">
        <v>0.45454545454545453</v>
      </c>
      <c r="F14" s="33">
        <v>0.27272727272727271</v>
      </c>
      <c r="G14" s="33">
        <v>0.38</v>
      </c>
      <c r="H14" s="33">
        <v>0.13</v>
      </c>
      <c r="I14" s="34">
        <v>6765.7894736842109</v>
      </c>
      <c r="J14" s="34">
        <v>-7800</v>
      </c>
      <c r="K14" s="33">
        <v>9.0909090909090912E-2</v>
      </c>
      <c r="L14" s="33">
        <v>0.34</v>
      </c>
      <c r="M14" s="33">
        <v>0.12</v>
      </c>
      <c r="N14" s="33">
        <v>0.6470588235294118</v>
      </c>
      <c r="O14" s="33">
        <v>0.75</v>
      </c>
      <c r="P14" s="33">
        <v>0.5</v>
      </c>
    </row>
    <row r="15" spans="1:17" x14ac:dyDescent="0.45">
      <c r="A15" s="35">
        <v>12</v>
      </c>
      <c r="B15" s="32">
        <v>4.8999999999999986</v>
      </c>
      <c r="C15" s="32">
        <v>0.40833333333333321</v>
      </c>
      <c r="D15" s="37">
        <v>1.9166666666666667</v>
      </c>
      <c r="E15" s="33">
        <v>0.41666666666666669</v>
      </c>
      <c r="F15" s="33">
        <v>0.33333333333333331</v>
      </c>
      <c r="G15" s="33">
        <v>0.37614678899082571</v>
      </c>
      <c r="H15" s="33">
        <v>0.14678899082568808</v>
      </c>
      <c r="I15" s="34">
        <v>6531.707317073171</v>
      </c>
      <c r="J15" s="34">
        <v>-8337.5</v>
      </c>
      <c r="K15" s="33">
        <v>0.16666666666666666</v>
      </c>
      <c r="L15" s="33">
        <v>0.32110091743119268</v>
      </c>
      <c r="M15" s="33">
        <v>0.12844036697247707</v>
      </c>
      <c r="N15" s="33">
        <v>0.62857142857142856</v>
      </c>
      <c r="O15" s="33">
        <v>0.7142857142857143</v>
      </c>
      <c r="P15" s="33">
        <v>0.51219512195121952</v>
      </c>
    </row>
    <row r="16" spans="1:17" x14ac:dyDescent="0.45">
      <c r="A16" s="35">
        <v>13</v>
      </c>
      <c r="B16" s="32">
        <v>-47.6</v>
      </c>
      <c r="C16" s="32">
        <v>-3.6615384615384619</v>
      </c>
      <c r="D16" s="37">
        <v>2</v>
      </c>
      <c r="E16" s="33">
        <v>0.38461538461538464</v>
      </c>
      <c r="F16" s="33">
        <v>0.38461538461538464</v>
      </c>
      <c r="G16" s="33">
        <v>0.3559322033898305</v>
      </c>
      <c r="H16" s="33">
        <v>0.16949152542372881</v>
      </c>
      <c r="I16" s="34">
        <v>6407.1428571428569</v>
      </c>
      <c r="J16" s="34">
        <v>-8205</v>
      </c>
      <c r="K16" s="33">
        <v>0.23076923076923078</v>
      </c>
      <c r="L16" s="33">
        <v>0.30508474576271188</v>
      </c>
      <c r="M16" s="33">
        <v>0.1271186440677966</v>
      </c>
      <c r="N16" s="33">
        <v>0.61111111111111116</v>
      </c>
      <c r="O16" s="33">
        <v>0.73333333333333328</v>
      </c>
      <c r="P16" s="33">
        <v>0.5</v>
      </c>
    </row>
    <row r="17" spans="1:16" x14ac:dyDescent="0.45">
      <c r="A17" s="35">
        <v>14</v>
      </c>
      <c r="B17" s="32">
        <v>-55.5</v>
      </c>
      <c r="C17" s="32">
        <v>-3.9642857142857144</v>
      </c>
      <c r="D17" s="37">
        <v>2</v>
      </c>
      <c r="E17" s="33">
        <v>0.35714285714285715</v>
      </c>
      <c r="F17" s="33">
        <v>0.35714285714285715</v>
      </c>
      <c r="G17" s="33">
        <v>0.34920634920634919</v>
      </c>
      <c r="H17" s="33">
        <v>0.16666666666666666</v>
      </c>
      <c r="I17" s="34">
        <v>6534.090909090909</v>
      </c>
      <c r="J17" s="34">
        <v>-8195.2380952380954</v>
      </c>
      <c r="K17" s="33">
        <v>0.21428571428571427</v>
      </c>
      <c r="L17" s="33">
        <v>0.30952380952380953</v>
      </c>
      <c r="M17" s="33">
        <v>0.12698412698412698</v>
      </c>
      <c r="N17" s="33">
        <v>0.58974358974358976</v>
      </c>
      <c r="O17" s="33">
        <v>0.75</v>
      </c>
      <c r="P17" s="33">
        <v>0.52272727272727271</v>
      </c>
    </row>
    <row r="18" spans="1:16" x14ac:dyDescent="0.45">
      <c r="A18" s="35">
        <v>15</v>
      </c>
      <c r="B18" s="32">
        <v>-25.1</v>
      </c>
      <c r="C18" s="32">
        <v>-1.6733333333333333</v>
      </c>
      <c r="D18" s="37">
        <v>1.9333333333333333</v>
      </c>
      <c r="E18" s="33">
        <v>0.4</v>
      </c>
      <c r="F18" s="33">
        <v>0.33333333333333331</v>
      </c>
      <c r="G18" s="33">
        <v>0.35338345864661652</v>
      </c>
      <c r="H18" s="33">
        <v>0.16541353383458646</v>
      </c>
      <c r="I18" s="34">
        <v>6710.6382978723404</v>
      </c>
      <c r="J18" s="34">
        <v>-8368.181818181818</v>
      </c>
      <c r="K18" s="33">
        <v>0.2</v>
      </c>
      <c r="L18" s="33">
        <v>0.33834586466165412</v>
      </c>
      <c r="M18" s="33">
        <v>0.12030075187969924</v>
      </c>
      <c r="N18" s="33">
        <v>0.57777777777777772</v>
      </c>
      <c r="O18" s="33">
        <v>0.75</v>
      </c>
      <c r="P18" s="33">
        <v>0.48936170212765956</v>
      </c>
    </row>
    <row r="19" spans="1:16" x14ac:dyDescent="0.45">
      <c r="A19" s="35">
        <v>16</v>
      </c>
      <c r="B19" s="32">
        <v>-13.600000000000001</v>
      </c>
      <c r="C19" s="32">
        <v>-0.85000000000000009</v>
      </c>
      <c r="D19" s="37">
        <v>1.9375</v>
      </c>
      <c r="E19" s="33">
        <v>0.375</v>
      </c>
      <c r="F19" s="33">
        <v>0.3125</v>
      </c>
      <c r="G19" s="33">
        <v>0.35766423357664234</v>
      </c>
      <c r="H19" s="33">
        <v>0.16058394160583941</v>
      </c>
      <c r="I19" s="34">
        <v>6679.591836734694</v>
      </c>
      <c r="J19" s="34">
        <v>-8368.181818181818</v>
      </c>
      <c r="K19" s="33">
        <v>0.1875</v>
      </c>
      <c r="L19" s="33">
        <v>0.34306569343065696</v>
      </c>
      <c r="M19" s="33">
        <v>0.11678832116788321</v>
      </c>
      <c r="N19" s="33">
        <v>0.5957446808510638</v>
      </c>
      <c r="O19" s="33">
        <v>0.75</v>
      </c>
      <c r="P19" s="33">
        <v>0.48979591836734693</v>
      </c>
    </row>
    <row r="20" spans="1:16" x14ac:dyDescent="0.45">
      <c r="A20" s="35">
        <v>17</v>
      </c>
      <c r="B20" s="32">
        <v>-30.700000000000003</v>
      </c>
      <c r="C20" s="32">
        <v>-1.8058823529411767</v>
      </c>
      <c r="D20" s="37">
        <v>2</v>
      </c>
      <c r="E20" s="33">
        <v>0.35294117647058826</v>
      </c>
      <c r="F20" s="33">
        <v>0.35294117647058826</v>
      </c>
      <c r="G20" s="33">
        <v>0.35616438356164382</v>
      </c>
      <c r="H20" s="33">
        <v>0.16438356164383561</v>
      </c>
      <c r="I20" s="34">
        <v>6555.7692307692305</v>
      </c>
      <c r="J20" s="34">
        <v>-7895.833333333333</v>
      </c>
      <c r="K20" s="33">
        <v>0.17647058823529413</v>
      </c>
      <c r="L20" s="33">
        <v>0.34931506849315069</v>
      </c>
      <c r="M20" s="33">
        <v>0.11643835616438356</v>
      </c>
      <c r="N20" s="33">
        <v>0.58823529411764708</v>
      </c>
      <c r="O20" s="33">
        <v>0.76470588235294112</v>
      </c>
      <c r="P20" s="33">
        <v>0.51923076923076927</v>
      </c>
    </row>
    <row r="21" spans="1:16" x14ac:dyDescent="0.45">
      <c r="A21" s="35">
        <v>18</v>
      </c>
      <c r="B21" s="32">
        <v>-55.6</v>
      </c>
      <c r="C21" s="32">
        <v>-3.088888888888889</v>
      </c>
      <c r="D21" s="37">
        <v>2.0555555555555554</v>
      </c>
      <c r="E21" s="33">
        <v>0.33333333333333331</v>
      </c>
      <c r="F21" s="33">
        <v>0.3888888888888889</v>
      </c>
      <c r="G21" s="33">
        <v>0.34838709677419355</v>
      </c>
      <c r="H21" s="33">
        <v>0.16129032258064516</v>
      </c>
      <c r="I21" s="34">
        <v>6648.1481481481478</v>
      </c>
      <c r="J21" s="34">
        <v>-8220</v>
      </c>
      <c r="K21" s="33">
        <v>0.16666666666666666</v>
      </c>
      <c r="L21" s="33">
        <v>0.34838709677419355</v>
      </c>
      <c r="M21" s="33">
        <v>0.12258064516129032</v>
      </c>
      <c r="N21" s="33">
        <v>0.57407407407407407</v>
      </c>
      <c r="O21" s="33">
        <v>0.68421052631578949</v>
      </c>
      <c r="P21" s="3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0B723-1077-474D-98D8-1499479F67CD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27.8</v>
      </c>
      <c r="C4" s="32">
        <v>27.8</v>
      </c>
      <c r="D4" s="37">
        <v>1</v>
      </c>
      <c r="E4" s="33">
        <v>1</v>
      </c>
      <c r="F4" s="33">
        <v>0</v>
      </c>
      <c r="G4" s="33">
        <v>0.5</v>
      </c>
      <c r="H4" s="33">
        <v>0</v>
      </c>
      <c r="I4" s="34">
        <v>7950</v>
      </c>
      <c r="J4" s="34">
        <v>0</v>
      </c>
      <c r="K4" s="33">
        <v>0</v>
      </c>
      <c r="L4" s="33">
        <v>0</v>
      </c>
      <c r="M4" s="33">
        <v>0.5</v>
      </c>
      <c r="N4" s="33">
        <v>0</v>
      </c>
      <c r="O4" s="33">
        <v>1</v>
      </c>
      <c r="P4" s="33">
        <v>0</v>
      </c>
    </row>
    <row r="5" spans="1:17" x14ac:dyDescent="0.45">
      <c r="A5" s="35">
        <v>2</v>
      </c>
      <c r="B5" s="32">
        <v>26.2</v>
      </c>
      <c r="C5" s="32">
        <v>13.1</v>
      </c>
      <c r="D5" s="37">
        <v>1.5</v>
      </c>
      <c r="E5" s="33">
        <v>0.5</v>
      </c>
      <c r="F5" s="33">
        <v>0</v>
      </c>
      <c r="G5" s="33">
        <v>0.46666666666666667</v>
      </c>
      <c r="H5" s="33">
        <v>6.6666666666666666E-2</v>
      </c>
      <c r="I5" s="34">
        <v>7385.7142857142853</v>
      </c>
      <c r="J5" s="34">
        <v>-8000</v>
      </c>
      <c r="K5" s="33">
        <v>0</v>
      </c>
      <c r="L5" s="33">
        <v>0.26666666666666666</v>
      </c>
      <c r="M5" s="33">
        <v>0.33333333333333331</v>
      </c>
      <c r="N5" s="33">
        <v>0.5</v>
      </c>
      <c r="O5" s="33">
        <v>1</v>
      </c>
      <c r="P5" s="3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1A487-D37F-43C8-8635-518B83E9C44E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-46.5</v>
      </c>
      <c r="C4" s="32">
        <v>-46.5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0.27272727272727271</v>
      </c>
      <c r="I4" s="34">
        <v>12000</v>
      </c>
      <c r="J4" s="34">
        <v>-9333.3333333333339</v>
      </c>
      <c r="K4" s="33">
        <v>1</v>
      </c>
      <c r="L4" s="33">
        <v>0.27272727272727271</v>
      </c>
      <c r="M4" s="33">
        <v>0.36363636363636365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-25.4</v>
      </c>
      <c r="C5" s="32">
        <v>-12.7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9450</v>
      </c>
      <c r="J5" s="34">
        <v>-9333.3333333333339</v>
      </c>
      <c r="K5" s="33">
        <v>0.5</v>
      </c>
      <c r="L5" s="33">
        <v>0.27777777777777779</v>
      </c>
      <c r="M5" s="33">
        <v>0.33333333333333331</v>
      </c>
      <c r="N5" s="33">
        <v>0.4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-71.900000000000006</v>
      </c>
      <c r="C6" s="32">
        <v>-23.966666666666669</v>
      </c>
      <c r="D6" s="37">
        <v>2.3333333333333335</v>
      </c>
      <c r="E6" s="33">
        <v>0.33333333333333331</v>
      </c>
      <c r="F6" s="33">
        <v>0.66666666666666663</v>
      </c>
      <c r="G6" s="33">
        <v>0.17241379310344829</v>
      </c>
      <c r="H6" s="33">
        <v>0.20689655172413793</v>
      </c>
      <c r="I6" s="34">
        <v>9960</v>
      </c>
      <c r="J6" s="34">
        <v>-9333.3333333333339</v>
      </c>
      <c r="K6" s="33">
        <v>0.66666666666666663</v>
      </c>
      <c r="L6" s="33">
        <v>0.27586206896551724</v>
      </c>
      <c r="M6" s="33">
        <v>0.34482758620689657</v>
      </c>
      <c r="N6" s="33">
        <v>0.375</v>
      </c>
      <c r="O6" s="33">
        <v>0.2</v>
      </c>
      <c r="P6" s="33">
        <v>0.6</v>
      </c>
    </row>
    <row r="7" spans="1:17" x14ac:dyDescent="0.45">
      <c r="A7" s="35">
        <v>4</v>
      </c>
      <c r="B7" s="32">
        <v>-37.400000000000006</v>
      </c>
      <c r="C7" s="32">
        <v>-9.3500000000000014</v>
      </c>
      <c r="D7" s="37">
        <v>2</v>
      </c>
      <c r="E7" s="33">
        <v>0.5</v>
      </c>
      <c r="F7" s="33">
        <v>0.5</v>
      </c>
      <c r="G7" s="33">
        <v>0.25</v>
      </c>
      <c r="H7" s="33">
        <v>0.17499999999999999</v>
      </c>
      <c r="I7" s="34">
        <v>7780</v>
      </c>
      <c r="J7" s="34">
        <v>-9142.8571428571431</v>
      </c>
      <c r="K7" s="33">
        <v>0.5</v>
      </c>
      <c r="L7" s="33">
        <v>0.27500000000000002</v>
      </c>
      <c r="M7" s="33">
        <v>0.35</v>
      </c>
      <c r="N7" s="33">
        <v>0.45454545454545453</v>
      </c>
      <c r="O7" s="33">
        <v>0.2857142857142857</v>
      </c>
      <c r="P7" s="33">
        <v>0.4</v>
      </c>
    </row>
    <row r="8" spans="1:17" x14ac:dyDescent="0.45">
      <c r="A8" s="35">
        <v>5</v>
      </c>
      <c r="B8" s="32">
        <v>-12.100000000000005</v>
      </c>
      <c r="C8" s="32">
        <v>-2.4200000000000008</v>
      </c>
      <c r="D8" s="37">
        <v>1.8</v>
      </c>
      <c r="E8" s="33">
        <v>0.6</v>
      </c>
      <c r="F8" s="33">
        <v>0.4</v>
      </c>
      <c r="G8" s="33">
        <v>0.29166666666666669</v>
      </c>
      <c r="H8" s="33">
        <v>0.16666666666666666</v>
      </c>
      <c r="I8" s="34">
        <v>7914.2857142857147</v>
      </c>
      <c r="J8" s="34">
        <v>-8962.5</v>
      </c>
      <c r="K8" s="33">
        <v>0.4</v>
      </c>
      <c r="L8" s="33">
        <v>0.27083333333333331</v>
      </c>
      <c r="M8" s="33">
        <v>0.375</v>
      </c>
      <c r="N8" s="33">
        <v>0.53846153846153844</v>
      </c>
      <c r="O8" s="33">
        <v>0.33333333333333331</v>
      </c>
      <c r="P8" s="33">
        <v>0.35714285714285715</v>
      </c>
    </row>
    <row r="9" spans="1:17" x14ac:dyDescent="0.45">
      <c r="A9" s="35">
        <v>6</v>
      </c>
      <c r="B9" s="32">
        <v>-59.300000000000011</v>
      </c>
      <c r="C9" s="32">
        <v>-9.8833333333333346</v>
      </c>
      <c r="D9" s="37">
        <v>2</v>
      </c>
      <c r="E9" s="33">
        <v>0.5</v>
      </c>
      <c r="F9" s="33">
        <v>0.5</v>
      </c>
      <c r="G9" s="33">
        <v>0.25454545454545452</v>
      </c>
      <c r="H9" s="33">
        <v>0.18181818181818182</v>
      </c>
      <c r="I9" s="34">
        <v>7914.2857142857147</v>
      </c>
      <c r="J9" s="34">
        <v>-8140</v>
      </c>
      <c r="K9" s="33">
        <v>0.5</v>
      </c>
      <c r="L9" s="33">
        <v>0.23636363636363636</v>
      </c>
      <c r="M9" s="33">
        <v>0.38181818181818183</v>
      </c>
      <c r="N9" s="33">
        <v>0.53846153846153844</v>
      </c>
      <c r="O9" s="33">
        <v>0.2857142857142857</v>
      </c>
      <c r="P9" s="33">
        <v>0.35714285714285715</v>
      </c>
    </row>
    <row r="10" spans="1:17" x14ac:dyDescent="0.45">
      <c r="A10" s="35">
        <v>7</v>
      </c>
      <c r="B10" s="32">
        <v>-104.80000000000001</v>
      </c>
      <c r="C10" s="32">
        <v>-14.971428571428573</v>
      </c>
      <c r="D10" s="37">
        <v>2.1428571428571428</v>
      </c>
      <c r="E10" s="33">
        <v>0.42857142857142855</v>
      </c>
      <c r="F10" s="33">
        <v>0.5714285714285714</v>
      </c>
      <c r="G10" s="33">
        <v>0.24193548387096775</v>
      </c>
      <c r="H10" s="33">
        <v>0.19354838709677419</v>
      </c>
      <c r="I10" s="34">
        <v>7473.333333333333</v>
      </c>
      <c r="J10" s="34">
        <v>-9075</v>
      </c>
      <c r="K10" s="33">
        <v>0.5714285714285714</v>
      </c>
      <c r="L10" s="33">
        <v>0.24193548387096775</v>
      </c>
      <c r="M10" s="33">
        <v>0.35483870967741937</v>
      </c>
      <c r="N10" s="33">
        <v>0.53333333333333333</v>
      </c>
      <c r="O10" s="33">
        <v>0.27272727272727271</v>
      </c>
      <c r="P10" s="3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887E7-CE22-4D36-83A3-510923D6516B}">
  <sheetPr codeName="Sheet22"/>
  <dimension ref="A1:Q3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70.2</v>
      </c>
      <c r="C4" s="32">
        <v>70.2</v>
      </c>
      <c r="D4" s="37">
        <v>1</v>
      </c>
      <c r="E4" s="33">
        <v>1</v>
      </c>
      <c r="F4" s="33">
        <v>0</v>
      </c>
      <c r="G4" s="33">
        <v>0.55555555555555558</v>
      </c>
      <c r="H4" s="33">
        <v>0.1111111111111111</v>
      </c>
      <c r="I4" s="34">
        <v>13940</v>
      </c>
      <c r="J4" s="34">
        <v>-12000</v>
      </c>
      <c r="K4" s="33">
        <v>0</v>
      </c>
      <c r="L4" s="33">
        <v>0.44444444444444442</v>
      </c>
      <c r="M4" s="33">
        <v>0</v>
      </c>
      <c r="N4" s="33">
        <v>0.75</v>
      </c>
      <c r="O4" s="33">
        <v>0</v>
      </c>
      <c r="P4" s="33">
        <v>0.2</v>
      </c>
    </row>
    <row r="5" spans="1:17" x14ac:dyDescent="0.45">
      <c r="A5" s="35">
        <v>2</v>
      </c>
      <c r="B5" s="32">
        <v>68.5</v>
      </c>
      <c r="C5" s="32">
        <v>34.25</v>
      </c>
      <c r="D5" s="37">
        <v>1.5</v>
      </c>
      <c r="E5" s="33">
        <v>0.5</v>
      </c>
      <c r="F5" s="33">
        <v>0</v>
      </c>
      <c r="G5" s="33">
        <v>0.5</v>
      </c>
      <c r="H5" s="33">
        <v>6.25E-2</v>
      </c>
      <c r="I5" s="34">
        <v>9800</v>
      </c>
      <c r="J5" s="34">
        <v>-12000</v>
      </c>
      <c r="K5" s="33">
        <v>0</v>
      </c>
      <c r="L5" s="33">
        <v>0.375</v>
      </c>
      <c r="M5" s="33">
        <v>0</v>
      </c>
      <c r="N5" s="33">
        <v>0.83333333333333337</v>
      </c>
      <c r="O5" s="33">
        <v>0</v>
      </c>
      <c r="P5" s="33">
        <v>0.375</v>
      </c>
    </row>
    <row r="6" spans="1:17" x14ac:dyDescent="0.45">
      <c r="A6" s="35">
        <v>3</v>
      </c>
      <c r="B6" s="32">
        <v>76</v>
      </c>
      <c r="C6" s="32">
        <v>25.333333333333332</v>
      </c>
      <c r="D6" s="37">
        <v>1.6666666666666667</v>
      </c>
      <c r="E6" s="33">
        <v>0.33333333333333331</v>
      </c>
      <c r="F6" s="33">
        <v>0</v>
      </c>
      <c r="G6" s="33">
        <v>0.47826086956521741</v>
      </c>
      <c r="H6" s="33">
        <v>8.6956521739130432E-2</v>
      </c>
      <c r="I6" s="34">
        <v>9200</v>
      </c>
      <c r="J6" s="34">
        <v>-8900</v>
      </c>
      <c r="K6" s="33">
        <v>0</v>
      </c>
      <c r="L6" s="33">
        <v>0.39130434782608697</v>
      </c>
      <c r="M6" s="33">
        <v>4.3478260869565216E-2</v>
      </c>
      <c r="N6" s="33">
        <v>0.77777777777777779</v>
      </c>
      <c r="O6" s="33">
        <v>0</v>
      </c>
      <c r="P6" s="33">
        <v>0.54545454545454541</v>
      </c>
    </row>
    <row r="7" spans="1:17" x14ac:dyDescent="0.45">
      <c r="A7" s="35">
        <v>4</v>
      </c>
      <c r="B7" s="32">
        <v>115.5</v>
      </c>
      <c r="C7" s="32">
        <v>28.875</v>
      </c>
      <c r="D7" s="37">
        <v>1.5</v>
      </c>
      <c r="E7" s="33">
        <v>0.5</v>
      </c>
      <c r="F7" s="33">
        <v>0</v>
      </c>
      <c r="G7" s="33">
        <v>0.45454545454545453</v>
      </c>
      <c r="H7" s="33">
        <v>6.0606060606060608E-2</v>
      </c>
      <c r="I7" s="34">
        <v>8746.6666666666661</v>
      </c>
      <c r="J7" s="34">
        <v>-8900</v>
      </c>
      <c r="K7" s="33">
        <v>0</v>
      </c>
      <c r="L7" s="33">
        <v>0.36363636363636365</v>
      </c>
      <c r="M7" s="33">
        <v>6.0606060606060608E-2</v>
      </c>
      <c r="N7" s="33">
        <v>0.83333333333333337</v>
      </c>
      <c r="O7" s="33">
        <v>0.5</v>
      </c>
      <c r="P7" s="33">
        <v>0.46666666666666667</v>
      </c>
    </row>
    <row r="8" spans="1:17" x14ac:dyDescent="0.45">
      <c r="A8" s="35">
        <v>5</v>
      </c>
      <c r="B8" s="32">
        <v>127.9</v>
      </c>
      <c r="C8" s="32">
        <v>25.580000000000002</v>
      </c>
      <c r="D8" s="37">
        <v>1.6</v>
      </c>
      <c r="E8" s="33">
        <v>0.4</v>
      </c>
      <c r="F8" s="33">
        <v>0</v>
      </c>
      <c r="G8" s="33">
        <v>0.38636363636363635</v>
      </c>
      <c r="H8" s="33">
        <v>6.8181818181818177E-2</v>
      </c>
      <c r="I8" s="34">
        <v>8894.1176470588234</v>
      </c>
      <c r="J8" s="34">
        <v>-6800</v>
      </c>
      <c r="K8" s="33">
        <v>0</v>
      </c>
      <c r="L8" s="33">
        <v>0.36363636363636365</v>
      </c>
      <c r="M8" s="33">
        <v>9.0909090909090912E-2</v>
      </c>
      <c r="N8" s="33">
        <v>0.6875</v>
      </c>
      <c r="O8" s="33">
        <v>0.25</v>
      </c>
      <c r="P8" s="33">
        <v>0.41176470588235292</v>
      </c>
    </row>
    <row r="9" spans="1:17" x14ac:dyDescent="0.45">
      <c r="A9" s="35">
        <v>6</v>
      </c>
      <c r="B9" s="32">
        <v>149.4</v>
      </c>
      <c r="C9" s="32">
        <v>24.900000000000002</v>
      </c>
      <c r="D9" s="37">
        <v>1.5</v>
      </c>
      <c r="E9" s="33">
        <v>0.5</v>
      </c>
      <c r="F9" s="33">
        <v>0</v>
      </c>
      <c r="G9" s="33">
        <v>0.39622641509433965</v>
      </c>
      <c r="H9" s="33">
        <v>5.6603773584905662E-2</v>
      </c>
      <c r="I9" s="34">
        <v>8461.9047619047615</v>
      </c>
      <c r="J9" s="34">
        <v>-6800</v>
      </c>
      <c r="K9" s="33">
        <v>0</v>
      </c>
      <c r="L9" s="33">
        <v>0.37735849056603776</v>
      </c>
      <c r="M9" s="33">
        <v>0.11320754716981132</v>
      </c>
      <c r="N9" s="33">
        <v>0.75</v>
      </c>
      <c r="O9" s="33">
        <v>0.16666666666666666</v>
      </c>
      <c r="P9" s="33">
        <v>0.42857142857142855</v>
      </c>
    </row>
    <row r="10" spans="1:17" x14ac:dyDescent="0.45">
      <c r="A10" s="35">
        <v>7</v>
      </c>
      <c r="B10" s="32">
        <v>123</v>
      </c>
      <c r="C10" s="32">
        <v>17.571428571428573</v>
      </c>
      <c r="D10" s="37">
        <v>1.7142857142857142</v>
      </c>
      <c r="E10" s="33">
        <v>0.42857142857142855</v>
      </c>
      <c r="F10" s="33">
        <v>0.14285714285714285</v>
      </c>
      <c r="G10" s="33">
        <v>0.34375</v>
      </c>
      <c r="H10" s="33">
        <v>9.375E-2</v>
      </c>
      <c r="I10" s="34">
        <v>8622.7272727272721</v>
      </c>
      <c r="J10" s="34">
        <v>-5550</v>
      </c>
      <c r="K10" s="33">
        <v>0</v>
      </c>
      <c r="L10" s="33">
        <v>0.359375</v>
      </c>
      <c r="M10" s="33">
        <v>0.109375</v>
      </c>
      <c r="N10" s="33">
        <v>0.65217391304347827</v>
      </c>
      <c r="O10" s="33">
        <v>0.2857142857142857</v>
      </c>
      <c r="P10" s="33">
        <v>0.45454545454545453</v>
      </c>
    </row>
    <row r="11" spans="1:17" x14ac:dyDescent="0.45">
      <c r="A11" s="35">
        <v>8</v>
      </c>
      <c r="B11" s="32">
        <v>124.6</v>
      </c>
      <c r="C11" s="32">
        <v>15.574999999999999</v>
      </c>
      <c r="D11" s="37">
        <v>1.75</v>
      </c>
      <c r="E11" s="33">
        <v>0.375</v>
      </c>
      <c r="F11" s="33">
        <v>0.125</v>
      </c>
      <c r="G11" s="33">
        <v>0.33783783783783783</v>
      </c>
      <c r="H11" s="33">
        <v>9.45945945945946E-2</v>
      </c>
      <c r="I11" s="34">
        <v>8352</v>
      </c>
      <c r="J11" s="34">
        <v>-5128.5714285714284</v>
      </c>
      <c r="K11" s="33">
        <v>0</v>
      </c>
      <c r="L11" s="33">
        <v>0.32432432432432434</v>
      </c>
      <c r="M11" s="33">
        <v>0.13513513513513514</v>
      </c>
      <c r="N11" s="33">
        <v>0.66666666666666663</v>
      </c>
      <c r="O11" s="33">
        <v>0.3</v>
      </c>
      <c r="P11" s="33">
        <v>0.44</v>
      </c>
    </row>
    <row r="12" spans="1:17" x14ac:dyDescent="0.45">
      <c r="A12" s="35">
        <v>9</v>
      </c>
      <c r="B12" s="32">
        <v>141.5</v>
      </c>
      <c r="C12" s="32">
        <v>15.722222222222221</v>
      </c>
      <c r="D12" s="37">
        <v>1.6666666666666667</v>
      </c>
      <c r="E12" s="33">
        <v>0.44444444444444442</v>
      </c>
      <c r="F12" s="33">
        <v>0.1111111111111111</v>
      </c>
      <c r="G12" s="33">
        <v>0.32558139534883723</v>
      </c>
      <c r="H12" s="33">
        <v>0.10465116279069768</v>
      </c>
      <c r="I12" s="34">
        <v>8175</v>
      </c>
      <c r="J12" s="34">
        <v>-4433.333333333333</v>
      </c>
      <c r="K12" s="33">
        <v>0</v>
      </c>
      <c r="L12" s="33">
        <v>0.29069767441860467</v>
      </c>
      <c r="M12" s="33">
        <v>0.15116279069767441</v>
      </c>
      <c r="N12" s="33">
        <v>0.68</v>
      </c>
      <c r="O12" s="33">
        <v>0.30769230769230771</v>
      </c>
      <c r="P12" s="33">
        <v>0.5</v>
      </c>
    </row>
    <row r="13" spans="1:17" x14ac:dyDescent="0.45">
      <c r="A13" s="35">
        <v>10</v>
      </c>
      <c r="B13" s="32">
        <v>162.80000000000001</v>
      </c>
      <c r="C13" s="32">
        <v>16.28</v>
      </c>
      <c r="D13" s="37">
        <v>1.6</v>
      </c>
      <c r="E13" s="33">
        <v>0.5</v>
      </c>
      <c r="F13" s="33">
        <v>0.1</v>
      </c>
      <c r="G13" s="33">
        <v>0.33333333333333331</v>
      </c>
      <c r="H13" s="33">
        <v>9.6774193548387094E-2</v>
      </c>
      <c r="I13" s="34">
        <v>7790.322580645161</v>
      </c>
      <c r="J13" s="34">
        <v>-4433.333333333333</v>
      </c>
      <c r="K13" s="33">
        <v>0</v>
      </c>
      <c r="L13" s="33">
        <v>0.31182795698924731</v>
      </c>
      <c r="M13" s="33">
        <v>0.15053763440860216</v>
      </c>
      <c r="N13" s="33">
        <v>0.65517241379310343</v>
      </c>
      <c r="O13" s="33">
        <v>0.35714285714285715</v>
      </c>
      <c r="P13" s="33">
        <v>0.4838709677419355</v>
      </c>
    </row>
    <row r="14" spans="1:17" x14ac:dyDescent="0.45">
      <c r="A14" s="35">
        <v>11</v>
      </c>
      <c r="B14" s="32">
        <v>126.10000000000001</v>
      </c>
      <c r="C14" s="32">
        <v>11.463636363636365</v>
      </c>
      <c r="D14" s="37">
        <v>1.7272727272727273</v>
      </c>
      <c r="E14" s="33">
        <v>0.45454545454545453</v>
      </c>
      <c r="F14" s="33">
        <v>0.18181818181818182</v>
      </c>
      <c r="G14" s="33">
        <v>0.3300970873786408</v>
      </c>
      <c r="H14" s="33">
        <v>0.11650485436893204</v>
      </c>
      <c r="I14" s="34">
        <v>7779.411764705882</v>
      </c>
      <c r="J14" s="34">
        <v>-6041.666666666667</v>
      </c>
      <c r="K14" s="33">
        <v>0</v>
      </c>
      <c r="L14" s="33">
        <v>0.29126213592233008</v>
      </c>
      <c r="M14" s="33">
        <v>0.14563106796116504</v>
      </c>
      <c r="N14" s="33">
        <v>0.66666666666666663</v>
      </c>
      <c r="O14" s="33">
        <v>0.33333333333333331</v>
      </c>
      <c r="P14" s="33">
        <v>0.52941176470588236</v>
      </c>
    </row>
    <row r="15" spans="1:17" x14ac:dyDescent="0.45">
      <c r="A15" s="35">
        <v>12</v>
      </c>
      <c r="B15" s="32">
        <v>78.100000000000009</v>
      </c>
      <c r="C15" s="32">
        <v>6.5083333333333337</v>
      </c>
      <c r="D15" s="37">
        <v>1.8333333333333333</v>
      </c>
      <c r="E15" s="33">
        <v>0.41666666666666669</v>
      </c>
      <c r="F15" s="33">
        <v>0.25</v>
      </c>
      <c r="G15" s="33">
        <v>0.30172413793103448</v>
      </c>
      <c r="H15" s="33">
        <v>0.1206896551724138</v>
      </c>
      <c r="I15" s="34">
        <v>7777.1428571428569</v>
      </c>
      <c r="J15" s="34">
        <v>-6007.1428571428569</v>
      </c>
      <c r="K15" s="33">
        <v>8.3333333333333329E-2</v>
      </c>
      <c r="L15" s="33">
        <v>0.26724137931034481</v>
      </c>
      <c r="M15" s="33">
        <v>0.13793103448275862</v>
      </c>
      <c r="N15" s="33">
        <v>0.67741935483870963</v>
      </c>
      <c r="O15" s="33">
        <v>0.3125</v>
      </c>
      <c r="P15" s="33">
        <v>0.51428571428571423</v>
      </c>
    </row>
    <row r="16" spans="1:17" x14ac:dyDescent="0.45">
      <c r="A16" s="35">
        <v>13</v>
      </c>
      <c r="B16" s="32">
        <v>76.7</v>
      </c>
      <c r="C16" s="32">
        <v>5.9</v>
      </c>
      <c r="D16" s="37">
        <v>1.8461538461538463</v>
      </c>
      <c r="E16" s="33">
        <v>0.38461538461538464</v>
      </c>
      <c r="F16" s="33">
        <v>0.23076923076923078</v>
      </c>
      <c r="G16" s="33">
        <v>0.30158730158730157</v>
      </c>
      <c r="H16" s="33">
        <v>0.12698412698412698</v>
      </c>
      <c r="I16" s="34">
        <v>7607.894736842105</v>
      </c>
      <c r="J16" s="34">
        <v>-6118.75</v>
      </c>
      <c r="K16" s="33">
        <v>7.6923076923076927E-2</v>
      </c>
      <c r="L16" s="33">
        <v>0.26984126984126983</v>
      </c>
      <c r="M16" s="33">
        <v>0.15079365079365079</v>
      </c>
      <c r="N16" s="33">
        <v>0.67647058823529416</v>
      </c>
      <c r="O16" s="33">
        <v>0.31578947368421051</v>
      </c>
      <c r="P16" s="33">
        <v>0.5</v>
      </c>
    </row>
    <row r="17" spans="1:16" x14ac:dyDescent="0.45">
      <c r="A17" s="35">
        <v>14</v>
      </c>
      <c r="B17" s="32">
        <v>49.900000000000006</v>
      </c>
      <c r="C17" s="32">
        <v>3.5642857142857145</v>
      </c>
      <c r="D17" s="37">
        <v>1.9285714285714286</v>
      </c>
      <c r="E17" s="33">
        <v>0.35714285714285715</v>
      </c>
      <c r="F17" s="33">
        <v>0.2857142857142857</v>
      </c>
      <c r="G17" s="33">
        <v>0.28873239436619719</v>
      </c>
      <c r="H17" s="33">
        <v>0.13380281690140844</v>
      </c>
      <c r="I17" s="34">
        <v>7782.9268292682927</v>
      </c>
      <c r="J17" s="34">
        <v>-6800</v>
      </c>
      <c r="K17" s="33">
        <v>7.1428571428571425E-2</v>
      </c>
      <c r="L17" s="33">
        <v>0.28169014084507044</v>
      </c>
      <c r="M17" s="33">
        <v>0.15492957746478872</v>
      </c>
      <c r="N17" s="33">
        <v>0.625</v>
      </c>
      <c r="O17" s="33">
        <v>0.31818181818181818</v>
      </c>
      <c r="P17" s="33">
        <v>0.53658536585365857</v>
      </c>
    </row>
    <row r="18" spans="1:16" x14ac:dyDescent="0.45">
      <c r="A18" s="35">
        <v>15</v>
      </c>
      <c r="B18" s="32">
        <v>73.7</v>
      </c>
      <c r="C18" s="32">
        <v>4.9133333333333331</v>
      </c>
      <c r="D18" s="37">
        <v>1.8666666666666667</v>
      </c>
      <c r="E18" s="33">
        <v>0.4</v>
      </c>
      <c r="F18" s="33">
        <v>0.26666666666666666</v>
      </c>
      <c r="G18" s="33">
        <v>0.29530201342281881</v>
      </c>
      <c r="H18" s="33">
        <v>0.13422818791946309</v>
      </c>
      <c r="I18" s="34">
        <v>7729.545454545455</v>
      </c>
      <c r="J18" s="34">
        <v>-6845</v>
      </c>
      <c r="K18" s="33">
        <v>6.6666666666666666E-2</v>
      </c>
      <c r="L18" s="33">
        <v>0.28187919463087246</v>
      </c>
      <c r="M18" s="33">
        <v>0.1476510067114094</v>
      </c>
      <c r="N18" s="33">
        <v>0.6428571428571429</v>
      </c>
      <c r="O18" s="33">
        <v>0.31818181818181818</v>
      </c>
      <c r="P18" s="33">
        <v>0.52272727272727271</v>
      </c>
    </row>
    <row r="19" spans="1:16" x14ac:dyDescent="0.45">
      <c r="A19" s="35">
        <v>16</v>
      </c>
      <c r="B19" s="32">
        <v>28.300000000000004</v>
      </c>
      <c r="C19" s="32">
        <v>1.7687500000000003</v>
      </c>
      <c r="D19" s="37">
        <v>1.9375</v>
      </c>
      <c r="E19" s="33">
        <v>0.375</v>
      </c>
      <c r="F19" s="33">
        <v>0.3125</v>
      </c>
      <c r="G19" s="33">
        <v>0.29220779220779219</v>
      </c>
      <c r="H19" s="33">
        <v>0.12987012987012986</v>
      </c>
      <c r="I19" s="34">
        <v>7646.666666666667</v>
      </c>
      <c r="J19" s="34">
        <v>-6845</v>
      </c>
      <c r="K19" s="33">
        <v>0.125</v>
      </c>
      <c r="L19" s="33">
        <v>0.29220779220779219</v>
      </c>
      <c r="M19" s="33">
        <v>0.14285714285714285</v>
      </c>
      <c r="N19" s="33">
        <v>0.62222222222222223</v>
      </c>
      <c r="O19" s="33">
        <v>0.31818181818181818</v>
      </c>
      <c r="P19" s="33">
        <v>0.53333333333333333</v>
      </c>
    </row>
    <row r="20" spans="1:16" x14ac:dyDescent="0.45">
      <c r="A20" s="35">
        <v>17</v>
      </c>
      <c r="B20" s="32">
        <v>49.800000000000004</v>
      </c>
      <c r="C20" s="32">
        <v>2.9294117647058826</v>
      </c>
      <c r="D20" s="37">
        <v>1.8823529411764706</v>
      </c>
      <c r="E20" s="33">
        <v>0.41176470588235292</v>
      </c>
      <c r="F20" s="33">
        <v>0.29411764705882354</v>
      </c>
      <c r="G20" s="33">
        <v>0.30625000000000002</v>
      </c>
      <c r="H20" s="33">
        <v>0.125</v>
      </c>
      <c r="I20" s="34">
        <v>7440.8163265306121</v>
      </c>
      <c r="J20" s="34">
        <v>-6845</v>
      </c>
      <c r="K20" s="33">
        <v>0.11764705882352941</v>
      </c>
      <c r="L20" s="33">
        <v>0.28749999999999998</v>
      </c>
      <c r="M20" s="33">
        <v>0.14374999999999999</v>
      </c>
      <c r="N20" s="33">
        <v>0.63043478260869568</v>
      </c>
      <c r="O20" s="33">
        <v>0.34782608695652173</v>
      </c>
      <c r="P20" s="33">
        <v>0.55102040816326525</v>
      </c>
    </row>
    <row r="21" spans="1:16" x14ac:dyDescent="0.45">
      <c r="A21" s="35">
        <v>18</v>
      </c>
      <c r="B21" s="32">
        <v>24.700000000000003</v>
      </c>
      <c r="C21" s="32">
        <v>1.3722222222222225</v>
      </c>
      <c r="D21" s="37">
        <v>1.9444444444444444</v>
      </c>
      <c r="E21" s="33">
        <v>0.3888888888888889</v>
      </c>
      <c r="F21" s="33">
        <v>0.33333333333333331</v>
      </c>
      <c r="G21" s="33">
        <v>0.29166666666666669</v>
      </c>
      <c r="H21" s="33">
        <v>0.125</v>
      </c>
      <c r="I21" s="34">
        <v>7440.8163265306121</v>
      </c>
      <c r="J21" s="34">
        <v>-6885.7142857142853</v>
      </c>
      <c r="K21" s="33">
        <v>0.1111111111111111</v>
      </c>
      <c r="L21" s="33">
        <v>0.27380952380952384</v>
      </c>
      <c r="M21" s="33">
        <v>0.13690476190476192</v>
      </c>
      <c r="N21" s="33">
        <v>0.63043478260869568</v>
      </c>
      <c r="O21" s="33">
        <v>0.34782608695652173</v>
      </c>
      <c r="P21" s="33">
        <v>0.55102040816326525</v>
      </c>
    </row>
    <row r="22" spans="1:16" x14ac:dyDescent="0.45">
      <c r="A22" s="35">
        <v>19</v>
      </c>
      <c r="B22" s="32">
        <v>8.7000000000000028</v>
      </c>
      <c r="C22" s="32">
        <v>0.45789473684210541</v>
      </c>
      <c r="D22" s="37">
        <v>2</v>
      </c>
      <c r="E22" s="33">
        <v>0.36842105263157893</v>
      </c>
      <c r="F22" s="33">
        <v>0.36842105263157893</v>
      </c>
      <c r="G22" s="33">
        <v>0.28409090909090912</v>
      </c>
      <c r="H22" s="33">
        <v>0.13636363636363635</v>
      </c>
      <c r="I22" s="34">
        <v>7652</v>
      </c>
      <c r="J22" s="34">
        <v>-6650</v>
      </c>
      <c r="K22" s="33">
        <v>0.10526315789473684</v>
      </c>
      <c r="L22" s="33">
        <v>0.27840909090909088</v>
      </c>
      <c r="M22" s="33">
        <v>0.13068181818181818</v>
      </c>
      <c r="N22" s="33">
        <v>0.61224489795918369</v>
      </c>
      <c r="O22" s="33">
        <v>0.34782608695652173</v>
      </c>
      <c r="P22" s="33">
        <v>0.56000000000000005</v>
      </c>
    </row>
    <row r="23" spans="1:16" x14ac:dyDescent="0.45">
      <c r="A23" s="35">
        <v>20</v>
      </c>
      <c r="B23" s="32">
        <v>-33</v>
      </c>
      <c r="C23" s="32">
        <v>-1.65</v>
      </c>
      <c r="D23" s="37">
        <v>2.0499999999999998</v>
      </c>
      <c r="E23" s="33">
        <v>0.35</v>
      </c>
      <c r="F23" s="33">
        <v>0.4</v>
      </c>
      <c r="G23" s="33">
        <v>0.27173913043478259</v>
      </c>
      <c r="H23" s="33">
        <v>0.14673913043478262</v>
      </c>
      <c r="I23" s="34">
        <v>7652</v>
      </c>
      <c r="J23" s="34">
        <v>-6748.1481481481478</v>
      </c>
      <c r="K23" s="33">
        <v>0.1</v>
      </c>
      <c r="L23" s="33">
        <v>0.27717391304347827</v>
      </c>
      <c r="M23" s="33">
        <v>0.14130434782608695</v>
      </c>
      <c r="N23" s="33">
        <v>0.58823529411764708</v>
      </c>
      <c r="O23" s="33">
        <v>0.30769230769230771</v>
      </c>
      <c r="P23" s="33">
        <v>0.56000000000000005</v>
      </c>
    </row>
    <row r="24" spans="1:16" x14ac:dyDescent="0.45">
      <c r="A24" s="35">
        <v>21</v>
      </c>
      <c r="B24" s="32">
        <v>-35.4</v>
      </c>
      <c r="C24" s="32">
        <v>-1.6857142857142857</v>
      </c>
      <c r="D24" s="37">
        <v>2.0476190476190474</v>
      </c>
      <c r="E24" s="33">
        <v>0.33333333333333331</v>
      </c>
      <c r="F24" s="33">
        <v>0.38095238095238093</v>
      </c>
      <c r="G24" s="33">
        <v>0.27368421052631581</v>
      </c>
      <c r="H24" s="33">
        <v>0.14736842105263157</v>
      </c>
      <c r="I24" s="34">
        <v>7742.3076923076924</v>
      </c>
      <c r="J24" s="34">
        <v>-6646.4285714285716</v>
      </c>
      <c r="K24" s="33">
        <v>9.5238095238095233E-2</v>
      </c>
      <c r="L24" s="33">
        <v>0.27368421052631581</v>
      </c>
      <c r="M24" s="33">
        <v>0.14210526315789473</v>
      </c>
      <c r="N24" s="33">
        <v>0.59615384615384615</v>
      </c>
      <c r="O24" s="33">
        <v>0.33333333333333331</v>
      </c>
      <c r="P24" s="33">
        <v>0.53846153846153844</v>
      </c>
    </row>
    <row r="25" spans="1:16" x14ac:dyDescent="0.45">
      <c r="A25" s="35">
        <v>22</v>
      </c>
      <c r="B25" s="32">
        <v>-13.5</v>
      </c>
      <c r="C25" s="32">
        <v>-0.61363636363636365</v>
      </c>
      <c r="D25" s="37">
        <v>2</v>
      </c>
      <c r="E25" s="33">
        <v>0.36363636363636365</v>
      </c>
      <c r="F25" s="33">
        <v>0.36363636363636365</v>
      </c>
      <c r="G25" s="33">
        <v>0.27941176470588236</v>
      </c>
      <c r="H25" s="33">
        <v>0.15196078431372548</v>
      </c>
      <c r="I25" s="34">
        <v>8115.7894736842109</v>
      </c>
      <c r="J25" s="34">
        <v>-7151.6129032258068</v>
      </c>
      <c r="K25" s="33">
        <v>9.0909090909090912E-2</v>
      </c>
      <c r="L25" s="33">
        <v>0.26470588235294118</v>
      </c>
      <c r="M25" s="33">
        <v>0.15686274509803921</v>
      </c>
      <c r="N25" s="33">
        <v>0.61111111111111116</v>
      </c>
      <c r="O25" s="33">
        <v>0.375</v>
      </c>
      <c r="P25" s="33">
        <v>0.54385964912280704</v>
      </c>
    </row>
    <row r="26" spans="1:16" x14ac:dyDescent="0.45">
      <c r="A26" s="35">
        <v>23</v>
      </c>
      <c r="B26" s="32">
        <v>27.299999999999997</v>
      </c>
      <c r="C26" s="32">
        <v>1.1869565217391302</v>
      </c>
      <c r="D26" s="37">
        <v>1.9565217391304348</v>
      </c>
      <c r="E26" s="33">
        <v>0.39130434782608697</v>
      </c>
      <c r="F26" s="33">
        <v>0.34782608695652173</v>
      </c>
      <c r="G26" s="33">
        <v>0.27853881278538811</v>
      </c>
      <c r="H26" s="33">
        <v>0.15525114155251141</v>
      </c>
      <c r="I26" s="34">
        <v>8398.3606557377043</v>
      </c>
      <c r="J26" s="34">
        <v>-7058.8235294117649</v>
      </c>
      <c r="K26" s="33">
        <v>8.6956521739130432E-2</v>
      </c>
      <c r="L26" s="33">
        <v>0.26940639269406391</v>
      </c>
      <c r="M26" s="33">
        <v>0.15525114155251141</v>
      </c>
      <c r="N26" s="33">
        <v>0.59322033898305082</v>
      </c>
      <c r="O26" s="33">
        <v>0.35294117647058826</v>
      </c>
      <c r="P26" s="33">
        <v>0.55737704918032782</v>
      </c>
    </row>
    <row r="27" spans="1:16" x14ac:dyDescent="0.45">
      <c r="A27" s="35">
        <v>24</v>
      </c>
      <c r="B27" s="32">
        <v>2.1999999999999957</v>
      </c>
      <c r="C27" s="32">
        <v>9.1666666666666494E-2</v>
      </c>
      <c r="D27" s="37">
        <v>2</v>
      </c>
      <c r="E27" s="33">
        <v>0.375</v>
      </c>
      <c r="F27" s="33">
        <v>0.375</v>
      </c>
      <c r="G27" s="33">
        <v>0.27074235807860264</v>
      </c>
      <c r="H27" s="33">
        <v>0.16593886462882096</v>
      </c>
      <c r="I27" s="34">
        <v>8456.4516129032254</v>
      </c>
      <c r="J27" s="34">
        <v>-6836.8421052631575</v>
      </c>
      <c r="K27" s="33">
        <v>8.3333333333333329E-2</v>
      </c>
      <c r="L27" s="33">
        <v>0.26637554585152839</v>
      </c>
      <c r="M27" s="33">
        <v>0.15283842794759825</v>
      </c>
      <c r="N27" s="33">
        <v>0.5901639344262295</v>
      </c>
      <c r="O27" s="33">
        <v>0.34285714285714286</v>
      </c>
      <c r="P27" s="33">
        <v>0.56451612903225812</v>
      </c>
    </row>
    <row r="28" spans="1:16" x14ac:dyDescent="0.45">
      <c r="A28" s="35">
        <v>25</v>
      </c>
      <c r="B28" s="32">
        <v>-45.7</v>
      </c>
      <c r="C28" s="32">
        <v>-1.8280000000000001</v>
      </c>
      <c r="D28" s="37">
        <v>2.04</v>
      </c>
      <c r="E28" s="33">
        <v>0.36</v>
      </c>
      <c r="F28" s="33">
        <v>0.4</v>
      </c>
      <c r="G28" s="33">
        <v>0.26250000000000001</v>
      </c>
      <c r="H28" s="33">
        <v>0.17499999999999999</v>
      </c>
      <c r="I28" s="34">
        <v>8385.7142857142862</v>
      </c>
      <c r="J28" s="34">
        <v>-6876.1904761904761</v>
      </c>
      <c r="K28" s="33">
        <v>0.12</v>
      </c>
      <c r="L28" s="33">
        <v>0.25833333333333336</v>
      </c>
      <c r="M28" s="33">
        <v>0.15</v>
      </c>
      <c r="N28" s="33">
        <v>0.59677419354838712</v>
      </c>
      <c r="O28" s="33">
        <v>0.33333333333333331</v>
      </c>
      <c r="P28" s="33">
        <v>0.5714285714285714</v>
      </c>
    </row>
    <row r="29" spans="1:16" x14ac:dyDescent="0.45">
      <c r="A29" s="35">
        <v>26</v>
      </c>
      <c r="B29" s="32">
        <v>-29.900000000000002</v>
      </c>
      <c r="C29" s="32">
        <v>-1.1500000000000001</v>
      </c>
      <c r="D29" s="37">
        <v>2</v>
      </c>
      <c r="E29" s="33">
        <v>0.38461538461538464</v>
      </c>
      <c r="F29" s="33">
        <v>0.38461538461538464</v>
      </c>
      <c r="G29" s="33">
        <v>0.26506024096385544</v>
      </c>
      <c r="H29" s="33">
        <v>0.17269076305220885</v>
      </c>
      <c r="I29" s="34">
        <v>8150</v>
      </c>
      <c r="J29" s="34">
        <v>-6762.7906976744189</v>
      </c>
      <c r="K29" s="33">
        <v>0.11538461538461539</v>
      </c>
      <c r="L29" s="33">
        <v>0.25702811244979917</v>
      </c>
      <c r="M29" s="33">
        <v>0.15662650602409639</v>
      </c>
      <c r="N29" s="33">
        <v>0.59375</v>
      </c>
      <c r="O29" s="33">
        <v>0.35897435897435898</v>
      </c>
      <c r="P29" s="33">
        <v>0.5757575757575758</v>
      </c>
    </row>
    <row r="30" spans="1:16" x14ac:dyDescent="0.45">
      <c r="A30" s="35">
        <v>27</v>
      </c>
      <c r="B30" s="32">
        <v>-76.5</v>
      </c>
      <c r="C30" s="32">
        <v>-2.8333333333333335</v>
      </c>
      <c r="D30" s="37">
        <v>2.0370370370370372</v>
      </c>
      <c r="E30" s="33">
        <v>0.37037037037037035</v>
      </c>
      <c r="F30" s="33">
        <v>0.40740740740740738</v>
      </c>
      <c r="G30" s="33">
        <v>0.25984251968503935</v>
      </c>
      <c r="H30" s="33">
        <v>0.16929133858267717</v>
      </c>
      <c r="I30" s="34">
        <v>8150</v>
      </c>
      <c r="J30" s="34">
        <v>-6762.7906976744189</v>
      </c>
      <c r="K30" s="33">
        <v>0.14814814814814814</v>
      </c>
      <c r="L30" s="33">
        <v>0.25590551181102361</v>
      </c>
      <c r="M30" s="33">
        <v>0.15354330708661418</v>
      </c>
      <c r="N30" s="33">
        <v>0.58461538461538465</v>
      </c>
      <c r="O30" s="33">
        <v>0.35897435897435898</v>
      </c>
      <c r="P30" s="33">
        <v>0.5757575757575758</v>
      </c>
    </row>
    <row r="31" spans="1:16" x14ac:dyDescent="0.45">
      <c r="A31" s="35">
        <v>28</v>
      </c>
      <c r="B31" s="32">
        <v>-129.6</v>
      </c>
      <c r="C31" s="32">
        <v>-4.6285714285714281</v>
      </c>
      <c r="D31" s="37">
        <v>2.0714285714285716</v>
      </c>
      <c r="E31" s="33">
        <v>0.35714285714285715</v>
      </c>
      <c r="F31" s="33">
        <v>0.42857142857142855</v>
      </c>
      <c r="G31" s="33">
        <v>0.25680933852140075</v>
      </c>
      <c r="H31" s="33">
        <v>0.17509727626459143</v>
      </c>
      <c r="I31" s="34">
        <v>8150</v>
      </c>
      <c r="J31" s="34">
        <v>-7120</v>
      </c>
      <c r="K31" s="33">
        <v>0.17857142857142858</v>
      </c>
      <c r="L31" s="33">
        <v>0.26070038910505838</v>
      </c>
      <c r="M31" s="33">
        <v>0.1517509727626459</v>
      </c>
      <c r="N31" s="33">
        <v>0.56716417910447758</v>
      </c>
      <c r="O31" s="33">
        <v>0.35897435897435898</v>
      </c>
      <c r="P31" s="33">
        <v>0.5757575757575758</v>
      </c>
    </row>
    <row r="32" spans="1:16" x14ac:dyDescent="0.45">
      <c r="A32" s="35">
        <v>29</v>
      </c>
      <c r="B32" s="32">
        <v>-128.79999999999998</v>
      </c>
      <c r="C32" s="32">
        <v>-4.4413793103448267</v>
      </c>
      <c r="D32" s="37">
        <v>2.0689655172413794</v>
      </c>
      <c r="E32" s="33">
        <v>0.34482758620689657</v>
      </c>
      <c r="F32" s="33">
        <v>0.41379310344827586</v>
      </c>
      <c r="G32" s="33">
        <v>0.25939849624060152</v>
      </c>
      <c r="H32" s="33">
        <v>0.17293233082706766</v>
      </c>
      <c r="I32" s="34">
        <v>8075.36231884058</v>
      </c>
      <c r="J32" s="34">
        <v>-7078.260869565217</v>
      </c>
      <c r="K32" s="33">
        <v>0.17241379310344829</v>
      </c>
      <c r="L32" s="33">
        <v>0.26691729323308272</v>
      </c>
      <c r="M32" s="33">
        <v>0.15789473684210525</v>
      </c>
      <c r="N32" s="33">
        <v>0.57746478873239437</v>
      </c>
      <c r="O32" s="33">
        <v>0.33333333333333331</v>
      </c>
      <c r="P32" s="33">
        <v>0.57971014492753625</v>
      </c>
    </row>
    <row r="33" spans="1:16" x14ac:dyDescent="0.45">
      <c r="A33" s="35">
        <v>30</v>
      </c>
      <c r="B33" s="32">
        <v>-106.39999999999998</v>
      </c>
      <c r="C33" s="32">
        <v>-3.546666666666666</v>
      </c>
      <c r="D33" s="37">
        <v>2.0333333333333332</v>
      </c>
      <c r="E33" s="33">
        <v>0.36666666666666664</v>
      </c>
      <c r="F33" s="33">
        <v>0.4</v>
      </c>
      <c r="G33" s="33">
        <v>0.25992779783393499</v>
      </c>
      <c r="H33" s="33">
        <v>0.17689530685920576</v>
      </c>
      <c r="I33" s="34">
        <v>8126.3888888888887</v>
      </c>
      <c r="J33" s="34">
        <v>-7002.0408163265311</v>
      </c>
      <c r="K33" s="33">
        <v>0.16666666666666666</v>
      </c>
      <c r="L33" s="33">
        <v>0.27075812274368233</v>
      </c>
      <c r="M33" s="33">
        <v>0.1588447653429603</v>
      </c>
      <c r="N33" s="33">
        <v>0.58666666666666667</v>
      </c>
      <c r="O33" s="33">
        <v>0.31818181818181818</v>
      </c>
      <c r="P33" s="33">
        <v>0.58333333333333337</v>
      </c>
    </row>
    <row r="34" spans="1:16" x14ac:dyDescent="0.45">
      <c r="A34" s="35">
        <v>31</v>
      </c>
      <c r="B34" s="32">
        <v>-77.399999999999977</v>
      </c>
      <c r="C34" s="32">
        <v>-2.4967741935483865</v>
      </c>
      <c r="D34" s="37">
        <v>2</v>
      </c>
      <c r="E34" s="33">
        <v>0.38709677419354838</v>
      </c>
      <c r="F34" s="33">
        <v>0.38709677419354838</v>
      </c>
      <c r="G34" s="33">
        <v>0.2638888888888889</v>
      </c>
      <c r="H34" s="33">
        <v>0.1701388888888889</v>
      </c>
      <c r="I34" s="34">
        <v>8114.4736842105267</v>
      </c>
      <c r="J34" s="34">
        <v>-7002.0408163265311</v>
      </c>
      <c r="K34" s="33">
        <v>0.16129032258064516</v>
      </c>
      <c r="L34" s="33">
        <v>0.27777777777777779</v>
      </c>
      <c r="M34" s="33">
        <v>0.15625</v>
      </c>
      <c r="N34" s="33">
        <v>0.57499999999999996</v>
      </c>
      <c r="O34" s="33">
        <v>0.33333333333333331</v>
      </c>
      <c r="P34" s="33">
        <v>0.57894736842105265</v>
      </c>
    </row>
    <row r="35" spans="1:16" x14ac:dyDescent="0.45">
      <c r="A35" s="35">
        <v>32</v>
      </c>
      <c r="B35" s="32">
        <v>-96.699999999999974</v>
      </c>
      <c r="C35" s="32">
        <v>-3.0218749999999992</v>
      </c>
      <c r="D35" s="37">
        <v>2</v>
      </c>
      <c r="E35" s="33">
        <v>0.375</v>
      </c>
      <c r="F35" s="33">
        <v>0.375</v>
      </c>
      <c r="G35" s="33">
        <v>0.25838926174496646</v>
      </c>
      <c r="H35" s="33">
        <v>0.16778523489932887</v>
      </c>
      <c r="I35" s="34">
        <v>8164.9350649350654</v>
      </c>
      <c r="J35" s="34">
        <v>-7102</v>
      </c>
      <c r="K35" s="33">
        <v>0.15625</v>
      </c>
      <c r="L35" s="33">
        <v>0.27852348993288589</v>
      </c>
      <c r="M35" s="33">
        <v>0.16107382550335569</v>
      </c>
      <c r="N35" s="33">
        <v>0.5662650602409639</v>
      </c>
      <c r="O35" s="33">
        <v>0.3125</v>
      </c>
      <c r="P35" s="33">
        <v>0.58441558441558439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003BE-7E9A-4B00-A938-1BC681316882}">
  <sheetPr codeName="Sheet20"/>
  <dimension ref="A1:Q7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-12</v>
      </c>
      <c r="C4" s="32">
        <v>-12</v>
      </c>
      <c r="D4" s="37">
        <v>2</v>
      </c>
      <c r="E4" s="33">
        <v>0</v>
      </c>
      <c r="F4" s="33">
        <v>0</v>
      </c>
      <c r="G4" s="33">
        <v>0.33333333333333331</v>
      </c>
      <c r="H4" s="33">
        <v>0.33333333333333331</v>
      </c>
      <c r="I4" s="34">
        <v>8400</v>
      </c>
      <c r="J4" s="34">
        <v>-9233.3333333333339</v>
      </c>
      <c r="K4" s="33">
        <v>0</v>
      </c>
      <c r="L4" s="33">
        <v>0.44444444444444442</v>
      </c>
      <c r="M4" s="33">
        <v>0.22222222222222221</v>
      </c>
      <c r="N4" s="33">
        <v>0.5</v>
      </c>
      <c r="O4" s="33">
        <v>0.5</v>
      </c>
      <c r="P4" s="33">
        <v>0.33333333333333331</v>
      </c>
    </row>
    <row r="5" spans="1:17" x14ac:dyDescent="0.45">
      <c r="A5" s="35">
        <v>2</v>
      </c>
      <c r="B5" s="32">
        <v>-40.6</v>
      </c>
      <c r="C5" s="32">
        <v>-20.3</v>
      </c>
      <c r="D5" s="37">
        <v>2.5</v>
      </c>
      <c r="E5" s="33">
        <v>0</v>
      </c>
      <c r="F5" s="33">
        <v>0.5</v>
      </c>
      <c r="G5" s="33">
        <v>0.25</v>
      </c>
      <c r="H5" s="33">
        <v>0.25</v>
      </c>
      <c r="I5" s="34">
        <v>8300</v>
      </c>
      <c r="J5" s="34">
        <v>-8925</v>
      </c>
      <c r="K5" s="33">
        <v>0</v>
      </c>
      <c r="L5" s="33">
        <v>0.3125</v>
      </c>
      <c r="M5" s="33">
        <v>0.1875</v>
      </c>
      <c r="N5" s="33">
        <v>0.6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-33.6</v>
      </c>
      <c r="C6" s="32">
        <v>-11.200000000000001</v>
      </c>
      <c r="D6" s="37">
        <v>2.3333333333333335</v>
      </c>
      <c r="E6" s="33">
        <v>0</v>
      </c>
      <c r="F6" s="33">
        <v>0.33333333333333331</v>
      </c>
      <c r="G6" s="33">
        <v>0.23076923076923078</v>
      </c>
      <c r="H6" s="33">
        <v>0.19230769230769232</v>
      </c>
      <c r="I6" s="34">
        <v>9533.3333333333339</v>
      </c>
      <c r="J6" s="34">
        <v>-9540</v>
      </c>
      <c r="K6" s="33">
        <v>0</v>
      </c>
      <c r="L6" s="33">
        <v>0.34615384615384615</v>
      </c>
      <c r="M6" s="33">
        <v>0.23076923076923078</v>
      </c>
      <c r="N6" s="33">
        <v>0.55555555555555558</v>
      </c>
      <c r="O6" s="33">
        <v>0.16666666666666666</v>
      </c>
      <c r="P6" s="33">
        <v>0.5</v>
      </c>
    </row>
    <row r="7" spans="1:17" x14ac:dyDescent="0.45">
      <c r="A7" s="35">
        <v>4</v>
      </c>
      <c r="B7" s="32">
        <v>-80.5</v>
      </c>
      <c r="C7" s="32">
        <v>-20.125</v>
      </c>
      <c r="D7" s="37">
        <v>2.5</v>
      </c>
      <c r="E7" s="33">
        <v>0</v>
      </c>
      <c r="F7" s="33">
        <v>0.5</v>
      </c>
      <c r="G7" s="33">
        <v>0.1891891891891892</v>
      </c>
      <c r="H7" s="33">
        <v>0.24324324324324326</v>
      </c>
      <c r="I7" s="34">
        <v>9028.5714285714294</v>
      </c>
      <c r="J7" s="34">
        <v>-8566.6666666666661</v>
      </c>
      <c r="K7" s="33">
        <v>0.25</v>
      </c>
      <c r="L7" s="33">
        <v>0.27027027027027029</v>
      </c>
      <c r="M7" s="33">
        <v>0.24324324324324326</v>
      </c>
      <c r="N7" s="33">
        <v>0.6</v>
      </c>
      <c r="O7" s="33">
        <v>0.1111111111111111</v>
      </c>
      <c r="P7" s="33">
        <v>0.5714285714285714</v>
      </c>
    </row>
    <row r="8" spans="1:17" x14ac:dyDescent="0.45">
      <c r="A8" s="35">
        <v>5</v>
      </c>
      <c r="B8" s="32">
        <v>-124.3</v>
      </c>
      <c r="C8" s="32">
        <v>-24.86</v>
      </c>
      <c r="D8" s="37">
        <v>2.6</v>
      </c>
      <c r="E8" s="33">
        <v>0</v>
      </c>
      <c r="F8" s="33">
        <v>0.6</v>
      </c>
      <c r="G8" s="33">
        <v>0.14893617021276595</v>
      </c>
      <c r="H8" s="33">
        <v>0.23404255319148937</v>
      </c>
      <c r="I8" s="34">
        <v>9028.5714285714294</v>
      </c>
      <c r="J8" s="34">
        <v>-8827.2727272727279</v>
      </c>
      <c r="K8" s="33">
        <v>0.2</v>
      </c>
      <c r="L8" s="33">
        <v>0.27659574468085107</v>
      </c>
      <c r="M8" s="33">
        <v>0.23404255319148937</v>
      </c>
      <c r="N8" s="33">
        <v>0.46153846153846156</v>
      </c>
      <c r="O8" s="33">
        <v>9.0909090909090912E-2</v>
      </c>
      <c r="P8" s="33">
        <v>0.5714285714285714</v>
      </c>
    </row>
    <row r="9" spans="1:17" x14ac:dyDescent="0.45">
      <c r="A9" s="35">
        <v>6</v>
      </c>
      <c r="B9" s="32">
        <v>-159.6</v>
      </c>
      <c r="C9" s="32">
        <v>-26.599999999999998</v>
      </c>
      <c r="D9" s="37">
        <v>2.6666666666666665</v>
      </c>
      <c r="E9" s="33">
        <v>0</v>
      </c>
      <c r="F9" s="33">
        <v>0.66666666666666663</v>
      </c>
      <c r="G9" s="33">
        <v>0.12727272727272726</v>
      </c>
      <c r="H9" s="33">
        <v>0.23636363636363636</v>
      </c>
      <c r="I9" s="34">
        <v>9028.5714285714294</v>
      </c>
      <c r="J9" s="34">
        <v>-8069.2307692307695</v>
      </c>
      <c r="K9" s="33">
        <v>0.16666666666666666</v>
      </c>
      <c r="L9" s="33">
        <v>0.25454545454545452</v>
      </c>
      <c r="M9" s="33">
        <v>0.2</v>
      </c>
      <c r="N9" s="33">
        <v>0.42857142857142855</v>
      </c>
      <c r="O9" s="33">
        <v>9.0909090909090912E-2</v>
      </c>
      <c r="P9" s="33">
        <v>0.5714285714285714</v>
      </c>
    </row>
    <row r="10" spans="1:17" x14ac:dyDescent="0.45">
      <c r="A10" s="35">
        <v>7</v>
      </c>
      <c r="B10" s="32">
        <v>-99.5</v>
      </c>
      <c r="C10" s="32">
        <v>-14.214285714285714</v>
      </c>
      <c r="D10" s="37">
        <v>2.4285714285714284</v>
      </c>
      <c r="E10" s="33">
        <v>0.14285714285714285</v>
      </c>
      <c r="F10" s="33">
        <v>0.5714285714285714</v>
      </c>
      <c r="G10" s="33">
        <v>0.19047619047619047</v>
      </c>
      <c r="H10" s="33">
        <v>0.23809523809523808</v>
      </c>
      <c r="I10" s="34">
        <v>10583.333333333334</v>
      </c>
      <c r="J10" s="34">
        <v>-8040</v>
      </c>
      <c r="K10" s="33">
        <v>0.14285714285714285</v>
      </c>
      <c r="L10" s="33">
        <v>0.26984126984126983</v>
      </c>
      <c r="M10" s="33">
        <v>0.22222222222222221</v>
      </c>
      <c r="N10" s="33">
        <v>0.47058823529411764</v>
      </c>
      <c r="O10" s="33">
        <v>0.2857142857142857</v>
      </c>
      <c r="P10" s="33">
        <v>0.5</v>
      </c>
    </row>
    <row r="11" spans="1:17" x14ac:dyDescent="0.45">
      <c r="A11" s="35">
        <v>8</v>
      </c>
      <c r="B11" s="32">
        <v>-152.6</v>
      </c>
      <c r="C11" s="32">
        <v>-19.074999999999999</v>
      </c>
      <c r="D11" s="37">
        <v>2.5</v>
      </c>
      <c r="E11" s="33">
        <v>0.125</v>
      </c>
      <c r="F11" s="33">
        <v>0.625</v>
      </c>
      <c r="G11" s="33">
        <v>0.20289855072463769</v>
      </c>
      <c r="H11" s="33">
        <v>0.24637681159420291</v>
      </c>
      <c r="I11" s="34">
        <v>9742.8571428571431</v>
      </c>
      <c r="J11" s="34">
        <v>-10035.294117647059</v>
      </c>
      <c r="K11" s="33">
        <v>0.25</v>
      </c>
      <c r="L11" s="33">
        <v>0.27536231884057971</v>
      </c>
      <c r="M11" s="33">
        <v>0.21739130434782608</v>
      </c>
      <c r="N11" s="33">
        <v>0.47368421052631576</v>
      </c>
      <c r="O11" s="33">
        <v>0.33333333333333331</v>
      </c>
      <c r="P11" s="33">
        <v>0.5714285714285714</v>
      </c>
    </row>
    <row r="12" spans="1:17" x14ac:dyDescent="0.45">
      <c r="A12" s="35">
        <v>9</v>
      </c>
      <c r="B12" s="32">
        <v>-150.6</v>
      </c>
      <c r="C12" s="32">
        <v>-16.733333333333334</v>
      </c>
      <c r="D12" s="37">
        <v>2.4444444444444446</v>
      </c>
      <c r="E12" s="33">
        <v>0.1111111111111111</v>
      </c>
      <c r="F12" s="33">
        <v>0.55555555555555558</v>
      </c>
      <c r="G12" s="33">
        <v>0.21333333333333335</v>
      </c>
      <c r="H12" s="33">
        <v>0.25333333333333335</v>
      </c>
      <c r="I12" s="34">
        <v>9350</v>
      </c>
      <c r="J12" s="34">
        <v>-9452.6315789473683</v>
      </c>
      <c r="K12" s="33">
        <v>0.22222222222222221</v>
      </c>
      <c r="L12" s="33">
        <v>0.26666666666666666</v>
      </c>
      <c r="M12" s="33">
        <v>0.21333333333333335</v>
      </c>
      <c r="N12" s="33">
        <v>0.5</v>
      </c>
      <c r="O12" s="33">
        <v>0.375</v>
      </c>
      <c r="P12" s="33">
        <v>0.5625</v>
      </c>
    </row>
    <row r="13" spans="1:17" x14ac:dyDescent="0.45">
      <c r="A13" s="35">
        <v>10</v>
      </c>
      <c r="B13" s="32">
        <v>-151.1</v>
      </c>
      <c r="C13" s="32">
        <v>-15.11</v>
      </c>
      <c r="D13" s="37">
        <v>2.4</v>
      </c>
      <c r="E13" s="33">
        <v>0.1</v>
      </c>
      <c r="F13" s="33">
        <v>0.5</v>
      </c>
      <c r="G13" s="33">
        <v>0.2289156626506024</v>
      </c>
      <c r="H13" s="33">
        <v>0.2289156626506024</v>
      </c>
      <c r="I13" s="34">
        <v>8273.6842105263149</v>
      </c>
      <c r="J13" s="34">
        <v>-9452.6315789473683</v>
      </c>
      <c r="K13" s="33">
        <v>0.2</v>
      </c>
      <c r="L13" s="33">
        <v>0.25301204819277107</v>
      </c>
      <c r="M13" s="33">
        <v>0.2289156626506024</v>
      </c>
      <c r="N13" s="33">
        <v>0.52380952380952384</v>
      </c>
      <c r="O13" s="33">
        <v>0.42105263157894735</v>
      </c>
      <c r="P13" s="33">
        <v>0.52631578947368418</v>
      </c>
    </row>
    <row r="14" spans="1:17" x14ac:dyDescent="0.45">
      <c r="A14" s="35">
        <v>11</v>
      </c>
      <c r="B14" s="32">
        <v>-175</v>
      </c>
      <c r="C14" s="32">
        <v>-15.909090909090908</v>
      </c>
      <c r="D14" s="37">
        <v>2.4545454545454546</v>
      </c>
      <c r="E14" s="33">
        <v>9.0909090909090912E-2</v>
      </c>
      <c r="F14" s="33">
        <v>0.54545454545454541</v>
      </c>
      <c r="G14" s="33">
        <v>0.22222222222222221</v>
      </c>
      <c r="H14" s="33">
        <v>0.22222222222222221</v>
      </c>
      <c r="I14" s="34">
        <v>8760</v>
      </c>
      <c r="J14" s="34">
        <v>-10180</v>
      </c>
      <c r="K14" s="33">
        <v>0.18181818181818182</v>
      </c>
      <c r="L14" s="33">
        <v>0.24444444444444444</v>
      </c>
      <c r="M14" s="33">
        <v>0.23333333333333334</v>
      </c>
      <c r="N14" s="33">
        <v>0.54545454545454541</v>
      </c>
      <c r="O14" s="33">
        <v>0.38095238095238093</v>
      </c>
      <c r="P14" s="33">
        <v>0.5</v>
      </c>
    </row>
    <row r="15" spans="1:17" x14ac:dyDescent="0.45">
      <c r="A15" s="35">
        <v>12</v>
      </c>
      <c r="B15" s="32">
        <v>-176.9</v>
      </c>
      <c r="C15" s="32">
        <v>-14.741666666666667</v>
      </c>
      <c r="D15" s="37">
        <v>2.4166666666666665</v>
      </c>
      <c r="E15" s="33">
        <v>8.3333333333333329E-2</v>
      </c>
      <c r="F15" s="33">
        <v>0.5</v>
      </c>
      <c r="G15" s="33">
        <v>0.23711340206185566</v>
      </c>
      <c r="H15" s="33">
        <v>0.21649484536082475</v>
      </c>
      <c r="I15" s="34">
        <v>8543.4782608695659</v>
      </c>
      <c r="J15" s="34">
        <v>-10061.904761904761</v>
      </c>
      <c r="K15" s="33">
        <v>0.16666666666666666</v>
      </c>
      <c r="L15" s="33">
        <v>0.24742268041237114</v>
      </c>
      <c r="M15" s="33">
        <v>0.22680412371134021</v>
      </c>
      <c r="N15" s="33">
        <v>0.58333333333333337</v>
      </c>
      <c r="O15" s="33">
        <v>0.36363636363636365</v>
      </c>
      <c r="P15" s="33">
        <v>0.47826086956521741</v>
      </c>
    </row>
    <row r="16" spans="1:17" x14ac:dyDescent="0.45">
      <c r="A16" s="35">
        <v>13</v>
      </c>
      <c r="B16" s="32">
        <v>-217.60000000000002</v>
      </c>
      <c r="C16" s="32">
        <v>-16.738461538461539</v>
      </c>
      <c r="D16" s="37">
        <v>2.4615384615384617</v>
      </c>
      <c r="E16" s="33">
        <v>7.6923076923076927E-2</v>
      </c>
      <c r="F16" s="33">
        <v>0.53846153846153844</v>
      </c>
      <c r="G16" s="33">
        <v>0.22857142857142856</v>
      </c>
      <c r="H16" s="33">
        <v>0.21904761904761905</v>
      </c>
      <c r="I16" s="34">
        <v>8354.1666666666661</v>
      </c>
      <c r="J16" s="34">
        <v>-9747.826086956522</v>
      </c>
      <c r="K16" s="33">
        <v>0.15384615384615385</v>
      </c>
      <c r="L16" s="33">
        <v>0.24761904761904763</v>
      </c>
      <c r="M16" s="33">
        <v>0.22857142857142856</v>
      </c>
      <c r="N16" s="33">
        <v>0.57692307692307687</v>
      </c>
      <c r="O16" s="33">
        <v>0.33333333333333331</v>
      </c>
      <c r="P16" s="33">
        <v>0.5</v>
      </c>
    </row>
    <row r="17" spans="1:16" x14ac:dyDescent="0.45">
      <c r="A17" s="35">
        <v>14</v>
      </c>
      <c r="B17" s="32">
        <v>-266.90000000000003</v>
      </c>
      <c r="C17" s="32">
        <v>-19.064285714285717</v>
      </c>
      <c r="D17" s="37">
        <v>2.5</v>
      </c>
      <c r="E17" s="33">
        <v>7.1428571428571425E-2</v>
      </c>
      <c r="F17" s="33">
        <v>0.5714285714285714</v>
      </c>
      <c r="G17" s="33">
        <v>0.22413793103448276</v>
      </c>
      <c r="H17" s="33">
        <v>0.21551724137931033</v>
      </c>
      <c r="I17" s="34">
        <v>8296.1538461538457</v>
      </c>
      <c r="J17" s="34">
        <v>-9804</v>
      </c>
      <c r="K17" s="33">
        <v>0.21428571428571427</v>
      </c>
      <c r="L17" s="33">
        <v>0.26724137931034481</v>
      </c>
      <c r="M17" s="33">
        <v>0.21551724137931033</v>
      </c>
      <c r="N17" s="33">
        <v>0.5161290322580645</v>
      </c>
      <c r="O17" s="33">
        <v>0.36</v>
      </c>
      <c r="P17" s="33">
        <v>0.5</v>
      </c>
    </row>
    <row r="18" spans="1:16" x14ac:dyDescent="0.45">
      <c r="A18" s="35">
        <v>15</v>
      </c>
      <c r="B18" s="32">
        <v>-272.50000000000006</v>
      </c>
      <c r="C18" s="32">
        <v>-18.166666666666671</v>
      </c>
      <c r="D18" s="37">
        <v>2.4666666666666668</v>
      </c>
      <c r="E18" s="33">
        <v>6.6666666666666666E-2</v>
      </c>
      <c r="F18" s="33">
        <v>0.53333333333333333</v>
      </c>
      <c r="G18" s="33">
        <v>0.22131147540983606</v>
      </c>
      <c r="H18" s="33">
        <v>0.20491803278688525</v>
      </c>
      <c r="I18" s="34">
        <v>8133.333333333333</v>
      </c>
      <c r="J18" s="34">
        <v>-9804</v>
      </c>
      <c r="K18" s="33">
        <v>0.2</v>
      </c>
      <c r="L18" s="33">
        <v>0.25409836065573771</v>
      </c>
      <c r="M18" s="33">
        <v>0.22950819672131148</v>
      </c>
      <c r="N18" s="33">
        <v>0.5161290322580645</v>
      </c>
      <c r="O18" s="33">
        <v>0.35714285714285715</v>
      </c>
      <c r="P18" s="33">
        <v>0.48148148148148145</v>
      </c>
    </row>
    <row r="19" spans="1:16" x14ac:dyDescent="0.45">
      <c r="A19" s="35">
        <v>16</v>
      </c>
      <c r="B19" s="32">
        <v>-320.30000000000007</v>
      </c>
      <c r="C19" s="32">
        <v>-20.018750000000004</v>
      </c>
      <c r="D19" s="37">
        <v>2.5</v>
      </c>
      <c r="E19" s="33">
        <v>6.25E-2</v>
      </c>
      <c r="F19" s="33">
        <v>0.5625</v>
      </c>
      <c r="G19" s="33">
        <v>0.21875</v>
      </c>
      <c r="H19" s="33">
        <v>0.21875</v>
      </c>
      <c r="I19" s="34">
        <v>7917.8571428571431</v>
      </c>
      <c r="J19" s="34">
        <v>-9821.4285714285706</v>
      </c>
      <c r="K19" s="33">
        <v>0.25</v>
      </c>
      <c r="L19" s="33">
        <v>0.2421875</v>
      </c>
      <c r="M19" s="33">
        <v>0.234375</v>
      </c>
      <c r="N19" s="33">
        <v>0.5161290322580645</v>
      </c>
      <c r="O19" s="33">
        <v>0.33333333333333331</v>
      </c>
      <c r="P19" s="33">
        <v>0.5</v>
      </c>
    </row>
    <row r="20" spans="1:16" x14ac:dyDescent="0.45">
      <c r="A20" s="35">
        <v>17</v>
      </c>
      <c r="B20" s="32">
        <v>-352.60000000000008</v>
      </c>
      <c r="C20" s="32">
        <v>-20.74117647058824</v>
      </c>
      <c r="D20" s="37">
        <v>2.5294117647058822</v>
      </c>
      <c r="E20" s="33">
        <v>5.8823529411764705E-2</v>
      </c>
      <c r="F20" s="33">
        <v>0.58823529411764708</v>
      </c>
      <c r="G20" s="33">
        <v>0.22058823529411764</v>
      </c>
      <c r="H20" s="33">
        <v>0.22794117647058823</v>
      </c>
      <c r="I20" s="34">
        <v>7876.666666666667</v>
      </c>
      <c r="J20" s="34">
        <v>-9593.5483870967746</v>
      </c>
      <c r="K20" s="33">
        <v>0.23529411764705882</v>
      </c>
      <c r="L20" s="33">
        <v>0.23529411764705882</v>
      </c>
      <c r="M20" s="33">
        <v>0.22794117647058823</v>
      </c>
      <c r="N20" s="33">
        <v>0.53125</v>
      </c>
      <c r="O20" s="33">
        <v>0.32258064516129031</v>
      </c>
      <c r="P20" s="33">
        <v>0.46666666666666667</v>
      </c>
    </row>
    <row r="21" spans="1:16" x14ac:dyDescent="0.45">
      <c r="A21" s="35">
        <v>18</v>
      </c>
      <c r="B21" s="32">
        <v>-355.50000000000006</v>
      </c>
      <c r="C21" s="32">
        <v>-19.750000000000004</v>
      </c>
      <c r="D21" s="37">
        <v>2.5</v>
      </c>
      <c r="E21" s="33">
        <v>5.5555555555555552E-2</v>
      </c>
      <c r="F21" s="33">
        <v>0.55555555555555558</v>
      </c>
      <c r="G21" s="33">
        <v>0.22377622377622378</v>
      </c>
      <c r="H21" s="33">
        <v>0.21678321678321677</v>
      </c>
      <c r="I21" s="34">
        <v>7496.875</v>
      </c>
      <c r="J21" s="34">
        <v>-9593.5483870967746</v>
      </c>
      <c r="K21" s="33">
        <v>0.22222222222222221</v>
      </c>
      <c r="L21" s="33">
        <v>0.23076923076923078</v>
      </c>
      <c r="M21" s="33">
        <v>0.23076923076923078</v>
      </c>
      <c r="N21" s="33">
        <v>0.51515151515151514</v>
      </c>
      <c r="O21" s="33">
        <v>0.33333333333333331</v>
      </c>
      <c r="P21" s="33">
        <v>0.4375</v>
      </c>
    </row>
    <row r="22" spans="1:16" x14ac:dyDescent="0.45">
      <c r="A22" s="35">
        <v>19</v>
      </c>
      <c r="B22" s="32">
        <v>-400.60000000000008</v>
      </c>
      <c r="C22" s="32">
        <v>-21.084210526315793</v>
      </c>
      <c r="D22" s="37">
        <v>2.5263157894736841</v>
      </c>
      <c r="E22" s="33">
        <v>5.2631578947368418E-2</v>
      </c>
      <c r="F22" s="33">
        <v>0.57894736842105265</v>
      </c>
      <c r="G22" s="33">
        <v>0.2119205298013245</v>
      </c>
      <c r="H22" s="33">
        <v>0.2251655629139073</v>
      </c>
      <c r="I22" s="34">
        <v>7496.875</v>
      </c>
      <c r="J22" s="34">
        <v>-9173.5294117647063</v>
      </c>
      <c r="K22" s="33">
        <v>0.26315789473684209</v>
      </c>
      <c r="L22" s="33">
        <v>0.2185430463576159</v>
      </c>
      <c r="M22" s="33">
        <v>0.2185430463576159</v>
      </c>
      <c r="N22" s="33">
        <v>0.51515151515151514</v>
      </c>
      <c r="O22" s="33">
        <v>0.33333333333333331</v>
      </c>
      <c r="P22" s="33">
        <v>0.4375</v>
      </c>
    </row>
    <row r="23" spans="1:16" x14ac:dyDescent="0.45">
      <c r="A23" s="35">
        <v>20</v>
      </c>
      <c r="B23" s="32">
        <v>-428.10000000000008</v>
      </c>
      <c r="C23" s="32">
        <v>-21.405000000000005</v>
      </c>
      <c r="D23" s="37">
        <v>2.5499999999999998</v>
      </c>
      <c r="E23" s="33">
        <v>0.05</v>
      </c>
      <c r="F23" s="33">
        <v>0.6</v>
      </c>
      <c r="G23" s="33">
        <v>0.20382165605095542</v>
      </c>
      <c r="H23" s="33">
        <v>0.21656050955414013</v>
      </c>
      <c r="I23" s="34">
        <v>7496.875</v>
      </c>
      <c r="J23" s="34">
        <v>-9173.5294117647063</v>
      </c>
      <c r="K23" s="33">
        <v>0.25</v>
      </c>
      <c r="L23" s="33">
        <v>0.21019108280254778</v>
      </c>
      <c r="M23" s="33">
        <v>0.21019108280254778</v>
      </c>
      <c r="N23" s="33">
        <v>0.51515151515151514</v>
      </c>
      <c r="O23" s="33">
        <v>0.33333333333333331</v>
      </c>
      <c r="P23" s="33">
        <v>0.4375</v>
      </c>
    </row>
    <row r="24" spans="1:16" x14ac:dyDescent="0.45">
      <c r="A24" s="35">
        <v>21</v>
      </c>
      <c r="B24" s="32">
        <v>-423.7000000000001</v>
      </c>
      <c r="C24" s="32">
        <v>-20.176190476190481</v>
      </c>
      <c r="D24" s="37">
        <v>2.5238095238095237</v>
      </c>
      <c r="E24" s="33">
        <v>4.7619047619047616E-2</v>
      </c>
      <c r="F24" s="33">
        <v>0.5714285714285714</v>
      </c>
      <c r="G24" s="33">
        <v>0.20833333333333334</v>
      </c>
      <c r="H24" s="33">
        <v>0.20833333333333334</v>
      </c>
      <c r="I24" s="34">
        <v>7562.8571428571431</v>
      </c>
      <c r="J24" s="34">
        <v>-8968.5714285714294</v>
      </c>
      <c r="K24" s="33">
        <v>0.23809523809523808</v>
      </c>
      <c r="L24" s="33">
        <v>0.20238095238095238</v>
      </c>
      <c r="M24" s="33">
        <v>0.20833333333333334</v>
      </c>
      <c r="N24" s="33">
        <v>0.52941176470588236</v>
      </c>
      <c r="O24" s="33">
        <v>0.34285714285714286</v>
      </c>
      <c r="P24" s="33">
        <v>0.48571428571428571</v>
      </c>
    </row>
    <row r="25" spans="1:16" x14ac:dyDescent="0.45">
      <c r="A25" s="35">
        <v>22</v>
      </c>
      <c r="B25" s="32">
        <v>-465.00000000000011</v>
      </c>
      <c r="C25" s="32">
        <v>-21.13636363636364</v>
      </c>
      <c r="D25" s="37">
        <v>2.5454545454545454</v>
      </c>
      <c r="E25" s="33">
        <v>4.5454545454545456E-2</v>
      </c>
      <c r="F25" s="33">
        <v>0.59090909090909094</v>
      </c>
      <c r="G25" s="33">
        <v>0.20571428571428571</v>
      </c>
      <c r="H25" s="33">
        <v>0.20571428571428571</v>
      </c>
      <c r="I25" s="34">
        <v>7411.1111111111113</v>
      </c>
      <c r="J25" s="34">
        <v>-9052.7777777777774</v>
      </c>
      <c r="K25" s="33">
        <v>0.22727272727272727</v>
      </c>
      <c r="L25" s="33">
        <v>0.2</v>
      </c>
      <c r="M25" s="33">
        <v>0.20571428571428571</v>
      </c>
      <c r="N25" s="33">
        <v>0.51428571428571423</v>
      </c>
      <c r="O25" s="33">
        <v>0.3611111111111111</v>
      </c>
      <c r="P25" s="33">
        <v>0.5</v>
      </c>
    </row>
    <row r="26" spans="1:16" x14ac:dyDescent="0.45">
      <c r="A26" s="35">
        <v>23</v>
      </c>
      <c r="B26" s="32">
        <v>-450.10000000000014</v>
      </c>
      <c r="C26" s="32">
        <v>-19.569565217391311</v>
      </c>
      <c r="D26" s="37">
        <v>2.5217391304347827</v>
      </c>
      <c r="E26" s="33">
        <v>4.3478260869565216E-2</v>
      </c>
      <c r="F26" s="33">
        <v>0.56521739130434778</v>
      </c>
      <c r="G26" s="33">
        <v>0.21311475409836064</v>
      </c>
      <c r="H26" s="33">
        <v>0.20765027322404372</v>
      </c>
      <c r="I26" s="34">
        <v>7551.2820512820517</v>
      </c>
      <c r="J26" s="34">
        <v>-8781.5789473684217</v>
      </c>
      <c r="K26" s="33">
        <v>0.21739130434782608</v>
      </c>
      <c r="L26" s="33">
        <v>0.20218579234972678</v>
      </c>
      <c r="M26" s="33">
        <v>0.20765027322404372</v>
      </c>
      <c r="N26" s="33">
        <v>0.51351351351351349</v>
      </c>
      <c r="O26" s="33">
        <v>0.34210526315789475</v>
      </c>
      <c r="P26" s="33">
        <v>0.46153846153846156</v>
      </c>
    </row>
    <row r="27" spans="1:16" x14ac:dyDescent="0.45">
      <c r="A27" s="35">
        <v>24</v>
      </c>
      <c r="B27" s="32">
        <v>-474.10000000000014</v>
      </c>
      <c r="C27" s="32">
        <v>-19.754166666666674</v>
      </c>
      <c r="D27" s="37">
        <v>2.5416666666666665</v>
      </c>
      <c r="E27" s="33">
        <v>4.1666666666666664E-2</v>
      </c>
      <c r="F27" s="33">
        <v>0.58333333333333337</v>
      </c>
      <c r="G27" s="33">
        <v>0.21052631578947367</v>
      </c>
      <c r="H27" s="33">
        <v>0.2</v>
      </c>
      <c r="I27" s="34">
        <v>7562.5</v>
      </c>
      <c r="J27" s="34">
        <v>-8781.5789473684217</v>
      </c>
      <c r="K27" s="33">
        <v>0.20833333333333334</v>
      </c>
      <c r="L27" s="33">
        <v>0.19473684210526315</v>
      </c>
      <c r="M27" s="33">
        <v>0.2</v>
      </c>
      <c r="N27" s="33">
        <v>0.51351351351351349</v>
      </c>
      <c r="O27" s="33">
        <v>0.34210526315789475</v>
      </c>
      <c r="P27" s="33">
        <v>0.45</v>
      </c>
    </row>
    <row r="28" spans="1:16" x14ac:dyDescent="0.45">
      <c r="A28" s="35">
        <v>25</v>
      </c>
      <c r="B28" s="32">
        <v>-488.30000000000013</v>
      </c>
      <c r="C28" s="32">
        <v>-19.532000000000004</v>
      </c>
      <c r="D28" s="37">
        <v>2.56</v>
      </c>
      <c r="E28" s="33">
        <v>0.04</v>
      </c>
      <c r="F28" s="33">
        <v>0.6</v>
      </c>
      <c r="G28" s="33">
        <v>0.21717171717171718</v>
      </c>
      <c r="H28" s="33">
        <v>0.19696969696969696</v>
      </c>
      <c r="I28" s="34">
        <v>7330.2325581395353</v>
      </c>
      <c r="J28" s="34">
        <v>-8656.4102564102559</v>
      </c>
      <c r="K28" s="33">
        <v>0.2</v>
      </c>
      <c r="L28" s="33">
        <v>0.19696969696969696</v>
      </c>
      <c r="M28" s="33">
        <v>0.20202020202020202</v>
      </c>
      <c r="N28" s="33">
        <v>0.53846153846153844</v>
      </c>
      <c r="O28" s="33">
        <v>0.35</v>
      </c>
      <c r="P28" s="33">
        <v>0.44186046511627908</v>
      </c>
    </row>
    <row r="29" spans="1:16" x14ac:dyDescent="0.45">
      <c r="A29" s="35">
        <v>26</v>
      </c>
      <c r="B29" s="32">
        <v>-439.2000000000001</v>
      </c>
      <c r="C29" s="32">
        <v>-16.892307692307696</v>
      </c>
      <c r="D29" s="37">
        <v>2.5</v>
      </c>
      <c r="E29" s="33">
        <v>7.6923076923076927E-2</v>
      </c>
      <c r="F29" s="33">
        <v>0.57692307692307687</v>
      </c>
      <c r="G29" s="33">
        <v>0.23076923076923078</v>
      </c>
      <c r="H29" s="33">
        <v>0.1875</v>
      </c>
      <c r="I29" s="34">
        <v>7606.25</v>
      </c>
      <c r="J29" s="34">
        <v>-8656.4102564102559</v>
      </c>
      <c r="K29" s="33">
        <v>0.19230769230769232</v>
      </c>
      <c r="L29" s="33">
        <v>0.20192307692307693</v>
      </c>
      <c r="M29" s="33">
        <v>0.20192307692307693</v>
      </c>
      <c r="N29" s="33">
        <v>0.5714285714285714</v>
      </c>
      <c r="O29" s="33">
        <v>0.35714285714285715</v>
      </c>
      <c r="P29" s="33">
        <v>0.47916666666666669</v>
      </c>
    </row>
    <row r="30" spans="1:16" x14ac:dyDescent="0.45">
      <c r="A30" s="35">
        <v>27</v>
      </c>
      <c r="B30" s="32">
        <v>-418.80000000000013</v>
      </c>
      <c r="C30" s="32">
        <v>-15.511111111111116</v>
      </c>
      <c r="D30" s="37">
        <v>2.4444444444444446</v>
      </c>
      <c r="E30" s="33">
        <v>0.1111111111111111</v>
      </c>
      <c r="F30" s="33">
        <v>0.55555555555555558</v>
      </c>
      <c r="G30" s="33">
        <v>0.23255813953488372</v>
      </c>
      <c r="H30" s="33">
        <v>0.19069767441860466</v>
      </c>
      <c r="I30" s="34">
        <v>8022</v>
      </c>
      <c r="J30" s="34">
        <v>-8590.2439024390242</v>
      </c>
      <c r="K30" s="33">
        <v>0.18518518518518517</v>
      </c>
      <c r="L30" s="33">
        <v>0.2</v>
      </c>
      <c r="M30" s="33">
        <v>0.20465116279069767</v>
      </c>
      <c r="N30" s="33">
        <v>0.58139534883720934</v>
      </c>
      <c r="O30" s="33">
        <v>0.36363636363636365</v>
      </c>
      <c r="P30" s="33">
        <v>0.5</v>
      </c>
    </row>
    <row r="31" spans="1:16" x14ac:dyDescent="0.45">
      <c r="A31" s="35">
        <v>28</v>
      </c>
      <c r="B31" s="32">
        <v>-447.30000000000013</v>
      </c>
      <c r="C31" s="32">
        <v>-15.975000000000005</v>
      </c>
      <c r="D31" s="37">
        <v>2.4642857142857144</v>
      </c>
      <c r="E31" s="33">
        <v>0.10714285714285714</v>
      </c>
      <c r="F31" s="33">
        <v>0.5714285714285714</v>
      </c>
      <c r="G31" s="33">
        <v>0.22869955156950672</v>
      </c>
      <c r="H31" s="33">
        <v>0.19282511210762332</v>
      </c>
      <c r="I31" s="34">
        <v>8100</v>
      </c>
      <c r="J31" s="34">
        <v>-8318.6046511627901</v>
      </c>
      <c r="K31" s="33">
        <v>0.17857142857142858</v>
      </c>
      <c r="L31" s="33">
        <v>0.19730941704035873</v>
      </c>
      <c r="M31" s="33">
        <v>0.21076233183856502</v>
      </c>
      <c r="N31" s="33">
        <v>0.56818181818181823</v>
      </c>
      <c r="O31" s="33">
        <v>0.36170212765957449</v>
      </c>
      <c r="P31" s="33">
        <v>0.50980392156862742</v>
      </c>
    </row>
    <row r="32" spans="1:16" x14ac:dyDescent="0.45">
      <c r="A32" s="35">
        <v>29</v>
      </c>
      <c r="B32" s="32">
        <v>-442.60000000000014</v>
      </c>
      <c r="C32" s="32">
        <v>-15.262068965517246</v>
      </c>
      <c r="D32" s="37">
        <v>2.4482758620689653</v>
      </c>
      <c r="E32" s="33">
        <v>0.10344827586206896</v>
      </c>
      <c r="F32" s="33">
        <v>0.55172413793103448</v>
      </c>
      <c r="G32" s="33">
        <v>0.23175965665236051</v>
      </c>
      <c r="H32" s="33">
        <v>0.18884120171673821</v>
      </c>
      <c r="I32" s="34">
        <v>8074.0740740740739</v>
      </c>
      <c r="J32" s="34">
        <v>-8247.7272727272721</v>
      </c>
      <c r="K32" s="33">
        <v>0.17241379310344829</v>
      </c>
      <c r="L32" s="33">
        <v>0.20171673819742489</v>
      </c>
      <c r="M32" s="33">
        <v>0.21030042918454936</v>
      </c>
      <c r="N32" s="33">
        <v>0.55319148936170215</v>
      </c>
      <c r="O32" s="33">
        <v>0.38775510204081631</v>
      </c>
      <c r="P32" s="33">
        <v>0.48148148148148145</v>
      </c>
    </row>
    <row r="33" spans="1:16" x14ac:dyDescent="0.45">
      <c r="A33" s="35">
        <v>30</v>
      </c>
      <c r="B33" s="32">
        <v>-472.50000000000011</v>
      </c>
      <c r="C33" s="32">
        <v>-15.750000000000004</v>
      </c>
      <c r="D33" s="37">
        <v>2.4666666666666668</v>
      </c>
      <c r="E33" s="33">
        <v>0.1</v>
      </c>
      <c r="F33" s="33">
        <v>0.56666666666666665</v>
      </c>
      <c r="G33" s="33">
        <v>0.23456790123456789</v>
      </c>
      <c r="H33" s="33">
        <v>0.18930041152263374</v>
      </c>
      <c r="I33" s="34">
        <v>7949.1228070175439</v>
      </c>
      <c r="J33" s="34">
        <v>-8206.5217391304341</v>
      </c>
      <c r="K33" s="33">
        <v>0.16666666666666666</v>
      </c>
      <c r="L33" s="33">
        <v>0.19753086419753085</v>
      </c>
      <c r="M33" s="33">
        <v>0.21810699588477367</v>
      </c>
      <c r="N33" s="33">
        <v>0.54166666666666663</v>
      </c>
      <c r="O33" s="33">
        <v>0.41509433962264153</v>
      </c>
      <c r="P33" s="33">
        <v>0.49122807017543857</v>
      </c>
    </row>
    <row r="34" spans="1:16" x14ac:dyDescent="0.45">
      <c r="A34" s="35">
        <v>31</v>
      </c>
      <c r="B34" s="32">
        <v>-473.10000000000014</v>
      </c>
      <c r="C34" s="32">
        <v>-15.261290322580649</v>
      </c>
      <c r="D34" s="37">
        <v>2.4516129032258065</v>
      </c>
      <c r="E34" s="33">
        <v>9.6774193548387094E-2</v>
      </c>
      <c r="F34" s="33">
        <v>0.54838709677419351</v>
      </c>
      <c r="G34" s="33">
        <v>0.23200000000000001</v>
      </c>
      <c r="H34" s="33">
        <v>0.188</v>
      </c>
      <c r="I34" s="34">
        <v>7901.7241379310344</v>
      </c>
      <c r="J34" s="34">
        <v>-8059.5744680851067</v>
      </c>
      <c r="K34" s="33">
        <v>0.16129032258064516</v>
      </c>
      <c r="L34" s="33">
        <v>0.192</v>
      </c>
      <c r="M34" s="33">
        <v>0.22</v>
      </c>
      <c r="N34" s="33">
        <v>0.54166666666666663</v>
      </c>
      <c r="O34" s="33">
        <v>0.4</v>
      </c>
      <c r="P34" s="33">
        <v>0.48275862068965519</v>
      </c>
    </row>
    <row r="35" spans="1:16" x14ac:dyDescent="0.45">
      <c r="A35" s="35">
        <v>32</v>
      </c>
      <c r="B35" s="32">
        <v>-525.40000000000009</v>
      </c>
      <c r="C35" s="32">
        <v>-16.418750000000003</v>
      </c>
      <c r="D35" s="37">
        <v>2.46875</v>
      </c>
      <c r="E35" s="33">
        <v>9.375E-2</v>
      </c>
      <c r="F35" s="33">
        <v>0.5625</v>
      </c>
      <c r="G35" s="33">
        <v>0.2339622641509434</v>
      </c>
      <c r="H35" s="33">
        <v>0.19245283018867926</v>
      </c>
      <c r="I35" s="34">
        <v>7783.8709677419356</v>
      </c>
      <c r="J35" s="34">
        <v>-8121.5686274509808</v>
      </c>
      <c r="K35" s="33">
        <v>0.1875</v>
      </c>
      <c r="L35" s="33">
        <v>0.2</v>
      </c>
      <c r="M35" s="33">
        <v>0.22264150943396227</v>
      </c>
      <c r="N35" s="33">
        <v>0.54716981132075471</v>
      </c>
      <c r="O35" s="33">
        <v>0.3728813559322034</v>
      </c>
      <c r="P35" s="33">
        <v>0.46774193548387094</v>
      </c>
    </row>
    <row r="36" spans="1:16" x14ac:dyDescent="0.45">
      <c r="A36" s="35">
        <v>33</v>
      </c>
      <c r="B36" s="32">
        <v>-548.20000000000005</v>
      </c>
      <c r="C36" s="32">
        <v>-16.612121212121213</v>
      </c>
      <c r="D36" s="37">
        <v>2.4545454545454546</v>
      </c>
      <c r="E36" s="33">
        <v>9.0909090909090912E-2</v>
      </c>
      <c r="F36" s="33">
        <v>0.54545454545454541</v>
      </c>
      <c r="G36" s="33">
        <v>0.23247232472324722</v>
      </c>
      <c r="H36" s="33">
        <v>0.1918819188191882</v>
      </c>
      <c r="I36" s="34">
        <v>7787.3015873015875</v>
      </c>
      <c r="J36" s="34">
        <v>-7984.6153846153848</v>
      </c>
      <c r="K36" s="33">
        <v>0.18181818181818182</v>
      </c>
      <c r="L36" s="33">
        <v>0.19557195571955718</v>
      </c>
      <c r="M36" s="33">
        <v>0.22140221402214022</v>
      </c>
      <c r="N36" s="33">
        <v>0.54716981132075471</v>
      </c>
      <c r="O36" s="33">
        <v>0.36666666666666664</v>
      </c>
      <c r="P36" s="33">
        <v>0.46031746031746029</v>
      </c>
    </row>
    <row r="37" spans="1:16" x14ac:dyDescent="0.45">
      <c r="A37" s="35">
        <v>34</v>
      </c>
      <c r="B37" s="32">
        <v>-531.90000000000009</v>
      </c>
      <c r="C37" s="32">
        <v>-15.644117647058826</v>
      </c>
      <c r="D37" s="37">
        <v>2.4117647058823528</v>
      </c>
      <c r="E37" s="33">
        <v>0.11764705882352941</v>
      </c>
      <c r="F37" s="33">
        <v>0.52941176470588236</v>
      </c>
      <c r="G37" s="33">
        <v>0.23297491039426524</v>
      </c>
      <c r="H37" s="33">
        <v>0.19354838709677419</v>
      </c>
      <c r="I37" s="34">
        <v>7912.3076923076924</v>
      </c>
      <c r="J37" s="34">
        <v>-7881.4814814814818</v>
      </c>
      <c r="K37" s="33">
        <v>0.17647058823529413</v>
      </c>
      <c r="L37" s="33">
        <v>0.19354838709677419</v>
      </c>
      <c r="M37" s="33">
        <v>0.22222222222222221</v>
      </c>
      <c r="N37" s="33">
        <v>0.55555555555555558</v>
      </c>
      <c r="O37" s="33">
        <v>0.37096774193548387</v>
      </c>
      <c r="P37" s="33">
        <v>0.47692307692307695</v>
      </c>
    </row>
    <row r="38" spans="1:16" x14ac:dyDescent="0.45">
      <c r="A38" s="35">
        <v>35</v>
      </c>
      <c r="B38" s="32">
        <v>-482.7000000000001</v>
      </c>
      <c r="C38" s="32">
        <v>-13.791428571428574</v>
      </c>
      <c r="D38" s="37">
        <v>2.3714285714285714</v>
      </c>
      <c r="E38" s="33">
        <v>0.14285714285714285</v>
      </c>
      <c r="F38" s="33">
        <v>0.51428571428571423</v>
      </c>
      <c r="G38" s="33">
        <v>0.24742268041237114</v>
      </c>
      <c r="H38" s="33">
        <v>0.18900343642611683</v>
      </c>
      <c r="I38" s="34">
        <v>7902.7777777777774</v>
      </c>
      <c r="J38" s="34">
        <v>-7883.636363636364</v>
      </c>
      <c r="K38" s="33">
        <v>0.17142857142857143</v>
      </c>
      <c r="L38" s="33">
        <v>0.19243986254295534</v>
      </c>
      <c r="M38" s="33">
        <v>0.22680412371134021</v>
      </c>
      <c r="N38" s="33">
        <v>0.5714285714285714</v>
      </c>
      <c r="O38" s="33">
        <v>0.37878787878787878</v>
      </c>
      <c r="P38" s="33">
        <v>0.45833333333333331</v>
      </c>
    </row>
    <row r="39" spans="1:16" x14ac:dyDescent="0.45">
      <c r="A39" s="35">
        <v>36</v>
      </c>
      <c r="B39" s="32">
        <v>-498.00000000000011</v>
      </c>
      <c r="C39" s="32">
        <v>-13.833333333333336</v>
      </c>
      <c r="D39" s="37">
        <v>2.3888888888888888</v>
      </c>
      <c r="E39" s="33">
        <v>0.1388888888888889</v>
      </c>
      <c r="F39" s="33">
        <v>0.52777777777777779</v>
      </c>
      <c r="G39" s="33">
        <v>0.24834437086092714</v>
      </c>
      <c r="H39" s="33">
        <v>0.18874172185430463</v>
      </c>
      <c r="I39" s="34">
        <v>7877.333333333333</v>
      </c>
      <c r="J39" s="34">
        <v>-7919.2982456140353</v>
      </c>
      <c r="K39" s="33">
        <v>0.16666666666666666</v>
      </c>
      <c r="L39" s="33">
        <v>0.19205298013245034</v>
      </c>
      <c r="M39" s="33">
        <v>0.23178807947019867</v>
      </c>
      <c r="N39" s="33">
        <v>0.55172413793103448</v>
      </c>
      <c r="O39" s="33">
        <v>0.4</v>
      </c>
      <c r="P39" s="33">
        <v>0.48</v>
      </c>
    </row>
    <row r="40" spans="1:16" x14ac:dyDescent="0.45">
      <c r="A40" s="35">
        <v>37</v>
      </c>
      <c r="B40" s="32">
        <v>-547.00000000000011</v>
      </c>
      <c r="C40" s="32">
        <v>-14.783783783783786</v>
      </c>
      <c r="D40" s="37">
        <v>2.4054054054054053</v>
      </c>
      <c r="E40" s="33">
        <v>0.13513513513513514</v>
      </c>
      <c r="F40" s="33">
        <v>0.54054054054054057</v>
      </c>
      <c r="G40" s="33">
        <v>0.24675324675324675</v>
      </c>
      <c r="H40" s="33">
        <v>0.18831168831168832</v>
      </c>
      <c r="I40" s="34">
        <v>7810.5263157894733</v>
      </c>
      <c r="J40" s="34">
        <v>-7920.6896551724139</v>
      </c>
      <c r="K40" s="33">
        <v>0.1891891891891892</v>
      </c>
      <c r="L40" s="33">
        <v>0.19155844155844157</v>
      </c>
      <c r="M40" s="33">
        <v>0.22727272727272727</v>
      </c>
      <c r="N40" s="33">
        <v>0.5423728813559322</v>
      </c>
      <c r="O40" s="33">
        <v>0.4</v>
      </c>
      <c r="P40" s="33">
        <v>0.48684210526315791</v>
      </c>
    </row>
    <row r="41" spans="1:16" x14ac:dyDescent="0.45">
      <c r="A41" s="35">
        <v>38</v>
      </c>
      <c r="B41" s="32">
        <v>-570.10000000000014</v>
      </c>
      <c r="C41" s="32">
        <v>-15.002631578947373</v>
      </c>
      <c r="D41" s="37">
        <v>2.4210526315789473</v>
      </c>
      <c r="E41" s="33">
        <v>0.13157894736842105</v>
      </c>
      <c r="F41" s="33">
        <v>0.55263157894736847</v>
      </c>
      <c r="G41" s="33">
        <v>0.24367088607594936</v>
      </c>
      <c r="H41" s="33">
        <v>0.18354430379746836</v>
      </c>
      <c r="I41" s="34">
        <v>7759.7402597402597</v>
      </c>
      <c r="J41" s="34">
        <v>-7920.6896551724139</v>
      </c>
      <c r="K41" s="33">
        <v>0.18421052631578946</v>
      </c>
      <c r="L41" s="33">
        <v>0.189873417721519</v>
      </c>
      <c r="M41" s="33">
        <v>0.22468354430379747</v>
      </c>
      <c r="N41" s="33">
        <v>0.53333333333333333</v>
      </c>
      <c r="O41" s="33">
        <v>0.40845070422535212</v>
      </c>
      <c r="P41" s="33">
        <v>0.48051948051948051</v>
      </c>
    </row>
    <row r="42" spans="1:16" x14ac:dyDescent="0.45">
      <c r="A42" s="35">
        <v>39</v>
      </c>
      <c r="B42" s="32">
        <v>-524.90000000000009</v>
      </c>
      <c r="C42" s="32">
        <v>-13.458974358974361</v>
      </c>
      <c r="D42" s="37">
        <v>2.3846153846153846</v>
      </c>
      <c r="E42" s="33">
        <v>0.15384615384615385</v>
      </c>
      <c r="F42" s="33">
        <v>0.53846153846153844</v>
      </c>
      <c r="G42" s="33">
        <v>0.25</v>
      </c>
      <c r="H42" s="33">
        <v>0.17901234567901234</v>
      </c>
      <c r="I42" s="34">
        <v>7792.5925925925922</v>
      </c>
      <c r="J42" s="34">
        <v>-7920.6896551724139</v>
      </c>
      <c r="K42" s="33">
        <v>0.17948717948717949</v>
      </c>
      <c r="L42" s="33">
        <v>0.19135802469135801</v>
      </c>
      <c r="M42" s="33">
        <v>0.22839506172839505</v>
      </c>
      <c r="N42" s="33">
        <v>0.54838709677419351</v>
      </c>
      <c r="O42" s="33">
        <v>0.41891891891891891</v>
      </c>
      <c r="P42" s="33">
        <v>0.49382716049382713</v>
      </c>
    </row>
    <row r="43" spans="1:16" x14ac:dyDescent="0.45">
      <c r="A43" s="35">
        <v>40</v>
      </c>
      <c r="B43" s="32">
        <v>-573.70000000000005</v>
      </c>
      <c r="C43" s="32">
        <v>-14.342500000000001</v>
      </c>
      <c r="D43" s="37">
        <v>2.4</v>
      </c>
      <c r="E43" s="33">
        <v>0.15</v>
      </c>
      <c r="F43" s="33">
        <v>0.55000000000000004</v>
      </c>
      <c r="G43" s="33">
        <v>0.25076452599388377</v>
      </c>
      <c r="H43" s="33">
        <v>0.1834862385321101</v>
      </c>
      <c r="I43" s="34">
        <v>7760.9756097560976</v>
      </c>
      <c r="J43" s="34">
        <v>-8356.6666666666661</v>
      </c>
      <c r="K43" s="33">
        <v>0.2</v>
      </c>
      <c r="L43" s="33">
        <v>0.19877675840978593</v>
      </c>
      <c r="M43" s="33">
        <v>0.22629969418960244</v>
      </c>
      <c r="N43" s="33">
        <v>0.53846153846153844</v>
      </c>
      <c r="O43" s="33">
        <v>0.41891891891891891</v>
      </c>
      <c r="P43" s="33">
        <v>0.48780487804878048</v>
      </c>
    </row>
    <row r="44" spans="1:16" x14ac:dyDescent="0.45">
      <c r="A44" s="35">
        <v>41</v>
      </c>
      <c r="B44" s="32">
        <v>-624.80000000000007</v>
      </c>
      <c r="C44" s="32">
        <v>-15.239024390243904</v>
      </c>
      <c r="D44" s="37">
        <v>2.4146341463414633</v>
      </c>
      <c r="E44" s="33">
        <v>0.14634146341463414</v>
      </c>
      <c r="F44" s="33">
        <v>0.56097560975609762</v>
      </c>
      <c r="G44" s="33">
        <v>0.24850299401197604</v>
      </c>
      <c r="H44" s="33">
        <v>0.18862275449101795</v>
      </c>
      <c r="I44" s="34">
        <v>7730.1204819277109</v>
      </c>
      <c r="J44" s="34">
        <v>-8312.6984126984134</v>
      </c>
      <c r="K44" s="33">
        <v>0.21951219512195122</v>
      </c>
      <c r="L44" s="33">
        <v>0.20658682634730538</v>
      </c>
      <c r="M44" s="33">
        <v>0.22155688622754491</v>
      </c>
      <c r="N44" s="33">
        <v>0.52173913043478259</v>
      </c>
      <c r="O44" s="33">
        <v>0.41891891891891891</v>
      </c>
      <c r="P44" s="33">
        <v>0.48192771084337349</v>
      </c>
    </row>
    <row r="45" spans="1:16" x14ac:dyDescent="0.45">
      <c r="A45" s="35">
        <v>42</v>
      </c>
      <c r="B45" s="32">
        <v>-604.80000000000007</v>
      </c>
      <c r="C45" s="32">
        <v>-14.400000000000002</v>
      </c>
      <c r="D45" s="37">
        <v>2.3809523809523809</v>
      </c>
      <c r="E45" s="33">
        <v>0.16666666666666666</v>
      </c>
      <c r="F45" s="33">
        <v>0.54761904761904767</v>
      </c>
      <c r="G45" s="33">
        <v>0.24927536231884059</v>
      </c>
      <c r="H45" s="33">
        <v>0.1855072463768116</v>
      </c>
      <c r="I45" s="34">
        <v>7829.0697674418607</v>
      </c>
      <c r="J45" s="34">
        <v>-8243.75</v>
      </c>
      <c r="K45" s="33">
        <v>0.21428571428571427</v>
      </c>
      <c r="L45" s="33">
        <v>0.21159420289855072</v>
      </c>
      <c r="M45" s="33">
        <v>0.21739130434782608</v>
      </c>
      <c r="N45" s="33">
        <v>0.53424657534246578</v>
      </c>
      <c r="O45" s="33">
        <v>0.41333333333333333</v>
      </c>
      <c r="P45" s="33">
        <v>0.47674418604651164</v>
      </c>
    </row>
    <row r="46" spans="1:16" x14ac:dyDescent="0.45">
      <c r="A46" s="35">
        <v>43</v>
      </c>
      <c r="B46" s="32">
        <v>-623.30000000000007</v>
      </c>
      <c r="C46" s="32">
        <v>-14.495348837209304</v>
      </c>
      <c r="D46" s="37">
        <v>2.3720930232558142</v>
      </c>
      <c r="E46" s="33">
        <v>0.16279069767441862</v>
      </c>
      <c r="F46" s="33">
        <v>0.53488372093023251</v>
      </c>
      <c r="G46" s="33">
        <v>0.24858757062146894</v>
      </c>
      <c r="H46" s="33">
        <v>0.1864406779661017</v>
      </c>
      <c r="I46" s="34">
        <v>7706.818181818182</v>
      </c>
      <c r="J46" s="34">
        <v>-8234.8484848484841</v>
      </c>
      <c r="K46" s="33">
        <v>0.20930232558139536</v>
      </c>
      <c r="L46" s="33">
        <v>0.20903954802259886</v>
      </c>
      <c r="M46" s="33">
        <v>0.2175141242937853</v>
      </c>
      <c r="N46" s="33">
        <v>0.54054054054054057</v>
      </c>
      <c r="O46" s="33">
        <v>0.41558441558441561</v>
      </c>
      <c r="P46" s="33">
        <v>0.46590909090909088</v>
      </c>
    </row>
    <row r="47" spans="1:16" x14ac:dyDescent="0.45">
      <c r="A47" s="35">
        <v>44</v>
      </c>
      <c r="B47" s="32">
        <v>-588.1</v>
      </c>
      <c r="C47" s="32">
        <v>-13.365909090909092</v>
      </c>
      <c r="D47" s="37">
        <v>2.3409090909090908</v>
      </c>
      <c r="E47" s="33">
        <v>0.18181818181818182</v>
      </c>
      <c r="F47" s="33">
        <v>0.52272727272727271</v>
      </c>
      <c r="G47" s="33">
        <v>0.25138121546961328</v>
      </c>
      <c r="H47" s="33">
        <v>0.18508287292817679</v>
      </c>
      <c r="I47" s="34">
        <v>8059.3406593406589</v>
      </c>
      <c r="J47" s="34">
        <v>-8291.0447761194027</v>
      </c>
      <c r="K47" s="33">
        <v>0.20454545454545456</v>
      </c>
      <c r="L47" s="33">
        <v>0.20994475138121546</v>
      </c>
      <c r="M47" s="33">
        <v>0.21546961325966851</v>
      </c>
      <c r="N47" s="33">
        <v>0.53947368421052633</v>
      </c>
      <c r="O47" s="33">
        <v>0.42307692307692307</v>
      </c>
      <c r="P47" s="33">
        <v>0.45054945054945056</v>
      </c>
    </row>
    <row r="48" spans="1:16" x14ac:dyDescent="0.45">
      <c r="A48" s="35">
        <v>45</v>
      </c>
      <c r="B48" s="32">
        <v>-559.20000000000005</v>
      </c>
      <c r="C48" s="32">
        <v>-12.426666666666668</v>
      </c>
      <c r="D48" s="37">
        <v>2.3111111111111109</v>
      </c>
      <c r="E48" s="33">
        <v>0.2</v>
      </c>
      <c r="F48" s="33">
        <v>0.51111111111111107</v>
      </c>
      <c r="G48" s="33">
        <v>0.25474254742547425</v>
      </c>
      <c r="H48" s="33">
        <v>0.18428184281842819</v>
      </c>
      <c r="I48" s="34">
        <v>8054.255319148936</v>
      </c>
      <c r="J48" s="34">
        <v>-8198.5294117647063</v>
      </c>
      <c r="K48" s="33">
        <v>0.2</v>
      </c>
      <c r="L48" s="33">
        <v>0.20867208672086721</v>
      </c>
      <c r="M48" s="33">
        <v>0.21680216802168023</v>
      </c>
      <c r="N48" s="33">
        <v>0.54545454545454541</v>
      </c>
      <c r="O48" s="33">
        <v>0.4375</v>
      </c>
      <c r="P48" s="33">
        <v>0.44680851063829785</v>
      </c>
    </row>
    <row r="49" spans="1:16" x14ac:dyDescent="0.45">
      <c r="A49" s="35">
        <v>46</v>
      </c>
      <c r="B49" s="32">
        <v>-555.90000000000009</v>
      </c>
      <c r="C49" s="32">
        <v>-12.084782608695654</v>
      </c>
      <c r="D49" s="37">
        <v>2.3043478260869565</v>
      </c>
      <c r="E49" s="33">
        <v>0.19565217391304349</v>
      </c>
      <c r="F49" s="33">
        <v>0.5</v>
      </c>
      <c r="G49" s="33">
        <v>0.25661375661375663</v>
      </c>
      <c r="H49" s="33">
        <v>0.17989417989417988</v>
      </c>
      <c r="I49" s="34">
        <v>7917.5257731958764</v>
      </c>
      <c r="J49" s="34">
        <v>-8198.5294117647063</v>
      </c>
      <c r="K49" s="33">
        <v>0.19565217391304349</v>
      </c>
      <c r="L49" s="33">
        <v>0.20370370370370369</v>
      </c>
      <c r="M49" s="33">
        <v>0.21693121693121692</v>
      </c>
      <c r="N49" s="33">
        <v>0.54545454545454541</v>
      </c>
      <c r="O49" s="33">
        <v>0.43902439024390244</v>
      </c>
      <c r="P49" s="33">
        <v>0.45360824742268041</v>
      </c>
    </row>
    <row r="50" spans="1:16" x14ac:dyDescent="0.45">
      <c r="A50" s="35">
        <v>47</v>
      </c>
      <c r="B50" s="32">
        <v>-550.60000000000014</v>
      </c>
      <c r="C50" s="32">
        <v>-11.71489361702128</v>
      </c>
      <c r="D50" s="37">
        <v>2.2978723404255321</v>
      </c>
      <c r="E50" s="33">
        <v>0.19148936170212766</v>
      </c>
      <c r="F50" s="33">
        <v>0.48936170212765956</v>
      </c>
      <c r="G50" s="33">
        <v>0.25520833333333331</v>
      </c>
      <c r="H50" s="33">
        <v>0.1796875</v>
      </c>
      <c r="I50" s="34">
        <v>7959.1836734693879</v>
      </c>
      <c r="J50" s="34">
        <v>-8191.304347826087</v>
      </c>
      <c r="K50" s="33">
        <v>0.19148936170212766</v>
      </c>
      <c r="L50" s="33">
        <v>0.203125</v>
      </c>
      <c r="M50" s="33">
        <v>0.21875</v>
      </c>
      <c r="N50" s="33">
        <v>0.55128205128205132</v>
      </c>
      <c r="O50" s="33">
        <v>0.42857142857142855</v>
      </c>
      <c r="P50" s="33">
        <v>0.44897959183673469</v>
      </c>
    </row>
    <row r="51" spans="1:16" x14ac:dyDescent="0.45">
      <c r="A51" s="35">
        <v>48</v>
      </c>
      <c r="B51" s="32">
        <v>-545.00000000000011</v>
      </c>
      <c r="C51" s="32">
        <v>-11.35416666666667</v>
      </c>
      <c r="D51" s="37">
        <v>2.2916666666666665</v>
      </c>
      <c r="E51" s="33">
        <v>0.1875</v>
      </c>
      <c r="F51" s="33">
        <v>0.47916666666666669</v>
      </c>
      <c r="G51" s="33">
        <v>0.25384615384615383</v>
      </c>
      <c r="H51" s="33">
        <v>0.18205128205128204</v>
      </c>
      <c r="I51" s="34">
        <v>8000</v>
      </c>
      <c r="J51" s="34">
        <v>-8015.4929577464791</v>
      </c>
      <c r="K51" s="33">
        <v>0.1875</v>
      </c>
      <c r="L51" s="33">
        <v>0.2</v>
      </c>
      <c r="M51" s="33">
        <v>0.21794871794871795</v>
      </c>
      <c r="N51" s="33">
        <v>0.55128205128205132</v>
      </c>
      <c r="O51" s="33">
        <v>0.43529411764705883</v>
      </c>
      <c r="P51" s="33">
        <v>0.44444444444444442</v>
      </c>
    </row>
    <row r="52" spans="1:16" x14ac:dyDescent="0.45">
      <c r="A52" s="35">
        <v>49</v>
      </c>
      <c r="B52" s="32">
        <v>-581.30000000000007</v>
      </c>
      <c r="C52" s="32">
        <v>-11.86326530612245</v>
      </c>
      <c r="D52" s="37">
        <v>2.306122448979592</v>
      </c>
      <c r="E52" s="33">
        <v>0.18367346938775511</v>
      </c>
      <c r="F52" s="33">
        <v>0.48979591836734693</v>
      </c>
      <c r="G52" s="33">
        <v>0.24937027707808565</v>
      </c>
      <c r="H52" s="33">
        <v>0.18387909319899245</v>
      </c>
      <c r="I52" s="34">
        <v>8000</v>
      </c>
      <c r="J52" s="34">
        <v>-7902.7397260273974</v>
      </c>
      <c r="K52" s="33">
        <v>0.18367346938775511</v>
      </c>
      <c r="L52" s="33">
        <v>0.20151133501259447</v>
      </c>
      <c r="M52" s="33">
        <v>0.21662468513853905</v>
      </c>
      <c r="N52" s="33">
        <v>0.53749999999999998</v>
      </c>
      <c r="O52" s="33">
        <v>0.43023255813953487</v>
      </c>
      <c r="P52" s="33">
        <v>0.44444444444444442</v>
      </c>
    </row>
    <row r="53" spans="1:16" x14ac:dyDescent="0.45">
      <c r="A53" s="35">
        <v>50</v>
      </c>
      <c r="B53" s="32">
        <v>-579.30000000000007</v>
      </c>
      <c r="C53" s="32">
        <v>-11.586000000000002</v>
      </c>
      <c r="D53" s="37">
        <v>2.2999999999999998</v>
      </c>
      <c r="E53" s="33">
        <v>0.18</v>
      </c>
      <c r="F53" s="33">
        <v>0.48</v>
      </c>
      <c r="G53" s="33">
        <v>0.25062034739454092</v>
      </c>
      <c r="H53" s="33">
        <v>0.18610421836228289</v>
      </c>
      <c r="I53" s="34">
        <v>8039.6039603960398</v>
      </c>
      <c r="J53" s="34">
        <v>-7921.333333333333</v>
      </c>
      <c r="K53" s="33">
        <v>0.18</v>
      </c>
      <c r="L53" s="33">
        <v>0.20595533498759305</v>
      </c>
      <c r="M53" s="33">
        <v>0.21588089330024815</v>
      </c>
      <c r="N53" s="33">
        <v>0.54216867469879515</v>
      </c>
      <c r="O53" s="33">
        <v>0.42528735632183906</v>
      </c>
      <c r="P53" s="33">
        <v>0.44554455445544555</v>
      </c>
    </row>
    <row r="54" spans="1:16" x14ac:dyDescent="0.45">
      <c r="A54" s="35">
        <v>51</v>
      </c>
      <c r="B54" s="32">
        <v>-614.70000000000005</v>
      </c>
      <c r="C54" s="32">
        <v>-12.05294117647059</v>
      </c>
      <c r="D54" s="37">
        <v>2.3137254901960786</v>
      </c>
      <c r="E54" s="33">
        <v>0.17647058823529413</v>
      </c>
      <c r="F54" s="33">
        <v>0.49019607843137253</v>
      </c>
      <c r="G54" s="33">
        <v>0.25362318840579712</v>
      </c>
      <c r="H54" s="33">
        <v>0.1859903381642512</v>
      </c>
      <c r="I54" s="34">
        <v>7925.7142857142853</v>
      </c>
      <c r="J54" s="34">
        <v>-8100</v>
      </c>
      <c r="K54" s="33">
        <v>0.17647058823529413</v>
      </c>
      <c r="L54" s="33">
        <v>0.20048309178743962</v>
      </c>
      <c r="M54" s="33">
        <v>0.22946859903381642</v>
      </c>
      <c r="N54" s="33">
        <v>0.54216867469879515</v>
      </c>
      <c r="O54" s="33">
        <v>0.43157894736842106</v>
      </c>
      <c r="P54" s="33">
        <v>0.44761904761904764</v>
      </c>
    </row>
    <row r="55" spans="1:16" x14ac:dyDescent="0.45">
      <c r="A55" s="35">
        <v>52</v>
      </c>
      <c r="B55" s="32">
        <v>-603.1</v>
      </c>
      <c r="C55" s="32">
        <v>-11.598076923076924</v>
      </c>
      <c r="D55" s="37">
        <v>2.3076923076923075</v>
      </c>
      <c r="E55" s="33">
        <v>0.17307692307692307</v>
      </c>
      <c r="F55" s="33">
        <v>0.48076923076923078</v>
      </c>
      <c r="G55" s="33">
        <v>0.25476190476190474</v>
      </c>
      <c r="H55" s="33">
        <v>0.18571428571428572</v>
      </c>
      <c r="I55" s="34">
        <v>7961.6822429906542</v>
      </c>
      <c r="J55" s="34">
        <v>-8029.4871794871797</v>
      </c>
      <c r="K55" s="33">
        <v>0.17307692307692307</v>
      </c>
      <c r="L55" s="33">
        <v>0.20714285714285716</v>
      </c>
      <c r="M55" s="33">
        <v>0.22619047619047619</v>
      </c>
      <c r="N55" s="33">
        <v>0.54022988505747127</v>
      </c>
      <c r="O55" s="33">
        <v>0.43157894736842106</v>
      </c>
      <c r="P55" s="33">
        <v>0.44859813084112149</v>
      </c>
    </row>
    <row r="56" spans="1:16" x14ac:dyDescent="0.45">
      <c r="A56" s="35">
        <v>53</v>
      </c>
      <c r="B56" s="32">
        <v>-652.6</v>
      </c>
      <c r="C56" s="32">
        <v>-12.313207547169812</v>
      </c>
      <c r="D56" s="37">
        <v>2.3207547169811322</v>
      </c>
      <c r="E56" s="33">
        <v>0.16981132075471697</v>
      </c>
      <c r="F56" s="33">
        <v>0.49056603773584906</v>
      </c>
      <c r="G56" s="33">
        <v>0.25348837209302327</v>
      </c>
      <c r="H56" s="33">
        <v>0.1883720930232558</v>
      </c>
      <c r="I56" s="34">
        <v>7900</v>
      </c>
      <c r="J56" s="34">
        <v>-8064.1975308641977</v>
      </c>
      <c r="K56" s="33">
        <v>0.18867924528301888</v>
      </c>
      <c r="L56" s="33">
        <v>0.21395348837209302</v>
      </c>
      <c r="M56" s="33">
        <v>0.2255813953488372</v>
      </c>
      <c r="N56" s="33">
        <v>0.53260869565217395</v>
      </c>
      <c r="O56" s="33">
        <v>0.42268041237113402</v>
      </c>
      <c r="P56" s="33">
        <v>0.44954128440366975</v>
      </c>
    </row>
    <row r="57" spans="1:16" x14ac:dyDescent="0.45">
      <c r="A57" s="35">
        <v>54</v>
      </c>
      <c r="B57" s="32">
        <v>-626.4</v>
      </c>
      <c r="C57" s="32">
        <v>-11.6</v>
      </c>
      <c r="D57" s="37">
        <v>2.2962962962962963</v>
      </c>
      <c r="E57" s="33">
        <v>0.18518518518518517</v>
      </c>
      <c r="F57" s="33">
        <v>0.48148148148148145</v>
      </c>
      <c r="G57" s="33">
        <v>0.25733634311512416</v>
      </c>
      <c r="H57" s="33">
        <v>0.18510158013544017</v>
      </c>
      <c r="I57" s="34">
        <v>7932.4561403508769</v>
      </c>
      <c r="J57" s="34">
        <v>-8185.3658536585363</v>
      </c>
      <c r="K57" s="33">
        <v>0.18518518518518517</v>
      </c>
      <c r="L57" s="33">
        <v>0.21670428893905191</v>
      </c>
      <c r="M57" s="33">
        <v>0.22573363431151242</v>
      </c>
      <c r="N57" s="33">
        <v>0.54166666666666663</v>
      </c>
      <c r="O57" s="33">
        <v>0.43</v>
      </c>
      <c r="P57" s="33">
        <v>0.45614035087719296</v>
      </c>
    </row>
    <row r="58" spans="1:16" x14ac:dyDescent="0.45">
      <c r="A58" s="35">
        <v>55</v>
      </c>
      <c r="B58" s="32">
        <v>-626.4</v>
      </c>
      <c r="C58" s="32">
        <v>-11.389090909090909</v>
      </c>
      <c r="D58" s="37">
        <v>2.290909090909091</v>
      </c>
      <c r="E58" s="33">
        <v>0.18181818181818182</v>
      </c>
      <c r="F58" s="33">
        <v>0.47272727272727272</v>
      </c>
      <c r="G58" s="33">
        <v>0.25827814569536423</v>
      </c>
      <c r="H58" s="33">
        <v>0.18101545253863136</v>
      </c>
      <c r="I58" s="34">
        <v>7968.3760683760684</v>
      </c>
      <c r="J58" s="34">
        <v>-8185.3658536585363</v>
      </c>
      <c r="K58" s="33">
        <v>0.18181818181818182</v>
      </c>
      <c r="L58" s="33">
        <v>0.21633554083885209</v>
      </c>
      <c r="M58" s="33">
        <v>0.22958057395143489</v>
      </c>
      <c r="N58" s="33">
        <v>0.54081632653061229</v>
      </c>
      <c r="O58" s="33">
        <v>0.42307692307692307</v>
      </c>
      <c r="P58" s="33">
        <v>0.44444444444444442</v>
      </c>
    </row>
    <row r="59" spans="1:16" x14ac:dyDescent="0.45">
      <c r="A59" s="35">
        <v>56</v>
      </c>
      <c r="B59" s="32">
        <v>-620</v>
      </c>
      <c r="C59" s="32">
        <v>-11.071428571428571</v>
      </c>
      <c r="D59" s="37">
        <v>2.2857142857142856</v>
      </c>
      <c r="E59" s="33">
        <v>0.17857142857142858</v>
      </c>
      <c r="F59" s="33">
        <v>0.4642857142857143</v>
      </c>
      <c r="G59" s="33">
        <v>0.26030368763557482</v>
      </c>
      <c r="H59" s="33">
        <v>0.1822125813449024</v>
      </c>
      <c r="I59" s="34">
        <v>8010</v>
      </c>
      <c r="J59" s="34">
        <v>-8296.4285714285706</v>
      </c>
      <c r="K59" s="33">
        <v>0.17857142857142858</v>
      </c>
      <c r="L59" s="33">
        <v>0.21908893709327548</v>
      </c>
      <c r="M59" s="33">
        <v>0.2299349240780911</v>
      </c>
      <c r="N59" s="33">
        <v>0.53465346534653468</v>
      </c>
      <c r="O59" s="33">
        <v>0.42452830188679247</v>
      </c>
      <c r="P59" s="33">
        <v>0.45</v>
      </c>
    </row>
    <row r="60" spans="1:16" x14ac:dyDescent="0.45">
      <c r="A60" s="35">
        <v>57</v>
      </c>
      <c r="B60" s="32">
        <v>-623.6</v>
      </c>
      <c r="C60" s="32">
        <v>-10.940350877192984</v>
      </c>
      <c r="D60" s="37">
        <v>2.2807017543859649</v>
      </c>
      <c r="E60" s="33">
        <v>0.17543859649122806</v>
      </c>
      <c r="F60" s="33">
        <v>0.45614035087719296</v>
      </c>
      <c r="G60" s="33">
        <v>0.2569593147751606</v>
      </c>
      <c r="H60" s="33">
        <v>0.18201284796573874</v>
      </c>
      <c r="I60" s="34">
        <v>8010</v>
      </c>
      <c r="J60" s="34">
        <v>-8229.4117647058829</v>
      </c>
      <c r="K60" s="33">
        <v>0.17543859649122806</v>
      </c>
      <c r="L60" s="33">
        <v>0.21841541755888652</v>
      </c>
      <c r="M60" s="33">
        <v>0.23126338329764454</v>
      </c>
      <c r="N60" s="33">
        <v>0.52941176470588236</v>
      </c>
      <c r="O60" s="33">
        <v>0.41666666666666669</v>
      </c>
      <c r="P60" s="33">
        <v>0.45</v>
      </c>
    </row>
    <row r="61" spans="1:16" x14ac:dyDescent="0.45">
      <c r="A61" s="35">
        <v>58</v>
      </c>
      <c r="B61" s="32">
        <v>-614.20000000000005</v>
      </c>
      <c r="C61" s="32">
        <v>-10.589655172413794</v>
      </c>
      <c r="D61" s="37">
        <v>2.2758620689655173</v>
      </c>
      <c r="E61" s="33">
        <v>0.17241379310344829</v>
      </c>
      <c r="F61" s="33">
        <v>0.44827586206896552</v>
      </c>
      <c r="G61" s="33">
        <v>0.26096033402922758</v>
      </c>
      <c r="H61" s="33">
        <v>0.1837160751565762</v>
      </c>
      <c r="I61" s="34">
        <v>8008.8</v>
      </c>
      <c r="J61" s="34">
        <v>-8215.9090909090901</v>
      </c>
      <c r="K61" s="33">
        <v>0.17241379310344829</v>
      </c>
      <c r="L61" s="33">
        <v>0.21711899791231734</v>
      </c>
      <c r="M61" s="33">
        <v>0.23173277661795408</v>
      </c>
      <c r="N61" s="33">
        <v>0.53846153846153844</v>
      </c>
      <c r="O61" s="33">
        <v>0.42342342342342343</v>
      </c>
      <c r="P61" s="33">
        <v>0.44800000000000001</v>
      </c>
    </row>
    <row r="62" spans="1:16" x14ac:dyDescent="0.45">
      <c r="A62" s="35">
        <v>59</v>
      </c>
      <c r="B62" s="32">
        <v>-627.40000000000009</v>
      </c>
      <c r="C62" s="32">
        <v>-10.633898305084747</v>
      </c>
      <c r="D62" s="37">
        <v>2.2881355932203391</v>
      </c>
      <c r="E62" s="33">
        <v>0.16949152542372881</v>
      </c>
      <c r="F62" s="33">
        <v>0.4576271186440678</v>
      </c>
      <c r="G62" s="33">
        <v>0.26283367556468173</v>
      </c>
      <c r="H62" s="33">
        <v>0.18275154004106775</v>
      </c>
      <c r="I62" s="34">
        <v>7987.5</v>
      </c>
      <c r="J62" s="34">
        <v>-8258.4269662921342</v>
      </c>
      <c r="K62" s="33">
        <v>0.16949152542372881</v>
      </c>
      <c r="L62" s="33">
        <v>0.2135523613963039</v>
      </c>
      <c r="M62" s="33">
        <v>0.23203285420944558</v>
      </c>
      <c r="N62" s="33">
        <v>0.53846153846153844</v>
      </c>
      <c r="O62" s="33">
        <v>0.4247787610619469</v>
      </c>
      <c r="P62" s="33">
        <v>0.453125</v>
      </c>
    </row>
    <row r="63" spans="1:16" x14ac:dyDescent="0.45">
      <c r="A63" s="35">
        <v>60</v>
      </c>
      <c r="B63" s="32">
        <v>-656.2</v>
      </c>
      <c r="C63" s="32">
        <v>-10.936666666666667</v>
      </c>
      <c r="D63" s="37">
        <v>2.2833333333333332</v>
      </c>
      <c r="E63" s="33">
        <v>0.16666666666666666</v>
      </c>
      <c r="F63" s="33">
        <v>0.45</v>
      </c>
      <c r="G63" s="33">
        <v>0.25858585858585859</v>
      </c>
      <c r="H63" s="33">
        <v>0.18181818181818182</v>
      </c>
      <c r="I63" s="34">
        <v>7987.5</v>
      </c>
      <c r="J63" s="34">
        <v>-8255.5555555555547</v>
      </c>
      <c r="K63" s="33">
        <v>0.16666666666666666</v>
      </c>
      <c r="L63" s="33">
        <v>0.21010101010101009</v>
      </c>
      <c r="M63" s="33">
        <v>0.23030303030303031</v>
      </c>
      <c r="N63" s="33">
        <v>0.53846153846153844</v>
      </c>
      <c r="O63" s="33">
        <v>0.42105263157894735</v>
      </c>
      <c r="P63" s="33">
        <v>0.453125</v>
      </c>
    </row>
    <row r="64" spans="1:16" x14ac:dyDescent="0.45">
      <c r="A64" s="35">
        <v>61</v>
      </c>
      <c r="B64" s="32">
        <v>-653.40000000000009</v>
      </c>
      <c r="C64" s="32">
        <v>-10.711475409836067</v>
      </c>
      <c r="D64" s="37">
        <v>2.278688524590164</v>
      </c>
      <c r="E64" s="33">
        <v>0.16393442622950818</v>
      </c>
      <c r="F64" s="33">
        <v>0.44262295081967212</v>
      </c>
      <c r="G64" s="33">
        <v>0.26190476190476192</v>
      </c>
      <c r="H64" s="33">
        <v>0.18055555555555555</v>
      </c>
      <c r="I64" s="34">
        <v>8013.636363636364</v>
      </c>
      <c r="J64" s="34">
        <v>-8362.6373626373625</v>
      </c>
      <c r="K64" s="33">
        <v>0.16393442622950818</v>
      </c>
      <c r="L64" s="33">
        <v>0.20833333333333334</v>
      </c>
      <c r="M64" s="33">
        <v>0.23214285714285715</v>
      </c>
      <c r="N64" s="33">
        <v>0.54285714285714282</v>
      </c>
      <c r="O64" s="33">
        <v>0.42735042735042733</v>
      </c>
      <c r="P64" s="33">
        <v>0.4621212121212121</v>
      </c>
    </row>
    <row r="65" spans="1:16" x14ac:dyDescent="0.45">
      <c r="A65" s="35">
        <v>62</v>
      </c>
      <c r="B65" s="32">
        <v>-665.40000000000009</v>
      </c>
      <c r="C65" s="32">
        <v>-10.732258064516131</v>
      </c>
      <c r="D65" s="37">
        <v>2.274193548387097</v>
      </c>
      <c r="E65" s="33">
        <v>0.16129032258064516</v>
      </c>
      <c r="F65" s="33">
        <v>0.43548387096774194</v>
      </c>
      <c r="G65" s="33">
        <v>0.25918762088974856</v>
      </c>
      <c r="H65" s="33">
        <v>0.17794970986460348</v>
      </c>
      <c r="I65" s="34">
        <v>8070.1492537313434</v>
      </c>
      <c r="J65" s="34">
        <v>-8323.9130434782601</v>
      </c>
      <c r="K65" s="33">
        <v>0.16129032258064516</v>
      </c>
      <c r="L65" s="33">
        <v>0.21083172147001933</v>
      </c>
      <c r="M65" s="33">
        <v>0.22823984526112184</v>
      </c>
      <c r="N65" s="33">
        <v>0.52293577981651373</v>
      </c>
      <c r="O65" s="33">
        <v>0.43220338983050849</v>
      </c>
      <c r="P65" s="33">
        <v>0.45522388059701491</v>
      </c>
    </row>
    <row r="66" spans="1:16" x14ac:dyDescent="0.45">
      <c r="A66" s="35">
        <v>63</v>
      </c>
      <c r="B66" s="32">
        <v>-697.10000000000014</v>
      </c>
      <c r="C66" s="32">
        <v>-11.065079365079367</v>
      </c>
      <c r="D66" s="37">
        <v>2.2857142857142856</v>
      </c>
      <c r="E66" s="33">
        <v>0.15873015873015872</v>
      </c>
      <c r="F66" s="33">
        <v>0.44444444444444442</v>
      </c>
      <c r="G66" s="33">
        <v>0.26003824091778205</v>
      </c>
      <c r="H66" s="33">
        <v>0.17973231357552583</v>
      </c>
      <c r="I66" s="34">
        <v>8066.911764705882</v>
      </c>
      <c r="J66" s="34">
        <v>-8432.978723404256</v>
      </c>
      <c r="K66" s="33">
        <v>0.15873015873015872</v>
      </c>
      <c r="L66" s="33">
        <v>0.21032504780114722</v>
      </c>
      <c r="M66" s="33">
        <v>0.22753346080305928</v>
      </c>
      <c r="N66" s="33">
        <v>0.52727272727272723</v>
      </c>
      <c r="O66" s="33">
        <v>0.42857142857142855</v>
      </c>
      <c r="P66" s="33">
        <v>0.46323529411764708</v>
      </c>
    </row>
    <row r="67" spans="1:16" x14ac:dyDescent="0.45">
      <c r="A67" s="35">
        <v>64</v>
      </c>
      <c r="B67" s="32">
        <v>-704.90000000000009</v>
      </c>
      <c r="C67" s="32">
        <v>-11.014062500000001</v>
      </c>
      <c r="D67" s="37">
        <v>2.28125</v>
      </c>
      <c r="E67" s="33">
        <v>0.15625</v>
      </c>
      <c r="F67" s="33">
        <v>0.4375</v>
      </c>
      <c r="G67" s="33">
        <v>0.2575187969924812</v>
      </c>
      <c r="H67" s="33">
        <v>0.18045112781954886</v>
      </c>
      <c r="I67" s="34">
        <v>8095.6204379562041</v>
      </c>
      <c r="J67" s="34">
        <v>-8397.9166666666661</v>
      </c>
      <c r="K67" s="33">
        <v>0.15625</v>
      </c>
      <c r="L67" s="33">
        <v>0.21052631578947367</v>
      </c>
      <c r="M67" s="33">
        <v>0.22556390977443608</v>
      </c>
      <c r="N67" s="33">
        <v>0.5178571428571429</v>
      </c>
      <c r="O67" s="33">
        <v>0.43333333333333335</v>
      </c>
      <c r="P67" s="33">
        <v>0.45985401459854014</v>
      </c>
    </row>
    <row r="68" spans="1:16" x14ac:dyDescent="0.45">
      <c r="A68" s="35">
        <v>65</v>
      </c>
      <c r="B68" s="32">
        <v>-668.90000000000009</v>
      </c>
      <c r="C68" s="32">
        <v>-10.290769230769232</v>
      </c>
      <c r="D68" s="37">
        <v>2.2615384615384615</v>
      </c>
      <c r="E68" s="33">
        <v>0.16923076923076924</v>
      </c>
      <c r="F68" s="33">
        <v>0.43076923076923079</v>
      </c>
      <c r="G68" s="33">
        <v>0.25925925925925924</v>
      </c>
      <c r="H68" s="33">
        <v>0.17777777777777778</v>
      </c>
      <c r="I68" s="34">
        <v>8176.4285714285716</v>
      </c>
      <c r="J68" s="34">
        <v>-8397.9166666666661</v>
      </c>
      <c r="K68" s="33">
        <v>0.15384615384615385</v>
      </c>
      <c r="L68" s="33">
        <v>0.21111111111111111</v>
      </c>
      <c r="M68" s="33">
        <v>0.22962962962962963</v>
      </c>
      <c r="N68" s="33">
        <v>0.51754385964912286</v>
      </c>
      <c r="O68" s="33">
        <v>0.43548387096774194</v>
      </c>
      <c r="P68" s="33">
        <v>0.45714285714285713</v>
      </c>
    </row>
    <row r="69" spans="1:16" x14ac:dyDescent="0.45">
      <c r="A69" s="35">
        <v>66</v>
      </c>
      <c r="B69" s="32">
        <v>-672.40000000000009</v>
      </c>
      <c r="C69" s="32">
        <v>-10.187878787878789</v>
      </c>
      <c r="D69" s="37">
        <v>2.2575757575757578</v>
      </c>
      <c r="E69" s="33">
        <v>0.16666666666666666</v>
      </c>
      <c r="F69" s="33">
        <v>0.42424242424242425</v>
      </c>
      <c r="G69" s="33">
        <v>0.25782688766114181</v>
      </c>
      <c r="H69" s="33">
        <v>0.17679558011049723</v>
      </c>
      <c r="I69" s="34">
        <v>8176.4285714285716</v>
      </c>
      <c r="J69" s="34">
        <v>-8397.9166666666661</v>
      </c>
      <c r="K69" s="33">
        <v>0.15151515151515152</v>
      </c>
      <c r="L69" s="33">
        <v>0.21362799263351751</v>
      </c>
      <c r="M69" s="33">
        <v>0.2283609576427256</v>
      </c>
      <c r="N69" s="33">
        <v>0.50862068965517238</v>
      </c>
      <c r="O69" s="33">
        <v>0.43548387096774194</v>
      </c>
      <c r="P69" s="33">
        <v>0.45714285714285713</v>
      </c>
    </row>
    <row r="70" spans="1:16" x14ac:dyDescent="0.45">
      <c r="A70" s="35">
        <v>67</v>
      </c>
      <c r="B70" s="32">
        <v>-655.40000000000009</v>
      </c>
      <c r="C70" s="32">
        <v>-9.7820895522388067</v>
      </c>
      <c r="D70" s="37">
        <v>2.2537313432835822</v>
      </c>
      <c r="E70" s="33">
        <v>0.16417910447761194</v>
      </c>
      <c r="F70" s="33">
        <v>0.41791044776119401</v>
      </c>
      <c r="G70" s="33">
        <v>0.26047358834244078</v>
      </c>
      <c r="H70" s="33">
        <v>0.1766848816029144</v>
      </c>
      <c r="I70" s="34">
        <v>8298.6013986013986</v>
      </c>
      <c r="J70" s="34">
        <v>-8558.7628865979386</v>
      </c>
      <c r="K70" s="33">
        <v>0.14925373134328357</v>
      </c>
      <c r="L70" s="33">
        <v>0.21311475409836064</v>
      </c>
      <c r="M70" s="33">
        <v>0.22950819672131148</v>
      </c>
      <c r="N70" s="33">
        <v>0.51282051282051277</v>
      </c>
      <c r="O70" s="33">
        <v>0.44444444444444442</v>
      </c>
      <c r="P70" s="33">
        <v>0.45454545454545453</v>
      </c>
    </row>
    <row r="71" spans="1:16" x14ac:dyDescent="0.45">
      <c r="A71" s="35">
        <v>68</v>
      </c>
      <c r="B71" s="32">
        <v>-656.10000000000014</v>
      </c>
      <c r="C71" s="32">
        <v>-9.6485294117647076</v>
      </c>
      <c r="D71" s="37">
        <v>2.25</v>
      </c>
      <c r="E71" s="33">
        <v>0.16176470588235295</v>
      </c>
      <c r="F71" s="33">
        <v>0.41176470588235292</v>
      </c>
      <c r="G71" s="33">
        <v>0.26079136690647481</v>
      </c>
      <c r="H71" s="33">
        <v>0.17625899280575538</v>
      </c>
      <c r="I71" s="34">
        <v>8292.4137931034475</v>
      </c>
      <c r="J71" s="34">
        <v>-8511.224489795919</v>
      </c>
      <c r="K71" s="33">
        <v>0.14705882352941177</v>
      </c>
      <c r="L71" s="33">
        <v>0.21582733812949639</v>
      </c>
      <c r="M71" s="33">
        <v>0.23021582733812951</v>
      </c>
      <c r="N71" s="33">
        <v>0.5083333333333333</v>
      </c>
      <c r="O71" s="33">
        <v>0.4453125</v>
      </c>
      <c r="P71" s="33">
        <v>0.45517241379310347</v>
      </c>
    </row>
    <row r="72" spans="1:16" x14ac:dyDescent="0.45">
      <c r="A72" s="35">
        <v>69</v>
      </c>
      <c r="B72" s="32">
        <v>-691.90000000000009</v>
      </c>
      <c r="C72" s="32">
        <v>-10.02753623188406</v>
      </c>
      <c r="D72" s="37">
        <v>2.2608695652173911</v>
      </c>
      <c r="E72" s="33">
        <v>0.15942028985507245</v>
      </c>
      <c r="F72" s="33">
        <v>0.42028985507246375</v>
      </c>
      <c r="G72" s="33">
        <v>0.25749559082892415</v>
      </c>
      <c r="H72" s="33">
        <v>0.17460317460317459</v>
      </c>
      <c r="I72" s="34">
        <v>8263.0136986301368</v>
      </c>
      <c r="J72" s="34">
        <v>-8464.6464646464647</v>
      </c>
      <c r="K72" s="33">
        <v>0.14492753623188406</v>
      </c>
      <c r="L72" s="33">
        <v>0.21340388007054673</v>
      </c>
      <c r="M72" s="33">
        <v>0.23280423280423279</v>
      </c>
      <c r="N72" s="33">
        <v>0.50413223140495866</v>
      </c>
      <c r="O72" s="33">
        <v>0.43181818181818182</v>
      </c>
      <c r="P72" s="33">
        <v>0.4589041095890411</v>
      </c>
    </row>
    <row r="73" spans="1:16" x14ac:dyDescent="0.45">
      <c r="A73" s="35">
        <v>70</v>
      </c>
      <c r="B73" s="32">
        <v>-739.50000000000011</v>
      </c>
      <c r="C73" s="32">
        <v>-10.564285714285717</v>
      </c>
      <c r="D73" s="37">
        <v>2.2714285714285714</v>
      </c>
      <c r="E73" s="33">
        <v>0.15714285714285714</v>
      </c>
      <c r="F73" s="33">
        <v>0.42857142857142855</v>
      </c>
      <c r="G73" s="33">
        <v>0.25476603119584057</v>
      </c>
      <c r="H73" s="33">
        <v>0.17677642980935876</v>
      </c>
      <c r="I73" s="34">
        <v>8261.224489795919</v>
      </c>
      <c r="J73" s="34">
        <v>-8473.5294117647063</v>
      </c>
      <c r="K73" s="33">
        <v>0.15714285714285714</v>
      </c>
      <c r="L73" s="33">
        <v>0.21317157712305027</v>
      </c>
      <c r="M73" s="33">
        <v>0.23223570190641249</v>
      </c>
      <c r="N73" s="33">
        <v>0.50406504065040647</v>
      </c>
      <c r="O73" s="33">
        <v>0.42537313432835822</v>
      </c>
      <c r="P73" s="33">
        <v>0.46258503401360546</v>
      </c>
    </row>
    <row r="74" spans="1:16" x14ac:dyDescent="0.45">
      <c r="A74" s="35">
        <v>71</v>
      </c>
      <c r="B74" s="32">
        <v>-786.20000000000016</v>
      </c>
      <c r="C74" s="32">
        <v>-11.073239436619721</v>
      </c>
      <c r="D74" s="37">
        <v>2.2816901408450705</v>
      </c>
      <c r="E74" s="33">
        <v>0.15492957746478872</v>
      </c>
      <c r="F74" s="33">
        <v>0.43661971830985913</v>
      </c>
      <c r="G74" s="33">
        <v>0.25212947189097101</v>
      </c>
      <c r="H74" s="33">
        <v>0.17717206132879046</v>
      </c>
      <c r="I74" s="34">
        <v>8222.9729729729734</v>
      </c>
      <c r="J74" s="34">
        <v>-8450</v>
      </c>
      <c r="K74" s="33">
        <v>0.16901408450704225</v>
      </c>
      <c r="L74" s="33">
        <v>0.21124361158432708</v>
      </c>
      <c r="M74" s="33">
        <v>0.22998296422487224</v>
      </c>
      <c r="N74" s="33">
        <v>0.50806451612903225</v>
      </c>
      <c r="O74" s="33">
        <v>0.42222222222222222</v>
      </c>
      <c r="P74" s="33">
        <v>0.45945945945945948</v>
      </c>
    </row>
    <row r="75" spans="1:16" x14ac:dyDescent="0.45">
      <c r="A75" s="35">
        <v>72</v>
      </c>
      <c r="B75" s="32">
        <v>-848.4000000000002</v>
      </c>
      <c r="C75" s="32">
        <v>-11.783333333333337</v>
      </c>
      <c r="D75" s="37">
        <v>2.2916666666666665</v>
      </c>
      <c r="E75" s="33">
        <v>0.15277777777777779</v>
      </c>
      <c r="F75" s="33">
        <v>0.44444444444444442</v>
      </c>
      <c r="G75" s="33">
        <v>0.24957841483979765</v>
      </c>
      <c r="H75" s="33">
        <v>0.18043844856661045</v>
      </c>
      <c r="I75" s="34">
        <v>8222.9729729729734</v>
      </c>
      <c r="J75" s="34">
        <v>-8566.3551401869154</v>
      </c>
      <c r="K75" s="33">
        <v>0.18055555555555555</v>
      </c>
      <c r="L75" s="33">
        <v>0.21079258010118043</v>
      </c>
      <c r="M75" s="33">
        <v>0.22765598650927488</v>
      </c>
      <c r="N75" s="33">
        <v>0.504</v>
      </c>
      <c r="O75" s="33">
        <v>0.42222222222222222</v>
      </c>
      <c r="P75" s="33">
        <v>0.45945945945945948</v>
      </c>
    </row>
    <row r="76" spans="1:16" x14ac:dyDescent="0.45">
      <c r="A76" s="35">
        <v>73</v>
      </c>
      <c r="B76" s="32">
        <v>-864.60000000000025</v>
      </c>
      <c r="C76" s="32">
        <v>-11.84383561643836</v>
      </c>
      <c r="D76" s="37">
        <v>2.3013698630136985</v>
      </c>
      <c r="E76" s="33">
        <v>0.15068493150684931</v>
      </c>
      <c r="F76" s="33">
        <v>0.45205479452054792</v>
      </c>
      <c r="G76" s="33">
        <v>0.24752475247524752</v>
      </c>
      <c r="H76" s="33">
        <v>0.17986798679867988</v>
      </c>
      <c r="I76" s="34">
        <v>8326.6666666666661</v>
      </c>
      <c r="J76" s="34">
        <v>-8488.9908256880735</v>
      </c>
      <c r="K76" s="33">
        <v>0.17808219178082191</v>
      </c>
      <c r="L76" s="33">
        <v>0.21122112211221122</v>
      </c>
      <c r="M76" s="33">
        <v>0.22772277227722773</v>
      </c>
      <c r="N76" s="33">
        <v>0.5078125</v>
      </c>
      <c r="O76" s="33">
        <v>0.41304347826086957</v>
      </c>
      <c r="P76" s="33">
        <v>0.46</v>
      </c>
    </row>
    <row r="77" spans="1:16" x14ac:dyDescent="0.45">
      <c r="A77" s="35">
        <v>74</v>
      </c>
      <c r="B77" s="32">
        <v>-854.50000000000023</v>
      </c>
      <c r="C77" s="32">
        <v>-11.5472972972973</v>
      </c>
      <c r="D77" s="37">
        <v>2.2972972972972974</v>
      </c>
      <c r="E77" s="33">
        <v>0.14864864864864866</v>
      </c>
      <c r="F77" s="33">
        <v>0.44594594594594594</v>
      </c>
      <c r="G77" s="33">
        <v>0.24796084828711257</v>
      </c>
      <c r="H77" s="33">
        <v>0.18107667210440456</v>
      </c>
      <c r="I77" s="34">
        <v>8493.4210526315783</v>
      </c>
      <c r="J77" s="34">
        <v>-8443.2432432432433</v>
      </c>
      <c r="K77" s="33">
        <v>0.17567567567567569</v>
      </c>
      <c r="L77" s="33">
        <v>0.21044045676998369</v>
      </c>
      <c r="M77" s="33">
        <v>0.22838499184339314</v>
      </c>
      <c r="N77" s="33">
        <v>0.51162790697674421</v>
      </c>
      <c r="O77" s="33">
        <v>0.40714285714285714</v>
      </c>
      <c r="P77" s="33">
        <v>0.46052631578947367</v>
      </c>
    </row>
    <row r="78" spans="1:16" x14ac:dyDescent="0.45">
      <c r="A78" s="35">
        <v>75</v>
      </c>
      <c r="B78" s="32">
        <v>-859.4000000000002</v>
      </c>
      <c r="C78" s="32">
        <v>-11.458666666666669</v>
      </c>
      <c r="D78" s="37">
        <v>2.2933333333333334</v>
      </c>
      <c r="E78" s="33">
        <v>0.14666666666666667</v>
      </c>
      <c r="F78" s="33">
        <v>0.44</v>
      </c>
      <c r="G78" s="33">
        <v>0.24519230769230768</v>
      </c>
      <c r="H78" s="33">
        <v>0.18429487179487181</v>
      </c>
      <c r="I78" s="34">
        <v>8516.339869281046</v>
      </c>
      <c r="J78" s="34">
        <v>-8213.9130434782601</v>
      </c>
      <c r="K78" s="33">
        <v>0.17333333333333334</v>
      </c>
      <c r="L78" s="33">
        <v>0.20833333333333334</v>
      </c>
      <c r="M78" s="33">
        <v>0.22916666666666666</v>
      </c>
      <c r="N78" s="33">
        <v>0.51538461538461533</v>
      </c>
      <c r="O78" s="33">
        <v>0.39860139860139859</v>
      </c>
      <c r="P78" s="33">
        <v>0.45751633986928103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B10-8912-4DC0-89E7-58CA838A42E4}">
  <sheetPr codeName="Sheet18"/>
  <dimension ref="A1:Q16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168</v>
      </c>
      <c r="B1" s="36" t="s">
        <v>168</v>
      </c>
      <c r="C1" s="36" t="s">
        <v>168</v>
      </c>
      <c r="D1" s="37" t="s">
        <v>168</v>
      </c>
      <c r="E1" s="36" t="s">
        <v>168</v>
      </c>
      <c r="F1" s="36" t="s">
        <v>168</v>
      </c>
      <c r="G1" s="36" t="s">
        <v>168</v>
      </c>
      <c r="H1" s="36" t="s">
        <v>168</v>
      </c>
      <c r="I1" s="36" t="s">
        <v>168</v>
      </c>
      <c r="J1" s="36" t="s">
        <v>168</v>
      </c>
      <c r="K1" s="36" t="s">
        <v>168</v>
      </c>
      <c r="L1" s="36" t="s">
        <v>168</v>
      </c>
      <c r="M1" s="36" t="s">
        <v>168</v>
      </c>
      <c r="N1" s="36" t="s">
        <v>168</v>
      </c>
      <c r="O1" s="36" t="s">
        <v>168</v>
      </c>
      <c r="P1" s="36" t="s">
        <v>168</v>
      </c>
      <c r="Q1" s="36" t="s">
        <v>168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46.9</v>
      </c>
      <c r="C4" s="32">
        <v>46.9</v>
      </c>
      <c r="D4" s="37">
        <v>1</v>
      </c>
      <c r="E4" s="33">
        <v>1</v>
      </c>
      <c r="F4" s="33">
        <v>0</v>
      </c>
      <c r="G4" s="33">
        <v>0.36363636363636365</v>
      </c>
      <c r="H4" s="33">
        <v>0</v>
      </c>
      <c r="I4" s="34">
        <v>8950</v>
      </c>
      <c r="J4" s="34">
        <v>0</v>
      </c>
      <c r="K4" s="33">
        <v>0</v>
      </c>
      <c r="L4" s="33">
        <v>9.0909090909090912E-2</v>
      </c>
      <c r="M4" s="33">
        <v>0.27272727272727271</v>
      </c>
      <c r="N4" s="33">
        <v>1</v>
      </c>
      <c r="O4" s="33">
        <v>1</v>
      </c>
      <c r="P4" s="33">
        <v>0.25</v>
      </c>
    </row>
    <row r="5" spans="1:17" x14ac:dyDescent="0.45">
      <c r="A5" s="35">
        <v>2</v>
      </c>
      <c r="B5" s="32">
        <v>8.1000000000000014</v>
      </c>
      <c r="C5" s="32">
        <v>4.0500000000000007</v>
      </c>
      <c r="D5" s="37">
        <v>2</v>
      </c>
      <c r="E5" s="33">
        <v>0.5</v>
      </c>
      <c r="F5" s="33">
        <v>0.5</v>
      </c>
      <c r="G5" s="33">
        <v>0.18181818181818182</v>
      </c>
      <c r="H5" s="33">
        <v>4.5454545454545456E-2</v>
      </c>
      <c r="I5" s="34">
        <v>8950</v>
      </c>
      <c r="J5" s="34">
        <v>-12000</v>
      </c>
      <c r="K5" s="33">
        <v>0</v>
      </c>
      <c r="L5" s="33">
        <v>9.0909090909090912E-2</v>
      </c>
      <c r="M5" s="33">
        <v>0.18181818181818182</v>
      </c>
      <c r="N5" s="33">
        <v>0.5</v>
      </c>
      <c r="O5" s="33">
        <v>0.75</v>
      </c>
      <c r="P5" s="33">
        <v>0.25</v>
      </c>
    </row>
    <row r="6" spans="1:17" x14ac:dyDescent="0.45">
      <c r="A6" s="35">
        <v>3</v>
      </c>
      <c r="B6" s="32">
        <v>25.8</v>
      </c>
      <c r="C6" s="32">
        <v>8.6</v>
      </c>
      <c r="D6" s="37">
        <v>2</v>
      </c>
      <c r="E6" s="33">
        <v>0.33333333333333331</v>
      </c>
      <c r="F6" s="33">
        <v>0.33333333333333331</v>
      </c>
      <c r="G6" s="33">
        <v>0.24242424242424243</v>
      </c>
      <c r="H6" s="33">
        <v>6.0606060606060608E-2</v>
      </c>
      <c r="I6" s="34">
        <v>8937.5</v>
      </c>
      <c r="J6" s="34">
        <v>-10000</v>
      </c>
      <c r="K6" s="33">
        <v>0</v>
      </c>
      <c r="L6" s="33">
        <v>0.12121212121212122</v>
      </c>
      <c r="M6" s="33">
        <v>0.15151515151515152</v>
      </c>
      <c r="N6" s="33">
        <v>0.75</v>
      </c>
      <c r="O6" s="33">
        <v>0.8</v>
      </c>
      <c r="P6" s="33">
        <v>0.375</v>
      </c>
    </row>
    <row r="7" spans="1:17" x14ac:dyDescent="0.45">
      <c r="A7" s="35">
        <v>4</v>
      </c>
      <c r="B7" s="32">
        <v>-19.3</v>
      </c>
      <c r="C7" s="32">
        <v>-4.8250000000000002</v>
      </c>
      <c r="D7" s="37">
        <v>2.25</v>
      </c>
      <c r="E7" s="33">
        <v>0.25</v>
      </c>
      <c r="F7" s="33">
        <v>0.5</v>
      </c>
      <c r="G7" s="33">
        <v>0.20512820512820512</v>
      </c>
      <c r="H7" s="33">
        <v>0.10256410256410256</v>
      </c>
      <c r="I7" s="34">
        <v>8937.5</v>
      </c>
      <c r="J7" s="34">
        <v>-7900</v>
      </c>
      <c r="K7" s="33">
        <v>0.25</v>
      </c>
      <c r="L7" s="33">
        <v>0.10256410256410256</v>
      </c>
      <c r="M7" s="33">
        <v>0.17948717948717949</v>
      </c>
      <c r="N7" s="33">
        <v>0.75</v>
      </c>
      <c r="O7" s="33">
        <v>0.5714285714285714</v>
      </c>
      <c r="P7" s="33">
        <v>0.375</v>
      </c>
    </row>
    <row r="8" spans="1:17" x14ac:dyDescent="0.45">
      <c r="A8" s="35">
        <v>5</v>
      </c>
      <c r="B8" s="32">
        <v>-1.6000000000000014</v>
      </c>
      <c r="C8" s="32">
        <v>-0.32000000000000028</v>
      </c>
      <c r="D8" s="37">
        <v>2.2000000000000002</v>
      </c>
      <c r="E8" s="33">
        <v>0.2</v>
      </c>
      <c r="F8" s="33">
        <v>0.4</v>
      </c>
      <c r="G8" s="33">
        <v>0.24</v>
      </c>
      <c r="H8" s="33">
        <v>0.1</v>
      </c>
      <c r="I8" s="34">
        <v>8933.3333333333339</v>
      </c>
      <c r="J8" s="34">
        <v>-7920</v>
      </c>
      <c r="K8" s="33">
        <v>0.2</v>
      </c>
      <c r="L8" s="33">
        <v>0.12</v>
      </c>
      <c r="M8" s="33">
        <v>0.16</v>
      </c>
      <c r="N8" s="33">
        <v>0.83333333333333337</v>
      </c>
      <c r="O8" s="33">
        <v>0.625</v>
      </c>
      <c r="P8" s="33">
        <v>0.41666666666666669</v>
      </c>
    </row>
    <row r="9" spans="1:17" x14ac:dyDescent="0.45">
      <c r="A9" s="35">
        <v>6</v>
      </c>
      <c r="B9" s="32">
        <v>29.799999999999997</v>
      </c>
      <c r="C9" s="32">
        <v>4.9666666666666659</v>
      </c>
      <c r="D9" s="37">
        <v>2</v>
      </c>
      <c r="E9" s="33">
        <v>0.33333333333333331</v>
      </c>
      <c r="F9" s="33">
        <v>0.33333333333333331</v>
      </c>
      <c r="G9" s="33">
        <v>0.27586206896551724</v>
      </c>
      <c r="H9" s="33">
        <v>0.10344827586206896</v>
      </c>
      <c r="I9" s="34">
        <v>8868.75</v>
      </c>
      <c r="J9" s="34">
        <v>-6816.666666666667</v>
      </c>
      <c r="K9" s="33">
        <v>0.16666666666666666</v>
      </c>
      <c r="L9" s="33">
        <v>0.17241379310344829</v>
      </c>
      <c r="M9" s="33">
        <v>0.17241379310344829</v>
      </c>
      <c r="N9" s="33">
        <v>0.7</v>
      </c>
      <c r="O9" s="33">
        <v>0.6</v>
      </c>
      <c r="P9" s="33">
        <v>0.375</v>
      </c>
    </row>
    <row r="10" spans="1:17" x14ac:dyDescent="0.45">
      <c r="A10" s="35">
        <v>7</v>
      </c>
      <c r="B10" s="32">
        <v>-16.300000000000004</v>
      </c>
      <c r="C10" s="32">
        <v>-2.3285714285714292</v>
      </c>
      <c r="D10" s="37">
        <v>2.1428571428571428</v>
      </c>
      <c r="E10" s="33">
        <v>0.2857142857142857</v>
      </c>
      <c r="F10" s="33">
        <v>0.42857142857142855</v>
      </c>
      <c r="G10" s="33">
        <v>0.25</v>
      </c>
      <c r="H10" s="33">
        <v>0.109375</v>
      </c>
      <c r="I10" s="34">
        <v>8868.75</v>
      </c>
      <c r="J10" s="34">
        <v>-6671.4285714285716</v>
      </c>
      <c r="K10" s="33">
        <v>0.2857142857142857</v>
      </c>
      <c r="L10" s="33">
        <v>0.171875</v>
      </c>
      <c r="M10" s="33">
        <v>0.15625</v>
      </c>
      <c r="N10" s="33">
        <v>0.63636363636363635</v>
      </c>
      <c r="O10" s="33">
        <v>0.6</v>
      </c>
      <c r="P10" s="33">
        <v>0.375</v>
      </c>
    </row>
    <row r="11" spans="1:17" x14ac:dyDescent="0.45">
      <c r="A11" s="35">
        <v>8</v>
      </c>
      <c r="B11" s="32">
        <v>-46.7</v>
      </c>
      <c r="C11" s="32">
        <v>-5.8375000000000004</v>
      </c>
      <c r="D11" s="37">
        <v>2.25</v>
      </c>
      <c r="E11" s="33">
        <v>0.25</v>
      </c>
      <c r="F11" s="33">
        <v>0.5</v>
      </c>
      <c r="G11" s="33">
        <v>0.24657534246575341</v>
      </c>
      <c r="H11" s="33">
        <v>0.13698630136986301</v>
      </c>
      <c r="I11" s="34">
        <v>8544.4444444444453</v>
      </c>
      <c r="J11" s="34">
        <v>-6370</v>
      </c>
      <c r="K11" s="33">
        <v>0.25</v>
      </c>
      <c r="L11" s="33">
        <v>0.17808219178082191</v>
      </c>
      <c r="M11" s="33">
        <v>0.17808219178082191</v>
      </c>
      <c r="N11" s="33">
        <v>0.61538461538461542</v>
      </c>
      <c r="O11" s="33">
        <v>0.53846153846153844</v>
      </c>
      <c r="P11" s="33">
        <v>0.33333333333333331</v>
      </c>
    </row>
    <row r="12" spans="1:17" x14ac:dyDescent="0.45">
      <c r="A12" s="35">
        <v>9</v>
      </c>
      <c r="B12" s="32">
        <v>-90.9</v>
      </c>
      <c r="C12" s="32">
        <v>-10.100000000000001</v>
      </c>
      <c r="D12" s="37">
        <v>2.3333333333333335</v>
      </c>
      <c r="E12" s="33">
        <v>0.22222222222222221</v>
      </c>
      <c r="F12" s="33">
        <v>0.55555555555555558</v>
      </c>
      <c r="G12" s="33">
        <v>0.22619047619047619</v>
      </c>
      <c r="H12" s="33">
        <v>0.15476190476190477</v>
      </c>
      <c r="I12" s="34">
        <v>8410.5263157894733</v>
      </c>
      <c r="J12" s="34">
        <v>-7430.7692307692305</v>
      </c>
      <c r="K12" s="33">
        <v>0.22222222222222221</v>
      </c>
      <c r="L12" s="33">
        <v>0.16666666666666666</v>
      </c>
      <c r="M12" s="33">
        <v>0.17857142857142858</v>
      </c>
      <c r="N12" s="33">
        <v>0.6428571428571429</v>
      </c>
      <c r="O12" s="33">
        <v>0.46666666666666667</v>
      </c>
      <c r="P12" s="33">
        <v>0.36842105263157893</v>
      </c>
    </row>
    <row r="13" spans="1:17" x14ac:dyDescent="0.45">
      <c r="A13" s="35">
        <v>10</v>
      </c>
      <c r="B13" s="32">
        <v>-146.69999999999999</v>
      </c>
      <c r="C13" s="32">
        <v>-14.669999999999998</v>
      </c>
      <c r="D13" s="37">
        <v>2.4</v>
      </c>
      <c r="E13" s="33">
        <v>0.2</v>
      </c>
      <c r="F13" s="33">
        <v>0.6</v>
      </c>
      <c r="G13" s="33">
        <v>0.21348314606741572</v>
      </c>
      <c r="H13" s="33">
        <v>0.16853932584269662</v>
      </c>
      <c r="I13" s="34">
        <v>8410.5263157894733</v>
      </c>
      <c r="J13" s="34">
        <v>-7960</v>
      </c>
      <c r="K13" s="33">
        <v>0.3</v>
      </c>
      <c r="L13" s="33">
        <v>0.16853932584269662</v>
      </c>
      <c r="M13" s="33">
        <v>0.16853932584269662</v>
      </c>
      <c r="N13" s="33">
        <v>0.6</v>
      </c>
      <c r="O13" s="33">
        <v>0.46666666666666667</v>
      </c>
      <c r="P13" s="33">
        <v>0.36842105263157893</v>
      </c>
    </row>
    <row r="14" spans="1:17" x14ac:dyDescent="0.45">
      <c r="A14" s="35">
        <v>11</v>
      </c>
      <c r="B14" s="32">
        <v>-114.99999999999999</v>
      </c>
      <c r="C14" s="32">
        <v>-10.454545454545453</v>
      </c>
      <c r="D14" s="37">
        <v>2.2727272727272729</v>
      </c>
      <c r="E14" s="33">
        <v>0.27272727272727271</v>
      </c>
      <c r="F14" s="33">
        <v>0.54545454545454541</v>
      </c>
      <c r="G14" s="33">
        <v>0.22772277227722773</v>
      </c>
      <c r="H14" s="33">
        <v>0.14851485148514851</v>
      </c>
      <c r="I14" s="34">
        <v>8156.521739130435</v>
      </c>
      <c r="J14" s="34">
        <v>-7960</v>
      </c>
      <c r="K14" s="33">
        <v>0.27272727272727271</v>
      </c>
      <c r="L14" s="33">
        <v>0.19801980198019803</v>
      </c>
      <c r="M14" s="33">
        <v>0.19801980198019803</v>
      </c>
      <c r="N14" s="33">
        <v>0.55000000000000004</v>
      </c>
      <c r="O14" s="33">
        <v>0.45</v>
      </c>
      <c r="P14" s="33">
        <v>0.43478260869565216</v>
      </c>
    </row>
    <row r="15" spans="1:17" x14ac:dyDescent="0.45">
      <c r="A15" s="35">
        <v>12</v>
      </c>
      <c r="B15" s="32">
        <v>-118.39999999999999</v>
      </c>
      <c r="C15" s="32">
        <v>-9.8666666666666654</v>
      </c>
      <c r="D15" s="37">
        <v>2.25</v>
      </c>
      <c r="E15" s="33">
        <v>0.25</v>
      </c>
      <c r="F15" s="33">
        <v>0.5</v>
      </c>
      <c r="G15" s="33">
        <v>0.23008849557522124</v>
      </c>
      <c r="H15" s="33">
        <v>0.13274336283185842</v>
      </c>
      <c r="I15" s="34">
        <v>7884.6153846153848</v>
      </c>
      <c r="J15" s="34">
        <v>-7960</v>
      </c>
      <c r="K15" s="33">
        <v>0.25</v>
      </c>
      <c r="L15" s="33">
        <v>0.17699115044247787</v>
      </c>
      <c r="M15" s="33">
        <v>0.23008849557522124</v>
      </c>
      <c r="N15" s="33">
        <v>0.55000000000000004</v>
      </c>
      <c r="O15" s="33">
        <v>0.46153846153846156</v>
      </c>
      <c r="P15" s="33">
        <v>0.38461538461538464</v>
      </c>
    </row>
    <row r="16" spans="1:17" x14ac:dyDescent="0.45">
      <c r="A16" s="35">
        <v>13</v>
      </c>
      <c r="B16" s="32">
        <v>-68.399999999999991</v>
      </c>
      <c r="C16" s="32">
        <v>-5.2615384615384606</v>
      </c>
      <c r="D16" s="37">
        <v>2.1538461538461537</v>
      </c>
      <c r="E16" s="33">
        <v>0.30769230769230771</v>
      </c>
      <c r="F16" s="33">
        <v>0.46153846153846156</v>
      </c>
      <c r="G16" s="33">
        <v>0.25203252032520324</v>
      </c>
      <c r="H16" s="33">
        <v>0.12195121951219512</v>
      </c>
      <c r="I16" s="34">
        <v>7677.4193548387093</v>
      </c>
      <c r="J16" s="34">
        <v>-7960</v>
      </c>
      <c r="K16" s="33">
        <v>0.23076923076923078</v>
      </c>
      <c r="L16" s="33">
        <v>0.2032520325203252</v>
      </c>
      <c r="M16" s="33">
        <v>0.22764227642276422</v>
      </c>
      <c r="N16" s="33">
        <v>0.56000000000000005</v>
      </c>
      <c r="O16" s="33">
        <v>0.4642857142857143</v>
      </c>
      <c r="P16" s="33">
        <v>0.35483870967741937</v>
      </c>
    </row>
    <row r="17" spans="1:16" x14ac:dyDescent="0.45">
      <c r="A17" s="35">
        <v>14</v>
      </c>
      <c r="B17" s="32">
        <v>-25.79999999999999</v>
      </c>
      <c r="C17" s="32">
        <v>-1.8428571428571421</v>
      </c>
      <c r="D17" s="37">
        <v>2.0714285714285716</v>
      </c>
      <c r="E17" s="33">
        <v>0.35714285714285715</v>
      </c>
      <c r="F17" s="33">
        <v>0.42857142857142855</v>
      </c>
      <c r="G17" s="33">
        <v>0.27480916030534353</v>
      </c>
      <c r="H17" s="33">
        <v>0.11450381679389313</v>
      </c>
      <c r="I17" s="34">
        <v>7488.8888888888887</v>
      </c>
      <c r="J17" s="34">
        <v>-7960</v>
      </c>
      <c r="K17" s="33">
        <v>0.21428571428571427</v>
      </c>
      <c r="L17" s="33">
        <v>0.21374045801526717</v>
      </c>
      <c r="M17" s="33">
        <v>0.23664122137404581</v>
      </c>
      <c r="N17" s="33">
        <v>0.5714285714285714</v>
      </c>
      <c r="O17" s="33">
        <v>0.5161290322580645</v>
      </c>
      <c r="P17" s="33">
        <v>0.3888888888888889</v>
      </c>
    </row>
    <row r="18" spans="1:16" x14ac:dyDescent="0.45">
      <c r="A18" s="35">
        <v>15</v>
      </c>
      <c r="B18" s="32">
        <v>-35.499999999999986</v>
      </c>
      <c r="C18" s="32">
        <v>-2.3666666666666658</v>
      </c>
      <c r="D18" s="37">
        <v>2.0666666666666669</v>
      </c>
      <c r="E18" s="33">
        <v>0.33333333333333331</v>
      </c>
      <c r="F18" s="33">
        <v>0.4</v>
      </c>
      <c r="G18" s="33">
        <v>0.2733812949640288</v>
      </c>
      <c r="H18" s="33">
        <v>0.11510791366906475</v>
      </c>
      <c r="I18" s="34">
        <v>7507.894736842105</v>
      </c>
      <c r="J18" s="34">
        <v>-7643.75</v>
      </c>
      <c r="K18" s="33">
        <v>0.2</v>
      </c>
      <c r="L18" s="33">
        <v>0.22302158273381295</v>
      </c>
      <c r="M18" s="33">
        <v>0.2446043165467626</v>
      </c>
      <c r="N18" s="33">
        <v>0.5161290322580645</v>
      </c>
      <c r="O18" s="33">
        <v>0.52941176470588236</v>
      </c>
      <c r="P18" s="33">
        <v>0.36842105263157893</v>
      </c>
    </row>
    <row r="19" spans="1:16" x14ac:dyDescent="0.45">
      <c r="A19" s="35">
        <v>16</v>
      </c>
      <c r="B19" s="32">
        <v>-35.599999999999987</v>
      </c>
      <c r="C19" s="32">
        <v>-2.2249999999999992</v>
      </c>
      <c r="D19" s="37">
        <v>2.0625</v>
      </c>
      <c r="E19" s="33">
        <v>0.3125</v>
      </c>
      <c r="F19" s="33">
        <v>0.375</v>
      </c>
      <c r="G19" s="33">
        <v>0.26896551724137929</v>
      </c>
      <c r="H19" s="33">
        <v>0.11724137931034483</v>
      </c>
      <c r="I19" s="34">
        <v>7776.9230769230771</v>
      </c>
      <c r="J19" s="34">
        <v>-7647.0588235294117</v>
      </c>
      <c r="K19" s="33">
        <v>0.1875</v>
      </c>
      <c r="L19" s="33">
        <v>0.2413793103448276</v>
      </c>
      <c r="M19" s="33">
        <v>0.2413793103448276</v>
      </c>
      <c r="N19" s="33">
        <v>0.45714285714285713</v>
      </c>
      <c r="O19" s="33">
        <v>0.54285714285714282</v>
      </c>
      <c r="P19" s="33">
        <v>0.35897435897435898</v>
      </c>
    </row>
    <row r="20" spans="1:16" x14ac:dyDescent="0.45">
      <c r="A20" s="35">
        <v>17</v>
      </c>
      <c r="B20" s="32">
        <v>-29.799999999999986</v>
      </c>
      <c r="C20" s="32">
        <v>-1.7529411764705873</v>
      </c>
      <c r="D20" s="37">
        <v>2.0588235294117645</v>
      </c>
      <c r="E20" s="33">
        <v>0.29411764705882354</v>
      </c>
      <c r="F20" s="33">
        <v>0.35294117647058826</v>
      </c>
      <c r="G20" s="33">
        <v>0.27631578947368424</v>
      </c>
      <c r="H20" s="33">
        <v>0.11842105263157894</v>
      </c>
      <c r="I20" s="34">
        <v>7554.7619047619046</v>
      </c>
      <c r="J20" s="34">
        <v>-7383.333333333333</v>
      </c>
      <c r="K20" s="33">
        <v>0.17647058823529413</v>
      </c>
      <c r="L20" s="33">
        <v>0.25</v>
      </c>
      <c r="M20" s="33">
        <v>0.24342105263157895</v>
      </c>
      <c r="N20" s="33">
        <v>0.47368421052631576</v>
      </c>
      <c r="O20" s="33">
        <v>0.54054054054054057</v>
      </c>
      <c r="P20" s="33">
        <v>0.35714285714285715</v>
      </c>
    </row>
    <row r="21" spans="1:16" x14ac:dyDescent="0.45">
      <c r="A21" s="35">
        <v>18</v>
      </c>
      <c r="B21" s="32">
        <v>-62.399999999999991</v>
      </c>
      <c r="C21" s="32">
        <v>-3.4666666666666663</v>
      </c>
      <c r="D21" s="37">
        <v>2.1111111111111112</v>
      </c>
      <c r="E21" s="33">
        <v>0.27777777777777779</v>
      </c>
      <c r="F21" s="33">
        <v>0.3888888888888889</v>
      </c>
      <c r="G21" s="33">
        <v>0.27380952380952384</v>
      </c>
      <c r="H21" s="33">
        <v>0.13095238095238096</v>
      </c>
      <c r="I21" s="34">
        <v>7491.304347826087</v>
      </c>
      <c r="J21" s="34">
        <v>-7331.818181818182</v>
      </c>
      <c r="K21" s="33">
        <v>0.16666666666666666</v>
      </c>
      <c r="L21" s="33">
        <v>0.25</v>
      </c>
      <c r="M21" s="33">
        <v>0.25</v>
      </c>
      <c r="N21" s="33">
        <v>0.47619047619047616</v>
      </c>
      <c r="O21" s="33">
        <v>0.52380952380952384</v>
      </c>
      <c r="P21" s="33">
        <v>0.36956521739130432</v>
      </c>
    </row>
    <row r="22" spans="1:16" x14ac:dyDescent="0.45">
      <c r="A22" s="35">
        <v>19</v>
      </c>
      <c r="B22" s="32">
        <v>-56.399999999999991</v>
      </c>
      <c r="C22" s="32">
        <v>-2.9684210526315784</v>
      </c>
      <c r="D22" s="37">
        <v>2.1052631578947367</v>
      </c>
      <c r="E22" s="33">
        <v>0.26315789473684209</v>
      </c>
      <c r="F22" s="33">
        <v>0.36842105263157893</v>
      </c>
      <c r="G22" s="33">
        <v>0.27840909090909088</v>
      </c>
      <c r="H22" s="33">
        <v>0.13636363636363635</v>
      </c>
      <c r="I22" s="34">
        <v>7540.8163265306121</v>
      </c>
      <c r="J22" s="34">
        <v>-7095.833333333333</v>
      </c>
      <c r="K22" s="33">
        <v>0.15789473684210525</v>
      </c>
      <c r="L22" s="33">
        <v>0.25568181818181818</v>
      </c>
      <c r="M22" s="33">
        <v>0.26136363636363635</v>
      </c>
      <c r="N22" s="33">
        <v>0.48888888888888887</v>
      </c>
      <c r="O22" s="33">
        <v>0.5</v>
      </c>
      <c r="P22" s="33">
        <v>0.38775510204081631</v>
      </c>
    </row>
    <row r="23" spans="1:16" x14ac:dyDescent="0.45">
      <c r="A23" s="35">
        <v>20</v>
      </c>
      <c r="B23" s="32">
        <v>-93.199999999999989</v>
      </c>
      <c r="C23" s="32">
        <v>-4.6599999999999993</v>
      </c>
      <c r="D23" s="37">
        <v>2.15</v>
      </c>
      <c r="E23" s="33">
        <v>0.25</v>
      </c>
      <c r="F23" s="33">
        <v>0.4</v>
      </c>
      <c r="G23" s="33">
        <v>0.27322404371584702</v>
      </c>
      <c r="H23" s="33">
        <v>0.13661202185792351</v>
      </c>
      <c r="I23" s="34">
        <v>7544</v>
      </c>
      <c r="J23" s="34">
        <v>-7292</v>
      </c>
      <c r="K23" s="33">
        <v>0.15</v>
      </c>
      <c r="L23" s="33">
        <v>0.26229508196721313</v>
      </c>
      <c r="M23" s="33">
        <v>0.25683060109289618</v>
      </c>
      <c r="N23" s="33">
        <v>0.47916666666666669</v>
      </c>
      <c r="O23" s="33">
        <v>0.48936170212765956</v>
      </c>
      <c r="P23" s="33">
        <v>0.38</v>
      </c>
    </row>
    <row r="24" spans="1:16" x14ac:dyDescent="0.45">
      <c r="A24" s="35">
        <v>21</v>
      </c>
      <c r="B24" s="32">
        <v>-123.69999999999999</v>
      </c>
      <c r="C24" s="32">
        <v>-5.89047619047619</v>
      </c>
      <c r="D24" s="37">
        <v>2.1904761904761907</v>
      </c>
      <c r="E24" s="33">
        <v>0.23809523809523808</v>
      </c>
      <c r="F24" s="33">
        <v>0.42857142857142855</v>
      </c>
      <c r="G24" s="33">
        <v>0.26178010471204188</v>
      </c>
      <c r="H24" s="33">
        <v>0.14659685863874344</v>
      </c>
      <c r="I24" s="34">
        <v>7544</v>
      </c>
      <c r="J24" s="34">
        <v>-6960.7142857142853</v>
      </c>
      <c r="K24" s="33">
        <v>0.14285714285714285</v>
      </c>
      <c r="L24" s="33">
        <v>0.25654450261780104</v>
      </c>
      <c r="M24" s="33">
        <v>0.25654450261780104</v>
      </c>
      <c r="N24" s="33">
        <v>0.46938775510204084</v>
      </c>
      <c r="O24" s="33">
        <v>0.46938775510204084</v>
      </c>
      <c r="P24" s="33">
        <v>0.38</v>
      </c>
    </row>
    <row r="25" spans="1:16" x14ac:dyDescent="0.45">
      <c r="A25" s="35">
        <v>22</v>
      </c>
      <c r="B25" s="32">
        <v>-66.999999999999986</v>
      </c>
      <c r="C25" s="32">
        <v>-3.045454545454545</v>
      </c>
      <c r="D25" s="37">
        <v>2.1363636363636362</v>
      </c>
      <c r="E25" s="33">
        <v>0.27272727272727271</v>
      </c>
      <c r="F25" s="33">
        <v>0.40909090909090912</v>
      </c>
      <c r="G25" s="33">
        <v>0.26767676767676768</v>
      </c>
      <c r="H25" s="33">
        <v>0.14141414141414141</v>
      </c>
      <c r="I25" s="34">
        <v>7658.4905660377362</v>
      </c>
      <c r="J25" s="34">
        <v>-6960.7142857142853</v>
      </c>
      <c r="K25" s="33">
        <v>0.13636363636363635</v>
      </c>
      <c r="L25" s="33">
        <v>0.26262626262626265</v>
      </c>
      <c r="M25" s="33">
        <v>0.25757575757575757</v>
      </c>
      <c r="N25" s="33">
        <v>0.46153846153846156</v>
      </c>
      <c r="O25" s="33">
        <v>0.47058823529411764</v>
      </c>
      <c r="P25" s="33">
        <v>0.39622641509433965</v>
      </c>
    </row>
    <row r="26" spans="1:16" x14ac:dyDescent="0.45">
      <c r="A26" s="35">
        <v>23</v>
      </c>
      <c r="B26" s="32">
        <v>-59.599999999999987</v>
      </c>
      <c r="C26" s="32">
        <v>-2.5913043478260862</v>
      </c>
      <c r="D26" s="37">
        <v>2.1304347826086958</v>
      </c>
      <c r="E26" s="33">
        <v>0.2608695652173913</v>
      </c>
      <c r="F26" s="33">
        <v>0.39130434782608697</v>
      </c>
      <c r="G26" s="33">
        <v>0.26829268292682928</v>
      </c>
      <c r="H26" s="33">
        <v>0.14146341463414633</v>
      </c>
      <c r="I26" s="34">
        <v>7809.090909090909</v>
      </c>
      <c r="J26" s="34">
        <v>-6820.6896551724139</v>
      </c>
      <c r="K26" s="33">
        <v>0.13043478260869565</v>
      </c>
      <c r="L26" s="33">
        <v>0.26829268292682928</v>
      </c>
      <c r="M26" s="33">
        <v>0.25853658536585367</v>
      </c>
      <c r="N26" s="33">
        <v>0.45454545454545453</v>
      </c>
      <c r="O26" s="33">
        <v>0.47169811320754718</v>
      </c>
      <c r="P26" s="33">
        <v>0.38181818181818183</v>
      </c>
    </row>
    <row r="27" spans="1:16" x14ac:dyDescent="0.45">
      <c r="A27" s="35">
        <v>24</v>
      </c>
      <c r="B27" s="32">
        <v>-91.399999999999991</v>
      </c>
      <c r="C27" s="32">
        <v>-3.8083333333333331</v>
      </c>
      <c r="D27" s="37">
        <v>2.1666666666666665</v>
      </c>
      <c r="E27" s="33">
        <v>0.25</v>
      </c>
      <c r="F27" s="33">
        <v>0.41666666666666669</v>
      </c>
      <c r="G27" s="33">
        <v>0.26291079812206575</v>
      </c>
      <c r="H27" s="33">
        <v>0.15023474178403756</v>
      </c>
      <c r="I27" s="34">
        <v>7807.1428571428569</v>
      </c>
      <c r="J27" s="34">
        <v>-6946.875</v>
      </c>
      <c r="K27" s="33">
        <v>0.125</v>
      </c>
      <c r="L27" s="33">
        <v>0.25821596244131456</v>
      </c>
      <c r="M27" s="33">
        <v>0.26291079812206575</v>
      </c>
      <c r="N27" s="33">
        <v>0.45454545454545453</v>
      </c>
      <c r="O27" s="33">
        <v>0.4642857142857143</v>
      </c>
      <c r="P27" s="33">
        <v>0.375</v>
      </c>
    </row>
    <row r="28" spans="1:16" x14ac:dyDescent="0.45">
      <c r="A28" s="35">
        <v>25</v>
      </c>
      <c r="B28" s="32">
        <v>-41.29999999999999</v>
      </c>
      <c r="C28" s="32">
        <v>-1.6519999999999997</v>
      </c>
      <c r="D28" s="37">
        <v>2.12</v>
      </c>
      <c r="E28" s="33">
        <v>0.28000000000000003</v>
      </c>
      <c r="F28" s="33">
        <v>0.4</v>
      </c>
      <c r="G28" s="33">
        <v>0.26244343891402716</v>
      </c>
      <c r="H28" s="33">
        <v>0.15384615384615385</v>
      </c>
      <c r="I28" s="34">
        <v>8455.1724137931033</v>
      </c>
      <c r="J28" s="34">
        <v>-6832.3529411764703</v>
      </c>
      <c r="K28" s="33">
        <v>0.12</v>
      </c>
      <c r="L28" s="33">
        <v>0.25339366515837103</v>
      </c>
      <c r="M28" s="33">
        <v>0.26244343891402716</v>
      </c>
      <c r="N28" s="33">
        <v>0.4642857142857143</v>
      </c>
      <c r="O28" s="33">
        <v>0.44827586206896552</v>
      </c>
      <c r="P28" s="33">
        <v>0.37931034482758619</v>
      </c>
    </row>
    <row r="29" spans="1:16" x14ac:dyDescent="0.45">
      <c r="A29" s="35">
        <v>26</v>
      </c>
      <c r="B29" s="32">
        <v>-54.099999999999994</v>
      </c>
      <c r="C29" s="32">
        <v>-2.0807692307692305</v>
      </c>
      <c r="D29" s="37">
        <v>2.1538461538461537</v>
      </c>
      <c r="E29" s="33">
        <v>0.26923076923076922</v>
      </c>
      <c r="F29" s="33">
        <v>0.42307692307692307</v>
      </c>
      <c r="G29" s="33">
        <v>0.26315789473684209</v>
      </c>
      <c r="H29" s="33">
        <v>0.15350877192982457</v>
      </c>
      <c r="I29" s="34">
        <v>8395</v>
      </c>
      <c r="J29" s="34">
        <v>-6711.4285714285716</v>
      </c>
      <c r="K29" s="33">
        <v>0.11538461538461539</v>
      </c>
      <c r="L29" s="33">
        <v>0.25438596491228072</v>
      </c>
      <c r="M29" s="33">
        <v>0.25877192982456143</v>
      </c>
      <c r="N29" s="33">
        <v>0.48275862068965519</v>
      </c>
      <c r="O29" s="33">
        <v>0.44067796610169491</v>
      </c>
      <c r="P29" s="33">
        <v>0.4</v>
      </c>
    </row>
    <row r="30" spans="1:16" x14ac:dyDescent="0.45">
      <c r="A30" s="35">
        <v>27</v>
      </c>
      <c r="B30" s="32">
        <v>-70.199999999999989</v>
      </c>
      <c r="C30" s="32">
        <v>-2.5999999999999996</v>
      </c>
      <c r="D30" s="37">
        <v>2.1481481481481484</v>
      </c>
      <c r="E30" s="33">
        <v>0.25925925925925924</v>
      </c>
      <c r="F30" s="33">
        <v>0.40740740740740738</v>
      </c>
      <c r="G30" s="33">
        <v>0.26406926406926406</v>
      </c>
      <c r="H30" s="33">
        <v>0.15151515151515152</v>
      </c>
      <c r="I30" s="34">
        <v>8362.2950819672133</v>
      </c>
      <c r="J30" s="34">
        <v>-6711.4285714285716</v>
      </c>
      <c r="K30" s="33">
        <v>0.1111111111111111</v>
      </c>
      <c r="L30" s="33">
        <v>0.25108225108225107</v>
      </c>
      <c r="M30" s="33">
        <v>0.25974025974025972</v>
      </c>
      <c r="N30" s="33">
        <v>0.48275862068965519</v>
      </c>
      <c r="O30" s="33">
        <v>0.43333333333333335</v>
      </c>
      <c r="P30" s="33">
        <v>0.39344262295081966</v>
      </c>
    </row>
    <row r="31" spans="1:16" x14ac:dyDescent="0.45">
      <c r="A31" s="35">
        <v>28</v>
      </c>
      <c r="B31" s="32">
        <v>-61.29999999999999</v>
      </c>
      <c r="C31" s="32">
        <v>-2.1892857142857141</v>
      </c>
      <c r="D31" s="37">
        <v>2.1428571428571428</v>
      </c>
      <c r="E31" s="33">
        <v>0.25</v>
      </c>
      <c r="F31" s="33">
        <v>0.39285714285714285</v>
      </c>
      <c r="G31" s="33">
        <v>0.26890756302521007</v>
      </c>
      <c r="H31" s="33">
        <v>0.14705882352941177</v>
      </c>
      <c r="I31" s="34">
        <v>8460.9375</v>
      </c>
      <c r="J31" s="34">
        <v>-6711.4285714285716</v>
      </c>
      <c r="K31" s="33">
        <v>0.10714285714285714</v>
      </c>
      <c r="L31" s="33">
        <v>0.26050420168067229</v>
      </c>
      <c r="M31" s="33">
        <v>0.25630252100840334</v>
      </c>
      <c r="N31" s="33">
        <v>0.5</v>
      </c>
      <c r="O31" s="33">
        <v>0.42622950819672129</v>
      </c>
      <c r="P31" s="33">
        <v>0.421875</v>
      </c>
    </row>
    <row r="32" spans="1:16" x14ac:dyDescent="0.45">
      <c r="A32" s="35">
        <v>29</v>
      </c>
      <c r="B32" s="32">
        <v>-109.69999999999999</v>
      </c>
      <c r="C32" s="32">
        <v>-3.7827586206896546</v>
      </c>
      <c r="D32" s="37">
        <v>2.1724137931034484</v>
      </c>
      <c r="E32" s="33">
        <v>0.2413793103448276</v>
      </c>
      <c r="F32" s="33">
        <v>0.41379310344827586</v>
      </c>
      <c r="G32" s="33">
        <v>0.26337448559670784</v>
      </c>
      <c r="H32" s="33">
        <v>0.15226337448559671</v>
      </c>
      <c r="I32" s="34">
        <v>8460.9375</v>
      </c>
      <c r="J32" s="34">
        <v>-7159.4594594594591</v>
      </c>
      <c r="K32" s="33">
        <v>0.13793103448275862</v>
      </c>
      <c r="L32" s="33">
        <v>0.25925925925925924</v>
      </c>
      <c r="M32" s="33">
        <v>0.25925925925925924</v>
      </c>
      <c r="N32" s="33">
        <v>0.49206349206349204</v>
      </c>
      <c r="O32" s="33">
        <v>0.41269841269841268</v>
      </c>
      <c r="P32" s="33">
        <v>0.421875</v>
      </c>
    </row>
    <row r="33" spans="1:16" x14ac:dyDescent="0.45">
      <c r="A33" s="35">
        <v>30</v>
      </c>
      <c r="B33" s="32">
        <v>-107.29999999999998</v>
      </c>
      <c r="C33" s="32">
        <v>-3.5766666666666662</v>
      </c>
      <c r="D33" s="37">
        <v>2.1666666666666665</v>
      </c>
      <c r="E33" s="33">
        <v>0.23333333333333334</v>
      </c>
      <c r="F33" s="33">
        <v>0.4</v>
      </c>
      <c r="G33" s="33">
        <v>0.26315789473684209</v>
      </c>
      <c r="H33" s="33">
        <v>0.14979757085020243</v>
      </c>
      <c r="I33" s="34">
        <v>8429.2307692307695</v>
      </c>
      <c r="J33" s="34">
        <v>-7159.4594594594591</v>
      </c>
      <c r="K33" s="33">
        <v>0.13333333333333333</v>
      </c>
      <c r="L33" s="33">
        <v>0.25506072874493929</v>
      </c>
      <c r="M33" s="33">
        <v>0.25910931174089069</v>
      </c>
      <c r="N33" s="33">
        <v>0.49206349206349204</v>
      </c>
      <c r="O33" s="33">
        <v>0.40625</v>
      </c>
      <c r="P33" s="33">
        <v>0.41538461538461541</v>
      </c>
    </row>
    <row r="34" spans="1:16" x14ac:dyDescent="0.45">
      <c r="A34" s="35">
        <v>31</v>
      </c>
      <c r="B34" s="32">
        <v>-96.799999999999983</v>
      </c>
      <c r="C34" s="32">
        <v>-3.1225806451612899</v>
      </c>
      <c r="D34" s="37">
        <v>2.161290322580645</v>
      </c>
      <c r="E34" s="33">
        <v>0.22580645161290322</v>
      </c>
      <c r="F34" s="33">
        <v>0.38709677419354838</v>
      </c>
      <c r="G34" s="33">
        <v>0.26744186046511625</v>
      </c>
      <c r="H34" s="33">
        <v>0.15116279069767441</v>
      </c>
      <c r="I34" s="34">
        <v>8295.652173913044</v>
      </c>
      <c r="J34" s="34">
        <v>-7305.1282051282051</v>
      </c>
      <c r="K34" s="33">
        <v>0.12903225806451613</v>
      </c>
      <c r="L34" s="33">
        <v>0.25193798449612403</v>
      </c>
      <c r="M34" s="33">
        <v>0.27131782945736432</v>
      </c>
      <c r="N34" s="33">
        <v>0.50769230769230766</v>
      </c>
      <c r="O34" s="33">
        <v>0.4</v>
      </c>
      <c r="P34" s="33">
        <v>0.40579710144927539</v>
      </c>
    </row>
    <row r="35" spans="1:16" x14ac:dyDescent="0.45">
      <c r="A35" s="35">
        <v>32</v>
      </c>
      <c r="B35" s="32">
        <v>-54.09999999999998</v>
      </c>
      <c r="C35" s="32">
        <v>-1.6906249999999994</v>
      </c>
      <c r="D35" s="37">
        <v>2.125</v>
      </c>
      <c r="E35" s="33">
        <v>0.25</v>
      </c>
      <c r="F35" s="33">
        <v>0.375</v>
      </c>
      <c r="G35" s="33">
        <v>0.27376425855513309</v>
      </c>
      <c r="H35" s="33">
        <v>0.14828897338403041</v>
      </c>
      <c r="I35" s="34">
        <v>8494.4444444444453</v>
      </c>
      <c r="J35" s="34">
        <v>-7305.1282051282051</v>
      </c>
      <c r="K35" s="33">
        <v>0.125</v>
      </c>
      <c r="L35" s="33">
        <v>0.2509505703422053</v>
      </c>
      <c r="M35" s="33">
        <v>0.28136882129277568</v>
      </c>
      <c r="N35" s="33">
        <v>0.51515151515151514</v>
      </c>
      <c r="O35" s="33">
        <v>0.40540540540540543</v>
      </c>
      <c r="P35" s="33">
        <v>0.40277777777777779</v>
      </c>
    </row>
    <row r="36" spans="1:16" x14ac:dyDescent="0.45">
      <c r="A36" s="35">
        <v>33</v>
      </c>
      <c r="B36" s="32">
        <v>-48.899999999999977</v>
      </c>
      <c r="C36" s="32">
        <v>-1.481818181818181</v>
      </c>
      <c r="D36" s="37">
        <v>2.1212121212121211</v>
      </c>
      <c r="E36" s="33">
        <v>0.24242424242424243</v>
      </c>
      <c r="F36" s="33">
        <v>0.36363636363636365</v>
      </c>
      <c r="G36" s="33">
        <v>0.26568265682656828</v>
      </c>
      <c r="H36" s="33">
        <v>0.14391143911439114</v>
      </c>
      <c r="I36" s="34">
        <v>8494.4444444444453</v>
      </c>
      <c r="J36" s="34">
        <v>-7305.1282051282051</v>
      </c>
      <c r="K36" s="33">
        <v>0.12121212121212122</v>
      </c>
      <c r="L36" s="33">
        <v>0.24723247232472326</v>
      </c>
      <c r="M36" s="33">
        <v>0.28413284132841327</v>
      </c>
      <c r="N36" s="33">
        <v>0.5074626865671642</v>
      </c>
      <c r="O36" s="33">
        <v>0.38961038961038963</v>
      </c>
      <c r="P36" s="33">
        <v>0.40277777777777779</v>
      </c>
    </row>
    <row r="37" spans="1:16" x14ac:dyDescent="0.45">
      <c r="A37" s="35">
        <v>34</v>
      </c>
      <c r="B37" s="32">
        <v>-63.999999999999979</v>
      </c>
      <c r="C37" s="32">
        <v>-1.8823529411764699</v>
      </c>
      <c r="D37" s="37">
        <v>2.1470588235294117</v>
      </c>
      <c r="E37" s="33">
        <v>0.23529411764705882</v>
      </c>
      <c r="F37" s="33">
        <v>0.38235294117647056</v>
      </c>
      <c r="G37" s="33">
        <v>0.26618705035971224</v>
      </c>
      <c r="H37" s="33">
        <v>0.14388489208633093</v>
      </c>
      <c r="I37" s="34">
        <v>8339.1891891891901</v>
      </c>
      <c r="J37" s="34">
        <v>-7187.5</v>
      </c>
      <c r="K37" s="33">
        <v>0.11764705882352941</v>
      </c>
      <c r="L37" s="33">
        <v>0.24100719424460432</v>
      </c>
      <c r="M37" s="33">
        <v>0.29136690647482016</v>
      </c>
      <c r="N37" s="33">
        <v>0.5074626865671642</v>
      </c>
      <c r="O37" s="33">
        <v>0.39506172839506171</v>
      </c>
      <c r="P37" s="33">
        <v>0.40540540540540543</v>
      </c>
    </row>
    <row r="38" spans="1:16" x14ac:dyDescent="0.45">
      <c r="A38" s="35">
        <v>35</v>
      </c>
      <c r="B38" s="32">
        <v>-72.399999999999977</v>
      </c>
      <c r="C38" s="32">
        <v>-2.0685714285714281</v>
      </c>
      <c r="D38" s="37">
        <v>2.1428571428571428</v>
      </c>
      <c r="E38" s="33">
        <v>0.22857142857142856</v>
      </c>
      <c r="F38" s="33">
        <v>0.37142857142857144</v>
      </c>
      <c r="G38" s="33">
        <v>0.26923076923076922</v>
      </c>
      <c r="H38" s="33">
        <v>0.13986013986013987</v>
      </c>
      <c r="I38" s="34">
        <v>8112.9870129870133</v>
      </c>
      <c r="J38" s="34">
        <v>-7187.5</v>
      </c>
      <c r="K38" s="33">
        <v>0.11428571428571428</v>
      </c>
      <c r="L38" s="33">
        <v>0.23426573426573427</v>
      </c>
      <c r="M38" s="33">
        <v>0.2937062937062937</v>
      </c>
      <c r="N38" s="33">
        <v>0.5074626865671642</v>
      </c>
      <c r="O38" s="33">
        <v>0.40476190476190477</v>
      </c>
      <c r="P38" s="33">
        <v>0.41558441558441561</v>
      </c>
    </row>
    <row r="39" spans="1:16" x14ac:dyDescent="0.45">
      <c r="A39" s="35">
        <v>36</v>
      </c>
      <c r="B39" s="32">
        <v>-65.399999999999977</v>
      </c>
      <c r="C39" s="32">
        <v>-1.816666666666666</v>
      </c>
      <c r="D39" s="37">
        <v>2.1388888888888888</v>
      </c>
      <c r="E39" s="33">
        <v>0.22222222222222221</v>
      </c>
      <c r="F39" s="33">
        <v>0.3611111111111111</v>
      </c>
      <c r="G39" s="33">
        <v>0.27397260273972601</v>
      </c>
      <c r="H39" s="33">
        <v>0.1404109589041096</v>
      </c>
      <c r="I39" s="34">
        <v>8108.75</v>
      </c>
      <c r="J39" s="34">
        <v>-7207.3170731707314</v>
      </c>
      <c r="K39" s="33">
        <v>0.1111111111111111</v>
      </c>
      <c r="L39" s="33">
        <v>0.2363013698630137</v>
      </c>
      <c r="M39" s="33">
        <v>0.28767123287671231</v>
      </c>
      <c r="N39" s="33">
        <v>0.52173913043478259</v>
      </c>
      <c r="O39" s="33">
        <v>0.40476190476190477</v>
      </c>
      <c r="P39" s="33">
        <v>0.42499999999999999</v>
      </c>
    </row>
    <row r="40" spans="1:16" x14ac:dyDescent="0.45">
      <c r="A40" s="35">
        <v>37</v>
      </c>
      <c r="B40" s="32">
        <v>-58.59999999999998</v>
      </c>
      <c r="C40" s="32">
        <v>-1.5837837837837832</v>
      </c>
      <c r="D40" s="37">
        <v>2.1351351351351351</v>
      </c>
      <c r="E40" s="33">
        <v>0.21621621621621623</v>
      </c>
      <c r="F40" s="33">
        <v>0.35135135135135137</v>
      </c>
      <c r="G40" s="33">
        <v>0.28052805280528054</v>
      </c>
      <c r="H40" s="33">
        <v>0.14191419141914191</v>
      </c>
      <c r="I40" s="34">
        <v>8100</v>
      </c>
      <c r="J40" s="34">
        <v>-7476.7441860465115</v>
      </c>
      <c r="K40" s="33">
        <v>0.10810810810810811</v>
      </c>
      <c r="L40" s="33">
        <v>0.24092409240924093</v>
      </c>
      <c r="M40" s="33">
        <v>0.28382838283828382</v>
      </c>
      <c r="N40" s="33">
        <v>0.54794520547945202</v>
      </c>
      <c r="O40" s="33">
        <v>0.39534883720930231</v>
      </c>
      <c r="P40" s="33">
        <v>0.4</v>
      </c>
    </row>
    <row r="41" spans="1:16" x14ac:dyDescent="0.45">
      <c r="A41" s="35">
        <v>38</v>
      </c>
      <c r="B41" s="32">
        <v>-51.799999999999983</v>
      </c>
      <c r="C41" s="32">
        <v>-1.3631578947368417</v>
      </c>
      <c r="D41" s="37">
        <v>2.1315789473684212</v>
      </c>
      <c r="E41" s="33">
        <v>0.21052631578947367</v>
      </c>
      <c r="F41" s="33">
        <v>0.34210526315789475</v>
      </c>
      <c r="G41" s="33">
        <v>0.27795527156549521</v>
      </c>
      <c r="H41" s="33">
        <v>0.14376996805111822</v>
      </c>
      <c r="I41" s="34">
        <v>8111.4942528735628</v>
      </c>
      <c r="J41" s="34">
        <v>-7408.8888888888887</v>
      </c>
      <c r="K41" s="33">
        <v>0.10526315789473684</v>
      </c>
      <c r="L41" s="33">
        <v>0.24600638977635783</v>
      </c>
      <c r="M41" s="33">
        <v>0.27795527156549521</v>
      </c>
      <c r="N41" s="33">
        <v>0.53246753246753242</v>
      </c>
      <c r="O41" s="33">
        <v>0.39080459770114945</v>
      </c>
      <c r="P41" s="33">
        <v>0.40229885057471265</v>
      </c>
    </row>
    <row r="42" spans="1:16" x14ac:dyDescent="0.45">
      <c r="A42" s="35">
        <v>39</v>
      </c>
      <c r="B42" s="32">
        <v>-67.899999999999977</v>
      </c>
      <c r="C42" s="32">
        <v>-1.7410256410256404</v>
      </c>
      <c r="D42" s="37">
        <v>2.1282051282051282</v>
      </c>
      <c r="E42" s="33">
        <v>0.20512820512820512</v>
      </c>
      <c r="F42" s="33">
        <v>0.33333333333333331</v>
      </c>
      <c r="G42" s="33">
        <v>0.27500000000000002</v>
      </c>
      <c r="H42" s="33">
        <v>0.14374999999999999</v>
      </c>
      <c r="I42" s="34">
        <v>8063.636363636364</v>
      </c>
      <c r="J42" s="34">
        <v>-7415.217391304348</v>
      </c>
      <c r="K42" s="33">
        <v>0.10256410256410256</v>
      </c>
      <c r="L42" s="33">
        <v>0.24374999999999999</v>
      </c>
      <c r="M42" s="33">
        <v>0.27500000000000002</v>
      </c>
      <c r="N42" s="33">
        <v>0.52564102564102566</v>
      </c>
      <c r="O42" s="33">
        <v>0.38636363636363635</v>
      </c>
      <c r="P42" s="33">
        <v>0.39772727272727271</v>
      </c>
    </row>
    <row r="43" spans="1:16" x14ac:dyDescent="0.45">
      <c r="A43" s="35">
        <v>40</v>
      </c>
      <c r="B43" s="32">
        <v>-61.299999999999976</v>
      </c>
      <c r="C43" s="32">
        <v>-1.5324999999999993</v>
      </c>
      <c r="D43" s="37">
        <v>2.125</v>
      </c>
      <c r="E43" s="33">
        <v>0.2</v>
      </c>
      <c r="F43" s="33">
        <v>0.32500000000000001</v>
      </c>
      <c r="G43" s="33">
        <v>0.27522935779816515</v>
      </c>
      <c r="H43" s="33">
        <v>0.14678899082568808</v>
      </c>
      <c r="I43" s="34">
        <v>8151.1111111111113</v>
      </c>
      <c r="J43" s="34">
        <v>-7381.25</v>
      </c>
      <c r="K43" s="33">
        <v>0.1</v>
      </c>
      <c r="L43" s="33">
        <v>0.24464831804281345</v>
      </c>
      <c r="M43" s="33">
        <v>0.27217125382262997</v>
      </c>
      <c r="N43" s="33">
        <v>0.53749999999999998</v>
      </c>
      <c r="O43" s="33">
        <v>0.38202247191011235</v>
      </c>
      <c r="P43" s="33">
        <v>0.3888888888888889</v>
      </c>
    </row>
    <row r="44" spans="1:16" x14ac:dyDescent="0.45">
      <c r="A44" s="35">
        <v>41</v>
      </c>
      <c r="B44" s="32">
        <v>-56.899999999999977</v>
      </c>
      <c r="C44" s="32">
        <v>-1.3878048780487799</v>
      </c>
      <c r="D44" s="37">
        <v>2.1219512195121952</v>
      </c>
      <c r="E44" s="33">
        <v>0.1951219512195122</v>
      </c>
      <c r="F44" s="33">
        <v>0.31707317073170732</v>
      </c>
      <c r="G44" s="33">
        <v>0.27844311377245506</v>
      </c>
      <c r="H44" s="33">
        <v>0.1497005988023952</v>
      </c>
      <c r="I44" s="34">
        <v>8081.7204301075271</v>
      </c>
      <c r="J44" s="34">
        <v>-7318</v>
      </c>
      <c r="K44" s="33">
        <v>9.7560975609756101E-2</v>
      </c>
      <c r="L44" s="33">
        <v>0.24850299401197604</v>
      </c>
      <c r="M44" s="33">
        <v>0.26946107784431139</v>
      </c>
      <c r="N44" s="33">
        <v>0.54216867469879515</v>
      </c>
      <c r="O44" s="33">
        <v>0.3888888888888889</v>
      </c>
      <c r="P44" s="33">
        <v>0.39784946236559138</v>
      </c>
    </row>
    <row r="45" spans="1:16" x14ac:dyDescent="0.45">
      <c r="A45" s="35">
        <v>42</v>
      </c>
      <c r="B45" s="32">
        <v>-58.499999999999979</v>
      </c>
      <c r="C45" s="32">
        <v>-1.3928571428571423</v>
      </c>
      <c r="D45" s="37">
        <v>2.1190476190476191</v>
      </c>
      <c r="E45" s="33">
        <v>0.19047619047619047</v>
      </c>
      <c r="F45" s="33">
        <v>0.30952380952380953</v>
      </c>
      <c r="G45" s="33">
        <v>0.28279883381924198</v>
      </c>
      <c r="H45" s="33">
        <v>0.14868804664723032</v>
      </c>
      <c r="I45" s="34">
        <v>8176.2886597938141</v>
      </c>
      <c r="J45" s="34">
        <v>-7801.9607843137255</v>
      </c>
      <c r="K45" s="33">
        <v>9.5238095238095233E-2</v>
      </c>
      <c r="L45" s="33">
        <v>0.25072886297376096</v>
      </c>
      <c r="M45" s="33">
        <v>0.26822157434402333</v>
      </c>
      <c r="N45" s="33">
        <v>0.55813953488372092</v>
      </c>
      <c r="O45" s="33">
        <v>0.39130434782608697</v>
      </c>
      <c r="P45" s="33">
        <v>0.40206185567010311</v>
      </c>
    </row>
    <row r="46" spans="1:16" x14ac:dyDescent="0.45">
      <c r="A46" s="35">
        <v>43</v>
      </c>
      <c r="B46" s="32">
        <v>-49.899999999999977</v>
      </c>
      <c r="C46" s="32">
        <v>-1.1604651162790693</v>
      </c>
      <c r="D46" s="37">
        <v>2.1162790697674421</v>
      </c>
      <c r="E46" s="33">
        <v>0.18604651162790697</v>
      </c>
      <c r="F46" s="33">
        <v>0.30232558139534882</v>
      </c>
      <c r="G46" s="33">
        <v>0.28285714285714286</v>
      </c>
      <c r="H46" s="33">
        <v>0.14857142857142858</v>
      </c>
      <c r="I46" s="34">
        <v>8213.1313131313127</v>
      </c>
      <c r="J46" s="34">
        <v>-7682.6923076923076</v>
      </c>
      <c r="K46" s="33">
        <v>9.3023255813953487E-2</v>
      </c>
      <c r="L46" s="33">
        <v>0.25714285714285712</v>
      </c>
      <c r="M46" s="33">
        <v>0.26285714285714284</v>
      </c>
      <c r="N46" s="33">
        <v>0.55555555555555558</v>
      </c>
      <c r="O46" s="33">
        <v>0.39130434782608697</v>
      </c>
      <c r="P46" s="33">
        <v>0.41414141414141414</v>
      </c>
    </row>
    <row r="47" spans="1:16" x14ac:dyDescent="0.45">
      <c r="A47" s="35">
        <v>44</v>
      </c>
      <c r="B47" s="32">
        <v>11.600000000000023</v>
      </c>
      <c r="C47" s="32">
        <v>0.26363636363636417</v>
      </c>
      <c r="D47" s="37">
        <v>2.0909090909090908</v>
      </c>
      <c r="E47" s="33">
        <v>0.20454545454545456</v>
      </c>
      <c r="F47" s="33">
        <v>0.29545454545454547</v>
      </c>
      <c r="G47" s="33">
        <v>0.28732394366197184</v>
      </c>
      <c r="H47" s="33">
        <v>0.14647887323943662</v>
      </c>
      <c r="I47" s="34">
        <v>8383.3333333333339</v>
      </c>
      <c r="J47" s="34">
        <v>-7682.6923076923076</v>
      </c>
      <c r="K47" s="33">
        <v>9.0909090909090912E-2</v>
      </c>
      <c r="L47" s="33">
        <v>0.26197183098591548</v>
      </c>
      <c r="M47" s="33">
        <v>0.25915492957746478</v>
      </c>
      <c r="N47" s="33">
        <v>0.56989247311827962</v>
      </c>
      <c r="O47" s="33">
        <v>0.39130434782608697</v>
      </c>
      <c r="P47" s="33">
        <v>0.42156862745098039</v>
      </c>
    </row>
    <row r="48" spans="1:16" x14ac:dyDescent="0.45">
      <c r="A48" s="35">
        <v>45</v>
      </c>
      <c r="B48" s="32">
        <v>-23.299999999999976</v>
      </c>
      <c r="C48" s="32">
        <v>-0.51777777777777723</v>
      </c>
      <c r="D48" s="37">
        <v>2.1111111111111112</v>
      </c>
      <c r="E48" s="33">
        <v>0.2</v>
      </c>
      <c r="F48" s="33">
        <v>0.31111111111111112</v>
      </c>
      <c r="G48" s="33">
        <v>0.28415300546448086</v>
      </c>
      <c r="H48" s="33">
        <v>0.1448087431693989</v>
      </c>
      <c r="I48" s="34">
        <v>8318.2692307692305</v>
      </c>
      <c r="J48" s="34">
        <v>-7688.6792452830186</v>
      </c>
      <c r="K48" s="33">
        <v>8.8888888888888892E-2</v>
      </c>
      <c r="L48" s="33">
        <v>0.25683060109289618</v>
      </c>
      <c r="M48" s="33">
        <v>0.25683060109289618</v>
      </c>
      <c r="N48" s="33">
        <v>0.57446808510638303</v>
      </c>
      <c r="O48" s="33">
        <v>0.39361702127659576</v>
      </c>
      <c r="P48" s="33">
        <v>0.41346153846153844</v>
      </c>
    </row>
    <row r="49" spans="1:16" x14ac:dyDescent="0.45">
      <c r="A49" s="35">
        <v>46</v>
      </c>
      <c r="B49" s="32">
        <v>-11.099999999999977</v>
      </c>
      <c r="C49" s="32">
        <v>-0.24130434782608645</v>
      </c>
      <c r="D49" s="37">
        <v>2.1086956521739131</v>
      </c>
      <c r="E49" s="33">
        <v>0.19565217391304349</v>
      </c>
      <c r="F49" s="33">
        <v>0.30434782608695654</v>
      </c>
      <c r="G49" s="33">
        <v>0.28301886792452829</v>
      </c>
      <c r="H49" s="33">
        <v>0.14285714285714285</v>
      </c>
      <c r="I49" s="34">
        <v>8353.3333333333339</v>
      </c>
      <c r="J49" s="34">
        <v>-7688.6792452830186</v>
      </c>
      <c r="K49" s="33">
        <v>8.6956521739130432E-2</v>
      </c>
      <c r="L49" s="33">
        <v>0.25336927223719674</v>
      </c>
      <c r="M49" s="33">
        <v>0.2587601078167116</v>
      </c>
      <c r="N49" s="33">
        <v>0.57446808510638303</v>
      </c>
      <c r="O49" s="33">
        <v>0.38541666666666669</v>
      </c>
      <c r="P49" s="33">
        <v>0.41904761904761906</v>
      </c>
    </row>
    <row r="50" spans="1:16" x14ac:dyDescent="0.45">
      <c r="A50" s="35">
        <v>47</v>
      </c>
      <c r="B50" s="32">
        <v>-31.099999999999977</v>
      </c>
      <c r="C50" s="32">
        <v>-0.66170212765957392</v>
      </c>
      <c r="D50" s="37">
        <v>2.1063829787234041</v>
      </c>
      <c r="E50" s="33">
        <v>0.19148936170212766</v>
      </c>
      <c r="F50" s="33">
        <v>0.2978723404255319</v>
      </c>
      <c r="G50" s="33">
        <v>0.28238341968911918</v>
      </c>
      <c r="H50" s="33">
        <v>0.14248704663212436</v>
      </c>
      <c r="I50" s="34">
        <v>8305.5045871559632</v>
      </c>
      <c r="J50" s="34">
        <v>-7827.272727272727</v>
      </c>
      <c r="K50" s="33">
        <v>8.5106382978723402E-2</v>
      </c>
      <c r="L50" s="33">
        <v>0.25129533678756477</v>
      </c>
      <c r="M50" s="33">
        <v>0.25647668393782386</v>
      </c>
      <c r="N50" s="33">
        <v>0.57731958762886593</v>
      </c>
      <c r="O50" s="33">
        <v>0.39393939393939392</v>
      </c>
      <c r="P50" s="33">
        <v>0.42201834862385323</v>
      </c>
    </row>
    <row r="51" spans="1:16" x14ac:dyDescent="0.45">
      <c r="A51" s="35">
        <v>48</v>
      </c>
      <c r="B51" s="32">
        <v>-18.499999999999979</v>
      </c>
      <c r="C51" s="32">
        <v>-0.38541666666666624</v>
      </c>
      <c r="D51" s="37">
        <v>2.1041666666666665</v>
      </c>
      <c r="E51" s="33">
        <v>0.1875</v>
      </c>
      <c r="F51" s="33">
        <v>0.29166666666666669</v>
      </c>
      <c r="G51" s="33">
        <v>0.28498727735368956</v>
      </c>
      <c r="H51" s="33">
        <v>0.13994910941475827</v>
      </c>
      <c r="I51" s="34">
        <v>8366.0714285714294</v>
      </c>
      <c r="J51" s="34">
        <v>-7827.272727272727</v>
      </c>
      <c r="K51" s="33">
        <v>8.3333333333333329E-2</v>
      </c>
      <c r="L51" s="33">
        <v>0.25190839694656486</v>
      </c>
      <c r="M51" s="33">
        <v>0.2544529262086514</v>
      </c>
      <c r="N51" s="33">
        <v>0.58585858585858586</v>
      </c>
      <c r="O51" s="33">
        <v>0.4</v>
      </c>
      <c r="P51" s="33">
        <v>0.41964285714285715</v>
      </c>
    </row>
    <row r="52" spans="1:16" x14ac:dyDescent="0.45">
      <c r="A52" s="35">
        <v>49</v>
      </c>
      <c r="B52" s="32">
        <v>7.1000000000000227</v>
      </c>
      <c r="C52" s="32">
        <v>0.14489795918367393</v>
      </c>
      <c r="D52" s="37">
        <v>2.0816326530612246</v>
      </c>
      <c r="E52" s="33">
        <v>0.20408163265306123</v>
      </c>
      <c r="F52" s="33">
        <v>0.2857142857142857</v>
      </c>
      <c r="G52" s="33">
        <v>0.28499999999999998</v>
      </c>
      <c r="H52" s="33">
        <v>0.14000000000000001</v>
      </c>
      <c r="I52" s="34">
        <v>8429.8245614035095</v>
      </c>
      <c r="J52" s="34">
        <v>-7757.1428571428569</v>
      </c>
      <c r="K52" s="33">
        <v>8.1632653061224483E-2</v>
      </c>
      <c r="L52" s="33">
        <v>0.2525</v>
      </c>
      <c r="M52" s="33">
        <v>0.255</v>
      </c>
      <c r="N52" s="33">
        <v>0.59405940594059403</v>
      </c>
      <c r="O52" s="33">
        <v>0.39215686274509803</v>
      </c>
      <c r="P52" s="33">
        <v>0.42982456140350878</v>
      </c>
    </row>
    <row r="53" spans="1:16" x14ac:dyDescent="0.45">
      <c r="A53" s="35">
        <v>50</v>
      </c>
      <c r="B53" s="32">
        <v>6.5000000000000231</v>
      </c>
      <c r="C53" s="32">
        <v>0.13000000000000045</v>
      </c>
      <c r="D53" s="37">
        <v>2.08</v>
      </c>
      <c r="E53" s="33">
        <v>0.2</v>
      </c>
      <c r="F53" s="33">
        <v>0.28000000000000003</v>
      </c>
      <c r="G53" s="33">
        <v>0.28186274509803921</v>
      </c>
      <c r="H53" s="33">
        <v>0.13970588235294118</v>
      </c>
      <c r="I53" s="34">
        <v>8460.8695652173919</v>
      </c>
      <c r="J53" s="34">
        <v>-7705.2631578947367</v>
      </c>
      <c r="K53" s="33">
        <v>0.08</v>
      </c>
      <c r="L53" s="33">
        <v>0.25245098039215685</v>
      </c>
      <c r="M53" s="33">
        <v>0.25</v>
      </c>
      <c r="N53" s="33">
        <v>0.59223300970873782</v>
      </c>
      <c r="O53" s="33">
        <v>0.39215686274509803</v>
      </c>
      <c r="P53" s="33">
        <v>0.43478260869565216</v>
      </c>
    </row>
    <row r="54" spans="1:16" x14ac:dyDescent="0.45">
      <c r="A54" s="35">
        <v>51</v>
      </c>
      <c r="B54" s="32">
        <v>-0.29999999999997673</v>
      </c>
      <c r="C54" s="32">
        <v>-5.8823529411760143E-3</v>
      </c>
      <c r="D54" s="37">
        <v>2.0784313725490198</v>
      </c>
      <c r="E54" s="33">
        <v>0.19607843137254902</v>
      </c>
      <c r="F54" s="33">
        <v>0.27450980392156865</v>
      </c>
      <c r="G54" s="33">
        <v>0.27751196172248804</v>
      </c>
      <c r="H54" s="33">
        <v>0.13636363636363635</v>
      </c>
      <c r="I54" s="34">
        <v>8543.1034482758623</v>
      </c>
      <c r="J54" s="34">
        <v>-7705.2631578947367</v>
      </c>
      <c r="K54" s="33">
        <v>7.8431372549019607E-2</v>
      </c>
      <c r="L54" s="33">
        <v>0.25358851674641147</v>
      </c>
      <c r="M54" s="33">
        <v>0.25119617224880381</v>
      </c>
      <c r="N54" s="33">
        <v>0.58490566037735847</v>
      </c>
      <c r="O54" s="33">
        <v>0.38095238095238093</v>
      </c>
      <c r="P54" s="33">
        <v>0.43965517241379309</v>
      </c>
    </row>
    <row r="55" spans="1:16" x14ac:dyDescent="0.45">
      <c r="A55" s="35">
        <v>52</v>
      </c>
      <c r="B55" s="32">
        <v>8.800000000000022</v>
      </c>
      <c r="C55" s="32">
        <v>0.16923076923076966</v>
      </c>
      <c r="D55" s="37">
        <v>2.0769230769230771</v>
      </c>
      <c r="E55" s="33">
        <v>0.19230769230769232</v>
      </c>
      <c r="F55" s="33">
        <v>0.26923076923076922</v>
      </c>
      <c r="G55" s="33">
        <v>0.28000000000000003</v>
      </c>
      <c r="H55" s="33">
        <v>0.13411764705882354</v>
      </c>
      <c r="I55" s="34">
        <v>8626.8907563025205</v>
      </c>
      <c r="J55" s="34">
        <v>-7705.2631578947367</v>
      </c>
      <c r="K55" s="33">
        <v>7.6923076923076927E-2</v>
      </c>
      <c r="L55" s="33">
        <v>0.2541176470588235</v>
      </c>
      <c r="M55" s="33">
        <v>0.25176470588235295</v>
      </c>
      <c r="N55" s="33">
        <v>0.59259259259259256</v>
      </c>
      <c r="O55" s="33">
        <v>0.38317757009345793</v>
      </c>
      <c r="P55" s="33">
        <v>0.43697478991596639</v>
      </c>
    </row>
    <row r="56" spans="1:16" x14ac:dyDescent="0.45">
      <c r="A56" s="35">
        <v>53</v>
      </c>
      <c r="B56" s="32">
        <v>5.800000000000022</v>
      </c>
      <c r="C56" s="32">
        <v>0.10943396226415136</v>
      </c>
      <c r="D56" s="37">
        <v>2.0754716981132075</v>
      </c>
      <c r="E56" s="33">
        <v>0.18867924528301888</v>
      </c>
      <c r="F56" s="33">
        <v>0.26415094339622641</v>
      </c>
      <c r="G56" s="33">
        <v>0.28175519630484991</v>
      </c>
      <c r="H56" s="33">
        <v>0.13163972286374134</v>
      </c>
      <c r="I56" s="34">
        <v>8558.1967213114749</v>
      </c>
      <c r="J56" s="34">
        <v>-7705.2631578947367</v>
      </c>
      <c r="K56" s="33">
        <v>7.5471698113207544E-2</v>
      </c>
      <c r="L56" s="33">
        <v>0.25635103926096997</v>
      </c>
      <c r="M56" s="33">
        <v>0.24942263279445728</v>
      </c>
      <c r="N56" s="33">
        <v>0.5855855855855856</v>
      </c>
      <c r="O56" s="33">
        <v>0.3888888888888889</v>
      </c>
      <c r="P56" s="33">
        <v>0.4344262295081967</v>
      </c>
    </row>
    <row r="57" spans="1:16" x14ac:dyDescent="0.45">
      <c r="A57" s="35">
        <v>54</v>
      </c>
      <c r="B57" s="32">
        <v>-12.499999999999979</v>
      </c>
      <c r="C57" s="32">
        <v>-0.23148148148148109</v>
      </c>
      <c r="D57" s="37">
        <v>2.0925925925925926</v>
      </c>
      <c r="E57" s="33">
        <v>0.18518518518518517</v>
      </c>
      <c r="F57" s="33">
        <v>0.27777777777777779</v>
      </c>
      <c r="G57" s="33">
        <v>0.28018223234624146</v>
      </c>
      <c r="H57" s="33">
        <v>0.12984054669703873</v>
      </c>
      <c r="I57" s="34">
        <v>8553.6585365853662</v>
      </c>
      <c r="J57" s="34">
        <v>-7705.2631578947367</v>
      </c>
      <c r="K57" s="33">
        <v>7.407407407407407E-2</v>
      </c>
      <c r="L57" s="33">
        <v>0.25740318906605925</v>
      </c>
      <c r="M57" s="33">
        <v>0.24601366742596811</v>
      </c>
      <c r="N57" s="33">
        <v>0.58407079646017701</v>
      </c>
      <c r="O57" s="33">
        <v>0.3888888888888889</v>
      </c>
      <c r="P57" s="33">
        <v>0.43089430894308944</v>
      </c>
    </row>
    <row r="58" spans="1:16" x14ac:dyDescent="0.45">
      <c r="A58" s="35">
        <v>55</v>
      </c>
      <c r="B58" s="32">
        <v>36.40000000000002</v>
      </c>
      <c r="C58" s="32">
        <v>0.66181818181818219</v>
      </c>
      <c r="D58" s="37">
        <v>2.0727272727272728</v>
      </c>
      <c r="E58" s="33">
        <v>0.2</v>
      </c>
      <c r="F58" s="33">
        <v>0.27272727272727271</v>
      </c>
      <c r="G58" s="33">
        <v>0.28442437923250563</v>
      </c>
      <c r="H58" s="33">
        <v>0.12866817155756208</v>
      </c>
      <c r="I58" s="34">
        <v>8650.7936507936502</v>
      </c>
      <c r="J58" s="34">
        <v>-7705.2631578947367</v>
      </c>
      <c r="K58" s="33">
        <v>7.2727272727272724E-2</v>
      </c>
      <c r="L58" s="33">
        <v>0.25733634311512416</v>
      </c>
      <c r="M58" s="33">
        <v>0.24830699774266365</v>
      </c>
      <c r="N58" s="33">
        <v>0.58771929824561409</v>
      </c>
      <c r="O58" s="33">
        <v>0.4</v>
      </c>
      <c r="P58" s="33">
        <v>0.42063492063492064</v>
      </c>
    </row>
    <row r="59" spans="1:16" x14ac:dyDescent="0.45">
      <c r="A59" s="35">
        <v>56</v>
      </c>
      <c r="B59" s="32">
        <v>-3.6999999999999815</v>
      </c>
      <c r="C59" s="32">
        <v>-6.607142857142824E-2</v>
      </c>
      <c r="D59" s="37">
        <v>2.0892857142857144</v>
      </c>
      <c r="E59" s="33">
        <v>0.19642857142857142</v>
      </c>
      <c r="F59" s="33">
        <v>0.2857142857142857</v>
      </c>
      <c r="G59" s="33">
        <v>0.2807017543859649</v>
      </c>
      <c r="H59" s="33">
        <v>0.1337719298245614</v>
      </c>
      <c r="I59" s="34">
        <v>8638.28125</v>
      </c>
      <c r="J59" s="34">
        <v>-7642.622950819672</v>
      </c>
      <c r="K59" s="33">
        <v>7.1428571428571425E-2</v>
      </c>
      <c r="L59" s="33">
        <v>0.26096491228070173</v>
      </c>
      <c r="M59" s="33">
        <v>0.24561403508771928</v>
      </c>
      <c r="N59" s="33">
        <v>0.5714285714285714</v>
      </c>
      <c r="O59" s="33">
        <v>0.39285714285714285</v>
      </c>
      <c r="P59" s="33">
        <v>0.421875</v>
      </c>
    </row>
    <row r="60" spans="1:16" x14ac:dyDescent="0.45">
      <c r="A60" s="35">
        <v>57</v>
      </c>
      <c r="B60" s="32">
        <v>12.90000000000002</v>
      </c>
      <c r="C60" s="32">
        <v>0.22631578947368455</v>
      </c>
      <c r="D60" s="37">
        <v>2.0701754385964914</v>
      </c>
      <c r="E60" s="33">
        <v>0.21052631578947367</v>
      </c>
      <c r="F60" s="33">
        <v>0.2807017543859649</v>
      </c>
      <c r="G60" s="33">
        <v>0.2832618025751073</v>
      </c>
      <c r="H60" s="33">
        <v>0.13304721030042918</v>
      </c>
      <c r="I60" s="34">
        <v>8578.0303030303039</v>
      </c>
      <c r="J60" s="34">
        <v>-7777.4193548387093</v>
      </c>
      <c r="K60" s="33">
        <v>7.0175438596491224E-2</v>
      </c>
      <c r="L60" s="33">
        <v>0.25751072961373389</v>
      </c>
      <c r="M60" s="33">
        <v>0.24678111587982832</v>
      </c>
      <c r="N60" s="33">
        <v>0.57499999999999996</v>
      </c>
      <c r="O60" s="33">
        <v>0.40869565217391307</v>
      </c>
      <c r="P60" s="33">
        <v>0.41666666666666669</v>
      </c>
    </row>
    <row r="61" spans="1:16" x14ac:dyDescent="0.45">
      <c r="A61" s="35">
        <v>58</v>
      </c>
      <c r="B61" s="32">
        <v>37.700000000000017</v>
      </c>
      <c r="C61" s="32">
        <v>0.65000000000000024</v>
      </c>
      <c r="D61" s="37">
        <v>2.0517241379310347</v>
      </c>
      <c r="E61" s="33">
        <v>0.22413793103448276</v>
      </c>
      <c r="F61" s="33">
        <v>0.27586206896551724</v>
      </c>
      <c r="G61" s="33">
        <v>0.28361344537815125</v>
      </c>
      <c r="H61" s="33">
        <v>0.13025210084033614</v>
      </c>
      <c r="I61" s="34">
        <v>8562.2222222222226</v>
      </c>
      <c r="J61" s="34">
        <v>-7777.4193548387093</v>
      </c>
      <c r="K61" s="33">
        <v>6.8965517241379309E-2</v>
      </c>
      <c r="L61" s="33">
        <v>0.25420168067226889</v>
      </c>
      <c r="M61" s="33">
        <v>0.24789915966386555</v>
      </c>
      <c r="N61" s="33">
        <v>0.57851239669421484</v>
      </c>
      <c r="O61" s="33">
        <v>0.4152542372881356</v>
      </c>
      <c r="P61" s="33">
        <v>0.42222222222222222</v>
      </c>
    </row>
    <row r="62" spans="1:16" x14ac:dyDescent="0.45">
      <c r="A62" s="35">
        <v>59</v>
      </c>
      <c r="B62" s="32">
        <v>77.000000000000014</v>
      </c>
      <c r="C62" s="32">
        <v>1.3050847457627122</v>
      </c>
      <c r="D62" s="37">
        <v>2.0338983050847457</v>
      </c>
      <c r="E62" s="33">
        <v>0.23728813559322035</v>
      </c>
      <c r="F62" s="33">
        <v>0.2711864406779661</v>
      </c>
      <c r="G62" s="33">
        <v>0.28985507246376813</v>
      </c>
      <c r="H62" s="33">
        <v>0.13043478260869565</v>
      </c>
      <c r="I62" s="34">
        <v>8480.7142857142862</v>
      </c>
      <c r="J62" s="34">
        <v>-7695.2380952380954</v>
      </c>
      <c r="K62" s="33">
        <v>6.7796610169491525E-2</v>
      </c>
      <c r="L62" s="33">
        <v>0.25465838509316768</v>
      </c>
      <c r="M62" s="33">
        <v>0.2484472049689441</v>
      </c>
      <c r="N62" s="33">
        <v>0.58536585365853655</v>
      </c>
      <c r="O62" s="33">
        <v>0.42499999999999999</v>
      </c>
      <c r="P62" s="33">
        <v>0.44285714285714284</v>
      </c>
    </row>
    <row r="63" spans="1:16" x14ac:dyDescent="0.45">
      <c r="A63" s="35">
        <v>60</v>
      </c>
      <c r="B63" s="32">
        <v>21.100000000000016</v>
      </c>
      <c r="C63" s="32">
        <v>0.3516666666666669</v>
      </c>
      <c r="D63" s="37">
        <v>2.0499999999999998</v>
      </c>
      <c r="E63" s="33">
        <v>0.23333333333333334</v>
      </c>
      <c r="F63" s="33">
        <v>0.28333333333333333</v>
      </c>
      <c r="G63" s="33">
        <v>0.28888888888888886</v>
      </c>
      <c r="H63" s="33">
        <v>0.13333333333333333</v>
      </c>
      <c r="I63" s="34">
        <v>8379.720279720279</v>
      </c>
      <c r="J63" s="34">
        <v>-7790.909090909091</v>
      </c>
      <c r="K63" s="33">
        <v>8.3333333333333329E-2</v>
      </c>
      <c r="L63" s="33">
        <v>0.25454545454545452</v>
      </c>
      <c r="M63" s="33">
        <v>0.25050505050505051</v>
      </c>
      <c r="N63" s="33">
        <v>0.57936507936507942</v>
      </c>
      <c r="O63" s="33">
        <v>0.41935483870967744</v>
      </c>
      <c r="P63" s="33">
        <v>0.44055944055944057</v>
      </c>
    </row>
    <row r="64" spans="1:16" x14ac:dyDescent="0.45">
      <c r="A64" s="35">
        <v>61</v>
      </c>
      <c r="B64" s="32">
        <v>27.100000000000016</v>
      </c>
      <c r="C64" s="32">
        <v>0.44426229508196746</v>
      </c>
      <c r="D64" s="37">
        <v>2.0491803278688523</v>
      </c>
      <c r="E64" s="33">
        <v>0.22950819672131148</v>
      </c>
      <c r="F64" s="33">
        <v>0.27868852459016391</v>
      </c>
      <c r="G64" s="33">
        <v>0.28769841269841268</v>
      </c>
      <c r="H64" s="33">
        <v>0.13095238095238096</v>
      </c>
      <c r="I64" s="34">
        <v>8366.8965517241377</v>
      </c>
      <c r="J64" s="34">
        <v>-7790.909090909091</v>
      </c>
      <c r="K64" s="33">
        <v>8.1967213114754092E-2</v>
      </c>
      <c r="L64" s="33">
        <v>0.25595238095238093</v>
      </c>
      <c r="M64" s="33">
        <v>0.25198412698412698</v>
      </c>
      <c r="N64" s="33">
        <v>0.5736434108527132</v>
      </c>
      <c r="O64" s="33">
        <v>0.41732283464566927</v>
      </c>
      <c r="P64" s="33">
        <v>0.43448275862068964</v>
      </c>
    </row>
    <row r="65" spans="1:16" x14ac:dyDescent="0.45">
      <c r="A65" s="35">
        <v>62</v>
      </c>
      <c r="B65" s="32">
        <v>11.800000000000015</v>
      </c>
      <c r="C65" s="32">
        <v>0.19032258064516153</v>
      </c>
      <c r="D65" s="37">
        <v>2.064516129032258</v>
      </c>
      <c r="E65" s="33">
        <v>0.22580645161290322</v>
      </c>
      <c r="F65" s="33">
        <v>0.29032258064516131</v>
      </c>
      <c r="G65" s="33">
        <v>0.287109375</v>
      </c>
      <c r="H65" s="33">
        <v>0.130859375</v>
      </c>
      <c r="I65" s="34">
        <v>8375.5102040816328</v>
      </c>
      <c r="J65" s="34">
        <v>-7943.2835820895525</v>
      </c>
      <c r="K65" s="33">
        <v>8.0645161290322578E-2</v>
      </c>
      <c r="L65" s="33">
        <v>0.255859375</v>
      </c>
      <c r="M65" s="33">
        <v>0.251953125</v>
      </c>
      <c r="N65" s="33">
        <v>0.58015267175572516</v>
      </c>
      <c r="O65" s="33">
        <v>0.41085271317829458</v>
      </c>
      <c r="P65" s="33">
        <v>0.44217687074829931</v>
      </c>
    </row>
    <row r="66" spans="1:16" x14ac:dyDescent="0.45">
      <c r="A66" s="35">
        <v>63</v>
      </c>
      <c r="B66" s="32">
        <v>46.40000000000002</v>
      </c>
      <c r="C66" s="32">
        <v>0.73650793650793678</v>
      </c>
      <c r="D66" s="37">
        <v>2.0476190476190474</v>
      </c>
      <c r="E66" s="33">
        <v>0.23809523809523808</v>
      </c>
      <c r="F66" s="33">
        <v>0.2857142857142857</v>
      </c>
      <c r="G66" s="33">
        <v>0.28875968992248063</v>
      </c>
      <c r="H66" s="33">
        <v>0.12984496124031009</v>
      </c>
      <c r="I66" s="34">
        <v>8461.7449664429532</v>
      </c>
      <c r="J66" s="34">
        <v>-7943.2835820895525</v>
      </c>
      <c r="K66" s="33">
        <v>7.9365079365079361E-2</v>
      </c>
      <c r="L66" s="33">
        <v>0.2558139534883721</v>
      </c>
      <c r="M66" s="33">
        <v>0.25193798449612403</v>
      </c>
      <c r="N66" s="33">
        <v>0.58333333333333337</v>
      </c>
      <c r="O66" s="33">
        <v>0.41538461538461541</v>
      </c>
      <c r="P66" s="33">
        <v>0.44295302013422821</v>
      </c>
    </row>
    <row r="67" spans="1:16" x14ac:dyDescent="0.45">
      <c r="A67" s="35">
        <v>64</v>
      </c>
      <c r="B67" s="32">
        <v>39.90000000000002</v>
      </c>
      <c r="C67" s="32">
        <v>0.62343750000000031</v>
      </c>
      <c r="D67" s="37">
        <v>2.046875</v>
      </c>
      <c r="E67" s="33">
        <v>0.234375</v>
      </c>
      <c r="F67" s="33">
        <v>0.28125</v>
      </c>
      <c r="G67" s="33">
        <v>0.28927203065134099</v>
      </c>
      <c r="H67" s="33">
        <v>0.13026819923371646</v>
      </c>
      <c r="I67" s="34">
        <v>8508.6092715231789</v>
      </c>
      <c r="J67" s="34">
        <v>-8179.411764705882</v>
      </c>
      <c r="K67" s="33">
        <v>7.8125E-2</v>
      </c>
      <c r="L67" s="33">
        <v>0.25478927203065133</v>
      </c>
      <c r="M67" s="33">
        <v>0.25287356321839083</v>
      </c>
      <c r="N67" s="33">
        <v>0.5864661654135338</v>
      </c>
      <c r="O67" s="33">
        <v>0.40909090909090912</v>
      </c>
      <c r="P67" s="33">
        <v>0.44370860927152317</v>
      </c>
    </row>
    <row r="68" spans="1:16" x14ac:dyDescent="0.45">
      <c r="A68" s="35">
        <v>65</v>
      </c>
      <c r="B68" s="32">
        <v>14.600000000000019</v>
      </c>
      <c r="C68" s="32">
        <v>0.22461538461538491</v>
      </c>
      <c r="D68" s="37">
        <v>2.0615384615384613</v>
      </c>
      <c r="E68" s="33">
        <v>0.23076923076923078</v>
      </c>
      <c r="F68" s="33">
        <v>0.29230769230769232</v>
      </c>
      <c r="G68" s="33">
        <v>0.28625235404896421</v>
      </c>
      <c r="H68" s="33">
        <v>0.128060263653484</v>
      </c>
      <c r="I68" s="34">
        <v>8490.78947368421</v>
      </c>
      <c r="J68" s="34">
        <v>-8179.411764705882</v>
      </c>
      <c r="K68" s="33">
        <v>7.6923076923076927E-2</v>
      </c>
      <c r="L68" s="33">
        <v>0.25235404896421848</v>
      </c>
      <c r="M68" s="33">
        <v>0.25235404896421848</v>
      </c>
      <c r="N68" s="33">
        <v>0.58208955223880599</v>
      </c>
      <c r="O68" s="33">
        <v>0.41044776119402987</v>
      </c>
      <c r="P68" s="33">
        <v>0.44078947368421051</v>
      </c>
    </row>
    <row r="69" spans="1:16" x14ac:dyDescent="0.45">
      <c r="A69" s="35">
        <v>66</v>
      </c>
      <c r="B69" s="32">
        <v>-6.2999999999999794</v>
      </c>
      <c r="C69" s="32">
        <v>-9.5454545454545139E-2</v>
      </c>
      <c r="D69" s="37">
        <v>2.0757575757575757</v>
      </c>
      <c r="E69" s="33">
        <v>0.22727272727272727</v>
      </c>
      <c r="F69" s="33">
        <v>0.30303030303030304</v>
      </c>
      <c r="G69" s="33">
        <v>0.28491620111731841</v>
      </c>
      <c r="H69" s="33">
        <v>0.1266294227188082</v>
      </c>
      <c r="I69" s="34">
        <v>8461.4379084967313</v>
      </c>
      <c r="J69" s="34">
        <v>-8179.411764705882</v>
      </c>
      <c r="K69" s="33">
        <v>7.575757575757576E-2</v>
      </c>
      <c r="L69" s="33">
        <v>0.25139664804469275</v>
      </c>
      <c r="M69" s="33">
        <v>0.25139664804469275</v>
      </c>
      <c r="N69" s="33">
        <v>0.58518518518518514</v>
      </c>
      <c r="O69" s="33">
        <v>0.40740740740740738</v>
      </c>
      <c r="P69" s="33">
        <v>0.44444444444444442</v>
      </c>
    </row>
    <row r="70" spans="1:16" x14ac:dyDescent="0.45">
      <c r="A70" s="35">
        <v>67</v>
      </c>
      <c r="B70" s="32">
        <v>-2.7999999999999794</v>
      </c>
      <c r="C70" s="32">
        <v>-4.1791044776119092E-2</v>
      </c>
      <c r="D70" s="37">
        <v>2.0746268656716418</v>
      </c>
      <c r="E70" s="33">
        <v>0.22388059701492538</v>
      </c>
      <c r="F70" s="33">
        <v>0.29850746268656714</v>
      </c>
      <c r="G70" s="33">
        <v>0.28623853211009176</v>
      </c>
      <c r="H70" s="33">
        <v>0.12477064220183487</v>
      </c>
      <c r="I70" s="34">
        <v>8463.461538461539</v>
      </c>
      <c r="J70" s="34">
        <v>-8179.411764705882</v>
      </c>
      <c r="K70" s="33">
        <v>7.4626865671641784E-2</v>
      </c>
      <c r="L70" s="33">
        <v>0.25504587155963304</v>
      </c>
      <c r="M70" s="33">
        <v>0.25321100917431194</v>
      </c>
      <c r="N70" s="33">
        <v>0.58273381294964033</v>
      </c>
      <c r="O70" s="33">
        <v>0.40579710144927539</v>
      </c>
      <c r="P70" s="33">
        <v>0.44871794871794873</v>
      </c>
    </row>
    <row r="71" spans="1:16" x14ac:dyDescent="0.45">
      <c r="A71" s="35">
        <v>68</v>
      </c>
      <c r="B71" s="32">
        <v>-35.799999999999983</v>
      </c>
      <c r="C71" s="32">
        <v>-0.52647058823529391</v>
      </c>
      <c r="D71" s="37">
        <v>2.0735294117647061</v>
      </c>
      <c r="E71" s="33">
        <v>0.22058823529411764</v>
      </c>
      <c r="F71" s="33">
        <v>0.29411764705882354</v>
      </c>
      <c r="G71" s="33">
        <v>0.28442028985507245</v>
      </c>
      <c r="H71" s="33">
        <v>0.125</v>
      </c>
      <c r="I71" s="34">
        <v>8428.6624203821648</v>
      </c>
      <c r="J71" s="34">
        <v>-8321.7391304347821</v>
      </c>
      <c r="K71" s="33">
        <v>7.3529411764705885E-2</v>
      </c>
      <c r="L71" s="33">
        <v>0.25362318840579712</v>
      </c>
      <c r="M71" s="33">
        <v>0.25362318840579712</v>
      </c>
      <c r="N71" s="33">
        <v>0.57857142857142863</v>
      </c>
      <c r="O71" s="33">
        <v>0.4</v>
      </c>
      <c r="P71" s="33">
        <v>0.45222929936305734</v>
      </c>
    </row>
    <row r="72" spans="1:16" x14ac:dyDescent="0.45">
      <c r="A72" s="35">
        <v>69</v>
      </c>
      <c r="B72" s="32">
        <v>-59.899999999999984</v>
      </c>
      <c r="C72" s="32">
        <v>-0.86811594202898523</v>
      </c>
      <c r="D72" s="37">
        <v>2.0869565217391304</v>
      </c>
      <c r="E72" s="33">
        <v>0.21739130434782608</v>
      </c>
      <c r="F72" s="33">
        <v>0.30434782608695654</v>
      </c>
      <c r="G72" s="33">
        <v>0.28264758497316639</v>
      </c>
      <c r="H72" s="33">
        <v>0.12701252236135957</v>
      </c>
      <c r="I72" s="34">
        <v>8400</v>
      </c>
      <c r="J72" s="34">
        <v>-8270.422535211268</v>
      </c>
      <c r="K72" s="33">
        <v>7.2463768115942032E-2</v>
      </c>
      <c r="L72" s="33">
        <v>0.25223613595706618</v>
      </c>
      <c r="M72" s="33">
        <v>0.25223613595706618</v>
      </c>
      <c r="N72" s="33">
        <v>0.57446808510638303</v>
      </c>
      <c r="O72" s="33">
        <v>0.40425531914893614</v>
      </c>
      <c r="P72" s="33">
        <v>0.44936708860759494</v>
      </c>
    </row>
    <row r="73" spans="1:16" x14ac:dyDescent="0.45">
      <c r="A73" s="35">
        <v>70</v>
      </c>
      <c r="B73" s="32">
        <v>-49.59999999999998</v>
      </c>
      <c r="C73" s="32">
        <v>-0.7085714285714283</v>
      </c>
      <c r="D73" s="37">
        <v>2.0857142857142859</v>
      </c>
      <c r="E73" s="33">
        <v>0.21428571428571427</v>
      </c>
      <c r="F73" s="33">
        <v>0.3</v>
      </c>
      <c r="G73" s="33">
        <v>0.28368794326241137</v>
      </c>
      <c r="H73" s="33">
        <v>0.12588652482269502</v>
      </c>
      <c r="I73" s="34">
        <v>8493.75</v>
      </c>
      <c r="J73" s="34">
        <v>-8270.422535211268</v>
      </c>
      <c r="K73" s="33">
        <v>7.1428571428571425E-2</v>
      </c>
      <c r="L73" s="33">
        <v>0.25354609929078015</v>
      </c>
      <c r="M73" s="33">
        <v>0.25177304964539005</v>
      </c>
      <c r="N73" s="33">
        <v>0.57342657342657344</v>
      </c>
      <c r="O73" s="33">
        <v>0.40845070422535212</v>
      </c>
      <c r="P73" s="33">
        <v>0.45624999999999999</v>
      </c>
    </row>
    <row r="74" spans="1:16" x14ac:dyDescent="0.45">
      <c r="A74" s="35">
        <v>71</v>
      </c>
      <c r="B74" s="32">
        <v>-53.999999999999979</v>
      </c>
      <c r="C74" s="32">
        <v>-0.76056338028168979</v>
      </c>
      <c r="D74" s="37">
        <v>2.084507042253521</v>
      </c>
      <c r="E74" s="33">
        <v>0.21126760563380281</v>
      </c>
      <c r="F74" s="33">
        <v>0.29577464788732394</v>
      </c>
      <c r="G74" s="33">
        <v>0.28196147110332748</v>
      </c>
      <c r="H74" s="33">
        <v>0.12784588441330999</v>
      </c>
      <c r="I74" s="34">
        <v>8490.6832298136651</v>
      </c>
      <c r="J74" s="34">
        <v>-8079.4520547945203</v>
      </c>
      <c r="K74" s="33">
        <v>7.0422535211267609E-2</v>
      </c>
      <c r="L74" s="33">
        <v>0.25043782837127848</v>
      </c>
      <c r="M74" s="33">
        <v>0.24868651488616461</v>
      </c>
      <c r="N74" s="33">
        <v>0.57342657342657344</v>
      </c>
      <c r="O74" s="33">
        <v>0.40845070422535212</v>
      </c>
      <c r="P74" s="33">
        <v>0.453416149068323</v>
      </c>
    </row>
    <row r="75" spans="1:16" x14ac:dyDescent="0.45">
      <c r="A75" s="35">
        <v>72</v>
      </c>
      <c r="B75" s="32">
        <v>-68.199999999999974</v>
      </c>
      <c r="C75" s="32">
        <v>-0.94722222222222185</v>
      </c>
      <c r="D75" s="37">
        <v>2.0833333333333335</v>
      </c>
      <c r="E75" s="33">
        <v>0.20833333333333334</v>
      </c>
      <c r="F75" s="33">
        <v>0.29166666666666669</v>
      </c>
      <c r="G75" s="33">
        <v>0.28151986183074268</v>
      </c>
      <c r="H75" s="33">
        <v>0.12780656303972365</v>
      </c>
      <c r="I75" s="34">
        <v>8430.6748466257668</v>
      </c>
      <c r="J75" s="34">
        <v>-8078.3783783783783</v>
      </c>
      <c r="K75" s="33">
        <v>6.9444444444444448E-2</v>
      </c>
      <c r="L75" s="33">
        <v>0.25043177892918828</v>
      </c>
      <c r="M75" s="33">
        <v>0.24525043177892919</v>
      </c>
      <c r="N75" s="33">
        <v>0.57241379310344831</v>
      </c>
      <c r="O75" s="33">
        <v>0.40845070422535212</v>
      </c>
      <c r="P75" s="33">
        <v>0.46012269938650308</v>
      </c>
    </row>
    <row r="76" spans="1:16" x14ac:dyDescent="0.45">
      <c r="A76" s="35">
        <v>73</v>
      </c>
      <c r="B76" s="32">
        <v>-65.699999999999974</v>
      </c>
      <c r="C76" s="32">
        <v>-0.89999999999999969</v>
      </c>
      <c r="D76" s="37">
        <v>2.0821917808219177</v>
      </c>
      <c r="E76" s="33">
        <v>0.20547945205479451</v>
      </c>
      <c r="F76" s="33">
        <v>0.28767123287671231</v>
      </c>
      <c r="G76" s="33">
        <v>0.28034188034188035</v>
      </c>
      <c r="H76" s="33">
        <v>0.12820512820512819</v>
      </c>
      <c r="I76" s="34">
        <v>8476.8292682926822</v>
      </c>
      <c r="J76" s="34">
        <v>-7997.333333333333</v>
      </c>
      <c r="K76" s="33">
        <v>6.8493150684931503E-2</v>
      </c>
      <c r="L76" s="33">
        <v>0.24957264957264957</v>
      </c>
      <c r="M76" s="33">
        <v>0.24615384615384617</v>
      </c>
      <c r="N76" s="33">
        <v>0.57534246575342463</v>
      </c>
      <c r="O76" s="33">
        <v>0.40277777777777779</v>
      </c>
      <c r="P76" s="33">
        <v>0.46341463414634149</v>
      </c>
    </row>
    <row r="77" spans="1:16" x14ac:dyDescent="0.45">
      <c r="A77" s="35">
        <v>74</v>
      </c>
      <c r="B77" s="32">
        <v>-35.599999999999973</v>
      </c>
      <c r="C77" s="32">
        <v>-0.48108108108108072</v>
      </c>
      <c r="D77" s="37">
        <v>2.0675675675675675</v>
      </c>
      <c r="E77" s="33">
        <v>0.21621621621621623</v>
      </c>
      <c r="F77" s="33">
        <v>0.28378378378378377</v>
      </c>
      <c r="G77" s="33">
        <v>0.28499156829679595</v>
      </c>
      <c r="H77" s="33">
        <v>0.12816188870151771</v>
      </c>
      <c r="I77" s="34">
        <v>8431.9526627218929</v>
      </c>
      <c r="J77" s="34">
        <v>-7993.4210526315792</v>
      </c>
      <c r="K77" s="33">
        <v>6.7567567567567571E-2</v>
      </c>
      <c r="L77" s="33">
        <v>0.25126475548060706</v>
      </c>
      <c r="M77" s="33">
        <v>0.24283305227655985</v>
      </c>
      <c r="N77" s="33">
        <v>0.57718120805369133</v>
      </c>
      <c r="O77" s="33">
        <v>0.40277777777777779</v>
      </c>
      <c r="P77" s="33">
        <v>0.44970414201183434</v>
      </c>
    </row>
    <row r="78" spans="1:16" x14ac:dyDescent="0.45">
      <c r="A78" s="35">
        <v>75</v>
      </c>
      <c r="B78" s="32">
        <v>-37.499999999999972</v>
      </c>
      <c r="C78" s="32">
        <v>-0.49999999999999961</v>
      </c>
      <c r="D78" s="37">
        <v>2.0666666666666669</v>
      </c>
      <c r="E78" s="33">
        <v>0.21333333333333335</v>
      </c>
      <c r="F78" s="33">
        <v>0.28000000000000003</v>
      </c>
      <c r="G78" s="33">
        <v>0.28499999999999998</v>
      </c>
      <c r="H78" s="33">
        <v>0.13</v>
      </c>
      <c r="I78" s="34">
        <v>8415.78947368421</v>
      </c>
      <c r="J78" s="34">
        <v>-7903.8461538461543</v>
      </c>
      <c r="K78" s="33">
        <v>6.6666666666666666E-2</v>
      </c>
      <c r="L78" s="33">
        <v>0.25666666666666665</v>
      </c>
      <c r="M78" s="33">
        <v>0.24166666666666667</v>
      </c>
      <c r="N78" s="33">
        <v>0.5714285714285714</v>
      </c>
      <c r="O78" s="33">
        <v>0.4</v>
      </c>
      <c r="P78" s="33">
        <v>0.45029239766081869</v>
      </c>
    </row>
    <row r="79" spans="1:16" x14ac:dyDescent="0.45">
      <c r="A79" s="35">
        <v>76</v>
      </c>
      <c r="B79" s="32">
        <v>-28.199999999999971</v>
      </c>
      <c r="C79" s="32">
        <v>-0.37105263157894697</v>
      </c>
      <c r="D79" s="37">
        <v>2.0657894736842106</v>
      </c>
      <c r="E79" s="33">
        <v>0.21052631578947367</v>
      </c>
      <c r="F79" s="33">
        <v>0.27631578947368424</v>
      </c>
      <c r="G79" s="33">
        <v>0.28547854785478549</v>
      </c>
      <c r="H79" s="33">
        <v>0.132013201320132</v>
      </c>
      <c r="I79" s="34">
        <v>8409.2485549132944</v>
      </c>
      <c r="J79" s="34">
        <v>-7811.25</v>
      </c>
      <c r="K79" s="33">
        <v>6.5789473684210523E-2</v>
      </c>
      <c r="L79" s="33">
        <v>0.25577557755775576</v>
      </c>
      <c r="M79" s="33">
        <v>0.24092409240924093</v>
      </c>
      <c r="N79" s="33">
        <v>0.5741935483870968</v>
      </c>
      <c r="O79" s="33">
        <v>0.4041095890410959</v>
      </c>
      <c r="P79" s="33">
        <v>0.45086705202312138</v>
      </c>
    </row>
    <row r="80" spans="1:16" x14ac:dyDescent="0.45">
      <c r="A80" s="35">
        <v>77</v>
      </c>
      <c r="B80" s="32">
        <v>-87.299999999999969</v>
      </c>
      <c r="C80" s="32">
        <v>-1.1337662337662333</v>
      </c>
      <c r="D80" s="37">
        <v>2.0779220779220777</v>
      </c>
      <c r="E80" s="33">
        <v>0.20779220779220781</v>
      </c>
      <c r="F80" s="33">
        <v>0.2857142857142857</v>
      </c>
      <c r="G80" s="33">
        <v>0.28038897893030795</v>
      </c>
      <c r="H80" s="33">
        <v>0.13452188006482982</v>
      </c>
      <c r="I80" s="34">
        <v>8409.2485549132944</v>
      </c>
      <c r="J80" s="34">
        <v>-8059.0361445783128</v>
      </c>
      <c r="K80" s="33">
        <v>7.792207792207792E-2</v>
      </c>
      <c r="L80" s="33">
        <v>0.25283630470016205</v>
      </c>
      <c r="M80" s="33">
        <v>0.23824959481361427</v>
      </c>
      <c r="N80" s="33">
        <v>0.57051282051282048</v>
      </c>
      <c r="O80" s="33">
        <v>0.40136054421768708</v>
      </c>
      <c r="P80" s="33">
        <v>0.45086705202312138</v>
      </c>
    </row>
    <row r="81" spans="1:16" x14ac:dyDescent="0.45">
      <c r="A81" s="35">
        <v>78</v>
      </c>
      <c r="B81" s="32">
        <v>-133.39999999999998</v>
      </c>
      <c r="C81" s="32">
        <v>-1.71025641025641</v>
      </c>
      <c r="D81" s="37">
        <v>2.0897435897435899</v>
      </c>
      <c r="E81" s="33">
        <v>0.20512820512820512</v>
      </c>
      <c r="F81" s="33">
        <v>0.29487179487179488</v>
      </c>
      <c r="G81" s="33">
        <v>0.27768860353130015</v>
      </c>
      <c r="H81" s="33">
        <v>0.13643659711075443</v>
      </c>
      <c r="I81" s="34">
        <v>8409.2485549132944</v>
      </c>
      <c r="J81" s="34">
        <v>-7997.6470588235297</v>
      </c>
      <c r="K81" s="33">
        <v>8.9743589743589744E-2</v>
      </c>
      <c r="L81" s="33">
        <v>0.2504012841091493</v>
      </c>
      <c r="M81" s="33">
        <v>0.23595505617977527</v>
      </c>
      <c r="N81" s="33">
        <v>0.57051282051282048</v>
      </c>
      <c r="O81" s="33">
        <v>0.40136054421768708</v>
      </c>
      <c r="P81" s="33">
        <v>0.45086705202312138</v>
      </c>
    </row>
    <row r="82" spans="1:16" x14ac:dyDescent="0.45">
      <c r="A82" s="35">
        <v>79</v>
      </c>
      <c r="B82" s="32">
        <v>-169.99999999999997</v>
      </c>
      <c r="C82" s="32">
        <v>-2.1518987341772147</v>
      </c>
      <c r="D82" s="37">
        <v>2.1012658227848102</v>
      </c>
      <c r="E82" s="33">
        <v>0.20253164556962025</v>
      </c>
      <c r="F82" s="33">
        <v>0.30379746835443039</v>
      </c>
      <c r="G82" s="33">
        <v>0.27760252365930599</v>
      </c>
      <c r="H82" s="33">
        <v>0.13880126182965299</v>
      </c>
      <c r="I82" s="34">
        <v>8336.931818181818</v>
      </c>
      <c r="J82" s="34">
        <v>-7967.045454545455</v>
      </c>
      <c r="K82" s="33">
        <v>8.8607594936708861E-2</v>
      </c>
      <c r="L82" s="33">
        <v>0.25078864353312302</v>
      </c>
      <c r="M82" s="33">
        <v>0.23501577287066247</v>
      </c>
      <c r="N82" s="33">
        <v>0.55974842767295596</v>
      </c>
      <c r="O82" s="33">
        <v>0.40268456375838924</v>
      </c>
      <c r="P82" s="33">
        <v>0.44886363636363635</v>
      </c>
    </row>
    <row r="83" spans="1:16" x14ac:dyDescent="0.45">
      <c r="A83" s="35">
        <v>80</v>
      </c>
      <c r="B83" s="32">
        <v>-165.79999999999998</v>
      </c>
      <c r="C83" s="32">
        <v>-2.0724999999999998</v>
      </c>
      <c r="D83" s="37">
        <v>2.1</v>
      </c>
      <c r="E83" s="33">
        <v>0.2</v>
      </c>
      <c r="F83" s="33">
        <v>0.3</v>
      </c>
      <c r="G83" s="33">
        <v>0.27856025039123633</v>
      </c>
      <c r="H83" s="33">
        <v>0.13771517996870108</v>
      </c>
      <c r="I83" s="34">
        <v>8320.2247191011229</v>
      </c>
      <c r="J83" s="34">
        <v>-7967.045454545455</v>
      </c>
      <c r="K83" s="33">
        <v>8.7499999999999994E-2</v>
      </c>
      <c r="L83" s="33">
        <v>0.25039123630672927</v>
      </c>
      <c r="M83" s="33">
        <v>0.23630672926447574</v>
      </c>
      <c r="N83" s="33">
        <v>0.5625</v>
      </c>
      <c r="O83" s="33">
        <v>0.40397350993377484</v>
      </c>
      <c r="P83" s="33">
        <v>0.449438202247191</v>
      </c>
    </row>
    <row r="84" spans="1:16" x14ac:dyDescent="0.45">
      <c r="A84" s="35">
        <v>81</v>
      </c>
      <c r="B84" s="32">
        <v>-115.99999999999999</v>
      </c>
      <c r="C84" s="32">
        <v>-1.4320987654320987</v>
      </c>
      <c r="D84" s="37">
        <v>2.0864197530864197</v>
      </c>
      <c r="E84" s="33">
        <v>0.20987654320987653</v>
      </c>
      <c r="F84" s="33">
        <v>0.29629629629629628</v>
      </c>
      <c r="G84" s="33">
        <v>0.28328173374613003</v>
      </c>
      <c r="H84" s="33">
        <v>0.13777089783281735</v>
      </c>
      <c r="I84" s="34">
        <v>8359.5628415300544</v>
      </c>
      <c r="J84" s="34">
        <v>-7967.4157303370785</v>
      </c>
      <c r="K84" s="33">
        <v>8.6419753086419748E-2</v>
      </c>
      <c r="L84" s="33">
        <v>0.25386996904024767</v>
      </c>
      <c r="M84" s="33">
        <v>0.23529411764705882</v>
      </c>
      <c r="N84" s="33">
        <v>0.56707317073170727</v>
      </c>
      <c r="O84" s="33">
        <v>0.40789473684210525</v>
      </c>
      <c r="P84" s="33">
        <v>0.44808743169398907</v>
      </c>
    </row>
    <row r="85" spans="1:16" x14ac:dyDescent="0.45">
      <c r="A85" s="35">
        <v>82</v>
      </c>
      <c r="B85" s="32">
        <v>-117.19999999999999</v>
      </c>
      <c r="C85" s="32">
        <v>-1.4292682926829268</v>
      </c>
      <c r="D85" s="37">
        <v>2.0853658536585367</v>
      </c>
      <c r="E85" s="33">
        <v>0.2073170731707317</v>
      </c>
      <c r="F85" s="33">
        <v>0.29268292682926828</v>
      </c>
      <c r="G85" s="33">
        <v>0.28287461773700306</v>
      </c>
      <c r="H85" s="33">
        <v>0.13608562691131498</v>
      </c>
      <c r="I85" s="34">
        <v>8345.405405405405</v>
      </c>
      <c r="J85" s="34">
        <v>-7967.4157303370785</v>
      </c>
      <c r="K85" s="33">
        <v>8.5365853658536592E-2</v>
      </c>
      <c r="L85" s="33">
        <v>0.25229357798165136</v>
      </c>
      <c r="M85" s="33">
        <v>0.23547400611620795</v>
      </c>
      <c r="N85" s="33">
        <v>0.5696969696969697</v>
      </c>
      <c r="O85" s="33">
        <v>0.40909090909090912</v>
      </c>
      <c r="P85" s="33">
        <v>0.44864864864864867</v>
      </c>
    </row>
    <row r="86" spans="1:16" x14ac:dyDescent="0.45">
      <c r="A86" s="35">
        <v>83</v>
      </c>
      <c r="B86" s="32">
        <v>-128.6</v>
      </c>
      <c r="C86" s="32">
        <v>-1.5493975903614456</v>
      </c>
      <c r="D86" s="37">
        <v>2.0843373493975905</v>
      </c>
      <c r="E86" s="33">
        <v>0.20481927710843373</v>
      </c>
      <c r="F86" s="33">
        <v>0.28915662650602408</v>
      </c>
      <c r="G86" s="33">
        <v>0.27987897125567324</v>
      </c>
      <c r="H86" s="33">
        <v>0.13615733736762481</v>
      </c>
      <c r="I86" s="34">
        <v>8345.405405405405</v>
      </c>
      <c r="J86" s="34">
        <v>-7911.1111111111113</v>
      </c>
      <c r="K86" s="33">
        <v>8.4337349397590355E-2</v>
      </c>
      <c r="L86" s="33">
        <v>0.25264750378214829</v>
      </c>
      <c r="M86" s="33">
        <v>0.2329803328290469</v>
      </c>
      <c r="N86" s="33">
        <v>0.56287425149700598</v>
      </c>
      <c r="O86" s="33">
        <v>0.40909090909090912</v>
      </c>
      <c r="P86" s="33">
        <v>0.44864864864864867</v>
      </c>
    </row>
    <row r="87" spans="1:16" x14ac:dyDescent="0.45">
      <c r="A87" s="35">
        <v>84</v>
      </c>
      <c r="B87" s="32">
        <v>-119.8</v>
      </c>
      <c r="C87" s="32">
        <v>-1.4261904761904762</v>
      </c>
      <c r="D87" s="37">
        <v>2.0833333333333335</v>
      </c>
      <c r="E87" s="33">
        <v>0.20238095238095238</v>
      </c>
      <c r="F87" s="33">
        <v>0.2857142857142857</v>
      </c>
      <c r="G87" s="33">
        <v>0.28035982008995503</v>
      </c>
      <c r="H87" s="33">
        <v>0.13493253373313344</v>
      </c>
      <c r="I87" s="34">
        <v>8304.8128342245982</v>
      </c>
      <c r="J87" s="34">
        <v>-7911.1111111111113</v>
      </c>
      <c r="K87" s="33">
        <v>8.3333333333333329E-2</v>
      </c>
      <c r="L87" s="33">
        <v>0.25337331334332835</v>
      </c>
      <c r="M87" s="33">
        <v>0.23088455772113944</v>
      </c>
      <c r="N87" s="33">
        <v>0.56804733727810652</v>
      </c>
      <c r="O87" s="33">
        <v>0.40909090909090912</v>
      </c>
      <c r="P87" s="33">
        <v>0.44385026737967914</v>
      </c>
    </row>
    <row r="88" spans="1:16" x14ac:dyDescent="0.45">
      <c r="A88" s="35">
        <v>85</v>
      </c>
      <c r="B88" s="32">
        <v>-97.4</v>
      </c>
      <c r="C88" s="32">
        <v>-1.1458823529411766</v>
      </c>
      <c r="D88" s="37">
        <v>2.0705882352941178</v>
      </c>
      <c r="E88" s="33">
        <v>0.21176470588235294</v>
      </c>
      <c r="F88" s="33">
        <v>0.28235294117647058</v>
      </c>
      <c r="G88" s="33">
        <v>0.28041543026706234</v>
      </c>
      <c r="H88" s="33">
        <v>0.13649851632047477</v>
      </c>
      <c r="I88" s="34">
        <v>8407.4074074074069</v>
      </c>
      <c r="J88" s="34">
        <v>-7886.95652173913</v>
      </c>
      <c r="K88" s="33">
        <v>8.2352941176470587E-2</v>
      </c>
      <c r="L88" s="33">
        <v>0.25370919881305637</v>
      </c>
      <c r="M88" s="33">
        <v>0.2314540059347181</v>
      </c>
      <c r="N88" s="33">
        <v>0.56140350877192979</v>
      </c>
      <c r="O88" s="33">
        <v>0.41025641025641024</v>
      </c>
      <c r="P88" s="33">
        <v>0.44973544973544971</v>
      </c>
    </row>
    <row r="89" spans="1:16" x14ac:dyDescent="0.45">
      <c r="A89" s="35">
        <v>86</v>
      </c>
      <c r="B89" s="32">
        <v>-83.800000000000011</v>
      </c>
      <c r="C89" s="32">
        <v>-0.97441860465116292</v>
      </c>
      <c r="D89" s="37">
        <v>2.058139534883721</v>
      </c>
      <c r="E89" s="33">
        <v>0.22093023255813954</v>
      </c>
      <c r="F89" s="33">
        <v>0.27906976744186046</v>
      </c>
      <c r="G89" s="33">
        <v>0.28111273792093705</v>
      </c>
      <c r="H89" s="33">
        <v>0.13469985358711567</v>
      </c>
      <c r="I89" s="34">
        <v>8382.2916666666661</v>
      </c>
      <c r="J89" s="34">
        <v>-7886.95652173913</v>
      </c>
      <c r="K89" s="33">
        <v>8.1395348837209308E-2</v>
      </c>
      <c r="L89" s="33">
        <v>0.25768667642752563</v>
      </c>
      <c r="M89" s="33">
        <v>0.22986822840409957</v>
      </c>
      <c r="N89" s="33">
        <v>0.55681818181818177</v>
      </c>
      <c r="O89" s="33">
        <v>0.4140127388535032</v>
      </c>
      <c r="P89" s="33">
        <v>0.44791666666666669</v>
      </c>
    </row>
    <row r="90" spans="1:16" x14ac:dyDescent="0.45">
      <c r="A90" s="35">
        <v>87</v>
      </c>
      <c r="B90" s="32">
        <v>-57.400000000000013</v>
      </c>
      <c r="C90" s="32">
        <v>-0.65977011494252891</v>
      </c>
      <c r="D90" s="37">
        <v>2.0459770114942528</v>
      </c>
      <c r="E90" s="33">
        <v>0.22988505747126436</v>
      </c>
      <c r="F90" s="33">
        <v>0.27586206896551724</v>
      </c>
      <c r="G90" s="33">
        <v>0.28260869565217389</v>
      </c>
      <c r="H90" s="33">
        <v>0.13333333333333333</v>
      </c>
      <c r="I90" s="34">
        <v>8352.8205128205136</v>
      </c>
      <c r="J90" s="34">
        <v>-7886.95652173913</v>
      </c>
      <c r="K90" s="33">
        <v>8.0459770114942528E-2</v>
      </c>
      <c r="L90" s="33">
        <v>0.2608695652173913</v>
      </c>
      <c r="M90" s="33">
        <v>0.22898550724637681</v>
      </c>
      <c r="N90" s="33">
        <v>0.56111111111111112</v>
      </c>
      <c r="O90" s="33">
        <v>0.41139240506329117</v>
      </c>
      <c r="P90" s="33">
        <v>0.44615384615384618</v>
      </c>
    </row>
    <row r="91" spans="1:16" x14ac:dyDescent="0.45">
      <c r="A91" s="35">
        <v>88</v>
      </c>
      <c r="B91" s="32">
        <v>-63.20000000000001</v>
      </c>
      <c r="C91" s="32">
        <v>-0.71818181818181825</v>
      </c>
      <c r="D91" s="37">
        <v>2.0454545454545454</v>
      </c>
      <c r="E91" s="33">
        <v>0.22727272727272727</v>
      </c>
      <c r="F91" s="33">
        <v>0.27272727272727271</v>
      </c>
      <c r="G91" s="33">
        <v>0.28307254623044098</v>
      </c>
      <c r="H91" s="33">
        <v>0.1337126600284495</v>
      </c>
      <c r="I91" s="34">
        <v>8317.5879396984928</v>
      </c>
      <c r="J91" s="34">
        <v>-7886.1702127659573</v>
      </c>
      <c r="K91" s="33">
        <v>7.9545454545454544E-2</v>
      </c>
      <c r="L91" s="33">
        <v>0.26315789473684209</v>
      </c>
      <c r="M91" s="33">
        <v>0.22759601706970128</v>
      </c>
      <c r="N91" s="33">
        <v>0.56216216216216219</v>
      </c>
      <c r="O91" s="33">
        <v>0.41249999999999998</v>
      </c>
      <c r="P91" s="33">
        <v>0.44221105527638194</v>
      </c>
    </row>
    <row r="92" spans="1:16" x14ac:dyDescent="0.45">
      <c r="A92" s="35">
        <v>89</v>
      </c>
      <c r="B92" s="32">
        <v>-119.60000000000001</v>
      </c>
      <c r="C92" s="32">
        <v>-1.3438202247191011</v>
      </c>
      <c r="D92" s="37">
        <v>2.0561797752808988</v>
      </c>
      <c r="E92" s="33">
        <v>0.2247191011235955</v>
      </c>
      <c r="F92" s="33">
        <v>0.2808988764044944</v>
      </c>
      <c r="G92" s="33">
        <v>0.28212290502793297</v>
      </c>
      <c r="H92" s="33">
        <v>0.13547486033519554</v>
      </c>
      <c r="I92" s="34">
        <v>8315.8415841584156</v>
      </c>
      <c r="J92" s="34">
        <v>-8062.8865979381444</v>
      </c>
      <c r="K92" s="33">
        <v>8.98876404494382E-2</v>
      </c>
      <c r="L92" s="33">
        <v>0.26396648044692739</v>
      </c>
      <c r="M92" s="33">
        <v>0.22346368715083798</v>
      </c>
      <c r="N92" s="33">
        <v>0.56084656084656082</v>
      </c>
      <c r="O92" s="33">
        <v>0.41249999999999998</v>
      </c>
      <c r="P92" s="33">
        <v>0.4405940594059406</v>
      </c>
    </row>
    <row r="93" spans="1:16" x14ac:dyDescent="0.45">
      <c r="A93" s="35">
        <v>90</v>
      </c>
      <c r="B93" s="32">
        <v>-57.600000000000009</v>
      </c>
      <c r="C93" s="32">
        <v>-0.64000000000000012</v>
      </c>
      <c r="D93" s="37">
        <v>2.0444444444444443</v>
      </c>
      <c r="E93" s="33">
        <v>0.23333333333333334</v>
      </c>
      <c r="F93" s="33">
        <v>0.27777777777777779</v>
      </c>
      <c r="G93" s="33">
        <v>0.28393351800554018</v>
      </c>
      <c r="H93" s="33">
        <v>0.13434903047091412</v>
      </c>
      <c r="I93" s="34">
        <v>8426.3414634146338</v>
      </c>
      <c r="J93" s="34">
        <v>-8062.8865979381444</v>
      </c>
      <c r="K93" s="33">
        <v>8.8888888888888892E-2</v>
      </c>
      <c r="L93" s="33">
        <v>0.26592797783933519</v>
      </c>
      <c r="M93" s="33">
        <v>0.22160664819944598</v>
      </c>
      <c r="N93" s="33">
        <v>0.56770833333333337</v>
      </c>
      <c r="O93" s="33">
        <v>0.41249999999999998</v>
      </c>
      <c r="P93" s="33">
        <v>0.44878048780487806</v>
      </c>
    </row>
    <row r="94" spans="1:16" x14ac:dyDescent="0.45">
      <c r="A94" s="35">
        <v>91</v>
      </c>
      <c r="B94" s="32">
        <v>-54.900000000000006</v>
      </c>
      <c r="C94" s="32">
        <v>-0.60329670329670337</v>
      </c>
      <c r="D94" s="37">
        <v>2.0439560439560438</v>
      </c>
      <c r="E94" s="33">
        <v>0.23076923076923078</v>
      </c>
      <c r="F94" s="33">
        <v>0.27472527472527475</v>
      </c>
      <c r="G94" s="33">
        <v>0.28434065934065933</v>
      </c>
      <c r="H94" s="33">
        <v>0.13461538461538461</v>
      </c>
      <c r="I94" s="34">
        <v>8408.6956521739139</v>
      </c>
      <c r="J94" s="34">
        <v>-7990.8163265306121</v>
      </c>
      <c r="K94" s="33">
        <v>8.7912087912087919E-2</v>
      </c>
      <c r="L94" s="33">
        <v>0.26648351648351648</v>
      </c>
      <c r="M94" s="33">
        <v>0.22115384615384615</v>
      </c>
      <c r="N94" s="33">
        <v>0.57216494845360821</v>
      </c>
      <c r="O94" s="33">
        <v>0.40993788819875776</v>
      </c>
      <c r="P94" s="33">
        <v>0.44927536231884058</v>
      </c>
    </row>
    <row r="95" spans="1:16" x14ac:dyDescent="0.45">
      <c r="A95" s="35">
        <v>92</v>
      </c>
      <c r="B95" s="32">
        <v>-17.100000000000009</v>
      </c>
      <c r="C95" s="32">
        <v>-0.1858695652173914</v>
      </c>
      <c r="D95" s="37">
        <v>2.0326086956521738</v>
      </c>
      <c r="E95" s="33">
        <v>0.2391304347826087</v>
      </c>
      <c r="F95" s="33">
        <v>0.27173913043478259</v>
      </c>
      <c r="G95" s="33">
        <v>0.2857142857142857</v>
      </c>
      <c r="H95" s="33">
        <v>0.13469387755102041</v>
      </c>
      <c r="I95" s="34">
        <v>8431.9047619047615</v>
      </c>
      <c r="J95" s="34">
        <v>-7936.363636363636</v>
      </c>
      <c r="K95" s="33">
        <v>8.6956521739130432E-2</v>
      </c>
      <c r="L95" s="33">
        <v>0.26666666666666666</v>
      </c>
      <c r="M95" s="33">
        <v>0.22040816326530613</v>
      </c>
      <c r="N95" s="33">
        <v>0.57653061224489799</v>
      </c>
      <c r="O95" s="33">
        <v>0.41358024691358025</v>
      </c>
      <c r="P95" s="33">
        <v>0.45714285714285713</v>
      </c>
    </row>
    <row r="96" spans="1:16" x14ac:dyDescent="0.45">
      <c r="A96" s="35">
        <v>93</v>
      </c>
      <c r="B96" s="32">
        <v>8.7999999999999901</v>
      </c>
      <c r="C96" s="32">
        <v>9.4623655913978394E-2</v>
      </c>
      <c r="D96" s="37">
        <v>2.021505376344086</v>
      </c>
      <c r="E96" s="33">
        <v>0.24731182795698925</v>
      </c>
      <c r="F96" s="33">
        <v>0.26881720430107525</v>
      </c>
      <c r="G96" s="33">
        <v>0.28936742934051146</v>
      </c>
      <c r="H96" s="33">
        <v>0.13458950201884254</v>
      </c>
      <c r="I96" s="34">
        <v>8365.1162790697672</v>
      </c>
      <c r="J96" s="34">
        <v>-7896</v>
      </c>
      <c r="K96" s="33">
        <v>8.6021505376344093E-2</v>
      </c>
      <c r="L96" s="33">
        <v>0.27052489905787347</v>
      </c>
      <c r="M96" s="33">
        <v>0.21938088829071331</v>
      </c>
      <c r="N96" s="33">
        <v>0.58208955223880599</v>
      </c>
      <c r="O96" s="33">
        <v>0.41717791411042943</v>
      </c>
      <c r="P96" s="33">
        <v>0.46046511627906977</v>
      </c>
    </row>
    <row r="97" spans="1:16" x14ac:dyDescent="0.45">
      <c r="A97" s="35">
        <v>94</v>
      </c>
      <c r="B97" s="32">
        <v>-4.1000000000000103</v>
      </c>
      <c r="C97" s="32">
        <v>-4.3617021276595856E-2</v>
      </c>
      <c r="D97" s="37">
        <v>2.021276595744681</v>
      </c>
      <c r="E97" s="33">
        <v>0.24468085106382978</v>
      </c>
      <c r="F97" s="33">
        <v>0.26595744680851063</v>
      </c>
      <c r="G97" s="33">
        <v>0.28894806924101196</v>
      </c>
      <c r="H97" s="33">
        <v>0.13448735019973368</v>
      </c>
      <c r="I97" s="34">
        <v>8335.9447004608301</v>
      </c>
      <c r="J97" s="34">
        <v>-7936.6336633663368</v>
      </c>
      <c r="K97" s="33">
        <v>8.5106382978723402E-2</v>
      </c>
      <c r="L97" s="33">
        <v>0.27030625832223704</v>
      </c>
      <c r="M97" s="33">
        <v>0.21970705725699069</v>
      </c>
      <c r="N97" s="33">
        <v>0.58128078817733986</v>
      </c>
      <c r="O97" s="33">
        <v>0.41212121212121211</v>
      </c>
      <c r="P97" s="33">
        <v>0.45622119815668205</v>
      </c>
    </row>
    <row r="98" spans="1:16" x14ac:dyDescent="0.45">
      <c r="A98" s="35">
        <v>95</v>
      </c>
      <c r="B98" s="32">
        <v>31.899999999999991</v>
      </c>
      <c r="C98" s="32">
        <v>0.33578947368421042</v>
      </c>
      <c r="D98" s="37">
        <v>2.0105263157894737</v>
      </c>
      <c r="E98" s="33">
        <v>0.25263157894736843</v>
      </c>
      <c r="F98" s="33">
        <v>0.26315789473684209</v>
      </c>
      <c r="G98" s="33">
        <v>0.28912466843501328</v>
      </c>
      <c r="H98" s="33">
        <v>0.13395225464190982</v>
      </c>
      <c r="I98" s="34">
        <v>8407.798165137614</v>
      </c>
      <c r="J98" s="34">
        <v>-7936.6336633663368</v>
      </c>
      <c r="K98" s="33">
        <v>8.4210526315789472E-2</v>
      </c>
      <c r="L98" s="33">
        <v>0.27055702917771884</v>
      </c>
      <c r="M98" s="33">
        <v>0.21883289124668434</v>
      </c>
      <c r="N98" s="33">
        <v>0.58333333333333337</v>
      </c>
      <c r="O98" s="33">
        <v>0.41212121212121211</v>
      </c>
      <c r="P98" s="33">
        <v>0.45412844036697247</v>
      </c>
    </row>
    <row r="99" spans="1:16" x14ac:dyDescent="0.45">
      <c r="A99" s="35">
        <v>96</v>
      </c>
      <c r="B99" s="32">
        <v>52.29999999999999</v>
      </c>
      <c r="C99" s="32">
        <v>0.54479166666666656</v>
      </c>
      <c r="D99" s="37">
        <v>2.0104166666666665</v>
      </c>
      <c r="E99" s="33">
        <v>0.25</v>
      </c>
      <c r="F99" s="33">
        <v>0.26041666666666669</v>
      </c>
      <c r="G99" s="33">
        <v>0.29040735873850199</v>
      </c>
      <c r="H99" s="33">
        <v>0.13403416557161629</v>
      </c>
      <c r="I99" s="34">
        <v>8432.1266968325799</v>
      </c>
      <c r="J99" s="34">
        <v>-7909.8039215686276</v>
      </c>
      <c r="K99" s="33">
        <v>8.3333333333333329E-2</v>
      </c>
      <c r="L99" s="33">
        <v>0.26938239159001315</v>
      </c>
      <c r="M99" s="33">
        <v>0.21944809461235218</v>
      </c>
      <c r="N99" s="33">
        <v>0.58536585365853655</v>
      </c>
      <c r="O99" s="33">
        <v>0.41317365269461076</v>
      </c>
      <c r="P99" s="33">
        <v>0.45248868778280543</v>
      </c>
    </row>
    <row r="100" spans="1:16" x14ac:dyDescent="0.45">
      <c r="A100" s="35">
        <v>97</v>
      </c>
      <c r="B100" s="32">
        <v>13.999999999999993</v>
      </c>
      <c r="C100" s="32">
        <v>0.14432989690721643</v>
      </c>
      <c r="D100" s="37">
        <v>2.0206185567010309</v>
      </c>
      <c r="E100" s="33">
        <v>0.24742268041237114</v>
      </c>
      <c r="F100" s="33">
        <v>0.26804123711340205</v>
      </c>
      <c r="G100" s="33">
        <v>0.28793774319066145</v>
      </c>
      <c r="H100" s="33">
        <v>0.13618677042801555</v>
      </c>
      <c r="I100" s="34">
        <v>8403.6036036036039</v>
      </c>
      <c r="J100" s="34">
        <v>-7902.8571428571431</v>
      </c>
      <c r="K100" s="33">
        <v>8.247422680412371E-2</v>
      </c>
      <c r="L100" s="33">
        <v>0.26848249027237353</v>
      </c>
      <c r="M100" s="33">
        <v>0.21789883268482491</v>
      </c>
      <c r="N100" s="33">
        <v>0.57971014492753625</v>
      </c>
      <c r="O100" s="33">
        <v>0.4107142857142857</v>
      </c>
      <c r="P100" s="33">
        <v>0.45495495495495497</v>
      </c>
    </row>
    <row r="101" spans="1:16" x14ac:dyDescent="0.45">
      <c r="A101" s="35">
        <v>98</v>
      </c>
      <c r="B101" s="32">
        <v>21.399999999999991</v>
      </c>
      <c r="C101" s="32">
        <v>0.21836734693877544</v>
      </c>
      <c r="D101" s="37">
        <v>2.0204081632653059</v>
      </c>
      <c r="E101" s="33">
        <v>0.24489795918367346</v>
      </c>
      <c r="F101" s="33">
        <v>0.26530612244897961</v>
      </c>
      <c r="G101" s="33">
        <v>0.28937259923175418</v>
      </c>
      <c r="H101" s="33">
        <v>0.13444302176696543</v>
      </c>
      <c r="I101" s="34">
        <v>8381.858407079646</v>
      </c>
      <c r="J101" s="34">
        <v>-7902.8571428571431</v>
      </c>
      <c r="K101" s="33">
        <v>8.1632653061224483E-2</v>
      </c>
      <c r="L101" s="33">
        <v>0.26632522407170295</v>
      </c>
      <c r="M101" s="33">
        <v>0.22023047375160051</v>
      </c>
      <c r="N101" s="33">
        <v>0.58173076923076927</v>
      </c>
      <c r="O101" s="33">
        <v>0.41860465116279072</v>
      </c>
      <c r="P101" s="33">
        <v>0.44690265486725661</v>
      </c>
    </row>
    <row r="102" spans="1:16" x14ac:dyDescent="0.45">
      <c r="A102" s="35">
        <v>99</v>
      </c>
      <c r="B102" s="32">
        <v>-5.4000000000000092</v>
      </c>
      <c r="C102" s="32">
        <v>-5.454545454545464E-2</v>
      </c>
      <c r="D102" s="37">
        <v>2.0303030303030303</v>
      </c>
      <c r="E102" s="33">
        <v>0.24242424242424243</v>
      </c>
      <c r="F102" s="33">
        <v>0.27272727272727271</v>
      </c>
      <c r="G102" s="33">
        <v>0.2878787878787879</v>
      </c>
      <c r="H102" s="33">
        <v>0.13636363636363635</v>
      </c>
      <c r="I102" s="34">
        <v>8326.3157894736851</v>
      </c>
      <c r="J102" s="34">
        <v>-7774.0740740740739</v>
      </c>
      <c r="K102" s="33">
        <v>8.0808080808080815E-2</v>
      </c>
      <c r="L102" s="33">
        <v>0.26767676767676768</v>
      </c>
      <c r="M102" s="33">
        <v>0.2196969696969697</v>
      </c>
      <c r="N102" s="33">
        <v>0.57075471698113212</v>
      </c>
      <c r="O102" s="33">
        <v>0.42528735632183906</v>
      </c>
      <c r="P102" s="33">
        <v>0.44736842105263158</v>
      </c>
    </row>
    <row r="103" spans="1:16" x14ac:dyDescent="0.45">
      <c r="A103" s="35">
        <v>100</v>
      </c>
      <c r="B103" s="32">
        <v>-25.600000000000009</v>
      </c>
      <c r="C103" s="32">
        <v>-0.25600000000000006</v>
      </c>
      <c r="D103" s="37">
        <v>2.04</v>
      </c>
      <c r="E103" s="33">
        <v>0.24</v>
      </c>
      <c r="F103" s="33">
        <v>0.28000000000000003</v>
      </c>
      <c r="G103" s="33">
        <v>0.28714107365792757</v>
      </c>
      <c r="H103" s="33">
        <v>0.13732833957553059</v>
      </c>
      <c r="I103" s="34">
        <v>8340.8695652173919</v>
      </c>
      <c r="J103" s="34">
        <v>-7714.545454545455</v>
      </c>
      <c r="K103" s="33">
        <v>0.08</v>
      </c>
      <c r="L103" s="33">
        <v>0.26716604244694131</v>
      </c>
      <c r="M103" s="33">
        <v>0.22097378277153559</v>
      </c>
      <c r="N103" s="33">
        <v>0.57009345794392519</v>
      </c>
      <c r="O103" s="33">
        <v>0.42372881355932202</v>
      </c>
      <c r="P103" s="33">
        <v>0.45217391304347826</v>
      </c>
    </row>
    <row r="104" spans="1:16" x14ac:dyDescent="0.45">
      <c r="A104" s="35">
        <v>101</v>
      </c>
      <c r="B104" s="32">
        <v>32.199999999999989</v>
      </c>
      <c r="C104" s="32">
        <v>0.31881188118811871</v>
      </c>
      <c r="D104" s="37">
        <v>2.0297029702970297</v>
      </c>
      <c r="E104" s="33">
        <v>0.24752475247524752</v>
      </c>
      <c r="F104" s="33">
        <v>0.27722772277227725</v>
      </c>
      <c r="G104" s="33">
        <v>0.28888888888888886</v>
      </c>
      <c r="H104" s="33">
        <v>0.13580246913580246</v>
      </c>
      <c r="I104" s="34">
        <v>8434.6153846153848</v>
      </c>
      <c r="J104" s="34">
        <v>-7714.545454545455</v>
      </c>
      <c r="K104" s="33">
        <v>7.9207920792079209E-2</v>
      </c>
      <c r="L104" s="33">
        <v>0.26790123456790121</v>
      </c>
      <c r="M104" s="33">
        <v>0.21975308641975308</v>
      </c>
      <c r="N104" s="33">
        <v>0.57603686635944695</v>
      </c>
      <c r="O104" s="33">
        <v>0.42696629213483145</v>
      </c>
      <c r="P104" s="33">
        <v>0.45299145299145299</v>
      </c>
    </row>
    <row r="105" spans="1:16" x14ac:dyDescent="0.45">
      <c r="A105" s="35">
        <v>102</v>
      </c>
      <c r="B105" s="32">
        <v>27.699999999999989</v>
      </c>
      <c r="C105" s="32">
        <v>0.27156862745098026</v>
      </c>
      <c r="D105" s="37">
        <v>2.0294117647058822</v>
      </c>
      <c r="E105" s="33">
        <v>0.24509803921568626</v>
      </c>
      <c r="F105" s="33">
        <v>0.27450980392156865</v>
      </c>
      <c r="G105" s="33">
        <v>0.28886168910648713</v>
      </c>
      <c r="H105" s="33">
        <v>0.13586291309669524</v>
      </c>
      <c r="I105" s="34">
        <v>8447.8813559322025</v>
      </c>
      <c r="J105" s="34">
        <v>-7671.1711711711714</v>
      </c>
      <c r="K105" s="33">
        <v>7.8431372549019607E-2</v>
      </c>
      <c r="L105" s="33">
        <v>0.27050183598531213</v>
      </c>
      <c r="M105" s="33">
        <v>0.21787025703794369</v>
      </c>
      <c r="N105" s="33">
        <v>0.57466063348416285</v>
      </c>
      <c r="O105" s="33">
        <v>0.42696629213483145</v>
      </c>
      <c r="P105" s="33">
        <v>0.45338983050847459</v>
      </c>
    </row>
    <row r="106" spans="1:16" x14ac:dyDescent="0.45">
      <c r="A106" s="35">
        <v>103</v>
      </c>
      <c r="B106" s="32">
        <v>45.79999999999999</v>
      </c>
      <c r="C106" s="32">
        <v>0.44466019417475716</v>
      </c>
      <c r="D106" s="37">
        <v>2.0194174757281553</v>
      </c>
      <c r="E106" s="33">
        <v>0.25242718446601942</v>
      </c>
      <c r="F106" s="33">
        <v>0.27184466019417475</v>
      </c>
      <c r="G106" s="33">
        <v>0.28950542822677927</v>
      </c>
      <c r="H106" s="33">
        <v>0.13751507840772015</v>
      </c>
      <c r="I106" s="34">
        <v>8495</v>
      </c>
      <c r="J106" s="34">
        <v>-7662.2807017543855</v>
      </c>
      <c r="K106" s="33">
        <v>7.7669902912621352E-2</v>
      </c>
      <c r="L106" s="33">
        <v>0.27020506634499397</v>
      </c>
      <c r="M106" s="33">
        <v>0.21833534378769601</v>
      </c>
      <c r="N106" s="33">
        <v>0.5758928571428571</v>
      </c>
      <c r="O106" s="33">
        <v>0.43093922651933703</v>
      </c>
      <c r="P106" s="33">
        <v>0.44583333333333336</v>
      </c>
    </row>
    <row r="107" spans="1:16" x14ac:dyDescent="0.45">
      <c r="A107" s="35">
        <v>104</v>
      </c>
      <c r="B107" s="32">
        <v>122.19999999999999</v>
      </c>
      <c r="C107" s="32">
        <v>1.1749999999999998</v>
      </c>
      <c r="D107" s="37">
        <v>2.0096153846153846</v>
      </c>
      <c r="E107" s="33">
        <v>0.25961538461538464</v>
      </c>
      <c r="F107" s="33">
        <v>0.26923076923076922</v>
      </c>
      <c r="G107" s="33">
        <v>0.2930622009569378</v>
      </c>
      <c r="H107" s="33">
        <v>0.13755980861244019</v>
      </c>
      <c r="I107" s="34">
        <v>8576.7346938775518</v>
      </c>
      <c r="J107" s="34">
        <v>-7618.260869565217</v>
      </c>
      <c r="K107" s="33">
        <v>7.6923076923076927E-2</v>
      </c>
      <c r="L107" s="33">
        <v>0.27272727272727271</v>
      </c>
      <c r="M107" s="33">
        <v>0.21770334928229665</v>
      </c>
      <c r="N107" s="33">
        <v>0.58333333333333337</v>
      </c>
      <c r="O107" s="33">
        <v>0.43406593406593408</v>
      </c>
      <c r="P107" s="33">
        <v>0.44897959183673469</v>
      </c>
    </row>
    <row r="108" spans="1:16" x14ac:dyDescent="0.45">
      <c r="A108" s="35">
        <v>105</v>
      </c>
      <c r="B108" s="32">
        <v>86.299999999999983</v>
      </c>
      <c r="C108" s="32">
        <v>0.82190476190476169</v>
      </c>
      <c r="D108" s="37">
        <v>2.019047619047619</v>
      </c>
      <c r="E108" s="33">
        <v>0.25714285714285712</v>
      </c>
      <c r="F108" s="33">
        <v>0.27619047619047621</v>
      </c>
      <c r="G108" s="33">
        <v>0.29078014184397161</v>
      </c>
      <c r="H108" s="33">
        <v>0.13593380614657211</v>
      </c>
      <c r="I108" s="34">
        <v>8552.4390243902435</v>
      </c>
      <c r="J108" s="34">
        <v>-7618.260869565217</v>
      </c>
      <c r="K108" s="33">
        <v>7.6190476190476197E-2</v>
      </c>
      <c r="L108" s="33">
        <v>0.27304964539007093</v>
      </c>
      <c r="M108" s="33">
        <v>0.21631205673758866</v>
      </c>
      <c r="N108" s="33">
        <v>0.58008658008658009</v>
      </c>
      <c r="O108" s="33">
        <v>0.43169398907103823</v>
      </c>
      <c r="P108" s="33">
        <v>0.44715447154471544</v>
      </c>
    </row>
    <row r="109" spans="1:16" x14ac:dyDescent="0.45">
      <c r="A109" s="35">
        <v>106</v>
      </c>
      <c r="B109" s="32">
        <v>84.299999999999983</v>
      </c>
      <c r="C109" s="32">
        <v>0.79528301886792441</v>
      </c>
      <c r="D109" s="37">
        <v>2.0188679245283021</v>
      </c>
      <c r="E109" s="33">
        <v>0.25471698113207547</v>
      </c>
      <c r="F109" s="33">
        <v>0.27358490566037735</v>
      </c>
      <c r="G109" s="33">
        <v>0.29024676850763809</v>
      </c>
      <c r="H109" s="33">
        <v>0.13513513513513514</v>
      </c>
      <c r="I109" s="34">
        <v>8550.2024291497983</v>
      </c>
      <c r="J109" s="34">
        <v>-7618.260869565217</v>
      </c>
      <c r="K109" s="33">
        <v>7.5471698113207544E-2</v>
      </c>
      <c r="L109" s="33">
        <v>0.27379553466509987</v>
      </c>
      <c r="M109" s="33">
        <v>0.21504112808460635</v>
      </c>
      <c r="N109" s="33">
        <v>0.57510729613733902</v>
      </c>
      <c r="O109" s="33">
        <v>0.43169398907103823</v>
      </c>
      <c r="P109" s="33">
        <v>0.44534412955465585</v>
      </c>
    </row>
    <row r="110" spans="1:16" x14ac:dyDescent="0.45">
      <c r="A110" s="35">
        <v>107</v>
      </c>
      <c r="B110" s="32">
        <v>106.29999999999998</v>
      </c>
      <c r="C110" s="32">
        <v>0.99345794392523346</v>
      </c>
      <c r="D110" s="37">
        <v>2.0093457943925235</v>
      </c>
      <c r="E110" s="33">
        <v>0.26168224299065418</v>
      </c>
      <c r="F110" s="33">
        <v>0.27102803738317754</v>
      </c>
      <c r="G110" s="33">
        <v>0.29254079254079252</v>
      </c>
      <c r="H110" s="33">
        <v>0.1351981351981352</v>
      </c>
      <c r="I110" s="34">
        <v>8514.3426294820711</v>
      </c>
      <c r="J110" s="34">
        <v>-7597.4137931034484</v>
      </c>
      <c r="K110" s="33">
        <v>7.476635514018691E-2</v>
      </c>
      <c r="L110" s="33">
        <v>0.27272727272727271</v>
      </c>
      <c r="M110" s="33">
        <v>0.21678321678321677</v>
      </c>
      <c r="N110" s="33">
        <v>0.57692307692307687</v>
      </c>
      <c r="O110" s="33">
        <v>0.43548387096774194</v>
      </c>
      <c r="P110" s="33">
        <v>0.44621513944223107</v>
      </c>
    </row>
    <row r="111" spans="1:16" x14ac:dyDescent="0.45">
      <c r="A111" s="35">
        <v>108</v>
      </c>
      <c r="B111" s="32">
        <v>99.199999999999989</v>
      </c>
      <c r="C111" s="32">
        <v>0.9185185185185184</v>
      </c>
      <c r="D111" s="37">
        <v>2.0092592592592591</v>
      </c>
      <c r="E111" s="33">
        <v>0.25925925925925924</v>
      </c>
      <c r="F111" s="33">
        <v>0.26851851851851855</v>
      </c>
      <c r="G111" s="33">
        <v>0.29032258064516131</v>
      </c>
      <c r="H111" s="33">
        <v>0.1347926267281106</v>
      </c>
      <c r="I111" s="34">
        <v>8511.5079365079364</v>
      </c>
      <c r="J111" s="34">
        <v>-7554.7008547008545</v>
      </c>
      <c r="K111" s="33">
        <v>7.407407407407407E-2</v>
      </c>
      <c r="L111" s="33">
        <v>0.27073732718894011</v>
      </c>
      <c r="M111" s="33">
        <v>0.21658986175115208</v>
      </c>
      <c r="N111" s="33">
        <v>0.5787234042553191</v>
      </c>
      <c r="O111" s="33">
        <v>0.43085106382978722</v>
      </c>
      <c r="P111" s="33">
        <v>0.44841269841269843</v>
      </c>
    </row>
    <row r="112" spans="1:16" x14ac:dyDescent="0.45">
      <c r="A112" s="35">
        <v>109</v>
      </c>
      <c r="B112" s="32">
        <v>132.19999999999999</v>
      </c>
      <c r="C112" s="32">
        <v>1.2128440366972475</v>
      </c>
      <c r="D112" s="37">
        <v>2</v>
      </c>
      <c r="E112" s="33">
        <v>0.26605504587155965</v>
      </c>
      <c r="F112" s="33">
        <v>0.26605504587155965</v>
      </c>
      <c r="G112" s="33">
        <v>0.29142857142857143</v>
      </c>
      <c r="H112" s="33">
        <v>0.13485714285714287</v>
      </c>
      <c r="I112" s="34">
        <v>8554.1176470588234</v>
      </c>
      <c r="J112" s="34">
        <v>-7523.7288135593217</v>
      </c>
      <c r="K112" s="33">
        <v>7.3394495412844041E-2</v>
      </c>
      <c r="L112" s="33">
        <v>0.27085714285714285</v>
      </c>
      <c r="M112" s="33">
        <v>0.216</v>
      </c>
      <c r="N112" s="33">
        <v>0.57805907172995785</v>
      </c>
      <c r="O112" s="33">
        <v>0.43386243386243384</v>
      </c>
      <c r="P112" s="33">
        <v>0.45098039215686275</v>
      </c>
    </row>
    <row r="113" spans="1:16" x14ac:dyDescent="0.45">
      <c r="A113" s="35">
        <v>110</v>
      </c>
      <c r="B113" s="32">
        <v>120.1</v>
      </c>
      <c r="C113" s="32">
        <v>1.0918181818181818</v>
      </c>
      <c r="D113" s="37">
        <v>2.0090909090909093</v>
      </c>
      <c r="E113" s="33">
        <v>0.26363636363636361</v>
      </c>
      <c r="F113" s="33">
        <v>0.27272727272727271</v>
      </c>
      <c r="G113" s="33">
        <v>0.29171396140749151</v>
      </c>
      <c r="H113" s="33">
        <v>0.1362088535754824</v>
      </c>
      <c r="I113" s="34">
        <v>8537.7431906614784</v>
      </c>
      <c r="J113" s="34">
        <v>-7435.833333333333</v>
      </c>
      <c r="K113" s="33">
        <v>7.2727272727272724E-2</v>
      </c>
      <c r="L113" s="33">
        <v>0.26901248581157777</v>
      </c>
      <c r="M113" s="33">
        <v>0.21793416572077184</v>
      </c>
      <c r="N113" s="33">
        <v>0.57805907172995785</v>
      </c>
      <c r="O113" s="33">
        <v>0.4375</v>
      </c>
      <c r="P113" s="33">
        <v>0.44747081712062259</v>
      </c>
    </row>
    <row r="114" spans="1:16" x14ac:dyDescent="0.45">
      <c r="A114" s="35">
        <v>111</v>
      </c>
      <c r="B114" s="32">
        <v>106.3</v>
      </c>
      <c r="C114" s="32">
        <v>0.95765765765765765</v>
      </c>
      <c r="D114" s="37">
        <v>2.0180180180180178</v>
      </c>
      <c r="E114" s="33">
        <v>0.26126126126126126</v>
      </c>
      <c r="F114" s="33">
        <v>0.27927927927927926</v>
      </c>
      <c r="G114" s="33">
        <v>0.29021372328458944</v>
      </c>
      <c r="H114" s="33">
        <v>0.13610798650168729</v>
      </c>
      <c r="I114" s="34">
        <v>8524.8062015503874</v>
      </c>
      <c r="J114" s="34">
        <v>-7440.4958677685954</v>
      </c>
      <c r="K114" s="33">
        <v>7.2072072072072071E-2</v>
      </c>
      <c r="L114" s="33">
        <v>0.26884139482564678</v>
      </c>
      <c r="M114" s="33">
        <v>0.21934758155230596</v>
      </c>
      <c r="N114" s="33">
        <v>0.57740585774058573</v>
      </c>
      <c r="O114" s="33">
        <v>0.43076923076923079</v>
      </c>
      <c r="P114" s="33">
        <v>0.44573643410852715</v>
      </c>
    </row>
    <row r="115" spans="1:16" x14ac:dyDescent="0.45">
      <c r="A115" s="35">
        <v>112</v>
      </c>
      <c r="B115" s="32">
        <v>104.5</v>
      </c>
      <c r="C115" s="32">
        <v>0.9330357142857143</v>
      </c>
      <c r="D115" s="37">
        <v>2.0178571428571428</v>
      </c>
      <c r="E115" s="33">
        <v>0.25892857142857145</v>
      </c>
      <c r="F115" s="33">
        <v>0.2767857142857143</v>
      </c>
      <c r="G115" s="33">
        <v>0.28938547486033517</v>
      </c>
      <c r="H115" s="33">
        <v>0.13519553072625698</v>
      </c>
      <c r="I115" s="34">
        <v>8521.6216216216217</v>
      </c>
      <c r="J115" s="34">
        <v>-7440.4958677685954</v>
      </c>
      <c r="K115" s="33">
        <v>7.1428571428571425E-2</v>
      </c>
      <c r="L115" s="33">
        <v>0.26703910614525139</v>
      </c>
      <c r="M115" s="33">
        <v>0.2212290502793296</v>
      </c>
      <c r="N115" s="33">
        <v>0.57740585774058573</v>
      </c>
      <c r="O115" s="33">
        <v>0.42929292929292928</v>
      </c>
      <c r="P115" s="33">
        <v>0.44401544401544402</v>
      </c>
    </row>
    <row r="116" spans="1:16" x14ac:dyDescent="0.45">
      <c r="A116" s="35">
        <v>113</v>
      </c>
      <c r="B116" s="32">
        <v>101.5</v>
      </c>
      <c r="C116" s="32">
        <v>0.89823008849557517</v>
      </c>
      <c r="D116" s="37">
        <v>2.0176991150442478</v>
      </c>
      <c r="E116" s="33">
        <v>0.25663716814159293</v>
      </c>
      <c r="F116" s="33">
        <v>0.27433628318584069</v>
      </c>
      <c r="G116" s="33">
        <v>0.28839779005524863</v>
      </c>
      <c r="H116" s="33">
        <v>0.13370165745856355</v>
      </c>
      <c r="I116" s="34">
        <v>8486.9731800766276</v>
      </c>
      <c r="J116" s="34">
        <v>-7440.4958677685954</v>
      </c>
      <c r="K116" s="33">
        <v>7.0796460176991149E-2</v>
      </c>
      <c r="L116" s="33">
        <v>0.26629834254143647</v>
      </c>
      <c r="M116" s="33">
        <v>0.22209944751381216</v>
      </c>
      <c r="N116" s="33">
        <v>0.57676348547717837</v>
      </c>
      <c r="O116" s="33">
        <v>0.42786069651741293</v>
      </c>
      <c r="P116" s="33">
        <v>0.44827586206896552</v>
      </c>
    </row>
    <row r="117" spans="1:16" x14ac:dyDescent="0.45">
      <c r="A117" s="35">
        <v>114</v>
      </c>
      <c r="B117" s="32">
        <v>116.9</v>
      </c>
      <c r="C117" s="32">
        <v>1.025438596491228</v>
      </c>
      <c r="D117" s="37">
        <v>2.0175438596491229</v>
      </c>
      <c r="E117" s="33">
        <v>0.25438596491228072</v>
      </c>
      <c r="F117" s="33">
        <v>0.27192982456140352</v>
      </c>
      <c r="G117" s="33">
        <v>0.28758169934640521</v>
      </c>
      <c r="H117" s="33">
        <v>0.13180827886710239</v>
      </c>
      <c r="I117" s="34">
        <v>8470.8333333333339</v>
      </c>
      <c r="J117" s="34">
        <v>-7440.4958677685954</v>
      </c>
      <c r="K117" s="33">
        <v>7.0175438596491224E-2</v>
      </c>
      <c r="L117" s="33">
        <v>0.26361655773420478</v>
      </c>
      <c r="M117" s="33">
        <v>0.22222222222222221</v>
      </c>
      <c r="N117" s="33">
        <v>0.57438016528925617</v>
      </c>
      <c r="O117" s="33">
        <v>0.43627450980392157</v>
      </c>
      <c r="P117" s="33">
        <v>0.44696969696969696</v>
      </c>
    </row>
    <row r="118" spans="1:16" x14ac:dyDescent="0.45">
      <c r="A118" s="35">
        <v>115</v>
      </c>
      <c r="B118" s="32">
        <v>87.800000000000011</v>
      </c>
      <c r="C118" s="32">
        <v>0.76347826086956527</v>
      </c>
      <c r="D118" s="37">
        <v>2.026086956521739</v>
      </c>
      <c r="E118" s="33">
        <v>0.25217391304347825</v>
      </c>
      <c r="F118" s="33">
        <v>0.27826086956521739</v>
      </c>
      <c r="G118" s="33">
        <v>0.28663793103448276</v>
      </c>
      <c r="H118" s="33">
        <v>0.13254310344827586</v>
      </c>
      <c r="I118" s="34">
        <v>8427.8195488721813</v>
      </c>
      <c r="J118" s="34">
        <v>-7348.7804878048782</v>
      </c>
      <c r="K118" s="33">
        <v>6.9565217391304349E-2</v>
      </c>
      <c r="L118" s="33">
        <v>0.26400862068965519</v>
      </c>
      <c r="M118" s="33">
        <v>0.22306034482758622</v>
      </c>
      <c r="N118" s="33">
        <v>0.56734693877551023</v>
      </c>
      <c r="O118" s="33">
        <v>0.43961352657004832</v>
      </c>
      <c r="P118" s="33">
        <v>0.44736842105263158</v>
      </c>
    </row>
    <row r="119" spans="1:16" x14ac:dyDescent="0.45">
      <c r="A119" s="35">
        <v>116</v>
      </c>
      <c r="B119" s="32">
        <v>70.800000000000011</v>
      </c>
      <c r="C119" s="32">
        <v>0.61034482758620701</v>
      </c>
      <c r="D119" s="37">
        <v>2.0344827586206895</v>
      </c>
      <c r="E119" s="33">
        <v>0.25</v>
      </c>
      <c r="F119" s="33">
        <v>0.28448275862068967</v>
      </c>
      <c r="G119" s="33">
        <v>0.28678038379530918</v>
      </c>
      <c r="H119" s="33">
        <v>0.13326226012793177</v>
      </c>
      <c r="I119" s="34">
        <v>8381.0408921933085</v>
      </c>
      <c r="J119" s="34">
        <v>-7272.8</v>
      </c>
      <c r="K119" s="33">
        <v>6.8965517241379309E-2</v>
      </c>
      <c r="L119" s="33">
        <v>0.26545842217484006</v>
      </c>
      <c r="M119" s="33">
        <v>0.22388059701492538</v>
      </c>
      <c r="N119" s="33">
        <v>0.56224899598393574</v>
      </c>
      <c r="O119" s="33">
        <v>0.43809523809523809</v>
      </c>
      <c r="P119" s="33">
        <v>0.44981412639405205</v>
      </c>
    </row>
    <row r="120" spans="1:16" x14ac:dyDescent="0.45">
      <c r="A120" s="35">
        <v>117</v>
      </c>
      <c r="B120" s="32">
        <v>63.600000000000009</v>
      </c>
      <c r="C120" s="32">
        <v>0.54358974358974366</v>
      </c>
      <c r="D120" s="37">
        <v>2.0341880341880341</v>
      </c>
      <c r="E120" s="33">
        <v>0.24786324786324787</v>
      </c>
      <c r="F120" s="33">
        <v>0.28205128205128205</v>
      </c>
      <c r="G120" s="33">
        <v>0.28752642706131076</v>
      </c>
      <c r="H120" s="33">
        <v>0.1331923890063425</v>
      </c>
      <c r="I120" s="34">
        <v>8388.6029411764703</v>
      </c>
      <c r="J120" s="34">
        <v>-7310.3174603174602</v>
      </c>
      <c r="K120" s="33">
        <v>6.8376068376068383E-2</v>
      </c>
      <c r="L120" s="33">
        <v>0.26427061310782241</v>
      </c>
      <c r="M120" s="33">
        <v>0.22410147991543342</v>
      </c>
      <c r="N120" s="33">
        <v>0.56399999999999995</v>
      </c>
      <c r="O120" s="33">
        <v>0.44339622641509435</v>
      </c>
      <c r="P120" s="33">
        <v>0.4485294117647059</v>
      </c>
    </row>
    <row r="121" spans="1:16" x14ac:dyDescent="0.45">
      <c r="A121" s="35">
        <v>118</v>
      </c>
      <c r="B121" s="32">
        <v>98.4</v>
      </c>
      <c r="C121" s="32">
        <v>0.83389830508474583</v>
      </c>
      <c r="D121" s="37">
        <v>2.0254237288135593</v>
      </c>
      <c r="E121" s="33">
        <v>0.25423728813559321</v>
      </c>
      <c r="F121" s="33">
        <v>0.27966101694915252</v>
      </c>
      <c r="G121" s="33">
        <v>0.28856243441762852</v>
      </c>
      <c r="H121" s="33">
        <v>0.13326337880377753</v>
      </c>
      <c r="I121" s="34">
        <v>8393.818181818182</v>
      </c>
      <c r="J121" s="34">
        <v>-7262.9921259842522</v>
      </c>
      <c r="K121" s="33">
        <v>6.7796610169491525E-2</v>
      </c>
      <c r="L121" s="33">
        <v>0.26652675760755506</v>
      </c>
      <c r="M121" s="33">
        <v>0.22350472193074503</v>
      </c>
      <c r="N121" s="33">
        <v>0.56692913385826771</v>
      </c>
      <c r="O121" s="33">
        <v>0.44131455399061031</v>
      </c>
      <c r="P121" s="33">
        <v>0.44727272727272727</v>
      </c>
    </row>
    <row r="122" spans="1:16" x14ac:dyDescent="0.45">
      <c r="A122" s="35">
        <v>119</v>
      </c>
      <c r="B122" s="32">
        <v>96.600000000000009</v>
      </c>
      <c r="C122" s="32">
        <v>0.81176470588235305</v>
      </c>
      <c r="D122" s="37">
        <v>2.0252100840336134</v>
      </c>
      <c r="E122" s="33">
        <v>0.25210084033613445</v>
      </c>
      <c r="F122" s="33">
        <v>0.27731092436974791</v>
      </c>
      <c r="G122" s="33">
        <v>0.28838174273858919</v>
      </c>
      <c r="H122" s="33">
        <v>0.13278008298755187</v>
      </c>
      <c r="I122" s="34">
        <v>8341.0071942446048</v>
      </c>
      <c r="J122" s="34">
        <v>-7268.75</v>
      </c>
      <c r="K122" s="33">
        <v>6.7226890756302518E-2</v>
      </c>
      <c r="L122" s="33">
        <v>0.26763485477178423</v>
      </c>
      <c r="M122" s="33">
        <v>0.22095435684647302</v>
      </c>
      <c r="N122" s="33">
        <v>0.56589147286821706</v>
      </c>
      <c r="O122" s="33">
        <v>0.44131455399061031</v>
      </c>
      <c r="P122" s="33">
        <v>0.4460431654676259</v>
      </c>
    </row>
    <row r="123" spans="1:16" x14ac:dyDescent="0.45">
      <c r="A123" s="35">
        <v>120</v>
      </c>
      <c r="B123" s="32">
        <v>66.700000000000017</v>
      </c>
      <c r="C123" s="32">
        <v>0.55583333333333351</v>
      </c>
      <c r="D123" s="37">
        <v>2.0333333333333332</v>
      </c>
      <c r="E123" s="33">
        <v>0.25</v>
      </c>
      <c r="F123" s="33">
        <v>0.28333333333333333</v>
      </c>
      <c r="G123" s="33">
        <v>0.28717948717948716</v>
      </c>
      <c r="H123" s="33">
        <v>0.13435897435897437</v>
      </c>
      <c r="I123" s="34">
        <v>8314.2857142857138</v>
      </c>
      <c r="J123" s="34">
        <v>-7283.2061068702287</v>
      </c>
      <c r="K123" s="33">
        <v>6.6666666666666666E-2</v>
      </c>
      <c r="L123" s="33">
        <v>0.26871794871794874</v>
      </c>
      <c r="M123" s="33">
        <v>0.2194871794871795</v>
      </c>
      <c r="N123" s="33">
        <v>0.56106870229007633</v>
      </c>
      <c r="O123" s="33">
        <v>0.44392523364485981</v>
      </c>
      <c r="P123" s="33">
        <v>0.44642857142857145</v>
      </c>
    </row>
    <row r="124" spans="1:16" x14ac:dyDescent="0.45">
      <c r="A124" s="35">
        <v>121</v>
      </c>
      <c r="B124" s="32">
        <v>34.200000000000017</v>
      </c>
      <c r="C124" s="32">
        <v>0.28264462809917368</v>
      </c>
      <c r="D124" s="37">
        <v>2.0413223140495869</v>
      </c>
      <c r="E124" s="33">
        <v>0.24793388429752067</v>
      </c>
      <c r="F124" s="33">
        <v>0.28925619834710742</v>
      </c>
      <c r="G124" s="33">
        <v>0.28629441624365481</v>
      </c>
      <c r="H124" s="33">
        <v>0.13604060913705585</v>
      </c>
      <c r="I124" s="34">
        <v>8310.9929078014193</v>
      </c>
      <c r="J124" s="34">
        <v>-7288.8059701492539</v>
      </c>
      <c r="K124" s="33">
        <v>6.6115702479338845E-2</v>
      </c>
      <c r="L124" s="33">
        <v>0.26802030456852793</v>
      </c>
      <c r="M124" s="33">
        <v>0.22030456852791877</v>
      </c>
      <c r="N124" s="33">
        <v>0.56060606060606055</v>
      </c>
      <c r="O124" s="33">
        <v>0.44239631336405533</v>
      </c>
      <c r="P124" s="33">
        <v>0.44680851063829785</v>
      </c>
    </row>
    <row r="125" spans="1:16" x14ac:dyDescent="0.45">
      <c r="A125" s="35">
        <v>122</v>
      </c>
      <c r="B125" s="32">
        <v>0.10000000000001563</v>
      </c>
      <c r="C125" s="32">
        <v>8.1967213114766914E-4</v>
      </c>
      <c r="D125" s="37">
        <v>2.0491803278688523</v>
      </c>
      <c r="E125" s="33">
        <v>0.24590163934426229</v>
      </c>
      <c r="F125" s="33">
        <v>0.29508196721311475</v>
      </c>
      <c r="G125" s="33">
        <v>0.28528225806451613</v>
      </c>
      <c r="H125" s="33">
        <v>0.13608870967741934</v>
      </c>
      <c r="I125" s="34">
        <v>8295.4063604240291</v>
      </c>
      <c r="J125" s="34">
        <v>-7273.333333333333</v>
      </c>
      <c r="K125" s="33">
        <v>6.5573770491803282E-2</v>
      </c>
      <c r="L125" s="33">
        <v>0.26915322580645162</v>
      </c>
      <c r="M125" s="33">
        <v>0.22076612903225806</v>
      </c>
      <c r="N125" s="33">
        <v>0.55805243445692887</v>
      </c>
      <c r="O125" s="33">
        <v>0.43835616438356162</v>
      </c>
      <c r="P125" s="33">
        <v>0.44522968197879859</v>
      </c>
    </row>
    <row r="126" spans="1:16" x14ac:dyDescent="0.45">
      <c r="A126" s="35">
        <v>123</v>
      </c>
      <c r="B126" s="32">
        <v>-36.999999999999986</v>
      </c>
      <c r="C126" s="32">
        <v>-0.30081300813008116</v>
      </c>
      <c r="D126" s="37">
        <v>2.0569105691056913</v>
      </c>
      <c r="E126" s="33">
        <v>0.24390243902439024</v>
      </c>
      <c r="F126" s="33">
        <v>0.30081300813008133</v>
      </c>
      <c r="G126" s="33">
        <v>0.28243512974051899</v>
      </c>
      <c r="H126" s="33">
        <v>0.13672654690618763</v>
      </c>
      <c r="I126" s="34">
        <v>8295.4063604240291</v>
      </c>
      <c r="J126" s="34">
        <v>-7233.5766423357663</v>
      </c>
      <c r="K126" s="33">
        <v>6.5040650406504072E-2</v>
      </c>
      <c r="L126" s="33">
        <v>0.27045908183632733</v>
      </c>
      <c r="M126" s="33">
        <v>0.21956087824351297</v>
      </c>
      <c r="N126" s="33">
        <v>0.54981549815498154</v>
      </c>
      <c r="O126" s="33">
        <v>0.43636363636363634</v>
      </c>
      <c r="P126" s="33">
        <v>0.44522968197879859</v>
      </c>
    </row>
    <row r="127" spans="1:16" x14ac:dyDescent="0.45">
      <c r="A127" s="35">
        <v>124</v>
      </c>
      <c r="B127" s="32">
        <v>-66.899999999999977</v>
      </c>
      <c r="C127" s="32">
        <v>-0.53951612903225787</v>
      </c>
      <c r="D127" s="37">
        <v>2.064516129032258</v>
      </c>
      <c r="E127" s="33">
        <v>0.24193548387096775</v>
      </c>
      <c r="F127" s="33">
        <v>0.30645161290322581</v>
      </c>
      <c r="G127" s="33">
        <v>0.28019801980198022</v>
      </c>
      <c r="H127" s="33">
        <v>0.13663366336633664</v>
      </c>
      <c r="I127" s="34">
        <v>8295.4063604240291</v>
      </c>
      <c r="J127" s="34">
        <v>-7192.753623188406</v>
      </c>
      <c r="K127" s="33">
        <v>6.4516129032258063E-2</v>
      </c>
      <c r="L127" s="33">
        <v>0.26831683168316833</v>
      </c>
      <c r="M127" s="33">
        <v>0.22079207920792079</v>
      </c>
      <c r="N127" s="33">
        <v>0.54981549815498154</v>
      </c>
      <c r="O127" s="33">
        <v>0.43049327354260092</v>
      </c>
      <c r="P127" s="33">
        <v>0.44522968197879859</v>
      </c>
    </row>
    <row r="128" spans="1:16" x14ac:dyDescent="0.45">
      <c r="A128" s="35">
        <v>125</v>
      </c>
      <c r="B128" s="32">
        <v>-84.899999999999977</v>
      </c>
      <c r="C128" s="32">
        <v>-0.6791999999999998</v>
      </c>
      <c r="D128" s="37">
        <v>2.0720000000000001</v>
      </c>
      <c r="E128" s="33">
        <v>0.24</v>
      </c>
      <c r="F128" s="33">
        <v>0.312</v>
      </c>
      <c r="G128" s="33">
        <v>0.27952755905511811</v>
      </c>
      <c r="H128" s="33">
        <v>0.13681102362204725</v>
      </c>
      <c r="I128" s="34">
        <v>8294.3661971830988</v>
      </c>
      <c r="J128" s="34">
        <v>-7198.5611510791368</v>
      </c>
      <c r="K128" s="33">
        <v>6.4000000000000001E-2</v>
      </c>
      <c r="L128" s="33">
        <v>0.26771653543307089</v>
      </c>
      <c r="M128" s="33">
        <v>0.22244094488188976</v>
      </c>
      <c r="N128" s="33">
        <v>0.54779411764705888</v>
      </c>
      <c r="O128" s="33">
        <v>0.42920353982300885</v>
      </c>
      <c r="P128" s="33">
        <v>0.44718309859154931</v>
      </c>
    </row>
    <row r="129" spans="1:16" x14ac:dyDescent="0.45">
      <c r="A129" s="35">
        <v>126</v>
      </c>
      <c r="B129" s="32">
        <v>-132.19999999999999</v>
      </c>
      <c r="C129" s="32">
        <v>-1.049206349206349</v>
      </c>
      <c r="D129" s="37">
        <v>2.0793650793650795</v>
      </c>
      <c r="E129" s="33">
        <v>0.23809523809523808</v>
      </c>
      <c r="F129" s="33">
        <v>0.31746031746031744</v>
      </c>
      <c r="G129" s="33">
        <v>0.27918287937743191</v>
      </c>
      <c r="H129" s="33">
        <v>0.13910505836575876</v>
      </c>
      <c r="I129" s="34">
        <v>8252.6132404181189</v>
      </c>
      <c r="J129" s="34">
        <v>-7162.9370629370633</v>
      </c>
      <c r="K129" s="33">
        <v>7.1428571428571425E-2</v>
      </c>
      <c r="L129" s="33">
        <v>0.26653696498054474</v>
      </c>
      <c r="M129" s="33">
        <v>0.2227626459143969</v>
      </c>
      <c r="N129" s="33">
        <v>0.54744525547445255</v>
      </c>
      <c r="O129" s="33">
        <v>0.43231441048034935</v>
      </c>
      <c r="P129" s="33">
        <v>0.44599303135888502</v>
      </c>
    </row>
    <row r="130" spans="1:16" x14ac:dyDescent="0.45">
      <c r="A130" s="35">
        <v>127</v>
      </c>
      <c r="B130" s="32">
        <v>-132.5</v>
      </c>
      <c r="C130" s="32">
        <v>-1.0433070866141732</v>
      </c>
      <c r="D130" s="37">
        <v>2.0787401574803148</v>
      </c>
      <c r="E130" s="33">
        <v>0.23622047244094488</v>
      </c>
      <c r="F130" s="33">
        <v>0.31496062992125984</v>
      </c>
      <c r="G130" s="33">
        <v>0.27895752895752896</v>
      </c>
      <c r="H130" s="33">
        <v>0.13996138996138996</v>
      </c>
      <c r="I130" s="34">
        <v>8278.5467128027685</v>
      </c>
      <c r="J130" s="34">
        <v>-7157.2413793103451</v>
      </c>
      <c r="K130" s="33">
        <v>7.0866141732283464E-2</v>
      </c>
      <c r="L130" s="33">
        <v>0.2673745173745174</v>
      </c>
      <c r="M130" s="33">
        <v>0.22200772200772201</v>
      </c>
      <c r="N130" s="33">
        <v>0.54512635379061369</v>
      </c>
      <c r="O130" s="33">
        <v>0.43043478260869567</v>
      </c>
      <c r="P130" s="33">
        <v>0.44636678200692043</v>
      </c>
    </row>
    <row r="131" spans="1:16" x14ac:dyDescent="0.45">
      <c r="A131" s="35">
        <v>128</v>
      </c>
      <c r="B131" s="32">
        <v>-181.1</v>
      </c>
      <c r="C131" s="32">
        <v>-1.41484375</v>
      </c>
      <c r="D131" s="37">
        <v>2.0859375</v>
      </c>
      <c r="E131" s="33">
        <v>0.234375</v>
      </c>
      <c r="F131" s="33">
        <v>0.3203125</v>
      </c>
      <c r="G131" s="33">
        <v>0.27681992337164751</v>
      </c>
      <c r="H131" s="33">
        <v>0.1417624521072797</v>
      </c>
      <c r="I131" s="34">
        <v>8278.5467128027685</v>
      </c>
      <c r="J131" s="34">
        <v>-7159.4594594594591</v>
      </c>
      <c r="K131" s="33">
        <v>7.8125E-2</v>
      </c>
      <c r="L131" s="33">
        <v>0.26532567049808431</v>
      </c>
      <c r="M131" s="33">
        <v>0.22318007662835249</v>
      </c>
      <c r="N131" s="33">
        <v>0.54512635379061369</v>
      </c>
      <c r="O131" s="33">
        <v>0.42489270386266093</v>
      </c>
      <c r="P131" s="33">
        <v>0.44636678200692043</v>
      </c>
    </row>
    <row r="132" spans="1:16" x14ac:dyDescent="0.45">
      <c r="A132" s="35">
        <v>129</v>
      </c>
      <c r="B132" s="32">
        <v>-210.29999999999998</v>
      </c>
      <c r="C132" s="32">
        <v>-1.6302325581395347</v>
      </c>
      <c r="D132" s="37">
        <v>2.0930232558139537</v>
      </c>
      <c r="E132" s="33">
        <v>0.23255813953488372</v>
      </c>
      <c r="F132" s="33">
        <v>0.32558139534883723</v>
      </c>
      <c r="G132" s="33">
        <v>0.27619047619047621</v>
      </c>
      <c r="H132" s="33">
        <v>0.14190476190476189</v>
      </c>
      <c r="I132" s="34">
        <v>8276.5517241379312</v>
      </c>
      <c r="J132" s="34">
        <v>-7191.9463087248323</v>
      </c>
      <c r="K132" s="33">
        <v>7.7519379844961239E-2</v>
      </c>
      <c r="L132" s="33">
        <v>0.26476190476190475</v>
      </c>
      <c r="M132" s="33">
        <v>0.22476190476190477</v>
      </c>
      <c r="N132" s="33">
        <v>0.5467625899280576</v>
      </c>
      <c r="O132" s="33">
        <v>0.41949152542372881</v>
      </c>
      <c r="P132" s="33">
        <v>0.44827586206896552</v>
      </c>
    </row>
    <row r="133" spans="1:16" x14ac:dyDescent="0.45">
      <c r="A133" s="35">
        <v>130</v>
      </c>
      <c r="B133" s="32">
        <v>-230.89999999999998</v>
      </c>
      <c r="C133" s="32">
        <v>-1.776153846153846</v>
      </c>
      <c r="D133" s="37">
        <v>2.0923076923076924</v>
      </c>
      <c r="E133" s="33">
        <v>0.23076923076923078</v>
      </c>
      <c r="F133" s="33">
        <v>0.32307692307692309</v>
      </c>
      <c r="G133" s="33">
        <v>0.27573182247403211</v>
      </c>
      <c r="H133" s="33">
        <v>0.14069877242681775</v>
      </c>
      <c r="I133" s="34">
        <v>8255.1369863013697</v>
      </c>
      <c r="J133" s="34">
        <v>-7191.9463087248323</v>
      </c>
      <c r="K133" s="33">
        <v>7.6923076923076927E-2</v>
      </c>
      <c r="L133" s="33">
        <v>0.26628895184135976</v>
      </c>
      <c r="M133" s="33">
        <v>0.22379603399433429</v>
      </c>
      <c r="N133" s="33">
        <v>0.54609929078014185</v>
      </c>
      <c r="O133" s="33">
        <v>0.41772151898734178</v>
      </c>
      <c r="P133" s="33">
        <v>0.4452054794520548</v>
      </c>
    </row>
    <row r="134" spans="1:16" x14ac:dyDescent="0.45">
      <c r="A134" s="35">
        <v>131</v>
      </c>
      <c r="B134" s="32">
        <v>-242.39999999999998</v>
      </c>
      <c r="C134" s="32">
        <v>-1.8503816793893129</v>
      </c>
      <c r="D134" s="37">
        <v>2.0916030534351147</v>
      </c>
      <c r="E134" s="33">
        <v>0.22900763358778625</v>
      </c>
      <c r="F134" s="33">
        <v>0.32061068702290074</v>
      </c>
      <c r="G134" s="33">
        <v>0.27450980392156865</v>
      </c>
      <c r="H134" s="33">
        <v>0.1419234360410831</v>
      </c>
      <c r="I134" s="34">
        <v>8236.3945578231287</v>
      </c>
      <c r="J134" s="34">
        <v>-7076.3157894736842</v>
      </c>
      <c r="K134" s="33">
        <v>7.6335877862595422E-2</v>
      </c>
      <c r="L134" s="33">
        <v>0.26610644257703081</v>
      </c>
      <c r="M134" s="33">
        <v>0.2250233426704015</v>
      </c>
      <c r="N134" s="33">
        <v>0.54736842105263162</v>
      </c>
      <c r="O134" s="33">
        <v>0.41078838174273857</v>
      </c>
      <c r="P134" s="33">
        <v>0.445578231292517</v>
      </c>
    </row>
    <row r="135" spans="1:16" x14ac:dyDescent="0.45">
      <c r="A135" s="35">
        <v>132</v>
      </c>
      <c r="B135" s="32">
        <v>-238.2</v>
      </c>
      <c r="C135" s="32">
        <v>-1.8045454545454545</v>
      </c>
      <c r="D135" s="37">
        <v>2.0909090909090908</v>
      </c>
      <c r="E135" s="33">
        <v>0.22727272727272727</v>
      </c>
      <c r="F135" s="33">
        <v>0.31818181818181818</v>
      </c>
      <c r="G135" s="33">
        <v>0.27525486561631141</v>
      </c>
      <c r="H135" s="33">
        <v>0.14179796107506951</v>
      </c>
      <c r="I135" s="34">
        <v>8234.0067340067344</v>
      </c>
      <c r="J135" s="34">
        <v>-7108.4967320261439</v>
      </c>
      <c r="K135" s="33">
        <v>7.575757575757576E-2</v>
      </c>
      <c r="L135" s="33">
        <v>0.26413345690454126</v>
      </c>
      <c r="M135" s="33">
        <v>0.22613531047265986</v>
      </c>
      <c r="N135" s="33">
        <v>0.54736842105263162</v>
      </c>
      <c r="O135" s="33">
        <v>0.41393442622950821</v>
      </c>
      <c r="P135" s="33">
        <v>0.44444444444444442</v>
      </c>
    </row>
    <row r="136" spans="1:16" x14ac:dyDescent="0.45">
      <c r="A136" s="35">
        <v>133</v>
      </c>
      <c r="B136" s="32">
        <v>-227.5</v>
      </c>
      <c r="C136" s="32">
        <v>-1.7105263157894737</v>
      </c>
      <c r="D136" s="37">
        <v>2.0902255639097747</v>
      </c>
      <c r="E136" s="33">
        <v>0.22556390977443608</v>
      </c>
      <c r="F136" s="33">
        <v>0.31578947368421051</v>
      </c>
      <c r="G136" s="33">
        <v>0.27532228360957645</v>
      </c>
      <c r="H136" s="33">
        <v>0.14088397790055249</v>
      </c>
      <c r="I136" s="34">
        <v>8245.8193979933112</v>
      </c>
      <c r="J136" s="34">
        <v>-7108.4967320261439</v>
      </c>
      <c r="K136" s="33">
        <v>7.5187969924812026E-2</v>
      </c>
      <c r="L136" s="33">
        <v>0.26427255985267034</v>
      </c>
      <c r="M136" s="33">
        <v>0.22559852670349909</v>
      </c>
      <c r="N136" s="33">
        <v>0.54703832752613235</v>
      </c>
      <c r="O136" s="33">
        <v>0.41632653061224489</v>
      </c>
      <c r="P136" s="33">
        <v>0.44481605351170567</v>
      </c>
    </row>
    <row r="137" spans="1:16" x14ac:dyDescent="0.45">
      <c r="A137" s="35">
        <v>134</v>
      </c>
      <c r="B137" s="32">
        <v>-193.6</v>
      </c>
      <c r="C137" s="32">
        <v>-1.4447761194029851</v>
      </c>
      <c r="D137" s="37">
        <v>2.0820895522388061</v>
      </c>
      <c r="E137" s="33">
        <v>0.23134328358208955</v>
      </c>
      <c r="F137" s="33">
        <v>0.31343283582089554</v>
      </c>
      <c r="G137" s="33">
        <v>0.2783882783882784</v>
      </c>
      <c r="H137" s="33">
        <v>0.14010989010989011</v>
      </c>
      <c r="I137" s="34">
        <v>8185.5263157894733</v>
      </c>
      <c r="J137" s="34">
        <v>-7108.4967320261439</v>
      </c>
      <c r="K137" s="33">
        <v>7.4626865671641784E-2</v>
      </c>
      <c r="L137" s="33">
        <v>0.26465201465201466</v>
      </c>
      <c r="M137" s="33">
        <v>0.2271062271062271</v>
      </c>
      <c r="N137" s="33">
        <v>0.55017301038062283</v>
      </c>
      <c r="O137" s="33">
        <v>0.42338709677419356</v>
      </c>
      <c r="P137" s="33">
        <v>0.44407894736842107</v>
      </c>
    </row>
    <row r="138" spans="1:16" x14ac:dyDescent="0.45">
      <c r="A138" s="35">
        <v>135</v>
      </c>
      <c r="B138" s="32">
        <v>-212.1</v>
      </c>
      <c r="C138" s="32">
        <v>-1.5711111111111111</v>
      </c>
      <c r="D138" s="37">
        <v>2.0814814814814815</v>
      </c>
      <c r="E138" s="33">
        <v>0.22962962962962963</v>
      </c>
      <c r="F138" s="33">
        <v>0.31111111111111112</v>
      </c>
      <c r="G138" s="33">
        <v>0.27636363636363637</v>
      </c>
      <c r="H138" s="33">
        <v>0.1390909090909091</v>
      </c>
      <c r="I138" s="34">
        <v>8185.5263157894733</v>
      </c>
      <c r="J138" s="34">
        <v>-7108.4967320261439</v>
      </c>
      <c r="K138" s="33">
        <v>7.407407407407407E-2</v>
      </c>
      <c r="L138" s="33">
        <v>0.26363636363636361</v>
      </c>
      <c r="M138" s="33">
        <v>0.22818181818181818</v>
      </c>
      <c r="N138" s="33">
        <v>0.5482758620689655</v>
      </c>
      <c r="O138" s="33">
        <v>0.41832669322709165</v>
      </c>
      <c r="P138" s="33">
        <v>0.44407894736842107</v>
      </c>
    </row>
    <row r="139" spans="1:16" x14ac:dyDescent="0.45">
      <c r="A139" s="35">
        <v>136</v>
      </c>
      <c r="B139" s="32">
        <v>-179.1</v>
      </c>
      <c r="C139" s="32">
        <v>-1.3169117647058823</v>
      </c>
      <c r="D139" s="37">
        <v>2.0735294117647061</v>
      </c>
      <c r="E139" s="33">
        <v>0.23529411764705882</v>
      </c>
      <c r="F139" s="33">
        <v>0.30882352941176472</v>
      </c>
      <c r="G139" s="33">
        <v>0.2788808664259928</v>
      </c>
      <c r="H139" s="33">
        <v>0.13898916967509026</v>
      </c>
      <c r="I139" s="34">
        <v>8178.9644012944982</v>
      </c>
      <c r="J139" s="34">
        <v>-7140.2597402597403</v>
      </c>
      <c r="K139" s="33">
        <v>7.3529411764705885E-2</v>
      </c>
      <c r="L139" s="33">
        <v>0.26353790613718414</v>
      </c>
      <c r="M139" s="33">
        <v>0.23104693140794225</v>
      </c>
      <c r="N139" s="33">
        <v>0.54794520547945202</v>
      </c>
      <c r="O139" s="33">
        <v>0.42578125</v>
      </c>
      <c r="P139" s="33">
        <v>0.44336569579288027</v>
      </c>
    </row>
    <row r="140" spans="1:16" x14ac:dyDescent="0.45">
      <c r="A140" s="35">
        <v>137</v>
      </c>
      <c r="B140" s="32">
        <v>-152.29999999999998</v>
      </c>
      <c r="C140" s="32">
        <v>-1.1116788321167883</v>
      </c>
      <c r="D140" s="37">
        <v>2.0656934306569341</v>
      </c>
      <c r="E140" s="33">
        <v>0.24087591240875914</v>
      </c>
      <c r="F140" s="33">
        <v>0.30656934306569344</v>
      </c>
      <c r="G140" s="33">
        <v>0.28071748878923769</v>
      </c>
      <c r="H140" s="33">
        <v>0.13901345291479822</v>
      </c>
      <c r="I140" s="34">
        <v>8156.2300319488822</v>
      </c>
      <c r="J140" s="34">
        <v>-7102.5806451612907</v>
      </c>
      <c r="K140" s="33">
        <v>7.2992700729927001E-2</v>
      </c>
      <c r="L140" s="33">
        <v>0.26457399103139012</v>
      </c>
      <c r="M140" s="33">
        <v>0.23139013452914797</v>
      </c>
      <c r="N140" s="33">
        <v>0.54915254237288136</v>
      </c>
      <c r="O140" s="33">
        <v>0.43023255813953487</v>
      </c>
      <c r="P140" s="33">
        <v>0.44089456869009586</v>
      </c>
    </row>
    <row r="141" spans="1:16" x14ac:dyDescent="0.45">
      <c r="A141" s="35">
        <v>138</v>
      </c>
      <c r="B141" s="32">
        <v>-162.49999999999997</v>
      </c>
      <c r="C141" s="32">
        <v>-1.1775362318840579</v>
      </c>
      <c r="D141" s="37">
        <v>2.0652173913043477</v>
      </c>
      <c r="E141" s="33">
        <v>0.2391304347826087</v>
      </c>
      <c r="F141" s="33">
        <v>0.30434782608695654</v>
      </c>
      <c r="G141" s="33">
        <v>0.27960819234194123</v>
      </c>
      <c r="H141" s="33">
        <v>0.13802315227070347</v>
      </c>
      <c r="I141" s="34">
        <v>8147.1337579617839</v>
      </c>
      <c r="J141" s="34">
        <v>-7102.5806451612907</v>
      </c>
      <c r="K141" s="33">
        <v>7.2463768115942032E-2</v>
      </c>
      <c r="L141" s="33">
        <v>0.26357969723953695</v>
      </c>
      <c r="M141" s="33">
        <v>0.23063223508459482</v>
      </c>
      <c r="N141" s="33">
        <v>0.55067567567567566</v>
      </c>
      <c r="O141" s="33">
        <v>0.42857142857142855</v>
      </c>
      <c r="P141" s="33">
        <v>0.4426751592356688</v>
      </c>
    </row>
    <row r="142" spans="1:16" x14ac:dyDescent="0.45">
      <c r="A142" s="35">
        <v>139</v>
      </c>
      <c r="B142" s="32">
        <v>-150.29999999999998</v>
      </c>
      <c r="C142" s="32">
        <v>-1.0812949640287768</v>
      </c>
      <c r="D142" s="37">
        <v>2.0575539568345325</v>
      </c>
      <c r="E142" s="33">
        <v>0.2446043165467626</v>
      </c>
      <c r="F142" s="33">
        <v>0.30215827338129497</v>
      </c>
      <c r="G142" s="33">
        <v>0.27939876215738285</v>
      </c>
      <c r="H142" s="33">
        <v>0.13881520778072501</v>
      </c>
      <c r="I142" s="34">
        <v>8158.8607594936711</v>
      </c>
      <c r="J142" s="34">
        <v>-7075.7961783439487</v>
      </c>
      <c r="K142" s="33">
        <v>7.1942446043165464E-2</v>
      </c>
      <c r="L142" s="33">
        <v>0.2625994694960212</v>
      </c>
      <c r="M142" s="33">
        <v>0.23076923076923078</v>
      </c>
      <c r="N142" s="33">
        <v>0.55218855218855223</v>
      </c>
      <c r="O142" s="33">
        <v>0.42528735632183906</v>
      </c>
      <c r="P142" s="33">
        <v>0.44303797468354428</v>
      </c>
    </row>
    <row r="143" spans="1:16" x14ac:dyDescent="0.45">
      <c r="A143" s="35">
        <v>140</v>
      </c>
      <c r="B143" s="32">
        <v>-96.799999999999983</v>
      </c>
      <c r="C143" s="32">
        <v>-0.69142857142857128</v>
      </c>
      <c r="D143" s="37">
        <v>2.0499999999999998</v>
      </c>
      <c r="E143" s="33">
        <v>0.25</v>
      </c>
      <c r="F143" s="33">
        <v>0.3</v>
      </c>
      <c r="G143" s="33">
        <v>0.27978817299205649</v>
      </c>
      <c r="H143" s="33">
        <v>0.13857016769638128</v>
      </c>
      <c r="I143" s="34">
        <v>8284.5425867507893</v>
      </c>
      <c r="J143" s="34">
        <v>-7075.7961783439487</v>
      </c>
      <c r="K143" s="33">
        <v>7.1428571428571425E-2</v>
      </c>
      <c r="L143" s="33">
        <v>0.26213592233009708</v>
      </c>
      <c r="M143" s="33">
        <v>0.23036187113857018</v>
      </c>
      <c r="N143" s="33">
        <v>0.55218855218855223</v>
      </c>
      <c r="O143" s="33">
        <v>0.42528735632183906</v>
      </c>
      <c r="P143" s="33">
        <v>0.44164037854889587</v>
      </c>
    </row>
    <row r="144" spans="1:16" x14ac:dyDescent="0.45">
      <c r="A144" s="35">
        <v>141</v>
      </c>
      <c r="B144" s="32">
        <v>-105.99999999999999</v>
      </c>
      <c r="C144" s="32">
        <v>-0.75177304964538993</v>
      </c>
      <c r="D144" s="37">
        <v>2.0496453900709222</v>
      </c>
      <c r="E144" s="33">
        <v>0.24822695035460993</v>
      </c>
      <c r="F144" s="33">
        <v>0.2978723404255319</v>
      </c>
      <c r="G144" s="33">
        <v>0.27982456140350875</v>
      </c>
      <c r="H144" s="33">
        <v>0.13859649122807016</v>
      </c>
      <c r="I144" s="34">
        <v>8274.2946708463951</v>
      </c>
      <c r="J144" s="34">
        <v>-7106.9620253164558</v>
      </c>
      <c r="K144" s="33">
        <v>7.0921985815602842E-2</v>
      </c>
      <c r="L144" s="33">
        <v>0.26315789473684209</v>
      </c>
      <c r="M144" s="33">
        <v>0.22982456140350876</v>
      </c>
      <c r="N144" s="33">
        <v>0.55333333333333334</v>
      </c>
      <c r="O144" s="33">
        <v>0.42366412213740456</v>
      </c>
      <c r="P144" s="33">
        <v>0.44200626959247646</v>
      </c>
    </row>
    <row r="145" spans="1:16" x14ac:dyDescent="0.45">
      <c r="A145" s="35">
        <v>142</v>
      </c>
      <c r="B145" s="32">
        <v>-142.29999999999998</v>
      </c>
      <c r="C145" s="32">
        <v>-1.0021126760563379</v>
      </c>
      <c r="D145" s="37">
        <v>2.056338028169014</v>
      </c>
      <c r="E145" s="33">
        <v>0.24647887323943662</v>
      </c>
      <c r="F145" s="33">
        <v>0.30281690140845069</v>
      </c>
      <c r="G145" s="33">
        <v>0.2795138888888889</v>
      </c>
      <c r="H145" s="33">
        <v>0.1388888888888889</v>
      </c>
      <c r="I145" s="34">
        <v>8240.9937888198765</v>
      </c>
      <c r="J145" s="34">
        <v>-7051.875</v>
      </c>
      <c r="K145" s="33">
        <v>7.0422535211267609E-2</v>
      </c>
      <c r="L145" s="33">
        <v>0.26041666666666669</v>
      </c>
      <c r="M145" s="33">
        <v>0.23177083333333334</v>
      </c>
      <c r="N145" s="33">
        <v>0.55333333333333334</v>
      </c>
      <c r="O145" s="33">
        <v>0.42322097378277151</v>
      </c>
      <c r="P145" s="33">
        <v>0.44409937888198758</v>
      </c>
    </row>
    <row r="146" spans="1:16" x14ac:dyDescent="0.45">
      <c r="A146" s="35">
        <v>143</v>
      </c>
      <c r="B146" s="32">
        <v>-141.49999999999997</v>
      </c>
      <c r="C146" s="32">
        <v>-0.98951048951048937</v>
      </c>
      <c r="D146" s="37">
        <v>2.0559440559440558</v>
      </c>
      <c r="E146" s="33">
        <v>0.24475524475524477</v>
      </c>
      <c r="F146" s="33">
        <v>0.30069930069930068</v>
      </c>
      <c r="G146" s="33">
        <v>0.27906976744186046</v>
      </c>
      <c r="H146" s="33">
        <v>0.13953488372093023</v>
      </c>
      <c r="I146" s="34">
        <v>8250.9259259259252</v>
      </c>
      <c r="J146" s="34">
        <v>-7036.4197530864194</v>
      </c>
      <c r="K146" s="33">
        <v>6.9930069930069935E-2</v>
      </c>
      <c r="L146" s="33">
        <v>0.26012058570198104</v>
      </c>
      <c r="M146" s="33">
        <v>0.23083548664944015</v>
      </c>
      <c r="N146" s="33">
        <v>0.55298013245033117</v>
      </c>
      <c r="O146" s="33">
        <v>0.42537313432835822</v>
      </c>
      <c r="P146" s="33">
        <v>0.44753086419753085</v>
      </c>
    </row>
    <row r="147" spans="1:16" x14ac:dyDescent="0.45">
      <c r="A147" s="35">
        <v>144</v>
      </c>
      <c r="B147" s="32">
        <v>-96.699999999999974</v>
      </c>
      <c r="C147" s="32">
        <v>-0.67152777777777761</v>
      </c>
      <c r="D147" s="37">
        <v>2.0486111111111112</v>
      </c>
      <c r="E147" s="33">
        <v>0.25</v>
      </c>
      <c r="F147" s="33">
        <v>0.2986111111111111</v>
      </c>
      <c r="G147" s="33">
        <v>0.28082191780821919</v>
      </c>
      <c r="H147" s="33">
        <v>0.1386986301369863</v>
      </c>
      <c r="I147" s="34">
        <v>8271.0365853658532</v>
      </c>
      <c r="J147" s="34">
        <v>-7036.4197530864194</v>
      </c>
      <c r="K147" s="33">
        <v>6.9444444444444448E-2</v>
      </c>
      <c r="L147" s="33">
        <v>0.26113013698630139</v>
      </c>
      <c r="M147" s="33">
        <v>0.23202054794520549</v>
      </c>
      <c r="N147" s="33">
        <v>0.5540983606557377</v>
      </c>
      <c r="O147" s="33">
        <v>0.4280442804428044</v>
      </c>
      <c r="P147" s="33">
        <v>0.44817073170731708</v>
      </c>
    </row>
    <row r="148" spans="1:16" x14ac:dyDescent="0.45">
      <c r="A148" s="35">
        <v>145</v>
      </c>
      <c r="B148" s="32">
        <v>-40.299999999999976</v>
      </c>
      <c r="C148" s="32">
        <v>-0.27793103448275847</v>
      </c>
      <c r="D148" s="37">
        <v>2.0413793103448277</v>
      </c>
      <c r="E148" s="33">
        <v>0.25517241379310346</v>
      </c>
      <c r="F148" s="33">
        <v>0.29655172413793102</v>
      </c>
      <c r="G148" s="33">
        <v>0.28194207836456558</v>
      </c>
      <c r="H148" s="33">
        <v>0.13798977853492334</v>
      </c>
      <c r="I148" s="34">
        <v>8345.9214501510578</v>
      </c>
      <c r="J148" s="34">
        <v>-7036.4197530864194</v>
      </c>
      <c r="K148" s="33">
        <v>6.8965517241379309E-2</v>
      </c>
      <c r="L148" s="33">
        <v>0.26064735945485518</v>
      </c>
      <c r="M148" s="33">
        <v>0.23168654173764908</v>
      </c>
      <c r="N148" s="33">
        <v>0.55555555555555558</v>
      </c>
      <c r="O148" s="33">
        <v>0.43014705882352944</v>
      </c>
      <c r="P148" s="33">
        <v>0.44712990936555891</v>
      </c>
    </row>
    <row r="149" spans="1:16" x14ac:dyDescent="0.45">
      <c r="A149" s="35">
        <v>146</v>
      </c>
      <c r="B149" s="32">
        <v>-28.099999999999977</v>
      </c>
      <c r="C149" s="32">
        <v>-0.19246575342465738</v>
      </c>
      <c r="D149" s="37">
        <v>2.0410958904109591</v>
      </c>
      <c r="E149" s="33">
        <v>0.25342465753424659</v>
      </c>
      <c r="F149" s="33">
        <v>0.29452054794520549</v>
      </c>
      <c r="G149" s="33">
        <v>0.28172588832487311</v>
      </c>
      <c r="H149" s="33">
        <v>0.13874788494077833</v>
      </c>
      <c r="I149" s="34">
        <v>8336.3363363363369</v>
      </c>
      <c r="J149" s="34">
        <v>-6992.0731707317073</v>
      </c>
      <c r="K149" s="33">
        <v>6.8493150684931503E-2</v>
      </c>
      <c r="L149" s="33">
        <v>0.25888324873096447</v>
      </c>
      <c r="M149" s="33">
        <v>0.2326565143824027</v>
      </c>
      <c r="N149" s="33">
        <v>0.55555555555555558</v>
      </c>
      <c r="O149" s="33">
        <v>0.42545454545454547</v>
      </c>
      <c r="P149" s="33">
        <v>0.44744744744744747</v>
      </c>
    </row>
    <row r="150" spans="1:16" x14ac:dyDescent="0.45">
      <c r="A150" s="35">
        <v>147</v>
      </c>
      <c r="B150" s="32">
        <v>-66.09999999999998</v>
      </c>
      <c r="C150" s="32">
        <v>-0.44965986394557811</v>
      </c>
      <c r="D150" s="37">
        <v>2.0476190476190474</v>
      </c>
      <c r="E150" s="33">
        <v>0.25170068027210885</v>
      </c>
      <c r="F150" s="33">
        <v>0.29931972789115646</v>
      </c>
      <c r="G150" s="33">
        <v>0.28067226890756303</v>
      </c>
      <c r="H150" s="33">
        <v>0.13781512605042018</v>
      </c>
      <c r="I150" s="34">
        <v>8347.3053892215576</v>
      </c>
      <c r="J150" s="34">
        <v>-6992.0731707317073</v>
      </c>
      <c r="K150" s="33">
        <v>6.8027210884353748E-2</v>
      </c>
      <c r="L150" s="33">
        <v>0.25798319327731095</v>
      </c>
      <c r="M150" s="33">
        <v>0.23193277310924371</v>
      </c>
      <c r="N150" s="33">
        <v>0.55374592833876224</v>
      </c>
      <c r="O150" s="33">
        <v>0.42391304347826086</v>
      </c>
      <c r="P150" s="33">
        <v>0.44610778443113774</v>
      </c>
    </row>
    <row r="151" spans="1:16" x14ac:dyDescent="0.45">
      <c r="A151" s="35">
        <v>148</v>
      </c>
      <c r="B151" s="32">
        <v>-54.59999999999998</v>
      </c>
      <c r="C151" s="32">
        <v>-0.36891891891891876</v>
      </c>
      <c r="D151" s="37">
        <v>2.0472972972972974</v>
      </c>
      <c r="E151" s="33">
        <v>0.25</v>
      </c>
      <c r="F151" s="33">
        <v>0.29729729729729731</v>
      </c>
      <c r="G151" s="33">
        <v>0.28056951423785592</v>
      </c>
      <c r="H151" s="33">
        <v>0.13735343383584589</v>
      </c>
      <c r="I151" s="34">
        <v>8358.2089552238813</v>
      </c>
      <c r="J151" s="34">
        <v>-6992.0731707317073</v>
      </c>
      <c r="K151" s="33">
        <v>6.7567567567567571E-2</v>
      </c>
      <c r="L151" s="33">
        <v>0.25795644891122277</v>
      </c>
      <c r="M151" s="33">
        <v>0.23115577889447236</v>
      </c>
      <c r="N151" s="33">
        <v>0.55519480519480524</v>
      </c>
      <c r="O151" s="33">
        <v>0.42391304347826086</v>
      </c>
      <c r="P151" s="33">
        <v>0.44776119402985076</v>
      </c>
    </row>
    <row r="152" spans="1:16" x14ac:dyDescent="0.45">
      <c r="A152" s="35">
        <v>149</v>
      </c>
      <c r="B152" s="32">
        <v>-107.79999999999998</v>
      </c>
      <c r="C152" s="32">
        <v>-0.72348993288590591</v>
      </c>
      <c r="D152" s="37">
        <v>2.0536912751677852</v>
      </c>
      <c r="E152" s="33">
        <v>0.24832214765100671</v>
      </c>
      <c r="F152" s="33">
        <v>0.30201342281879195</v>
      </c>
      <c r="G152" s="33">
        <v>0.2793017456359102</v>
      </c>
      <c r="H152" s="33">
        <v>0.1396508728179551</v>
      </c>
      <c r="I152" s="34">
        <v>8404.7619047619046</v>
      </c>
      <c r="J152" s="34">
        <v>-7115.4761904761908</v>
      </c>
      <c r="K152" s="33">
        <v>7.3825503355704702E-2</v>
      </c>
      <c r="L152" s="33">
        <v>0.256857855361596</v>
      </c>
      <c r="M152" s="33">
        <v>0.23108894430590191</v>
      </c>
      <c r="N152" s="33">
        <v>0.55663430420711979</v>
      </c>
      <c r="O152" s="33">
        <v>0.42086330935251798</v>
      </c>
      <c r="P152" s="33">
        <v>0.44642857142857145</v>
      </c>
    </row>
    <row r="153" spans="1:16" x14ac:dyDescent="0.45">
      <c r="A153" s="35">
        <v>150</v>
      </c>
      <c r="B153" s="32">
        <v>-116.49999999999999</v>
      </c>
      <c r="C153" s="32">
        <v>-0.77666666666666662</v>
      </c>
      <c r="D153" s="37">
        <v>2.0533333333333332</v>
      </c>
      <c r="E153" s="33">
        <v>0.24666666666666667</v>
      </c>
      <c r="F153" s="33">
        <v>0.3</v>
      </c>
      <c r="G153" s="33">
        <v>0.27933884297520661</v>
      </c>
      <c r="H153" s="33">
        <v>0.13884297520661157</v>
      </c>
      <c r="I153" s="34">
        <v>8396.7455621301779</v>
      </c>
      <c r="J153" s="34">
        <v>-7115.4761904761908</v>
      </c>
      <c r="K153" s="33">
        <v>7.3333333333333334E-2</v>
      </c>
      <c r="L153" s="33">
        <v>0.25702479338842976</v>
      </c>
      <c r="M153" s="33">
        <v>0.23057851239669422</v>
      </c>
      <c r="N153" s="33">
        <v>0.5562700964630225</v>
      </c>
      <c r="O153" s="33">
        <v>0.42293906810035842</v>
      </c>
      <c r="P153" s="33">
        <v>0.44970414201183434</v>
      </c>
    </row>
    <row r="154" spans="1:16" x14ac:dyDescent="0.45">
      <c r="A154" s="35">
        <v>151</v>
      </c>
      <c r="B154" s="32">
        <v>-110.59999999999998</v>
      </c>
      <c r="C154" s="32">
        <v>-0.73245033112582769</v>
      </c>
      <c r="D154" s="37">
        <v>2.052980132450331</v>
      </c>
      <c r="E154" s="33">
        <v>0.24503311258278146</v>
      </c>
      <c r="F154" s="33">
        <v>0.29801324503311261</v>
      </c>
      <c r="G154" s="33">
        <v>0.27937551355792933</v>
      </c>
      <c r="H154" s="33">
        <v>0.13968775677896467</v>
      </c>
      <c r="I154" s="34">
        <v>8406.176470588236</v>
      </c>
      <c r="J154" s="34">
        <v>-7117.6470588235297</v>
      </c>
      <c r="K154" s="33">
        <v>7.2847682119205295E-2</v>
      </c>
      <c r="L154" s="33">
        <v>0.2563681183237469</v>
      </c>
      <c r="M154" s="33">
        <v>0.23089564502875926</v>
      </c>
      <c r="N154" s="33">
        <v>0.55769230769230771</v>
      </c>
      <c r="O154" s="33">
        <v>0.42348754448398579</v>
      </c>
      <c r="P154" s="33">
        <v>0.45294117647058824</v>
      </c>
    </row>
    <row r="155" spans="1:16" x14ac:dyDescent="0.45">
      <c r="A155" s="35">
        <v>152</v>
      </c>
      <c r="B155" s="32">
        <v>-60.999999999999979</v>
      </c>
      <c r="C155" s="32">
        <v>-0.40131578947368407</v>
      </c>
      <c r="D155" s="37">
        <v>2.0460526315789473</v>
      </c>
      <c r="E155" s="33">
        <v>0.25</v>
      </c>
      <c r="F155" s="33">
        <v>0.29605263157894735</v>
      </c>
      <c r="G155" s="33">
        <v>0.27908868999186331</v>
      </c>
      <c r="H155" s="33">
        <v>0.13832384052074859</v>
      </c>
      <c r="I155" s="34">
        <v>8460.0583090379005</v>
      </c>
      <c r="J155" s="34">
        <v>-7117.6470588235297</v>
      </c>
      <c r="K155" s="33">
        <v>7.2368421052631582E-2</v>
      </c>
      <c r="L155" s="33">
        <v>0.2563059397884459</v>
      </c>
      <c r="M155" s="33">
        <v>0.23026851098454026</v>
      </c>
      <c r="N155" s="33">
        <v>0.55555555555555558</v>
      </c>
      <c r="O155" s="33">
        <v>0.4204946996466431</v>
      </c>
      <c r="P155" s="33">
        <v>0.45772594752186591</v>
      </c>
    </row>
    <row r="156" spans="1:16" x14ac:dyDescent="0.45">
      <c r="A156" s="35">
        <v>153</v>
      </c>
      <c r="B156" s="32">
        <v>-24.699999999999982</v>
      </c>
      <c r="C156" s="32">
        <v>-0.1614379084967319</v>
      </c>
      <c r="D156" s="37">
        <v>2.0392156862745097</v>
      </c>
      <c r="E156" s="33">
        <v>0.25490196078431371</v>
      </c>
      <c r="F156" s="33">
        <v>0.29411764705882354</v>
      </c>
      <c r="G156" s="33">
        <v>0.27938808373590984</v>
      </c>
      <c r="H156" s="33">
        <v>0.13687600644122383</v>
      </c>
      <c r="I156" s="34">
        <v>8470.8933717579257</v>
      </c>
      <c r="J156" s="34">
        <v>-7117.6470588235297</v>
      </c>
      <c r="K156" s="33">
        <v>7.1895424836601302E-2</v>
      </c>
      <c r="L156" s="33">
        <v>0.25764895330112719</v>
      </c>
      <c r="M156" s="33">
        <v>0.22866344605475039</v>
      </c>
      <c r="N156" s="33">
        <v>0.55312499999999998</v>
      </c>
      <c r="O156" s="33">
        <v>0.41901408450704225</v>
      </c>
      <c r="P156" s="33">
        <v>0.45821325648414984</v>
      </c>
    </row>
    <row r="157" spans="1:16" x14ac:dyDescent="0.45">
      <c r="A157" s="35">
        <v>154</v>
      </c>
      <c r="B157" s="32">
        <v>-71.199999999999989</v>
      </c>
      <c r="C157" s="32">
        <v>-0.46233766233766227</v>
      </c>
      <c r="D157" s="37">
        <v>2.0454545454545454</v>
      </c>
      <c r="E157" s="33">
        <v>0.25324675324675322</v>
      </c>
      <c r="F157" s="33">
        <v>0.29870129870129869</v>
      </c>
      <c r="G157" s="33">
        <v>0.27817745803357313</v>
      </c>
      <c r="H157" s="33">
        <v>0.13828936850519585</v>
      </c>
      <c r="I157" s="34">
        <v>8463.7931034482754</v>
      </c>
      <c r="J157" s="34">
        <v>-7154.3352601156066</v>
      </c>
      <c r="K157" s="33">
        <v>7.792207792207792E-2</v>
      </c>
      <c r="L157" s="33">
        <v>0.25659472422062352</v>
      </c>
      <c r="M157" s="33">
        <v>0.22861710631494805</v>
      </c>
      <c r="N157" s="33">
        <v>0.55140186915887845</v>
      </c>
      <c r="O157" s="33">
        <v>0.41958041958041958</v>
      </c>
      <c r="P157" s="33">
        <v>0.45977011494252873</v>
      </c>
    </row>
    <row r="158" spans="1:16" x14ac:dyDescent="0.45">
      <c r="A158" s="35">
        <v>155</v>
      </c>
      <c r="B158" s="32">
        <v>-116.69999999999999</v>
      </c>
      <c r="C158" s="32">
        <v>-0.75290322580645153</v>
      </c>
      <c r="D158" s="37">
        <v>2.0516129032258066</v>
      </c>
      <c r="E158" s="33">
        <v>0.25161290322580643</v>
      </c>
      <c r="F158" s="33">
        <v>0.3032258064516129</v>
      </c>
      <c r="G158" s="33">
        <v>0.27662957074721778</v>
      </c>
      <c r="H158" s="33">
        <v>0.13990461049284578</v>
      </c>
      <c r="I158" s="34">
        <v>8463.7931034482754</v>
      </c>
      <c r="J158" s="34">
        <v>-7214.204545454545</v>
      </c>
      <c r="K158" s="33">
        <v>8.387096774193549E-2</v>
      </c>
      <c r="L158" s="33">
        <v>0.2559618441971383</v>
      </c>
      <c r="M158" s="33">
        <v>0.22813990461049286</v>
      </c>
      <c r="N158" s="33">
        <v>0.5496894409937888</v>
      </c>
      <c r="O158" s="33">
        <v>0.41811846689895471</v>
      </c>
      <c r="P158" s="33">
        <v>0.45977011494252873</v>
      </c>
    </row>
    <row r="159" spans="1:16" x14ac:dyDescent="0.45">
      <c r="A159" s="35">
        <v>156</v>
      </c>
      <c r="B159" s="32">
        <v>-82.1</v>
      </c>
      <c r="C159" s="32">
        <v>-0.5262820512820513</v>
      </c>
      <c r="D159" s="37">
        <v>2.0448717948717947</v>
      </c>
      <c r="E159" s="33">
        <v>0.25641025641025639</v>
      </c>
      <c r="F159" s="33">
        <v>0.30128205128205127</v>
      </c>
      <c r="G159" s="33">
        <v>0.27733755942947702</v>
      </c>
      <c r="H159" s="33">
        <v>0.14025356576862125</v>
      </c>
      <c r="I159" s="34">
        <v>8511.1428571428569</v>
      </c>
      <c r="J159" s="34">
        <v>-7195.4802259887001</v>
      </c>
      <c r="K159" s="33">
        <v>8.3333333333333329E-2</v>
      </c>
      <c r="L159" s="33">
        <v>0.25594294770206022</v>
      </c>
      <c r="M159" s="33">
        <v>0.22741679873217116</v>
      </c>
      <c r="N159" s="33">
        <v>0.54798761609907121</v>
      </c>
      <c r="O159" s="33">
        <v>0.41811846689895471</v>
      </c>
      <c r="P159" s="33">
        <v>0.46</v>
      </c>
    </row>
    <row r="160" spans="1:16" x14ac:dyDescent="0.45">
      <c r="A160" s="35">
        <v>157</v>
      </c>
      <c r="B160" s="32">
        <v>-33.199999999999996</v>
      </c>
      <c r="C160" s="32">
        <v>-0.21146496815286622</v>
      </c>
      <c r="D160" s="37">
        <v>2.0382165605095541</v>
      </c>
      <c r="E160" s="33">
        <v>0.26114649681528662</v>
      </c>
      <c r="F160" s="33">
        <v>0.29936305732484075</v>
      </c>
      <c r="G160" s="33">
        <v>0.27795275590551183</v>
      </c>
      <c r="H160" s="33">
        <v>0.14015748031496064</v>
      </c>
      <c r="I160" s="34">
        <v>8562.3229461756382</v>
      </c>
      <c r="J160" s="34">
        <v>-7198.3146067415728</v>
      </c>
      <c r="K160" s="33">
        <v>8.2802547770700632E-2</v>
      </c>
      <c r="L160" s="33">
        <v>0.25590551181102361</v>
      </c>
      <c r="M160" s="33">
        <v>0.2283464566929134</v>
      </c>
      <c r="N160" s="33">
        <v>0.54461538461538461</v>
      </c>
      <c r="O160" s="33">
        <v>0.42413793103448277</v>
      </c>
      <c r="P160" s="33">
        <v>0.45892351274787535</v>
      </c>
    </row>
    <row r="161" spans="1:16" x14ac:dyDescent="0.45">
      <c r="A161" s="35">
        <v>158</v>
      </c>
      <c r="B161" s="32">
        <v>-60.099999999999994</v>
      </c>
      <c r="C161" s="32">
        <v>-0.38037974683544301</v>
      </c>
      <c r="D161" s="37">
        <v>2.0443037974683542</v>
      </c>
      <c r="E161" s="33">
        <v>0.25949367088607594</v>
      </c>
      <c r="F161" s="33">
        <v>0.30379746835443039</v>
      </c>
      <c r="G161" s="33">
        <v>0.27721221613155833</v>
      </c>
      <c r="H161" s="33">
        <v>0.14173844949099451</v>
      </c>
      <c r="I161" s="34">
        <v>8560.7344632768363</v>
      </c>
      <c r="J161" s="34">
        <v>-7164.0883977900548</v>
      </c>
      <c r="K161" s="33">
        <v>8.2278481012658222E-2</v>
      </c>
      <c r="L161" s="33">
        <v>0.25685199686765858</v>
      </c>
      <c r="M161" s="33">
        <v>0.22944400939702428</v>
      </c>
      <c r="N161" s="33">
        <v>0.54268292682926833</v>
      </c>
      <c r="O161" s="33">
        <v>0.41979522184300339</v>
      </c>
      <c r="P161" s="33">
        <v>0.46045197740112992</v>
      </c>
    </row>
    <row r="162" spans="1:16" x14ac:dyDescent="0.45">
      <c r="A162" s="35">
        <v>159</v>
      </c>
      <c r="B162" s="32">
        <v>-106.3</v>
      </c>
      <c r="C162" s="32">
        <v>-0.66855345911949682</v>
      </c>
      <c r="D162" s="37">
        <v>2.050314465408805</v>
      </c>
      <c r="E162" s="33">
        <v>0.25786163522012578</v>
      </c>
      <c r="F162" s="33">
        <v>0.3081761006289308</v>
      </c>
      <c r="G162" s="33">
        <v>0.27570093457943923</v>
      </c>
      <c r="H162" s="33">
        <v>0.1425233644859813</v>
      </c>
      <c r="I162" s="34">
        <v>8560.7344632768363</v>
      </c>
      <c r="J162" s="34">
        <v>-7171.5846994535523</v>
      </c>
      <c r="K162" s="33">
        <v>8.8050314465408799E-2</v>
      </c>
      <c r="L162" s="33">
        <v>0.2554517133956386</v>
      </c>
      <c r="M162" s="33">
        <v>0.23052959501557632</v>
      </c>
      <c r="N162" s="33">
        <v>0.54268292682926833</v>
      </c>
      <c r="O162" s="33">
        <v>0.41554054054054052</v>
      </c>
      <c r="P162" s="33">
        <v>0.46045197740112992</v>
      </c>
    </row>
    <row r="163" spans="1:16" x14ac:dyDescent="0.45">
      <c r="A163" s="35">
        <v>160</v>
      </c>
      <c r="B163" s="32">
        <v>-74</v>
      </c>
      <c r="C163" s="32">
        <v>-0.46250000000000002</v>
      </c>
      <c r="D163" s="37">
        <v>2.0437500000000002</v>
      </c>
      <c r="E163" s="33">
        <v>0.26250000000000001</v>
      </c>
      <c r="F163" s="33">
        <v>0.30625000000000002</v>
      </c>
      <c r="G163" s="33">
        <v>0.27631578947368424</v>
      </c>
      <c r="H163" s="33">
        <v>0.14164086687306501</v>
      </c>
      <c r="I163" s="34">
        <v>8553.5014005602243</v>
      </c>
      <c r="J163" s="34">
        <v>-7171.5846994535523</v>
      </c>
      <c r="K163" s="33">
        <v>8.7499999999999994E-2</v>
      </c>
      <c r="L163" s="33">
        <v>0.25541795665634676</v>
      </c>
      <c r="M163" s="33">
        <v>0.22910216718266255</v>
      </c>
      <c r="N163" s="33">
        <v>0.54545454545454541</v>
      </c>
      <c r="O163" s="33">
        <v>0.41554054054054052</v>
      </c>
      <c r="P163" s="33">
        <v>0.46218487394957986</v>
      </c>
    </row>
    <row r="164" spans="1:16" x14ac:dyDescent="0.45">
      <c r="A164" s="35">
        <v>161</v>
      </c>
      <c r="B164" s="32">
        <v>-81</v>
      </c>
      <c r="C164" s="32">
        <v>-0.50310559006211175</v>
      </c>
      <c r="D164" s="37">
        <v>2.0434782608695654</v>
      </c>
      <c r="E164" s="33">
        <v>0.2608695652173913</v>
      </c>
      <c r="F164" s="33">
        <v>0.30434782608695654</v>
      </c>
      <c r="G164" s="33">
        <v>0.2749615975422427</v>
      </c>
      <c r="H164" s="33">
        <v>0.14132104454685099</v>
      </c>
      <c r="I164" s="34">
        <v>8540.5027932960893</v>
      </c>
      <c r="J164" s="34">
        <v>-7153.804347826087</v>
      </c>
      <c r="K164" s="33">
        <v>8.6956521739130432E-2</v>
      </c>
      <c r="L164" s="33">
        <v>0.25422427035330258</v>
      </c>
      <c r="M164" s="33">
        <v>0.2304147465437788</v>
      </c>
      <c r="N164" s="33">
        <v>0.54380664652567978</v>
      </c>
      <c r="O164" s="33">
        <v>0.41333333333333333</v>
      </c>
      <c r="P164" s="33">
        <v>0.46089385474860334</v>
      </c>
    </row>
    <row r="165" spans="1:16" x14ac:dyDescent="0.45">
      <c r="A165" s="35">
        <v>162</v>
      </c>
      <c r="B165" s="32">
        <v>-87.8</v>
      </c>
      <c r="C165" s="32">
        <v>-0.5419753086419753</v>
      </c>
      <c r="D165" s="37">
        <v>2.0432098765432101</v>
      </c>
      <c r="E165" s="33">
        <v>0.25925925925925924</v>
      </c>
      <c r="F165" s="33">
        <v>0.30246913580246915</v>
      </c>
      <c r="G165" s="33">
        <v>0.2752851711026616</v>
      </c>
      <c r="H165" s="33">
        <v>0.14068441064638784</v>
      </c>
      <c r="I165" s="34">
        <v>8512.9834254143643</v>
      </c>
      <c r="J165" s="34">
        <v>-7212.4324324324325</v>
      </c>
      <c r="K165" s="33">
        <v>8.6419753086419748E-2</v>
      </c>
      <c r="L165" s="33">
        <v>0.25323193916349812</v>
      </c>
      <c r="M165" s="33">
        <v>0.22965779467680608</v>
      </c>
      <c r="N165" s="33">
        <v>0.54354354354354351</v>
      </c>
      <c r="O165" s="33">
        <v>0.41390728476821192</v>
      </c>
      <c r="P165" s="33">
        <v>0.4585635359116022</v>
      </c>
    </row>
    <row r="166" spans="1:16" x14ac:dyDescent="0.45">
      <c r="A166" s="35">
        <v>163</v>
      </c>
      <c r="B166" s="32">
        <v>-96.1</v>
      </c>
      <c r="C166" s="32">
        <v>-0.58957055214723919</v>
      </c>
      <c r="D166" s="37">
        <v>2.0429447852760738</v>
      </c>
      <c r="E166" s="33">
        <v>0.25766871165644173</v>
      </c>
      <c r="F166" s="33">
        <v>0.30061349693251532</v>
      </c>
      <c r="G166" s="33">
        <v>0.27581009796533534</v>
      </c>
      <c r="H166" s="33">
        <v>0.14016578749058026</v>
      </c>
      <c r="I166" s="34">
        <v>8478.9617486338793</v>
      </c>
      <c r="J166" s="34">
        <v>-7259.677419354839</v>
      </c>
      <c r="K166" s="33">
        <v>8.5889570552147243E-2</v>
      </c>
      <c r="L166" s="33">
        <v>0.25395629238884704</v>
      </c>
      <c r="M166" s="33">
        <v>0.22833458929917105</v>
      </c>
      <c r="N166" s="33">
        <v>0.54599406528189909</v>
      </c>
      <c r="O166" s="33">
        <v>0.41584158415841582</v>
      </c>
      <c r="P166" s="33">
        <v>0.45355191256830601</v>
      </c>
    </row>
    <row r="167" spans="1:16" x14ac:dyDescent="0.45">
      <c r="A167" s="35">
        <v>164</v>
      </c>
      <c r="B167" s="32">
        <v>-64.699999999999989</v>
      </c>
      <c r="C167" s="32">
        <v>-0.39451219512195113</v>
      </c>
      <c r="D167" s="37">
        <v>2.0365853658536586</v>
      </c>
      <c r="E167" s="33">
        <v>0.26219512195121952</v>
      </c>
      <c r="F167" s="33">
        <v>0.29878048780487804</v>
      </c>
      <c r="G167" s="33">
        <v>0.27661169415292353</v>
      </c>
      <c r="H167" s="33">
        <v>0.13943028485757122</v>
      </c>
      <c r="I167" s="34">
        <v>8485.3658536585372</v>
      </c>
      <c r="J167" s="34">
        <v>-7259.677419354839</v>
      </c>
      <c r="K167" s="33">
        <v>8.5365853658536592E-2</v>
      </c>
      <c r="L167" s="33">
        <v>0.25262368815592207</v>
      </c>
      <c r="M167" s="33">
        <v>0.22938530734632684</v>
      </c>
      <c r="N167" s="33">
        <v>0.54599406528189909</v>
      </c>
      <c r="O167" s="33">
        <v>0.42156862745098039</v>
      </c>
      <c r="P167" s="33">
        <v>0.45528455284552843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C57F-2D5A-4ED7-A58A-24A077DB555E}">
  <sheetPr codeName="Sheet16"/>
  <dimension ref="A1:Q16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167</v>
      </c>
      <c r="B1" s="36" t="s">
        <v>167</v>
      </c>
      <c r="C1" s="36" t="s">
        <v>167</v>
      </c>
      <c r="D1" s="37" t="s">
        <v>167</v>
      </c>
      <c r="E1" s="36" t="s">
        <v>167</v>
      </c>
      <c r="F1" s="36" t="s">
        <v>167</v>
      </c>
      <c r="G1" s="36" t="s">
        <v>167</v>
      </c>
      <c r="H1" s="36" t="s">
        <v>167</v>
      </c>
      <c r="I1" s="36" t="s">
        <v>167</v>
      </c>
      <c r="J1" s="36" t="s">
        <v>167</v>
      </c>
      <c r="K1" s="36" t="s">
        <v>167</v>
      </c>
      <c r="L1" s="36" t="s">
        <v>167</v>
      </c>
      <c r="M1" s="36" t="s">
        <v>167</v>
      </c>
      <c r="N1" s="36" t="s">
        <v>167</v>
      </c>
      <c r="O1" s="36" t="s">
        <v>167</v>
      </c>
      <c r="P1" s="36" t="s">
        <v>167</v>
      </c>
      <c r="Q1" s="36" t="s">
        <v>167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-9.1</v>
      </c>
      <c r="C4" s="32">
        <v>-9.1</v>
      </c>
      <c r="D4" s="37">
        <v>2</v>
      </c>
      <c r="E4" s="33">
        <v>0</v>
      </c>
      <c r="F4" s="33">
        <v>0</v>
      </c>
      <c r="G4" s="33">
        <v>0.36363636363636365</v>
      </c>
      <c r="H4" s="33">
        <v>0.27272727272727271</v>
      </c>
      <c r="I4" s="34">
        <v>8125</v>
      </c>
      <c r="J4" s="34">
        <v>-10600</v>
      </c>
      <c r="K4" s="33">
        <v>0</v>
      </c>
      <c r="L4" s="33">
        <v>0.18181818181818182</v>
      </c>
      <c r="M4" s="33">
        <v>0.18181818181818182</v>
      </c>
      <c r="N4" s="33">
        <v>0.5</v>
      </c>
      <c r="O4" s="33">
        <v>0.5</v>
      </c>
      <c r="P4" s="33">
        <v>0.5</v>
      </c>
    </row>
    <row r="5" spans="1:17" x14ac:dyDescent="0.45">
      <c r="A5" s="35">
        <v>2</v>
      </c>
      <c r="B5" s="32">
        <v>-67.3</v>
      </c>
      <c r="C5" s="32">
        <v>-33.65</v>
      </c>
      <c r="D5" s="37">
        <v>2.5</v>
      </c>
      <c r="E5" s="33">
        <v>0</v>
      </c>
      <c r="F5" s="33">
        <v>0.5</v>
      </c>
      <c r="G5" s="33">
        <v>0.25</v>
      </c>
      <c r="H5" s="33">
        <v>0.3</v>
      </c>
      <c r="I5" s="34">
        <v>8100</v>
      </c>
      <c r="J5" s="34">
        <v>-14300</v>
      </c>
      <c r="K5" s="33">
        <v>0.5</v>
      </c>
      <c r="L5" s="33">
        <v>0.15</v>
      </c>
      <c r="M5" s="33">
        <v>0.1</v>
      </c>
      <c r="N5" s="33">
        <v>0.66666666666666663</v>
      </c>
      <c r="O5" s="33">
        <v>0.5</v>
      </c>
      <c r="P5" s="33">
        <v>0.4</v>
      </c>
    </row>
    <row r="6" spans="1:17" x14ac:dyDescent="0.45">
      <c r="A6" s="35">
        <v>3</v>
      </c>
      <c r="B6" s="32">
        <v>-113.8</v>
      </c>
      <c r="C6" s="32">
        <v>-37.93333333333333</v>
      </c>
      <c r="D6" s="37">
        <v>2.6666666666666665</v>
      </c>
      <c r="E6" s="33">
        <v>0</v>
      </c>
      <c r="F6" s="33">
        <v>0.66666666666666663</v>
      </c>
      <c r="G6" s="33">
        <v>0.2</v>
      </c>
      <c r="H6" s="33">
        <v>0.33333333333333331</v>
      </c>
      <c r="I6" s="34">
        <v>8750</v>
      </c>
      <c r="J6" s="34">
        <v>-11980</v>
      </c>
      <c r="K6" s="33">
        <v>0.66666666666666663</v>
      </c>
      <c r="L6" s="33">
        <v>0.2</v>
      </c>
      <c r="M6" s="33">
        <v>0.23333333333333334</v>
      </c>
      <c r="N6" s="33">
        <v>0.33333333333333331</v>
      </c>
      <c r="O6" s="33">
        <v>0.2857142857142857</v>
      </c>
      <c r="P6" s="33">
        <v>0.33333333333333331</v>
      </c>
    </row>
    <row r="7" spans="1:17" x14ac:dyDescent="0.45">
      <c r="A7" s="35">
        <v>4</v>
      </c>
      <c r="B7" s="32">
        <v>-74.599999999999994</v>
      </c>
      <c r="C7" s="32">
        <v>-18.649999999999999</v>
      </c>
      <c r="D7" s="37">
        <v>2.25</v>
      </c>
      <c r="E7" s="33">
        <v>0.25</v>
      </c>
      <c r="F7" s="33">
        <v>0.5</v>
      </c>
      <c r="G7" s="33">
        <v>0.25</v>
      </c>
      <c r="H7" s="33">
        <v>0.27777777777777779</v>
      </c>
      <c r="I7" s="34">
        <v>11355.555555555555</v>
      </c>
      <c r="J7" s="34">
        <v>-11980</v>
      </c>
      <c r="K7" s="33">
        <v>0.5</v>
      </c>
      <c r="L7" s="33">
        <v>0.22222222222222221</v>
      </c>
      <c r="M7" s="33">
        <v>0.25</v>
      </c>
      <c r="N7" s="33">
        <v>0.5</v>
      </c>
      <c r="O7" s="33">
        <v>0.33333333333333331</v>
      </c>
      <c r="P7" s="33">
        <v>0.33333333333333331</v>
      </c>
    </row>
    <row r="8" spans="1:17" x14ac:dyDescent="0.45">
      <c r="A8" s="35">
        <v>5</v>
      </c>
      <c r="B8" s="32">
        <v>-118.3</v>
      </c>
      <c r="C8" s="32">
        <v>-23.66</v>
      </c>
      <c r="D8" s="37">
        <v>2.4</v>
      </c>
      <c r="E8" s="33">
        <v>0.2</v>
      </c>
      <c r="F8" s="33">
        <v>0.6</v>
      </c>
      <c r="G8" s="33">
        <v>0.22222222222222221</v>
      </c>
      <c r="H8" s="33">
        <v>0.31111111111111112</v>
      </c>
      <c r="I8" s="34">
        <v>10420</v>
      </c>
      <c r="J8" s="34">
        <v>-10764.285714285714</v>
      </c>
      <c r="K8" s="33">
        <v>0.4</v>
      </c>
      <c r="L8" s="33">
        <v>0.17777777777777778</v>
      </c>
      <c r="M8" s="33">
        <v>0.24444444444444444</v>
      </c>
      <c r="N8" s="33">
        <v>0.5</v>
      </c>
      <c r="O8" s="33">
        <v>0.36363636363636365</v>
      </c>
      <c r="P8" s="33">
        <v>0.3</v>
      </c>
    </row>
    <row r="9" spans="1:17" x14ac:dyDescent="0.45">
      <c r="A9" s="35">
        <v>6</v>
      </c>
      <c r="B9" s="32">
        <v>-60.3</v>
      </c>
      <c r="C9" s="32">
        <v>-10.049999999999999</v>
      </c>
      <c r="D9" s="37">
        <v>2.1666666666666665</v>
      </c>
      <c r="E9" s="33">
        <v>0.33333333333333331</v>
      </c>
      <c r="F9" s="33">
        <v>0.5</v>
      </c>
      <c r="G9" s="33">
        <v>0.2391304347826087</v>
      </c>
      <c r="H9" s="33">
        <v>0.30434782608695654</v>
      </c>
      <c r="I9" s="34">
        <v>13836.363636363636</v>
      </c>
      <c r="J9" s="34">
        <v>-10764.285714285714</v>
      </c>
      <c r="K9" s="33">
        <v>0.33333333333333331</v>
      </c>
      <c r="L9" s="33">
        <v>0.17391304347826086</v>
      </c>
      <c r="M9" s="33">
        <v>0.2391304347826087</v>
      </c>
      <c r="N9" s="33">
        <v>0.5</v>
      </c>
      <c r="O9" s="33">
        <v>0.36363636363636365</v>
      </c>
      <c r="P9" s="33">
        <v>0.27272727272727271</v>
      </c>
    </row>
    <row r="10" spans="1:17" x14ac:dyDescent="0.45">
      <c r="A10" s="35">
        <v>7</v>
      </c>
      <c r="B10" s="32">
        <v>-60.8</v>
      </c>
      <c r="C10" s="32">
        <v>-8.6857142857142851</v>
      </c>
      <c r="D10" s="37">
        <v>2.1428571428571428</v>
      </c>
      <c r="E10" s="33">
        <v>0.2857142857142857</v>
      </c>
      <c r="F10" s="33">
        <v>0.42857142857142855</v>
      </c>
      <c r="G10" s="33">
        <v>0.26415094339622641</v>
      </c>
      <c r="H10" s="33">
        <v>0.26415094339622641</v>
      </c>
      <c r="I10" s="34">
        <v>12942.857142857143</v>
      </c>
      <c r="J10" s="34">
        <v>-10764.285714285714</v>
      </c>
      <c r="K10" s="33">
        <v>0.2857142857142857</v>
      </c>
      <c r="L10" s="33">
        <v>0.15094339622641509</v>
      </c>
      <c r="M10" s="33">
        <v>0.30188679245283018</v>
      </c>
      <c r="N10" s="33">
        <v>0.5</v>
      </c>
      <c r="O10" s="33">
        <v>0.4375</v>
      </c>
      <c r="P10" s="33">
        <v>0.35714285714285715</v>
      </c>
    </row>
    <row r="11" spans="1:17" x14ac:dyDescent="0.45">
      <c r="A11" s="35">
        <v>8</v>
      </c>
      <c r="B11" s="32">
        <v>-110.19999999999999</v>
      </c>
      <c r="C11" s="32">
        <v>-13.774999999999999</v>
      </c>
      <c r="D11" s="37">
        <v>2.25</v>
      </c>
      <c r="E11" s="33">
        <v>0.25</v>
      </c>
      <c r="F11" s="33">
        <v>0.5</v>
      </c>
      <c r="G11" s="33">
        <v>0.22950819672131148</v>
      </c>
      <c r="H11" s="33">
        <v>0.26229508196721313</v>
      </c>
      <c r="I11" s="34">
        <v>12942.857142857143</v>
      </c>
      <c r="J11" s="34">
        <v>-11025</v>
      </c>
      <c r="K11" s="33">
        <v>0.375</v>
      </c>
      <c r="L11" s="33">
        <v>0.18032786885245902</v>
      </c>
      <c r="M11" s="33">
        <v>0.26229508196721313</v>
      </c>
      <c r="N11" s="33">
        <v>0.36363636363636365</v>
      </c>
      <c r="O11" s="33">
        <v>0.4375</v>
      </c>
      <c r="P11" s="33">
        <v>0.35714285714285715</v>
      </c>
    </row>
    <row r="12" spans="1:17" x14ac:dyDescent="0.45">
      <c r="A12" s="35">
        <v>9</v>
      </c>
      <c r="B12" s="32">
        <v>-120.99999999999999</v>
      </c>
      <c r="C12" s="32">
        <v>-13.444444444444443</v>
      </c>
      <c r="D12" s="37">
        <v>2.2222222222222223</v>
      </c>
      <c r="E12" s="33">
        <v>0.22222222222222221</v>
      </c>
      <c r="F12" s="33">
        <v>0.44444444444444442</v>
      </c>
      <c r="G12" s="33">
        <v>0.22388059701492538</v>
      </c>
      <c r="H12" s="33">
        <v>0.23880597014925373</v>
      </c>
      <c r="I12" s="34">
        <v>12480</v>
      </c>
      <c r="J12" s="34">
        <v>-11025</v>
      </c>
      <c r="K12" s="33">
        <v>0.33333333333333331</v>
      </c>
      <c r="L12" s="33">
        <v>0.22388059701492538</v>
      </c>
      <c r="M12" s="33">
        <v>0.2537313432835821</v>
      </c>
      <c r="N12" s="33">
        <v>0.33333333333333331</v>
      </c>
      <c r="O12" s="33">
        <v>0.41176470588235292</v>
      </c>
      <c r="P12" s="33">
        <v>0.4</v>
      </c>
    </row>
    <row r="13" spans="1:17" x14ac:dyDescent="0.45">
      <c r="A13" s="35">
        <v>10</v>
      </c>
      <c r="B13" s="32">
        <v>-113.29999999999998</v>
      </c>
      <c r="C13" s="32">
        <v>-11.329999999999998</v>
      </c>
      <c r="D13" s="37">
        <v>2.2000000000000002</v>
      </c>
      <c r="E13" s="33">
        <v>0.2</v>
      </c>
      <c r="F13" s="33">
        <v>0.4</v>
      </c>
      <c r="G13" s="33">
        <v>0.23684210526315788</v>
      </c>
      <c r="H13" s="33">
        <v>0.22368421052631579</v>
      </c>
      <c r="I13" s="34">
        <v>12288.888888888889</v>
      </c>
      <c r="J13" s="34">
        <v>-11082.35294117647</v>
      </c>
      <c r="K13" s="33">
        <v>0.3</v>
      </c>
      <c r="L13" s="33">
        <v>0.19736842105263158</v>
      </c>
      <c r="M13" s="33">
        <v>0.28947368421052633</v>
      </c>
      <c r="N13" s="33">
        <v>0.33333333333333331</v>
      </c>
      <c r="O13" s="33">
        <v>0.45454545454545453</v>
      </c>
      <c r="P13" s="33">
        <v>0.33333333333333331</v>
      </c>
    </row>
    <row r="14" spans="1:17" x14ac:dyDescent="0.45">
      <c r="A14" s="35">
        <v>11</v>
      </c>
      <c r="B14" s="32">
        <v>-163.69999999999999</v>
      </c>
      <c r="C14" s="32">
        <v>-14.881818181818181</v>
      </c>
      <c r="D14" s="37">
        <v>2.2727272727272729</v>
      </c>
      <c r="E14" s="33">
        <v>0.18181818181818182</v>
      </c>
      <c r="F14" s="33">
        <v>0.45454545454545453</v>
      </c>
      <c r="G14" s="33">
        <v>0.22619047619047619</v>
      </c>
      <c r="H14" s="33">
        <v>0.22619047619047619</v>
      </c>
      <c r="I14" s="34">
        <v>11852.631578947368</v>
      </c>
      <c r="J14" s="34">
        <v>-11015.78947368421</v>
      </c>
      <c r="K14" s="33">
        <v>0.36363636363636365</v>
      </c>
      <c r="L14" s="33">
        <v>0.20238095238095238</v>
      </c>
      <c r="M14" s="33">
        <v>0.26190476190476192</v>
      </c>
      <c r="N14" s="33">
        <v>0.29411764705882354</v>
      </c>
      <c r="O14" s="33">
        <v>0.45454545454545453</v>
      </c>
      <c r="P14" s="33">
        <v>0.36842105263157893</v>
      </c>
    </row>
    <row r="15" spans="1:17" x14ac:dyDescent="0.45">
      <c r="A15" s="35">
        <v>12</v>
      </c>
      <c r="B15" s="32">
        <v>-110.49999999999999</v>
      </c>
      <c r="C15" s="32">
        <v>-9.2083333333333321</v>
      </c>
      <c r="D15" s="37">
        <v>2.1666666666666665</v>
      </c>
      <c r="E15" s="33">
        <v>0.25</v>
      </c>
      <c r="F15" s="33">
        <v>0.41666666666666669</v>
      </c>
      <c r="G15" s="33">
        <v>0.23333333333333334</v>
      </c>
      <c r="H15" s="33">
        <v>0.21111111111111111</v>
      </c>
      <c r="I15" s="34">
        <v>12614.285714285714</v>
      </c>
      <c r="J15" s="34">
        <v>-11015.78947368421</v>
      </c>
      <c r="K15" s="33">
        <v>0.33333333333333331</v>
      </c>
      <c r="L15" s="33">
        <v>0.18888888888888888</v>
      </c>
      <c r="M15" s="33">
        <v>0.25555555555555554</v>
      </c>
      <c r="N15" s="33">
        <v>0.29411764705882354</v>
      </c>
      <c r="O15" s="33">
        <v>0.47826086956521741</v>
      </c>
      <c r="P15" s="33">
        <v>0.33333333333333331</v>
      </c>
    </row>
    <row r="16" spans="1:17" x14ac:dyDescent="0.45">
      <c r="A16" s="35">
        <v>13</v>
      </c>
      <c r="B16" s="32">
        <v>-132.39999999999998</v>
      </c>
      <c r="C16" s="32">
        <v>-10.184615384615382</v>
      </c>
      <c r="D16" s="37">
        <v>2.2307692307692308</v>
      </c>
      <c r="E16" s="33">
        <v>0.23076923076923078</v>
      </c>
      <c r="F16" s="33">
        <v>0.46153846153846156</v>
      </c>
      <c r="G16" s="33">
        <v>0.22222222222222221</v>
      </c>
      <c r="H16" s="33">
        <v>0.21212121212121213</v>
      </c>
      <c r="I16" s="34">
        <v>12586.363636363636</v>
      </c>
      <c r="J16" s="34">
        <v>-10723.809523809523</v>
      </c>
      <c r="K16" s="33">
        <v>0.30769230769230771</v>
      </c>
      <c r="L16" s="33">
        <v>0.21212121212121213</v>
      </c>
      <c r="M16" s="33">
        <v>0.25252525252525254</v>
      </c>
      <c r="N16" s="33">
        <v>0.23809523809523808</v>
      </c>
      <c r="O16" s="33">
        <v>0.48</v>
      </c>
      <c r="P16" s="33">
        <v>0.31818181818181818</v>
      </c>
    </row>
    <row r="17" spans="1:16" x14ac:dyDescent="0.45">
      <c r="A17" s="35">
        <v>14</v>
      </c>
      <c r="B17" s="32">
        <v>-86.499999999999972</v>
      </c>
      <c r="C17" s="32">
        <v>-6.1785714285714262</v>
      </c>
      <c r="D17" s="37">
        <v>2.1428571428571428</v>
      </c>
      <c r="E17" s="33">
        <v>0.2857142857142857</v>
      </c>
      <c r="F17" s="33">
        <v>0.42857142857142855</v>
      </c>
      <c r="G17" s="33">
        <v>0.22641509433962265</v>
      </c>
      <c r="H17" s="33">
        <v>0.20754716981132076</v>
      </c>
      <c r="I17" s="34">
        <v>13370.833333333334</v>
      </c>
      <c r="J17" s="34">
        <v>-10600</v>
      </c>
      <c r="K17" s="33">
        <v>0.2857142857142857</v>
      </c>
      <c r="L17" s="33">
        <v>0.22641509433962265</v>
      </c>
      <c r="M17" s="33">
        <v>0.23584905660377359</v>
      </c>
      <c r="N17" s="33">
        <v>0.25</v>
      </c>
      <c r="O17" s="33">
        <v>0.48</v>
      </c>
      <c r="P17" s="33">
        <v>0.33333333333333331</v>
      </c>
    </row>
    <row r="18" spans="1:16" x14ac:dyDescent="0.45">
      <c r="A18" s="35">
        <v>15</v>
      </c>
      <c r="B18" s="32">
        <v>-101.79999999999997</v>
      </c>
      <c r="C18" s="32">
        <v>-6.7866666666666644</v>
      </c>
      <c r="D18" s="37">
        <v>2.1333333333333333</v>
      </c>
      <c r="E18" s="33">
        <v>0.26666666666666666</v>
      </c>
      <c r="F18" s="33">
        <v>0.4</v>
      </c>
      <c r="G18" s="33">
        <v>0.22131147540983606</v>
      </c>
      <c r="H18" s="33">
        <v>0.19672131147540983</v>
      </c>
      <c r="I18" s="34">
        <v>12474.074074074075</v>
      </c>
      <c r="J18" s="34">
        <v>-10254.166666666666</v>
      </c>
      <c r="K18" s="33">
        <v>0.26666666666666666</v>
      </c>
      <c r="L18" s="33">
        <v>0.22950819672131148</v>
      </c>
      <c r="M18" s="33">
        <v>0.23770491803278687</v>
      </c>
      <c r="N18" s="33">
        <v>0.25</v>
      </c>
      <c r="O18" s="33">
        <v>0.44827586206896552</v>
      </c>
      <c r="P18" s="33">
        <v>0.29629629629629628</v>
      </c>
    </row>
    <row r="19" spans="1:16" x14ac:dyDescent="0.45">
      <c r="A19" s="35">
        <v>16</v>
      </c>
      <c r="B19" s="32">
        <v>-63.099999999999966</v>
      </c>
      <c r="C19" s="32">
        <v>-3.9437499999999979</v>
      </c>
      <c r="D19" s="37">
        <v>2.0625</v>
      </c>
      <c r="E19" s="33">
        <v>0.3125</v>
      </c>
      <c r="F19" s="33">
        <v>0.375</v>
      </c>
      <c r="G19" s="33">
        <v>0.23255813953488372</v>
      </c>
      <c r="H19" s="33">
        <v>0.19379844961240311</v>
      </c>
      <c r="I19" s="34">
        <v>12426.666666666666</v>
      </c>
      <c r="J19" s="34">
        <v>-9896</v>
      </c>
      <c r="K19" s="33">
        <v>0.25</v>
      </c>
      <c r="L19" s="33">
        <v>0.24031007751937986</v>
      </c>
      <c r="M19" s="33">
        <v>0.23255813953488372</v>
      </c>
      <c r="N19" s="33">
        <v>0.29032258064516131</v>
      </c>
      <c r="O19" s="33">
        <v>0.46666666666666667</v>
      </c>
      <c r="P19" s="33">
        <v>0.36666666666666664</v>
      </c>
    </row>
    <row r="20" spans="1:16" x14ac:dyDescent="0.45">
      <c r="A20" s="35">
        <v>17</v>
      </c>
      <c r="B20" s="32">
        <v>-55.799999999999969</v>
      </c>
      <c r="C20" s="32">
        <v>-3.2823529411764687</v>
      </c>
      <c r="D20" s="37">
        <v>2.0588235294117645</v>
      </c>
      <c r="E20" s="33">
        <v>0.29411764705882354</v>
      </c>
      <c r="F20" s="33">
        <v>0.35294117647058826</v>
      </c>
      <c r="G20" s="33">
        <v>0.24087591240875914</v>
      </c>
      <c r="H20" s="33">
        <v>0.18248175182481752</v>
      </c>
      <c r="I20" s="34">
        <v>12124.242424242424</v>
      </c>
      <c r="J20" s="34">
        <v>-9896</v>
      </c>
      <c r="K20" s="33">
        <v>0.23529411764705882</v>
      </c>
      <c r="L20" s="33">
        <v>0.24817518248175183</v>
      </c>
      <c r="M20" s="33">
        <v>0.22627737226277372</v>
      </c>
      <c r="N20" s="33">
        <v>0.3235294117647059</v>
      </c>
      <c r="O20" s="33">
        <v>0.4838709677419355</v>
      </c>
      <c r="P20" s="33">
        <v>0.39393939393939392</v>
      </c>
    </row>
    <row r="21" spans="1:16" x14ac:dyDescent="0.45">
      <c r="A21" s="35">
        <v>18</v>
      </c>
      <c r="B21" s="32">
        <v>-24.999999999999968</v>
      </c>
      <c r="C21" s="32">
        <v>-1.3888888888888871</v>
      </c>
      <c r="D21" s="37">
        <v>2</v>
      </c>
      <c r="E21" s="33">
        <v>0.33333333333333331</v>
      </c>
      <c r="F21" s="33">
        <v>0.33333333333333331</v>
      </c>
      <c r="G21" s="33">
        <v>0.24827586206896551</v>
      </c>
      <c r="H21" s="33">
        <v>0.17241379310344829</v>
      </c>
      <c r="I21" s="34">
        <v>11561.111111111111</v>
      </c>
      <c r="J21" s="34">
        <v>-9896</v>
      </c>
      <c r="K21" s="33">
        <v>0.22222222222222221</v>
      </c>
      <c r="L21" s="33">
        <v>0.25517241379310346</v>
      </c>
      <c r="M21" s="33">
        <v>0.23448275862068965</v>
      </c>
      <c r="N21" s="33">
        <v>0.32432432432432434</v>
      </c>
      <c r="O21" s="33">
        <v>0.47058823529411764</v>
      </c>
      <c r="P21" s="33">
        <v>0.41666666666666669</v>
      </c>
    </row>
    <row r="22" spans="1:16" x14ac:dyDescent="0.45">
      <c r="A22" s="35">
        <v>19</v>
      </c>
      <c r="B22" s="32">
        <v>-27.799999999999969</v>
      </c>
      <c r="C22" s="32">
        <v>-1.4631578947368404</v>
      </c>
      <c r="D22" s="37">
        <v>2</v>
      </c>
      <c r="E22" s="33">
        <v>0.31578947368421051</v>
      </c>
      <c r="F22" s="33">
        <v>0.31578947368421051</v>
      </c>
      <c r="G22" s="33">
        <v>0.25</v>
      </c>
      <c r="H22" s="33">
        <v>0.17307692307692307</v>
      </c>
      <c r="I22" s="34">
        <v>11823.076923076924</v>
      </c>
      <c r="J22" s="34">
        <v>-9903.7037037037044</v>
      </c>
      <c r="K22" s="33">
        <v>0.21052631578947367</v>
      </c>
      <c r="L22" s="33">
        <v>0.25641025641025639</v>
      </c>
      <c r="M22" s="33">
        <v>0.22435897435897437</v>
      </c>
      <c r="N22" s="33">
        <v>0.35</v>
      </c>
      <c r="O22" s="33">
        <v>0.48571428571428571</v>
      </c>
      <c r="P22" s="33">
        <v>0.41025641025641024</v>
      </c>
    </row>
    <row r="23" spans="1:16" x14ac:dyDescent="0.45">
      <c r="A23" s="35">
        <v>20</v>
      </c>
      <c r="B23" s="32">
        <v>-50.39999999999997</v>
      </c>
      <c r="C23" s="32">
        <v>-2.5199999999999987</v>
      </c>
      <c r="D23" s="37">
        <v>2.0499999999999998</v>
      </c>
      <c r="E23" s="33">
        <v>0.3</v>
      </c>
      <c r="F23" s="33">
        <v>0.35</v>
      </c>
      <c r="G23" s="33">
        <v>0.24691358024691357</v>
      </c>
      <c r="H23" s="33">
        <v>0.16666666666666666</v>
      </c>
      <c r="I23" s="34">
        <v>11657.5</v>
      </c>
      <c r="J23" s="34">
        <v>-9903.7037037037044</v>
      </c>
      <c r="K23" s="33">
        <v>0.2</v>
      </c>
      <c r="L23" s="33">
        <v>0.26543209876543211</v>
      </c>
      <c r="M23" s="33">
        <v>0.22222222222222221</v>
      </c>
      <c r="N23" s="33">
        <v>0.34883720930232559</v>
      </c>
      <c r="O23" s="33">
        <v>0.47222222222222221</v>
      </c>
      <c r="P23" s="33">
        <v>0.4</v>
      </c>
    </row>
    <row r="24" spans="1:16" x14ac:dyDescent="0.45">
      <c r="A24" s="35">
        <v>21</v>
      </c>
      <c r="B24" s="32">
        <v>-59.89999999999997</v>
      </c>
      <c r="C24" s="32">
        <v>-2.8523809523809511</v>
      </c>
      <c r="D24" s="37">
        <v>2.0476190476190474</v>
      </c>
      <c r="E24" s="33">
        <v>0.2857142857142857</v>
      </c>
      <c r="F24" s="33">
        <v>0.33333333333333331</v>
      </c>
      <c r="G24" s="33">
        <v>0.24260355029585798</v>
      </c>
      <c r="H24" s="33">
        <v>0.15976331360946747</v>
      </c>
      <c r="I24" s="34">
        <v>11421.951219512195</v>
      </c>
      <c r="J24" s="34">
        <v>-9903.7037037037044</v>
      </c>
      <c r="K24" s="33">
        <v>0.19047619047619047</v>
      </c>
      <c r="L24" s="33">
        <v>0.26035502958579881</v>
      </c>
      <c r="M24" s="33">
        <v>0.21893491124260356</v>
      </c>
      <c r="N24" s="33">
        <v>0.34090909090909088</v>
      </c>
      <c r="O24" s="33">
        <v>0.48648648648648651</v>
      </c>
      <c r="P24" s="33">
        <v>0.3902439024390244</v>
      </c>
    </row>
    <row r="25" spans="1:16" x14ac:dyDescent="0.45">
      <c r="A25" s="35">
        <v>22</v>
      </c>
      <c r="B25" s="32">
        <v>-21.799999999999969</v>
      </c>
      <c r="C25" s="32">
        <v>-0.99090909090908952</v>
      </c>
      <c r="D25" s="37">
        <v>2</v>
      </c>
      <c r="E25" s="33">
        <v>0.31818181818181818</v>
      </c>
      <c r="F25" s="33">
        <v>0.31818181818181818</v>
      </c>
      <c r="G25" s="33">
        <v>0.25568181818181818</v>
      </c>
      <c r="H25" s="33">
        <v>0.15909090909090909</v>
      </c>
      <c r="I25" s="34">
        <v>10960</v>
      </c>
      <c r="J25" s="34">
        <v>-9596.4285714285706</v>
      </c>
      <c r="K25" s="33">
        <v>0.18181818181818182</v>
      </c>
      <c r="L25" s="33">
        <v>0.25568181818181818</v>
      </c>
      <c r="M25" s="33">
        <v>0.23295454545454544</v>
      </c>
      <c r="N25" s="33">
        <v>0.35555555555555557</v>
      </c>
      <c r="O25" s="33">
        <v>0.51219512195121952</v>
      </c>
      <c r="P25" s="33">
        <v>0.4</v>
      </c>
    </row>
    <row r="26" spans="1:16" x14ac:dyDescent="0.45">
      <c r="A26" s="35">
        <v>23</v>
      </c>
      <c r="B26" s="32">
        <v>-10.299999999999969</v>
      </c>
      <c r="C26" s="32">
        <v>-0.44782608695652038</v>
      </c>
      <c r="D26" s="37">
        <v>1.9565217391304348</v>
      </c>
      <c r="E26" s="33">
        <v>0.34782608695652173</v>
      </c>
      <c r="F26" s="33">
        <v>0.30434782608695654</v>
      </c>
      <c r="G26" s="33">
        <v>0.25683060109289618</v>
      </c>
      <c r="H26" s="33">
        <v>0.15300546448087432</v>
      </c>
      <c r="I26" s="34">
        <v>10834.04255319149</v>
      </c>
      <c r="J26" s="34">
        <v>-9596.4285714285706</v>
      </c>
      <c r="K26" s="33">
        <v>0.17391304347826086</v>
      </c>
      <c r="L26" s="33">
        <v>0.25683060109289618</v>
      </c>
      <c r="M26" s="33">
        <v>0.22950819672131148</v>
      </c>
      <c r="N26" s="33">
        <v>0.36170212765957449</v>
      </c>
      <c r="O26" s="33">
        <v>0.52380952380952384</v>
      </c>
      <c r="P26" s="33">
        <v>0.42553191489361702</v>
      </c>
    </row>
    <row r="27" spans="1:16" x14ac:dyDescent="0.45">
      <c r="A27" s="35">
        <v>24</v>
      </c>
      <c r="B27" s="32">
        <v>-51.39999999999997</v>
      </c>
      <c r="C27" s="32">
        <v>-2.1416666666666653</v>
      </c>
      <c r="D27" s="37">
        <v>2</v>
      </c>
      <c r="E27" s="33">
        <v>0.33333333333333331</v>
      </c>
      <c r="F27" s="33">
        <v>0.33333333333333331</v>
      </c>
      <c r="G27" s="33">
        <v>0.2513089005235602</v>
      </c>
      <c r="H27" s="33">
        <v>0.17277486910994763</v>
      </c>
      <c r="I27" s="34">
        <v>10858.333333333334</v>
      </c>
      <c r="J27" s="34">
        <v>-9403.0303030303039</v>
      </c>
      <c r="K27" s="33">
        <v>0.16666666666666666</v>
      </c>
      <c r="L27" s="33">
        <v>0.26178010471204188</v>
      </c>
      <c r="M27" s="33">
        <v>0.2356020942408377</v>
      </c>
      <c r="N27" s="33">
        <v>0.36</v>
      </c>
      <c r="O27" s="33">
        <v>0.48888888888888887</v>
      </c>
      <c r="P27" s="33">
        <v>0.4375</v>
      </c>
    </row>
    <row r="28" spans="1:16" x14ac:dyDescent="0.45">
      <c r="A28" s="35">
        <v>25</v>
      </c>
      <c r="B28" s="32">
        <v>-37.699999999999974</v>
      </c>
      <c r="C28" s="32">
        <v>-1.5079999999999989</v>
      </c>
      <c r="D28" s="37">
        <v>2</v>
      </c>
      <c r="E28" s="33">
        <v>0.32</v>
      </c>
      <c r="F28" s="33">
        <v>0.32</v>
      </c>
      <c r="G28" s="33">
        <v>0.25380710659898476</v>
      </c>
      <c r="H28" s="33">
        <v>0.16751269035532995</v>
      </c>
      <c r="I28" s="34">
        <v>10744</v>
      </c>
      <c r="J28" s="34">
        <v>-9403.0303030303039</v>
      </c>
      <c r="K28" s="33">
        <v>0.16</v>
      </c>
      <c r="L28" s="33">
        <v>0.26903553299492383</v>
      </c>
      <c r="M28" s="33">
        <v>0.22842639593908629</v>
      </c>
      <c r="N28" s="33">
        <v>0.37735849056603776</v>
      </c>
      <c r="O28" s="33">
        <v>0.48888888888888887</v>
      </c>
      <c r="P28" s="33">
        <v>0.46</v>
      </c>
    </row>
    <row r="29" spans="1:16" x14ac:dyDescent="0.45">
      <c r="A29" s="35">
        <v>26</v>
      </c>
      <c r="B29" s="32">
        <v>-84.999999999999972</v>
      </c>
      <c r="C29" s="32">
        <v>-3.2692307692307683</v>
      </c>
      <c r="D29" s="37">
        <v>2.0384615384615383</v>
      </c>
      <c r="E29" s="33">
        <v>0.30769230769230771</v>
      </c>
      <c r="F29" s="33">
        <v>0.34615384615384615</v>
      </c>
      <c r="G29" s="33">
        <v>0.24752475247524752</v>
      </c>
      <c r="H29" s="33">
        <v>0.17326732673267325</v>
      </c>
      <c r="I29" s="34">
        <v>10744</v>
      </c>
      <c r="J29" s="34">
        <v>-9551.4285714285706</v>
      </c>
      <c r="K29" s="33">
        <v>0.19230769230769232</v>
      </c>
      <c r="L29" s="33">
        <v>0.2722772277227723</v>
      </c>
      <c r="M29" s="33">
        <v>0.22277227722772278</v>
      </c>
      <c r="N29" s="33">
        <v>0.36363636363636365</v>
      </c>
      <c r="O29" s="33">
        <v>0.48888888888888887</v>
      </c>
      <c r="P29" s="33">
        <v>0.46</v>
      </c>
    </row>
    <row r="30" spans="1:16" x14ac:dyDescent="0.45">
      <c r="A30" s="35">
        <v>27</v>
      </c>
      <c r="B30" s="32">
        <v>-31.499999999999972</v>
      </c>
      <c r="C30" s="32">
        <v>-1.1666666666666656</v>
      </c>
      <c r="D30" s="37">
        <v>2</v>
      </c>
      <c r="E30" s="33">
        <v>0.33333333333333331</v>
      </c>
      <c r="F30" s="33">
        <v>0.33333333333333331</v>
      </c>
      <c r="G30" s="33">
        <v>0.25714285714285712</v>
      </c>
      <c r="H30" s="33">
        <v>0.16666666666666666</v>
      </c>
      <c r="I30" s="34">
        <v>10811.111111111111</v>
      </c>
      <c r="J30" s="34">
        <v>-9551.4285714285706</v>
      </c>
      <c r="K30" s="33">
        <v>0.18518518518518517</v>
      </c>
      <c r="L30" s="33">
        <v>0.27619047619047621</v>
      </c>
      <c r="M30" s="33">
        <v>0.21904761904761905</v>
      </c>
      <c r="N30" s="33">
        <v>0.39655172413793105</v>
      </c>
      <c r="O30" s="33">
        <v>0.5</v>
      </c>
      <c r="P30" s="33">
        <v>0.46296296296296297</v>
      </c>
    </row>
    <row r="31" spans="1:16" x14ac:dyDescent="0.45">
      <c r="A31" s="35">
        <v>28</v>
      </c>
      <c r="B31" s="32">
        <v>-10.999999999999972</v>
      </c>
      <c r="C31" s="32">
        <v>-0.39285714285714185</v>
      </c>
      <c r="D31" s="37">
        <v>1.9642857142857142</v>
      </c>
      <c r="E31" s="33">
        <v>0.35714285714285715</v>
      </c>
      <c r="F31" s="33">
        <v>0.32142857142857145</v>
      </c>
      <c r="G31" s="33">
        <v>0.25925925925925924</v>
      </c>
      <c r="H31" s="33">
        <v>0.16666666666666666</v>
      </c>
      <c r="I31" s="34">
        <v>10853.571428571429</v>
      </c>
      <c r="J31" s="34">
        <v>-9508.3333333333339</v>
      </c>
      <c r="K31" s="33">
        <v>0.17857142857142858</v>
      </c>
      <c r="L31" s="33">
        <v>0.27777777777777779</v>
      </c>
      <c r="M31" s="33">
        <v>0.21759259259259259</v>
      </c>
      <c r="N31" s="33">
        <v>0.41666666666666669</v>
      </c>
      <c r="O31" s="33">
        <v>0.48936170212765956</v>
      </c>
      <c r="P31" s="33">
        <v>0.4642857142857143</v>
      </c>
    </row>
    <row r="32" spans="1:16" x14ac:dyDescent="0.45">
      <c r="A32" s="35">
        <v>29</v>
      </c>
      <c r="B32" s="32">
        <v>-16.499999999999972</v>
      </c>
      <c r="C32" s="32">
        <v>-0.56896551724137834</v>
      </c>
      <c r="D32" s="37">
        <v>1.9655172413793103</v>
      </c>
      <c r="E32" s="33">
        <v>0.34482758620689657</v>
      </c>
      <c r="F32" s="33">
        <v>0.31034482758620691</v>
      </c>
      <c r="G32" s="33">
        <v>0.25221238938053098</v>
      </c>
      <c r="H32" s="33">
        <v>0.16371681415929204</v>
      </c>
      <c r="I32" s="34">
        <v>10714.035087719298</v>
      </c>
      <c r="J32" s="34">
        <v>-9467.5675675675684</v>
      </c>
      <c r="K32" s="33">
        <v>0.17241379310344829</v>
      </c>
      <c r="L32" s="33">
        <v>0.27876106194690264</v>
      </c>
      <c r="M32" s="33">
        <v>0.21238938053097345</v>
      </c>
      <c r="N32" s="33">
        <v>0.3968253968253968</v>
      </c>
      <c r="O32" s="33">
        <v>0.5</v>
      </c>
      <c r="P32" s="33">
        <v>0.45614035087719296</v>
      </c>
    </row>
    <row r="33" spans="1:16" x14ac:dyDescent="0.45">
      <c r="A33" s="35">
        <v>30</v>
      </c>
      <c r="B33" s="32">
        <v>30.900000000000027</v>
      </c>
      <c r="C33" s="32">
        <v>1.0300000000000009</v>
      </c>
      <c r="D33" s="37">
        <v>1.9333333333333333</v>
      </c>
      <c r="E33" s="33">
        <v>0.36666666666666664</v>
      </c>
      <c r="F33" s="33">
        <v>0.3</v>
      </c>
      <c r="G33" s="33">
        <v>0.25974025974025972</v>
      </c>
      <c r="H33" s="33">
        <v>0.16017316017316016</v>
      </c>
      <c r="I33" s="34">
        <v>10706.666666666666</v>
      </c>
      <c r="J33" s="34">
        <v>-9467.5675675675684</v>
      </c>
      <c r="K33" s="33">
        <v>0.16666666666666666</v>
      </c>
      <c r="L33" s="33">
        <v>0.2813852813852814</v>
      </c>
      <c r="M33" s="33">
        <v>0.21212121212121213</v>
      </c>
      <c r="N33" s="33">
        <v>0.4</v>
      </c>
      <c r="O33" s="33">
        <v>0.51020408163265307</v>
      </c>
      <c r="P33" s="33">
        <v>0.45</v>
      </c>
    </row>
    <row r="34" spans="1:16" x14ac:dyDescent="0.45">
      <c r="A34" s="35">
        <v>31</v>
      </c>
      <c r="B34" s="32">
        <v>73.900000000000034</v>
      </c>
      <c r="C34" s="32">
        <v>2.3838709677419367</v>
      </c>
      <c r="D34" s="37">
        <v>1.903225806451613</v>
      </c>
      <c r="E34" s="33">
        <v>0.38709677419354838</v>
      </c>
      <c r="F34" s="33">
        <v>0.29032258064516131</v>
      </c>
      <c r="G34" s="33">
        <v>0.26890756302521007</v>
      </c>
      <c r="H34" s="33">
        <v>0.15966386554621848</v>
      </c>
      <c r="I34" s="34">
        <v>10553.125</v>
      </c>
      <c r="J34" s="34">
        <v>-9271.0526315789466</v>
      </c>
      <c r="K34" s="33">
        <v>0.16129032258064516</v>
      </c>
      <c r="L34" s="33">
        <v>0.2857142857142857</v>
      </c>
      <c r="M34" s="33">
        <v>0.21428571428571427</v>
      </c>
      <c r="N34" s="33">
        <v>0.41176470588235292</v>
      </c>
      <c r="O34" s="33">
        <v>0.52941176470588236</v>
      </c>
      <c r="P34" s="33">
        <v>0.453125</v>
      </c>
    </row>
    <row r="35" spans="1:16" x14ac:dyDescent="0.45">
      <c r="A35" s="35">
        <v>32</v>
      </c>
      <c r="B35" s="32">
        <v>96.100000000000037</v>
      </c>
      <c r="C35" s="32">
        <v>3.0031250000000012</v>
      </c>
      <c r="D35" s="37">
        <v>1.875</v>
      </c>
      <c r="E35" s="33">
        <v>0.40625</v>
      </c>
      <c r="F35" s="33">
        <v>0.28125</v>
      </c>
      <c r="G35" s="33">
        <v>0.26938775510204083</v>
      </c>
      <c r="H35" s="33">
        <v>0.15510204081632653</v>
      </c>
      <c r="I35" s="34">
        <v>10430.30303030303</v>
      </c>
      <c r="J35" s="34">
        <v>-9271.0526315789466</v>
      </c>
      <c r="K35" s="33">
        <v>0.15625</v>
      </c>
      <c r="L35" s="33">
        <v>0.28163265306122448</v>
      </c>
      <c r="M35" s="33">
        <v>0.20816326530612245</v>
      </c>
      <c r="N35" s="33">
        <v>0.42028985507246375</v>
      </c>
      <c r="O35" s="33">
        <v>0.52941176470588236</v>
      </c>
      <c r="P35" s="33">
        <v>0.45454545454545453</v>
      </c>
    </row>
    <row r="36" spans="1:16" x14ac:dyDescent="0.45">
      <c r="A36" s="35">
        <v>33</v>
      </c>
      <c r="B36" s="32">
        <v>112.00000000000004</v>
      </c>
      <c r="C36" s="32">
        <v>3.3939393939393954</v>
      </c>
      <c r="D36" s="37">
        <v>1.8484848484848484</v>
      </c>
      <c r="E36" s="33">
        <v>0.42424242424242425</v>
      </c>
      <c r="F36" s="33">
        <v>0.27272727272727271</v>
      </c>
      <c r="G36" s="33">
        <v>0.26984126984126983</v>
      </c>
      <c r="H36" s="33">
        <v>0.15873015873015872</v>
      </c>
      <c r="I36" s="34">
        <v>10354.411764705883</v>
      </c>
      <c r="J36" s="34">
        <v>-8970</v>
      </c>
      <c r="K36" s="33">
        <v>0.15151515151515152</v>
      </c>
      <c r="L36" s="33">
        <v>0.28174603174603174</v>
      </c>
      <c r="M36" s="33">
        <v>0.20634920634920634</v>
      </c>
      <c r="N36" s="33">
        <v>0.43661971830985913</v>
      </c>
      <c r="O36" s="33">
        <v>0.51923076923076927</v>
      </c>
      <c r="P36" s="33">
        <v>0.44117647058823528</v>
      </c>
    </row>
    <row r="37" spans="1:16" x14ac:dyDescent="0.45">
      <c r="A37" s="35">
        <v>34</v>
      </c>
      <c r="B37" s="32">
        <v>110.00000000000004</v>
      </c>
      <c r="C37" s="32">
        <v>3.2352941176470602</v>
      </c>
      <c r="D37" s="37">
        <v>1.8529411764705883</v>
      </c>
      <c r="E37" s="33">
        <v>0.41176470588235292</v>
      </c>
      <c r="F37" s="33">
        <v>0.26470588235294118</v>
      </c>
      <c r="G37" s="33">
        <v>0.27099236641221375</v>
      </c>
      <c r="H37" s="33">
        <v>0.16412213740458015</v>
      </c>
      <c r="I37" s="34">
        <v>10311.267605633802</v>
      </c>
      <c r="J37" s="34">
        <v>-8790.6976744186049</v>
      </c>
      <c r="K37" s="33">
        <v>0.14705882352941177</v>
      </c>
      <c r="L37" s="33">
        <v>0.28244274809160308</v>
      </c>
      <c r="M37" s="33">
        <v>0.21374045801526717</v>
      </c>
      <c r="N37" s="33">
        <v>0.44594594594594594</v>
      </c>
      <c r="O37" s="33">
        <v>0.5</v>
      </c>
      <c r="P37" s="33">
        <v>0.45070422535211269</v>
      </c>
    </row>
    <row r="38" spans="1:16" x14ac:dyDescent="0.45">
      <c r="A38" s="35">
        <v>35</v>
      </c>
      <c r="B38" s="32">
        <v>140.50000000000006</v>
      </c>
      <c r="C38" s="32">
        <v>4.014285714285716</v>
      </c>
      <c r="D38" s="37">
        <v>1.8285714285714285</v>
      </c>
      <c r="E38" s="33">
        <v>0.42857142857142855</v>
      </c>
      <c r="F38" s="33">
        <v>0.25714285714285712</v>
      </c>
      <c r="G38" s="33">
        <v>0.27472527472527475</v>
      </c>
      <c r="H38" s="33">
        <v>0.16117216117216118</v>
      </c>
      <c r="I38" s="34">
        <v>10238.666666666666</v>
      </c>
      <c r="J38" s="34">
        <v>-8772.7272727272721</v>
      </c>
      <c r="K38" s="33">
        <v>0.14285714285714285</v>
      </c>
      <c r="L38" s="33">
        <v>0.2857142857142857</v>
      </c>
      <c r="M38" s="33">
        <v>0.20512820512820512</v>
      </c>
      <c r="N38" s="33">
        <v>0.44871794871794873</v>
      </c>
      <c r="O38" s="33">
        <v>0.5</v>
      </c>
      <c r="P38" s="33">
        <v>0.46666666666666667</v>
      </c>
    </row>
    <row r="39" spans="1:16" x14ac:dyDescent="0.45">
      <c r="A39" s="35">
        <v>36</v>
      </c>
      <c r="B39" s="32">
        <v>105.40000000000006</v>
      </c>
      <c r="C39" s="32">
        <v>2.9277777777777794</v>
      </c>
      <c r="D39" s="37">
        <v>1.8611111111111112</v>
      </c>
      <c r="E39" s="33">
        <v>0.41666666666666669</v>
      </c>
      <c r="F39" s="33">
        <v>0.27777777777777779</v>
      </c>
      <c r="G39" s="33">
        <v>0.27083333333333331</v>
      </c>
      <c r="H39" s="33">
        <v>0.16319444444444445</v>
      </c>
      <c r="I39" s="34">
        <v>10251.282051282051</v>
      </c>
      <c r="J39" s="34">
        <v>-8565.9574468085102</v>
      </c>
      <c r="K39" s="33">
        <v>0.1388888888888889</v>
      </c>
      <c r="L39" s="33">
        <v>0.28472222222222221</v>
      </c>
      <c r="M39" s="33">
        <v>0.19791666666666666</v>
      </c>
      <c r="N39" s="33">
        <v>0.45121951219512196</v>
      </c>
      <c r="O39" s="33">
        <v>0.49122807017543857</v>
      </c>
      <c r="P39" s="33">
        <v>0.47435897435897434</v>
      </c>
    </row>
    <row r="40" spans="1:16" x14ac:dyDescent="0.45">
      <c r="A40" s="35">
        <v>37</v>
      </c>
      <c r="B40" s="32">
        <v>146.30000000000007</v>
      </c>
      <c r="C40" s="32">
        <v>3.9540540540540561</v>
      </c>
      <c r="D40" s="37">
        <v>1.8378378378378379</v>
      </c>
      <c r="E40" s="33">
        <v>0.43243243243243246</v>
      </c>
      <c r="F40" s="33">
        <v>0.27027027027027029</v>
      </c>
      <c r="G40" s="33">
        <v>0.27796610169491526</v>
      </c>
      <c r="H40" s="33">
        <v>0.15932203389830507</v>
      </c>
      <c r="I40" s="34">
        <v>10174.390243902439</v>
      </c>
      <c r="J40" s="34">
        <v>-8565.9574468085102</v>
      </c>
      <c r="K40" s="33">
        <v>0.13513513513513514</v>
      </c>
      <c r="L40" s="33">
        <v>0.28813559322033899</v>
      </c>
      <c r="M40" s="33">
        <v>0.2</v>
      </c>
      <c r="N40" s="33">
        <v>0.45882352941176469</v>
      </c>
      <c r="O40" s="33">
        <v>0.49152542372881358</v>
      </c>
      <c r="P40" s="33">
        <v>0.48780487804878048</v>
      </c>
    </row>
    <row r="41" spans="1:16" x14ac:dyDescent="0.45">
      <c r="A41" s="35">
        <v>38</v>
      </c>
      <c r="B41" s="32">
        <v>129.30000000000007</v>
      </c>
      <c r="C41" s="32">
        <v>3.40263157894737</v>
      </c>
      <c r="D41" s="37">
        <v>1.868421052631579</v>
      </c>
      <c r="E41" s="33">
        <v>0.42105263157894735</v>
      </c>
      <c r="F41" s="33">
        <v>0.28947368421052633</v>
      </c>
      <c r="G41" s="33">
        <v>0.27868852459016391</v>
      </c>
      <c r="H41" s="33">
        <v>0.16393442622950818</v>
      </c>
      <c r="I41" s="34">
        <v>10071.764705882353</v>
      </c>
      <c r="J41" s="34">
        <v>-8228</v>
      </c>
      <c r="K41" s="33">
        <v>0.13157894736842105</v>
      </c>
      <c r="L41" s="33">
        <v>0.29180327868852457</v>
      </c>
      <c r="M41" s="33">
        <v>0.20327868852459016</v>
      </c>
      <c r="N41" s="33">
        <v>0.4606741573033708</v>
      </c>
      <c r="O41" s="33">
        <v>0.4838709677419355</v>
      </c>
      <c r="P41" s="33">
        <v>0.47058823529411764</v>
      </c>
    </row>
    <row r="42" spans="1:16" x14ac:dyDescent="0.45">
      <c r="A42" s="35">
        <v>39</v>
      </c>
      <c r="B42" s="32">
        <v>101.20000000000007</v>
      </c>
      <c r="C42" s="32">
        <v>2.5948717948717968</v>
      </c>
      <c r="D42" s="37">
        <v>1.8974358974358974</v>
      </c>
      <c r="E42" s="33">
        <v>0.41025641025641024</v>
      </c>
      <c r="F42" s="33">
        <v>0.30769230769230771</v>
      </c>
      <c r="G42" s="33">
        <v>0.27476038338658149</v>
      </c>
      <c r="H42" s="33">
        <v>0.16613418530351437</v>
      </c>
      <c r="I42" s="34">
        <v>10044.186046511628</v>
      </c>
      <c r="J42" s="34">
        <v>-8084.6153846153848</v>
      </c>
      <c r="K42" s="33">
        <v>0.12820512820512819</v>
      </c>
      <c r="L42" s="33">
        <v>0.29392971246006389</v>
      </c>
      <c r="M42" s="33">
        <v>0.20447284345047922</v>
      </c>
      <c r="N42" s="33">
        <v>0.45652173913043476</v>
      </c>
      <c r="O42" s="33">
        <v>0.46875</v>
      </c>
      <c r="P42" s="33">
        <v>0.47674418604651164</v>
      </c>
    </row>
    <row r="43" spans="1:16" x14ac:dyDescent="0.45">
      <c r="A43" s="35">
        <v>40</v>
      </c>
      <c r="B43" s="32">
        <v>71.200000000000074</v>
      </c>
      <c r="C43" s="32">
        <v>1.7800000000000018</v>
      </c>
      <c r="D43" s="37">
        <v>1.925</v>
      </c>
      <c r="E43" s="33">
        <v>0.4</v>
      </c>
      <c r="F43" s="33">
        <v>0.32500000000000001</v>
      </c>
      <c r="G43" s="33">
        <v>0.27725856697819312</v>
      </c>
      <c r="H43" s="33">
        <v>0.16510903426791276</v>
      </c>
      <c r="I43" s="34">
        <v>9975.2808988764045</v>
      </c>
      <c r="J43" s="34">
        <v>-8535.8490566037744</v>
      </c>
      <c r="K43" s="33">
        <v>0.125</v>
      </c>
      <c r="L43" s="33">
        <v>0.29595015576323985</v>
      </c>
      <c r="M43" s="33">
        <v>0.20249221183800623</v>
      </c>
      <c r="N43" s="33">
        <v>0.4631578947368421</v>
      </c>
      <c r="O43" s="33">
        <v>0.47692307692307695</v>
      </c>
      <c r="P43" s="33">
        <v>0.47191011235955055</v>
      </c>
    </row>
    <row r="44" spans="1:16" x14ac:dyDescent="0.45">
      <c r="A44" s="35">
        <v>41</v>
      </c>
      <c r="B44" s="32">
        <v>67.900000000000077</v>
      </c>
      <c r="C44" s="32">
        <v>1.6560975609756117</v>
      </c>
      <c r="D44" s="37">
        <v>1.9268292682926829</v>
      </c>
      <c r="E44" s="33">
        <v>0.3902439024390244</v>
      </c>
      <c r="F44" s="33">
        <v>0.31707317073170732</v>
      </c>
      <c r="G44" s="33">
        <v>0.27878787878787881</v>
      </c>
      <c r="H44" s="33">
        <v>0.16666666666666666</v>
      </c>
      <c r="I44" s="34">
        <v>10041.304347826086</v>
      </c>
      <c r="J44" s="34">
        <v>-8589.0909090909099</v>
      </c>
      <c r="K44" s="33">
        <v>0.12195121951219512</v>
      </c>
      <c r="L44" s="33">
        <v>0.30303030303030304</v>
      </c>
      <c r="M44" s="33">
        <v>0.2</v>
      </c>
      <c r="N44" s="33">
        <v>0.47</v>
      </c>
      <c r="O44" s="33">
        <v>0.46969696969696972</v>
      </c>
      <c r="P44" s="33">
        <v>0.47826086956521741</v>
      </c>
    </row>
    <row r="45" spans="1:16" x14ac:dyDescent="0.45">
      <c r="A45" s="35">
        <v>42</v>
      </c>
      <c r="B45" s="32">
        <v>109.90000000000008</v>
      </c>
      <c r="C45" s="32">
        <v>2.6166666666666685</v>
      </c>
      <c r="D45" s="37">
        <v>1.9047619047619047</v>
      </c>
      <c r="E45" s="33">
        <v>0.40476190476190477</v>
      </c>
      <c r="F45" s="33">
        <v>0.30952380952380953</v>
      </c>
      <c r="G45" s="33">
        <v>0.28358208955223879</v>
      </c>
      <c r="H45" s="33">
        <v>0.16716417910447762</v>
      </c>
      <c r="I45" s="34">
        <v>10081.052631578947</v>
      </c>
      <c r="J45" s="34">
        <v>-8505.3571428571431</v>
      </c>
      <c r="K45" s="33">
        <v>0.11904761904761904</v>
      </c>
      <c r="L45" s="33">
        <v>0.30746268656716419</v>
      </c>
      <c r="M45" s="33">
        <v>0.19701492537313434</v>
      </c>
      <c r="N45" s="33">
        <v>0.4854368932038835</v>
      </c>
      <c r="O45" s="33">
        <v>0.46969696969696972</v>
      </c>
      <c r="P45" s="33">
        <v>0.47368421052631576</v>
      </c>
    </row>
    <row r="46" spans="1:16" x14ac:dyDescent="0.45">
      <c r="A46" s="35">
        <v>43</v>
      </c>
      <c r="B46" s="32">
        <v>78.300000000000068</v>
      </c>
      <c r="C46" s="32">
        <v>1.8209302325581411</v>
      </c>
      <c r="D46" s="37">
        <v>1.930232558139535</v>
      </c>
      <c r="E46" s="33">
        <v>0.39534883720930231</v>
      </c>
      <c r="F46" s="33">
        <v>0.32558139534883723</v>
      </c>
      <c r="G46" s="33">
        <v>0.27826086956521739</v>
      </c>
      <c r="H46" s="33">
        <v>0.1681159420289855</v>
      </c>
      <c r="I46" s="34">
        <v>10142.708333333334</v>
      </c>
      <c r="J46" s="34">
        <v>-8518.9655172413786</v>
      </c>
      <c r="K46" s="33">
        <v>0.11627906976744186</v>
      </c>
      <c r="L46" s="33">
        <v>0.30144927536231886</v>
      </c>
      <c r="M46" s="33">
        <v>0.2</v>
      </c>
      <c r="N46" s="33">
        <v>0.48076923076923078</v>
      </c>
      <c r="O46" s="33">
        <v>0.46376811594202899</v>
      </c>
      <c r="P46" s="33">
        <v>0.46875</v>
      </c>
    </row>
    <row r="47" spans="1:16" x14ac:dyDescent="0.45">
      <c r="A47" s="35">
        <v>44</v>
      </c>
      <c r="B47" s="32">
        <v>107.10000000000007</v>
      </c>
      <c r="C47" s="32">
        <v>2.4340909090909104</v>
      </c>
      <c r="D47" s="37">
        <v>1.9090909090909092</v>
      </c>
      <c r="E47" s="33">
        <v>0.40909090909090912</v>
      </c>
      <c r="F47" s="33">
        <v>0.31818181818181818</v>
      </c>
      <c r="G47" s="33">
        <v>0.28045325779036828</v>
      </c>
      <c r="H47" s="33">
        <v>0.16713881019830029</v>
      </c>
      <c r="I47" s="34">
        <v>10155.555555555555</v>
      </c>
      <c r="J47" s="34">
        <v>-8408.4745762711864</v>
      </c>
      <c r="K47" s="33">
        <v>0.11363636363636363</v>
      </c>
      <c r="L47" s="33">
        <v>0.30311614730878189</v>
      </c>
      <c r="M47" s="33">
        <v>0.20113314447592068</v>
      </c>
      <c r="N47" s="33">
        <v>0.49532710280373832</v>
      </c>
      <c r="O47" s="33">
        <v>0.45070422535211269</v>
      </c>
      <c r="P47" s="33">
        <v>0.46464646464646464</v>
      </c>
    </row>
    <row r="48" spans="1:16" x14ac:dyDescent="0.45">
      <c r="A48" s="35">
        <v>45</v>
      </c>
      <c r="B48" s="32">
        <v>85.800000000000068</v>
      </c>
      <c r="C48" s="32">
        <v>1.9066666666666683</v>
      </c>
      <c r="D48" s="37">
        <v>1.9333333333333333</v>
      </c>
      <c r="E48" s="33">
        <v>0.4</v>
      </c>
      <c r="F48" s="33">
        <v>0.33333333333333331</v>
      </c>
      <c r="G48" s="33">
        <v>0.27747252747252749</v>
      </c>
      <c r="H48" s="33">
        <v>0.16483516483516483</v>
      </c>
      <c r="I48" s="34">
        <v>10211.881188118812</v>
      </c>
      <c r="J48" s="34">
        <v>-8468.3333333333339</v>
      </c>
      <c r="K48" s="33">
        <v>0.1111111111111111</v>
      </c>
      <c r="L48" s="33">
        <v>0.29945054945054944</v>
      </c>
      <c r="M48" s="33">
        <v>0.20054945054945056</v>
      </c>
      <c r="N48" s="33">
        <v>0.49541284403669728</v>
      </c>
      <c r="O48" s="33">
        <v>0.45205479452054792</v>
      </c>
      <c r="P48" s="33">
        <v>0.46534653465346537</v>
      </c>
    </row>
    <row r="49" spans="1:16" x14ac:dyDescent="0.45">
      <c r="A49" s="35">
        <v>46</v>
      </c>
      <c r="B49" s="32">
        <v>154.90000000000006</v>
      </c>
      <c r="C49" s="32">
        <v>3.3673913043478274</v>
      </c>
      <c r="D49" s="37">
        <v>1.9130434782608696</v>
      </c>
      <c r="E49" s="33">
        <v>0.41304347826086957</v>
      </c>
      <c r="F49" s="33">
        <v>0.32608695652173914</v>
      </c>
      <c r="G49" s="33">
        <v>0.28609625668449196</v>
      </c>
      <c r="H49" s="33">
        <v>0.16042780748663102</v>
      </c>
      <c r="I49" s="34">
        <v>10172.897196261682</v>
      </c>
      <c r="J49" s="34">
        <v>-8468.3333333333339</v>
      </c>
      <c r="K49" s="33">
        <v>0.10869565217391304</v>
      </c>
      <c r="L49" s="33">
        <v>0.31016042780748665</v>
      </c>
      <c r="M49" s="33">
        <v>0.20053475935828877</v>
      </c>
      <c r="N49" s="33">
        <v>0.50862068965517238</v>
      </c>
      <c r="O49" s="33">
        <v>0.45333333333333331</v>
      </c>
      <c r="P49" s="33">
        <v>0.46728971962616822</v>
      </c>
    </row>
    <row r="50" spans="1:16" x14ac:dyDescent="0.45">
      <c r="A50" s="35">
        <v>47</v>
      </c>
      <c r="B50" s="32">
        <v>190.40000000000006</v>
      </c>
      <c r="C50" s="32">
        <v>4.0510638297872354</v>
      </c>
      <c r="D50" s="37">
        <v>1.8936170212765957</v>
      </c>
      <c r="E50" s="33">
        <v>0.42553191489361702</v>
      </c>
      <c r="F50" s="33">
        <v>0.31914893617021278</v>
      </c>
      <c r="G50" s="33">
        <v>0.2879581151832461</v>
      </c>
      <c r="H50" s="33">
        <v>0.15968586387434555</v>
      </c>
      <c r="I50" s="34">
        <v>10292.727272727272</v>
      </c>
      <c r="J50" s="34">
        <v>-8526.2295081967204</v>
      </c>
      <c r="K50" s="33">
        <v>0.10638297872340426</v>
      </c>
      <c r="L50" s="33">
        <v>0.31675392670157065</v>
      </c>
      <c r="M50" s="33">
        <v>0.19633507853403143</v>
      </c>
      <c r="N50" s="33">
        <v>0.51239669421487599</v>
      </c>
      <c r="O50" s="33">
        <v>0.45333333333333331</v>
      </c>
      <c r="P50" s="33">
        <v>0.47272727272727272</v>
      </c>
    </row>
    <row r="51" spans="1:16" x14ac:dyDescent="0.45">
      <c r="A51" s="35">
        <v>48</v>
      </c>
      <c r="B51" s="32">
        <v>269.00000000000006</v>
      </c>
      <c r="C51" s="32">
        <v>5.6041666666666679</v>
      </c>
      <c r="D51" s="37">
        <v>1.875</v>
      </c>
      <c r="E51" s="33">
        <v>0.4375</v>
      </c>
      <c r="F51" s="33">
        <v>0.3125</v>
      </c>
      <c r="G51" s="33">
        <v>0.29562982005141386</v>
      </c>
      <c r="H51" s="33">
        <v>0.15681233933161953</v>
      </c>
      <c r="I51" s="34">
        <v>10467.826086956522</v>
      </c>
      <c r="J51" s="34">
        <v>-8526.2295081967204</v>
      </c>
      <c r="K51" s="33">
        <v>0.10416666666666667</v>
      </c>
      <c r="L51" s="33">
        <v>0.32133676092544988</v>
      </c>
      <c r="M51" s="33">
        <v>0.19537275064267351</v>
      </c>
      <c r="N51" s="33">
        <v>0.52800000000000002</v>
      </c>
      <c r="O51" s="33">
        <v>0.46052631578947367</v>
      </c>
      <c r="P51" s="33">
        <v>0.46956521739130436</v>
      </c>
    </row>
    <row r="52" spans="1:16" x14ac:dyDescent="0.45">
      <c r="A52" s="35">
        <v>49</v>
      </c>
      <c r="B52" s="32">
        <v>269.30000000000007</v>
      </c>
      <c r="C52" s="32">
        <v>5.4959183673469401</v>
      </c>
      <c r="D52" s="37">
        <v>1.8775510204081634</v>
      </c>
      <c r="E52" s="33">
        <v>0.42857142857142855</v>
      </c>
      <c r="F52" s="33">
        <v>0.30612244897959184</v>
      </c>
      <c r="G52" s="33">
        <v>0.29545454545454547</v>
      </c>
      <c r="H52" s="33">
        <v>0.15909090909090909</v>
      </c>
      <c r="I52" s="34">
        <v>10457.264957264957</v>
      </c>
      <c r="J52" s="34">
        <v>-8507.936507936507</v>
      </c>
      <c r="K52" s="33">
        <v>0.10204081632653061</v>
      </c>
      <c r="L52" s="33">
        <v>0.32070707070707072</v>
      </c>
      <c r="M52" s="33">
        <v>0.19696969696969696</v>
      </c>
      <c r="N52" s="33">
        <v>0.52755905511811019</v>
      </c>
      <c r="O52" s="33">
        <v>0.46153846153846156</v>
      </c>
      <c r="P52" s="33">
        <v>0.46153846153846156</v>
      </c>
    </row>
    <row r="53" spans="1:16" x14ac:dyDescent="0.45">
      <c r="A53" s="35">
        <v>50</v>
      </c>
      <c r="B53" s="32">
        <v>304.40000000000009</v>
      </c>
      <c r="C53" s="32">
        <v>6.0880000000000019</v>
      </c>
      <c r="D53" s="37">
        <v>1.86</v>
      </c>
      <c r="E53" s="33">
        <v>0.44</v>
      </c>
      <c r="F53" s="33">
        <v>0.3</v>
      </c>
      <c r="G53" s="33">
        <v>0.29426433915211969</v>
      </c>
      <c r="H53" s="33">
        <v>0.15710723192019951</v>
      </c>
      <c r="I53" s="34">
        <v>10775.423728813559</v>
      </c>
      <c r="J53" s="34">
        <v>-8507.936507936507</v>
      </c>
      <c r="K53" s="33">
        <v>0.1</v>
      </c>
      <c r="L53" s="33">
        <v>0.31920199501246882</v>
      </c>
      <c r="M53" s="33">
        <v>0.19451371571072318</v>
      </c>
      <c r="N53" s="33">
        <v>0.53125</v>
      </c>
      <c r="O53" s="33">
        <v>0.46153846153846156</v>
      </c>
      <c r="P53" s="33">
        <v>0.46610169491525422</v>
      </c>
    </row>
    <row r="54" spans="1:16" x14ac:dyDescent="0.45">
      <c r="A54" s="35">
        <v>51</v>
      </c>
      <c r="B54" s="32">
        <v>282.10000000000008</v>
      </c>
      <c r="C54" s="32">
        <v>5.5313725490196095</v>
      </c>
      <c r="D54" s="37">
        <v>1.8823529411764706</v>
      </c>
      <c r="E54" s="33">
        <v>0.43137254901960786</v>
      </c>
      <c r="F54" s="33">
        <v>0.31372549019607843</v>
      </c>
      <c r="G54" s="33">
        <v>0.29411764705882354</v>
      </c>
      <c r="H54" s="33">
        <v>0.15931372549019607</v>
      </c>
      <c r="I54" s="34">
        <v>10675.833333333334</v>
      </c>
      <c r="J54" s="34">
        <v>-8429.2307692307695</v>
      </c>
      <c r="K54" s="33">
        <v>9.8039215686274508E-2</v>
      </c>
      <c r="L54" s="33">
        <v>0.32107843137254904</v>
      </c>
      <c r="M54" s="33">
        <v>0.19117647058823528</v>
      </c>
      <c r="N54" s="33">
        <v>0.52671755725190839</v>
      </c>
      <c r="O54" s="33">
        <v>0.46153846153846156</v>
      </c>
      <c r="P54" s="33">
        <v>0.47499999999999998</v>
      </c>
    </row>
    <row r="55" spans="1:16" x14ac:dyDescent="0.45">
      <c r="A55" s="35">
        <v>52</v>
      </c>
      <c r="B55" s="32">
        <v>325.2000000000001</v>
      </c>
      <c r="C55" s="32">
        <v>6.2538461538461556</v>
      </c>
      <c r="D55" s="37">
        <v>1.8653846153846154</v>
      </c>
      <c r="E55" s="33">
        <v>0.44230769230769229</v>
      </c>
      <c r="F55" s="33">
        <v>0.30769230769230771</v>
      </c>
      <c r="G55" s="33">
        <v>0.30048076923076922</v>
      </c>
      <c r="H55" s="33">
        <v>0.15625</v>
      </c>
      <c r="I55" s="34">
        <v>10544.8</v>
      </c>
      <c r="J55" s="34">
        <v>-8429.2307692307695</v>
      </c>
      <c r="K55" s="33">
        <v>9.6153846153846159E-2</v>
      </c>
      <c r="L55" s="33">
        <v>0.32692307692307693</v>
      </c>
      <c r="M55" s="33">
        <v>0.18990384615384615</v>
      </c>
      <c r="N55" s="33">
        <v>0.53676470588235292</v>
      </c>
      <c r="O55" s="33">
        <v>0.46835443037974683</v>
      </c>
      <c r="P55" s="33">
        <v>0.48799999999999999</v>
      </c>
    </row>
    <row r="56" spans="1:16" x14ac:dyDescent="0.45">
      <c r="A56" s="35">
        <v>53</v>
      </c>
      <c r="B56" s="32">
        <v>301.2000000000001</v>
      </c>
      <c r="C56" s="32">
        <v>5.6830188679245301</v>
      </c>
      <c r="D56" s="37">
        <v>1.8867924528301887</v>
      </c>
      <c r="E56" s="33">
        <v>0.43396226415094341</v>
      </c>
      <c r="F56" s="33">
        <v>0.32075471698113206</v>
      </c>
      <c r="G56" s="33">
        <v>0.29857819905213268</v>
      </c>
      <c r="H56" s="33">
        <v>0.15402843601895735</v>
      </c>
      <c r="I56" s="34">
        <v>10524.603174603175</v>
      </c>
      <c r="J56" s="34">
        <v>-8429.2307692307695</v>
      </c>
      <c r="K56" s="33">
        <v>9.4339622641509441E-2</v>
      </c>
      <c r="L56" s="33">
        <v>0.32938388625592419</v>
      </c>
      <c r="M56" s="33">
        <v>0.1872037914691943</v>
      </c>
      <c r="N56" s="33">
        <v>0.53237410071942448</v>
      </c>
      <c r="O56" s="33">
        <v>0.46835443037974683</v>
      </c>
      <c r="P56" s="33">
        <v>0.49206349206349204</v>
      </c>
    </row>
    <row r="57" spans="1:16" x14ac:dyDescent="0.45">
      <c r="A57" s="35">
        <v>54</v>
      </c>
      <c r="B57" s="32">
        <v>296.2000000000001</v>
      </c>
      <c r="C57" s="32">
        <v>5.4851851851851867</v>
      </c>
      <c r="D57" s="37">
        <v>1.8888888888888888</v>
      </c>
      <c r="E57" s="33">
        <v>0.42592592592592593</v>
      </c>
      <c r="F57" s="33">
        <v>0.31481481481481483</v>
      </c>
      <c r="G57" s="33">
        <v>0.3</v>
      </c>
      <c r="H57" s="33">
        <v>0.16046511627906976</v>
      </c>
      <c r="I57" s="34">
        <v>10435.658914728681</v>
      </c>
      <c r="J57" s="34">
        <v>-8333.3333333333339</v>
      </c>
      <c r="K57" s="33">
        <v>9.2592592592592587E-2</v>
      </c>
      <c r="L57" s="33">
        <v>0.32558139534883723</v>
      </c>
      <c r="M57" s="33">
        <v>0.18604651162790697</v>
      </c>
      <c r="N57" s="33">
        <v>0.5357142857142857</v>
      </c>
      <c r="O57" s="33">
        <v>0.46250000000000002</v>
      </c>
      <c r="P57" s="33">
        <v>0.49612403100775193</v>
      </c>
    </row>
    <row r="58" spans="1:16" x14ac:dyDescent="0.45">
      <c r="A58" s="35">
        <v>55</v>
      </c>
      <c r="B58" s="32">
        <v>259.10000000000008</v>
      </c>
      <c r="C58" s="32">
        <v>4.7109090909090927</v>
      </c>
      <c r="D58" s="37">
        <v>1.9090909090909092</v>
      </c>
      <c r="E58" s="33">
        <v>0.41818181818181815</v>
      </c>
      <c r="F58" s="33">
        <v>0.32727272727272727</v>
      </c>
      <c r="G58" s="33">
        <v>0.29384965831435078</v>
      </c>
      <c r="H58" s="33">
        <v>0.16173120728929385</v>
      </c>
      <c r="I58" s="34">
        <v>10435.658914728681</v>
      </c>
      <c r="J58" s="34">
        <v>-8325.352112676057</v>
      </c>
      <c r="K58" s="33">
        <v>9.0909090909090912E-2</v>
      </c>
      <c r="L58" s="33">
        <v>0.32118451025056949</v>
      </c>
      <c r="M58" s="33">
        <v>0.18223234624145787</v>
      </c>
      <c r="N58" s="33">
        <v>0.53191489361702127</v>
      </c>
      <c r="O58" s="33">
        <v>0.46250000000000002</v>
      </c>
      <c r="P58" s="33">
        <v>0.49612403100775193</v>
      </c>
    </row>
    <row r="59" spans="1:16" x14ac:dyDescent="0.45">
      <c r="A59" s="35">
        <v>56</v>
      </c>
      <c r="B59" s="32">
        <v>246.70000000000007</v>
      </c>
      <c r="C59" s="32">
        <v>4.4053571428571443</v>
      </c>
      <c r="D59" s="37">
        <v>1.9107142857142858</v>
      </c>
      <c r="E59" s="33">
        <v>0.4107142857142857</v>
      </c>
      <c r="F59" s="33">
        <v>0.32142857142857145</v>
      </c>
      <c r="G59" s="33">
        <v>0.2911111111111111</v>
      </c>
      <c r="H59" s="33">
        <v>0.16222222222222221</v>
      </c>
      <c r="I59" s="34">
        <v>10390.839694656488</v>
      </c>
      <c r="J59" s="34">
        <v>-8239.7260273972606</v>
      </c>
      <c r="K59" s="33">
        <v>8.9285714285714288E-2</v>
      </c>
      <c r="L59" s="33">
        <v>0.32</v>
      </c>
      <c r="M59" s="33">
        <v>0.18222222222222223</v>
      </c>
      <c r="N59" s="33">
        <v>0.53472222222222221</v>
      </c>
      <c r="O59" s="33">
        <v>0.45121951219512196</v>
      </c>
      <c r="P59" s="33">
        <v>0.49618320610687022</v>
      </c>
    </row>
    <row r="60" spans="1:16" x14ac:dyDescent="0.45">
      <c r="A60" s="35">
        <v>57</v>
      </c>
      <c r="B60" s="32">
        <v>291.80000000000007</v>
      </c>
      <c r="C60" s="32">
        <v>5.1192982456140363</v>
      </c>
      <c r="D60" s="37">
        <v>1.8947368421052631</v>
      </c>
      <c r="E60" s="33">
        <v>0.42105263157894735</v>
      </c>
      <c r="F60" s="33">
        <v>0.31578947368421051</v>
      </c>
      <c r="G60" s="33">
        <v>0.2975929978118162</v>
      </c>
      <c r="H60" s="33">
        <v>0.16192560175054704</v>
      </c>
      <c r="I60" s="34">
        <v>10292.64705882353</v>
      </c>
      <c r="J60" s="34">
        <v>-8236.4864864864867</v>
      </c>
      <c r="K60" s="33">
        <v>8.771929824561403E-2</v>
      </c>
      <c r="L60" s="33">
        <v>0.32385120350109409</v>
      </c>
      <c r="M60" s="33">
        <v>0.17943107221006566</v>
      </c>
      <c r="N60" s="33">
        <v>0.54729729729729726</v>
      </c>
      <c r="O60" s="33">
        <v>0.45121951219512196</v>
      </c>
      <c r="P60" s="33">
        <v>0.48529411764705882</v>
      </c>
    </row>
    <row r="61" spans="1:16" x14ac:dyDescent="0.45">
      <c r="A61" s="35">
        <v>58</v>
      </c>
      <c r="B61" s="32">
        <v>308.80000000000007</v>
      </c>
      <c r="C61" s="32">
        <v>5.3241379310344836</v>
      </c>
      <c r="D61" s="37">
        <v>1.8793103448275863</v>
      </c>
      <c r="E61" s="33">
        <v>0.43103448275862066</v>
      </c>
      <c r="F61" s="33">
        <v>0.31034482758620691</v>
      </c>
      <c r="G61" s="33">
        <v>0.29677419354838708</v>
      </c>
      <c r="H61" s="33">
        <v>0.16559139784946236</v>
      </c>
      <c r="I61" s="34">
        <v>10410.144927536232</v>
      </c>
      <c r="J61" s="34">
        <v>-8136.363636363636</v>
      </c>
      <c r="K61" s="33">
        <v>8.6206896551724144E-2</v>
      </c>
      <c r="L61" s="33">
        <v>0.32258064516129031</v>
      </c>
      <c r="M61" s="33">
        <v>0.17634408602150536</v>
      </c>
      <c r="N61" s="33">
        <v>0.54666666666666663</v>
      </c>
      <c r="O61" s="33">
        <v>0.45121951219512196</v>
      </c>
      <c r="P61" s="33">
        <v>0.48550724637681159</v>
      </c>
    </row>
    <row r="62" spans="1:16" x14ac:dyDescent="0.45">
      <c r="A62" s="35">
        <v>59</v>
      </c>
      <c r="B62" s="32">
        <v>357.80000000000007</v>
      </c>
      <c r="C62" s="32">
        <v>6.0644067796610184</v>
      </c>
      <c r="D62" s="37">
        <v>1.8644067796610169</v>
      </c>
      <c r="E62" s="33">
        <v>0.44067796610169491</v>
      </c>
      <c r="F62" s="33">
        <v>0.30508474576271188</v>
      </c>
      <c r="G62" s="33">
        <v>0.29916317991631797</v>
      </c>
      <c r="H62" s="33">
        <v>0.16527196652719664</v>
      </c>
      <c r="I62" s="34">
        <v>10469.23076923077</v>
      </c>
      <c r="J62" s="34">
        <v>-8064.5569620253164</v>
      </c>
      <c r="K62" s="33">
        <v>8.4745762711864403E-2</v>
      </c>
      <c r="L62" s="33">
        <v>0.32845188284518828</v>
      </c>
      <c r="M62" s="33">
        <v>0.17782426778242677</v>
      </c>
      <c r="N62" s="33">
        <v>0.55414012738853502</v>
      </c>
      <c r="O62" s="33">
        <v>0.43529411764705883</v>
      </c>
      <c r="P62" s="33">
        <v>0.4825174825174825</v>
      </c>
    </row>
    <row r="63" spans="1:16" x14ac:dyDescent="0.45">
      <c r="A63" s="35">
        <v>60</v>
      </c>
      <c r="B63" s="32">
        <v>364.90000000000009</v>
      </c>
      <c r="C63" s="32">
        <v>6.0816666666666679</v>
      </c>
      <c r="D63" s="37">
        <v>1.8666666666666667</v>
      </c>
      <c r="E63" s="33">
        <v>0.43333333333333335</v>
      </c>
      <c r="F63" s="33">
        <v>0.3</v>
      </c>
      <c r="G63" s="33">
        <v>0.2967479674796748</v>
      </c>
      <c r="H63" s="33">
        <v>0.16666666666666666</v>
      </c>
      <c r="I63" s="34">
        <v>10443.150684931506</v>
      </c>
      <c r="J63" s="34">
        <v>-7893.9024390243903</v>
      </c>
      <c r="K63" s="33">
        <v>8.3333333333333329E-2</v>
      </c>
      <c r="L63" s="33">
        <v>0.32723577235772355</v>
      </c>
      <c r="M63" s="33">
        <v>0.17886178861788618</v>
      </c>
      <c r="N63" s="33">
        <v>0.54658385093167705</v>
      </c>
      <c r="O63" s="33">
        <v>0.44318181818181818</v>
      </c>
      <c r="P63" s="33">
        <v>0.47945205479452052</v>
      </c>
    </row>
    <row r="64" spans="1:16" x14ac:dyDescent="0.45">
      <c r="A64" s="35">
        <v>61</v>
      </c>
      <c r="B64" s="32">
        <v>351.80000000000007</v>
      </c>
      <c r="C64" s="32">
        <v>5.7672131147540995</v>
      </c>
      <c r="D64" s="37">
        <v>1.8688524590163935</v>
      </c>
      <c r="E64" s="33">
        <v>0.42622950819672129</v>
      </c>
      <c r="F64" s="33">
        <v>0.29508196721311475</v>
      </c>
      <c r="G64" s="33">
        <v>0.29365079365079366</v>
      </c>
      <c r="H64" s="33">
        <v>0.16666666666666666</v>
      </c>
      <c r="I64" s="34">
        <v>10410.135135135135</v>
      </c>
      <c r="J64" s="34">
        <v>-7910.7142857142853</v>
      </c>
      <c r="K64" s="33">
        <v>8.1967213114754092E-2</v>
      </c>
      <c r="L64" s="33">
        <v>0.32341269841269843</v>
      </c>
      <c r="M64" s="33">
        <v>0.18055555555555555</v>
      </c>
      <c r="N64" s="33">
        <v>0.54601226993865026</v>
      </c>
      <c r="O64" s="33">
        <v>0.43956043956043955</v>
      </c>
      <c r="P64" s="33">
        <v>0.47297297297297297</v>
      </c>
    </row>
    <row r="65" spans="1:16" x14ac:dyDescent="0.45">
      <c r="A65" s="35">
        <v>62</v>
      </c>
      <c r="B65" s="32">
        <v>338.80000000000007</v>
      </c>
      <c r="C65" s="32">
        <v>5.4645161290322593</v>
      </c>
      <c r="D65" s="37">
        <v>1.8709677419354838</v>
      </c>
      <c r="E65" s="33">
        <v>0.41935483870967744</v>
      </c>
      <c r="F65" s="33">
        <v>0.29032258064516131</v>
      </c>
      <c r="G65" s="33">
        <v>0.29215686274509806</v>
      </c>
      <c r="H65" s="33">
        <v>0.16470588235294117</v>
      </c>
      <c r="I65" s="34">
        <v>10393.959731543624</v>
      </c>
      <c r="J65" s="34">
        <v>-7910.7142857142853</v>
      </c>
      <c r="K65" s="33">
        <v>8.0645161290322578E-2</v>
      </c>
      <c r="L65" s="33">
        <v>0.32156862745098042</v>
      </c>
      <c r="M65" s="33">
        <v>0.17843137254901961</v>
      </c>
      <c r="N65" s="33">
        <v>0.54878048780487809</v>
      </c>
      <c r="O65" s="33">
        <v>0.43956043956043955</v>
      </c>
      <c r="P65" s="33">
        <v>0.46979865771812079</v>
      </c>
    </row>
    <row r="66" spans="1:16" x14ac:dyDescent="0.45">
      <c r="A66" s="35">
        <v>63</v>
      </c>
      <c r="B66" s="32">
        <v>319.30000000000007</v>
      </c>
      <c r="C66" s="32">
        <v>5.0682539682539689</v>
      </c>
      <c r="D66" s="37">
        <v>1.8888888888888888</v>
      </c>
      <c r="E66" s="33">
        <v>0.41269841269841268</v>
      </c>
      <c r="F66" s="33">
        <v>0.30158730158730157</v>
      </c>
      <c r="G66" s="33">
        <v>0.28875968992248063</v>
      </c>
      <c r="H66" s="33">
        <v>0.16279069767441862</v>
      </c>
      <c r="I66" s="34">
        <v>10393.959731543624</v>
      </c>
      <c r="J66" s="34">
        <v>-7910.7142857142853</v>
      </c>
      <c r="K66" s="33">
        <v>7.9365079365079361E-2</v>
      </c>
      <c r="L66" s="33">
        <v>0.31782945736434109</v>
      </c>
      <c r="M66" s="33">
        <v>0.17635658914728683</v>
      </c>
      <c r="N66" s="33">
        <v>0.54878048780487809</v>
      </c>
      <c r="O66" s="33">
        <v>0.43956043956043955</v>
      </c>
      <c r="P66" s="33">
        <v>0.46979865771812079</v>
      </c>
    </row>
    <row r="67" spans="1:16" x14ac:dyDescent="0.45">
      <c r="A67" s="35">
        <v>64</v>
      </c>
      <c r="B67" s="32">
        <v>273.80000000000007</v>
      </c>
      <c r="C67" s="32">
        <v>4.2781250000000011</v>
      </c>
      <c r="D67" s="37">
        <v>1.90625</v>
      </c>
      <c r="E67" s="33">
        <v>0.40625</v>
      </c>
      <c r="F67" s="33">
        <v>0.3125</v>
      </c>
      <c r="G67" s="33">
        <v>0.28680688336520077</v>
      </c>
      <c r="H67" s="33">
        <v>0.16252390057361377</v>
      </c>
      <c r="I67" s="34">
        <v>10343.333333333334</v>
      </c>
      <c r="J67" s="34">
        <v>-8100</v>
      </c>
      <c r="K67" s="33">
        <v>9.375E-2</v>
      </c>
      <c r="L67" s="33">
        <v>0.31739961759082219</v>
      </c>
      <c r="M67" s="33">
        <v>0.17782026768642448</v>
      </c>
      <c r="N67" s="33">
        <v>0.54819277108433739</v>
      </c>
      <c r="O67" s="33">
        <v>0.43010752688172044</v>
      </c>
      <c r="P67" s="33">
        <v>0.47333333333333333</v>
      </c>
    </row>
    <row r="68" spans="1:16" x14ac:dyDescent="0.45">
      <c r="A68" s="35">
        <v>65</v>
      </c>
      <c r="B68" s="32">
        <v>333.00000000000006</v>
      </c>
      <c r="C68" s="32">
        <v>5.1230769230769235</v>
      </c>
      <c r="D68" s="37">
        <v>1.8923076923076922</v>
      </c>
      <c r="E68" s="33">
        <v>0.41538461538461541</v>
      </c>
      <c r="F68" s="33">
        <v>0.30769230769230771</v>
      </c>
      <c r="G68" s="33">
        <v>0.29190207156308851</v>
      </c>
      <c r="H68" s="33">
        <v>0.160075329566855</v>
      </c>
      <c r="I68" s="34">
        <v>10343.225806451614</v>
      </c>
      <c r="J68" s="34">
        <v>-8100</v>
      </c>
      <c r="K68" s="33">
        <v>9.2307692307692313E-2</v>
      </c>
      <c r="L68" s="33">
        <v>0.31826741996233521</v>
      </c>
      <c r="M68" s="33">
        <v>0.17890772128060264</v>
      </c>
      <c r="N68" s="33">
        <v>0.55621301775147924</v>
      </c>
      <c r="O68" s="33">
        <v>0.44210526315789472</v>
      </c>
      <c r="P68" s="33">
        <v>0.47741935483870968</v>
      </c>
    </row>
    <row r="69" spans="1:16" x14ac:dyDescent="0.45">
      <c r="A69" s="35">
        <v>66</v>
      </c>
      <c r="B69" s="32">
        <v>368.80000000000007</v>
      </c>
      <c r="C69" s="32">
        <v>5.5878787878787888</v>
      </c>
      <c r="D69" s="37">
        <v>1.8787878787878789</v>
      </c>
      <c r="E69" s="33">
        <v>0.42424242424242425</v>
      </c>
      <c r="F69" s="33">
        <v>0.30303030303030304</v>
      </c>
      <c r="G69" s="33">
        <v>0.29281767955801102</v>
      </c>
      <c r="H69" s="33">
        <v>0.16022099447513813</v>
      </c>
      <c r="I69" s="34">
        <v>10433.333333333334</v>
      </c>
      <c r="J69" s="34">
        <v>-8096.5517241379312</v>
      </c>
      <c r="K69" s="33">
        <v>9.0909090909090912E-2</v>
      </c>
      <c r="L69" s="33">
        <v>0.31860036832412525</v>
      </c>
      <c r="M69" s="33">
        <v>0.17863720073664824</v>
      </c>
      <c r="N69" s="33">
        <v>0.56069364161849711</v>
      </c>
      <c r="O69" s="33">
        <v>0.44329896907216493</v>
      </c>
      <c r="P69" s="33">
        <v>0.47169811320754718</v>
      </c>
    </row>
    <row r="70" spans="1:16" x14ac:dyDescent="0.45">
      <c r="A70" s="35">
        <v>67</v>
      </c>
      <c r="B70" s="32">
        <v>360.90000000000009</v>
      </c>
      <c r="C70" s="32">
        <v>5.3865671641791062</v>
      </c>
      <c r="D70" s="37">
        <v>1.8805970149253732</v>
      </c>
      <c r="E70" s="33">
        <v>0.41791044776119401</v>
      </c>
      <c r="F70" s="33">
        <v>0.29850746268656714</v>
      </c>
      <c r="G70" s="33">
        <v>0.29038112522686027</v>
      </c>
      <c r="H70" s="33">
        <v>0.16152450090744103</v>
      </c>
      <c r="I70" s="34">
        <v>10393.125</v>
      </c>
      <c r="J70" s="34">
        <v>-7965.1685393258431</v>
      </c>
      <c r="K70" s="33">
        <v>8.9552238805970144E-2</v>
      </c>
      <c r="L70" s="33">
        <v>0.31760435571687839</v>
      </c>
      <c r="M70" s="33">
        <v>0.17785843920145192</v>
      </c>
      <c r="N70" s="33">
        <v>0.55428571428571427</v>
      </c>
      <c r="O70" s="33">
        <v>0.44897959183673469</v>
      </c>
      <c r="P70" s="33">
        <v>0.47499999999999998</v>
      </c>
    </row>
    <row r="71" spans="1:16" x14ac:dyDescent="0.45">
      <c r="A71" s="35">
        <v>68</v>
      </c>
      <c r="B71" s="32">
        <v>458.00000000000011</v>
      </c>
      <c r="C71" s="32">
        <v>6.7352941176470607</v>
      </c>
      <c r="D71" s="37">
        <v>1.8676470588235294</v>
      </c>
      <c r="E71" s="33">
        <v>0.4264705882352941</v>
      </c>
      <c r="F71" s="33">
        <v>0.29411764705882354</v>
      </c>
      <c r="G71" s="33">
        <v>0.29390681003584229</v>
      </c>
      <c r="H71" s="33">
        <v>0.15949820788530467</v>
      </c>
      <c r="I71" s="34">
        <v>10662.195121951219</v>
      </c>
      <c r="J71" s="34">
        <v>-7965.1685393258431</v>
      </c>
      <c r="K71" s="33">
        <v>8.8235294117647065E-2</v>
      </c>
      <c r="L71" s="33">
        <v>0.31899641577060933</v>
      </c>
      <c r="M71" s="33">
        <v>0.17921146953405018</v>
      </c>
      <c r="N71" s="33">
        <v>0.5561797752808989</v>
      </c>
      <c r="O71" s="33">
        <v>0.45</v>
      </c>
      <c r="P71" s="33">
        <v>0.48170731707317072</v>
      </c>
    </row>
    <row r="72" spans="1:16" x14ac:dyDescent="0.45">
      <c r="A72" s="35">
        <v>69</v>
      </c>
      <c r="B72" s="32">
        <v>455.2000000000001</v>
      </c>
      <c r="C72" s="32">
        <v>6.5971014492753639</v>
      </c>
      <c r="D72" s="37">
        <v>1.8695652173913044</v>
      </c>
      <c r="E72" s="33">
        <v>0.42028985507246375</v>
      </c>
      <c r="F72" s="33">
        <v>0.28985507246376813</v>
      </c>
      <c r="G72" s="33">
        <v>0.29151943462897528</v>
      </c>
      <c r="H72" s="33">
        <v>0.16077738515901061</v>
      </c>
      <c r="I72" s="34">
        <v>10694.545454545454</v>
      </c>
      <c r="J72" s="34">
        <v>-7861.5384615384619</v>
      </c>
      <c r="K72" s="33">
        <v>8.6956521739130432E-2</v>
      </c>
      <c r="L72" s="33">
        <v>0.31802120141342755</v>
      </c>
      <c r="M72" s="33">
        <v>0.17667844522968199</v>
      </c>
      <c r="N72" s="33">
        <v>0.55555555555555558</v>
      </c>
      <c r="O72" s="33">
        <v>0.45</v>
      </c>
      <c r="P72" s="33">
        <v>0.48484848484848486</v>
      </c>
    </row>
    <row r="73" spans="1:16" x14ac:dyDescent="0.45">
      <c r="A73" s="35">
        <v>70</v>
      </c>
      <c r="B73" s="32">
        <v>422.90000000000009</v>
      </c>
      <c r="C73" s="32">
        <v>6.0414285714285727</v>
      </c>
      <c r="D73" s="37">
        <v>1.8857142857142857</v>
      </c>
      <c r="E73" s="33">
        <v>0.41428571428571431</v>
      </c>
      <c r="F73" s="33">
        <v>0.3</v>
      </c>
      <c r="G73" s="33">
        <v>0.28919860627177701</v>
      </c>
      <c r="H73" s="33">
        <v>0.16376306620209058</v>
      </c>
      <c r="I73" s="34">
        <v>10702.409638554216</v>
      </c>
      <c r="J73" s="34">
        <v>-7844.6808510638302</v>
      </c>
      <c r="K73" s="33">
        <v>8.5714285714285715E-2</v>
      </c>
      <c r="L73" s="33">
        <v>0.31533101045296169</v>
      </c>
      <c r="M73" s="33">
        <v>0.17944250871080139</v>
      </c>
      <c r="N73" s="33">
        <v>0.55801104972375692</v>
      </c>
      <c r="O73" s="33">
        <v>0.43689320388349512</v>
      </c>
      <c r="P73" s="33">
        <v>0.48192771084337349</v>
      </c>
    </row>
    <row r="74" spans="1:16" x14ac:dyDescent="0.45">
      <c r="A74" s="35">
        <v>71</v>
      </c>
      <c r="B74" s="32">
        <v>435.7000000000001</v>
      </c>
      <c r="C74" s="32">
        <v>6.136619718309861</v>
      </c>
      <c r="D74" s="37">
        <v>1.8873239436619718</v>
      </c>
      <c r="E74" s="33">
        <v>0.40845070422535212</v>
      </c>
      <c r="F74" s="33">
        <v>0.29577464788732394</v>
      </c>
      <c r="G74" s="33">
        <v>0.28942807625649913</v>
      </c>
      <c r="H74" s="33">
        <v>0.16464471403812825</v>
      </c>
      <c r="I74" s="34">
        <v>10746.107784431138</v>
      </c>
      <c r="J74" s="34">
        <v>-7816.8421052631575</v>
      </c>
      <c r="K74" s="33">
        <v>8.4507042253521125E-2</v>
      </c>
      <c r="L74" s="33">
        <v>0.31715771230502598</v>
      </c>
      <c r="M74" s="33">
        <v>0.17850953206239167</v>
      </c>
      <c r="N74" s="33">
        <v>0.55737704918032782</v>
      </c>
      <c r="O74" s="33">
        <v>0.43689320388349512</v>
      </c>
      <c r="P74" s="33">
        <v>0.47904191616766467</v>
      </c>
    </row>
    <row r="75" spans="1:16" x14ac:dyDescent="0.45">
      <c r="A75" s="35">
        <v>72</v>
      </c>
      <c r="B75" s="32">
        <v>466.40000000000009</v>
      </c>
      <c r="C75" s="32">
        <v>6.4777777777777787</v>
      </c>
      <c r="D75" s="37">
        <v>1.875</v>
      </c>
      <c r="E75" s="33">
        <v>0.41666666666666669</v>
      </c>
      <c r="F75" s="33">
        <v>0.29166666666666669</v>
      </c>
      <c r="G75" s="33">
        <v>0.2910958904109589</v>
      </c>
      <c r="H75" s="33">
        <v>0.16438356164383561</v>
      </c>
      <c r="I75" s="34">
        <v>10813.529411764706</v>
      </c>
      <c r="J75" s="34">
        <v>-7860.416666666667</v>
      </c>
      <c r="K75" s="33">
        <v>8.3333333333333329E-2</v>
      </c>
      <c r="L75" s="33">
        <v>0.3202054794520548</v>
      </c>
      <c r="M75" s="33">
        <v>0.17636986301369864</v>
      </c>
      <c r="N75" s="33">
        <v>0.56149732620320858</v>
      </c>
      <c r="O75" s="33">
        <v>0.43689320388349512</v>
      </c>
      <c r="P75" s="33">
        <v>0.47647058823529409</v>
      </c>
    </row>
    <row r="76" spans="1:16" x14ac:dyDescent="0.45">
      <c r="A76" s="35">
        <v>73</v>
      </c>
      <c r="B76" s="32">
        <v>406.10000000000008</v>
      </c>
      <c r="C76" s="32">
        <v>5.5630136986301384</v>
      </c>
      <c r="D76" s="37">
        <v>1.8904109589041096</v>
      </c>
      <c r="E76" s="33">
        <v>0.41095890410958902</v>
      </c>
      <c r="F76" s="33">
        <v>0.30136986301369861</v>
      </c>
      <c r="G76" s="33">
        <v>0.29010238907849828</v>
      </c>
      <c r="H76" s="33">
        <v>0.16723549488054607</v>
      </c>
      <c r="I76" s="34">
        <v>10813.529411764706</v>
      </c>
      <c r="J76" s="34">
        <v>-8203.0612244897966</v>
      </c>
      <c r="K76" s="33">
        <v>9.5890410958904104E-2</v>
      </c>
      <c r="L76" s="33">
        <v>0.32081911262798635</v>
      </c>
      <c r="M76" s="33">
        <v>0.17576791808873721</v>
      </c>
      <c r="N76" s="33">
        <v>0.55851063829787229</v>
      </c>
      <c r="O76" s="33">
        <v>0.43689320388349512</v>
      </c>
      <c r="P76" s="33">
        <v>0.47647058823529409</v>
      </c>
    </row>
    <row r="77" spans="1:16" x14ac:dyDescent="0.45">
      <c r="A77" s="35">
        <v>74</v>
      </c>
      <c r="B77" s="32">
        <v>360.50000000000006</v>
      </c>
      <c r="C77" s="32">
        <v>4.8716216216216228</v>
      </c>
      <c r="D77" s="37">
        <v>1.9054054054054055</v>
      </c>
      <c r="E77" s="33">
        <v>0.40540540540540543</v>
      </c>
      <c r="F77" s="33">
        <v>0.3108108108108108</v>
      </c>
      <c r="G77" s="33">
        <v>0.28667790893760542</v>
      </c>
      <c r="H77" s="33">
        <v>0.16863406408094436</v>
      </c>
      <c r="I77" s="34">
        <v>10813.529411764706</v>
      </c>
      <c r="J77" s="34">
        <v>-8175</v>
      </c>
      <c r="K77" s="33">
        <v>0.10810810810810811</v>
      </c>
      <c r="L77" s="33">
        <v>0.31871838111298484</v>
      </c>
      <c r="M77" s="33">
        <v>0.17537942664418213</v>
      </c>
      <c r="N77" s="33">
        <v>0.55555555555555558</v>
      </c>
      <c r="O77" s="33">
        <v>0.43269230769230771</v>
      </c>
      <c r="P77" s="33">
        <v>0.47647058823529409</v>
      </c>
    </row>
    <row r="78" spans="1:16" x14ac:dyDescent="0.45">
      <c r="A78" s="35">
        <v>75</v>
      </c>
      <c r="B78" s="32">
        <v>332.60000000000008</v>
      </c>
      <c r="C78" s="32">
        <v>4.4346666666666676</v>
      </c>
      <c r="D78" s="37">
        <v>1.92</v>
      </c>
      <c r="E78" s="33">
        <v>0.4</v>
      </c>
      <c r="F78" s="33">
        <v>0.32</v>
      </c>
      <c r="G78" s="33">
        <v>0.28476821192052981</v>
      </c>
      <c r="H78" s="33">
        <v>0.16721854304635761</v>
      </c>
      <c r="I78" s="34">
        <v>10850.581395348838</v>
      </c>
      <c r="J78" s="34">
        <v>-8212.8712871287134</v>
      </c>
      <c r="K78" s="33">
        <v>0.10666666666666667</v>
      </c>
      <c r="L78" s="33">
        <v>0.31788079470198677</v>
      </c>
      <c r="M78" s="33">
        <v>0.17549668874172186</v>
      </c>
      <c r="N78" s="33">
        <v>0.55208333333333337</v>
      </c>
      <c r="O78" s="33">
        <v>0.42452830188679247</v>
      </c>
      <c r="P78" s="33">
        <v>0.47674418604651164</v>
      </c>
    </row>
    <row r="79" spans="1:16" x14ac:dyDescent="0.45">
      <c r="A79" s="35">
        <v>76</v>
      </c>
      <c r="B79" s="32">
        <v>325.7000000000001</v>
      </c>
      <c r="C79" s="32">
        <v>4.2855263157894754</v>
      </c>
      <c r="D79" s="37">
        <v>1.9210526315789473</v>
      </c>
      <c r="E79" s="33">
        <v>0.39473684210526316</v>
      </c>
      <c r="F79" s="33">
        <v>0.31578947368421051</v>
      </c>
      <c r="G79" s="33">
        <v>0.28431372549019607</v>
      </c>
      <c r="H79" s="33">
        <v>0.16993464052287582</v>
      </c>
      <c r="I79" s="34">
        <v>10798.275862068966</v>
      </c>
      <c r="J79" s="34">
        <v>-8158.6538461538457</v>
      </c>
      <c r="K79" s="33">
        <v>0.10526315789473684</v>
      </c>
      <c r="L79" s="33">
        <v>0.315359477124183</v>
      </c>
      <c r="M79" s="33">
        <v>0.1781045751633987</v>
      </c>
      <c r="N79" s="33">
        <v>0.54922279792746109</v>
      </c>
      <c r="O79" s="33">
        <v>0.42201834862385323</v>
      </c>
      <c r="P79" s="33">
        <v>0.48275862068965519</v>
      </c>
    </row>
    <row r="80" spans="1:16" x14ac:dyDescent="0.45">
      <c r="A80" s="35">
        <v>77</v>
      </c>
      <c r="B80" s="32">
        <v>368.00000000000011</v>
      </c>
      <c r="C80" s="32">
        <v>4.7792207792207808</v>
      </c>
      <c r="D80" s="37">
        <v>1.9090909090909092</v>
      </c>
      <c r="E80" s="33">
        <v>0.40259740259740262</v>
      </c>
      <c r="F80" s="33">
        <v>0.31168831168831168</v>
      </c>
      <c r="G80" s="33">
        <v>0.28640776699029125</v>
      </c>
      <c r="H80" s="33">
        <v>0.16828478964401294</v>
      </c>
      <c r="I80" s="34">
        <v>10852.542372881357</v>
      </c>
      <c r="J80" s="34">
        <v>-8158.6538461538457</v>
      </c>
      <c r="K80" s="33">
        <v>0.1038961038961039</v>
      </c>
      <c r="L80" s="33">
        <v>0.31877022653721682</v>
      </c>
      <c r="M80" s="33">
        <v>0.17637540453074432</v>
      </c>
      <c r="N80" s="33">
        <v>0.5532994923857868</v>
      </c>
      <c r="O80" s="33">
        <v>0.42201834862385323</v>
      </c>
      <c r="P80" s="33">
        <v>0.48587570621468928</v>
      </c>
    </row>
    <row r="81" spans="1:16" x14ac:dyDescent="0.45">
      <c r="A81" s="35">
        <v>78</v>
      </c>
      <c r="B81" s="32">
        <v>312.50000000000011</v>
      </c>
      <c r="C81" s="32">
        <v>4.0064102564102582</v>
      </c>
      <c r="D81" s="37">
        <v>1.9230769230769231</v>
      </c>
      <c r="E81" s="33">
        <v>0.39743589743589741</v>
      </c>
      <c r="F81" s="33">
        <v>0.32051282051282054</v>
      </c>
      <c r="G81" s="33">
        <v>0.28389154704944181</v>
      </c>
      <c r="H81" s="33">
        <v>0.17224880382775121</v>
      </c>
      <c r="I81" s="34">
        <v>10858.988764044943</v>
      </c>
      <c r="J81" s="34">
        <v>-8263.8888888888887</v>
      </c>
      <c r="K81" s="33">
        <v>0.11538461538461539</v>
      </c>
      <c r="L81" s="33">
        <v>0.31897926634768742</v>
      </c>
      <c r="M81" s="33">
        <v>0.17543859649122806</v>
      </c>
      <c r="N81" s="33">
        <v>0.55000000000000004</v>
      </c>
      <c r="O81" s="33">
        <v>0.41818181818181815</v>
      </c>
      <c r="P81" s="33">
        <v>0.4887640449438202</v>
      </c>
    </row>
    <row r="82" spans="1:16" x14ac:dyDescent="0.45">
      <c r="A82" s="35">
        <v>79</v>
      </c>
      <c r="B82" s="32">
        <v>263.80000000000013</v>
      </c>
      <c r="C82" s="32">
        <v>3.3392405063291153</v>
      </c>
      <c r="D82" s="37">
        <v>1.9367088607594938</v>
      </c>
      <c r="E82" s="33">
        <v>0.39240506329113922</v>
      </c>
      <c r="F82" s="33">
        <v>0.32911392405063289</v>
      </c>
      <c r="G82" s="33">
        <v>0.28031496062992128</v>
      </c>
      <c r="H82" s="33">
        <v>0.17322834645669291</v>
      </c>
      <c r="I82" s="34">
        <v>10858.988764044943</v>
      </c>
      <c r="J82" s="34">
        <v>-8233.636363636364</v>
      </c>
      <c r="K82" s="33">
        <v>0.12658227848101267</v>
      </c>
      <c r="L82" s="33">
        <v>0.31653543307086612</v>
      </c>
      <c r="M82" s="33">
        <v>0.17480314960629922</v>
      </c>
      <c r="N82" s="33">
        <v>0.54726368159203975</v>
      </c>
      <c r="O82" s="33">
        <v>0.4144144144144144</v>
      </c>
      <c r="P82" s="33">
        <v>0.4887640449438202</v>
      </c>
    </row>
    <row r="83" spans="1:16" x14ac:dyDescent="0.45">
      <c r="A83" s="35">
        <v>80</v>
      </c>
      <c r="B83" s="32">
        <v>245.50000000000011</v>
      </c>
      <c r="C83" s="32">
        <v>3.0687500000000014</v>
      </c>
      <c r="D83" s="37">
        <v>1.95</v>
      </c>
      <c r="E83" s="33">
        <v>0.38750000000000001</v>
      </c>
      <c r="F83" s="33">
        <v>0.33750000000000002</v>
      </c>
      <c r="G83" s="33">
        <v>0.27906976744186046</v>
      </c>
      <c r="H83" s="33">
        <v>0.17674418604651163</v>
      </c>
      <c r="I83" s="34">
        <v>10849.444444444445</v>
      </c>
      <c r="J83" s="34">
        <v>-8083.333333333333</v>
      </c>
      <c r="K83" s="33">
        <v>0.125</v>
      </c>
      <c r="L83" s="33">
        <v>0.31627906976744186</v>
      </c>
      <c r="M83" s="33">
        <v>0.17674418604651163</v>
      </c>
      <c r="N83" s="33">
        <v>0.54411764705882348</v>
      </c>
      <c r="O83" s="33">
        <v>0.40350877192982454</v>
      </c>
      <c r="P83" s="33">
        <v>0.49444444444444446</v>
      </c>
    </row>
    <row r="84" spans="1:16" x14ac:dyDescent="0.45">
      <c r="A84" s="35">
        <v>81</v>
      </c>
      <c r="B84" s="32">
        <v>200.30000000000013</v>
      </c>
      <c r="C84" s="32">
        <v>2.472839506172841</v>
      </c>
      <c r="D84" s="37">
        <v>1.962962962962963</v>
      </c>
      <c r="E84" s="33">
        <v>0.38271604938271603</v>
      </c>
      <c r="F84" s="33">
        <v>0.34567901234567899</v>
      </c>
      <c r="G84" s="33">
        <v>0.27981651376146788</v>
      </c>
      <c r="H84" s="33">
        <v>0.17737003058103976</v>
      </c>
      <c r="I84" s="34">
        <v>10812.021857923497</v>
      </c>
      <c r="J84" s="34">
        <v>-8375</v>
      </c>
      <c r="K84" s="33">
        <v>0.13580246913580246</v>
      </c>
      <c r="L84" s="33">
        <v>0.3165137614678899</v>
      </c>
      <c r="M84" s="33">
        <v>0.1743119266055046</v>
      </c>
      <c r="N84" s="33">
        <v>0.54589371980676327</v>
      </c>
      <c r="O84" s="33">
        <v>0.40350877192982454</v>
      </c>
      <c r="P84" s="33">
        <v>0.49180327868852458</v>
      </c>
    </row>
    <row r="85" spans="1:16" x14ac:dyDescent="0.45">
      <c r="A85" s="35">
        <v>82</v>
      </c>
      <c r="B85" s="32">
        <v>229.10000000000014</v>
      </c>
      <c r="C85" s="32">
        <v>2.7939024390243921</v>
      </c>
      <c r="D85" s="37">
        <v>1.9512195121951219</v>
      </c>
      <c r="E85" s="33">
        <v>0.3902439024390244</v>
      </c>
      <c r="F85" s="33">
        <v>0.34146341463414637</v>
      </c>
      <c r="G85" s="33">
        <v>0.28290468986384265</v>
      </c>
      <c r="H85" s="33">
        <v>0.17700453857791226</v>
      </c>
      <c r="I85" s="34">
        <v>10767.379679144386</v>
      </c>
      <c r="J85" s="34">
        <v>-8405.9829059829062</v>
      </c>
      <c r="K85" s="33">
        <v>0.13414634146341464</v>
      </c>
      <c r="L85" s="33">
        <v>0.31618759455370649</v>
      </c>
      <c r="M85" s="33">
        <v>0.17397881996974282</v>
      </c>
      <c r="N85" s="33">
        <v>0.55023923444976075</v>
      </c>
      <c r="O85" s="33">
        <v>0.40869565217391307</v>
      </c>
      <c r="P85" s="33">
        <v>0.49732620320855614</v>
      </c>
    </row>
    <row r="86" spans="1:16" x14ac:dyDescent="0.45">
      <c r="A86" s="35">
        <v>83</v>
      </c>
      <c r="B86" s="32">
        <v>230.70000000000013</v>
      </c>
      <c r="C86" s="32">
        <v>2.7795180722891581</v>
      </c>
      <c r="D86" s="37">
        <v>1.9518072289156627</v>
      </c>
      <c r="E86" s="33">
        <v>0.38554216867469882</v>
      </c>
      <c r="F86" s="33">
        <v>0.33734939759036142</v>
      </c>
      <c r="G86" s="33">
        <v>0.28083209509658247</v>
      </c>
      <c r="H86" s="33">
        <v>0.17682020802377416</v>
      </c>
      <c r="I86" s="34">
        <v>10780.42328042328</v>
      </c>
      <c r="J86" s="34">
        <v>-8356.3025210084033</v>
      </c>
      <c r="K86" s="33">
        <v>0.13253012048192772</v>
      </c>
      <c r="L86" s="33">
        <v>0.31500742942050519</v>
      </c>
      <c r="M86" s="33">
        <v>0.17236255572065379</v>
      </c>
      <c r="N86" s="33">
        <v>0.55188679245283023</v>
      </c>
      <c r="O86" s="33">
        <v>0.40517241379310343</v>
      </c>
      <c r="P86" s="33">
        <v>0.49735449735449733</v>
      </c>
    </row>
    <row r="87" spans="1:16" x14ac:dyDescent="0.45">
      <c r="A87" s="35">
        <v>84</v>
      </c>
      <c r="B87" s="32">
        <v>201.10000000000014</v>
      </c>
      <c r="C87" s="32">
        <v>2.3940476190476208</v>
      </c>
      <c r="D87" s="37">
        <v>1.9523809523809523</v>
      </c>
      <c r="E87" s="33">
        <v>0.38095238095238093</v>
      </c>
      <c r="F87" s="33">
        <v>0.33333333333333331</v>
      </c>
      <c r="G87" s="33">
        <v>0.27941176470588236</v>
      </c>
      <c r="H87" s="33">
        <v>0.17647058823529413</v>
      </c>
      <c r="I87" s="34">
        <v>10786.842105263158</v>
      </c>
      <c r="J87" s="34">
        <v>-8383.3333333333339</v>
      </c>
      <c r="K87" s="33">
        <v>0.13095238095238096</v>
      </c>
      <c r="L87" s="33">
        <v>0.31617647058823528</v>
      </c>
      <c r="M87" s="33">
        <v>0.17058823529411765</v>
      </c>
      <c r="N87" s="33">
        <v>0.5488372093023256</v>
      </c>
      <c r="O87" s="33">
        <v>0.40517241379310343</v>
      </c>
      <c r="P87" s="33">
        <v>0.5</v>
      </c>
    </row>
    <row r="88" spans="1:16" x14ac:dyDescent="0.45">
      <c r="A88" s="35">
        <v>85</v>
      </c>
      <c r="B88" s="32">
        <v>200.20000000000013</v>
      </c>
      <c r="C88" s="32">
        <v>2.3552941176470603</v>
      </c>
      <c r="D88" s="37">
        <v>1.9529411764705882</v>
      </c>
      <c r="E88" s="33">
        <v>0.37647058823529411</v>
      </c>
      <c r="F88" s="33">
        <v>0.32941176470588235</v>
      </c>
      <c r="G88" s="33">
        <v>0.27826086956521739</v>
      </c>
      <c r="H88" s="33">
        <v>0.17826086956521739</v>
      </c>
      <c r="I88" s="34">
        <v>10893.229166666666</v>
      </c>
      <c r="J88" s="34">
        <v>-8391.0569105691065</v>
      </c>
      <c r="K88" s="33">
        <v>0.12941176470588237</v>
      </c>
      <c r="L88" s="33">
        <v>0.31304347826086959</v>
      </c>
      <c r="M88" s="33">
        <v>0.17101449275362318</v>
      </c>
      <c r="N88" s="33">
        <v>0.55092592592592593</v>
      </c>
      <c r="O88" s="33">
        <v>0.40677966101694918</v>
      </c>
      <c r="P88" s="33">
        <v>0.50520833333333337</v>
      </c>
    </row>
    <row r="89" spans="1:16" x14ac:dyDescent="0.45">
      <c r="A89" s="35">
        <v>86</v>
      </c>
      <c r="B89" s="32">
        <v>211.70000000000013</v>
      </c>
      <c r="C89" s="32">
        <v>2.4616279069767457</v>
      </c>
      <c r="D89" s="37">
        <v>1.9534883720930232</v>
      </c>
      <c r="E89" s="33">
        <v>0.37209302325581395</v>
      </c>
      <c r="F89" s="33">
        <v>0.32558139534883723</v>
      </c>
      <c r="G89" s="33">
        <v>0.27936962750716332</v>
      </c>
      <c r="H89" s="33">
        <v>0.17765042979942694</v>
      </c>
      <c r="I89" s="34">
        <v>10961.538461538461</v>
      </c>
      <c r="J89" s="34">
        <v>-8581.4516129032254</v>
      </c>
      <c r="K89" s="33">
        <v>0.12790697674418605</v>
      </c>
      <c r="L89" s="33">
        <v>0.31088825214899712</v>
      </c>
      <c r="M89" s="33">
        <v>0.16905444126074498</v>
      </c>
      <c r="N89" s="33">
        <v>0.55299539170506917</v>
      </c>
      <c r="O89" s="33">
        <v>0.40677966101694918</v>
      </c>
      <c r="P89" s="33">
        <v>0.51282051282051277</v>
      </c>
    </row>
    <row r="90" spans="1:16" x14ac:dyDescent="0.45">
      <c r="A90" s="35">
        <v>87</v>
      </c>
      <c r="B90" s="32">
        <v>186.30000000000013</v>
      </c>
      <c r="C90" s="32">
        <v>2.1413793103448291</v>
      </c>
      <c r="D90" s="37">
        <v>1.9655172413793103</v>
      </c>
      <c r="E90" s="33">
        <v>0.36781609195402298</v>
      </c>
      <c r="F90" s="33">
        <v>0.33333333333333331</v>
      </c>
      <c r="G90" s="33">
        <v>0.27659574468085107</v>
      </c>
      <c r="H90" s="33">
        <v>0.17872340425531916</v>
      </c>
      <c r="I90" s="34">
        <v>10961.538461538461</v>
      </c>
      <c r="J90" s="34">
        <v>-8529.3650793650795</v>
      </c>
      <c r="K90" s="33">
        <v>0.12643678160919541</v>
      </c>
      <c r="L90" s="33">
        <v>0.31063829787234043</v>
      </c>
      <c r="M90" s="33">
        <v>0.1702127659574468</v>
      </c>
      <c r="N90" s="33">
        <v>0.54794520547945202</v>
      </c>
      <c r="O90" s="33">
        <v>0.4</v>
      </c>
      <c r="P90" s="33">
        <v>0.51282051282051277</v>
      </c>
    </row>
    <row r="91" spans="1:16" x14ac:dyDescent="0.45">
      <c r="A91" s="35">
        <v>88</v>
      </c>
      <c r="B91" s="32">
        <v>163.60000000000014</v>
      </c>
      <c r="C91" s="32">
        <v>1.8590909090909107</v>
      </c>
      <c r="D91" s="37">
        <v>1.9772727272727273</v>
      </c>
      <c r="E91" s="33">
        <v>0.36363636363636365</v>
      </c>
      <c r="F91" s="33">
        <v>0.34090909090909088</v>
      </c>
      <c r="G91" s="33">
        <v>0.27591036414565828</v>
      </c>
      <c r="H91" s="33">
        <v>0.18067226890756302</v>
      </c>
      <c r="I91" s="34">
        <v>10904.060913705584</v>
      </c>
      <c r="J91" s="34">
        <v>-8453.4883720930229</v>
      </c>
      <c r="K91" s="33">
        <v>0.125</v>
      </c>
      <c r="L91" s="33">
        <v>0.31092436974789917</v>
      </c>
      <c r="M91" s="33">
        <v>0.17086834733893558</v>
      </c>
      <c r="N91" s="33">
        <v>0.54504504504504503</v>
      </c>
      <c r="O91" s="33">
        <v>0.40163934426229508</v>
      </c>
      <c r="P91" s="33">
        <v>0.51776649746192893</v>
      </c>
    </row>
    <row r="92" spans="1:16" x14ac:dyDescent="0.45">
      <c r="A92" s="35">
        <v>89</v>
      </c>
      <c r="B92" s="32">
        <v>188.60000000000014</v>
      </c>
      <c r="C92" s="32">
        <v>2.1191011235955073</v>
      </c>
      <c r="D92" s="37">
        <v>1.9662921348314606</v>
      </c>
      <c r="E92" s="33">
        <v>0.3707865168539326</v>
      </c>
      <c r="F92" s="33">
        <v>0.33707865168539325</v>
      </c>
      <c r="G92" s="33">
        <v>0.27524204702627941</v>
      </c>
      <c r="H92" s="33">
        <v>0.17980636237897649</v>
      </c>
      <c r="I92" s="34">
        <v>10915.075376884422</v>
      </c>
      <c r="J92" s="34">
        <v>-8403.8461538461543</v>
      </c>
      <c r="K92" s="33">
        <v>0.12359550561797752</v>
      </c>
      <c r="L92" s="33">
        <v>0.31258644536652835</v>
      </c>
      <c r="M92" s="33">
        <v>0.17012448132780084</v>
      </c>
      <c r="N92" s="33">
        <v>0.54424778761061943</v>
      </c>
      <c r="O92" s="33">
        <v>0.3983739837398374</v>
      </c>
      <c r="P92" s="33">
        <v>0.52261306532663321</v>
      </c>
    </row>
    <row r="93" spans="1:16" x14ac:dyDescent="0.45">
      <c r="A93" s="35">
        <v>90</v>
      </c>
      <c r="B93" s="32">
        <v>236.10000000000014</v>
      </c>
      <c r="C93" s="32">
        <v>2.6233333333333348</v>
      </c>
      <c r="D93" s="37">
        <v>1.9555555555555555</v>
      </c>
      <c r="E93" s="33">
        <v>0.37777777777777777</v>
      </c>
      <c r="F93" s="33">
        <v>0.33333333333333331</v>
      </c>
      <c r="G93" s="33">
        <v>0.27747252747252749</v>
      </c>
      <c r="H93" s="33">
        <v>0.17857142857142858</v>
      </c>
      <c r="I93" s="34">
        <v>10921.287128712871</v>
      </c>
      <c r="J93" s="34">
        <v>-8403.8461538461543</v>
      </c>
      <c r="K93" s="33">
        <v>0.12222222222222222</v>
      </c>
      <c r="L93" s="33">
        <v>0.31318681318681318</v>
      </c>
      <c r="M93" s="33">
        <v>0.16895604395604397</v>
      </c>
      <c r="N93" s="33">
        <v>0.54824561403508776</v>
      </c>
      <c r="O93" s="33">
        <v>0.3983739837398374</v>
      </c>
      <c r="P93" s="33">
        <v>0.52475247524752477</v>
      </c>
    </row>
    <row r="94" spans="1:16" x14ac:dyDescent="0.45">
      <c r="A94" s="35">
        <v>91</v>
      </c>
      <c r="B94" s="32">
        <v>240.30000000000013</v>
      </c>
      <c r="C94" s="32">
        <v>2.6406593406593419</v>
      </c>
      <c r="D94" s="37">
        <v>1.956043956043956</v>
      </c>
      <c r="E94" s="33">
        <v>0.37362637362637363</v>
      </c>
      <c r="F94" s="33">
        <v>0.32967032967032966</v>
      </c>
      <c r="G94" s="33">
        <v>0.27755102040816326</v>
      </c>
      <c r="H94" s="33">
        <v>0.17823129251700681</v>
      </c>
      <c r="I94" s="34">
        <v>10912.254901960785</v>
      </c>
      <c r="J94" s="34">
        <v>-8400.7633587786258</v>
      </c>
      <c r="K94" s="33">
        <v>0.12087912087912088</v>
      </c>
      <c r="L94" s="33">
        <v>0.31564625850340133</v>
      </c>
      <c r="M94" s="33">
        <v>0.16734693877551021</v>
      </c>
      <c r="N94" s="33">
        <v>0.54741379310344829</v>
      </c>
      <c r="O94" s="33">
        <v>0.3983739837398374</v>
      </c>
      <c r="P94" s="33">
        <v>0.52941176470588236</v>
      </c>
    </row>
    <row r="95" spans="1:16" x14ac:dyDescent="0.45">
      <c r="A95" s="35">
        <v>92</v>
      </c>
      <c r="B95" s="32">
        <v>286.50000000000011</v>
      </c>
      <c r="C95" s="32">
        <v>3.1141304347826098</v>
      </c>
      <c r="D95" s="37">
        <v>1.9456521739130435</v>
      </c>
      <c r="E95" s="33">
        <v>0.38043478260869568</v>
      </c>
      <c r="F95" s="33">
        <v>0.32608695652173914</v>
      </c>
      <c r="G95" s="33">
        <v>0.2807017543859649</v>
      </c>
      <c r="H95" s="33">
        <v>0.17678812415654521</v>
      </c>
      <c r="I95" s="34">
        <v>10862.01923076923</v>
      </c>
      <c r="J95" s="34">
        <v>-8400.7633587786258</v>
      </c>
      <c r="K95" s="33">
        <v>0.11956521739130435</v>
      </c>
      <c r="L95" s="33">
        <v>0.31713900134952766</v>
      </c>
      <c r="M95" s="33">
        <v>0.16599190283400811</v>
      </c>
      <c r="N95" s="33">
        <v>0.55319148936170215</v>
      </c>
      <c r="O95" s="33">
        <v>0.3983739837398374</v>
      </c>
      <c r="P95" s="33">
        <v>0.52403846153846156</v>
      </c>
    </row>
    <row r="96" spans="1:16" x14ac:dyDescent="0.45">
      <c r="A96" s="35">
        <v>93</v>
      </c>
      <c r="B96" s="32">
        <v>263.30000000000013</v>
      </c>
      <c r="C96" s="32">
        <v>2.8311827956989259</v>
      </c>
      <c r="D96" s="37">
        <v>1.956989247311828</v>
      </c>
      <c r="E96" s="33">
        <v>0.37634408602150538</v>
      </c>
      <c r="F96" s="33">
        <v>0.33333333333333331</v>
      </c>
      <c r="G96" s="33">
        <v>0.27978580990629182</v>
      </c>
      <c r="H96" s="33">
        <v>0.17804551539491298</v>
      </c>
      <c r="I96" s="34">
        <v>10848.325358851675</v>
      </c>
      <c r="J96" s="34">
        <v>-8422.5563909774428</v>
      </c>
      <c r="K96" s="33">
        <v>0.11827956989247312</v>
      </c>
      <c r="L96" s="33">
        <v>0.31593038821954483</v>
      </c>
      <c r="M96" s="33">
        <v>0.1646586345381526</v>
      </c>
      <c r="N96" s="33">
        <v>0.55508474576271183</v>
      </c>
      <c r="O96" s="33">
        <v>0.3983739837398374</v>
      </c>
      <c r="P96" s="33">
        <v>0.52153110047846885</v>
      </c>
    </row>
    <row r="97" spans="1:16" x14ac:dyDescent="0.45">
      <c r="A97" s="35">
        <v>94</v>
      </c>
      <c r="B97" s="32">
        <v>299.60000000000014</v>
      </c>
      <c r="C97" s="32">
        <v>3.1872340425531931</v>
      </c>
      <c r="D97" s="37">
        <v>1.946808510638298</v>
      </c>
      <c r="E97" s="33">
        <v>0.38297872340425532</v>
      </c>
      <c r="F97" s="33">
        <v>0.32978723404255317</v>
      </c>
      <c r="G97" s="33">
        <v>0.27910052910052913</v>
      </c>
      <c r="H97" s="33">
        <v>0.17724867724867724</v>
      </c>
      <c r="I97" s="34">
        <v>10887.677725118483</v>
      </c>
      <c r="J97" s="34">
        <v>-8419.4029850746265</v>
      </c>
      <c r="K97" s="33">
        <v>0.11702127659574468</v>
      </c>
      <c r="L97" s="33">
        <v>0.31613756613756616</v>
      </c>
      <c r="M97" s="33">
        <v>0.16402116402116401</v>
      </c>
      <c r="N97" s="33">
        <v>0.55648535564853552</v>
      </c>
      <c r="O97" s="33">
        <v>0.39516129032258063</v>
      </c>
      <c r="P97" s="33">
        <v>0.52606635071090047</v>
      </c>
    </row>
    <row r="98" spans="1:16" x14ac:dyDescent="0.45">
      <c r="A98" s="35">
        <v>95</v>
      </c>
      <c r="B98" s="32">
        <v>335.30000000000013</v>
      </c>
      <c r="C98" s="32">
        <v>3.5294736842105277</v>
      </c>
      <c r="D98" s="37">
        <v>1.9368421052631579</v>
      </c>
      <c r="E98" s="33">
        <v>0.38947368421052631</v>
      </c>
      <c r="F98" s="33">
        <v>0.32631578947368423</v>
      </c>
      <c r="G98" s="33">
        <v>0.28047182175622543</v>
      </c>
      <c r="H98" s="33">
        <v>0.17693315858453473</v>
      </c>
      <c r="I98" s="34">
        <v>10903.271028037383</v>
      </c>
      <c r="J98" s="34">
        <v>-8366.6666666666661</v>
      </c>
      <c r="K98" s="33">
        <v>0.11578947368421053</v>
      </c>
      <c r="L98" s="33">
        <v>0.31716906946264745</v>
      </c>
      <c r="M98" s="33">
        <v>0.16382699868938402</v>
      </c>
      <c r="N98" s="33">
        <v>0.55371900826446285</v>
      </c>
      <c r="O98" s="33">
        <v>0.4</v>
      </c>
      <c r="P98" s="33">
        <v>0.52336448598130836</v>
      </c>
    </row>
    <row r="99" spans="1:16" x14ac:dyDescent="0.45">
      <c r="A99" s="35">
        <v>96</v>
      </c>
      <c r="B99" s="32">
        <v>335.40000000000015</v>
      </c>
      <c r="C99" s="32">
        <v>3.4937500000000017</v>
      </c>
      <c r="D99" s="37">
        <v>1.9375</v>
      </c>
      <c r="E99" s="33">
        <v>0.38541666666666669</v>
      </c>
      <c r="F99" s="33">
        <v>0.32291666666666669</v>
      </c>
      <c r="G99" s="33">
        <v>0.2805194805194805</v>
      </c>
      <c r="H99" s="33">
        <v>0.17662337662337663</v>
      </c>
      <c r="I99" s="34">
        <v>10913.425925925925</v>
      </c>
      <c r="J99" s="34">
        <v>-8437.5</v>
      </c>
      <c r="K99" s="33">
        <v>0.11458333333333333</v>
      </c>
      <c r="L99" s="33">
        <v>0.31818181818181818</v>
      </c>
      <c r="M99" s="33">
        <v>0.16493506493506493</v>
      </c>
      <c r="N99" s="33">
        <v>0.55510204081632653</v>
      </c>
      <c r="O99" s="33">
        <v>0.39370078740157483</v>
      </c>
      <c r="P99" s="33">
        <v>0.52314814814814814</v>
      </c>
    </row>
    <row r="100" spans="1:16" x14ac:dyDescent="0.45">
      <c r="A100" s="35">
        <v>97</v>
      </c>
      <c r="B100" s="32">
        <v>334.70000000000016</v>
      </c>
      <c r="C100" s="32">
        <v>3.4505154639175273</v>
      </c>
      <c r="D100" s="37">
        <v>1.9381443298969072</v>
      </c>
      <c r="E100" s="33">
        <v>0.38144329896907214</v>
      </c>
      <c r="F100" s="33">
        <v>0.31958762886597936</v>
      </c>
      <c r="G100" s="33">
        <v>0.27963917525773196</v>
      </c>
      <c r="H100" s="33">
        <v>0.17654639175257733</v>
      </c>
      <c r="I100" s="34">
        <v>10918.433179723503</v>
      </c>
      <c r="J100" s="34">
        <v>-8432.1167883211674</v>
      </c>
      <c r="K100" s="33">
        <v>0.1134020618556701</v>
      </c>
      <c r="L100" s="33">
        <v>0.31572164948453607</v>
      </c>
      <c r="M100" s="33">
        <v>0.16365979381443299</v>
      </c>
      <c r="N100" s="33">
        <v>0.55510204081632653</v>
      </c>
      <c r="O100" s="33">
        <v>0.39370078740157483</v>
      </c>
      <c r="P100" s="33">
        <v>0.52534562211981561</v>
      </c>
    </row>
    <row r="101" spans="1:16" x14ac:dyDescent="0.45">
      <c r="A101" s="35">
        <v>98</v>
      </c>
      <c r="B101" s="32">
        <v>349.00000000000017</v>
      </c>
      <c r="C101" s="32">
        <v>3.56122448979592</v>
      </c>
      <c r="D101" s="37">
        <v>1.9285714285714286</v>
      </c>
      <c r="E101" s="33">
        <v>0.38775510204081631</v>
      </c>
      <c r="F101" s="33">
        <v>0.31632653061224492</v>
      </c>
      <c r="G101" s="33">
        <v>0.28061224489795916</v>
      </c>
      <c r="H101" s="33">
        <v>0.17729591836734693</v>
      </c>
      <c r="I101" s="34">
        <v>10869.545454545454</v>
      </c>
      <c r="J101" s="34">
        <v>-8434.5323741007196</v>
      </c>
      <c r="K101" s="33">
        <v>0.11224489795918367</v>
      </c>
      <c r="L101" s="33">
        <v>0.31887755102040816</v>
      </c>
      <c r="M101" s="33">
        <v>0.16198979591836735</v>
      </c>
      <c r="N101" s="33">
        <v>0.55600000000000005</v>
      </c>
      <c r="O101" s="33">
        <v>0.39370078740157483</v>
      </c>
      <c r="P101" s="33">
        <v>0.51818181818181819</v>
      </c>
    </row>
    <row r="102" spans="1:16" x14ac:dyDescent="0.45">
      <c r="A102" s="35">
        <v>99</v>
      </c>
      <c r="B102" s="32">
        <v>386.70000000000016</v>
      </c>
      <c r="C102" s="32">
        <v>3.9060606060606076</v>
      </c>
      <c r="D102" s="37">
        <v>1.9191919191919191</v>
      </c>
      <c r="E102" s="33">
        <v>0.39393939393939392</v>
      </c>
      <c r="F102" s="33">
        <v>0.31313131313131315</v>
      </c>
      <c r="G102" s="33">
        <v>0.28050314465408804</v>
      </c>
      <c r="H102" s="33">
        <v>0.17484276729559747</v>
      </c>
      <c r="I102" s="34">
        <v>10865.470852017937</v>
      </c>
      <c r="J102" s="34">
        <v>-8434.5323741007196</v>
      </c>
      <c r="K102" s="33">
        <v>0.1111111111111111</v>
      </c>
      <c r="L102" s="33">
        <v>0.31823899371069181</v>
      </c>
      <c r="M102" s="33">
        <v>0.16352201257861634</v>
      </c>
      <c r="N102" s="33">
        <v>0.55731225296442688</v>
      </c>
      <c r="O102" s="33">
        <v>0.3923076923076923</v>
      </c>
      <c r="P102" s="33">
        <v>0.5246636771300448</v>
      </c>
    </row>
    <row r="103" spans="1:16" x14ac:dyDescent="0.45">
      <c r="A103" s="35">
        <v>100</v>
      </c>
      <c r="B103" s="32">
        <v>350.30000000000018</v>
      </c>
      <c r="C103" s="32">
        <v>3.5030000000000019</v>
      </c>
      <c r="D103" s="37">
        <v>1.93</v>
      </c>
      <c r="E103" s="33">
        <v>0.39</v>
      </c>
      <c r="F103" s="33">
        <v>0.32</v>
      </c>
      <c r="G103" s="33">
        <v>0.27860696517412936</v>
      </c>
      <c r="H103" s="33">
        <v>0.17537313432835822</v>
      </c>
      <c r="I103" s="34">
        <v>10834.375</v>
      </c>
      <c r="J103" s="34">
        <v>-8365.9574468085102</v>
      </c>
      <c r="K103" s="33">
        <v>0.11</v>
      </c>
      <c r="L103" s="33">
        <v>0.31467661691542287</v>
      </c>
      <c r="M103" s="33">
        <v>0.16417910447761194</v>
      </c>
      <c r="N103" s="33">
        <v>0.55731225296442688</v>
      </c>
      <c r="O103" s="33">
        <v>0.39393939393939392</v>
      </c>
      <c r="P103" s="33">
        <v>0.5223214285714286</v>
      </c>
    </row>
    <row r="104" spans="1:16" x14ac:dyDescent="0.45">
      <c r="A104" s="35">
        <v>101</v>
      </c>
      <c r="B104" s="32">
        <v>344.9000000000002</v>
      </c>
      <c r="C104" s="32">
        <v>3.414851485148517</v>
      </c>
      <c r="D104" s="37">
        <v>1.9306930693069306</v>
      </c>
      <c r="E104" s="33">
        <v>0.38613861386138615</v>
      </c>
      <c r="F104" s="33">
        <v>0.31683168316831684</v>
      </c>
      <c r="G104" s="33">
        <v>0.27764127764127766</v>
      </c>
      <c r="H104" s="33">
        <v>0.17444717444717445</v>
      </c>
      <c r="I104" s="34">
        <v>10797.345132743363</v>
      </c>
      <c r="J104" s="34">
        <v>-8334.5070422535209</v>
      </c>
      <c r="K104" s="33">
        <v>0.10891089108910891</v>
      </c>
      <c r="L104" s="33">
        <v>0.31449631449631449</v>
      </c>
      <c r="M104" s="33">
        <v>0.16584766584766586</v>
      </c>
      <c r="N104" s="33">
        <v>0.5546875</v>
      </c>
      <c r="O104" s="33">
        <v>0.3925925925925926</v>
      </c>
      <c r="P104" s="33">
        <v>0.52212389380530977</v>
      </c>
    </row>
    <row r="105" spans="1:16" x14ac:dyDescent="0.45">
      <c r="A105" s="35">
        <v>102</v>
      </c>
      <c r="B105" s="32">
        <v>359.50000000000023</v>
      </c>
      <c r="C105" s="32">
        <v>3.5245098039215708</v>
      </c>
      <c r="D105" s="37">
        <v>1.9215686274509804</v>
      </c>
      <c r="E105" s="33">
        <v>0.39215686274509803</v>
      </c>
      <c r="F105" s="33">
        <v>0.31372549019607843</v>
      </c>
      <c r="G105" s="33">
        <v>0.27669902912621358</v>
      </c>
      <c r="H105" s="33">
        <v>0.17597087378640777</v>
      </c>
      <c r="I105" s="34">
        <v>10799.122807017544</v>
      </c>
      <c r="J105" s="34">
        <v>-8273.7931034482754</v>
      </c>
      <c r="K105" s="33">
        <v>0.10784313725490197</v>
      </c>
      <c r="L105" s="33">
        <v>0.31310679611650488</v>
      </c>
      <c r="M105" s="33">
        <v>0.16747572815533981</v>
      </c>
      <c r="N105" s="33">
        <v>0.55426356589147285</v>
      </c>
      <c r="O105" s="33">
        <v>0.39130434782608697</v>
      </c>
      <c r="P105" s="33">
        <v>0.52631578947368418</v>
      </c>
    </row>
    <row r="106" spans="1:16" x14ac:dyDescent="0.45">
      <c r="A106" s="35">
        <v>103</v>
      </c>
      <c r="B106" s="32">
        <v>402.30000000000024</v>
      </c>
      <c r="C106" s="32">
        <v>3.905825242718449</v>
      </c>
      <c r="D106" s="37">
        <v>1.912621359223301</v>
      </c>
      <c r="E106" s="33">
        <v>0.39805825242718446</v>
      </c>
      <c r="F106" s="33">
        <v>0.31067961165048541</v>
      </c>
      <c r="G106" s="33">
        <v>0.27764423076923078</v>
      </c>
      <c r="H106" s="33">
        <v>0.17668269230769232</v>
      </c>
      <c r="I106" s="34">
        <v>10866.666666666666</v>
      </c>
      <c r="J106" s="34">
        <v>-8237.4149659863942</v>
      </c>
      <c r="K106" s="33">
        <v>0.10679611650485436</v>
      </c>
      <c r="L106" s="33">
        <v>0.31129807692307693</v>
      </c>
      <c r="M106" s="33">
        <v>0.16586538461538461</v>
      </c>
      <c r="N106" s="33">
        <v>0.55598455598455598</v>
      </c>
      <c r="O106" s="33">
        <v>0.39130434782608697</v>
      </c>
      <c r="P106" s="33">
        <v>0.52813852813852813</v>
      </c>
    </row>
    <row r="107" spans="1:16" x14ac:dyDescent="0.45">
      <c r="A107" s="35">
        <v>104</v>
      </c>
      <c r="B107" s="32">
        <v>408.90000000000026</v>
      </c>
      <c r="C107" s="32">
        <v>3.9317307692307719</v>
      </c>
      <c r="D107" s="37">
        <v>1.9134615384615385</v>
      </c>
      <c r="E107" s="33">
        <v>0.39423076923076922</v>
      </c>
      <c r="F107" s="33">
        <v>0.30769230769230771</v>
      </c>
      <c r="G107" s="33">
        <v>0.27738095238095239</v>
      </c>
      <c r="H107" s="33">
        <v>0.17499999999999999</v>
      </c>
      <c r="I107" s="34">
        <v>10847.639484978541</v>
      </c>
      <c r="J107" s="34">
        <v>-8237.4149659863942</v>
      </c>
      <c r="K107" s="33">
        <v>0.10576923076923077</v>
      </c>
      <c r="L107" s="33">
        <v>0.31071428571428572</v>
      </c>
      <c r="M107" s="33">
        <v>0.16666666666666666</v>
      </c>
      <c r="N107" s="33">
        <v>0.55555555555555558</v>
      </c>
      <c r="O107" s="33">
        <v>0.38571428571428573</v>
      </c>
      <c r="P107" s="33">
        <v>0.52360515021459231</v>
      </c>
    </row>
    <row r="108" spans="1:16" x14ac:dyDescent="0.45">
      <c r="A108" s="35">
        <v>105</v>
      </c>
      <c r="B108" s="32">
        <v>372.30000000000024</v>
      </c>
      <c r="C108" s="32">
        <v>3.545714285714288</v>
      </c>
      <c r="D108" s="37">
        <v>1.9238095238095239</v>
      </c>
      <c r="E108" s="33">
        <v>0.39047619047619048</v>
      </c>
      <c r="F108" s="33">
        <v>0.31428571428571428</v>
      </c>
      <c r="G108" s="33">
        <v>0.27379553466509987</v>
      </c>
      <c r="H108" s="33">
        <v>0.17508813160987075</v>
      </c>
      <c r="I108" s="34">
        <v>10847.639484978541</v>
      </c>
      <c r="J108" s="34">
        <v>-8216.1073825503354</v>
      </c>
      <c r="K108" s="33">
        <v>0.10476190476190476</v>
      </c>
      <c r="L108" s="33">
        <v>0.30904817861339601</v>
      </c>
      <c r="M108" s="33">
        <v>0.16686251468860164</v>
      </c>
      <c r="N108" s="33">
        <v>0.5513307984790875</v>
      </c>
      <c r="O108" s="33">
        <v>0.38028169014084506</v>
      </c>
      <c r="P108" s="33">
        <v>0.52360515021459231</v>
      </c>
    </row>
    <row r="109" spans="1:16" x14ac:dyDescent="0.45">
      <c r="A109" s="35">
        <v>106</v>
      </c>
      <c r="B109" s="32">
        <v>395.80000000000024</v>
      </c>
      <c r="C109" s="32">
        <v>3.7339622641509456</v>
      </c>
      <c r="D109" s="37">
        <v>1.9150943396226414</v>
      </c>
      <c r="E109" s="33">
        <v>0.39622641509433965</v>
      </c>
      <c r="F109" s="33">
        <v>0.31132075471698112</v>
      </c>
      <c r="G109" s="33">
        <v>0.27494199535962877</v>
      </c>
      <c r="H109" s="33">
        <v>0.1751740139211137</v>
      </c>
      <c r="I109" s="34">
        <v>10790.717299578058</v>
      </c>
      <c r="J109" s="34">
        <v>-8184.1059602649011</v>
      </c>
      <c r="K109" s="33">
        <v>0.10377358490566038</v>
      </c>
      <c r="L109" s="33">
        <v>0.30974477958236657</v>
      </c>
      <c r="M109" s="33">
        <v>0.17053364269141533</v>
      </c>
      <c r="N109" s="33">
        <v>0.55430711610486894</v>
      </c>
      <c r="O109" s="33">
        <v>0.37414965986394561</v>
      </c>
      <c r="P109" s="33">
        <v>0.51898734177215189</v>
      </c>
    </row>
    <row r="110" spans="1:16" x14ac:dyDescent="0.45">
      <c r="A110" s="35">
        <v>107</v>
      </c>
      <c r="B110" s="32">
        <v>438.20000000000022</v>
      </c>
      <c r="C110" s="32">
        <v>4.0953271028037399</v>
      </c>
      <c r="D110" s="37">
        <v>1.9065420560747663</v>
      </c>
      <c r="E110" s="33">
        <v>0.40186915887850466</v>
      </c>
      <c r="F110" s="33">
        <v>0.30841121495327101</v>
      </c>
      <c r="G110" s="33">
        <v>0.27733026467203681</v>
      </c>
      <c r="H110" s="33">
        <v>0.17491369390103567</v>
      </c>
      <c r="I110" s="34">
        <v>10780.91286307054</v>
      </c>
      <c r="J110" s="34">
        <v>-8155.9210526315792</v>
      </c>
      <c r="K110" s="33">
        <v>0.10280373831775701</v>
      </c>
      <c r="L110" s="33">
        <v>0.31185270425776757</v>
      </c>
      <c r="M110" s="33">
        <v>0.17031070195627157</v>
      </c>
      <c r="N110" s="33">
        <v>0.55719557195571956</v>
      </c>
      <c r="O110" s="33">
        <v>0.3783783783783784</v>
      </c>
      <c r="P110" s="33">
        <v>0.51867219917012453</v>
      </c>
    </row>
    <row r="111" spans="1:16" x14ac:dyDescent="0.45">
      <c r="A111" s="35">
        <v>108</v>
      </c>
      <c r="B111" s="32">
        <v>471.10000000000019</v>
      </c>
      <c r="C111" s="32">
        <v>4.3620370370370392</v>
      </c>
      <c r="D111" s="37">
        <v>1.8981481481481481</v>
      </c>
      <c r="E111" s="33">
        <v>0.40740740740740738</v>
      </c>
      <c r="F111" s="33">
        <v>0.30555555555555558</v>
      </c>
      <c r="G111" s="33">
        <v>0.27758816837315131</v>
      </c>
      <c r="H111" s="33">
        <v>0.17406143344709898</v>
      </c>
      <c r="I111" s="34">
        <v>10770.901639344262</v>
      </c>
      <c r="J111" s="34">
        <v>-8109.1503267973858</v>
      </c>
      <c r="K111" s="33">
        <v>0.10185185185185185</v>
      </c>
      <c r="L111" s="33">
        <v>0.31626848691695109</v>
      </c>
      <c r="M111" s="33">
        <v>0.17064846416382254</v>
      </c>
      <c r="N111" s="33">
        <v>0.5539568345323741</v>
      </c>
      <c r="O111" s="33">
        <v>0.37333333333333335</v>
      </c>
      <c r="P111" s="33">
        <v>0.51229508196721307</v>
      </c>
    </row>
    <row r="112" spans="1:16" x14ac:dyDescent="0.45">
      <c r="A112" s="35">
        <v>109</v>
      </c>
      <c r="B112" s="32">
        <v>509.00000000000017</v>
      </c>
      <c r="C112" s="32">
        <v>4.6697247706422038</v>
      </c>
      <c r="D112" s="37">
        <v>1.8899082568807339</v>
      </c>
      <c r="E112" s="33">
        <v>0.41284403669724773</v>
      </c>
      <c r="F112" s="33">
        <v>0.30275229357798167</v>
      </c>
      <c r="G112" s="33">
        <v>0.27833894500561168</v>
      </c>
      <c r="H112" s="33">
        <v>0.1728395061728395</v>
      </c>
      <c r="I112" s="34">
        <v>10772.177419354839</v>
      </c>
      <c r="J112" s="34">
        <v>-8094.1558441558445</v>
      </c>
      <c r="K112" s="33">
        <v>0.10091743119266056</v>
      </c>
      <c r="L112" s="33">
        <v>0.31313131313131315</v>
      </c>
      <c r="M112" s="33">
        <v>0.17508417508417509</v>
      </c>
      <c r="N112" s="33">
        <v>0.55197132616487454</v>
      </c>
      <c r="O112" s="33">
        <v>0.37820512820512819</v>
      </c>
      <c r="P112" s="33">
        <v>0.50806451612903225</v>
      </c>
    </row>
    <row r="113" spans="1:16" x14ac:dyDescent="0.45">
      <c r="A113" s="35">
        <v>110</v>
      </c>
      <c r="B113" s="32">
        <v>522.50000000000023</v>
      </c>
      <c r="C113" s="32">
        <v>4.7500000000000018</v>
      </c>
      <c r="D113" s="37">
        <v>1.8818181818181818</v>
      </c>
      <c r="E113" s="33">
        <v>0.41818181818181815</v>
      </c>
      <c r="F113" s="33">
        <v>0.3</v>
      </c>
      <c r="G113" s="33">
        <v>0.27919911012235815</v>
      </c>
      <c r="H113" s="33">
        <v>0.17241379310344829</v>
      </c>
      <c r="I113" s="34">
        <v>10762.151394422312</v>
      </c>
      <c r="J113" s="34">
        <v>-8119.3548387096771</v>
      </c>
      <c r="K113" s="33">
        <v>0.1</v>
      </c>
      <c r="L113" s="33">
        <v>0.31368186874304782</v>
      </c>
      <c r="M113" s="33">
        <v>0.1757508342602892</v>
      </c>
      <c r="N113" s="33">
        <v>0.54964539007092195</v>
      </c>
      <c r="O113" s="33">
        <v>0.38607594936708861</v>
      </c>
      <c r="P113" s="33">
        <v>0.50597609561752988</v>
      </c>
    </row>
    <row r="114" spans="1:16" x14ac:dyDescent="0.45">
      <c r="A114" s="35">
        <v>111</v>
      </c>
      <c r="B114" s="32">
        <v>600.80000000000018</v>
      </c>
      <c r="C114" s="32">
        <v>5.4126126126126142</v>
      </c>
      <c r="D114" s="37">
        <v>1.8738738738738738</v>
      </c>
      <c r="E114" s="33">
        <v>0.42342342342342343</v>
      </c>
      <c r="F114" s="33">
        <v>0.29729729729729731</v>
      </c>
      <c r="G114" s="33">
        <v>0.28193832599118945</v>
      </c>
      <c r="H114" s="33">
        <v>0.17070484581497797</v>
      </c>
      <c r="I114" s="34">
        <v>10817.578125</v>
      </c>
      <c r="J114" s="34">
        <v>-8119.3548387096771</v>
      </c>
      <c r="K114" s="33">
        <v>9.90990990990991E-2</v>
      </c>
      <c r="L114" s="33">
        <v>0.31387665198237885</v>
      </c>
      <c r="M114" s="33">
        <v>0.1762114537444934</v>
      </c>
      <c r="N114" s="33">
        <v>0.55438596491228065</v>
      </c>
      <c r="O114" s="33">
        <v>0.39374999999999999</v>
      </c>
      <c r="P114" s="33">
        <v>0.50390625</v>
      </c>
    </row>
    <row r="115" spans="1:16" x14ac:dyDescent="0.45">
      <c r="A115" s="35">
        <v>112</v>
      </c>
      <c r="B115" s="32">
        <v>616.4000000000002</v>
      </c>
      <c r="C115" s="32">
        <v>5.5035714285714308</v>
      </c>
      <c r="D115" s="37">
        <v>1.875</v>
      </c>
      <c r="E115" s="33">
        <v>0.41964285714285715</v>
      </c>
      <c r="F115" s="33">
        <v>0.29464285714285715</v>
      </c>
      <c r="G115" s="33">
        <v>0.28244274809160308</v>
      </c>
      <c r="H115" s="33">
        <v>0.17121046892039257</v>
      </c>
      <c r="I115" s="34">
        <v>10779.536679536679</v>
      </c>
      <c r="J115" s="34">
        <v>-8036.9426751592355</v>
      </c>
      <c r="K115" s="33">
        <v>9.8214285714285712E-2</v>
      </c>
      <c r="L115" s="33">
        <v>0.31406761177753545</v>
      </c>
      <c r="M115" s="33">
        <v>0.17775354416575789</v>
      </c>
      <c r="N115" s="33">
        <v>0.55208333333333337</v>
      </c>
      <c r="O115" s="33">
        <v>0.3987730061349693</v>
      </c>
      <c r="P115" s="33">
        <v>0.49806949806949807</v>
      </c>
    </row>
    <row r="116" spans="1:16" x14ac:dyDescent="0.45">
      <c r="A116" s="35">
        <v>113</v>
      </c>
      <c r="B116" s="32">
        <v>638.10000000000025</v>
      </c>
      <c r="C116" s="32">
        <v>5.646902654867259</v>
      </c>
      <c r="D116" s="37">
        <v>1.8672566371681416</v>
      </c>
      <c r="E116" s="33">
        <v>0.4247787610619469</v>
      </c>
      <c r="F116" s="33">
        <v>0.29203539823008851</v>
      </c>
      <c r="G116" s="33">
        <v>0.28277356446370533</v>
      </c>
      <c r="H116" s="33">
        <v>0.17118093174431204</v>
      </c>
      <c r="I116" s="34">
        <v>10757.088122605364</v>
      </c>
      <c r="J116" s="34">
        <v>-8006.3291139240509</v>
      </c>
      <c r="K116" s="33">
        <v>9.7345132743362831E-2</v>
      </c>
      <c r="L116" s="33">
        <v>0.31419284940411701</v>
      </c>
      <c r="M116" s="33">
        <v>0.17659804983748645</v>
      </c>
      <c r="N116" s="33">
        <v>0.55517241379310345</v>
      </c>
      <c r="O116" s="33">
        <v>0.3987730061349693</v>
      </c>
      <c r="P116" s="33">
        <v>0.49808429118773945</v>
      </c>
    </row>
    <row r="117" spans="1:16" x14ac:dyDescent="0.45">
      <c r="A117" s="35">
        <v>114</v>
      </c>
      <c r="B117" s="32">
        <v>637.10000000000025</v>
      </c>
      <c r="C117" s="32">
        <v>5.5885964912280723</v>
      </c>
      <c r="D117" s="37">
        <v>1.868421052631579</v>
      </c>
      <c r="E117" s="33">
        <v>0.42105263157894735</v>
      </c>
      <c r="F117" s="33">
        <v>0.28947368421052633</v>
      </c>
      <c r="G117" s="33">
        <v>0.28279569892473116</v>
      </c>
      <c r="H117" s="33">
        <v>0.16989247311827957</v>
      </c>
      <c r="I117" s="34">
        <v>10736.121673003803</v>
      </c>
      <c r="J117" s="34">
        <v>-8006.3291139240509</v>
      </c>
      <c r="K117" s="33">
        <v>9.6491228070175433E-2</v>
      </c>
      <c r="L117" s="33">
        <v>0.3139784946236559</v>
      </c>
      <c r="M117" s="33">
        <v>0.17741935483870969</v>
      </c>
      <c r="N117" s="33">
        <v>0.55136986301369861</v>
      </c>
      <c r="O117" s="33">
        <v>0.4</v>
      </c>
      <c r="P117" s="33">
        <v>0.49809885931558934</v>
      </c>
    </row>
    <row r="118" spans="1:16" x14ac:dyDescent="0.45">
      <c r="A118" s="35">
        <v>115</v>
      </c>
      <c r="B118" s="32">
        <v>581.10000000000025</v>
      </c>
      <c r="C118" s="32">
        <v>5.0530434782608715</v>
      </c>
      <c r="D118" s="37">
        <v>1.8782608695652174</v>
      </c>
      <c r="E118" s="33">
        <v>0.41739130434782606</v>
      </c>
      <c r="F118" s="33">
        <v>0.29565217391304349</v>
      </c>
      <c r="G118" s="33">
        <v>0.28128342245989307</v>
      </c>
      <c r="H118" s="33">
        <v>0.17005347593582887</v>
      </c>
      <c r="I118" s="34">
        <v>10736.121673003803</v>
      </c>
      <c r="J118" s="34">
        <v>-8106.9182389937105</v>
      </c>
      <c r="K118" s="33">
        <v>0.10434782608695652</v>
      </c>
      <c r="L118" s="33">
        <v>0.31229946524064173</v>
      </c>
      <c r="M118" s="33">
        <v>0.17647058823529413</v>
      </c>
      <c r="N118" s="33">
        <v>0.55136986301369861</v>
      </c>
      <c r="O118" s="33">
        <v>0.4</v>
      </c>
      <c r="P118" s="33">
        <v>0.49809885931558934</v>
      </c>
    </row>
    <row r="119" spans="1:16" x14ac:dyDescent="0.45">
      <c r="A119" s="35">
        <v>116</v>
      </c>
      <c r="B119" s="32">
        <v>558.8000000000003</v>
      </c>
      <c r="C119" s="32">
        <v>4.8172413793103477</v>
      </c>
      <c r="D119" s="37">
        <v>1.8879310344827587</v>
      </c>
      <c r="E119" s="33">
        <v>0.41379310344827586</v>
      </c>
      <c r="F119" s="33">
        <v>0.30172413793103448</v>
      </c>
      <c r="G119" s="33">
        <v>0.28088701161562829</v>
      </c>
      <c r="H119" s="33">
        <v>0.16895459345300951</v>
      </c>
      <c r="I119" s="34">
        <v>10659.774436090225</v>
      </c>
      <c r="J119" s="34">
        <v>-8088.75</v>
      </c>
      <c r="K119" s="33">
        <v>0.10344827586206896</v>
      </c>
      <c r="L119" s="33">
        <v>0.31151003167898628</v>
      </c>
      <c r="M119" s="33">
        <v>0.17634635691657866</v>
      </c>
      <c r="N119" s="33">
        <v>0.55254237288135588</v>
      </c>
      <c r="O119" s="33">
        <v>0.39520958083832336</v>
      </c>
      <c r="P119" s="33">
        <v>0.5</v>
      </c>
    </row>
    <row r="120" spans="1:16" x14ac:dyDescent="0.45">
      <c r="A120" s="35">
        <v>117</v>
      </c>
      <c r="B120" s="32">
        <v>619.00000000000034</v>
      </c>
      <c r="C120" s="32">
        <v>5.2905982905982931</v>
      </c>
      <c r="D120" s="37">
        <v>1.8803418803418803</v>
      </c>
      <c r="E120" s="33">
        <v>0.41880341880341881</v>
      </c>
      <c r="F120" s="33">
        <v>0.29914529914529914</v>
      </c>
      <c r="G120" s="33">
        <v>0.28347280334728031</v>
      </c>
      <c r="H120" s="33">
        <v>0.16945606694560669</v>
      </c>
      <c r="I120" s="34">
        <v>10674.169741697417</v>
      </c>
      <c r="J120" s="34">
        <v>-8017.2839506172841</v>
      </c>
      <c r="K120" s="33">
        <v>0.10256410256410256</v>
      </c>
      <c r="L120" s="33">
        <v>0.31171548117154813</v>
      </c>
      <c r="M120" s="33">
        <v>0.17782426778242677</v>
      </c>
      <c r="N120" s="33">
        <v>0.55704697986577179</v>
      </c>
      <c r="O120" s="33">
        <v>0.39411764705882352</v>
      </c>
      <c r="P120" s="33">
        <v>0.50553505535055354</v>
      </c>
    </row>
    <row r="121" spans="1:16" x14ac:dyDescent="0.45">
      <c r="A121" s="35">
        <v>118</v>
      </c>
      <c r="B121" s="32">
        <v>706.10000000000036</v>
      </c>
      <c r="C121" s="32">
        <v>5.9838983050847485</v>
      </c>
      <c r="D121" s="37">
        <v>1.8728813559322033</v>
      </c>
      <c r="E121" s="33">
        <v>0.42372881355932202</v>
      </c>
      <c r="F121" s="33">
        <v>0.29661016949152541</v>
      </c>
      <c r="G121" s="33">
        <v>0.28526970954356845</v>
      </c>
      <c r="H121" s="33">
        <v>0.16804979253112035</v>
      </c>
      <c r="I121" s="34">
        <v>10721.09090909091</v>
      </c>
      <c r="J121" s="34">
        <v>-8017.2839506172841</v>
      </c>
      <c r="K121" s="33">
        <v>0.10169491525423729</v>
      </c>
      <c r="L121" s="33">
        <v>0.31120331950207469</v>
      </c>
      <c r="M121" s="33">
        <v>0.17946058091286307</v>
      </c>
      <c r="N121" s="33">
        <v>0.55666666666666664</v>
      </c>
      <c r="O121" s="33">
        <v>0.40462427745664742</v>
      </c>
      <c r="P121" s="33">
        <v>0.50545454545454549</v>
      </c>
    </row>
    <row r="122" spans="1:16" x14ac:dyDescent="0.45">
      <c r="A122" s="35">
        <v>119</v>
      </c>
      <c r="B122" s="32">
        <v>672.80000000000041</v>
      </c>
      <c r="C122" s="32">
        <v>5.653781512605045</v>
      </c>
      <c r="D122" s="37">
        <v>1.8823529411764706</v>
      </c>
      <c r="E122" s="33">
        <v>0.42016806722689076</v>
      </c>
      <c r="F122" s="33">
        <v>0.30252100840336132</v>
      </c>
      <c r="G122" s="33">
        <v>0.28365878725590954</v>
      </c>
      <c r="H122" s="33">
        <v>0.16855087358684481</v>
      </c>
      <c r="I122" s="34">
        <v>10711.231884057972</v>
      </c>
      <c r="J122" s="34">
        <v>-7949.3902439024387</v>
      </c>
      <c r="K122" s="33">
        <v>0.10084033613445378</v>
      </c>
      <c r="L122" s="33">
        <v>0.31038026721479961</v>
      </c>
      <c r="M122" s="33">
        <v>0.17985611510791366</v>
      </c>
      <c r="N122" s="33">
        <v>0.55629139072847678</v>
      </c>
      <c r="O122" s="33">
        <v>0.4</v>
      </c>
      <c r="P122" s="33">
        <v>0.50724637681159424</v>
      </c>
    </row>
    <row r="123" spans="1:16" x14ac:dyDescent="0.45">
      <c r="A123" s="35">
        <v>120</v>
      </c>
      <c r="B123" s="32">
        <v>622.40000000000043</v>
      </c>
      <c r="C123" s="32">
        <v>5.1866666666666701</v>
      </c>
      <c r="D123" s="37">
        <v>1.8916666666666666</v>
      </c>
      <c r="E123" s="33">
        <v>0.41666666666666669</v>
      </c>
      <c r="F123" s="33">
        <v>0.30833333333333335</v>
      </c>
      <c r="G123" s="33">
        <v>0.28194726166328599</v>
      </c>
      <c r="H123" s="33">
        <v>0.16937119675456389</v>
      </c>
      <c r="I123" s="34">
        <v>10716.187050359713</v>
      </c>
      <c r="J123" s="34">
        <v>-8014.9700598802392</v>
      </c>
      <c r="K123" s="33">
        <v>0.10833333333333334</v>
      </c>
      <c r="L123" s="33">
        <v>0.30933062880324541</v>
      </c>
      <c r="M123" s="33">
        <v>0.18154158215010141</v>
      </c>
      <c r="N123" s="33">
        <v>0.55081967213114758</v>
      </c>
      <c r="O123" s="33">
        <v>0.4022346368715084</v>
      </c>
      <c r="P123" s="33">
        <v>0.5071942446043165</v>
      </c>
    </row>
    <row r="124" spans="1:16" x14ac:dyDescent="0.45">
      <c r="A124" s="35">
        <v>121</v>
      </c>
      <c r="B124" s="32">
        <v>623.70000000000039</v>
      </c>
      <c r="C124" s="32">
        <v>5.1545454545454579</v>
      </c>
      <c r="D124" s="37">
        <v>1.8925619834710743</v>
      </c>
      <c r="E124" s="33">
        <v>0.41322314049586778</v>
      </c>
      <c r="F124" s="33">
        <v>0.30578512396694213</v>
      </c>
      <c r="G124" s="33">
        <v>0.28225806451612906</v>
      </c>
      <c r="H124" s="33">
        <v>0.16935483870967741</v>
      </c>
      <c r="I124" s="34">
        <v>10701.428571428571</v>
      </c>
      <c r="J124" s="34">
        <v>-7998.2142857142853</v>
      </c>
      <c r="K124" s="33">
        <v>0.10743801652892562</v>
      </c>
      <c r="L124" s="33">
        <v>0.30947580645161288</v>
      </c>
      <c r="M124" s="33">
        <v>0.18044354838709678</v>
      </c>
      <c r="N124" s="33">
        <v>0.55374592833876224</v>
      </c>
      <c r="O124" s="33">
        <v>0.4022346368715084</v>
      </c>
      <c r="P124" s="33">
        <v>0.50714285714285712</v>
      </c>
    </row>
    <row r="125" spans="1:16" x14ac:dyDescent="0.45">
      <c r="A125" s="35">
        <v>122</v>
      </c>
      <c r="B125" s="32">
        <v>609.30000000000041</v>
      </c>
      <c r="C125" s="32">
        <v>4.9942622950819704</v>
      </c>
      <c r="D125" s="37">
        <v>1.8934426229508197</v>
      </c>
      <c r="E125" s="33">
        <v>0.4098360655737705</v>
      </c>
      <c r="F125" s="33">
        <v>0.30327868852459017</v>
      </c>
      <c r="G125" s="33">
        <v>0.28128128128128127</v>
      </c>
      <c r="H125" s="33">
        <v>0.17017017017017017</v>
      </c>
      <c r="I125" s="34">
        <v>10666.903914590748</v>
      </c>
      <c r="J125" s="34">
        <v>-7932.9411764705883</v>
      </c>
      <c r="K125" s="33">
        <v>0.10655737704918032</v>
      </c>
      <c r="L125" s="33">
        <v>0.30730730730730732</v>
      </c>
      <c r="M125" s="33">
        <v>0.18118118118118118</v>
      </c>
      <c r="N125" s="33">
        <v>0.55374592833876224</v>
      </c>
      <c r="O125" s="33">
        <v>0.40331491712707185</v>
      </c>
      <c r="P125" s="33">
        <v>0.50533807829181498</v>
      </c>
    </row>
    <row r="126" spans="1:16" x14ac:dyDescent="0.45">
      <c r="A126" s="35">
        <v>123</v>
      </c>
      <c r="B126" s="32">
        <v>621.50000000000045</v>
      </c>
      <c r="C126" s="32">
        <v>5.052845528455288</v>
      </c>
      <c r="D126" s="37">
        <v>1.8943089430894309</v>
      </c>
      <c r="E126" s="33">
        <v>0.4065040650406504</v>
      </c>
      <c r="F126" s="33">
        <v>0.30081300813008133</v>
      </c>
      <c r="G126" s="33">
        <v>0.2813121272365805</v>
      </c>
      <c r="H126" s="33">
        <v>0.16898608349900596</v>
      </c>
      <c r="I126" s="34">
        <v>10697.526501766784</v>
      </c>
      <c r="J126" s="34">
        <v>-7932.9411764705883</v>
      </c>
      <c r="K126" s="33">
        <v>0.10569105691056911</v>
      </c>
      <c r="L126" s="33">
        <v>0.30715705765407553</v>
      </c>
      <c r="M126" s="33">
        <v>0.18091451292246521</v>
      </c>
      <c r="N126" s="33">
        <v>0.55339805825242716</v>
      </c>
      <c r="O126" s="33">
        <v>0.40109890109890112</v>
      </c>
      <c r="P126" s="33">
        <v>0.50176678445229683</v>
      </c>
    </row>
    <row r="127" spans="1:16" x14ac:dyDescent="0.45">
      <c r="A127" s="35">
        <v>124</v>
      </c>
      <c r="B127" s="32">
        <v>571.00000000000045</v>
      </c>
      <c r="C127" s="32">
        <v>4.6048387096774226</v>
      </c>
      <c r="D127" s="37">
        <v>1.903225806451613</v>
      </c>
      <c r="E127" s="33">
        <v>0.40322580645161288</v>
      </c>
      <c r="F127" s="33">
        <v>0.30645161290322581</v>
      </c>
      <c r="G127" s="33">
        <v>0.27936821322803551</v>
      </c>
      <c r="H127" s="33">
        <v>0.16979269496544916</v>
      </c>
      <c r="I127" s="34">
        <v>10697.526501766784</v>
      </c>
      <c r="J127" s="34">
        <v>-7897.0930232558139</v>
      </c>
      <c r="K127" s="33">
        <v>0.11290322580645161</v>
      </c>
      <c r="L127" s="33">
        <v>0.30700888450148073</v>
      </c>
      <c r="M127" s="33">
        <v>0.18065153010858837</v>
      </c>
      <c r="N127" s="33">
        <v>0.54983922829581988</v>
      </c>
      <c r="O127" s="33">
        <v>0.39890710382513661</v>
      </c>
      <c r="P127" s="33">
        <v>0.50176678445229683</v>
      </c>
    </row>
    <row r="128" spans="1:16" x14ac:dyDescent="0.45">
      <c r="A128" s="35">
        <v>125</v>
      </c>
      <c r="B128" s="32">
        <v>505.50000000000045</v>
      </c>
      <c r="C128" s="32">
        <v>4.044000000000004</v>
      </c>
      <c r="D128" s="37">
        <v>1.9119999999999999</v>
      </c>
      <c r="E128" s="33">
        <v>0.4</v>
      </c>
      <c r="F128" s="33">
        <v>0.312</v>
      </c>
      <c r="G128" s="33">
        <v>0.27881773399014781</v>
      </c>
      <c r="H128" s="33">
        <v>0.17044334975369457</v>
      </c>
      <c r="I128" s="34">
        <v>10697.526501766784</v>
      </c>
      <c r="J128" s="34">
        <v>-8128.9017341040462</v>
      </c>
      <c r="K128" s="33">
        <v>0.12</v>
      </c>
      <c r="L128" s="33">
        <v>0.30640394088669953</v>
      </c>
      <c r="M128" s="33">
        <v>0.18029556650246306</v>
      </c>
      <c r="N128" s="33">
        <v>0.54983922829581988</v>
      </c>
      <c r="O128" s="33">
        <v>0.39890710382513661</v>
      </c>
      <c r="P128" s="33">
        <v>0.50176678445229683</v>
      </c>
    </row>
    <row r="129" spans="1:16" x14ac:dyDescent="0.45">
      <c r="A129" s="35">
        <v>126</v>
      </c>
      <c r="B129" s="32">
        <v>475.00000000000045</v>
      </c>
      <c r="C129" s="32">
        <v>3.7698412698412733</v>
      </c>
      <c r="D129" s="37">
        <v>1.9206349206349207</v>
      </c>
      <c r="E129" s="33">
        <v>0.3968253968253968</v>
      </c>
      <c r="F129" s="33">
        <v>0.31746031746031744</v>
      </c>
      <c r="G129" s="33">
        <v>0.27788649706457924</v>
      </c>
      <c r="H129" s="33">
        <v>0.17123287671232876</v>
      </c>
      <c r="I129" s="34">
        <v>10702.112676056338</v>
      </c>
      <c r="J129" s="34">
        <v>-8111.4285714285716</v>
      </c>
      <c r="K129" s="33">
        <v>0.11904761904761904</v>
      </c>
      <c r="L129" s="33">
        <v>0.30430528375733856</v>
      </c>
      <c r="M129" s="33">
        <v>0.18395303326810175</v>
      </c>
      <c r="N129" s="33">
        <v>0.54983922829581988</v>
      </c>
      <c r="O129" s="33">
        <v>0.39361702127659576</v>
      </c>
      <c r="P129" s="33">
        <v>0.50352112676056338</v>
      </c>
    </row>
    <row r="130" spans="1:16" x14ac:dyDescent="0.45">
      <c r="A130" s="35">
        <v>127</v>
      </c>
      <c r="B130" s="32">
        <v>531.30000000000041</v>
      </c>
      <c r="C130" s="32">
        <v>4.1834645669291373</v>
      </c>
      <c r="D130" s="37">
        <v>1.9133858267716535</v>
      </c>
      <c r="E130" s="33">
        <v>0.40157480314960631</v>
      </c>
      <c r="F130" s="33">
        <v>0.31496062992125984</v>
      </c>
      <c r="G130" s="33">
        <v>0.27756286266924562</v>
      </c>
      <c r="H130" s="33">
        <v>0.17117988394584138</v>
      </c>
      <c r="I130" s="34">
        <v>10827.177700348431</v>
      </c>
      <c r="J130" s="34">
        <v>-8116.9491525423728</v>
      </c>
      <c r="K130" s="33">
        <v>0.11811023622047244</v>
      </c>
      <c r="L130" s="33">
        <v>0.30367504835589942</v>
      </c>
      <c r="M130" s="33">
        <v>0.18568665377176016</v>
      </c>
      <c r="N130" s="33">
        <v>0.55095541401273884</v>
      </c>
      <c r="O130" s="33">
        <v>0.390625</v>
      </c>
      <c r="P130" s="33">
        <v>0.50871080139372826</v>
      </c>
    </row>
    <row r="131" spans="1:16" x14ac:dyDescent="0.45">
      <c r="A131" s="35">
        <v>128</v>
      </c>
      <c r="B131" s="32">
        <v>494.10000000000042</v>
      </c>
      <c r="C131" s="32">
        <v>3.8601562500000033</v>
      </c>
      <c r="D131" s="37">
        <v>1.921875</v>
      </c>
      <c r="E131" s="33">
        <v>0.3984375</v>
      </c>
      <c r="F131" s="33">
        <v>0.3203125</v>
      </c>
      <c r="G131" s="33">
        <v>0.27586206896551724</v>
      </c>
      <c r="H131" s="33">
        <v>0.17145593869731801</v>
      </c>
      <c r="I131" s="34">
        <v>10831.25</v>
      </c>
      <c r="J131" s="34">
        <v>-8136.3128491620109</v>
      </c>
      <c r="K131" s="33">
        <v>0.1171875</v>
      </c>
      <c r="L131" s="33">
        <v>0.30363984674329503</v>
      </c>
      <c r="M131" s="33">
        <v>0.18486590038314177</v>
      </c>
      <c r="N131" s="33">
        <v>0.54889589905362779</v>
      </c>
      <c r="O131" s="33">
        <v>0.38860103626943004</v>
      </c>
      <c r="P131" s="33">
        <v>0.51041666666666663</v>
      </c>
    </row>
    <row r="132" spans="1:16" x14ac:dyDescent="0.45">
      <c r="A132" s="35">
        <v>129</v>
      </c>
      <c r="B132" s="32">
        <v>529.80000000000041</v>
      </c>
      <c r="C132" s="32">
        <v>4.1069767441860501</v>
      </c>
      <c r="D132" s="37">
        <v>1.9147286821705427</v>
      </c>
      <c r="E132" s="33">
        <v>0.40310077519379844</v>
      </c>
      <c r="F132" s="33">
        <v>0.31782945736434109</v>
      </c>
      <c r="G132" s="33">
        <v>0.27714285714285714</v>
      </c>
      <c r="H132" s="33">
        <v>0.17047619047619048</v>
      </c>
      <c r="I132" s="34">
        <v>10828.52233676976</v>
      </c>
      <c r="J132" s="34">
        <v>-8136.3128491620109</v>
      </c>
      <c r="K132" s="33">
        <v>0.11627906976744186</v>
      </c>
      <c r="L132" s="33">
        <v>0.30476190476190479</v>
      </c>
      <c r="M132" s="33">
        <v>0.18380952380952381</v>
      </c>
      <c r="N132" s="33">
        <v>0.55312499999999998</v>
      </c>
      <c r="O132" s="33">
        <v>0.38860103626943004</v>
      </c>
      <c r="P132" s="33">
        <v>0.51202749140893467</v>
      </c>
    </row>
    <row r="133" spans="1:16" x14ac:dyDescent="0.45">
      <c r="A133" s="35">
        <v>130</v>
      </c>
      <c r="B133" s="32">
        <v>512.20000000000039</v>
      </c>
      <c r="C133" s="32">
        <v>3.9400000000000031</v>
      </c>
      <c r="D133" s="37">
        <v>1.9230769230769231</v>
      </c>
      <c r="E133" s="33">
        <v>0.4</v>
      </c>
      <c r="F133" s="33">
        <v>0.32307692307692309</v>
      </c>
      <c r="G133" s="33">
        <v>0.27599243856332706</v>
      </c>
      <c r="H133" s="33">
        <v>0.17013232514177692</v>
      </c>
      <c r="I133" s="34">
        <v>10798.630136986301</v>
      </c>
      <c r="J133" s="34">
        <v>-8105.5555555555557</v>
      </c>
      <c r="K133" s="33">
        <v>0.11538461538461539</v>
      </c>
      <c r="L133" s="33">
        <v>0.30434782608695654</v>
      </c>
      <c r="M133" s="33">
        <v>0.18525519848771266</v>
      </c>
      <c r="N133" s="33">
        <v>0.5496894409937888</v>
      </c>
      <c r="O133" s="33">
        <v>0.38265306122448978</v>
      </c>
      <c r="P133" s="33">
        <v>0.51369863013698636</v>
      </c>
    </row>
    <row r="134" spans="1:16" x14ac:dyDescent="0.45">
      <c r="A134" s="35">
        <v>131</v>
      </c>
      <c r="B134" s="32">
        <v>465.20000000000039</v>
      </c>
      <c r="C134" s="32">
        <v>3.5511450381679417</v>
      </c>
      <c r="D134" s="37">
        <v>1.9312977099236641</v>
      </c>
      <c r="E134" s="33">
        <v>0.39694656488549618</v>
      </c>
      <c r="F134" s="33">
        <v>0.3282442748091603</v>
      </c>
      <c r="G134" s="33">
        <v>0.27417840375586855</v>
      </c>
      <c r="H134" s="33">
        <v>0.17183098591549295</v>
      </c>
      <c r="I134" s="34">
        <v>10798.630136986301</v>
      </c>
      <c r="J134" s="34">
        <v>-8065.0273224043713</v>
      </c>
      <c r="K134" s="33">
        <v>0.12213740458015267</v>
      </c>
      <c r="L134" s="33">
        <v>0.30234741784037561</v>
      </c>
      <c r="M134" s="33">
        <v>0.18497652582159624</v>
      </c>
      <c r="N134" s="33">
        <v>0.5496894409937888</v>
      </c>
      <c r="O134" s="33">
        <v>0.38071065989847713</v>
      </c>
      <c r="P134" s="33">
        <v>0.51369863013698636</v>
      </c>
    </row>
    <row r="135" spans="1:16" x14ac:dyDescent="0.45">
      <c r="A135" s="35">
        <v>132</v>
      </c>
      <c r="B135" s="32">
        <v>452.20000000000039</v>
      </c>
      <c r="C135" s="32">
        <v>3.4257575757575789</v>
      </c>
      <c r="D135" s="37">
        <v>1.9318181818181819</v>
      </c>
      <c r="E135" s="33">
        <v>0.39393939393939392</v>
      </c>
      <c r="F135" s="33">
        <v>0.32575757575757575</v>
      </c>
      <c r="G135" s="33">
        <v>0.27255813953488373</v>
      </c>
      <c r="H135" s="33">
        <v>0.17209302325581396</v>
      </c>
      <c r="I135" s="34">
        <v>10816.382252559726</v>
      </c>
      <c r="J135" s="34">
        <v>-8040.5405405405409</v>
      </c>
      <c r="K135" s="33">
        <v>0.12121212121212122</v>
      </c>
      <c r="L135" s="33">
        <v>0.30139534883720931</v>
      </c>
      <c r="M135" s="33">
        <v>0.18511627906976744</v>
      </c>
      <c r="N135" s="33">
        <v>0.54938271604938271</v>
      </c>
      <c r="O135" s="33">
        <v>0.37688442211055279</v>
      </c>
      <c r="P135" s="33">
        <v>0.51194539249146753</v>
      </c>
    </row>
    <row r="136" spans="1:16" x14ac:dyDescent="0.45">
      <c r="A136" s="35">
        <v>133</v>
      </c>
      <c r="B136" s="32">
        <v>512.90000000000043</v>
      </c>
      <c r="C136" s="32">
        <v>3.8563909774436125</v>
      </c>
      <c r="D136" s="37">
        <v>1.9248120300751879</v>
      </c>
      <c r="E136" s="33">
        <v>0.39849624060150374</v>
      </c>
      <c r="F136" s="33">
        <v>0.32330827067669171</v>
      </c>
      <c r="G136" s="33">
        <v>0.27331486611265005</v>
      </c>
      <c r="H136" s="33">
        <v>0.17359187442289936</v>
      </c>
      <c r="I136" s="34">
        <v>10950</v>
      </c>
      <c r="J136" s="34">
        <v>-7993.6170212765956</v>
      </c>
      <c r="K136" s="33">
        <v>0.12030075187969924</v>
      </c>
      <c r="L136" s="33">
        <v>0.30009233610341646</v>
      </c>
      <c r="M136" s="33">
        <v>0.18374884579870729</v>
      </c>
      <c r="N136" s="33">
        <v>0.55076923076923079</v>
      </c>
      <c r="O136" s="33">
        <v>0.37688442211055279</v>
      </c>
      <c r="P136" s="33">
        <v>0.51351351351351349</v>
      </c>
    </row>
    <row r="137" spans="1:16" x14ac:dyDescent="0.45">
      <c r="A137" s="35">
        <v>134</v>
      </c>
      <c r="B137" s="32">
        <v>544.10000000000048</v>
      </c>
      <c r="C137" s="32">
        <v>4.0604477611940331</v>
      </c>
      <c r="D137" s="37">
        <v>1.9179104477611941</v>
      </c>
      <c r="E137" s="33">
        <v>0.40298507462686567</v>
      </c>
      <c r="F137" s="33">
        <v>0.32089552238805968</v>
      </c>
      <c r="G137" s="33">
        <v>0.27422303473491771</v>
      </c>
      <c r="H137" s="33">
        <v>0.17367458866544791</v>
      </c>
      <c r="I137" s="34">
        <v>10948</v>
      </c>
      <c r="J137" s="34">
        <v>-7993.6842105263158</v>
      </c>
      <c r="K137" s="33">
        <v>0.11940298507462686</v>
      </c>
      <c r="L137" s="33">
        <v>0.29981718464351004</v>
      </c>
      <c r="M137" s="33">
        <v>0.18190127970749542</v>
      </c>
      <c r="N137" s="33">
        <v>0.54878048780487809</v>
      </c>
      <c r="O137" s="33">
        <v>0.37688442211055279</v>
      </c>
      <c r="P137" s="33">
        <v>0.51</v>
      </c>
    </row>
    <row r="138" spans="1:16" x14ac:dyDescent="0.45">
      <c r="A138" s="35">
        <v>135</v>
      </c>
      <c r="B138" s="32">
        <v>548.60000000000048</v>
      </c>
      <c r="C138" s="32">
        <v>4.0637037037037071</v>
      </c>
      <c r="D138" s="37">
        <v>1.9185185185185185</v>
      </c>
      <c r="E138" s="33">
        <v>0.4</v>
      </c>
      <c r="F138" s="33">
        <v>0.31851851851851853</v>
      </c>
      <c r="G138" s="33">
        <v>0.27445652173913043</v>
      </c>
      <c r="H138" s="33">
        <v>0.17481884057971014</v>
      </c>
      <c r="I138" s="34">
        <v>10919.141914191419</v>
      </c>
      <c r="J138" s="34">
        <v>-7965.8031088082898</v>
      </c>
      <c r="K138" s="33">
        <v>0.11851851851851852</v>
      </c>
      <c r="L138" s="33">
        <v>0.29891304347826086</v>
      </c>
      <c r="M138" s="33">
        <v>0.18115942028985507</v>
      </c>
      <c r="N138" s="33">
        <v>0.54848484848484846</v>
      </c>
      <c r="O138" s="33">
        <v>0.375</v>
      </c>
      <c r="P138" s="33">
        <v>0.5082508250825083</v>
      </c>
    </row>
    <row r="139" spans="1:16" x14ac:dyDescent="0.45">
      <c r="A139" s="35">
        <v>136</v>
      </c>
      <c r="B139" s="32">
        <v>555.10000000000048</v>
      </c>
      <c r="C139" s="32">
        <v>4.0816176470588275</v>
      </c>
      <c r="D139" s="37">
        <v>1.9191176470588236</v>
      </c>
      <c r="E139" s="33">
        <v>0.39705882352941174</v>
      </c>
      <c r="F139" s="33">
        <v>0.31617647058823528</v>
      </c>
      <c r="G139" s="33">
        <v>0.27387387387387385</v>
      </c>
      <c r="H139" s="33">
        <v>0.17387387387387387</v>
      </c>
      <c r="I139" s="34">
        <v>10935.855263157895</v>
      </c>
      <c r="J139" s="34">
        <v>-7965.8031088082898</v>
      </c>
      <c r="K139" s="33">
        <v>0.11764705882352941</v>
      </c>
      <c r="L139" s="33">
        <v>0.29819819819819821</v>
      </c>
      <c r="M139" s="33">
        <v>0.18108108108108109</v>
      </c>
      <c r="N139" s="33">
        <v>0.54682779456193353</v>
      </c>
      <c r="O139" s="33">
        <v>0.37313432835820898</v>
      </c>
      <c r="P139" s="33">
        <v>0.50986842105263153</v>
      </c>
    </row>
    <row r="140" spans="1:16" x14ac:dyDescent="0.45">
      <c r="A140" s="35">
        <v>137</v>
      </c>
      <c r="B140" s="32">
        <v>588.50000000000045</v>
      </c>
      <c r="C140" s="32">
        <v>4.2956204379562077</v>
      </c>
      <c r="D140" s="37">
        <v>1.9124087591240877</v>
      </c>
      <c r="E140" s="33">
        <v>0.40145985401459855</v>
      </c>
      <c r="F140" s="33">
        <v>0.31386861313868614</v>
      </c>
      <c r="G140" s="33">
        <v>0.27370304114490163</v>
      </c>
      <c r="H140" s="33">
        <v>0.1744186046511628</v>
      </c>
      <c r="I140" s="34">
        <v>10949.346405228758</v>
      </c>
      <c r="J140" s="34">
        <v>-7916.4102564102568</v>
      </c>
      <c r="K140" s="33">
        <v>0.11678832116788321</v>
      </c>
      <c r="L140" s="33">
        <v>0.29785330948121647</v>
      </c>
      <c r="M140" s="33">
        <v>0.18067978533094811</v>
      </c>
      <c r="N140" s="33">
        <v>0.5495495495495496</v>
      </c>
      <c r="O140" s="33">
        <v>0.37128712871287128</v>
      </c>
      <c r="P140" s="33">
        <v>0.50980392156862742</v>
      </c>
    </row>
    <row r="141" spans="1:16" x14ac:dyDescent="0.45">
      <c r="A141" s="35">
        <v>138</v>
      </c>
      <c r="B141" s="32">
        <v>556.7000000000005</v>
      </c>
      <c r="C141" s="32">
        <v>4.0340579710144961</v>
      </c>
      <c r="D141" s="37">
        <v>1.9202898550724639</v>
      </c>
      <c r="E141" s="33">
        <v>0.39855072463768115</v>
      </c>
      <c r="F141" s="33">
        <v>0.3188405797101449</v>
      </c>
      <c r="G141" s="33">
        <v>0.27200000000000002</v>
      </c>
      <c r="H141" s="33">
        <v>0.17422222222222222</v>
      </c>
      <c r="I141" s="34">
        <v>10949.346405228758</v>
      </c>
      <c r="J141" s="34">
        <v>-7937.2448979591836</v>
      </c>
      <c r="K141" s="33">
        <v>0.11594202898550725</v>
      </c>
      <c r="L141" s="33">
        <v>0.29599999999999999</v>
      </c>
      <c r="M141" s="33">
        <v>0.18133333333333335</v>
      </c>
      <c r="N141" s="33">
        <v>0.5495495495495496</v>
      </c>
      <c r="O141" s="33">
        <v>0.36764705882352944</v>
      </c>
      <c r="P141" s="33">
        <v>0.50980392156862742</v>
      </c>
    </row>
    <row r="142" spans="1:16" x14ac:dyDescent="0.45">
      <c r="A142" s="35">
        <v>139</v>
      </c>
      <c r="B142" s="32">
        <v>581.90000000000055</v>
      </c>
      <c r="C142" s="32">
        <v>4.1863309352518021</v>
      </c>
      <c r="D142" s="37">
        <v>1.9136690647482015</v>
      </c>
      <c r="E142" s="33">
        <v>0.40287769784172661</v>
      </c>
      <c r="F142" s="33">
        <v>0.31654676258992803</v>
      </c>
      <c r="G142" s="33">
        <v>0.27208480565371024</v>
      </c>
      <c r="H142" s="33">
        <v>0.17402826855123674</v>
      </c>
      <c r="I142" s="34">
        <v>10969.155844155845</v>
      </c>
      <c r="J142" s="34">
        <v>-7926.3959390862947</v>
      </c>
      <c r="K142" s="33">
        <v>0.11510791366906475</v>
      </c>
      <c r="L142" s="33">
        <v>0.29593639575971731</v>
      </c>
      <c r="M142" s="33">
        <v>0.18197879858657243</v>
      </c>
      <c r="N142" s="33">
        <v>0.54925373134328359</v>
      </c>
      <c r="O142" s="33">
        <v>0.36893203883495146</v>
      </c>
      <c r="P142" s="33">
        <v>0.51298701298701299</v>
      </c>
    </row>
    <row r="143" spans="1:16" x14ac:dyDescent="0.45">
      <c r="A143" s="35">
        <v>140</v>
      </c>
      <c r="B143" s="32">
        <v>587.90000000000055</v>
      </c>
      <c r="C143" s="32">
        <v>4.1992857142857183</v>
      </c>
      <c r="D143" s="37">
        <v>1.9142857142857144</v>
      </c>
      <c r="E143" s="33">
        <v>0.4</v>
      </c>
      <c r="F143" s="33">
        <v>0.31428571428571428</v>
      </c>
      <c r="G143" s="33">
        <v>0.27192982456140352</v>
      </c>
      <c r="H143" s="33">
        <v>0.1736842105263158</v>
      </c>
      <c r="I143" s="34">
        <v>11027.41935483871</v>
      </c>
      <c r="J143" s="34">
        <v>-7946.969696969697</v>
      </c>
      <c r="K143" s="33">
        <v>0.11428571428571428</v>
      </c>
      <c r="L143" s="33">
        <v>0.29736842105263156</v>
      </c>
      <c r="M143" s="33">
        <v>0.18245614035087721</v>
      </c>
      <c r="N143" s="33">
        <v>0.54867256637168138</v>
      </c>
      <c r="O143" s="33">
        <v>0.36538461538461536</v>
      </c>
      <c r="P143" s="33">
        <v>0.5161290322580645</v>
      </c>
    </row>
    <row r="144" spans="1:16" x14ac:dyDescent="0.45">
      <c r="A144" s="35">
        <v>141</v>
      </c>
      <c r="B144" s="32">
        <v>534.90000000000055</v>
      </c>
      <c r="C144" s="32">
        <v>3.7936170212765998</v>
      </c>
      <c r="D144" s="37">
        <v>1.9219858156028369</v>
      </c>
      <c r="E144" s="33">
        <v>0.3971631205673759</v>
      </c>
      <c r="F144" s="33">
        <v>0.31914893617021278</v>
      </c>
      <c r="G144" s="33">
        <v>0.27097902097902099</v>
      </c>
      <c r="H144" s="33">
        <v>0.17482517482517482</v>
      </c>
      <c r="I144" s="34">
        <v>11027.41935483871</v>
      </c>
      <c r="J144" s="34">
        <v>-8017.5</v>
      </c>
      <c r="K144" s="33">
        <v>0.12056737588652482</v>
      </c>
      <c r="L144" s="33">
        <v>0.29720279720279719</v>
      </c>
      <c r="M144" s="33">
        <v>0.18269230769230768</v>
      </c>
      <c r="N144" s="33">
        <v>0.54705882352941182</v>
      </c>
      <c r="O144" s="33">
        <v>0.36363636363636365</v>
      </c>
      <c r="P144" s="33">
        <v>0.5161290322580645</v>
      </c>
    </row>
    <row r="145" spans="1:16" x14ac:dyDescent="0.45">
      <c r="A145" s="35">
        <v>142</v>
      </c>
      <c r="B145" s="32">
        <v>551.50000000000057</v>
      </c>
      <c r="C145" s="32">
        <v>3.8838028169014125</v>
      </c>
      <c r="D145" s="37">
        <v>1.9225352112676057</v>
      </c>
      <c r="E145" s="33">
        <v>0.39436619718309857</v>
      </c>
      <c r="F145" s="33">
        <v>0.31690140845070425</v>
      </c>
      <c r="G145" s="33">
        <v>0.27146574154379877</v>
      </c>
      <c r="H145" s="33">
        <v>0.17519514310494363</v>
      </c>
      <c r="I145" s="34">
        <v>11062.300319488819</v>
      </c>
      <c r="J145" s="34">
        <v>-8076.2376237623766</v>
      </c>
      <c r="K145" s="33">
        <v>0.11971830985915492</v>
      </c>
      <c r="L145" s="33">
        <v>0.29835212489158719</v>
      </c>
      <c r="M145" s="33">
        <v>0.18300086730268864</v>
      </c>
      <c r="N145" s="33">
        <v>0.54360465116279066</v>
      </c>
      <c r="O145" s="33">
        <v>0.36966824644549762</v>
      </c>
      <c r="P145" s="33">
        <v>0.51757188498402551</v>
      </c>
    </row>
    <row r="146" spans="1:16" x14ac:dyDescent="0.45">
      <c r="A146" s="35">
        <v>143</v>
      </c>
      <c r="B146" s="32">
        <v>528.30000000000052</v>
      </c>
      <c r="C146" s="32">
        <v>3.6944055944055982</v>
      </c>
      <c r="D146" s="37">
        <v>1.93006993006993</v>
      </c>
      <c r="E146" s="33">
        <v>0.39160839160839161</v>
      </c>
      <c r="F146" s="33">
        <v>0.32167832167832167</v>
      </c>
      <c r="G146" s="33">
        <v>0.27155172413793105</v>
      </c>
      <c r="H146" s="33">
        <v>0.17413793103448275</v>
      </c>
      <c r="I146" s="34">
        <v>11036.825396825398</v>
      </c>
      <c r="J146" s="34">
        <v>-8076.2376237623766</v>
      </c>
      <c r="K146" s="33">
        <v>0.11888111888111888</v>
      </c>
      <c r="L146" s="33">
        <v>0.29913793103448277</v>
      </c>
      <c r="M146" s="33">
        <v>0.18362068965517242</v>
      </c>
      <c r="N146" s="33">
        <v>0.5417867435158501</v>
      </c>
      <c r="O146" s="33">
        <v>0.37089201877934275</v>
      </c>
      <c r="P146" s="33">
        <v>0.51746031746031751</v>
      </c>
    </row>
    <row r="147" spans="1:16" x14ac:dyDescent="0.45">
      <c r="A147" s="35">
        <v>144</v>
      </c>
      <c r="B147" s="32">
        <v>480.90000000000055</v>
      </c>
      <c r="C147" s="32">
        <v>3.3395833333333371</v>
      </c>
      <c r="D147" s="37">
        <v>1.9375</v>
      </c>
      <c r="E147" s="33">
        <v>0.3888888888888889</v>
      </c>
      <c r="F147" s="33">
        <v>0.3263888888888889</v>
      </c>
      <c r="G147" s="33">
        <v>0.27163667523564694</v>
      </c>
      <c r="H147" s="33">
        <v>0.17395029991431019</v>
      </c>
      <c r="I147" s="34">
        <v>11041.640378548896</v>
      </c>
      <c r="J147" s="34">
        <v>-8272.9064039408859</v>
      </c>
      <c r="K147" s="33">
        <v>0.125</v>
      </c>
      <c r="L147" s="33">
        <v>0.29820051413881749</v>
      </c>
      <c r="M147" s="33">
        <v>0.18337617823479005</v>
      </c>
      <c r="N147" s="33">
        <v>0.54022988505747127</v>
      </c>
      <c r="O147" s="33">
        <v>0.37383177570093457</v>
      </c>
      <c r="P147" s="33">
        <v>0.51419558359621453</v>
      </c>
    </row>
    <row r="148" spans="1:16" x14ac:dyDescent="0.45">
      <c r="A148" s="35">
        <v>145</v>
      </c>
      <c r="B148" s="32">
        <v>496.00000000000057</v>
      </c>
      <c r="C148" s="32">
        <v>3.4206896551724175</v>
      </c>
      <c r="D148" s="37">
        <v>1.9379310344827587</v>
      </c>
      <c r="E148" s="33">
        <v>0.38620689655172413</v>
      </c>
      <c r="F148" s="33">
        <v>0.32413793103448274</v>
      </c>
      <c r="G148" s="33">
        <v>0.27257240204429301</v>
      </c>
      <c r="H148" s="33">
        <v>0.17461669505962521</v>
      </c>
      <c r="I148" s="34">
        <v>11038.125</v>
      </c>
      <c r="J148" s="34">
        <v>-8269.7560975609758</v>
      </c>
      <c r="K148" s="33">
        <v>0.12413793103448276</v>
      </c>
      <c r="L148" s="33">
        <v>0.29727427597955708</v>
      </c>
      <c r="M148" s="33">
        <v>0.18483816013628621</v>
      </c>
      <c r="N148" s="33">
        <v>0.5386819484240688</v>
      </c>
      <c r="O148" s="33">
        <v>0.38248847926267282</v>
      </c>
      <c r="P148" s="33">
        <v>0.50937500000000002</v>
      </c>
    </row>
    <row r="149" spans="1:16" x14ac:dyDescent="0.45">
      <c r="A149" s="35">
        <v>146</v>
      </c>
      <c r="B149" s="32">
        <v>449.90000000000055</v>
      </c>
      <c r="C149" s="32">
        <v>3.0815068493150721</v>
      </c>
      <c r="D149" s="37">
        <v>1.9452054794520548</v>
      </c>
      <c r="E149" s="33">
        <v>0.38356164383561642</v>
      </c>
      <c r="F149" s="33">
        <v>0.32876712328767121</v>
      </c>
      <c r="G149" s="33">
        <v>0.27164685908319186</v>
      </c>
      <c r="H149" s="33">
        <v>0.17487266553480477</v>
      </c>
      <c r="I149" s="34">
        <v>11038.125</v>
      </c>
      <c r="J149" s="34">
        <v>-8384.9514563106804</v>
      </c>
      <c r="K149" s="33">
        <v>0.13013698630136986</v>
      </c>
      <c r="L149" s="33">
        <v>0.29626485568760613</v>
      </c>
      <c r="M149" s="33">
        <v>0.18421052631578946</v>
      </c>
      <c r="N149" s="33">
        <v>0.5386819484240688</v>
      </c>
      <c r="O149" s="33">
        <v>0.38248847926267282</v>
      </c>
      <c r="P149" s="33">
        <v>0.50937500000000002</v>
      </c>
    </row>
    <row r="150" spans="1:16" x14ac:dyDescent="0.45">
      <c r="A150" s="35">
        <v>147</v>
      </c>
      <c r="B150" s="32">
        <v>524.00000000000057</v>
      </c>
      <c r="C150" s="32">
        <v>3.56462585034014</v>
      </c>
      <c r="D150" s="37">
        <v>1.9387755102040816</v>
      </c>
      <c r="E150" s="33">
        <v>0.38775510204081631</v>
      </c>
      <c r="F150" s="33">
        <v>0.32653061224489793</v>
      </c>
      <c r="G150" s="33">
        <v>0.27387996618765847</v>
      </c>
      <c r="H150" s="33">
        <v>0.17413355874894337</v>
      </c>
      <c r="I150" s="34">
        <v>11087.037037037036</v>
      </c>
      <c r="J150" s="34">
        <v>-8384.9514563106804</v>
      </c>
      <c r="K150" s="33">
        <v>0.12925170068027211</v>
      </c>
      <c r="L150" s="33">
        <v>0.2967032967032967</v>
      </c>
      <c r="M150" s="33">
        <v>0.18427726120033813</v>
      </c>
      <c r="N150" s="33">
        <v>0.54131054131054135</v>
      </c>
      <c r="O150" s="33">
        <v>0.38532110091743121</v>
      </c>
      <c r="P150" s="33">
        <v>0.51543209876543206</v>
      </c>
    </row>
    <row r="151" spans="1:16" x14ac:dyDescent="0.45">
      <c r="A151" s="35">
        <v>148</v>
      </c>
      <c r="B151" s="32">
        <v>514.50000000000057</v>
      </c>
      <c r="C151" s="32">
        <v>3.4763513513513553</v>
      </c>
      <c r="D151" s="37">
        <v>1.9391891891891893</v>
      </c>
      <c r="E151" s="33">
        <v>0.38513513513513514</v>
      </c>
      <c r="F151" s="33">
        <v>0.32432432432432434</v>
      </c>
      <c r="G151" s="33">
        <v>0.27318718381112983</v>
      </c>
      <c r="H151" s="33">
        <v>0.17369308600337269</v>
      </c>
      <c r="I151" s="34">
        <v>11087.037037037036</v>
      </c>
      <c r="J151" s="34">
        <v>-8384.9514563106804</v>
      </c>
      <c r="K151" s="33">
        <v>0.12837837837837837</v>
      </c>
      <c r="L151" s="33">
        <v>0.29595278246205736</v>
      </c>
      <c r="M151" s="33">
        <v>0.18465430016863407</v>
      </c>
      <c r="N151" s="33">
        <v>0.54131054131054135</v>
      </c>
      <c r="O151" s="33">
        <v>0.38356164383561642</v>
      </c>
      <c r="P151" s="33">
        <v>0.51543209876543206</v>
      </c>
    </row>
    <row r="152" spans="1:16" x14ac:dyDescent="0.45">
      <c r="A152" s="35">
        <v>149</v>
      </c>
      <c r="B152" s="32">
        <v>570.00000000000057</v>
      </c>
      <c r="C152" s="32">
        <v>3.825503355704702</v>
      </c>
      <c r="D152" s="37">
        <v>1.9328859060402686</v>
      </c>
      <c r="E152" s="33">
        <v>0.38926174496644295</v>
      </c>
      <c r="F152" s="33">
        <v>0.32214765100671139</v>
      </c>
      <c r="G152" s="33">
        <v>0.27417998317914216</v>
      </c>
      <c r="H152" s="33">
        <v>0.17325483599663583</v>
      </c>
      <c r="I152" s="34">
        <v>11153.98773006135</v>
      </c>
      <c r="J152" s="34">
        <v>-8384.9514563106804</v>
      </c>
      <c r="K152" s="33">
        <v>0.12751677852348994</v>
      </c>
      <c r="L152" s="33">
        <v>0.29604709840201848</v>
      </c>
      <c r="M152" s="33">
        <v>0.18418839360807401</v>
      </c>
      <c r="N152" s="33">
        <v>0.54261363636363635</v>
      </c>
      <c r="O152" s="33">
        <v>0.38356164383561642</v>
      </c>
      <c r="P152" s="33">
        <v>0.51533742331288346</v>
      </c>
    </row>
    <row r="153" spans="1:16" x14ac:dyDescent="0.45">
      <c r="A153" s="35">
        <v>150</v>
      </c>
      <c r="B153" s="32">
        <v>598.20000000000061</v>
      </c>
      <c r="C153" s="32">
        <v>3.988000000000004</v>
      </c>
      <c r="D153" s="37">
        <v>1.9266666666666667</v>
      </c>
      <c r="E153" s="33">
        <v>0.39333333333333331</v>
      </c>
      <c r="F153" s="33">
        <v>0.32</v>
      </c>
      <c r="G153" s="33">
        <v>0.27447698744769872</v>
      </c>
      <c r="H153" s="33">
        <v>0.17322175732217573</v>
      </c>
      <c r="I153" s="34">
        <v>11175</v>
      </c>
      <c r="J153" s="34">
        <v>-8402.4154589371974</v>
      </c>
      <c r="K153" s="33">
        <v>0.12666666666666668</v>
      </c>
      <c r="L153" s="33">
        <v>0.29623430962343095</v>
      </c>
      <c r="M153" s="33">
        <v>0.18326359832635983</v>
      </c>
      <c r="N153" s="33">
        <v>0.5423728813559322</v>
      </c>
      <c r="O153" s="33">
        <v>0.38356164383561642</v>
      </c>
      <c r="P153" s="33">
        <v>0.51219512195121952</v>
      </c>
    </row>
    <row r="154" spans="1:16" x14ac:dyDescent="0.45">
      <c r="A154" s="35">
        <v>151</v>
      </c>
      <c r="B154" s="32">
        <v>593.50000000000057</v>
      </c>
      <c r="C154" s="32">
        <v>3.9304635761589442</v>
      </c>
      <c r="D154" s="37">
        <v>1.9271523178807948</v>
      </c>
      <c r="E154" s="33">
        <v>0.39072847682119205</v>
      </c>
      <c r="F154" s="33">
        <v>0.31788079470198677</v>
      </c>
      <c r="G154" s="33">
        <v>0.27377998345740279</v>
      </c>
      <c r="H154" s="33">
        <v>0.17369727047146402</v>
      </c>
      <c r="I154" s="34">
        <v>11139.2749244713</v>
      </c>
      <c r="J154" s="34">
        <v>-8387.1428571428569</v>
      </c>
      <c r="K154" s="33">
        <v>0.12582781456953643</v>
      </c>
      <c r="L154" s="33">
        <v>0.29528535980148884</v>
      </c>
      <c r="M154" s="33">
        <v>0.18527708850289495</v>
      </c>
      <c r="N154" s="33">
        <v>0.54061624649859941</v>
      </c>
      <c r="O154" s="33">
        <v>0.38392857142857145</v>
      </c>
      <c r="P154" s="33">
        <v>0.51057401812688818</v>
      </c>
    </row>
    <row r="155" spans="1:16" x14ac:dyDescent="0.45">
      <c r="A155" s="35">
        <v>152</v>
      </c>
      <c r="B155" s="32">
        <v>623.50000000000057</v>
      </c>
      <c r="C155" s="32">
        <v>4.1019736842105301</v>
      </c>
      <c r="D155" s="37">
        <v>1.9210526315789473</v>
      </c>
      <c r="E155" s="33">
        <v>0.39473684210526316</v>
      </c>
      <c r="F155" s="33">
        <v>0.31578947368421051</v>
      </c>
      <c r="G155" s="33">
        <v>0.27399507793273176</v>
      </c>
      <c r="H155" s="33">
        <v>0.17309269893355209</v>
      </c>
      <c r="I155" s="34">
        <v>11133.832335329342</v>
      </c>
      <c r="J155" s="34">
        <v>-8359.7156398104271</v>
      </c>
      <c r="K155" s="33">
        <v>0.125</v>
      </c>
      <c r="L155" s="33">
        <v>0.29532403609515995</v>
      </c>
      <c r="M155" s="33">
        <v>0.18457752255947499</v>
      </c>
      <c r="N155" s="33">
        <v>0.54166666666666663</v>
      </c>
      <c r="O155" s="33">
        <v>0.38666666666666666</v>
      </c>
      <c r="P155" s="33">
        <v>0.5119760479041916</v>
      </c>
    </row>
    <row r="156" spans="1:16" x14ac:dyDescent="0.45">
      <c r="A156" s="35">
        <v>153</v>
      </c>
      <c r="B156" s="32">
        <v>682.50000000000057</v>
      </c>
      <c r="C156" s="32">
        <v>4.4607843137254939</v>
      </c>
      <c r="D156" s="37">
        <v>1.9150326797385622</v>
      </c>
      <c r="E156" s="33">
        <v>0.39869281045751637</v>
      </c>
      <c r="F156" s="33">
        <v>0.31372549019607843</v>
      </c>
      <c r="G156" s="33">
        <v>0.27591836734693875</v>
      </c>
      <c r="H156" s="33">
        <v>0.17306122448979591</v>
      </c>
      <c r="I156" s="34">
        <v>11166.863905325445</v>
      </c>
      <c r="J156" s="34">
        <v>-8356.6037735849059</v>
      </c>
      <c r="K156" s="33">
        <v>0.12418300653594772</v>
      </c>
      <c r="L156" s="33">
        <v>0.29551020408163264</v>
      </c>
      <c r="M156" s="33">
        <v>0.18612244897959185</v>
      </c>
      <c r="N156" s="33">
        <v>0.54143646408839774</v>
      </c>
      <c r="O156" s="33">
        <v>0.39035087719298245</v>
      </c>
      <c r="P156" s="33">
        <v>0.51183431952662717</v>
      </c>
    </row>
    <row r="157" spans="1:16" x14ac:dyDescent="0.45">
      <c r="A157" s="35">
        <v>154</v>
      </c>
      <c r="B157" s="32">
        <v>699.00000000000057</v>
      </c>
      <c r="C157" s="32">
        <v>4.5389610389610429</v>
      </c>
      <c r="D157" s="37">
        <v>1.9090909090909092</v>
      </c>
      <c r="E157" s="33">
        <v>0.40259740259740262</v>
      </c>
      <c r="F157" s="33">
        <v>0.31168831168831168</v>
      </c>
      <c r="G157" s="33">
        <v>0.27625201938610661</v>
      </c>
      <c r="H157" s="33">
        <v>0.172859450726979</v>
      </c>
      <c r="I157" s="34">
        <v>11169.883040935672</v>
      </c>
      <c r="J157" s="34">
        <v>-8370.5607476635505</v>
      </c>
      <c r="K157" s="33">
        <v>0.12337662337662338</v>
      </c>
      <c r="L157" s="33">
        <v>0.2940226171243942</v>
      </c>
      <c r="M157" s="33">
        <v>0.18659127625201938</v>
      </c>
      <c r="N157" s="33">
        <v>0.54395604395604391</v>
      </c>
      <c r="O157" s="33">
        <v>0.38961038961038963</v>
      </c>
      <c r="P157" s="33">
        <v>0.51169590643274854</v>
      </c>
    </row>
    <row r="158" spans="1:16" x14ac:dyDescent="0.45">
      <c r="A158" s="35">
        <v>155</v>
      </c>
      <c r="B158" s="32">
        <v>713.80000000000052</v>
      </c>
      <c r="C158" s="32">
        <v>4.6051612903225836</v>
      </c>
      <c r="D158" s="37">
        <v>1.9096774193548387</v>
      </c>
      <c r="E158" s="33">
        <v>0.4</v>
      </c>
      <c r="F158" s="33">
        <v>0.30967741935483872</v>
      </c>
      <c r="G158" s="33">
        <v>0.27644230769230771</v>
      </c>
      <c r="H158" s="33">
        <v>0.17227564102564102</v>
      </c>
      <c r="I158" s="34">
        <v>11155.36231884058</v>
      </c>
      <c r="J158" s="34">
        <v>-8355.8139534883721</v>
      </c>
      <c r="K158" s="33">
        <v>0.12258064516129032</v>
      </c>
      <c r="L158" s="33">
        <v>0.29407051282051283</v>
      </c>
      <c r="M158" s="33">
        <v>0.18669871794871795</v>
      </c>
      <c r="N158" s="33">
        <v>0.54495912806539515</v>
      </c>
      <c r="O158" s="33">
        <v>0.3905579399141631</v>
      </c>
      <c r="P158" s="33">
        <v>0.51014492753623186</v>
      </c>
    </row>
    <row r="159" spans="1:16" x14ac:dyDescent="0.45">
      <c r="A159" s="35">
        <v>156</v>
      </c>
      <c r="B159" s="32">
        <v>695.10000000000048</v>
      </c>
      <c r="C159" s="32">
        <v>4.455769230769234</v>
      </c>
      <c r="D159" s="37">
        <v>1.9166666666666667</v>
      </c>
      <c r="E159" s="33">
        <v>0.39743589743589741</v>
      </c>
      <c r="F159" s="33">
        <v>0.3141025641025641</v>
      </c>
      <c r="G159" s="33">
        <v>0.27627388535031849</v>
      </c>
      <c r="H159" s="33">
        <v>0.17197452229299362</v>
      </c>
      <c r="I159" s="34">
        <v>11137.175792507205</v>
      </c>
      <c r="J159" s="34">
        <v>-8354.1666666666661</v>
      </c>
      <c r="K159" s="33">
        <v>0.12179487179487179</v>
      </c>
      <c r="L159" s="33">
        <v>0.2929936305732484</v>
      </c>
      <c r="M159" s="33">
        <v>0.18630573248407642</v>
      </c>
      <c r="N159" s="33">
        <v>0.54619565217391308</v>
      </c>
      <c r="O159" s="33">
        <v>0.3888888888888889</v>
      </c>
      <c r="P159" s="33">
        <v>0.51008645533141206</v>
      </c>
    </row>
    <row r="160" spans="1:16" x14ac:dyDescent="0.45">
      <c r="A160" s="35">
        <v>157</v>
      </c>
      <c r="B160" s="32">
        <v>756.00000000000045</v>
      </c>
      <c r="C160" s="32">
        <v>4.8152866242038241</v>
      </c>
      <c r="D160" s="37">
        <v>1.910828025477707</v>
      </c>
      <c r="E160" s="33">
        <v>0.40127388535031849</v>
      </c>
      <c r="F160" s="33">
        <v>0.31210191082802546</v>
      </c>
      <c r="G160" s="33">
        <v>0.27711797307996833</v>
      </c>
      <c r="H160" s="33">
        <v>0.17181314330958036</v>
      </c>
      <c r="I160" s="34">
        <v>11190.285714285714</v>
      </c>
      <c r="J160" s="34">
        <v>-8324.8847926267281</v>
      </c>
      <c r="K160" s="33">
        <v>0.12101910828025478</v>
      </c>
      <c r="L160" s="33">
        <v>0.29453681710213775</v>
      </c>
      <c r="M160" s="33">
        <v>0.18685669041963579</v>
      </c>
      <c r="N160" s="33">
        <v>0.54569892473118276</v>
      </c>
      <c r="O160" s="33">
        <v>0.38983050847457629</v>
      </c>
      <c r="P160" s="33">
        <v>0.51142857142857145</v>
      </c>
    </row>
    <row r="161" spans="1:16" x14ac:dyDescent="0.45">
      <c r="A161" s="35">
        <v>158</v>
      </c>
      <c r="B161" s="32">
        <v>741.60000000000048</v>
      </c>
      <c r="C161" s="32">
        <v>4.6936708860759522</v>
      </c>
      <c r="D161" s="37">
        <v>1.9177215189873418</v>
      </c>
      <c r="E161" s="33">
        <v>0.39873417721518989</v>
      </c>
      <c r="F161" s="33">
        <v>0.31645569620253167</v>
      </c>
      <c r="G161" s="33">
        <v>0.27699530516431925</v>
      </c>
      <c r="H161" s="33">
        <v>0.17136150234741784</v>
      </c>
      <c r="I161" s="34">
        <v>11125.141242937852</v>
      </c>
      <c r="J161" s="34">
        <v>-8293.1506849315065</v>
      </c>
      <c r="K161" s="33">
        <v>0.12025316455696203</v>
      </c>
      <c r="L161" s="33">
        <v>0.2949921752738654</v>
      </c>
      <c r="M161" s="33">
        <v>0.18622848200312989</v>
      </c>
      <c r="N161" s="33">
        <v>0.54376657824933683</v>
      </c>
      <c r="O161" s="33">
        <v>0.3907563025210084</v>
      </c>
      <c r="P161" s="33">
        <v>0.51412429378531077</v>
      </c>
    </row>
    <row r="162" spans="1:16" x14ac:dyDescent="0.45">
      <c r="A162" s="35">
        <v>159</v>
      </c>
      <c r="B162" s="32">
        <v>699.60000000000048</v>
      </c>
      <c r="C162" s="32">
        <v>4.400000000000003</v>
      </c>
      <c r="D162" s="37">
        <v>1.9245283018867925</v>
      </c>
      <c r="E162" s="33">
        <v>0.39622641509433965</v>
      </c>
      <c r="F162" s="33">
        <v>0.32075471698113206</v>
      </c>
      <c r="G162" s="33">
        <v>0.27527216174183516</v>
      </c>
      <c r="H162" s="33">
        <v>0.17107309486780714</v>
      </c>
      <c r="I162" s="34">
        <v>11125.141242937852</v>
      </c>
      <c r="J162" s="34">
        <v>-8364.545454545454</v>
      </c>
      <c r="K162" s="33">
        <v>0.11949685534591195</v>
      </c>
      <c r="L162" s="33">
        <v>0.29471228615863143</v>
      </c>
      <c r="M162" s="33">
        <v>0.18662519440124417</v>
      </c>
      <c r="N162" s="33">
        <v>0.54089709762532978</v>
      </c>
      <c r="O162" s="33">
        <v>0.38750000000000001</v>
      </c>
      <c r="P162" s="33">
        <v>0.51412429378531077</v>
      </c>
    </row>
    <row r="163" spans="1:16" x14ac:dyDescent="0.45">
      <c r="A163" s="35">
        <v>160</v>
      </c>
      <c r="B163" s="32">
        <v>756.00000000000045</v>
      </c>
      <c r="C163" s="32">
        <v>4.7250000000000032</v>
      </c>
      <c r="D163" s="37">
        <v>1.91875</v>
      </c>
      <c r="E163" s="33">
        <v>0.4</v>
      </c>
      <c r="F163" s="33">
        <v>0.31874999999999998</v>
      </c>
      <c r="G163" s="33">
        <v>0.27777777777777779</v>
      </c>
      <c r="H163" s="33">
        <v>0.16975308641975309</v>
      </c>
      <c r="I163" s="34">
        <v>11043.611111111111</v>
      </c>
      <c r="J163" s="34">
        <v>-8364.545454545454</v>
      </c>
      <c r="K163" s="33">
        <v>0.11874999999999999</v>
      </c>
      <c r="L163" s="33">
        <v>0.29475308641975306</v>
      </c>
      <c r="M163" s="33">
        <v>0.18827160493827161</v>
      </c>
      <c r="N163" s="33">
        <v>0.54188481675392675</v>
      </c>
      <c r="O163" s="33">
        <v>0.39344262295081966</v>
      </c>
      <c r="P163" s="33">
        <v>0.51111111111111107</v>
      </c>
    </row>
    <row r="164" spans="1:16" x14ac:dyDescent="0.45">
      <c r="A164" s="35">
        <v>161</v>
      </c>
      <c r="B164" s="32">
        <v>796.40000000000043</v>
      </c>
      <c r="C164" s="32">
        <v>4.9465838509316793</v>
      </c>
      <c r="D164" s="37">
        <v>1.9130434782608696</v>
      </c>
      <c r="E164" s="33">
        <v>0.40372670807453415</v>
      </c>
      <c r="F164" s="33">
        <v>0.31677018633540371</v>
      </c>
      <c r="G164" s="33">
        <v>0.27807486631016043</v>
      </c>
      <c r="H164" s="33">
        <v>0.16883116883116883</v>
      </c>
      <c r="I164" s="34">
        <v>11031.868131868132</v>
      </c>
      <c r="J164" s="34">
        <v>-8361.538461538461</v>
      </c>
      <c r="K164" s="33">
        <v>0.11801242236024845</v>
      </c>
      <c r="L164" s="33">
        <v>0.29640947288006114</v>
      </c>
      <c r="M164" s="33">
        <v>0.18945760122230709</v>
      </c>
      <c r="N164" s="33">
        <v>0.54381443298969068</v>
      </c>
      <c r="O164" s="33">
        <v>0.38709677419354838</v>
      </c>
      <c r="P164" s="33">
        <v>0.51098901098901095</v>
      </c>
    </row>
    <row r="165" spans="1:16" x14ac:dyDescent="0.45">
      <c r="A165" s="35">
        <v>162</v>
      </c>
      <c r="B165" s="32">
        <v>777.80000000000041</v>
      </c>
      <c r="C165" s="32">
        <v>4.8012345679012371</v>
      </c>
      <c r="D165" s="37">
        <v>1.9197530864197532</v>
      </c>
      <c r="E165" s="33">
        <v>0.40123456790123457</v>
      </c>
      <c r="F165" s="33">
        <v>0.32098765432098764</v>
      </c>
      <c r="G165" s="33">
        <v>0.2778198334595004</v>
      </c>
      <c r="H165" s="33">
        <v>0.17108251324753973</v>
      </c>
      <c r="I165" s="34">
        <v>11012.534059945505</v>
      </c>
      <c r="J165" s="34">
        <v>-8283.6283185840712</v>
      </c>
      <c r="K165" s="33">
        <v>0.11728395061728394</v>
      </c>
      <c r="L165" s="33">
        <v>0.29598788796366388</v>
      </c>
      <c r="M165" s="33">
        <v>0.18849356548069643</v>
      </c>
      <c r="N165" s="33">
        <v>0.5421994884910486</v>
      </c>
      <c r="O165" s="33">
        <v>0.38955823293172692</v>
      </c>
      <c r="P165" s="33">
        <v>0.5122615803814714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CD793-2A8A-4595-B572-EE4382C91F3C}">
  <sheetPr codeName="Sheet14"/>
  <dimension ref="A1:Q10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169</v>
      </c>
      <c r="B1" s="36" t="s">
        <v>169</v>
      </c>
      <c r="C1" s="36" t="s">
        <v>169</v>
      </c>
      <c r="D1" s="37" t="s">
        <v>169</v>
      </c>
      <c r="E1" s="36" t="s">
        <v>169</v>
      </c>
      <c r="F1" s="36" t="s">
        <v>169</v>
      </c>
      <c r="G1" s="36" t="s">
        <v>169</v>
      </c>
      <c r="H1" s="36" t="s">
        <v>169</v>
      </c>
      <c r="I1" s="36" t="s">
        <v>169</v>
      </c>
      <c r="J1" s="36" t="s">
        <v>169</v>
      </c>
      <c r="K1" s="36" t="s">
        <v>169</v>
      </c>
      <c r="L1" s="36" t="s">
        <v>169</v>
      </c>
      <c r="M1" s="36" t="s">
        <v>169</v>
      </c>
      <c r="N1" s="36" t="s">
        <v>169</v>
      </c>
      <c r="O1" s="36" t="s">
        <v>169</v>
      </c>
      <c r="P1" s="36" t="s">
        <v>169</v>
      </c>
      <c r="Q1" s="36" t="s">
        <v>169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-37.799999999999997</v>
      </c>
      <c r="C4" s="32">
        <v>-37.799999999999997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0.18181818181818182</v>
      </c>
      <c r="I4" s="34">
        <v>2100</v>
      </c>
      <c r="J4" s="34">
        <v>-14900</v>
      </c>
      <c r="K4" s="33">
        <v>0</v>
      </c>
      <c r="L4" s="33">
        <v>0.27272727272727271</v>
      </c>
      <c r="M4" s="33">
        <v>0</v>
      </c>
      <c r="N4" s="33">
        <v>0</v>
      </c>
      <c r="O4" s="33">
        <v>0</v>
      </c>
      <c r="P4" s="33">
        <v>1</v>
      </c>
    </row>
    <row r="5" spans="1:17" x14ac:dyDescent="0.45">
      <c r="A5" s="35">
        <v>2</v>
      </c>
      <c r="B5" s="32">
        <v>-30.099999999999998</v>
      </c>
      <c r="C5" s="32">
        <v>-15.049999999999999</v>
      </c>
      <c r="D5" s="37">
        <v>2.5</v>
      </c>
      <c r="E5" s="33">
        <v>0</v>
      </c>
      <c r="F5" s="33">
        <v>0.5</v>
      </c>
      <c r="G5" s="33">
        <v>0.21052631578947367</v>
      </c>
      <c r="H5" s="33">
        <v>0.15789473684210525</v>
      </c>
      <c r="I5" s="34">
        <v>4750</v>
      </c>
      <c r="J5" s="34">
        <v>-11233.333333333334</v>
      </c>
      <c r="K5" s="33">
        <v>0</v>
      </c>
      <c r="L5" s="33">
        <v>0.26315789473684209</v>
      </c>
      <c r="M5" s="33">
        <v>0.26315789473684209</v>
      </c>
      <c r="N5" s="33">
        <v>0.4</v>
      </c>
      <c r="O5" s="33">
        <v>0.2</v>
      </c>
      <c r="P5" s="33">
        <v>0.25</v>
      </c>
    </row>
    <row r="6" spans="1:17" x14ac:dyDescent="0.45">
      <c r="A6" s="35">
        <v>3</v>
      </c>
      <c r="B6" s="32">
        <v>-17.599999999999998</v>
      </c>
      <c r="C6" s="32">
        <v>-5.8666666666666663</v>
      </c>
      <c r="D6" s="37">
        <v>2.3333333333333335</v>
      </c>
      <c r="E6" s="33">
        <v>0</v>
      </c>
      <c r="F6" s="33">
        <v>0.33333333333333331</v>
      </c>
      <c r="G6" s="33">
        <v>0.26666666666666666</v>
      </c>
      <c r="H6" s="33">
        <v>0.2</v>
      </c>
      <c r="I6" s="34">
        <v>5262.5</v>
      </c>
      <c r="J6" s="34">
        <v>-7716.666666666667</v>
      </c>
      <c r="K6" s="33">
        <v>0</v>
      </c>
      <c r="L6" s="33">
        <v>0.26666666666666666</v>
      </c>
      <c r="M6" s="33">
        <v>0.23333333333333334</v>
      </c>
      <c r="N6" s="33">
        <v>0.625</v>
      </c>
      <c r="O6" s="33">
        <v>0.14285714285714285</v>
      </c>
      <c r="P6" s="33">
        <v>0.25</v>
      </c>
    </row>
    <row r="7" spans="1:17" x14ac:dyDescent="0.45">
      <c r="A7" s="35">
        <v>4</v>
      </c>
      <c r="B7" s="32">
        <v>-54.899999999999991</v>
      </c>
      <c r="C7" s="32">
        <v>-13.724999999999998</v>
      </c>
      <c r="D7" s="37">
        <v>2.5</v>
      </c>
      <c r="E7" s="33">
        <v>0</v>
      </c>
      <c r="F7" s="33">
        <v>0.5</v>
      </c>
      <c r="G7" s="33">
        <v>0.28205128205128205</v>
      </c>
      <c r="H7" s="33">
        <v>0.20512820512820512</v>
      </c>
      <c r="I7" s="34">
        <v>5290.909090909091</v>
      </c>
      <c r="J7" s="34">
        <v>-10275</v>
      </c>
      <c r="K7" s="33">
        <v>0</v>
      </c>
      <c r="L7" s="33">
        <v>0.25641025641025639</v>
      </c>
      <c r="M7" s="33">
        <v>0.23076923076923078</v>
      </c>
      <c r="N7" s="33">
        <v>0.7</v>
      </c>
      <c r="O7" s="33">
        <v>0.1111111111111111</v>
      </c>
      <c r="P7" s="33">
        <v>0.18181818181818182</v>
      </c>
    </row>
    <row r="8" spans="1:17" x14ac:dyDescent="0.45">
      <c r="A8" s="35">
        <v>5</v>
      </c>
      <c r="B8" s="32">
        <v>-33.699999999999989</v>
      </c>
      <c r="C8" s="32">
        <v>-6.7399999999999975</v>
      </c>
      <c r="D8" s="37">
        <v>2.2000000000000002</v>
      </c>
      <c r="E8" s="33">
        <v>0.2</v>
      </c>
      <c r="F8" s="33">
        <v>0.4</v>
      </c>
      <c r="G8" s="33">
        <v>0.30612244897959184</v>
      </c>
      <c r="H8" s="33">
        <v>0.22448979591836735</v>
      </c>
      <c r="I8" s="34">
        <v>6226.666666666667</v>
      </c>
      <c r="J8" s="34">
        <v>-8127.272727272727</v>
      </c>
      <c r="K8" s="33">
        <v>0</v>
      </c>
      <c r="L8" s="33">
        <v>0.26530612244897961</v>
      </c>
      <c r="M8" s="33">
        <v>0.20408163265306123</v>
      </c>
      <c r="N8" s="33">
        <v>0.69230769230769229</v>
      </c>
      <c r="O8" s="33">
        <v>0.2</v>
      </c>
      <c r="P8" s="33">
        <v>0.26666666666666666</v>
      </c>
    </row>
    <row r="9" spans="1:17" x14ac:dyDescent="0.45">
      <c r="A9" s="35">
        <v>6</v>
      </c>
      <c r="B9" s="32">
        <v>-57.399999999999991</v>
      </c>
      <c r="C9" s="32">
        <v>-9.5666666666666647</v>
      </c>
      <c r="D9" s="37">
        <v>2.3333333333333335</v>
      </c>
      <c r="E9" s="33">
        <v>0.16666666666666666</v>
      </c>
      <c r="F9" s="33">
        <v>0.5</v>
      </c>
      <c r="G9" s="33">
        <v>0.2982456140350877</v>
      </c>
      <c r="H9" s="33">
        <v>0.22807017543859648</v>
      </c>
      <c r="I9" s="34">
        <v>6670.588235294118</v>
      </c>
      <c r="J9" s="34">
        <v>-8392.3076923076915</v>
      </c>
      <c r="K9" s="33">
        <v>0</v>
      </c>
      <c r="L9" s="33">
        <v>0.2807017543859649</v>
      </c>
      <c r="M9" s="33">
        <v>0.21052631578947367</v>
      </c>
      <c r="N9" s="33">
        <v>0.625</v>
      </c>
      <c r="O9" s="33">
        <v>0.25</v>
      </c>
      <c r="P9" s="33">
        <v>0.23529411764705882</v>
      </c>
    </row>
    <row r="10" spans="1:17" x14ac:dyDescent="0.45">
      <c r="A10" s="35">
        <v>7</v>
      </c>
      <c r="B10" s="32">
        <v>-39.499999999999993</v>
      </c>
      <c r="C10" s="32">
        <v>-5.6428571428571415</v>
      </c>
      <c r="D10" s="37">
        <v>2.2857142857142856</v>
      </c>
      <c r="E10" s="33">
        <v>0.14285714285714285</v>
      </c>
      <c r="F10" s="33">
        <v>0.42857142857142855</v>
      </c>
      <c r="G10" s="33">
        <v>0.29850746268656714</v>
      </c>
      <c r="H10" s="33">
        <v>0.20895522388059701</v>
      </c>
      <c r="I10" s="34">
        <v>7750</v>
      </c>
      <c r="J10" s="34">
        <v>-8071.4285714285716</v>
      </c>
      <c r="K10" s="33">
        <v>0</v>
      </c>
      <c r="L10" s="33">
        <v>0.26865671641791045</v>
      </c>
      <c r="M10" s="33">
        <v>0.19402985074626866</v>
      </c>
      <c r="N10" s="33">
        <v>0.66666666666666663</v>
      </c>
      <c r="O10" s="33">
        <v>0.23076923076923078</v>
      </c>
      <c r="P10" s="33">
        <v>0.3</v>
      </c>
    </row>
    <row r="11" spans="1:17" x14ac:dyDescent="0.45">
      <c r="A11" s="35">
        <v>8</v>
      </c>
      <c r="B11" s="32">
        <v>-62.999999999999993</v>
      </c>
      <c r="C11" s="32">
        <v>-7.8749999999999991</v>
      </c>
      <c r="D11" s="37">
        <v>2.375</v>
      </c>
      <c r="E11" s="33">
        <v>0.125</v>
      </c>
      <c r="F11" s="33">
        <v>0.5</v>
      </c>
      <c r="G11" s="33">
        <v>0.26315789473684209</v>
      </c>
      <c r="H11" s="33">
        <v>0.21052631578947367</v>
      </c>
      <c r="I11" s="34">
        <v>7750</v>
      </c>
      <c r="J11" s="34">
        <v>-7625</v>
      </c>
      <c r="K11" s="33">
        <v>0</v>
      </c>
      <c r="L11" s="33">
        <v>0.25</v>
      </c>
      <c r="M11" s="33">
        <v>0.19736842105263158</v>
      </c>
      <c r="N11" s="33">
        <v>0.63157894736842102</v>
      </c>
      <c r="O11" s="33">
        <v>0.2</v>
      </c>
      <c r="P11" s="33">
        <v>0.3</v>
      </c>
    </row>
    <row r="12" spans="1:17" x14ac:dyDescent="0.45">
      <c r="A12" s="35">
        <v>9</v>
      </c>
      <c r="B12" s="32">
        <v>-74.199999999999989</v>
      </c>
      <c r="C12" s="32">
        <v>-8.2444444444444436</v>
      </c>
      <c r="D12" s="37">
        <v>2.3333333333333335</v>
      </c>
      <c r="E12" s="33">
        <v>0.1111111111111111</v>
      </c>
      <c r="F12" s="33">
        <v>0.44444444444444442</v>
      </c>
      <c r="G12" s="33">
        <v>0.27058823529411763</v>
      </c>
      <c r="H12" s="33">
        <v>0.21176470588235294</v>
      </c>
      <c r="I12" s="34">
        <v>7686.95652173913</v>
      </c>
      <c r="J12" s="34">
        <v>-7872.2222222222226</v>
      </c>
      <c r="K12" s="33">
        <v>0</v>
      </c>
      <c r="L12" s="33">
        <v>0.24705882352941178</v>
      </c>
      <c r="M12" s="33">
        <v>0.17647058823529413</v>
      </c>
      <c r="N12" s="33">
        <v>0.61904761904761907</v>
      </c>
      <c r="O12" s="33">
        <v>0.2</v>
      </c>
      <c r="P12" s="33">
        <v>0.34782608695652173</v>
      </c>
    </row>
    <row r="13" spans="1:17" x14ac:dyDescent="0.45">
      <c r="A13" s="35">
        <v>10</v>
      </c>
      <c r="B13" s="32">
        <v>-117.19999999999999</v>
      </c>
      <c r="C13" s="32">
        <v>-11.719999999999999</v>
      </c>
      <c r="D13" s="37">
        <v>2.4</v>
      </c>
      <c r="E13" s="33">
        <v>0.1</v>
      </c>
      <c r="F13" s="33">
        <v>0.5</v>
      </c>
      <c r="G13" s="33">
        <v>0.23958333333333334</v>
      </c>
      <c r="H13" s="33">
        <v>0.22916666666666666</v>
      </c>
      <c r="I13" s="34">
        <v>7686.95652173913</v>
      </c>
      <c r="J13" s="34">
        <v>-7695.454545454545</v>
      </c>
      <c r="K13" s="33">
        <v>0</v>
      </c>
      <c r="L13" s="33">
        <v>0.23958333333333334</v>
      </c>
      <c r="M13" s="33">
        <v>0.15625</v>
      </c>
      <c r="N13" s="33">
        <v>0.56521739130434778</v>
      </c>
      <c r="O13" s="33">
        <v>0.2</v>
      </c>
      <c r="P13" s="33">
        <v>0.34782608695652173</v>
      </c>
    </row>
    <row r="14" spans="1:17" x14ac:dyDescent="0.45">
      <c r="A14" s="35">
        <v>11</v>
      </c>
      <c r="B14" s="32">
        <v>-177.29999999999998</v>
      </c>
      <c r="C14" s="32">
        <v>-16.118181818181817</v>
      </c>
      <c r="D14" s="37">
        <v>2.4545454545454546</v>
      </c>
      <c r="E14" s="33">
        <v>9.0909090909090912E-2</v>
      </c>
      <c r="F14" s="33">
        <v>0.54545454545454541</v>
      </c>
      <c r="G14" s="33">
        <v>0.23</v>
      </c>
      <c r="H14" s="33">
        <v>0.25</v>
      </c>
      <c r="I14" s="34">
        <v>7686.95652173913</v>
      </c>
      <c r="J14" s="34">
        <v>-8256</v>
      </c>
      <c r="K14" s="33">
        <v>9.0909090909090912E-2</v>
      </c>
      <c r="L14" s="33">
        <v>0.24</v>
      </c>
      <c r="M14" s="33">
        <v>0.15</v>
      </c>
      <c r="N14" s="33">
        <v>0.54166666666666663</v>
      </c>
      <c r="O14" s="33">
        <v>0.2</v>
      </c>
      <c r="P14" s="33">
        <v>0.34782608695652173</v>
      </c>
    </row>
    <row r="15" spans="1:17" x14ac:dyDescent="0.45">
      <c r="A15" s="35">
        <v>12</v>
      </c>
      <c r="B15" s="32">
        <v>-158.6</v>
      </c>
      <c r="C15" s="32">
        <v>-13.216666666666667</v>
      </c>
      <c r="D15" s="37">
        <v>2.4166666666666665</v>
      </c>
      <c r="E15" s="33">
        <v>8.3333333333333329E-2</v>
      </c>
      <c r="F15" s="33">
        <v>0.5</v>
      </c>
      <c r="G15" s="33">
        <v>0.23636363636363636</v>
      </c>
      <c r="H15" s="33">
        <v>0.23636363636363636</v>
      </c>
      <c r="I15" s="34">
        <v>7769.2307692307695</v>
      </c>
      <c r="J15" s="34">
        <v>-8015.3846153846152</v>
      </c>
      <c r="K15" s="33">
        <v>8.3333333333333329E-2</v>
      </c>
      <c r="L15" s="33">
        <v>0.24545454545454545</v>
      </c>
      <c r="M15" s="33">
        <v>0.15454545454545454</v>
      </c>
      <c r="N15" s="33">
        <v>0.59259259259259256</v>
      </c>
      <c r="O15" s="33">
        <v>0.17647058823529413</v>
      </c>
      <c r="P15" s="33">
        <v>0.34615384615384615</v>
      </c>
    </row>
    <row r="16" spans="1:17" x14ac:dyDescent="0.45">
      <c r="A16" s="35">
        <v>13</v>
      </c>
      <c r="B16" s="32">
        <v>-207.3</v>
      </c>
      <c r="C16" s="32">
        <v>-15.946153846153846</v>
      </c>
      <c r="D16" s="37">
        <v>2.4615384615384617</v>
      </c>
      <c r="E16" s="33">
        <v>7.6923076923076927E-2</v>
      </c>
      <c r="F16" s="33">
        <v>0.53846153846153844</v>
      </c>
      <c r="G16" s="33">
        <v>0.23529411764705882</v>
      </c>
      <c r="H16" s="33">
        <v>0.24369747899159663</v>
      </c>
      <c r="I16" s="34">
        <v>7928.5714285714284</v>
      </c>
      <c r="J16" s="34">
        <v>-8551.7241379310344</v>
      </c>
      <c r="K16" s="33">
        <v>0.15384615384615385</v>
      </c>
      <c r="L16" s="33">
        <v>0.26050420168067229</v>
      </c>
      <c r="M16" s="33">
        <v>0.15966386554621848</v>
      </c>
      <c r="N16" s="33">
        <v>0.58064516129032262</v>
      </c>
      <c r="O16" s="33">
        <v>0.15789473684210525</v>
      </c>
      <c r="P16" s="33">
        <v>0.32142857142857145</v>
      </c>
    </row>
    <row r="17" spans="1:16" x14ac:dyDescent="0.45">
      <c r="A17" s="35">
        <v>14</v>
      </c>
      <c r="B17" s="32">
        <v>-204.8</v>
      </c>
      <c r="C17" s="32">
        <v>-14.62857142857143</v>
      </c>
      <c r="D17" s="37">
        <v>2.4285714285714284</v>
      </c>
      <c r="E17" s="33">
        <v>7.1428571428571425E-2</v>
      </c>
      <c r="F17" s="33">
        <v>0.5</v>
      </c>
      <c r="G17" s="33">
        <v>0.2421875</v>
      </c>
      <c r="H17" s="33">
        <v>0.25</v>
      </c>
      <c r="I17" s="34">
        <v>8000</v>
      </c>
      <c r="J17" s="34">
        <v>-8203.125</v>
      </c>
      <c r="K17" s="33">
        <v>0.14285714285714285</v>
      </c>
      <c r="L17" s="33">
        <v>0.25</v>
      </c>
      <c r="M17" s="33">
        <v>0.171875</v>
      </c>
      <c r="N17" s="33">
        <v>0.59375</v>
      </c>
      <c r="O17" s="33">
        <v>0.22727272727272727</v>
      </c>
      <c r="P17" s="33">
        <v>0.35483870967741937</v>
      </c>
    </row>
    <row r="18" spans="1:16" x14ac:dyDescent="0.45">
      <c r="A18" s="35">
        <v>15</v>
      </c>
      <c r="B18" s="32">
        <v>-221.5</v>
      </c>
      <c r="C18" s="32">
        <v>-14.766666666666667</v>
      </c>
      <c r="D18" s="37">
        <v>2.4666666666666668</v>
      </c>
      <c r="E18" s="33">
        <v>6.6666666666666666E-2</v>
      </c>
      <c r="F18" s="33">
        <v>0.53333333333333333</v>
      </c>
      <c r="G18" s="33">
        <v>0.25362318840579712</v>
      </c>
      <c r="H18" s="33">
        <v>0.24637681159420291</v>
      </c>
      <c r="I18" s="34">
        <v>7902.8571428571431</v>
      </c>
      <c r="J18" s="34">
        <v>-8285.2941176470595</v>
      </c>
      <c r="K18" s="33">
        <v>0.13333333333333333</v>
      </c>
      <c r="L18" s="33">
        <v>0.25362318840579712</v>
      </c>
      <c r="M18" s="33">
        <v>0.18840579710144928</v>
      </c>
      <c r="N18" s="33">
        <v>0.6</v>
      </c>
      <c r="O18" s="33">
        <v>0.26923076923076922</v>
      </c>
      <c r="P18" s="33">
        <v>0.37142857142857144</v>
      </c>
    </row>
    <row r="19" spans="1:16" x14ac:dyDescent="0.45">
      <c r="A19" s="35">
        <v>16</v>
      </c>
      <c r="B19" s="32">
        <v>-224.3</v>
      </c>
      <c r="C19" s="32">
        <v>-14.018750000000001</v>
      </c>
      <c r="D19" s="37">
        <v>2.4375</v>
      </c>
      <c r="E19" s="33">
        <v>6.25E-2</v>
      </c>
      <c r="F19" s="33">
        <v>0.5</v>
      </c>
      <c r="G19" s="33">
        <v>0.26666666666666666</v>
      </c>
      <c r="H19" s="33">
        <v>0.23333333333333334</v>
      </c>
      <c r="I19" s="34">
        <v>7385</v>
      </c>
      <c r="J19" s="34">
        <v>-8214.2857142857138</v>
      </c>
      <c r="K19" s="33">
        <v>0.125</v>
      </c>
      <c r="L19" s="33">
        <v>0.25333333333333335</v>
      </c>
      <c r="M19" s="33">
        <v>0.19333333333333333</v>
      </c>
      <c r="N19" s="33">
        <v>0.60526315789473684</v>
      </c>
      <c r="O19" s="33">
        <v>0.31034482758620691</v>
      </c>
      <c r="P19" s="33">
        <v>0.375</v>
      </c>
    </row>
    <row r="20" spans="1:16" x14ac:dyDescent="0.45">
      <c r="A20" s="35">
        <v>17</v>
      </c>
      <c r="B20" s="32">
        <v>-251.4</v>
      </c>
      <c r="C20" s="32">
        <v>-14.788235294117648</v>
      </c>
      <c r="D20" s="37">
        <v>2.4705882352941178</v>
      </c>
      <c r="E20" s="33">
        <v>5.8823529411764705E-2</v>
      </c>
      <c r="F20" s="33">
        <v>0.52941176470588236</v>
      </c>
      <c r="G20" s="33">
        <v>0.25477707006369427</v>
      </c>
      <c r="H20" s="33">
        <v>0.24203821656050956</v>
      </c>
      <c r="I20" s="34">
        <v>7385</v>
      </c>
      <c r="J20" s="34">
        <v>-7931.5789473684208</v>
      </c>
      <c r="K20" s="33">
        <v>0.11764705882352941</v>
      </c>
      <c r="L20" s="33">
        <v>0.24203821656050956</v>
      </c>
      <c r="M20" s="33">
        <v>0.18471337579617833</v>
      </c>
      <c r="N20" s="33">
        <v>0.60526315789473684</v>
      </c>
      <c r="O20" s="33">
        <v>0.31034482758620691</v>
      </c>
      <c r="P20" s="33">
        <v>0.375</v>
      </c>
    </row>
    <row r="21" spans="1:16" x14ac:dyDescent="0.45">
      <c r="A21" s="35">
        <v>18</v>
      </c>
      <c r="B21" s="32">
        <v>-240</v>
      </c>
      <c r="C21" s="32">
        <v>-13.333333333333334</v>
      </c>
      <c r="D21" s="37">
        <v>2.4444444444444446</v>
      </c>
      <c r="E21" s="33">
        <v>5.5555555555555552E-2</v>
      </c>
      <c r="F21" s="33">
        <v>0.5</v>
      </c>
      <c r="G21" s="33">
        <v>0.26347305389221559</v>
      </c>
      <c r="H21" s="33">
        <v>0.22754491017964071</v>
      </c>
      <c r="I21" s="34">
        <v>7393.181818181818</v>
      </c>
      <c r="J21" s="34">
        <v>-7931.5789473684208</v>
      </c>
      <c r="K21" s="33">
        <v>0.1111111111111111</v>
      </c>
      <c r="L21" s="33">
        <v>0.25149700598802394</v>
      </c>
      <c r="M21" s="33">
        <v>0.19161676646706588</v>
      </c>
      <c r="N21" s="33">
        <v>0.59523809523809523</v>
      </c>
      <c r="O21" s="33">
        <v>0.34375</v>
      </c>
      <c r="P21" s="33">
        <v>0.38636363636363635</v>
      </c>
    </row>
    <row r="22" spans="1:16" x14ac:dyDescent="0.45">
      <c r="A22" s="35">
        <v>19</v>
      </c>
      <c r="B22" s="32">
        <v>-218</v>
      </c>
      <c r="C22" s="32">
        <v>-11.473684210526315</v>
      </c>
      <c r="D22" s="37">
        <v>2.3684210526315788</v>
      </c>
      <c r="E22" s="33">
        <v>0.10526315789473684</v>
      </c>
      <c r="F22" s="33">
        <v>0.47368421052631576</v>
      </c>
      <c r="G22" s="33">
        <v>0.2768361581920904</v>
      </c>
      <c r="H22" s="33">
        <v>0.22033898305084745</v>
      </c>
      <c r="I22" s="34">
        <v>7220.408163265306</v>
      </c>
      <c r="J22" s="34">
        <v>-7933.333333333333</v>
      </c>
      <c r="K22" s="33">
        <v>0.10526315789473684</v>
      </c>
      <c r="L22" s="33">
        <v>0.24858757062146894</v>
      </c>
      <c r="M22" s="33">
        <v>0.19774011299435029</v>
      </c>
      <c r="N22" s="33">
        <v>0.59090909090909094</v>
      </c>
      <c r="O22" s="33">
        <v>0.4</v>
      </c>
      <c r="P22" s="33">
        <v>0.36734693877551022</v>
      </c>
    </row>
    <row r="23" spans="1:16" x14ac:dyDescent="0.45">
      <c r="A23" s="35">
        <v>20</v>
      </c>
      <c r="B23" s="32">
        <v>-177.6</v>
      </c>
      <c r="C23" s="32">
        <v>-8.879999999999999</v>
      </c>
      <c r="D23" s="37">
        <v>2.2999999999999998</v>
      </c>
      <c r="E23" s="33">
        <v>0.15</v>
      </c>
      <c r="F23" s="33">
        <v>0.45</v>
      </c>
      <c r="G23" s="33">
        <v>0.28176795580110497</v>
      </c>
      <c r="H23" s="33">
        <v>0.21546961325966851</v>
      </c>
      <c r="I23" s="34">
        <v>7464.7058823529414</v>
      </c>
      <c r="J23" s="34">
        <v>-7933.333333333333</v>
      </c>
      <c r="K23" s="33">
        <v>0.1</v>
      </c>
      <c r="L23" s="33">
        <v>0.24861878453038674</v>
      </c>
      <c r="M23" s="33">
        <v>0.20441988950276244</v>
      </c>
      <c r="N23" s="33">
        <v>0.6</v>
      </c>
      <c r="O23" s="33">
        <v>0.40540540540540543</v>
      </c>
      <c r="P23" s="33">
        <v>0.35294117647058826</v>
      </c>
    </row>
    <row r="24" spans="1:16" x14ac:dyDescent="0.45">
      <c r="A24" s="35">
        <v>21</v>
      </c>
      <c r="B24" s="32">
        <v>-133.30000000000001</v>
      </c>
      <c r="C24" s="32">
        <v>-6.3476190476190482</v>
      </c>
      <c r="D24" s="37">
        <v>2.2380952380952381</v>
      </c>
      <c r="E24" s="33">
        <v>0.19047619047619047</v>
      </c>
      <c r="F24" s="33">
        <v>0.42857142857142855</v>
      </c>
      <c r="G24" s="33">
        <v>0.29411764705882354</v>
      </c>
      <c r="H24" s="33">
        <v>0.21390374331550802</v>
      </c>
      <c r="I24" s="34">
        <v>7780</v>
      </c>
      <c r="J24" s="34">
        <v>-7832.5</v>
      </c>
      <c r="K24" s="33">
        <v>9.5238095238095233E-2</v>
      </c>
      <c r="L24" s="33">
        <v>0.25133689839572193</v>
      </c>
      <c r="M24" s="33">
        <v>0.20855614973262032</v>
      </c>
      <c r="N24" s="33">
        <v>0.61702127659574468</v>
      </c>
      <c r="O24" s="33">
        <v>0.4358974358974359</v>
      </c>
      <c r="P24" s="33">
        <v>0.34545454545454546</v>
      </c>
    </row>
    <row r="25" spans="1:16" x14ac:dyDescent="0.45">
      <c r="A25" s="35">
        <v>22</v>
      </c>
      <c r="B25" s="32">
        <v>-164.60000000000002</v>
      </c>
      <c r="C25" s="32">
        <v>-7.4818181818181833</v>
      </c>
      <c r="D25" s="37">
        <v>2.2727272727272729</v>
      </c>
      <c r="E25" s="33">
        <v>0.18181818181818182</v>
      </c>
      <c r="F25" s="33">
        <v>0.45454545454545453</v>
      </c>
      <c r="G25" s="33">
        <v>0.28717948717948716</v>
      </c>
      <c r="H25" s="33">
        <v>0.21025641025641026</v>
      </c>
      <c r="I25" s="34">
        <v>7778.5714285714284</v>
      </c>
      <c r="J25" s="34">
        <v>-7934.1463414634145</v>
      </c>
      <c r="K25" s="33">
        <v>9.0909090909090912E-2</v>
      </c>
      <c r="L25" s="33">
        <v>0.24615384615384617</v>
      </c>
      <c r="M25" s="33">
        <v>0.2</v>
      </c>
      <c r="N25" s="33">
        <v>0.625</v>
      </c>
      <c r="O25" s="33">
        <v>0.4358974358974359</v>
      </c>
      <c r="P25" s="33">
        <v>0.35714285714285715</v>
      </c>
    </row>
    <row r="26" spans="1:16" x14ac:dyDescent="0.45">
      <c r="A26" s="35">
        <v>23</v>
      </c>
      <c r="B26" s="32">
        <v>-162.70000000000002</v>
      </c>
      <c r="C26" s="32">
        <v>-7.073913043478262</v>
      </c>
      <c r="D26" s="37">
        <v>2.2608695652173911</v>
      </c>
      <c r="E26" s="33">
        <v>0.17391304347826086</v>
      </c>
      <c r="F26" s="33">
        <v>0.43478260869565216</v>
      </c>
      <c r="G26" s="33">
        <v>0.29207920792079206</v>
      </c>
      <c r="H26" s="33">
        <v>0.20297029702970298</v>
      </c>
      <c r="I26" s="34">
        <v>7488.1355932203387</v>
      </c>
      <c r="J26" s="34">
        <v>-7934.1463414634145</v>
      </c>
      <c r="K26" s="33">
        <v>8.6956521739130432E-2</v>
      </c>
      <c r="L26" s="33">
        <v>0.25247524752475248</v>
      </c>
      <c r="M26" s="33">
        <v>0.19801980198019803</v>
      </c>
      <c r="N26" s="33">
        <v>0.6470588235294118</v>
      </c>
      <c r="O26" s="33">
        <v>0.42499999999999999</v>
      </c>
      <c r="P26" s="33">
        <v>0.3728813559322034</v>
      </c>
    </row>
    <row r="27" spans="1:16" x14ac:dyDescent="0.45">
      <c r="A27" s="35">
        <v>24</v>
      </c>
      <c r="B27" s="32">
        <v>-163.00000000000003</v>
      </c>
      <c r="C27" s="32">
        <v>-6.7916666666666679</v>
      </c>
      <c r="D27" s="37">
        <v>2.25</v>
      </c>
      <c r="E27" s="33">
        <v>0.16666666666666666</v>
      </c>
      <c r="F27" s="33">
        <v>0.41666666666666669</v>
      </c>
      <c r="G27" s="33">
        <v>0.29523809523809524</v>
      </c>
      <c r="H27" s="33">
        <v>0.19523809523809524</v>
      </c>
      <c r="I27" s="34">
        <v>7233.8709677419356</v>
      </c>
      <c r="J27" s="34">
        <v>-7934.1463414634145</v>
      </c>
      <c r="K27" s="33">
        <v>8.3333333333333329E-2</v>
      </c>
      <c r="L27" s="33">
        <v>0.26666666666666666</v>
      </c>
      <c r="M27" s="33">
        <v>0.19047619047619047</v>
      </c>
      <c r="N27" s="33">
        <v>0.6071428571428571</v>
      </c>
      <c r="O27" s="33">
        <v>0.42499999999999999</v>
      </c>
      <c r="P27" s="33">
        <v>0.37096774193548387</v>
      </c>
    </row>
    <row r="28" spans="1:16" x14ac:dyDescent="0.45">
      <c r="A28" s="35">
        <v>25</v>
      </c>
      <c r="B28" s="32">
        <v>-185.00000000000003</v>
      </c>
      <c r="C28" s="32">
        <v>-7.4000000000000012</v>
      </c>
      <c r="D28" s="37">
        <v>2.2799999999999998</v>
      </c>
      <c r="E28" s="33">
        <v>0.16</v>
      </c>
      <c r="F28" s="33">
        <v>0.44</v>
      </c>
      <c r="G28" s="33">
        <v>0.29357798165137616</v>
      </c>
      <c r="H28" s="33">
        <v>0.20183486238532111</v>
      </c>
      <c r="I28" s="34">
        <v>7193.75</v>
      </c>
      <c r="J28" s="34">
        <v>-7665.909090909091</v>
      </c>
      <c r="K28" s="33">
        <v>0.08</v>
      </c>
      <c r="L28" s="33">
        <v>0.28440366972477066</v>
      </c>
      <c r="M28" s="33">
        <v>0.18807339449541285</v>
      </c>
      <c r="N28" s="33">
        <v>0.58064516129032262</v>
      </c>
      <c r="O28" s="33">
        <v>0.41463414634146339</v>
      </c>
      <c r="P28" s="33">
        <v>0.375</v>
      </c>
    </row>
    <row r="29" spans="1:16" x14ac:dyDescent="0.45">
      <c r="A29" s="35">
        <v>26</v>
      </c>
      <c r="B29" s="32">
        <v>-186.00000000000003</v>
      </c>
      <c r="C29" s="32">
        <v>-7.1538461538461551</v>
      </c>
      <c r="D29" s="37">
        <v>2.2692307692307692</v>
      </c>
      <c r="E29" s="33">
        <v>0.15384615384615385</v>
      </c>
      <c r="F29" s="33">
        <v>0.42307692307692307</v>
      </c>
      <c r="G29" s="33">
        <v>0.28444444444444444</v>
      </c>
      <c r="H29" s="33">
        <v>0.19555555555555557</v>
      </c>
      <c r="I29" s="34">
        <v>7193.75</v>
      </c>
      <c r="J29" s="34">
        <v>-7665.909090909091</v>
      </c>
      <c r="K29" s="33">
        <v>7.6923076923076927E-2</v>
      </c>
      <c r="L29" s="33">
        <v>0.28000000000000003</v>
      </c>
      <c r="M29" s="33">
        <v>0.18666666666666668</v>
      </c>
      <c r="N29" s="33">
        <v>0.5714285714285714</v>
      </c>
      <c r="O29" s="33">
        <v>0.40476190476190477</v>
      </c>
      <c r="P29" s="33">
        <v>0.375</v>
      </c>
    </row>
    <row r="30" spans="1:16" x14ac:dyDescent="0.45">
      <c r="A30" s="35">
        <v>27</v>
      </c>
      <c r="B30" s="32">
        <v>-163.00000000000003</v>
      </c>
      <c r="C30" s="32">
        <v>-6.0370370370370381</v>
      </c>
      <c r="D30" s="37">
        <v>2.2222222222222223</v>
      </c>
      <c r="E30" s="33">
        <v>0.18518518518518517</v>
      </c>
      <c r="F30" s="33">
        <v>0.40740740740740738</v>
      </c>
      <c r="G30" s="33">
        <v>0.28755364806866951</v>
      </c>
      <c r="H30" s="33">
        <v>0.19313304721030042</v>
      </c>
      <c r="I30" s="34">
        <v>7349.253731343284</v>
      </c>
      <c r="J30" s="34">
        <v>-7762.2222222222226</v>
      </c>
      <c r="K30" s="33">
        <v>7.407407407407407E-2</v>
      </c>
      <c r="L30" s="33">
        <v>0.27896995708154504</v>
      </c>
      <c r="M30" s="33">
        <v>0.19313304721030042</v>
      </c>
      <c r="N30" s="33">
        <v>0.56923076923076921</v>
      </c>
      <c r="O30" s="33">
        <v>0.42222222222222222</v>
      </c>
      <c r="P30" s="33">
        <v>0.38805970149253732</v>
      </c>
    </row>
    <row r="31" spans="1:16" x14ac:dyDescent="0.45">
      <c r="A31" s="35">
        <v>28</v>
      </c>
      <c r="B31" s="32">
        <v>-181.70000000000002</v>
      </c>
      <c r="C31" s="32">
        <v>-6.4892857142857148</v>
      </c>
      <c r="D31" s="37">
        <v>2.2142857142857144</v>
      </c>
      <c r="E31" s="33">
        <v>0.17857142857142858</v>
      </c>
      <c r="F31" s="33">
        <v>0.39285714285714285</v>
      </c>
      <c r="G31" s="33">
        <v>0.2863070539419087</v>
      </c>
      <c r="H31" s="33">
        <v>0.1908713692946058</v>
      </c>
      <c r="I31" s="34">
        <v>7308.695652173913</v>
      </c>
      <c r="J31" s="34">
        <v>-7678.260869565217</v>
      </c>
      <c r="K31" s="33">
        <v>7.1428571428571425E-2</v>
      </c>
      <c r="L31" s="33">
        <v>0.27800829875518673</v>
      </c>
      <c r="M31" s="33">
        <v>0.18672199170124482</v>
      </c>
      <c r="N31" s="33">
        <v>0.58208955223880599</v>
      </c>
      <c r="O31" s="33">
        <v>0.42222222222222222</v>
      </c>
      <c r="P31" s="33">
        <v>0.37681159420289856</v>
      </c>
    </row>
    <row r="32" spans="1:16" x14ac:dyDescent="0.45">
      <c r="A32" s="35">
        <v>29</v>
      </c>
      <c r="B32" s="32">
        <v>-159.9</v>
      </c>
      <c r="C32" s="32">
        <v>-5.5137931034482763</v>
      </c>
      <c r="D32" s="37">
        <v>2.1724137931034484</v>
      </c>
      <c r="E32" s="33">
        <v>0.20689655172413793</v>
      </c>
      <c r="F32" s="33">
        <v>0.37931034482758619</v>
      </c>
      <c r="G32" s="33">
        <v>0.28629032258064518</v>
      </c>
      <c r="H32" s="33">
        <v>0.18951612903225806</v>
      </c>
      <c r="I32" s="34">
        <v>7497.1830985915494</v>
      </c>
      <c r="J32" s="34">
        <v>-7557.4468085106382</v>
      </c>
      <c r="K32" s="33">
        <v>6.8965517241379309E-2</v>
      </c>
      <c r="L32" s="33">
        <v>0.27822580645161288</v>
      </c>
      <c r="M32" s="33">
        <v>0.18145161290322581</v>
      </c>
      <c r="N32" s="33">
        <v>0.59420289855072461</v>
      </c>
      <c r="O32" s="33">
        <v>0.42222222222222222</v>
      </c>
      <c r="P32" s="33">
        <v>0.39436619718309857</v>
      </c>
    </row>
    <row r="33" spans="1:16" x14ac:dyDescent="0.45">
      <c r="A33" s="35">
        <v>30</v>
      </c>
      <c r="B33" s="32">
        <v>-175.6</v>
      </c>
      <c r="C33" s="32">
        <v>-5.8533333333333335</v>
      </c>
      <c r="D33" s="37">
        <v>2.2000000000000002</v>
      </c>
      <c r="E33" s="33">
        <v>0.2</v>
      </c>
      <c r="F33" s="33">
        <v>0.4</v>
      </c>
      <c r="G33" s="33">
        <v>0.28515625</v>
      </c>
      <c r="H33" s="33">
        <v>0.19140625</v>
      </c>
      <c r="I33" s="34">
        <v>7424.6575342465758</v>
      </c>
      <c r="J33" s="34">
        <v>-7348.9795918367345</v>
      </c>
      <c r="K33" s="33">
        <v>6.6666666666666666E-2</v>
      </c>
      <c r="L33" s="33">
        <v>0.28125</v>
      </c>
      <c r="M33" s="33">
        <v>0.1796875</v>
      </c>
      <c r="N33" s="33">
        <v>0.58333333333333337</v>
      </c>
      <c r="O33" s="33">
        <v>0.43478260869565216</v>
      </c>
      <c r="P33" s="33">
        <v>0.38356164383561642</v>
      </c>
    </row>
    <row r="34" spans="1:16" x14ac:dyDescent="0.45">
      <c r="A34" s="35">
        <v>31</v>
      </c>
      <c r="B34" s="32">
        <v>-212.6</v>
      </c>
      <c r="C34" s="32">
        <v>-6.8580645161290317</v>
      </c>
      <c r="D34" s="37">
        <v>2.225806451612903</v>
      </c>
      <c r="E34" s="33">
        <v>0.19354838709677419</v>
      </c>
      <c r="F34" s="33">
        <v>0.41935483870967744</v>
      </c>
      <c r="G34" s="33">
        <v>0.28464419475655428</v>
      </c>
      <c r="H34" s="33">
        <v>0.19850187265917604</v>
      </c>
      <c r="I34" s="34">
        <v>7410.5263157894733</v>
      </c>
      <c r="J34" s="34">
        <v>-7345.2830188679245</v>
      </c>
      <c r="K34" s="33">
        <v>6.4516129032258063E-2</v>
      </c>
      <c r="L34" s="33">
        <v>0.2808988764044944</v>
      </c>
      <c r="M34" s="33">
        <v>0.1797752808988764</v>
      </c>
      <c r="N34" s="33">
        <v>0.58666666666666667</v>
      </c>
      <c r="O34" s="33">
        <v>0.4375</v>
      </c>
      <c r="P34" s="33">
        <v>0.38157894736842107</v>
      </c>
    </row>
    <row r="35" spans="1:16" x14ac:dyDescent="0.45">
      <c r="A35" s="35">
        <v>32</v>
      </c>
      <c r="B35" s="32">
        <v>-244.8</v>
      </c>
      <c r="C35" s="32">
        <v>-7.65</v>
      </c>
      <c r="D35" s="37">
        <v>2.25</v>
      </c>
      <c r="E35" s="33">
        <v>0.1875</v>
      </c>
      <c r="F35" s="33">
        <v>0.4375</v>
      </c>
      <c r="G35" s="33">
        <v>0.28260869565217389</v>
      </c>
      <c r="H35" s="33">
        <v>0.19565217391304349</v>
      </c>
      <c r="I35" s="34">
        <v>7312.8205128205127</v>
      </c>
      <c r="J35" s="34">
        <v>-7351.8518518518522</v>
      </c>
      <c r="K35" s="33">
        <v>6.25E-2</v>
      </c>
      <c r="L35" s="33">
        <v>0.27536231884057971</v>
      </c>
      <c r="M35" s="33">
        <v>0.18115942028985507</v>
      </c>
      <c r="N35" s="33">
        <v>0.57894736842105265</v>
      </c>
      <c r="O35" s="33">
        <v>0.44</v>
      </c>
      <c r="P35" s="33">
        <v>0.38461538461538464</v>
      </c>
    </row>
    <row r="36" spans="1:16" x14ac:dyDescent="0.45">
      <c r="A36" s="35">
        <v>33</v>
      </c>
      <c r="B36" s="32">
        <v>-261.3</v>
      </c>
      <c r="C36" s="32">
        <v>-7.9181818181818189</v>
      </c>
      <c r="D36" s="37">
        <v>2.2727272727272729</v>
      </c>
      <c r="E36" s="33">
        <v>0.18181818181818182</v>
      </c>
      <c r="F36" s="33">
        <v>0.45454545454545453</v>
      </c>
      <c r="G36" s="33">
        <v>0.28521126760563381</v>
      </c>
      <c r="H36" s="33">
        <v>0.19366197183098591</v>
      </c>
      <c r="I36" s="34">
        <v>7334.5679012345681</v>
      </c>
      <c r="J36" s="34">
        <v>-7358.181818181818</v>
      </c>
      <c r="K36" s="33">
        <v>6.0606060606060608E-2</v>
      </c>
      <c r="L36" s="33">
        <v>0.28521126760563381</v>
      </c>
      <c r="M36" s="33">
        <v>0.176056338028169</v>
      </c>
      <c r="N36" s="33">
        <v>0.58024691358024694</v>
      </c>
      <c r="O36" s="33">
        <v>0.44</v>
      </c>
      <c r="P36" s="33">
        <v>0.39506172839506171</v>
      </c>
    </row>
    <row r="37" spans="1:16" x14ac:dyDescent="0.45">
      <c r="A37" s="35">
        <v>34</v>
      </c>
      <c r="B37" s="32">
        <v>-236.8</v>
      </c>
      <c r="C37" s="32">
        <v>-6.9647058823529413</v>
      </c>
      <c r="D37" s="37">
        <v>2.2352941176470589</v>
      </c>
      <c r="E37" s="33">
        <v>0.20588235294117646</v>
      </c>
      <c r="F37" s="33">
        <v>0.44117647058823528</v>
      </c>
      <c r="G37" s="33">
        <v>0.28474576271186441</v>
      </c>
      <c r="H37" s="33">
        <v>0.19661016949152543</v>
      </c>
      <c r="I37" s="34">
        <v>7525</v>
      </c>
      <c r="J37" s="34">
        <v>-7244.8275862068967</v>
      </c>
      <c r="K37" s="33">
        <v>5.8823529411764705E-2</v>
      </c>
      <c r="L37" s="33">
        <v>0.28135593220338984</v>
      </c>
      <c r="M37" s="33">
        <v>0.17627118644067796</v>
      </c>
      <c r="N37" s="33">
        <v>0.59036144578313254</v>
      </c>
      <c r="O37" s="33">
        <v>0.42307692307692307</v>
      </c>
      <c r="P37" s="33">
        <v>0.39285714285714285</v>
      </c>
    </row>
    <row r="38" spans="1:16" x14ac:dyDescent="0.45">
      <c r="A38" s="35">
        <v>35</v>
      </c>
      <c r="B38" s="32">
        <v>-264.60000000000002</v>
      </c>
      <c r="C38" s="32">
        <v>-7.5600000000000005</v>
      </c>
      <c r="D38" s="37">
        <v>2.2571428571428571</v>
      </c>
      <c r="E38" s="33">
        <v>0.2</v>
      </c>
      <c r="F38" s="33">
        <v>0.45714285714285713</v>
      </c>
      <c r="G38" s="33">
        <v>0.2814569536423841</v>
      </c>
      <c r="H38" s="33">
        <v>0.19536423841059603</v>
      </c>
      <c r="I38" s="34">
        <v>7483.5294117647063</v>
      </c>
      <c r="J38" s="34">
        <v>-7257.6271186440681</v>
      </c>
      <c r="K38" s="33">
        <v>5.7142857142857141E-2</v>
      </c>
      <c r="L38" s="33">
        <v>0.27814569536423839</v>
      </c>
      <c r="M38" s="33">
        <v>0.17218543046357615</v>
      </c>
      <c r="N38" s="33">
        <v>0.59523809523809523</v>
      </c>
      <c r="O38" s="33">
        <v>0.42307692307692307</v>
      </c>
      <c r="P38" s="33">
        <v>0.4</v>
      </c>
    </row>
    <row r="39" spans="1:16" x14ac:dyDescent="0.45">
      <c r="A39" s="35">
        <v>36</v>
      </c>
      <c r="B39" s="32">
        <v>-252.20000000000002</v>
      </c>
      <c r="C39" s="32">
        <v>-7.0055555555555564</v>
      </c>
      <c r="D39" s="37">
        <v>2.2222222222222223</v>
      </c>
      <c r="E39" s="33">
        <v>0.22222222222222221</v>
      </c>
      <c r="F39" s="33">
        <v>0.44444444444444442</v>
      </c>
      <c r="G39" s="33">
        <v>0.28064516129032258</v>
      </c>
      <c r="H39" s="33">
        <v>0.20322580645161289</v>
      </c>
      <c r="I39" s="34">
        <v>7537.9310344827591</v>
      </c>
      <c r="J39" s="34">
        <v>-7063.4920634920636</v>
      </c>
      <c r="K39" s="33">
        <v>5.5555555555555552E-2</v>
      </c>
      <c r="L39" s="33">
        <v>0.28387096774193549</v>
      </c>
      <c r="M39" s="33">
        <v>0.17419354838709677</v>
      </c>
      <c r="N39" s="33">
        <v>0.59090909090909094</v>
      </c>
      <c r="O39" s="33">
        <v>0.40740740740740738</v>
      </c>
      <c r="P39" s="33">
        <v>0.41379310344827586</v>
      </c>
    </row>
    <row r="40" spans="1:16" x14ac:dyDescent="0.45">
      <c r="A40" s="35">
        <v>37</v>
      </c>
      <c r="B40" s="32">
        <v>-261</v>
      </c>
      <c r="C40" s="32">
        <v>-7.0540540540540544</v>
      </c>
      <c r="D40" s="37">
        <v>2.2162162162162162</v>
      </c>
      <c r="E40" s="33">
        <v>0.21621621621621623</v>
      </c>
      <c r="F40" s="33">
        <v>0.43243243243243246</v>
      </c>
      <c r="G40" s="33">
        <v>0.27936507936507937</v>
      </c>
      <c r="H40" s="33">
        <v>0.2</v>
      </c>
      <c r="I40" s="34">
        <v>7539.772727272727</v>
      </c>
      <c r="J40" s="34">
        <v>-7063.4920634920636</v>
      </c>
      <c r="K40" s="33">
        <v>5.4054054054054057E-2</v>
      </c>
      <c r="L40" s="33">
        <v>0.28253968253968254</v>
      </c>
      <c r="M40" s="33">
        <v>0.17142857142857143</v>
      </c>
      <c r="N40" s="33">
        <v>0.5955056179775281</v>
      </c>
      <c r="O40" s="33">
        <v>0.40740740740740738</v>
      </c>
      <c r="P40" s="33">
        <v>0.40909090909090912</v>
      </c>
    </row>
    <row r="41" spans="1:16" x14ac:dyDescent="0.45">
      <c r="A41" s="35">
        <v>38</v>
      </c>
      <c r="B41" s="32">
        <v>-245.4</v>
      </c>
      <c r="C41" s="32">
        <v>-6.4578947368421051</v>
      </c>
      <c r="D41" s="37">
        <v>2.2105263157894739</v>
      </c>
      <c r="E41" s="33">
        <v>0.21052631578947367</v>
      </c>
      <c r="F41" s="33">
        <v>0.42105263157894735</v>
      </c>
      <c r="G41" s="33">
        <v>0.28048780487804881</v>
      </c>
      <c r="H41" s="33">
        <v>0.19817073170731708</v>
      </c>
      <c r="I41" s="34">
        <v>7594.565217391304</v>
      </c>
      <c r="J41" s="34">
        <v>-7004.6153846153848</v>
      </c>
      <c r="K41" s="33">
        <v>5.2631578947368418E-2</v>
      </c>
      <c r="L41" s="33">
        <v>0.28963414634146339</v>
      </c>
      <c r="M41" s="33">
        <v>0.1676829268292683</v>
      </c>
      <c r="N41" s="33">
        <v>0.58947368421052626</v>
      </c>
      <c r="O41" s="33">
        <v>0.4</v>
      </c>
      <c r="P41" s="33">
        <v>0.41304347826086957</v>
      </c>
    </row>
    <row r="42" spans="1:16" x14ac:dyDescent="0.45">
      <c r="A42" s="35">
        <v>39</v>
      </c>
      <c r="B42" s="32">
        <v>-227</v>
      </c>
      <c r="C42" s="32">
        <v>-5.8205128205128203</v>
      </c>
      <c r="D42" s="37">
        <v>2.1794871794871793</v>
      </c>
      <c r="E42" s="33">
        <v>0.23076923076923078</v>
      </c>
      <c r="F42" s="33">
        <v>0.41025641025641024</v>
      </c>
      <c r="G42" s="33">
        <v>0.28106508875739644</v>
      </c>
      <c r="H42" s="33">
        <v>0.19526627218934911</v>
      </c>
      <c r="I42" s="34">
        <v>7648.4210526315792</v>
      </c>
      <c r="J42" s="34">
        <v>-7019.69696969697</v>
      </c>
      <c r="K42" s="33">
        <v>5.128205128205128E-2</v>
      </c>
      <c r="L42" s="33">
        <v>0.29289940828402367</v>
      </c>
      <c r="M42" s="33">
        <v>0.16568047337278108</v>
      </c>
      <c r="N42" s="33">
        <v>0.58585858585858586</v>
      </c>
      <c r="O42" s="33">
        <v>0.4107142857142857</v>
      </c>
      <c r="P42" s="33">
        <v>0.42105263157894735</v>
      </c>
    </row>
    <row r="43" spans="1:16" x14ac:dyDescent="0.45">
      <c r="A43" s="35">
        <v>40</v>
      </c>
      <c r="B43" s="32">
        <v>-268.39999999999998</v>
      </c>
      <c r="C43" s="32">
        <v>-6.7099999999999991</v>
      </c>
      <c r="D43" s="37">
        <v>2.2000000000000002</v>
      </c>
      <c r="E43" s="33">
        <v>0.22500000000000001</v>
      </c>
      <c r="F43" s="33">
        <v>0.42499999999999999</v>
      </c>
      <c r="G43" s="33">
        <v>0.2857142857142857</v>
      </c>
      <c r="H43" s="33">
        <v>0.19714285714285715</v>
      </c>
      <c r="I43" s="34">
        <v>7463</v>
      </c>
      <c r="J43" s="34">
        <v>-7313.04347826087</v>
      </c>
      <c r="K43" s="33">
        <v>0.05</v>
      </c>
      <c r="L43" s="33">
        <v>0.29142857142857143</v>
      </c>
      <c r="M43" s="33">
        <v>0.16857142857142857</v>
      </c>
      <c r="N43" s="33">
        <v>0.59803921568627449</v>
      </c>
      <c r="O43" s="33">
        <v>0.42372881355932202</v>
      </c>
      <c r="P43" s="33">
        <v>0.42</v>
      </c>
    </row>
    <row r="44" spans="1:16" x14ac:dyDescent="0.45">
      <c r="A44" s="35">
        <v>41</v>
      </c>
      <c r="B44" s="32">
        <v>-264.39999999999998</v>
      </c>
      <c r="C44" s="32">
        <v>-6.4487804878048776</v>
      </c>
      <c r="D44" s="37">
        <v>2.1951219512195124</v>
      </c>
      <c r="E44" s="33">
        <v>0.21951219512195122</v>
      </c>
      <c r="F44" s="33">
        <v>0.41463414634146339</v>
      </c>
      <c r="G44" s="33">
        <v>0.28491620111731841</v>
      </c>
      <c r="H44" s="33">
        <v>0.19553072625698323</v>
      </c>
      <c r="I44" s="34">
        <v>7524.5098039215691</v>
      </c>
      <c r="J44" s="34">
        <v>-7322.8571428571431</v>
      </c>
      <c r="K44" s="33">
        <v>4.878048780487805E-2</v>
      </c>
      <c r="L44" s="33">
        <v>0.29329608938547486</v>
      </c>
      <c r="M44" s="33">
        <v>0.16480446927374301</v>
      </c>
      <c r="N44" s="33">
        <v>0.6</v>
      </c>
      <c r="O44" s="33">
        <v>0.42372881355932202</v>
      </c>
      <c r="P44" s="33">
        <v>0.42156862745098039</v>
      </c>
    </row>
    <row r="45" spans="1:16" x14ac:dyDescent="0.45">
      <c r="A45" s="35">
        <v>42</v>
      </c>
      <c r="B45" s="32">
        <v>-268.89999999999998</v>
      </c>
      <c r="C45" s="32">
        <v>-6.4023809523809518</v>
      </c>
      <c r="D45" s="37">
        <v>2.1904761904761907</v>
      </c>
      <c r="E45" s="33">
        <v>0.21428571428571427</v>
      </c>
      <c r="F45" s="33">
        <v>0.40476190476190477</v>
      </c>
      <c r="G45" s="33">
        <v>0.28415300546448086</v>
      </c>
      <c r="H45" s="33">
        <v>0.19672131147540983</v>
      </c>
      <c r="I45" s="34">
        <v>7549.0384615384619</v>
      </c>
      <c r="J45" s="34">
        <v>-7341.666666666667</v>
      </c>
      <c r="K45" s="33">
        <v>4.7619047619047616E-2</v>
      </c>
      <c r="L45" s="33">
        <v>0.29234972677595628</v>
      </c>
      <c r="M45" s="33">
        <v>0.16939890710382513</v>
      </c>
      <c r="N45" s="33">
        <v>0.60747663551401865</v>
      </c>
      <c r="O45" s="33">
        <v>0.40322580645161288</v>
      </c>
      <c r="P45" s="33">
        <v>0.43269230769230771</v>
      </c>
    </row>
    <row r="46" spans="1:16" x14ac:dyDescent="0.45">
      <c r="A46" s="35">
        <v>43</v>
      </c>
      <c r="B46" s="32">
        <v>-299.39999999999998</v>
      </c>
      <c r="C46" s="32">
        <v>-6.9627906976744178</v>
      </c>
      <c r="D46" s="37">
        <v>2.2093023255813953</v>
      </c>
      <c r="E46" s="33">
        <v>0.20930232558139536</v>
      </c>
      <c r="F46" s="33">
        <v>0.41860465116279072</v>
      </c>
      <c r="G46" s="33">
        <v>0.28000000000000003</v>
      </c>
      <c r="H46" s="33">
        <v>0.19733333333333333</v>
      </c>
      <c r="I46" s="34">
        <v>7648.5714285714284</v>
      </c>
      <c r="J46" s="34">
        <v>-7340.5405405405409</v>
      </c>
      <c r="K46" s="33">
        <v>4.6511627906976744E-2</v>
      </c>
      <c r="L46" s="33">
        <v>0.28799999999999998</v>
      </c>
      <c r="M46" s="33">
        <v>0.17599999999999999</v>
      </c>
      <c r="N46" s="33">
        <v>0.60185185185185186</v>
      </c>
      <c r="O46" s="33">
        <v>0.39393939393939392</v>
      </c>
      <c r="P46" s="33">
        <v>0.43809523809523809</v>
      </c>
    </row>
    <row r="47" spans="1:16" x14ac:dyDescent="0.45">
      <c r="A47" s="35">
        <v>44</v>
      </c>
      <c r="B47" s="32">
        <v>-330.7</v>
      </c>
      <c r="C47" s="32">
        <v>-7.5159090909090907</v>
      </c>
      <c r="D47" s="37">
        <v>2.2272727272727271</v>
      </c>
      <c r="E47" s="33">
        <v>0.20454545454545456</v>
      </c>
      <c r="F47" s="33">
        <v>0.43181818181818182</v>
      </c>
      <c r="G47" s="33">
        <v>0.27676240208877284</v>
      </c>
      <c r="H47" s="33">
        <v>0.20104438642297651</v>
      </c>
      <c r="I47" s="34">
        <v>7689.6226415094343</v>
      </c>
      <c r="J47" s="34">
        <v>-7389.6103896103896</v>
      </c>
      <c r="K47" s="33">
        <v>4.5454545454545456E-2</v>
      </c>
      <c r="L47" s="33">
        <v>0.28720626631853785</v>
      </c>
      <c r="M47" s="33">
        <v>0.18015665796344649</v>
      </c>
      <c r="N47" s="33">
        <v>0.59090909090909094</v>
      </c>
      <c r="O47" s="33">
        <v>0.39130434782608697</v>
      </c>
      <c r="P47" s="33">
        <v>0.43396226415094341</v>
      </c>
    </row>
    <row r="48" spans="1:16" x14ac:dyDescent="0.45">
      <c r="A48" s="35">
        <v>45</v>
      </c>
      <c r="B48" s="32">
        <v>-353.09999999999997</v>
      </c>
      <c r="C48" s="32">
        <v>-7.8466666666666658</v>
      </c>
      <c r="D48" s="37">
        <v>2.2444444444444445</v>
      </c>
      <c r="E48" s="33">
        <v>0.2</v>
      </c>
      <c r="F48" s="33">
        <v>0.44444444444444442</v>
      </c>
      <c r="G48" s="33">
        <v>0.27763496143958871</v>
      </c>
      <c r="H48" s="33">
        <v>0.20308483290488433</v>
      </c>
      <c r="I48" s="34">
        <v>7639.8148148148148</v>
      </c>
      <c r="J48" s="34">
        <v>-7435.4430379746836</v>
      </c>
      <c r="K48" s="33">
        <v>4.4444444444444446E-2</v>
      </c>
      <c r="L48" s="33">
        <v>0.2879177377892031</v>
      </c>
      <c r="M48" s="33">
        <v>0.18508997429305912</v>
      </c>
      <c r="N48" s="33">
        <v>0.5892857142857143</v>
      </c>
      <c r="O48" s="33">
        <v>0.3888888888888889</v>
      </c>
      <c r="P48" s="33">
        <v>0.42592592592592593</v>
      </c>
    </row>
    <row r="49" spans="1:16" x14ac:dyDescent="0.45">
      <c r="A49" s="35">
        <v>46</v>
      </c>
      <c r="B49" s="32">
        <v>-351.79999999999995</v>
      </c>
      <c r="C49" s="32">
        <v>-7.6478260869565204</v>
      </c>
      <c r="D49" s="37">
        <v>2.2391304347826089</v>
      </c>
      <c r="E49" s="33">
        <v>0.19565217391304349</v>
      </c>
      <c r="F49" s="33">
        <v>0.43478260869565216</v>
      </c>
      <c r="G49" s="33">
        <v>0.27848101265822783</v>
      </c>
      <c r="H49" s="33">
        <v>0.20506329113924052</v>
      </c>
      <c r="I49" s="34">
        <v>7719.090909090909</v>
      </c>
      <c r="J49" s="34">
        <v>-7379.0123456790125</v>
      </c>
      <c r="K49" s="33">
        <v>4.3478260869565216E-2</v>
      </c>
      <c r="L49" s="33">
        <v>0.28607594936708863</v>
      </c>
      <c r="M49" s="33">
        <v>0.18734177215189873</v>
      </c>
      <c r="N49" s="33">
        <v>0.59292035398230092</v>
      </c>
      <c r="O49" s="33">
        <v>0.39189189189189189</v>
      </c>
      <c r="P49" s="33">
        <v>0.42727272727272725</v>
      </c>
    </row>
    <row r="50" spans="1:16" x14ac:dyDescent="0.45">
      <c r="A50" s="35">
        <v>47</v>
      </c>
      <c r="B50" s="32">
        <v>-346.19999999999993</v>
      </c>
      <c r="C50" s="32">
        <v>-7.3659574468085092</v>
      </c>
      <c r="D50" s="37">
        <v>2.2340425531914891</v>
      </c>
      <c r="E50" s="33">
        <v>0.19148936170212766</v>
      </c>
      <c r="F50" s="33">
        <v>0.42553191489361702</v>
      </c>
      <c r="G50" s="33">
        <v>0.28179551122194513</v>
      </c>
      <c r="H50" s="33">
        <v>0.20448877805486285</v>
      </c>
      <c r="I50" s="34">
        <v>7690.2654867256633</v>
      </c>
      <c r="J50" s="34">
        <v>-7435.3658536585363</v>
      </c>
      <c r="K50" s="33">
        <v>4.2553191489361701E-2</v>
      </c>
      <c r="L50" s="33">
        <v>0.28678304239401498</v>
      </c>
      <c r="M50" s="33">
        <v>0.18703241895261846</v>
      </c>
      <c r="N50" s="33">
        <v>0.6</v>
      </c>
      <c r="O50" s="33">
        <v>0.4</v>
      </c>
      <c r="P50" s="33">
        <v>0.4247787610619469</v>
      </c>
    </row>
    <row r="51" spans="1:16" x14ac:dyDescent="0.45">
      <c r="A51" s="35">
        <v>48</v>
      </c>
      <c r="B51" s="32">
        <v>-357.39999999999992</v>
      </c>
      <c r="C51" s="32">
        <v>-7.445833333333332</v>
      </c>
      <c r="D51" s="37">
        <v>2.2291666666666665</v>
      </c>
      <c r="E51" s="33">
        <v>0.1875</v>
      </c>
      <c r="F51" s="33">
        <v>0.41666666666666669</v>
      </c>
      <c r="G51" s="33">
        <v>0.28398058252427183</v>
      </c>
      <c r="H51" s="33">
        <v>0.20631067961165048</v>
      </c>
      <c r="I51" s="34">
        <v>7707.6923076923076</v>
      </c>
      <c r="J51" s="34">
        <v>-7502.3529411764703</v>
      </c>
      <c r="K51" s="33">
        <v>4.1666666666666664E-2</v>
      </c>
      <c r="L51" s="33">
        <v>0.29126213592233008</v>
      </c>
      <c r="M51" s="33">
        <v>0.18446601941747573</v>
      </c>
      <c r="N51" s="33">
        <v>0.6</v>
      </c>
      <c r="O51" s="33">
        <v>0.39473684210526316</v>
      </c>
      <c r="P51" s="33">
        <v>0.4358974358974359</v>
      </c>
    </row>
    <row r="52" spans="1:16" x14ac:dyDescent="0.45">
      <c r="A52" s="35">
        <v>49</v>
      </c>
      <c r="B52" s="32">
        <v>-404.09999999999991</v>
      </c>
      <c r="C52" s="32">
        <v>-8.2469387755102019</v>
      </c>
      <c r="D52" s="37">
        <v>2.2448979591836733</v>
      </c>
      <c r="E52" s="33">
        <v>0.18367346938775511</v>
      </c>
      <c r="F52" s="33">
        <v>0.42857142857142855</v>
      </c>
      <c r="G52" s="33">
        <v>0.28199052132701424</v>
      </c>
      <c r="H52" s="33">
        <v>0.20853080568720378</v>
      </c>
      <c r="I52" s="34">
        <v>7687.3949579831933</v>
      </c>
      <c r="J52" s="34">
        <v>-7563.636363636364</v>
      </c>
      <c r="K52" s="33">
        <v>6.1224489795918366E-2</v>
      </c>
      <c r="L52" s="33">
        <v>0.28672985781990523</v>
      </c>
      <c r="M52" s="33">
        <v>0.1872037914691943</v>
      </c>
      <c r="N52" s="33">
        <v>0.60330578512396693</v>
      </c>
      <c r="O52" s="33">
        <v>0.39240506329113922</v>
      </c>
      <c r="P52" s="33">
        <v>0.43697478991596639</v>
      </c>
    </row>
    <row r="53" spans="1:16" x14ac:dyDescent="0.45">
      <c r="A53" s="35">
        <v>50</v>
      </c>
      <c r="B53" s="32">
        <v>-400.99999999999989</v>
      </c>
      <c r="C53" s="32">
        <v>-8.0199999999999978</v>
      </c>
      <c r="D53" s="37">
        <v>2.2400000000000002</v>
      </c>
      <c r="E53" s="33">
        <v>0.18</v>
      </c>
      <c r="F53" s="33">
        <v>0.42</v>
      </c>
      <c r="G53" s="33">
        <v>0.28037383177570091</v>
      </c>
      <c r="H53" s="33">
        <v>0.20794392523364486</v>
      </c>
      <c r="I53" s="34">
        <v>7723.333333333333</v>
      </c>
      <c r="J53" s="34">
        <v>-7507.8651685393261</v>
      </c>
      <c r="K53" s="33">
        <v>0.06</v>
      </c>
      <c r="L53" s="33">
        <v>0.28504672897196259</v>
      </c>
      <c r="M53" s="33">
        <v>0.18457943925233644</v>
      </c>
      <c r="N53" s="33">
        <v>0.60655737704918034</v>
      </c>
      <c r="O53" s="33">
        <v>0.39240506329113922</v>
      </c>
      <c r="P53" s="33">
        <v>0.44166666666666665</v>
      </c>
    </row>
    <row r="54" spans="1:16" x14ac:dyDescent="0.45">
      <c r="A54" s="35">
        <v>51</v>
      </c>
      <c r="B54" s="32">
        <v>-414.7999999999999</v>
      </c>
      <c r="C54" s="32">
        <v>-8.1333333333333311</v>
      </c>
      <c r="D54" s="37">
        <v>2.2352941176470589</v>
      </c>
      <c r="E54" s="33">
        <v>0.17647058823529413</v>
      </c>
      <c r="F54" s="33">
        <v>0.41176470588235292</v>
      </c>
      <c r="G54" s="33">
        <v>0.27816091954022987</v>
      </c>
      <c r="H54" s="33">
        <v>0.2045977011494253</v>
      </c>
      <c r="I54" s="34">
        <v>7680.9917355371899</v>
      </c>
      <c r="J54" s="34">
        <v>-7507.8651685393261</v>
      </c>
      <c r="K54" s="33">
        <v>5.8823529411764705E-2</v>
      </c>
      <c r="L54" s="33">
        <v>0.28275862068965518</v>
      </c>
      <c r="M54" s="33">
        <v>0.18390804597701149</v>
      </c>
      <c r="N54" s="33">
        <v>0.60162601626016265</v>
      </c>
      <c r="O54" s="33">
        <v>0.38750000000000001</v>
      </c>
      <c r="P54" s="33">
        <v>0.43801652892561982</v>
      </c>
    </row>
    <row r="55" spans="1:16" x14ac:dyDescent="0.45">
      <c r="A55" s="35">
        <v>52</v>
      </c>
      <c r="B55" s="32">
        <v>-403.89999999999992</v>
      </c>
      <c r="C55" s="32">
        <v>-7.7673076923076909</v>
      </c>
      <c r="D55" s="37">
        <v>2.2307692307692308</v>
      </c>
      <c r="E55" s="33">
        <v>0.17307692307692307</v>
      </c>
      <c r="F55" s="33">
        <v>0.40384615384615385</v>
      </c>
      <c r="G55" s="33">
        <v>0.27740492170022374</v>
      </c>
      <c r="H55" s="33">
        <v>0.20805369127516779</v>
      </c>
      <c r="I55" s="34">
        <v>7850</v>
      </c>
      <c r="J55" s="34">
        <v>-7535.4838709677415</v>
      </c>
      <c r="K55" s="33">
        <v>5.7692307692307696E-2</v>
      </c>
      <c r="L55" s="33">
        <v>0.28411633109619688</v>
      </c>
      <c r="M55" s="33">
        <v>0.18568232662192394</v>
      </c>
      <c r="N55" s="33">
        <v>0.59055118110236215</v>
      </c>
      <c r="O55" s="33">
        <v>0.38554216867469882</v>
      </c>
      <c r="P55" s="33">
        <v>0.44354838709677419</v>
      </c>
    </row>
    <row r="56" spans="1:16" x14ac:dyDescent="0.45">
      <c r="A56" s="35">
        <v>53</v>
      </c>
      <c r="B56" s="32">
        <v>-386.7999999999999</v>
      </c>
      <c r="C56" s="32">
        <v>-7.2981132075471677</v>
      </c>
      <c r="D56" s="37">
        <v>2.2075471698113209</v>
      </c>
      <c r="E56" s="33">
        <v>0.18867924528301888</v>
      </c>
      <c r="F56" s="33">
        <v>0.39622641509433965</v>
      </c>
      <c r="G56" s="33">
        <v>0.27912087912087913</v>
      </c>
      <c r="H56" s="33">
        <v>0.20659340659340658</v>
      </c>
      <c r="I56" s="34">
        <v>7898.4251968503941</v>
      </c>
      <c r="J56" s="34">
        <v>-7540.4255319148933</v>
      </c>
      <c r="K56" s="33">
        <v>5.6603773584905662E-2</v>
      </c>
      <c r="L56" s="33">
        <v>0.28351648351648351</v>
      </c>
      <c r="M56" s="33">
        <v>0.18461538461538463</v>
      </c>
      <c r="N56" s="33">
        <v>0.5968992248062015</v>
      </c>
      <c r="O56" s="33">
        <v>0.39285714285714285</v>
      </c>
      <c r="P56" s="33">
        <v>0.44881889763779526</v>
      </c>
    </row>
    <row r="57" spans="1:16" x14ac:dyDescent="0.45">
      <c r="A57" s="35">
        <v>54</v>
      </c>
      <c r="B57" s="32">
        <v>-441.2999999999999</v>
      </c>
      <c r="C57" s="32">
        <v>-8.1722222222222207</v>
      </c>
      <c r="D57" s="37">
        <v>2.2222222222222223</v>
      </c>
      <c r="E57" s="33">
        <v>0.18518518518518517</v>
      </c>
      <c r="F57" s="33">
        <v>0.40740740740740738</v>
      </c>
      <c r="G57" s="33">
        <v>0.27668845315904139</v>
      </c>
      <c r="H57" s="33">
        <v>0.20915032679738563</v>
      </c>
      <c r="I57" s="34">
        <v>7898.4251968503941</v>
      </c>
      <c r="J57" s="34">
        <v>-7651.041666666667</v>
      </c>
      <c r="K57" s="33">
        <v>7.407407407407407E-2</v>
      </c>
      <c r="L57" s="33">
        <v>0.28104575163398693</v>
      </c>
      <c r="M57" s="33">
        <v>0.18300653594771241</v>
      </c>
      <c r="N57" s="33">
        <v>0.5968992248062015</v>
      </c>
      <c r="O57" s="33">
        <v>0.39285714285714285</v>
      </c>
      <c r="P57" s="33">
        <v>0.44881889763779526</v>
      </c>
    </row>
    <row r="58" spans="1:16" x14ac:dyDescent="0.45">
      <c r="A58" s="35">
        <v>55</v>
      </c>
      <c r="B58" s="32">
        <v>-398.09999999999991</v>
      </c>
      <c r="C58" s="32">
        <v>-7.2381818181818165</v>
      </c>
      <c r="D58" s="37">
        <v>2.2000000000000002</v>
      </c>
      <c r="E58" s="33">
        <v>0.2</v>
      </c>
      <c r="F58" s="33">
        <v>0.4</v>
      </c>
      <c r="G58" s="33">
        <v>0.2817204301075269</v>
      </c>
      <c r="H58" s="33">
        <v>0.20645161290322581</v>
      </c>
      <c r="I58" s="34">
        <v>7971.7557251908393</v>
      </c>
      <c r="J58" s="34">
        <v>-7651.041666666667</v>
      </c>
      <c r="K58" s="33">
        <v>7.2727272727272724E-2</v>
      </c>
      <c r="L58" s="33">
        <v>0.28387096774193549</v>
      </c>
      <c r="M58" s="33">
        <v>0.18494623655913978</v>
      </c>
      <c r="N58" s="33">
        <v>0.60606060606060608</v>
      </c>
      <c r="O58" s="33">
        <v>0.39534883720930231</v>
      </c>
      <c r="P58" s="33">
        <v>0.45038167938931295</v>
      </c>
    </row>
    <row r="59" spans="1:16" x14ac:dyDescent="0.45">
      <c r="A59" s="35">
        <v>56</v>
      </c>
      <c r="B59" s="32">
        <v>-393.39999999999992</v>
      </c>
      <c r="C59" s="32">
        <v>-7.0249999999999986</v>
      </c>
      <c r="D59" s="37">
        <v>2.1964285714285716</v>
      </c>
      <c r="E59" s="33">
        <v>0.19642857142857142</v>
      </c>
      <c r="F59" s="33">
        <v>0.39285714285714285</v>
      </c>
      <c r="G59" s="33">
        <v>0.28059071729957807</v>
      </c>
      <c r="H59" s="33">
        <v>0.20886075949367089</v>
      </c>
      <c r="I59" s="34">
        <v>8032.3308270676689</v>
      </c>
      <c r="J59" s="34">
        <v>-7584.848484848485</v>
      </c>
      <c r="K59" s="33">
        <v>7.1428571428571425E-2</v>
      </c>
      <c r="L59" s="33">
        <v>0.2848101265822785</v>
      </c>
      <c r="M59" s="33">
        <v>0.18354430379746836</v>
      </c>
      <c r="N59" s="33">
        <v>0.6074074074074074</v>
      </c>
      <c r="O59" s="33">
        <v>0.39080459770114945</v>
      </c>
      <c r="P59" s="33">
        <v>0.45864661654135336</v>
      </c>
    </row>
    <row r="60" spans="1:16" x14ac:dyDescent="0.45">
      <c r="A60" s="35">
        <v>57</v>
      </c>
      <c r="B60" s="32">
        <v>-376.49999999999994</v>
      </c>
      <c r="C60" s="32">
        <v>-6.6052631578947363</v>
      </c>
      <c r="D60" s="37">
        <v>2.1754385964912282</v>
      </c>
      <c r="E60" s="33">
        <v>0.21052631578947367</v>
      </c>
      <c r="F60" s="33">
        <v>0.38596491228070173</v>
      </c>
      <c r="G60" s="33">
        <v>0.28333333333333333</v>
      </c>
      <c r="H60" s="33">
        <v>0.20833333333333334</v>
      </c>
      <c r="I60" s="34">
        <v>8029.411764705882</v>
      </c>
      <c r="J60" s="34">
        <v>-7629</v>
      </c>
      <c r="K60" s="33">
        <v>7.0175438596491224E-2</v>
      </c>
      <c r="L60" s="33">
        <v>0.28541666666666665</v>
      </c>
      <c r="M60" s="33">
        <v>0.18333333333333332</v>
      </c>
      <c r="N60" s="33">
        <v>0.61313868613138689</v>
      </c>
      <c r="O60" s="33">
        <v>0.38636363636363635</v>
      </c>
      <c r="P60" s="33">
        <v>0.47058823529411764</v>
      </c>
    </row>
    <row r="61" spans="1:16" x14ac:dyDescent="0.45">
      <c r="A61" s="35">
        <v>58</v>
      </c>
      <c r="B61" s="32">
        <v>-373.49999999999994</v>
      </c>
      <c r="C61" s="32">
        <v>-6.4396551724137918</v>
      </c>
      <c r="D61" s="37">
        <v>2.1724137931034484</v>
      </c>
      <c r="E61" s="33">
        <v>0.20689655172413793</v>
      </c>
      <c r="F61" s="33">
        <v>0.37931034482758619</v>
      </c>
      <c r="G61" s="33">
        <v>0.2822085889570552</v>
      </c>
      <c r="H61" s="33">
        <v>0.20654396728016361</v>
      </c>
      <c r="I61" s="34">
        <v>8039.130434782609</v>
      </c>
      <c r="J61" s="34">
        <v>-7592.0792079207922</v>
      </c>
      <c r="K61" s="33">
        <v>6.8965517241379309E-2</v>
      </c>
      <c r="L61" s="33">
        <v>0.28834355828220859</v>
      </c>
      <c r="M61" s="33">
        <v>0.18404907975460122</v>
      </c>
      <c r="N61" s="33">
        <v>0.6028368794326241</v>
      </c>
      <c r="O61" s="33">
        <v>0.3888888888888889</v>
      </c>
      <c r="P61" s="33">
        <v>0.46376811594202899</v>
      </c>
    </row>
    <row r="62" spans="1:16" x14ac:dyDescent="0.45">
      <c r="A62" s="35">
        <v>59</v>
      </c>
      <c r="B62" s="32">
        <v>-399.29999999999995</v>
      </c>
      <c r="C62" s="32">
        <v>-6.7677966101694906</v>
      </c>
      <c r="D62" s="37">
        <v>2.1864406779661016</v>
      </c>
      <c r="E62" s="33">
        <v>0.20338983050847459</v>
      </c>
      <c r="F62" s="33">
        <v>0.38983050847457629</v>
      </c>
      <c r="G62" s="33">
        <v>0.28225806451612906</v>
      </c>
      <c r="H62" s="33">
        <v>0.20766129032258066</v>
      </c>
      <c r="I62" s="34">
        <v>7988.5714285714284</v>
      </c>
      <c r="J62" s="34">
        <v>-7638.8349514563106</v>
      </c>
      <c r="K62" s="33">
        <v>6.7796610169491525E-2</v>
      </c>
      <c r="L62" s="33">
        <v>0.28629032258064518</v>
      </c>
      <c r="M62" s="33">
        <v>0.1875</v>
      </c>
      <c r="N62" s="33">
        <v>0.59859154929577463</v>
      </c>
      <c r="O62" s="33">
        <v>0.38709677419354838</v>
      </c>
      <c r="P62" s="33">
        <v>0.45714285714285713</v>
      </c>
    </row>
    <row r="63" spans="1:16" x14ac:dyDescent="0.45">
      <c r="A63" s="35">
        <v>60</v>
      </c>
      <c r="B63" s="32">
        <v>-448.79999999999995</v>
      </c>
      <c r="C63" s="32">
        <v>-7.4799999999999995</v>
      </c>
      <c r="D63" s="37">
        <v>2.2000000000000002</v>
      </c>
      <c r="E63" s="33">
        <v>0.2</v>
      </c>
      <c r="F63" s="33">
        <v>0.4</v>
      </c>
      <c r="G63" s="33">
        <v>0.2788844621513944</v>
      </c>
      <c r="H63" s="33">
        <v>0.21115537848605578</v>
      </c>
      <c r="I63" s="34">
        <v>7988.5714285714284</v>
      </c>
      <c r="J63" s="34">
        <v>-7686.7924528301883</v>
      </c>
      <c r="K63" s="33">
        <v>8.3333333333333329E-2</v>
      </c>
      <c r="L63" s="33">
        <v>0.28286852589641437</v>
      </c>
      <c r="M63" s="33">
        <v>0.18725099601593626</v>
      </c>
      <c r="N63" s="33">
        <v>0.59859154929577463</v>
      </c>
      <c r="O63" s="33">
        <v>0.38297872340425532</v>
      </c>
      <c r="P63" s="33">
        <v>0.45714285714285713</v>
      </c>
    </row>
    <row r="64" spans="1:16" x14ac:dyDescent="0.45">
      <c r="A64" s="35">
        <v>61</v>
      </c>
      <c r="B64" s="32">
        <v>-453.59999999999997</v>
      </c>
      <c r="C64" s="32">
        <v>-7.4360655737704908</v>
      </c>
      <c r="D64" s="37">
        <v>2.1967213114754101</v>
      </c>
      <c r="E64" s="33">
        <v>0.19672131147540983</v>
      </c>
      <c r="F64" s="33">
        <v>0.39344262295081966</v>
      </c>
      <c r="G64" s="33">
        <v>0.27906976744186046</v>
      </c>
      <c r="H64" s="33">
        <v>0.21124031007751937</v>
      </c>
      <c r="I64" s="34">
        <v>8055.5555555555557</v>
      </c>
      <c r="J64" s="34">
        <v>-7655.0458715596333</v>
      </c>
      <c r="K64" s="33">
        <v>8.1967213114754092E-2</v>
      </c>
      <c r="L64" s="33">
        <v>0.28488372093023256</v>
      </c>
      <c r="M64" s="33">
        <v>0.18992248062015504</v>
      </c>
      <c r="N64" s="33">
        <v>0.59183673469387754</v>
      </c>
      <c r="O64" s="33">
        <v>0.38775510204081631</v>
      </c>
      <c r="P64" s="33">
        <v>0.4513888888888889</v>
      </c>
    </row>
    <row r="65" spans="1:16" x14ac:dyDescent="0.45">
      <c r="A65" s="35">
        <v>62</v>
      </c>
      <c r="B65" s="32">
        <v>-501.79999999999995</v>
      </c>
      <c r="C65" s="32">
        <v>-8.0935483870967726</v>
      </c>
      <c r="D65" s="37">
        <v>2.2096774193548385</v>
      </c>
      <c r="E65" s="33">
        <v>0.19354838709677419</v>
      </c>
      <c r="F65" s="33">
        <v>0.40322580645161288</v>
      </c>
      <c r="G65" s="33">
        <v>0.2774566473988439</v>
      </c>
      <c r="H65" s="33">
        <v>0.2119460500963391</v>
      </c>
      <c r="I65" s="34">
        <v>8055.5555555555557</v>
      </c>
      <c r="J65" s="34">
        <v>-7611.818181818182</v>
      </c>
      <c r="K65" s="33">
        <v>9.6774193548387094E-2</v>
      </c>
      <c r="L65" s="33">
        <v>0.28516377649325625</v>
      </c>
      <c r="M65" s="33">
        <v>0.18882466281310212</v>
      </c>
      <c r="N65" s="33">
        <v>0.58783783783783783</v>
      </c>
      <c r="O65" s="33">
        <v>0.38775510204081631</v>
      </c>
      <c r="P65" s="33">
        <v>0.4513888888888889</v>
      </c>
    </row>
    <row r="66" spans="1:16" x14ac:dyDescent="0.45">
      <c r="A66" s="35">
        <v>63</v>
      </c>
      <c r="B66" s="32">
        <v>-457.29999999999995</v>
      </c>
      <c r="C66" s="32">
        <v>-7.2587301587301578</v>
      </c>
      <c r="D66" s="37">
        <v>2.1904761904761907</v>
      </c>
      <c r="E66" s="33">
        <v>0.20634920634920634</v>
      </c>
      <c r="F66" s="33">
        <v>0.3968253968253968</v>
      </c>
      <c r="G66" s="33">
        <v>0.28030303030303028</v>
      </c>
      <c r="H66" s="33">
        <v>0.20833333333333334</v>
      </c>
      <c r="I66" s="34">
        <v>8081.0810810810808</v>
      </c>
      <c r="J66" s="34">
        <v>-7611.818181818182</v>
      </c>
      <c r="K66" s="33">
        <v>9.5238095238095233E-2</v>
      </c>
      <c r="L66" s="33">
        <v>0.29166666666666669</v>
      </c>
      <c r="M66" s="33">
        <v>0.1875</v>
      </c>
      <c r="N66" s="33">
        <v>0.58441558441558439</v>
      </c>
      <c r="O66" s="33">
        <v>0.38383838383838381</v>
      </c>
      <c r="P66" s="33">
        <v>0.45270270270270269</v>
      </c>
    </row>
    <row r="67" spans="1:16" x14ac:dyDescent="0.45">
      <c r="A67" s="35">
        <v>64</v>
      </c>
      <c r="B67" s="32">
        <v>-421.09999999999997</v>
      </c>
      <c r="C67" s="32">
        <v>-6.5796874999999995</v>
      </c>
      <c r="D67" s="37">
        <v>2.171875</v>
      </c>
      <c r="E67" s="33">
        <v>0.21875</v>
      </c>
      <c r="F67" s="33">
        <v>0.390625</v>
      </c>
      <c r="G67" s="33">
        <v>0.28044280442804426</v>
      </c>
      <c r="H67" s="33">
        <v>0.20664206642066421</v>
      </c>
      <c r="I67" s="34">
        <v>8158.5526315789475</v>
      </c>
      <c r="J67" s="34">
        <v>-7617.8571428571431</v>
      </c>
      <c r="K67" s="33">
        <v>9.375E-2</v>
      </c>
      <c r="L67" s="33">
        <v>0.28782287822878228</v>
      </c>
      <c r="M67" s="33">
        <v>0.18819188191881919</v>
      </c>
      <c r="N67" s="33">
        <v>0.58333333333333337</v>
      </c>
      <c r="O67" s="33">
        <v>0.40196078431372551</v>
      </c>
      <c r="P67" s="33">
        <v>0.46052631578947367</v>
      </c>
    </row>
    <row r="68" spans="1:16" x14ac:dyDescent="0.45">
      <c r="A68" s="35">
        <v>65</v>
      </c>
      <c r="B68" s="32">
        <v>-465.9</v>
      </c>
      <c r="C68" s="32">
        <v>-7.1676923076923069</v>
      </c>
      <c r="D68" s="37">
        <v>2.1846153846153844</v>
      </c>
      <c r="E68" s="33">
        <v>0.2153846153846154</v>
      </c>
      <c r="F68" s="33">
        <v>0.4</v>
      </c>
      <c r="G68" s="33">
        <v>0.27767695099818512</v>
      </c>
      <c r="H68" s="33">
        <v>0.20689655172413793</v>
      </c>
      <c r="I68" s="34">
        <v>8139.2156862745096</v>
      </c>
      <c r="J68" s="34">
        <v>-7657.0175438596489</v>
      </c>
      <c r="K68" s="33">
        <v>9.2307692307692313E-2</v>
      </c>
      <c r="L68" s="33">
        <v>0.2867513611615245</v>
      </c>
      <c r="M68" s="33">
        <v>0.19237749546279492</v>
      </c>
      <c r="N68" s="33">
        <v>0.58227848101265822</v>
      </c>
      <c r="O68" s="33">
        <v>0.3867924528301887</v>
      </c>
      <c r="P68" s="33">
        <v>0.45751633986928103</v>
      </c>
    </row>
    <row r="69" spans="1:16" x14ac:dyDescent="0.45">
      <c r="A69" s="35">
        <v>66</v>
      </c>
      <c r="B69" s="32">
        <v>-441.9</v>
      </c>
      <c r="C69" s="32">
        <v>-6.6954545454545453</v>
      </c>
      <c r="D69" s="37">
        <v>2.1666666666666665</v>
      </c>
      <c r="E69" s="33">
        <v>0.22727272727272727</v>
      </c>
      <c r="F69" s="33">
        <v>0.39393939393939392</v>
      </c>
      <c r="G69" s="33">
        <v>0.28163992869875221</v>
      </c>
      <c r="H69" s="33">
        <v>0.20320855614973263</v>
      </c>
      <c r="I69" s="34">
        <v>8005.0632911392404</v>
      </c>
      <c r="J69" s="34">
        <v>-7657.0175438596489</v>
      </c>
      <c r="K69" s="33">
        <v>9.0909090909090912E-2</v>
      </c>
      <c r="L69" s="33">
        <v>0.28520499108734404</v>
      </c>
      <c r="M69" s="33">
        <v>0.19073083778966132</v>
      </c>
      <c r="N69" s="33">
        <v>0.58750000000000002</v>
      </c>
      <c r="O69" s="33">
        <v>0.3925233644859813</v>
      </c>
      <c r="P69" s="33">
        <v>0.46202531645569622</v>
      </c>
    </row>
    <row r="70" spans="1:16" x14ac:dyDescent="0.45">
      <c r="A70" s="35">
        <v>67</v>
      </c>
      <c r="B70" s="32">
        <v>-477.59999999999997</v>
      </c>
      <c r="C70" s="32">
        <v>-7.1283582089552233</v>
      </c>
      <c r="D70" s="37">
        <v>2.1791044776119404</v>
      </c>
      <c r="E70" s="33">
        <v>0.22388059701492538</v>
      </c>
      <c r="F70" s="33">
        <v>0.40298507462686567</v>
      </c>
      <c r="G70" s="33">
        <v>0.28097731239092494</v>
      </c>
      <c r="H70" s="33">
        <v>0.20418848167539266</v>
      </c>
      <c r="I70" s="34">
        <v>8029.1925465838513</v>
      </c>
      <c r="J70" s="34">
        <v>-7662.3931623931621</v>
      </c>
      <c r="K70" s="33">
        <v>8.9552238805970144E-2</v>
      </c>
      <c r="L70" s="33">
        <v>0.2879581151832461</v>
      </c>
      <c r="M70" s="33">
        <v>0.19022687609075042</v>
      </c>
      <c r="N70" s="33">
        <v>0.5757575757575758</v>
      </c>
      <c r="O70" s="33">
        <v>0.40366972477064222</v>
      </c>
      <c r="P70" s="33">
        <v>0.45962732919254656</v>
      </c>
    </row>
    <row r="71" spans="1:16" x14ac:dyDescent="0.45">
      <c r="A71" s="35">
        <v>68</v>
      </c>
      <c r="B71" s="32">
        <v>-477.29999999999995</v>
      </c>
      <c r="C71" s="32">
        <v>-7.019117647058823</v>
      </c>
      <c r="D71" s="37">
        <v>2.1764705882352939</v>
      </c>
      <c r="E71" s="33">
        <v>0.22058823529411764</v>
      </c>
      <c r="F71" s="33">
        <v>0.39705882352941174</v>
      </c>
      <c r="G71" s="33">
        <v>0.2817391304347826</v>
      </c>
      <c r="H71" s="33">
        <v>0.20347826086956522</v>
      </c>
      <c r="I71" s="34">
        <v>7987.6543209876545</v>
      </c>
      <c r="J71" s="34">
        <v>-7662.3931623931621</v>
      </c>
      <c r="K71" s="33">
        <v>8.8235294117647065E-2</v>
      </c>
      <c r="L71" s="33">
        <v>0.28869565217391302</v>
      </c>
      <c r="M71" s="33">
        <v>0.19130434782608696</v>
      </c>
      <c r="N71" s="33">
        <v>0.57228915662650603</v>
      </c>
      <c r="O71" s="33">
        <v>0.40909090909090912</v>
      </c>
      <c r="P71" s="33">
        <v>0.4567901234567901</v>
      </c>
    </row>
    <row r="72" spans="1:16" x14ac:dyDescent="0.45">
      <c r="A72" s="35">
        <v>69</v>
      </c>
      <c r="B72" s="32">
        <v>-486.9</v>
      </c>
      <c r="C72" s="32">
        <v>-7.0565217391304342</v>
      </c>
      <c r="D72" s="37">
        <v>2.1739130434782608</v>
      </c>
      <c r="E72" s="33">
        <v>0.21739130434782608</v>
      </c>
      <c r="F72" s="33">
        <v>0.39130434782608697</v>
      </c>
      <c r="G72" s="33">
        <v>0.28006872852233677</v>
      </c>
      <c r="H72" s="33">
        <v>0.20103092783505155</v>
      </c>
      <c r="I72" s="34">
        <v>7962.5766871165642</v>
      </c>
      <c r="J72" s="34">
        <v>-7662.3931623931621</v>
      </c>
      <c r="K72" s="33">
        <v>8.6956521739130432E-2</v>
      </c>
      <c r="L72" s="33">
        <v>0.28694158075601373</v>
      </c>
      <c r="M72" s="33">
        <v>0.19243986254295534</v>
      </c>
      <c r="N72" s="33">
        <v>0.56886227544910184</v>
      </c>
      <c r="O72" s="33">
        <v>0.4107142857142857</v>
      </c>
      <c r="P72" s="33">
        <v>0.45398773006134968</v>
      </c>
    </row>
    <row r="73" spans="1:16" x14ac:dyDescent="0.45">
      <c r="A73" s="35">
        <v>70</v>
      </c>
      <c r="B73" s="32">
        <v>-458</v>
      </c>
      <c r="C73" s="32">
        <v>-6.5428571428571427</v>
      </c>
      <c r="D73" s="37">
        <v>2.157142857142857</v>
      </c>
      <c r="E73" s="33">
        <v>0.22857142857142856</v>
      </c>
      <c r="F73" s="33">
        <v>0.38571428571428573</v>
      </c>
      <c r="G73" s="33">
        <v>0.2799325463743676</v>
      </c>
      <c r="H73" s="33">
        <v>0.20067453625632378</v>
      </c>
      <c r="I73" s="34">
        <v>8094.5783132530123</v>
      </c>
      <c r="J73" s="34">
        <v>-7667.226890756303</v>
      </c>
      <c r="K73" s="33">
        <v>8.5714285714285715E-2</v>
      </c>
      <c r="L73" s="33">
        <v>0.28499156829679595</v>
      </c>
      <c r="M73" s="33">
        <v>0.19224283305227655</v>
      </c>
      <c r="N73" s="33">
        <v>0.57396449704142016</v>
      </c>
      <c r="O73" s="33">
        <v>0.41228070175438597</v>
      </c>
      <c r="P73" s="33">
        <v>0.45783132530120479</v>
      </c>
    </row>
    <row r="74" spans="1:16" x14ac:dyDescent="0.45">
      <c r="A74" s="35">
        <v>71</v>
      </c>
      <c r="B74" s="32">
        <v>-484.8</v>
      </c>
      <c r="C74" s="32">
        <v>-6.8281690140845068</v>
      </c>
      <c r="D74" s="37">
        <v>2.1690140845070425</v>
      </c>
      <c r="E74" s="33">
        <v>0.22535211267605634</v>
      </c>
      <c r="F74" s="33">
        <v>0.39436619718309857</v>
      </c>
      <c r="G74" s="33">
        <v>0.27860696517412936</v>
      </c>
      <c r="H74" s="33">
        <v>0.20232172470978441</v>
      </c>
      <c r="I74" s="34">
        <v>8067.8571428571431</v>
      </c>
      <c r="J74" s="34">
        <v>-7622.1311475409839</v>
      </c>
      <c r="K74" s="33">
        <v>8.4507042253521125E-2</v>
      </c>
      <c r="L74" s="33">
        <v>0.28524046434494194</v>
      </c>
      <c r="M74" s="33">
        <v>0.19237147595356552</v>
      </c>
      <c r="N74" s="33">
        <v>0.57558139534883723</v>
      </c>
      <c r="O74" s="33">
        <v>0.40517241379310343</v>
      </c>
      <c r="P74" s="33">
        <v>0.4642857142857143</v>
      </c>
    </row>
    <row r="75" spans="1:16" x14ac:dyDescent="0.45">
      <c r="A75" s="35">
        <v>72</v>
      </c>
      <c r="B75" s="32">
        <v>-506.40000000000003</v>
      </c>
      <c r="C75" s="32">
        <v>-7.0333333333333341</v>
      </c>
      <c r="D75" s="37">
        <v>2.1805555555555554</v>
      </c>
      <c r="E75" s="33">
        <v>0.22222222222222221</v>
      </c>
      <c r="F75" s="33">
        <v>0.40277777777777779</v>
      </c>
      <c r="G75" s="33">
        <v>0.27659574468085107</v>
      </c>
      <c r="H75" s="33">
        <v>0.20294599018003273</v>
      </c>
      <c r="I75" s="34">
        <v>8067.455621301775</v>
      </c>
      <c r="J75" s="34">
        <v>-7592.7419354838712</v>
      </c>
      <c r="K75" s="33">
        <v>8.3333333333333329E-2</v>
      </c>
      <c r="L75" s="33">
        <v>0.28477905073649756</v>
      </c>
      <c r="M75" s="33">
        <v>0.19148936170212766</v>
      </c>
      <c r="N75" s="33">
        <v>0.57471264367816088</v>
      </c>
      <c r="O75" s="33">
        <v>0.40170940170940173</v>
      </c>
      <c r="P75" s="33">
        <v>0.46153846153846156</v>
      </c>
    </row>
    <row r="76" spans="1:16" x14ac:dyDescent="0.45">
      <c r="A76" s="35">
        <v>73</v>
      </c>
      <c r="B76" s="32">
        <v>-505.3</v>
      </c>
      <c r="C76" s="32">
        <v>-6.9219178082191783</v>
      </c>
      <c r="D76" s="37">
        <v>2.1780821917808217</v>
      </c>
      <c r="E76" s="33">
        <v>0.21917808219178081</v>
      </c>
      <c r="F76" s="33">
        <v>0.39726027397260272</v>
      </c>
      <c r="G76" s="33">
        <v>0.27741935483870966</v>
      </c>
      <c r="H76" s="33">
        <v>0.20161290322580644</v>
      </c>
      <c r="I76" s="34">
        <v>8034.3023255813951</v>
      </c>
      <c r="J76" s="34">
        <v>-7544</v>
      </c>
      <c r="K76" s="33">
        <v>8.2191780821917804E-2</v>
      </c>
      <c r="L76" s="33">
        <v>0.2870967741935484</v>
      </c>
      <c r="M76" s="33">
        <v>0.19354838709677419</v>
      </c>
      <c r="N76" s="33">
        <v>0.5730337078651685</v>
      </c>
      <c r="O76" s="33">
        <v>0.4</v>
      </c>
      <c r="P76" s="33">
        <v>0.46511627906976744</v>
      </c>
    </row>
    <row r="77" spans="1:16" x14ac:dyDescent="0.45">
      <c r="A77" s="35">
        <v>74</v>
      </c>
      <c r="B77" s="32">
        <v>-490.40000000000003</v>
      </c>
      <c r="C77" s="32">
        <v>-6.6270270270270277</v>
      </c>
      <c r="D77" s="37">
        <v>2.1756756756756759</v>
      </c>
      <c r="E77" s="33">
        <v>0.21621621621621623</v>
      </c>
      <c r="F77" s="33">
        <v>0.39189189189189189</v>
      </c>
      <c r="G77" s="33">
        <v>0.27892234548335976</v>
      </c>
      <c r="H77" s="33">
        <v>0.19968304278922344</v>
      </c>
      <c r="I77" s="34">
        <v>8047.727272727273</v>
      </c>
      <c r="J77" s="34">
        <v>-7576.1904761904761</v>
      </c>
      <c r="K77" s="33">
        <v>8.1081081081081086E-2</v>
      </c>
      <c r="L77" s="33">
        <v>0.28526148969889065</v>
      </c>
      <c r="M77" s="33">
        <v>0.19492868462757529</v>
      </c>
      <c r="N77" s="33">
        <v>0.57222222222222219</v>
      </c>
      <c r="O77" s="33">
        <v>0.4065040650406504</v>
      </c>
      <c r="P77" s="33">
        <v>0.46590909090909088</v>
      </c>
    </row>
    <row r="78" spans="1:16" x14ac:dyDescent="0.45">
      <c r="A78" s="35">
        <v>75</v>
      </c>
      <c r="B78" s="32">
        <v>-489.8</v>
      </c>
      <c r="C78" s="32">
        <v>-6.5306666666666668</v>
      </c>
      <c r="D78" s="37">
        <v>2.1733333333333333</v>
      </c>
      <c r="E78" s="33">
        <v>0.21333333333333335</v>
      </c>
      <c r="F78" s="33">
        <v>0.38666666666666666</v>
      </c>
      <c r="G78" s="33">
        <v>0.27899686520376177</v>
      </c>
      <c r="H78" s="33">
        <v>0.19749216300940439</v>
      </c>
      <c r="I78" s="34">
        <v>8001.6853932584272</v>
      </c>
      <c r="J78" s="34">
        <v>-7576.1904761904761</v>
      </c>
      <c r="K78" s="33">
        <v>0.08</v>
      </c>
      <c r="L78" s="33">
        <v>0.28369905956112851</v>
      </c>
      <c r="M78" s="33">
        <v>0.19749216300940439</v>
      </c>
      <c r="N78" s="33">
        <v>0.56906077348066297</v>
      </c>
      <c r="O78" s="33">
        <v>0.41269841269841268</v>
      </c>
      <c r="P78" s="33">
        <v>0.46629213483146065</v>
      </c>
    </row>
    <row r="79" spans="1:16" x14ac:dyDescent="0.45">
      <c r="A79" s="35">
        <v>76</v>
      </c>
      <c r="B79" s="32">
        <v>-493.3</v>
      </c>
      <c r="C79" s="32">
        <v>-6.4907894736842104</v>
      </c>
      <c r="D79" s="37">
        <v>2.1710526315789473</v>
      </c>
      <c r="E79" s="33">
        <v>0.21052631578947367</v>
      </c>
      <c r="F79" s="33">
        <v>0.38157894736842107</v>
      </c>
      <c r="G79" s="33">
        <v>0.2806201550387597</v>
      </c>
      <c r="H79" s="33">
        <v>0.19689922480620156</v>
      </c>
      <c r="I79" s="34">
        <v>7906.0773480662983</v>
      </c>
      <c r="J79" s="34">
        <v>-7577.1653543307084</v>
      </c>
      <c r="K79" s="33">
        <v>7.8947368421052627E-2</v>
      </c>
      <c r="L79" s="33">
        <v>0.28372093023255812</v>
      </c>
      <c r="M79" s="33">
        <v>0.19689922480620156</v>
      </c>
      <c r="N79" s="33">
        <v>0.56830601092896171</v>
      </c>
      <c r="O79" s="33">
        <v>0.41732283464566927</v>
      </c>
      <c r="P79" s="33">
        <v>0.46408839779005523</v>
      </c>
    </row>
    <row r="80" spans="1:16" x14ac:dyDescent="0.45">
      <c r="A80" s="35">
        <v>77</v>
      </c>
      <c r="B80" s="32">
        <v>-473.90000000000003</v>
      </c>
      <c r="C80" s="32">
        <v>-6.1545454545454552</v>
      </c>
      <c r="D80" s="37">
        <v>2.1558441558441559</v>
      </c>
      <c r="E80" s="33">
        <v>0.22077922077922077</v>
      </c>
      <c r="F80" s="33">
        <v>0.37662337662337664</v>
      </c>
      <c r="G80" s="33">
        <v>0.28134556574923547</v>
      </c>
      <c r="H80" s="33">
        <v>0.19571865443425077</v>
      </c>
      <c r="I80" s="34">
        <v>7863.04347826087</v>
      </c>
      <c r="J80" s="34">
        <v>-7548.4375</v>
      </c>
      <c r="K80" s="33">
        <v>7.792207792207792E-2</v>
      </c>
      <c r="L80" s="33">
        <v>0.28287461773700306</v>
      </c>
      <c r="M80" s="33">
        <v>0.19724770642201836</v>
      </c>
      <c r="N80" s="33">
        <v>0.572972972972973</v>
      </c>
      <c r="O80" s="33">
        <v>0.41860465116279072</v>
      </c>
      <c r="P80" s="33">
        <v>0.45652173913043476</v>
      </c>
    </row>
    <row r="81" spans="1:16" x14ac:dyDescent="0.45">
      <c r="A81" s="35">
        <v>78</v>
      </c>
      <c r="B81" s="32">
        <v>-459.3</v>
      </c>
      <c r="C81" s="32">
        <v>-5.8884615384615389</v>
      </c>
      <c r="D81" s="37">
        <v>2.1538461538461537</v>
      </c>
      <c r="E81" s="33">
        <v>0.21794871794871795</v>
      </c>
      <c r="F81" s="33">
        <v>0.37179487179487181</v>
      </c>
      <c r="G81" s="33">
        <v>0.28120300751879701</v>
      </c>
      <c r="H81" s="33">
        <v>0.19398496240601504</v>
      </c>
      <c r="I81" s="34">
        <v>7845.454545454545</v>
      </c>
      <c r="J81" s="34">
        <v>-7549.6124031007748</v>
      </c>
      <c r="K81" s="33">
        <v>7.6923076923076927E-2</v>
      </c>
      <c r="L81" s="33">
        <v>0.28120300751879701</v>
      </c>
      <c r="M81" s="33">
        <v>0.2</v>
      </c>
      <c r="N81" s="33">
        <v>0.57219251336898391</v>
      </c>
      <c r="O81" s="33">
        <v>0.41353383458646614</v>
      </c>
      <c r="P81" s="33">
        <v>0.45989304812834225</v>
      </c>
    </row>
    <row r="82" spans="1:16" x14ac:dyDescent="0.45">
      <c r="A82" s="35">
        <v>79</v>
      </c>
      <c r="B82" s="32">
        <v>-481.6</v>
      </c>
      <c r="C82" s="32">
        <v>-6.0962025316455701</v>
      </c>
      <c r="D82" s="37">
        <v>2.1645569620253164</v>
      </c>
      <c r="E82" s="33">
        <v>0.21518987341772153</v>
      </c>
      <c r="F82" s="33">
        <v>0.379746835443038</v>
      </c>
      <c r="G82" s="33">
        <v>0.28125</v>
      </c>
      <c r="H82" s="33">
        <v>0.19196428571428573</v>
      </c>
      <c r="I82" s="34">
        <v>7810.0529100529102</v>
      </c>
      <c r="J82" s="34">
        <v>-7549.6124031007748</v>
      </c>
      <c r="K82" s="33">
        <v>7.5949367088607597E-2</v>
      </c>
      <c r="L82" s="33">
        <v>0.28125</v>
      </c>
      <c r="M82" s="33">
        <v>0.20238095238095238</v>
      </c>
      <c r="N82" s="33">
        <v>0.5714285714285714</v>
      </c>
      <c r="O82" s="33">
        <v>0.41176470588235292</v>
      </c>
      <c r="P82" s="33">
        <v>0.455026455026455</v>
      </c>
    </row>
    <row r="83" spans="1:16" x14ac:dyDescent="0.45">
      <c r="A83" s="35">
        <v>80</v>
      </c>
      <c r="B83" s="32">
        <v>-486.6</v>
      </c>
      <c r="C83" s="32">
        <v>-6.0825000000000005</v>
      </c>
      <c r="D83" s="37">
        <v>2.1625000000000001</v>
      </c>
      <c r="E83" s="33">
        <v>0.21249999999999999</v>
      </c>
      <c r="F83" s="33">
        <v>0.375</v>
      </c>
      <c r="G83" s="33">
        <v>0.28046989720998533</v>
      </c>
      <c r="H83" s="33">
        <v>0.1894273127753304</v>
      </c>
      <c r="I83" s="34">
        <v>7791.0994764397901</v>
      </c>
      <c r="J83" s="34">
        <v>-7549.6124031007748</v>
      </c>
      <c r="K83" s="33">
        <v>7.4999999999999997E-2</v>
      </c>
      <c r="L83" s="33">
        <v>0.28193832599118945</v>
      </c>
      <c r="M83" s="33">
        <v>0.20264317180616739</v>
      </c>
      <c r="N83" s="33">
        <v>0.56770833333333337</v>
      </c>
      <c r="O83" s="33">
        <v>0.40579710144927539</v>
      </c>
      <c r="P83" s="33">
        <v>0.45549738219895286</v>
      </c>
    </row>
    <row r="84" spans="1:16" x14ac:dyDescent="0.45">
      <c r="A84" s="35">
        <v>81</v>
      </c>
      <c r="B84" s="32">
        <v>-504.20000000000005</v>
      </c>
      <c r="C84" s="32">
        <v>-6.2246913580246916</v>
      </c>
      <c r="D84" s="37">
        <v>2.1728395061728394</v>
      </c>
      <c r="E84" s="33">
        <v>0.20987654320987653</v>
      </c>
      <c r="F84" s="33">
        <v>0.38271604938271603</v>
      </c>
      <c r="G84" s="33">
        <v>0.28075253256150506</v>
      </c>
      <c r="H84" s="33">
        <v>0.19102749638205499</v>
      </c>
      <c r="I84" s="34">
        <v>7787.1134020618556</v>
      </c>
      <c r="J84" s="34">
        <v>-7499.242424242424</v>
      </c>
      <c r="K84" s="33">
        <v>7.407407407407407E-2</v>
      </c>
      <c r="L84" s="33">
        <v>0.28075253256150506</v>
      </c>
      <c r="M84" s="33">
        <v>0.2040520984081042</v>
      </c>
      <c r="N84" s="33">
        <v>0.57216494845360821</v>
      </c>
      <c r="O84" s="33">
        <v>0.40425531914893614</v>
      </c>
      <c r="P84" s="33">
        <v>0.45360824742268041</v>
      </c>
    </row>
    <row r="85" spans="1:16" x14ac:dyDescent="0.45">
      <c r="A85" s="35">
        <v>82</v>
      </c>
      <c r="B85" s="32">
        <v>-537.30000000000007</v>
      </c>
      <c r="C85" s="32">
        <v>-6.5524390243902451</v>
      </c>
      <c r="D85" s="37">
        <v>2.1829268292682928</v>
      </c>
      <c r="E85" s="33">
        <v>0.2073170731707317</v>
      </c>
      <c r="F85" s="33">
        <v>0.3902439024390244</v>
      </c>
      <c r="G85" s="33">
        <v>0.27936962750716332</v>
      </c>
      <c r="H85" s="33">
        <v>0.19054441260744986</v>
      </c>
      <c r="I85" s="34">
        <v>7767.1794871794873</v>
      </c>
      <c r="J85" s="34">
        <v>-7503.0075187969924</v>
      </c>
      <c r="K85" s="33">
        <v>7.3170731707317069E-2</v>
      </c>
      <c r="L85" s="33">
        <v>0.2822349570200573</v>
      </c>
      <c r="M85" s="33">
        <v>0.2020057306590258</v>
      </c>
      <c r="N85" s="33">
        <v>0.56852791878172593</v>
      </c>
      <c r="O85" s="33">
        <v>0.40425531914893614</v>
      </c>
      <c r="P85" s="33">
        <v>0.45128205128205129</v>
      </c>
    </row>
    <row r="86" spans="1:16" x14ac:dyDescent="0.45">
      <c r="A86" s="35">
        <v>83</v>
      </c>
      <c r="B86" s="32">
        <v>-524.50000000000011</v>
      </c>
      <c r="C86" s="32">
        <v>-6.3192771084337362</v>
      </c>
      <c r="D86" s="37">
        <v>2.1686746987951806</v>
      </c>
      <c r="E86" s="33">
        <v>0.21686746987951808</v>
      </c>
      <c r="F86" s="33">
        <v>0.38554216867469882</v>
      </c>
      <c r="G86" s="33">
        <v>0.28125</v>
      </c>
      <c r="H86" s="33">
        <v>0.19034090909090909</v>
      </c>
      <c r="I86" s="34">
        <v>7712.6262626262624</v>
      </c>
      <c r="J86" s="34">
        <v>-7485.8208955223881</v>
      </c>
      <c r="K86" s="33">
        <v>7.2289156626506021E-2</v>
      </c>
      <c r="L86" s="33">
        <v>0.27982954545454547</v>
      </c>
      <c r="M86" s="33">
        <v>0.20170454545454544</v>
      </c>
      <c r="N86" s="33">
        <v>0.56852791878172593</v>
      </c>
      <c r="O86" s="33">
        <v>0.40845070422535212</v>
      </c>
      <c r="P86" s="33">
        <v>0.4494949494949495</v>
      </c>
    </row>
    <row r="87" spans="1:16" x14ac:dyDescent="0.45">
      <c r="A87" s="35">
        <v>84</v>
      </c>
      <c r="B87" s="32">
        <v>-525.00000000000011</v>
      </c>
      <c r="C87" s="32">
        <v>-6.2500000000000018</v>
      </c>
      <c r="D87" s="37">
        <v>2.1666666666666665</v>
      </c>
      <c r="E87" s="33">
        <v>0.21428571428571427</v>
      </c>
      <c r="F87" s="33">
        <v>0.38095238095238093</v>
      </c>
      <c r="G87" s="33">
        <v>0.2808988764044944</v>
      </c>
      <c r="H87" s="33">
        <v>0.19101123595505617</v>
      </c>
      <c r="I87" s="34">
        <v>7715.5</v>
      </c>
      <c r="J87" s="34">
        <v>-7478.6764705882351</v>
      </c>
      <c r="K87" s="33">
        <v>7.1428571428571425E-2</v>
      </c>
      <c r="L87" s="33">
        <v>0.2794943820224719</v>
      </c>
      <c r="M87" s="33">
        <v>0.199438202247191</v>
      </c>
      <c r="N87" s="33">
        <v>0.56783919597989951</v>
      </c>
      <c r="O87" s="33">
        <v>0.40845070422535212</v>
      </c>
      <c r="P87" s="33">
        <v>0.45</v>
      </c>
    </row>
    <row r="88" spans="1:16" x14ac:dyDescent="0.45">
      <c r="A88" s="35">
        <v>85</v>
      </c>
      <c r="B88" s="32">
        <v>-509.30000000000013</v>
      </c>
      <c r="C88" s="32">
        <v>-5.9917647058823542</v>
      </c>
      <c r="D88" s="37">
        <v>2.1529411764705881</v>
      </c>
      <c r="E88" s="33">
        <v>0.22352941176470589</v>
      </c>
      <c r="F88" s="33">
        <v>0.37647058823529411</v>
      </c>
      <c r="G88" s="33">
        <v>0.28294036061026351</v>
      </c>
      <c r="H88" s="33">
        <v>0.19001386962552011</v>
      </c>
      <c r="I88" s="34">
        <v>7675</v>
      </c>
      <c r="J88" s="34">
        <v>-7452.554744525547</v>
      </c>
      <c r="K88" s="33">
        <v>7.0588235294117646E-2</v>
      </c>
      <c r="L88" s="33">
        <v>0.28016643550624132</v>
      </c>
      <c r="M88" s="33">
        <v>0.20110957004160887</v>
      </c>
      <c r="N88" s="33">
        <v>0.56930693069306926</v>
      </c>
      <c r="O88" s="33">
        <v>0.41379310344827586</v>
      </c>
      <c r="P88" s="33">
        <v>0.45588235294117646</v>
      </c>
    </row>
    <row r="89" spans="1:16" x14ac:dyDescent="0.45">
      <c r="A89" s="35">
        <v>86</v>
      </c>
      <c r="B89" s="32">
        <v>-500.10000000000014</v>
      </c>
      <c r="C89" s="32">
        <v>-5.8151162790697688</v>
      </c>
      <c r="D89" s="37">
        <v>2.1511627906976742</v>
      </c>
      <c r="E89" s="33">
        <v>0.22093023255813954</v>
      </c>
      <c r="F89" s="33">
        <v>0.37209302325581395</v>
      </c>
      <c r="G89" s="33">
        <v>0.28335625859697389</v>
      </c>
      <c r="H89" s="33">
        <v>0.18844566712517194</v>
      </c>
      <c r="I89" s="34">
        <v>7678.155339805825</v>
      </c>
      <c r="J89" s="34">
        <v>-7452.554744525547</v>
      </c>
      <c r="K89" s="33">
        <v>6.9767441860465115E-2</v>
      </c>
      <c r="L89" s="33">
        <v>0.28060522696011003</v>
      </c>
      <c r="M89" s="33">
        <v>0.20082530949105915</v>
      </c>
      <c r="N89" s="33">
        <v>0.56372549019607843</v>
      </c>
      <c r="O89" s="33">
        <v>0.4178082191780822</v>
      </c>
      <c r="P89" s="33">
        <v>0.4563106796116505</v>
      </c>
    </row>
    <row r="90" spans="1:16" x14ac:dyDescent="0.45">
      <c r="A90" s="35">
        <v>87</v>
      </c>
      <c r="B90" s="32">
        <v>-549.60000000000014</v>
      </c>
      <c r="C90" s="32">
        <v>-6.3172413793103468</v>
      </c>
      <c r="D90" s="37">
        <v>2.1609195402298851</v>
      </c>
      <c r="E90" s="33">
        <v>0.21839080459770116</v>
      </c>
      <c r="F90" s="33">
        <v>0.37931034482758619</v>
      </c>
      <c r="G90" s="33">
        <v>0.28146143437077131</v>
      </c>
      <c r="H90" s="33">
        <v>0.18809201623815969</v>
      </c>
      <c r="I90" s="34">
        <v>7688.4615384615381</v>
      </c>
      <c r="J90" s="34">
        <v>-7452.517985611511</v>
      </c>
      <c r="K90" s="33">
        <v>8.0459770114942528E-2</v>
      </c>
      <c r="L90" s="33">
        <v>0.28281461434370769</v>
      </c>
      <c r="M90" s="33">
        <v>0.20162381596752368</v>
      </c>
      <c r="N90" s="33">
        <v>0.55502392344497609</v>
      </c>
      <c r="O90" s="33">
        <v>0.41610738255033558</v>
      </c>
      <c r="P90" s="33">
        <v>0.45673076923076922</v>
      </c>
    </row>
    <row r="91" spans="1:16" x14ac:dyDescent="0.45">
      <c r="A91" s="35">
        <v>88</v>
      </c>
      <c r="B91" s="32">
        <v>-511.50000000000011</v>
      </c>
      <c r="C91" s="32">
        <v>-5.8125000000000009</v>
      </c>
      <c r="D91" s="37">
        <v>2.1477272727272729</v>
      </c>
      <c r="E91" s="33">
        <v>0.22727272727272727</v>
      </c>
      <c r="F91" s="33">
        <v>0.375</v>
      </c>
      <c r="G91" s="33">
        <v>0.28170894526034712</v>
      </c>
      <c r="H91" s="33">
        <v>0.1855807743658211</v>
      </c>
      <c r="I91" s="34">
        <v>7709.9526066350709</v>
      </c>
      <c r="J91" s="34">
        <v>-7452.517985611511</v>
      </c>
      <c r="K91" s="33">
        <v>7.9545454545454544E-2</v>
      </c>
      <c r="L91" s="33">
        <v>0.28304405874499333</v>
      </c>
      <c r="M91" s="33">
        <v>0.19893190921228304</v>
      </c>
      <c r="N91" s="33">
        <v>0.55660377358490565</v>
      </c>
      <c r="O91" s="33">
        <v>0.41610738255033558</v>
      </c>
      <c r="P91" s="33">
        <v>0.46445497630331756</v>
      </c>
    </row>
    <row r="92" spans="1:16" x14ac:dyDescent="0.45">
      <c r="A92" s="35">
        <v>89</v>
      </c>
      <c r="B92" s="32">
        <v>-515.30000000000007</v>
      </c>
      <c r="C92" s="32">
        <v>-5.7898876404494386</v>
      </c>
      <c r="D92" s="37">
        <v>2.1460674157303372</v>
      </c>
      <c r="E92" s="33">
        <v>0.2247191011235955</v>
      </c>
      <c r="F92" s="33">
        <v>0.3707865168539326</v>
      </c>
      <c r="G92" s="33">
        <v>0.28042328042328041</v>
      </c>
      <c r="H92" s="33">
        <v>0.18518518518518517</v>
      </c>
      <c r="I92" s="34">
        <v>7730.1886792452833</v>
      </c>
      <c r="J92" s="34">
        <v>-7477.1428571428569</v>
      </c>
      <c r="K92" s="33">
        <v>7.8651685393258425E-2</v>
      </c>
      <c r="L92" s="33">
        <v>0.28174603174603174</v>
      </c>
      <c r="M92" s="33">
        <v>0.20105820105820105</v>
      </c>
      <c r="N92" s="33">
        <v>0.5539906103286385</v>
      </c>
      <c r="O92" s="33">
        <v>0.41447368421052633</v>
      </c>
      <c r="P92" s="33">
        <v>0.46226415094339623</v>
      </c>
    </row>
    <row r="93" spans="1:16" x14ac:dyDescent="0.45">
      <c r="A93" s="35">
        <v>90</v>
      </c>
      <c r="B93" s="32">
        <v>-557.1</v>
      </c>
      <c r="C93" s="32">
        <v>-6.19</v>
      </c>
      <c r="D93" s="37">
        <v>2.1555555555555554</v>
      </c>
      <c r="E93" s="33">
        <v>0.22222222222222221</v>
      </c>
      <c r="F93" s="33">
        <v>0.37777777777777777</v>
      </c>
      <c r="G93" s="33">
        <v>0.27785058977719529</v>
      </c>
      <c r="H93" s="33">
        <v>0.18479685452162517</v>
      </c>
      <c r="I93" s="34">
        <v>7730.1886792452833</v>
      </c>
      <c r="J93" s="34">
        <v>-7551.7730496453896</v>
      </c>
      <c r="K93" s="33">
        <v>7.7777777777777779E-2</v>
      </c>
      <c r="L93" s="33">
        <v>0.28047182175622543</v>
      </c>
      <c r="M93" s="33">
        <v>0.20183486238532111</v>
      </c>
      <c r="N93" s="33">
        <v>0.55140186915887845</v>
      </c>
      <c r="O93" s="33">
        <v>0.40909090909090912</v>
      </c>
      <c r="P93" s="33">
        <v>0.46226415094339623</v>
      </c>
    </row>
    <row r="94" spans="1:16" x14ac:dyDescent="0.45">
      <c r="A94" s="35">
        <v>91</v>
      </c>
      <c r="B94" s="32">
        <v>-583.4</v>
      </c>
      <c r="C94" s="32">
        <v>-6.4109890109890104</v>
      </c>
      <c r="D94" s="37">
        <v>2.1648351648351647</v>
      </c>
      <c r="E94" s="33">
        <v>0.21978021978021978</v>
      </c>
      <c r="F94" s="33">
        <v>0.38461538461538464</v>
      </c>
      <c r="G94" s="33">
        <v>0.27590673575129532</v>
      </c>
      <c r="H94" s="33">
        <v>0.18393782383419688</v>
      </c>
      <c r="I94" s="34">
        <v>7712.6760563380285</v>
      </c>
      <c r="J94" s="34">
        <v>-7539.4366197183099</v>
      </c>
      <c r="K94" s="33">
        <v>7.6923076923076927E-2</v>
      </c>
      <c r="L94" s="33">
        <v>0.27849740932642486</v>
      </c>
      <c r="M94" s="33">
        <v>0.20207253886010362</v>
      </c>
      <c r="N94" s="33">
        <v>0.5488372093023256</v>
      </c>
      <c r="O94" s="33">
        <v>0.41025641025641024</v>
      </c>
      <c r="P94" s="33">
        <v>0.46478873239436619</v>
      </c>
    </row>
    <row r="95" spans="1:16" x14ac:dyDescent="0.45">
      <c r="A95" s="35">
        <v>92</v>
      </c>
      <c r="B95" s="32">
        <v>-588.19999999999993</v>
      </c>
      <c r="C95" s="32">
        <v>-6.3934782608695642</v>
      </c>
      <c r="D95" s="37">
        <v>2.1630434782608696</v>
      </c>
      <c r="E95" s="33">
        <v>0.21739130434782608</v>
      </c>
      <c r="F95" s="33">
        <v>0.38043478260869568</v>
      </c>
      <c r="G95" s="33">
        <v>0.27493606138107418</v>
      </c>
      <c r="H95" s="33">
        <v>0.1815856777493606</v>
      </c>
      <c r="I95" s="34">
        <v>7733.9534883720926</v>
      </c>
      <c r="J95" s="34">
        <v>-7539.4366197183099</v>
      </c>
      <c r="K95" s="33">
        <v>7.6086956521739135E-2</v>
      </c>
      <c r="L95" s="33">
        <v>0.27877237851662406</v>
      </c>
      <c r="M95" s="33">
        <v>0.19948849104859334</v>
      </c>
      <c r="N95" s="33">
        <v>0.54587155963302747</v>
      </c>
      <c r="O95" s="33">
        <v>0.41025641025641024</v>
      </c>
      <c r="P95" s="33">
        <v>0.46511627906976744</v>
      </c>
    </row>
    <row r="96" spans="1:16" x14ac:dyDescent="0.45">
      <c r="A96" s="35">
        <v>93</v>
      </c>
      <c r="B96" s="32">
        <v>-627.79999999999995</v>
      </c>
      <c r="C96" s="32">
        <v>-6.7505376344086017</v>
      </c>
      <c r="D96" s="37">
        <v>2.172043010752688</v>
      </c>
      <c r="E96" s="33">
        <v>0.21505376344086022</v>
      </c>
      <c r="F96" s="33">
        <v>0.38709677419354838</v>
      </c>
      <c r="G96" s="33">
        <v>0.27386934673366836</v>
      </c>
      <c r="H96" s="33">
        <v>0.18216080402010051</v>
      </c>
      <c r="I96" s="34">
        <v>7760.5504587155965</v>
      </c>
      <c r="J96" s="34">
        <v>-7630.3448275862065</v>
      </c>
      <c r="K96" s="33">
        <v>7.5268817204301078E-2</v>
      </c>
      <c r="L96" s="33">
        <v>0.27763819095477388</v>
      </c>
      <c r="M96" s="33">
        <v>0.19974874371859297</v>
      </c>
      <c r="N96" s="33">
        <v>0.54298642533936647</v>
      </c>
      <c r="O96" s="33">
        <v>0.41509433962264153</v>
      </c>
      <c r="P96" s="33">
        <v>0.46330275229357798</v>
      </c>
    </row>
    <row r="97" spans="1:16" x14ac:dyDescent="0.45">
      <c r="A97" s="35">
        <v>94</v>
      </c>
      <c r="B97" s="32">
        <v>-618.29999999999995</v>
      </c>
      <c r="C97" s="32">
        <v>-6.5776595744680844</v>
      </c>
      <c r="D97" s="37">
        <v>2.1702127659574466</v>
      </c>
      <c r="E97" s="33">
        <v>0.21276595744680851</v>
      </c>
      <c r="F97" s="33">
        <v>0.38297872340425532</v>
      </c>
      <c r="G97" s="33">
        <v>0.27340823970037453</v>
      </c>
      <c r="H97" s="33">
        <v>0.18102372034956304</v>
      </c>
      <c r="I97" s="34">
        <v>7834.7031963470317</v>
      </c>
      <c r="J97" s="34">
        <v>-7630.3448275862065</v>
      </c>
      <c r="K97" s="33">
        <v>7.4468085106382975E-2</v>
      </c>
      <c r="L97" s="33">
        <v>0.27840199750312111</v>
      </c>
      <c r="M97" s="33">
        <v>0.19850187265917604</v>
      </c>
      <c r="N97" s="33">
        <v>0.54260089686098656</v>
      </c>
      <c r="O97" s="33">
        <v>0.41509433962264153</v>
      </c>
      <c r="P97" s="33">
        <v>0.46118721461187212</v>
      </c>
    </row>
    <row r="98" spans="1:16" x14ac:dyDescent="0.45">
      <c r="A98" s="35">
        <v>95</v>
      </c>
      <c r="B98" s="32">
        <v>-599.19999999999993</v>
      </c>
      <c r="C98" s="32">
        <v>-6.3073684210526313</v>
      </c>
      <c r="D98" s="37">
        <v>2.1578947368421053</v>
      </c>
      <c r="E98" s="33">
        <v>0.22105263157894736</v>
      </c>
      <c r="F98" s="33">
        <v>0.37894736842105264</v>
      </c>
      <c r="G98" s="33">
        <v>0.27306273062730629</v>
      </c>
      <c r="H98" s="33">
        <v>0.17958179581795819</v>
      </c>
      <c r="I98" s="34">
        <v>7830.6306306306305</v>
      </c>
      <c r="J98" s="34">
        <v>-7591.7808219178078</v>
      </c>
      <c r="K98" s="33">
        <v>7.3684210526315783E-2</v>
      </c>
      <c r="L98" s="33">
        <v>0.2767527675276753</v>
      </c>
      <c r="M98" s="33">
        <v>0.19557195571955718</v>
      </c>
      <c r="N98" s="33">
        <v>0.54222222222222227</v>
      </c>
      <c r="O98" s="33">
        <v>0.41509433962264153</v>
      </c>
      <c r="P98" s="33">
        <v>0.46846846846846846</v>
      </c>
    </row>
    <row r="99" spans="1:16" x14ac:dyDescent="0.45">
      <c r="A99" s="35">
        <v>96</v>
      </c>
      <c r="B99" s="32">
        <v>-631.19999999999993</v>
      </c>
      <c r="C99" s="32">
        <v>-6.5749999999999993</v>
      </c>
      <c r="D99" s="37">
        <v>2.1666666666666665</v>
      </c>
      <c r="E99" s="33">
        <v>0.21875</v>
      </c>
      <c r="F99" s="33">
        <v>0.38541666666666669</v>
      </c>
      <c r="G99" s="33">
        <v>0.27106227106227104</v>
      </c>
      <c r="H99" s="33">
        <v>0.1807081807081807</v>
      </c>
      <c r="I99" s="34">
        <v>7830.6306306306305</v>
      </c>
      <c r="J99" s="34">
        <v>-7583.7837837837842</v>
      </c>
      <c r="K99" s="33">
        <v>7.2916666666666671E-2</v>
      </c>
      <c r="L99" s="33">
        <v>0.27594627594627597</v>
      </c>
      <c r="M99" s="33">
        <v>0.19536019536019536</v>
      </c>
      <c r="N99" s="33">
        <v>0.53982300884955747</v>
      </c>
      <c r="O99" s="33">
        <v>0.41249999999999998</v>
      </c>
      <c r="P99" s="33">
        <v>0.46846846846846846</v>
      </c>
    </row>
    <row r="100" spans="1:16" x14ac:dyDescent="0.45">
      <c r="A100" s="35">
        <v>97</v>
      </c>
      <c r="B100" s="32">
        <v>-673.49999999999989</v>
      </c>
      <c r="C100" s="32">
        <v>-6.9432989690721634</v>
      </c>
      <c r="D100" s="37">
        <v>2.1752577319587627</v>
      </c>
      <c r="E100" s="33">
        <v>0.21649484536082475</v>
      </c>
      <c r="F100" s="33">
        <v>0.39175257731958762</v>
      </c>
      <c r="G100" s="33">
        <v>0.27085852478839179</v>
      </c>
      <c r="H100" s="33">
        <v>0.18016928657799275</v>
      </c>
      <c r="I100" s="34">
        <v>7832.1428571428569</v>
      </c>
      <c r="J100" s="34">
        <v>-7855.0335570469797</v>
      </c>
      <c r="K100" s="33">
        <v>7.2164948453608241E-2</v>
      </c>
      <c r="L100" s="33">
        <v>0.279322853688029</v>
      </c>
      <c r="M100" s="33">
        <v>0.19347037484885127</v>
      </c>
      <c r="N100" s="33">
        <v>0.53679653679653683</v>
      </c>
      <c r="O100" s="33">
        <v>0.41249999999999998</v>
      </c>
      <c r="P100" s="33">
        <v>0.4732142857142857</v>
      </c>
    </row>
    <row r="101" spans="1:16" x14ac:dyDescent="0.45">
      <c r="A101" s="35">
        <v>98</v>
      </c>
      <c r="B101" s="32">
        <v>-700.69999999999993</v>
      </c>
      <c r="C101" s="32">
        <v>-7.1499999999999995</v>
      </c>
      <c r="D101" s="37">
        <v>2.1836734693877551</v>
      </c>
      <c r="E101" s="33">
        <v>0.21428571428571427</v>
      </c>
      <c r="F101" s="33">
        <v>0.39795918367346939</v>
      </c>
      <c r="G101" s="33">
        <v>0.26959619952494063</v>
      </c>
      <c r="H101" s="33">
        <v>0.18171021377672208</v>
      </c>
      <c r="I101" s="34">
        <v>7816.7400881057265</v>
      </c>
      <c r="J101" s="34">
        <v>-7814.3790849673205</v>
      </c>
      <c r="K101" s="33">
        <v>7.1428571428571425E-2</v>
      </c>
      <c r="L101" s="33">
        <v>0.27672209026128264</v>
      </c>
      <c r="M101" s="33">
        <v>0.19121140142517815</v>
      </c>
      <c r="N101" s="33">
        <v>0.54077253218884125</v>
      </c>
      <c r="O101" s="33">
        <v>0.40993788819875776</v>
      </c>
      <c r="P101" s="33">
        <v>0.47136563876651982</v>
      </c>
    </row>
    <row r="102" spans="1:16" x14ac:dyDescent="0.45">
      <c r="A102" s="35">
        <v>99</v>
      </c>
      <c r="B102" s="32">
        <v>-707.4</v>
      </c>
      <c r="C102" s="32">
        <v>-7.1454545454545455</v>
      </c>
      <c r="D102" s="37">
        <v>2.1818181818181817</v>
      </c>
      <c r="E102" s="33">
        <v>0.21212121212121213</v>
      </c>
      <c r="F102" s="33">
        <v>0.39393939393939392</v>
      </c>
      <c r="G102" s="33">
        <v>0.26846424384525203</v>
      </c>
      <c r="H102" s="33">
        <v>0.1817116060961313</v>
      </c>
      <c r="I102" s="34">
        <v>7835.8078602620089</v>
      </c>
      <c r="J102" s="34">
        <v>-7840.6451612903229</v>
      </c>
      <c r="K102" s="33">
        <v>7.0707070707070704E-2</v>
      </c>
      <c r="L102" s="33">
        <v>0.27549824150058616</v>
      </c>
      <c r="M102" s="33">
        <v>0.1910902696365768</v>
      </c>
      <c r="N102" s="33">
        <v>0.54042553191489362</v>
      </c>
      <c r="O102" s="33">
        <v>0.41104294478527609</v>
      </c>
      <c r="P102" s="33">
        <v>0.46724890829694321</v>
      </c>
    </row>
    <row r="103" spans="1:16" x14ac:dyDescent="0.45">
      <c r="A103" s="35">
        <v>100</v>
      </c>
      <c r="B103" s="32">
        <v>-752.69999999999993</v>
      </c>
      <c r="C103" s="32">
        <v>-7.5269999999999992</v>
      </c>
      <c r="D103" s="37">
        <v>2.19</v>
      </c>
      <c r="E103" s="33">
        <v>0.21</v>
      </c>
      <c r="F103" s="33">
        <v>0.4</v>
      </c>
      <c r="G103" s="33">
        <v>0.26535341830822712</v>
      </c>
      <c r="H103" s="33">
        <v>0.18308227114716108</v>
      </c>
      <c r="I103" s="34">
        <v>7835.8078602620089</v>
      </c>
      <c r="J103" s="34">
        <v>-7813.9240506329115</v>
      </c>
      <c r="K103" s="33">
        <v>0.08</v>
      </c>
      <c r="L103" s="33">
        <v>0.27346465816917731</v>
      </c>
      <c r="M103" s="33">
        <v>0.19119351100811124</v>
      </c>
      <c r="N103" s="33">
        <v>0.53813559322033899</v>
      </c>
      <c r="O103" s="33">
        <v>0.40606060606060607</v>
      </c>
      <c r="P103" s="33">
        <v>0.46724890829694321</v>
      </c>
    </row>
    <row r="104" spans="1:16" x14ac:dyDescent="0.45">
      <c r="A104" s="35">
        <v>101</v>
      </c>
      <c r="B104" s="32">
        <v>-765.99999999999989</v>
      </c>
      <c r="C104" s="32">
        <v>-7.5841584158415829</v>
      </c>
      <c r="D104" s="37">
        <v>2.1980198019801982</v>
      </c>
      <c r="E104" s="33">
        <v>0.20792079207920791</v>
      </c>
      <c r="F104" s="33">
        <v>0.40594059405940597</v>
      </c>
      <c r="G104" s="33">
        <v>0.26551724137931032</v>
      </c>
      <c r="H104" s="33">
        <v>0.18275862068965518</v>
      </c>
      <c r="I104" s="34">
        <v>7819.4805194805194</v>
      </c>
      <c r="J104" s="34">
        <v>-7813.2075471698117</v>
      </c>
      <c r="K104" s="33">
        <v>7.9207920792079209E-2</v>
      </c>
      <c r="L104" s="33">
        <v>0.27471264367816089</v>
      </c>
      <c r="M104" s="33">
        <v>0.19195402298850575</v>
      </c>
      <c r="N104" s="33">
        <v>0.53974895397489542</v>
      </c>
      <c r="O104" s="33">
        <v>0.40119760479041916</v>
      </c>
      <c r="P104" s="33">
        <v>0.46753246753246752</v>
      </c>
    </row>
    <row r="105" spans="1:16" x14ac:dyDescent="0.45">
      <c r="A105" s="35">
        <v>102</v>
      </c>
      <c r="B105" s="32">
        <v>-759.19999999999993</v>
      </c>
      <c r="C105" s="32">
        <v>-7.4431372549019601</v>
      </c>
      <c r="D105" s="37">
        <v>2.1960784313725492</v>
      </c>
      <c r="E105" s="33">
        <v>0.20588235294117646</v>
      </c>
      <c r="F105" s="33">
        <v>0.40196078431372551</v>
      </c>
      <c r="G105" s="33">
        <v>0.26560726447219069</v>
      </c>
      <c r="H105" s="33">
        <v>0.18161180476730987</v>
      </c>
      <c r="I105" s="34">
        <v>7844.0170940170938</v>
      </c>
      <c r="J105" s="34">
        <v>-7839.375</v>
      </c>
      <c r="K105" s="33">
        <v>7.8431372549019607E-2</v>
      </c>
      <c r="L105" s="33">
        <v>0.27582292849035189</v>
      </c>
      <c r="M105" s="33">
        <v>0.19069239500567536</v>
      </c>
      <c r="N105" s="33">
        <v>0.53909465020576131</v>
      </c>
      <c r="O105" s="33">
        <v>0.39880952380952384</v>
      </c>
      <c r="P105" s="33">
        <v>0.47435897435897434</v>
      </c>
    </row>
    <row r="106" spans="1:16" x14ac:dyDescent="0.45">
      <c r="A106" s="35">
        <v>103</v>
      </c>
      <c r="B106" s="32">
        <v>-740.9</v>
      </c>
      <c r="C106" s="32">
        <v>-7.1932038834951451</v>
      </c>
      <c r="D106" s="37">
        <v>2.1844660194174756</v>
      </c>
      <c r="E106" s="33">
        <v>0.21359223300970873</v>
      </c>
      <c r="F106" s="33">
        <v>0.39805825242718446</v>
      </c>
      <c r="G106" s="33">
        <v>0.26674107142857145</v>
      </c>
      <c r="H106" s="33">
        <v>0.1796875</v>
      </c>
      <c r="I106" s="34">
        <v>7822.5941422594142</v>
      </c>
      <c r="J106" s="34">
        <v>-7849.6894409937886</v>
      </c>
      <c r="K106" s="33">
        <v>7.7669902912621352E-2</v>
      </c>
      <c r="L106" s="33">
        <v>0.2767857142857143</v>
      </c>
      <c r="M106" s="33">
        <v>0.19419642857142858</v>
      </c>
      <c r="N106" s="33">
        <v>0.54032258064516125</v>
      </c>
      <c r="O106" s="33">
        <v>0.39655172413793105</v>
      </c>
      <c r="P106" s="33">
        <v>0.47698744769874479</v>
      </c>
    </row>
    <row r="107" spans="1:16" x14ac:dyDescent="0.45">
      <c r="A107" s="35">
        <v>104</v>
      </c>
      <c r="B107" s="32">
        <v>-762.1</v>
      </c>
      <c r="C107" s="32">
        <v>-7.3278846153846153</v>
      </c>
      <c r="D107" s="37">
        <v>2.1923076923076925</v>
      </c>
      <c r="E107" s="33">
        <v>0.21153846153846154</v>
      </c>
      <c r="F107" s="33">
        <v>0.40384615384615385</v>
      </c>
      <c r="G107" s="33">
        <v>0.26629834254143647</v>
      </c>
      <c r="H107" s="33">
        <v>0.18342541436464088</v>
      </c>
      <c r="I107" s="34">
        <v>7848.1327800829877</v>
      </c>
      <c r="J107" s="34">
        <v>-7790.9638554216872</v>
      </c>
      <c r="K107" s="33">
        <v>7.6923076923076927E-2</v>
      </c>
      <c r="L107" s="33">
        <v>0.27624309392265195</v>
      </c>
      <c r="M107" s="33">
        <v>0.19337016574585636</v>
      </c>
      <c r="N107" s="33">
        <v>0.54</v>
      </c>
      <c r="O107" s="33">
        <v>0.39428571428571429</v>
      </c>
      <c r="P107" s="33">
        <v>0.47302904564315351</v>
      </c>
    </row>
    <row r="108" spans="1:16" x14ac:dyDescent="0.45">
      <c r="A108" s="35">
        <v>105</v>
      </c>
      <c r="B108" s="32">
        <v>-749.4</v>
      </c>
      <c r="C108" s="32">
        <v>-7.137142857142857</v>
      </c>
      <c r="D108" s="37">
        <v>2.1809523809523808</v>
      </c>
      <c r="E108" s="33">
        <v>0.21904761904761905</v>
      </c>
      <c r="F108" s="33">
        <v>0.4</v>
      </c>
      <c r="G108" s="33">
        <v>0.26586433260393871</v>
      </c>
      <c r="H108" s="33">
        <v>0.18271334792122537</v>
      </c>
      <c r="I108" s="34">
        <v>7864.6090534979421</v>
      </c>
      <c r="J108" s="34">
        <v>-7753.2934131736529</v>
      </c>
      <c r="K108" s="33">
        <v>7.6190476190476197E-2</v>
      </c>
      <c r="L108" s="33">
        <v>0.27461706783369805</v>
      </c>
      <c r="M108" s="33">
        <v>0.19474835886214442</v>
      </c>
      <c r="N108" s="33">
        <v>0.54183266932270913</v>
      </c>
      <c r="O108" s="33">
        <v>0.39325842696629215</v>
      </c>
      <c r="P108" s="33">
        <v>0.47325102880658437</v>
      </c>
    </row>
    <row r="109" spans="1:16" x14ac:dyDescent="0.45">
      <c r="A109" s="35">
        <v>106</v>
      </c>
      <c r="B109" s="32">
        <v>-727.5</v>
      </c>
      <c r="C109" s="32">
        <v>-6.8632075471698117</v>
      </c>
      <c r="D109" s="37">
        <v>2.1698113207547172</v>
      </c>
      <c r="E109" s="33">
        <v>0.22641509433962265</v>
      </c>
      <c r="F109" s="33">
        <v>0.39622641509433965</v>
      </c>
      <c r="G109" s="33">
        <v>0.26760563380281688</v>
      </c>
      <c r="H109" s="33">
        <v>0.18309859154929578</v>
      </c>
      <c r="I109" s="34">
        <v>7870.0404858299598</v>
      </c>
      <c r="J109" s="34">
        <v>-7752.6627218934909</v>
      </c>
      <c r="K109" s="33">
        <v>7.5471698113207544E-2</v>
      </c>
      <c r="L109" s="33">
        <v>0.27410617551462624</v>
      </c>
      <c r="M109" s="33">
        <v>0.19718309859154928</v>
      </c>
      <c r="N109" s="33">
        <v>0.54545454545454541</v>
      </c>
      <c r="O109" s="33">
        <v>0.39560439560439559</v>
      </c>
      <c r="P109" s="33">
        <v>0.47773279352226722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54F5D-DBFC-4E42-A961-C91C9A6B653E}">
  <sheetPr codeName="Sheet12"/>
  <dimension ref="A1:Q19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127</v>
      </c>
      <c r="B1" s="36" t="s">
        <v>127</v>
      </c>
      <c r="C1" s="36" t="s">
        <v>127</v>
      </c>
      <c r="D1" s="37" t="s">
        <v>127</v>
      </c>
      <c r="E1" s="36" t="s">
        <v>127</v>
      </c>
      <c r="F1" s="36" t="s">
        <v>127</v>
      </c>
      <c r="G1" s="36" t="s">
        <v>127</v>
      </c>
      <c r="H1" s="36" t="s">
        <v>127</v>
      </c>
      <c r="I1" s="36" t="s">
        <v>127</v>
      </c>
      <c r="J1" s="36" t="s">
        <v>127</v>
      </c>
      <c r="K1" s="36" t="s">
        <v>127</v>
      </c>
      <c r="L1" s="36" t="s">
        <v>127</v>
      </c>
      <c r="M1" s="36" t="s">
        <v>127</v>
      </c>
      <c r="N1" s="36" t="s">
        <v>127</v>
      </c>
      <c r="O1" s="36" t="s">
        <v>127</v>
      </c>
      <c r="P1" s="36" t="s">
        <v>127</v>
      </c>
      <c r="Q1" s="36" t="s">
        <v>127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-45.6</v>
      </c>
      <c r="C4" s="32">
        <v>-45.6</v>
      </c>
      <c r="D4" s="37">
        <v>3</v>
      </c>
      <c r="E4" s="33">
        <v>0</v>
      </c>
      <c r="F4" s="33">
        <v>1</v>
      </c>
      <c r="G4" s="33">
        <v>0.2</v>
      </c>
      <c r="H4" s="33">
        <v>0.4</v>
      </c>
      <c r="I4" s="34">
        <v>7300</v>
      </c>
      <c r="J4" s="34">
        <v>-9925</v>
      </c>
      <c r="K4" s="33">
        <v>1</v>
      </c>
      <c r="L4" s="33">
        <v>0.4</v>
      </c>
      <c r="M4" s="33">
        <v>0.3</v>
      </c>
      <c r="N4" s="33">
        <v>0.25</v>
      </c>
      <c r="O4" s="33">
        <v>0.33333333333333331</v>
      </c>
      <c r="P4" s="33">
        <v>0.5</v>
      </c>
    </row>
    <row r="5" spans="1:17" x14ac:dyDescent="0.45">
      <c r="A5" s="35">
        <v>2</v>
      </c>
      <c r="B5" s="32">
        <v>-34.299999999999997</v>
      </c>
      <c r="C5" s="32">
        <v>-17.149999999999999</v>
      </c>
      <c r="D5" s="37">
        <v>2.5</v>
      </c>
      <c r="E5" s="33">
        <v>0</v>
      </c>
      <c r="F5" s="33">
        <v>0.5</v>
      </c>
      <c r="G5" s="33">
        <v>0.26315789473684209</v>
      </c>
      <c r="H5" s="33">
        <v>0.31578947368421051</v>
      </c>
      <c r="I5" s="34">
        <v>9320</v>
      </c>
      <c r="J5" s="34">
        <v>-7266.666666666667</v>
      </c>
      <c r="K5" s="33">
        <v>0.5</v>
      </c>
      <c r="L5" s="33">
        <v>0.47368421052631576</v>
      </c>
      <c r="M5" s="33">
        <v>0.21052631578947367</v>
      </c>
      <c r="N5" s="33">
        <v>0.44444444444444442</v>
      </c>
      <c r="O5" s="33">
        <v>0.25</v>
      </c>
      <c r="P5" s="33">
        <v>0.4</v>
      </c>
    </row>
    <row r="6" spans="1:17" x14ac:dyDescent="0.45">
      <c r="A6" s="35">
        <v>3</v>
      </c>
      <c r="B6" s="32">
        <v>-58.599999999999994</v>
      </c>
      <c r="C6" s="32">
        <v>-19.533333333333331</v>
      </c>
      <c r="D6" s="37">
        <v>2.6666666666666665</v>
      </c>
      <c r="E6" s="33">
        <v>0</v>
      </c>
      <c r="F6" s="33">
        <v>0.66666666666666663</v>
      </c>
      <c r="G6" s="33">
        <v>0.19230769230769232</v>
      </c>
      <c r="H6" s="33">
        <v>0.30769230769230771</v>
      </c>
      <c r="I6" s="34">
        <v>9320</v>
      </c>
      <c r="J6" s="34">
        <v>-5775</v>
      </c>
      <c r="K6" s="33">
        <v>0.33333333333333331</v>
      </c>
      <c r="L6" s="33">
        <v>0.34615384615384615</v>
      </c>
      <c r="M6" s="33">
        <v>0.15384615384615385</v>
      </c>
      <c r="N6" s="33">
        <v>0.44444444444444442</v>
      </c>
      <c r="O6" s="33">
        <v>0.25</v>
      </c>
      <c r="P6" s="33">
        <v>0.4</v>
      </c>
    </row>
    <row r="7" spans="1:17" x14ac:dyDescent="0.45">
      <c r="A7" s="35">
        <v>4</v>
      </c>
      <c r="B7" s="32">
        <v>-38.099999999999994</v>
      </c>
      <c r="C7" s="32">
        <v>-9.5249999999999986</v>
      </c>
      <c r="D7" s="37">
        <v>2.25</v>
      </c>
      <c r="E7" s="33">
        <v>0.25</v>
      </c>
      <c r="F7" s="33">
        <v>0.5</v>
      </c>
      <c r="G7" s="33">
        <v>0.26470588235294118</v>
      </c>
      <c r="H7" s="33">
        <v>0.29411764705882354</v>
      </c>
      <c r="I7" s="34">
        <v>7788.8888888888887</v>
      </c>
      <c r="J7" s="34">
        <v>-6020</v>
      </c>
      <c r="K7" s="33">
        <v>0.25</v>
      </c>
      <c r="L7" s="33">
        <v>0.35294117647058826</v>
      </c>
      <c r="M7" s="33">
        <v>0.17647058823529413</v>
      </c>
      <c r="N7" s="33">
        <v>0.58333333333333337</v>
      </c>
      <c r="O7" s="33">
        <v>0.33333333333333331</v>
      </c>
      <c r="P7" s="33">
        <v>0.44444444444444442</v>
      </c>
    </row>
    <row r="8" spans="1:17" x14ac:dyDescent="0.45">
      <c r="A8" s="35">
        <v>5</v>
      </c>
      <c r="B8" s="32">
        <v>-11.299999999999994</v>
      </c>
      <c r="C8" s="32">
        <v>-2.2599999999999989</v>
      </c>
      <c r="D8" s="37">
        <v>2</v>
      </c>
      <c r="E8" s="33">
        <v>0.4</v>
      </c>
      <c r="F8" s="33">
        <v>0.4</v>
      </c>
      <c r="G8" s="33">
        <v>0.29268292682926828</v>
      </c>
      <c r="H8" s="33">
        <v>0.29268292682926828</v>
      </c>
      <c r="I8" s="34">
        <v>8275</v>
      </c>
      <c r="J8" s="34">
        <v>-6008.333333333333</v>
      </c>
      <c r="K8" s="33">
        <v>0.2</v>
      </c>
      <c r="L8" s="33">
        <v>0.31707317073170732</v>
      </c>
      <c r="M8" s="33">
        <v>0.1951219512195122</v>
      </c>
      <c r="N8" s="33">
        <v>0.61538461538461542</v>
      </c>
      <c r="O8" s="33">
        <v>0.375</v>
      </c>
      <c r="P8" s="33">
        <v>0.41666666666666669</v>
      </c>
    </row>
    <row r="9" spans="1:17" x14ac:dyDescent="0.45">
      <c r="A9" s="35">
        <v>6</v>
      </c>
      <c r="B9" s="32">
        <v>-11.899999999999993</v>
      </c>
      <c r="C9" s="32">
        <v>-1.9833333333333323</v>
      </c>
      <c r="D9" s="37">
        <v>2</v>
      </c>
      <c r="E9" s="33">
        <v>0.33333333333333331</v>
      </c>
      <c r="F9" s="33">
        <v>0.33333333333333331</v>
      </c>
      <c r="G9" s="33">
        <v>0.34</v>
      </c>
      <c r="H9" s="33">
        <v>0.26</v>
      </c>
      <c r="I9" s="34">
        <v>6964.7058823529414</v>
      </c>
      <c r="J9" s="34">
        <v>-6138.4615384615381</v>
      </c>
      <c r="K9" s="33">
        <v>0.16666666666666666</v>
      </c>
      <c r="L9" s="33">
        <v>0.26</v>
      </c>
      <c r="M9" s="33">
        <v>0.22</v>
      </c>
      <c r="N9" s="33">
        <v>0.61538461538461542</v>
      </c>
      <c r="O9" s="33">
        <v>0.54545454545454541</v>
      </c>
      <c r="P9" s="33">
        <v>0.35294117647058826</v>
      </c>
    </row>
    <row r="10" spans="1:17" x14ac:dyDescent="0.45">
      <c r="A10" s="35">
        <v>7</v>
      </c>
      <c r="B10" s="32">
        <v>-9.4999999999999929</v>
      </c>
      <c r="C10" s="32">
        <v>-1.3571428571428561</v>
      </c>
      <c r="D10" s="37">
        <v>2</v>
      </c>
      <c r="E10" s="33">
        <v>0.2857142857142857</v>
      </c>
      <c r="F10" s="33">
        <v>0.2857142857142857</v>
      </c>
      <c r="G10" s="33">
        <v>0.3125</v>
      </c>
      <c r="H10" s="33">
        <v>0.234375</v>
      </c>
      <c r="I10" s="34">
        <v>7900</v>
      </c>
      <c r="J10" s="34">
        <v>-6866.666666666667</v>
      </c>
      <c r="K10" s="33">
        <v>0.14285714285714285</v>
      </c>
      <c r="L10" s="33">
        <v>0.25</v>
      </c>
      <c r="M10" s="33">
        <v>0.21875</v>
      </c>
      <c r="N10" s="33">
        <v>0.625</v>
      </c>
      <c r="O10" s="33">
        <v>0.42857142857142855</v>
      </c>
      <c r="P10" s="33">
        <v>0.35</v>
      </c>
    </row>
    <row r="11" spans="1:17" x14ac:dyDescent="0.45">
      <c r="A11" s="35">
        <v>8</v>
      </c>
      <c r="B11" s="32">
        <v>-56.79999999999999</v>
      </c>
      <c r="C11" s="32">
        <v>-7.0999999999999988</v>
      </c>
      <c r="D11" s="37">
        <v>2.125</v>
      </c>
      <c r="E11" s="33">
        <v>0.25</v>
      </c>
      <c r="F11" s="33">
        <v>0.375</v>
      </c>
      <c r="G11" s="33">
        <v>0.32</v>
      </c>
      <c r="H11" s="33">
        <v>0.25333333333333335</v>
      </c>
      <c r="I11" s="34">
        <v>7566.666666666667</v>
      </c>
      <c r="J11" s="34">
        <v>-8363.1578947368416</v>
      </c>
      <c r="K11" s="33">
        <v>0.25</v>
      </c>
      <c r="L11" s="33">
        <v>0.24</v>
      </c>
      <c r="M11" s="33">
        <v>0.22666666666666666</v>
      </c>
      <c r="N11" s="33">
        <v>0.61111111111111116</v>
      </c>
      <c r="O11" s="33">
        <v>0.47058823529411764</v>
      </c>
      <c r="P11" s="33">
        <v>0.29166666666666669</v>
      </c>
    </row>
    <row r="12" spans="1:17" x14ac:dyDescent="0.45">
      <c r="A12" s="35">
        <v>9</v>
      </c>
      <c r="B12" s="32">
        <v>-83.699999999999989</v>
      </c>
      <c r="C12" s="32">
        <v>-9.2999999999999989</v>
      </c>
      <c r="D12" s="37">
        <v>2.2222222222222223</v>
      </c>
      <c r="E12" s="33">
        <v>0.22222222222222221</v>
      </c>
      <c r="F12" s="33">
        <v>0.44444444444444442</v>
      </c>
      <c r="G12" s="33">
        <v>0.29411764705882354</v>
      </c>
      <c r="H12" s="33">
        <v>0.22352941176470589</v>
      </c>
      <c r="I12" s="34">
        <v>7584</v>
      </c>
      <c r="J12" s="34">
        <v>-8363.1578947368416</v>
      </c>
      <c r="K12" s="33">
        <v>0.22222222222222221</v>
      </c>
      <c r="L12" s="33">
        <v>0.23529411764705882</v>
      </c>
      <c r="M12" s="33">
        <v>0.23529411764705882</v>
      </c>
      <c r="N12" s="33">
        <v>0.55000000000000004</v>
      </c>
      <c r="O12" s="33">
        <v>0.45</v>
      </c>
      <c r="P12" s="33">
        <v>0.28000000000000003</v>
      </c>
    </row>
    <row r="13" spans="1:17" x14ac:dyDescent="0.45">
      <c r="A13" s="35">
        <v>10</v>
      </c>
      <c r="B13" s="32">
        <v>-78.399999999999991</v>
      </c>
      <c r="C13" s="32">
        <v>-7.839999999999999</v>
      </c>
      <c r="D13" s="37">
        <v>2.2000000000000002</v>
      </c>
      <c r="E13" s="33">
        <v>0.2</v>
      </c>
      <c r="F13" s="33">
        <v>0.4</v>
      </c>
      <c r="G13" s="33">
        <v>0.30851063829787234</v>
      </c>
      <c r="H13" s="33">
        <v>0.20212765957446807</v>
      </c>
      <c r="I13" s="34">
        <v>7389.6551724137935</v>
      </c>
      <c r="J13" s="34">
        <v>-8363.1578947368416</v>
      </c>
      <c r="K13" s="33">
        <v>0.2</v>
      </c>
      <c r="L13" s="33">
        <v>0.24468085106382978</v>
      </c>
      <c r="M13" s="33">
        <v>0.25531914893617019</v>
      </c>
      <c r="N13" s="33">
        <v>0.56521739130434778</v>
      </c>
      <c r="O13" s="33">
        <v>0.41666666666666669</v>
      </c>
      <c r="P13" s="33">
        <v>0.31034482758620691</v>
      </c>
    </row>
    <row r="14" spans="1:17" x14ac:dyDescent="0.45">
      <c r="A14" s="35">
        <v>11</v>
      </c>
      <c r="B14" s="32">
        <v>-68.099999999999994</v>
      </c>
      <c r="C14" s="32">
        <v>-6.1909090909090905</v>
      </c>
      <c r="D14" s="37">
        <v>2.1818181818181817</v>
      </c>
      <c r="E14" s="33">
        <v>0.18181818181818182</v>
      </c>
      <c r="F14" s="33">
        <v>0.36363636363636365</v>
      </c>
      <c r="G14" s="33">
        <v>0.29126213592233008</v>
      </c>
      <c r="H14" s="33">
        <v>0.1941747572815534</v>
      </c>
      <c r="I14" s="34">
        <v>7743.333333333333</v>
      </c>
      <c r="J14" s="34">
        <v>-8105</v>
      </c>
      <c r="K14" s="33">
        <v>0.18181818181818182</v>
      </c>
      <c r="L14" s="33">
        <v>0.25242718446601942</v>
      </c>
      <c r="M14" s="33">
        <v>0.25242718446601942</v>
      </c>
      <c r="N14" s="33">
        <v>0.53846153846153844</v>
      </c>
      <c r="O14" s="33">
        <v>0.38461538461538464</v>
      </c>
      <c r="P14" s="33">
        <v>0.33333333333333331</v>
      </c>
    </row>
    <row r="15" spans="1:17" x14ac:dyDescent="0.45">
      <c r="A15" s="35">
        <v>12</v>
      </c>
      <c r="B15" s="32">
        <v>-89</v>
      </c>
      <c r="C15" s="32">
        <v>-7.416666666666667</v>
      </c>
      <c r="D15" s="37">
        <v>2.25</v>
      </c>
      <c r="E15" s="33">
        <v>0.16666666666666666</v>
      </c>
      <c r="F15" s="33">
        <v>0.41666666666666669</v>
      </c>
      <c r="G15" s="33">
        <v>0.30088495575221241</v>
      </c>
      <c r="H15" s="33">
        <v>0.18584070796460178</v>
      </c>
      <c r="I15" s="34">
        <v>7385.2941176470586</v>
      </c>
      <c r="J15" s="34">
        <v>-8100</v>
      </c>
      <c r="K15" s="33">
        <v>0.16666666666666666</v>
      </c>
      <c r="L15" s="33">
        <v>0.25663716814159293</v>
      </c>
      <c r="M15" s="33">
        <v>0.24778761061946902</v>
      </c>
      <c r="N15" s="33">
        <v>0.51724137931034486</v>
      </c>
      <c r="O15" s="33">
        <v>0.39285714285714285</v>
      </c>
      <c r="P15" s="33">
        <v>0.3235294117647059</v>
      </c>
    </row>
    <row r="16" spans="1:17" x14ac:dyDescent="0.45">
      <c r="A16" s="35">
        <v>13</v>
      </c>
      <c r="B16" s="32">
        <v>-86.8</v>
      </c>
      <c r="C16" s="32">
        <v>-6.6769230769230763</v>
      </c>
      <c r="D16" s="37">
        <v>2.2307692307692308</v>
      </c>
      <c r="E16" s="33">
        <v>0.15384615384615385</v>
      </c>
      <c r="F16" s="33">
        <v>0.38461538461538464</v>
      </c>
      <c r="G16" s="33">
        <v>0.2975206611570248</v>
      </c>
      <c r="H16" s="33">
        <v>0.19834710743801653</v>
      </c>
      <c r="I16" s="34">
        <v>7641.666666666667</v>
      </c>
      <c r="J16" s="34">
        <v>-7850</v>
      </c>
      <c r="K16" s="33">
        <v>0.15384615384615385</v>
      </c>
      <c r="L16" s="33">
        <v>0.24793388429752067</v>
      </c>
      <c r="M16" s="33">
        <v>0.23966942148760331</v>
      </c>
      <c r="N16" s="33">
        <v>0.53333333333333333</v>
      </c>
      <c r="O16" s="33">
        <v>0.41379310344827586</v>
      </c>
      <c r="P16" s="33">
        <v>0.33333333333333331</v>
      </c>
    </row>
    <row r="17" spans="1:16" x14ac:dyDescent="0.45">
      <c r="A17" s="35">
        <v>14</v>
      </c>
      <c r="B17" s="32">
        <v>-138.4</v>
      </c>
      <c r="C17" s="32">
        <v>-9.8857142857142861</v>
      </c>
      <c r="D17" s="37">
        <v>2.2857142857142856</v>
      </c>
      <c r="E17" s="33">
        <v>0.14285714285714285</v>
      </c>
      <c r="F17" s="33">
        <v>0.42857142857142855</v>
      </c>
      <c r="G17" s="33">
        <v>0.28244274809160308</v>
      </c>
      <c r="H17" s="33">
        <v>0.19083969465648856</v>
      </c>
      <c r="I17" s="34">
        <v>7651.3513513513517</v>
      </c>
      <c r="J17" s="34">
        <v>-8016</v>
      </c>
      <c r="K17" s="33">
        <v>0.21428571428571427</v>
      </c>
      <c r="L17" s="33">
        <v>0.24427480916030533</v>
      </c>
      <c r="M17" s="33">
        <v>0.24427480916030533</v>
      </c>
      <c r="N17" s="33">
        <v>0.5</v>
      </c>
      <c r="O17" s="33">
        <v>0.40625</v>
      </c>
      <c r="P17" s="33">
        <v>0.35135135135135137</v>
      </c>
    </row>
    <row r="18" spans="1:16" x14ac:dyDescent="0.45">
      <c r="A18" s="35">
        <v>15</v>
      </c>
      <c r="B18" s="32">
        <v>-144.30000000000001</v>
      </c>
      <c r="C18" s="32">
        <v>-9.620000000000001</v>
      </c>
      <c r="D18" s="37">
        <v>2.2666666666666666</v>
      </c>
      <c r="E18" s="33">
        <v>0.13333333333333333</v>
      </c>
      <c r="F18" s="33">
        <v>0.4</v>
      </c>
      <c r="G18" s="33">
        <v>0.2857142857142857</v>
      </c>
      <c r="H18" s="33">
        <v>0.18571428571428572</v>
      </c>
      <c r="I18" s="34">
        <v>7475</v>
      </c>
      <c r="J18" s="34">
        <v>-7930.7692307692305</v>
      </c>
      <c r="K18" s="33">
        <v>0.2</v>
      </c>
      <c r="L18" s="33">
        <v>0.23571428571428571</v>
      </c>
      <c r="M18" s="33">
        <v>0.25</v>
      </c>
      <c r="N18" s="33">
        <v>0.51515151515151514</v>
      </c>
      <c r="O18" s="33">
        <v>0.42857142857142855</v>
      </c>
      <c r="P18" s="33">
        <v>0.35</v>
      </c>
    </row>
    <row r="19" spans="1:16" x14ac:dyDescent="0.45">
      <c r="A19" s="35">
        <v>16</v>
      </c>
      <c r="B19" s="32">
        <v>-187.3</v>
      </c>
      <c r="C19" s="32">
        <v>-11.706250000000001</v>
      </c>
      <c r="D19" s="37">
        <v>2.3125</v>
      </c>
      <c r="E19" s="33">
        <v>0.125</v>
      </c>
      <c r="F19" s="33">
        <v>0.4375</v>
      </c>
      <c r="G19" s="33">
        <v>0.27516778523489932</v>
      </c>
      <c r="H19" s="33">
        <v>0.18791946308724833</v>
      </c>
      <c r="I19" s="34">
        <v>7585.3658536585363</v>
      </c>
      <c r="J19" s="34">
        <v>-8207.1428571428569</v>
      </c>
      <c r="K19" s="33">
        <v>0.1875</v>
      </c>
      <c r="L19" s="33">
        <v>0.22818791946308725</v>
      </c>
      <c r="M19" s="33">
        <v>0.25503355704697989</v>
      </c>
      <c r="N19" s="33">
        <v>0.5</v>
      </c>
      <c r="O19" s="33">
        <v>0.42105263157894735</v>
      </c>
      <c r="P19" s="33">
        <v>0.34146341463414637</v>
      </c>
    </row>
    <row r="20" spans="1:16" x14ac:dyDescent="0.45">
      <c r="A20" s="35">
        <v>17</v>
      </c>
      <c r="B20" s="32">
        <v>-179.70000000000002</v>
      </c>
      <c r="C20" s="32">
        <v>-10.570588235294119</v>
      </c>
      <c r="D20" s="37">
        <v>2.2941176470588234</v>
      </c>
      <c r="E20" s="33">
        <v>0.11764705882352941</v>
      </c>
      <c r="F20" s="33">
        <v>0.41176470588235292</v>
      </c>
      <c r="G20" s="33">
        <v>0.28125</v>
      </c>
      <c r="H20" s="33">
        <v>0.19375000000000001</v>
      </c>
      <c r="I20" s="34">
        <v>7584.4444444444443</v>
      </c>
      <c r="J20" s="34">
        <v>-8070.9677419354839</v>
      </c>
      <c r="K20" s="33">
        <v>0.17647058823529413</v>
      </c>
      <c r="L20" s="33">
        <v>0.21249999999999999</v>
      </c>
      <c r="M20" s="33">
        <v>0.25624999999999998</v>
      </c>
      <c r="N20" s="33">
        <v>0.5</v>
      </c>
      <c r="O20" s="33">
        <v>0.43902439024390244</v>
      </c>
      <c r="P20" s="33">
        <v>0.31111111111111112</v>
      </c>
    </row>
    <row r="21" spans="1:16" x14ac:dyDescent="0.45">
      <c r="A21" s="35">
        <v>18</v>
      </c>
      <c r="B21" s="32">
        <v>-112.90000000000002</v>
      </c>
      <c r="C21" s="32">
        <v>-6.272222222222223</v>
      </c>
      <c r="D21" s="37">
        <v>2.2222222222222223</v>
      </c>
      <c r="E21" s="33">
        <v>0.16666666666666666</v>
      </c>
      <c r="F21" s="33">
        <v>0.3888888888888889</v>
      </c>
      <c r="G21" s="33">
        <v>0.29878048780487804</v>
      </c>
      <c r="H21" s="33">
        <v>0.18902439024390244</v>
      </c>
      <c r="I21" s="34">
        <v>8063.2653061224491</v>
      </c>
      <c r="J21" s="34">
        <v>-8070.9677419354839</v>
      </c>
      <c r="K21" s="33">
        <v>0.16666666666666666</v>
      </c>
      <c r="L21" s="33">
        <v>0.2073170731707317</v>
      </c>
      <c r="M21" s="33">
        <v>0.27439024390243905</v>
      </c>
      <c r="N21" s="33">
        <v>0.5</v>
      </c>
      <c r="O21" s="33">
        <v>0.48888888888888887</v>
      </c>
      <c r="P21" s="33">
        <v>0.30612244897959184</v>
      </c>
    </row>
    <row r="22" spans="1:16" x14ac:dyDescent="0.45">
      <c r="A22" s="35">
        <v>19</v>
      </c>
      <c r="B22" s="32">
        <v>-162.40000000000003</v>
      </c>
      <c r="C22" s="32">
        <v>-8.5473684210526333</v>
      </c>
      <c r="D22" s="37">
        <v>2.263157894736842</v>
      </c>
      <c r="E22" s="33">
        <v>0.15789473684210525</v>
      </c>
      <c r="F22" s="33">
        <v>0.42105263157894735</v>
      </c>
      <c r="G22" s="33">
        <v>0.29310344827586204</v>
      </c>
      <c r="H22" s="33">
        <v>0.20689655172413793</v>
      </c>
      <c r="I22" s="34">
        <v>8021.5686274509808</v>
      </c>
      <c r="J22" s="34">
        <v>-7880.5555555555557</v>
      </c>
      <c r="K22" s="33">
        <v>0.21052631578947367</v>
      </c>
      <c r="L22" s="33">
        <v>0.20689655172413793</v>
      </c>
      <c r="M22" s="33">
        <v>0.27586206896551724</v>
      </c>
      <c r="N22" s="33">
        <v>0.5</v>
      </c>
      <c r="O22" s="33">
        <v>0.47916666666666669</v>
      </c>
      <c r="P22" s="33">
        <v>0.29411764705882354</v>
      </c>
    </row>
    <row r="23" spans="1:16" x14ac:dyDescent="0.45">
      <c r="A23" s="35">
        <v>20</v>
      </c>
      <c r="B23" s="32">
        <v>-96.000000000000028</v>
      </c>
      <c r="C23" s="32">
        <v>-4.8000000000000016</v>
      </c>
      <c r="D23" s="37">
        <v>2.2000000000000002</v>
      </c>
      <c r="E23" s="33">
        <v>0.2</v>
      </c>
      <c r="F23" s="33">
        <v>0.4</v>
      </c>
      <c r="G23" s="33">
        <v>0.30601092896174864</v>
      </c>
      <c r="H23" s="33">
        <v>0.19672131147540983</v>
      </c>
      <c r="I23" s="34">
        <v>8237.5</v>
      </c>
      <c r="J23" s="34">
        <v>-7880.5555555555557</v>
      </c>
      <c r="K23" s="33">
        <v>0.2</v>
      </c>
      <c r="L23" s="33">
        <v>0.20765027322404372</v>
      </c>
      <c r="M23" s="33">
        <v>0.27868852459016391</v>
      </c>
      <c r="N23" s="33">
        <v>0.52631578947368418</v>
      </c>
      <c r="O23" s="33">
        <v>0.49019607843137253</v>
      </c>
      <c r="P23" s="33">
        <v>0.2857142857142857</v>
      </c>
    </row>
    <row r="24" spans="1:16" x14ac:dyDescent="0.45">
      <c r="A24" s="35">
        <v>21</v>
      </c>
      <c r="B24" s="32">
        <v>-67.200000000000031</v>
      </c>
      <c r="C24" s="32">
        <v>-3.2000000000000015</v>
      </c>
      <c r="D24" s="37">
        <v>2.1428571428571428</v>
      </c>
      <c r="E24" s="33">
        <v>0.23809523809523808</v>
      </c>
      <c r="F24" s="33">
        <v>0.38095238095238093</v>
      </c>
      <c r="G24" s="33">
        <v>0.30927835051546393</v>
      </c>
      <c r="H24" s="33">
        <v>0.19072164948453607</v>
      </c>
      <c r="I24" s="34">
        <v>8355</v>
      </c>
      <c r="J24" s="34">
        <v>-7875.6756756756758</v>
      </c>
      <c r="K24" s="33">
        <v>0.19047619047619047</v>
      </c>
      <c r="L24" s="33">
        <v>0.20103092783505155</v>
      </c>
      <c r="M24" s="33">
        <v>0.29381443298969073</v>
      </c>
      <c r="N24" s="33">
        <v>0.51282051282051277</v>
      </c>
      <c r="O24" s="33">
        <v>0.47368421052631576</v>
      </c>
      <c r="P24" s="33">
        <v>0.28333333333333333</v>
      </c>
    </row>
    <row r="25" spans="1:16" x14ac:dyDescent="0.45">
      <c r="A25" s="35">
        <v>22</v>
      </c>
      <c r="B25" s="32">
        <v>-38.400000000000034</v>
      </c>
      <c r="C25" s="32">
        <v>-1.7454545454545469</v>
      </c>
      <c r="D25" s="37">
        <v>2.0909090909090908</v>
      </c>
      <c r="E25" s="33">
        <v>0.27272727272727271</v>
      </c>
      <c r="F25" s="33">
        <v>0.36363636363636365</v>
      </c>
      <c r="G25" s="33">
        <v>0.31219512195121951</v>
      </c>
      <c r="H25" s="33">
        <v>0.18536585365853658</v>
      </c>
      <c r="I25" s="34">
        <v>8457.8125</v>
      </c>
      <c r="J25" s="34">
        <v>-7871.0526315789475</v>
      </c>
      <c r="K25" s="33">
        <v>0.18181818181818182</v>
      </c>
      <c r="L25" s="33">
        <v>0.1951219512195122</v>
      </c>
      <c r="M25" s="33">
        <v>0.3073170731707317</v>
      </c>
      <c r="N25" s="33">
        <v>0.5</v>
      </c>
      <c r="O25" s="33">
        <v>0.46031746031746029</v>
      </c>
      <c r="P25" s="33">
        <v>0.28125</v>
      </c>
    </row>
    <row r="26" spans="1:16" x14ac:dyDescent="0.45">
      <c r="A26" s="35">
        <v>23</v>
      </c>
      <c r="B26" s="32">
        <v>-37.600000000000037</v>
      </c>
      <c r="C26" s="32">
        <v>-1.6347826086956538</v>
      </c>
      <c r="D26" s="37">
        <v>2.0869565217391304</v>
      </c>
      <c r="E26" s="33">
        <v>0.2608695652173913</v>
      </c>
      <c r="F26" s="33">
        <v>0.34782608695652173</v>
      </c>
      <c r="G26" s="33">
        <v>0.30373831775700932</v>
      </c>
      <c r="H26" s="33">
        <v>0.1822429906542056</v>
      </c>
      <c r="I26" s="34">
        <v>8450.7692307692305</v>
      </c>
      <c r="J26" s="34">
        <v>-7720.5128205128203</v>
      </c>
      <c r="K26" s="33">
        <v>0.17391304347826086</v>
      </c>
      <c r="L26" s="33">
        <v>0.19158878504672897</v>
      </c>
      <c r="M26" s="33">
        <v>0.29906542056074764</v>
      </c>
      <c r="N26" s="33">
        <v>0.51219512195121952</v>
      </c>
      <c r="O26" s="33">
        <v>0.453125</v>
      </c>
      <c r="P26" s="33">
        <v>0.27692307692307694</v>
      </c>
    </row>
    <row r="27" spans="1:16" x14ac:dyDescent="0.45">
      <c r="A27" s="35">
        <v>24</v>
      </c>
      <c r="B27" s="32">
        <v>-37.600000000000037</v>
      </c>
      <c r="C27" s="32">
        <v>-1.5666666666666682</v>
      </c>
      <c r="D27" s="37">
        <v>2.0833333333333335</v>
      </c>
      <c r="E27" s="33">
        <v>0.25</v>
      </c>
      <c r="F27" s="33">
        <v>0.33333333333333331</v>
      </c>
      <c r="G27" s="33">
        <v>0.30232558139534882</v>
      </c>
      <c r="H27" s="33">
        <v>0.18139534883720931</v>
      </c>
      <c r="I27" s="34">
        <v>8450.7692307692305</v>
      </c>
      <c r="J27" s="34">
        <v>-7720.5128205128203</v>
      </c>
      <c r="K27" s="33">
        <v>0.16666666666666666</v>
      </c>
      <c r="L27" s="33">
        <v>0.19069767441860466</v>
      </c>
      <c r="M27" s="33">
        <v>0.29767441860465116</v>
      </c>
      <c r="N27" s="33">
        <v>0.51219512195121952</v>
      </c>
      <c r="O27" s="33">
        <v>0.453125</v>
      </c>
      <c r="P27" s="33">
        <v>0.27692307692307694</v>
      </c>
    </row>
    <row r="28" spans="1:16" x14ac:dyDescent="0.45">
      <c r="A28" s="35">
        <v>25</v>
      </c>
      <c r="B28" s="32">
        <v>-10.700000000000038</v>
      </c>
      <c r="C28" s="32">
        <v>-0.42800000000000155</v>
      </c>
      <c r="D28" s="37">
        <v>2.04</v>
      </c>
      <c r="E28" s="33">
        <v>0.28000000000000003</v>
      </c>
      <c r="F28" s="33">
        <v>0.32</v>
      </c>
      <c r="G28" s="33">
        <v>0.30630630630630629</v>
      </c>
      <c r="H28" s="33">
        <v>0.18018018018018017</v>
      </c>
      <c r="I28" s="34">
        <v>8664.7058823529405</v>
      </c>
      <c r="J28" s="34">
        <v>-7552.5</v>
      </c>
      <c r="K28" s="33">
        <v>0.16</v>
      </c>
      <c r="L28" s="33">
        <v>0.19369369369369369</v>
      </c>
      <c r="M28" s="33">
        <v>0.29729729729729731</v>
      </c>
      <c r="N28" s="33">
        <v>0.53488372093023251</v>
      </c>
      <c r="O28" s="33">
        <v>0.45454545454545453</v>
      </c>
      <c r="P28" s="33">
        <v>0.29411764705882354</v>
      </c>
    </row>
    <row r="29" spans="1:16" x14ac:dyDescent="0.45">
      <c r="A29" s="35">
        <v>26</v>
      </c>
      <c r="B29" s="32">
        <v>-2.6000000000000387</v>
      </c>
      <c r="C29" s="32">
        <v>-0.10000000000000149</v>
      </c>
      <c r="D29" s="37">
        <v>2.0384615384615383</v>
      </c>
      <c r="E29" s="33">
        <v>0.26923076923076922</v>
      </c>
      <c r="F29" s="33">
        <v>0.30769230769230771</v>
      </c>
      <c r="G29" s="33">
        <v>0.30869565217391304</v>
      </c>
      <c r="H29" s="33">
        <v>0.18260869565217391</v>
      </c>
      <c r="I29" s="34">
        <v>8577.4647887323936</v>
      </c>
      <c r="J29" s="34">
        <v>-7352.3809523809523</v>
      </c>
      <c r="K29" s="33">
        <v>0.15384615384615385</v>
      </c>
      <c r="L29" s="33">
        <v>0.19130434782608696</v>
      </c>
      <c r="M29" s="33">
        <v>0.29565217391304349</v>
      </c>
      <c r="N29" s="33">
        <v>0.54545454545454541</v>
      </c>
      <c r="O29" s="33">
        <v>0.44117647058823528</v>
      </c>
      <c r="P29" s="33">
        <v>0.28169014084507044</v>
      </c>
    </row>
    <row r="30" spans="1:16" x14ac:dyDescent="0.45">
      <c r="A30" s="35">
        <v>27</v>
      </c>
      <c r="B30" s="32">
        <v>-34.100000000000037</v>
      </c>
      <c r="C30" s="32">
        <v>-1.2629629629629644</v>
      </c>
      <c r="D30" s="37">
        <v>2.074074074074074</v>
      </c>
      <c r="E30" s="33">
        <v>0.25925925925925924</v>
      </c>
      <c r="F30" s="33">
        <v>0.33333333333333331</v>
      </c>
      <c r="G30" s="33">
        <v>0.30379746835443039</v>
      </c>
      <c r="H30" s="33">
        <v>0.18565400843881857</v>
      </c>
      <c r="I30" s="34">
        <v>8513.8888888888887</v>
      </c>
      <c r="J30" s="34">
        <v>-7222.727272727273</v>
      </c>
      <c r="K30" s="33">
        <v>0.14814814814814814</v>
      </c>
      <c r="L30" s="33">
        <v>0.189873417721519</v>
      </c>
      <c r="M30" s="33">
        <v>0.29535864978902954</v>
      </c>
      <c r="N30" s="33">
        <v>0.55555555555555558</v>
      </c>
      <c r="O30" s="33">
        <v>0.42857142857142855</v>
      </c>
      <c r="P30" s="33">
        <v>0.29166666666666669</v>
      </c>
    </row>
    <row r="31" spans="1:16" x14ac:dyDescent="0.45">
      <c r="A31" s="35">
        <v>28</v>
      </c>
      <c r="B31" s="32">
        <v>-16.100000000000037</v>
      </c>
      <c r="C31" s="32">
        <v>-0.57500000000000129</v>
      </c>
      <c r="D31" s="37">
        <v>2.0714285714285716</v>
      </c>
      <c r="E31" s="33">
        <v>0.25</v>
      </c>
      <c r="F31" s="33">
        <v>0.32142857142857145</v>
      </c>
      <c r="G31" s="33">
        <v>0.31020408163265306</v>
      </c>
      <c r="H31" s="33">
        <v>0.18775510204081633</v>
      </c>
      <c r="I31" s="34">
        <v>8447.3684210526317</v>
      </c>
      <c r="J31" s="34">
        <v>-7245.652173913043</v>
      </c>
      <c r="K31" s="33">
        <v>0.14285714285714285</v>
      </c>
      <c r="L31" s="33">
        <v>0.19591836734693877</v>
      </c>
      <c r="M31" s="33">
        <v>0.29387755102040819</v>
      </c>
      <c r="N31" s="33">
        <v>0.5625</v>
      </c>
      <c r="O31" s="33">
        <v>0.44444444444444442</v>
      </c>
      <c r="P31" s="33">
        <v>0.30263157894736842</v>
      </c>
    </row>
    <row r="32" spans="1:16" x14ac:dyDescent="0.45">
      <c r="A32" s="35">
        <v>29</v>
      </c>
      <c r="B32" s="32">
        <v>40.799999999999962</v>
      </c>
      <c r="C32" s="32">
        <v>1.4068965517241365</v>
      </c>
      <c r="D32" s="37">
        <v>2.0344827586206895</v>
      </c>
      <c r="E32" s="33">
        <v>0.27586206896551724</v>
      </c>
      <c r="F32" s="33">
        <v>0.31034482758620691</v>
      </c>
      <c r="G32" s="33">
        <v>0.31872509960159362</v>
      </c>
      <c r="H32" s="33">
        <v>0.18326693227091634</v>
      </c>
      <c r="I32" s="34">
        <v>8617.5</v>
      </c>
      <c r="J32" s="34">
        <v>-7245.652173913043</v>
      </c>
      <c r="K32" s="33">
        <v>0.13793103448275862</v>
      </c>
      <c r="L32" s="33">
        <v>0.19920318725099601</v>
      </c>
      <c r="M32" s="33">
        <v>0.29482071713147412</v>
      </c>
      <c r="N32" s="33">
        <v>0.57999999999999996</v>
      </c>
      <c r="O32" s="33">
        <v>0.44594594594594594</v>
      </c>
      <c r="P32" s="33">
        <v>0.32500000000000001</v>
      </c>
    </row>
    <row r="33" spans="1:16" x14ac:dyDescent="0.45">
      <c r="A33" s="35">
        <v>30</v>
      </c>
      <c r="B33" s="32">
        <v>63.499999999999957</v>
      </c>
      <c r="C33" s="32">
        <v>2.1166666666666654</v>
      </c>
      <c r="D33" s="37">
        <v>2</v>
      </c>
      <c r="E33" s="33">
        <v>0.3</v>
      </c>
      <c r="F33" s="33">
        <v>0.3</v>
      </c>
      <c r="G33" s="33">
        <v>0.32307692307692309</v>
      </c>
      <c r="H33" s="33">
        <v>0.18846153846153846</v>
      </c>
      <c r="I33" s="34">
        <v>8714.2857142857138</v>
      </c>
      <c r="J33" s="34">
        <v>-7412.2448979591836</v>
      </c>
      <c r="K33" s="33">
        <v>0.13333333333333333</v>
      </c>
      <c r="L33" s="33">
        <v>0.2</v>
      </c>
      <c r="M33" s="33">
        <v>0.30384615384615382</v>
      </c>
      <c r="N33" s="33">
        <v>0.57692307692307687</v>
      </c>
      <c r="O33" s="33">
        <v>0.45569620253164556</v>
      </c>
      <c r="P33" s="33">
        <v>0.33333333333333331</v>
      </c>
    </row>
    <row r="34" spans="1:16" x14ac:dyDescent="0.45">
      <c r="A34" s="35">
        <v>31</v>
      </c>
      <c r="B34" s="32">
        <v>94.299999999999955</v>
      </c>
      <c r="C34" s="32">
        <v>3.0419354838709665</v>
      </c>
      <c r="D34" s="37">
        <v>1.967741935483871</v>
      </c>
      <c r="E34" s="33">
        <v>0.32258064516129031</v>
      </c>
      <c r="F34" s="33">
        <v>0.29032258064516131</v>
      </c>
      <c r="G34" s="33">
        <v>0.33210332103321033</v>
      </c>
      <c r="H34" s="33">
        <v>0.18819188191881919</v>
      </c>
      <c r="I34" s="34">
        <v>8625.5555555555547</v>
      </c>
      <c r="J34" s="34">
        <v>-7592.1568627450979</v>
      </c>
      <c r="K34" s="33">
        <v>0.12903225806451613</v>
      </c>
      <c r="L34" s="33">
        <v>0.21033210332103322</v>
      </c>
      <c r="M34" s="33">
        <v>0.30627306273062732</v>
      </c>
      <c r="N34" s="33">
        <v>0.59649122807017541</v>
      </c>
      <c r="O34" s="33">
        <v>0.45783132530120479</v>
      </c>
      <c r="P34" s="33">
        <v>0.34444444444444444</v>
      </c>
    </row>
    <row r="35" spans="1:16" x14ac:dyDescent="0.45">
      <c r="A35" s="35">
        <v>32</v>
      </c>
      <c r="B35" s="32">
        <v>144.79999999999995</v>
      </c>
      <c r="C35" s="32">
        <v>4.5249999999999986</v>
      </c>
      <c r="D35" s="37">
        <v>1.9375</v>
      </c>
      <c r="E35" s="33">
        <v>0.34375</v>
      </c>
      <c r="F35" s="33">
        <v>0.28125</v>
      </c>
      <c r="G35" s="33">
        <v>0.33333333333333331</v>
      </c>
      <c r="H35" s="33">
        <v>0.18478260869565216</v>
      </c>
      <c r="I35" s="34">
        <v>8829.347826086956</v>
      </c>
      <c r="J35" s="34">
        <v>-7592.1568627450979</v>
      </c>
      <c r="K35" s="33">
        <v>0.125</v>
      </c>
      <c r="L35" s="33">
        <v>0.21014492753623187</v>
      </c>
      <c r="M35" s="33">
        <v>0.30434782608695654</v>
      </c>
      <c r="N35" s="33">
        <v>0.58620689655172409</v>
      </c>
      <c r="O35" s="33">
        <v>0.4642857142857143</v>
      </c>
      <c r="P35" s="33">
        <v>0.34782608695652173</v>
      </c>
    </row>
    <row r="36" spans="1:16" x14ac:dyDescent="0.45">
      <c r="A36" s="35">
        <v>33</v>
      </c>
      <c r="B36" s="32">
        <v>153.39999999999995</v>
      </c>
      <c r="C36" s="32">
        <v>4.6484848484848467</v>
      </c>
      <c r="D36" s="37">
        <v>1.9393939393939394</v>
      </c>
      <c r="E36" s="33">
        <v>0.33333333333333331</v>
      </c>
      <c r="F36" s="33">
        <v>0.27272727272727271</v>
      </c>
      <c r="G36" s="33">
        <v>0.3298611111111111</v>
      </c>
      <c r="H36" s="33">
        <v>0.18402777777777779</v>
      </c>
      <c r="I36" s="34">
        <v>8754.7368421052633</v>
      </c>
      <c r="J36" s="34">
        <v>-7392.4528301886794</v>
      </c>
      <c r="K36" s="33">
        <v>0.12121212121212122</v>
      </c>
      <c r="L36" s="33">
        <v>0.21527777777777779</v>
      </c>
      <c r="M36" s="33">
        <v>0.30902777777777779</v>
      </c>
      <c r="N36" s="33">
        <v>0.58064516129032262</v>
      </c>
      <c r="O36" s="33">
        <v>0.449438202247191</v>
      </c>
      <c r="P36" s="33">
        <v>0.35789473684210527</v>
      </c>
    </row>
    <row r="37" spans="1:16" x14ac:dyDescent="0.45">
      <c r="A37" s="35">
        <v>34</v>
      </c>
      <c r="B37" s="32">
        <v>178.09999999999994</v>
      </c>
      <c r="C37" s="32">
        <v>5.2382352941176453</v>
      </c>
      <c r="D37" s="37">
        <v>1.911764705882353</v>
      </c>
      <c r="E37" s="33">
        <v>0.35294117647058826</v>
      </c>
      <c r="F37" s="33">
        <v>0.26470588235294118</v>
      </c>
      <c r="G37" s="33">
        <v>0.33333333333333331</v>
      </c>
      <c r="H37" s="33">
        <v>0.19</v>
      </c>
      <c r="I37" s="34">
        <v>8783</v>
      </c>
      <c r="J37" s="34">
        <v>-7270.1754385964914</v>
      </c>
      <c r="K37" s="33">
        <v>0.11764705882352941</v>
      </c>
      <c r="L37" s="33">
        <v>0.21333333333333335</v>
      </c>
      <c r="M37" s="33">
        <v>0.32333333333333331</v>
      </c>
      <c r="N37" s="33">
        <v>0.578125</v>
      </c>
      <c r="O37" s="33">
        <v>0.44329896907216493</v>
      </c>
      <c r="P37" s="33">
        <v>0.37</v>
      </c>
    </row>
    <row r="38" spans="1:16" x14ac:dyDescent="0.45">
      <c r="A38" s="35">
        <v>35</v>
      </c>
      <c r="B38" s="32">
        <v>171.89999999999995</v>
      </c>
      <c r="C38" s="32">
        <v>4.9114285714285701</v>
      </c>
      <c r="D38" s="37">
        <v>1.9142857142857144</v>
      </c>
      <c r="E38" s="33">
        <v>0.34285714285714286</v>
      </c>
      <c r="F38" s="33">
        <v>0.25714285714285712</v>
      </c>
      <c r="G38" s="33">
        <v>0.32580645161290323</v>
      </c>
      <c r="H38" s="33">
        <v>0.19354838709677419</v>
      </c>
      <c r="I38" s="34">
        <v>8775.2475247524744</v>
      </c>
      <c r="J38" s="34">
        <v>-7221.666666666667</v>
      </c>
      <c r="K38" s="33">
        <v>0.11428571428571428</v>
      </c>
      <c r="L38" s="33">
        <v>0.21612903225806451</v>
      </c>
      <c r="M38" s="33">
        <v>0.32258064516129031</v>
      </c>
      <c r="N38" s="33">
        <v>0.56716417910447758</v>
      </c>
      <c r="O38" s="33">
        <v>0.43</v>
      </c>
      <c r="P38" s="33">
        <v>0.36633663366336633</v>
      </c>
    </row>
    <row r="39" spans="1:16" x14ac:dyDescent="0.45">
      <c r="A39" s="35">
        <v>36</v>
      </c>
      <c r="B39" s="32">
        <v>164.59999999999994</v>
      </c>
      <c r="C39" s="32">
        <v>4.5722222222222202</v>
      </c>
      <c r="D39" s="37">
        <v>1.9166666666666667</v>
      </c>
      <c r="E39" s="33">
        <v>0.33333333333333331</v>
      </c>
      <c r="F39" s="33">
        <v>0.25</v>
      </c>
      <c r="G39" s="33">
        <v>0.32075471698113206</v>
      </c>
      <c r="H39" s="33">
        <v>0.1918238993710692</v>
      </c>
      <c r="I39" s="34">
        <v>8727.4509803921574</v>
      </c>
      <c r="J39" s="34">
        <v>-7229.5081967213118</v>
      </c>
      <c r="K39" s="33">
        <v>0.1111111111111111</v>
      </c>
      <c r="L39" s="33">
        <v>0.21698113207547171</v>
      </c>
      <c r="M39" s="33">
        <v>0.330188679245283</v>
      </c>
      <c r="N39" s="33">
        <v>0.56521739130434778</v>
      </c>
      <c r="O39" s="33">
        <v>0.40952380952380951</v>
      </c>
      <c r="P39" s="33">
        <v>0.36274509803921567</v>
      </c>
    </row>
    <row r="40" spans="1:16" x14ac:dyDescent="0.45">
      <c r="A40" s="35">
        <v>37</v>
      </c>
      <c r="B40" s="32">
        <v>156.59999999999994</v>
      </c>
      <c r="C40" s="32">
        <v>4.2324324324324305</v>
      </c>
      <c r="D40" s="37">
        <v>1.9189189189189189</v>
      </c>
      <c r="E40" s="33">
        <v>0.32432432432432434</v>
      </c>
      <c r="F40" s="33">
        <v>0.24324324324324326</v>
      </c>
      <c r="G40" s="33">
        <v>0.31804281345565749</v>
      </c>
      <c r="H40" s="33">
        <v>0.19266055045871561</v>
      </c>
      <c r="I40" s="34">
        <v>8625.961538461539</v>
      </c>
      <c r="J40" s="34">
        <v>-7252.3809523809523</v>
      </c>
      <c r="K40" s="33">
        <v>0.10810810810810811</v>
      </c>
      <c r="L40" s="33">
        <v>0.21100917431192662</v>
      </c>
      <c r="M40" s="33">
        <v>0.3363914373088685</v>
      </c>
      <c r="N40" s="33">
        <v>0.56521739130434778</v>
      </c>
      <c r="O40" s="33">
        <v>0.40909090909090912</v>
      </c>
      <c r="P40" s="33">
        <v>0.36538461538461536</v>
      </c>
    </row>
    <row r="41" spans="1:16" x14ac:dyDescent="0.45">
      <c r="A41" s="35">
        <v>38</v>
      </c>
      <c r="B41" s="32">
        <v>110.89999999999993</v>
      </c>
      <c r="C41" s="32">
        <v>2.9184210526315773</v>
      </c>
      <c r="D41" s="37">
        <v>1.9473684210526316</v>
      </c>
      <c r="E41" s="33">
        <v>0.31578947368421051</v>
      </c>
      <c r="F41" s="33">
        <v>0.26315789473684209</v>
      </c>
      <c r="G41" s="33">
        <v>0.31736526946107785</v>
      </c>
      <c r="H41" s="33">
        <v>0.19461077844311378</v>
      </c>
      <c r="I41" s="34">
        <v>8576.4150943396235</v>
      </c>
      <c r="J41" s="34">
        <v>-7552.3076923076924</v>
      </c>
      <c r="K41" s="33">
        <v>0.13157894736842105</v>
      </c>
      <c r="L41" s="33">
        <v>0.21257485029940121</v>
      </c>
      <c r="M41" s="33">
        <v>0.33532934131736525</v>
      </c>
      <c r="N41" s="33">
        <v>0.56338028169014087</v>
      </c>
      <c r="O41" s="33">
        <v>0.4107142857142857</v>
      </c>
      <c r="P41" s="33">
        <v>0.36792452830188677</v>
      </c>
    </row>
    <row r="42" spans="1:16" x14ac:dyDescent="0.45">
      <c r="A42" s="35">
        <v>39</v>
      </c>
      <c r="B42" s="32">
        <v>158.79999999999993</v>
      </c>
      <c r="C42" s="32">
        <v>4.0717948717948698</v>
      </c>
      <c r="D42" s="37">
        <v>1.9230769230769231</v>
      </c>
      <c r="E42" s="33">
        <v>0.33333333333333331</v>
      </c>
      <c r="F42" s="33">
        <v>0.25641025641025639</v>
      </c>
      <c r="G42" s="33">
        <v>0.31428571428571428</v>
      </c>
      <c r="H42" s="33">
        <v>0.19142857142857142</v>
      </c>
      <c r="I42" s="34">
        <v>8688.181818181818</v>
      </c>
      <c r="J42" s="34">
        <v>-7482.0895522388064</v>
      </c>
      <c r="K42" s="33">
        <v>0.12820512820512819</v>
      </c>
      <c r="L42" s="33">
        <v>0.22</v>
      </c>
      <c r="M42" s="33">
        <v>0.3342857142857143</v>
      </c>
      <c r="N42" s="33">
        <v>0.55844155844155841</v>
      </c>
      <c r="O42" s="33">
        <v>0.40170940170940173</v>
      </c>
      <c r="P42" s="33">
        <v>0.36363636363636365</v>
      </c>
    </row>
    <row r="43" spans="1:16" x14ac:dyDescent="0.45">
      <c r="A43" s="35">
        <v>40</v>
      </c>
      <c r="B43" s="32">
        <v>109.59999999999992</v>
      </c>
      <c r="C43" s="32">
        <v>2.739999999999998</v>
      </c>
      <c r="D43" s="37">
        <v>1.95</v>
      </c>
      <c r="E43" s="33">
        <v>0.32500000000000001</v>
      </c>
      <c r="F43" s="33">
        <v>0.27500000000000002</v>
      </c>
      <c r="G43" s="33">
        <v>0.31179775280898875</v>
      </c>
      <c r="H43" s="33">
        <v>0.199438202247191</v>
      </c>
      <c r="I43" s="34">
        <v>8645.0450450450444</v>
      </c>
      <c r="J43" s="34">
        <v>-7635.211267605634</v>
      </c>
      <c r="K43" s="33">
        <v>0.15</v>
      </c>
      <c r="L43" s="33">
        <v>0.21629213483146068</v>
      </c>
      <c r="M43" s="33">
        <v>0.3342696629213483</v>
      </c>
      <c r="N43" s="33">
        <v>0.55844155844155841</v>
      </c>
      <c r="O43" s="33">
        <v>0.3949579831932773</v>
      </c>
      <c r="P43" s="33">
        <v>0.36036036036036034</v>
      </c>
    </row>
    <row r="44" spans="1:16" x14ac:dyDescent="0.45">
      <c r="A44" s="35">
        <v>41</v>
      </c>
      <c r="B44" s="32">
        <v>131.59999999999991</v>
      </c>
      <c r="C44" s="32">
        <v>3.2097560975609736</v>
      </c>
      <c r="D44" s="37">
        <v>1.9268292682926829</v>
      </c>
      <c r="E44" s="33">
        <v>0.34146341463414637</v>
      </c>
      <c r="F44" s="33">
        <v>0.26829268292682928</v>
      </c>
      <c r="G44" s="33">
        <v>0.31129476584022037</v>
      </c>
      <c r="H44" s="33">
        <v>0.20110192837465565</v>
      </c>
      <c r="I44" s="34">
        <v>8772.5663716814161</v>
      </c>
      <c r="J44" s="34">
        <v>-7690.41095890411</v>
      </c>
      <c r="K44" s="33">
        <v>0.14634146341463414</v>
      </c>
      <c r="L44" s="33">
        <v>0.21487603305785125</v>
      </c>
      <c r="M44" s="33">
        <v>0.33608815426997246</v>
      </c>
      <c r="N44" s="33">
        <v>0.5641025641025641</v>
      </c>
      <c r="O44" s="33">
        <v>0.39344262295081966</v>
      </c>
      <c r="P44" s="33">
        <v>0.36283185840707965</v>
      </c>
    </row>
    <row r="45" spans="1:16" x14ac:dyDescent="0.45">
      <c r="A45" s="35">
        <v>42</v>
      </c>
      <c r="B45" s="32">
        <v>183.6999999999999</v>
      </c>
      <c r="C45" s="32">
        <v>4.3738095238095216</v>
      </c>
      <c r="D45" s="37">
        <v>1.9047619047619047</v>
      </c>
      <c r="E45" s="33">
        <v>0.35714285714285715</v>
      </c>
      <c r="F45" s="33">
        <v>0.26190476190476192</v>
      </c>
      <c r="G45" s="33">
        <v>0.31818181818181818</v>
      </c>
      <c r="H45" s="33">
        <v>0.19786096256684493</v>
      </c>
      <c r="I45" s="34">
        <v>8828.5714285714294</v>
      </c>
      <c r="J45" s="34">
        <v>-7629.72972972973</v>
      </c>
      <c r="K45" s="33">
        <v>0.14285714285714285</v>
      </c>
      <c r="L45" s="33">
        <v>0.22192513368983957</v>
      </c>
      <c r="M45" s="33">
        <v>0.33155080213903743</v>
      </c>
      <c r="N45" s="33">
        <v>0.57831325301204817</v>
      </c>
      <c r="O45" s="33">
        <v>0.40322580645161288</v>
      </c>
      <c r="P45" s="33">
        <v>0.37815126050420167</v>
      </c>
    </row>
    <row r="46" spans="1:16" x14ac:dyDescent="0.45">
      <c r="A46" s="35">
        <v>43</v>
      </c>
      <c r="B46" s="32">
        <v>211.89999999999989</v>
      </c>
      <c r="C46" s="32">
        <v>4.9279069767441834</v>
      </c>
      <c r="D46" s="37">
        <v>1.8837209302325582</v>
      </c>
      <c r="E46" s="33">
        <v>0.37209302325581395</v>
      </c>
      <c r="F46" s="33">
        <v>0.2558139534883721</v>
      </c>
      <c r="G46" s="33">
        <v>0.32105263157894737</v>
      </c>
      <c r="H46" s="33">
        <v>0.2</v>
      </c>
      <c r="I46" s="34">
        <v>8802.4590163934427</v>
      </c>
      <c r="J46" s="34">
        <v>-7548.6842105263158</v>
      </c>
      <c r="K46" s="33">
        <v>0.13953488372093023</v>
      </c>
      <c r="L46" s="33">
        <v>0.22894736842105262</v>
      </c>
      <c r="M46" s="33">
        <v>0.32894736842105265</v>
      </c>
      <c r="N46" s="33">
        <v>0.57471264367816088</v>
      </c>
      <c r="O46" s="33">
        <v>0.4</v>
      </c>
      <c r="P46" s="33">
        <v>0.39344262295081966</v>
      </c>
    </row>
    <row r="47" spans="1:16" x14ac:dyDescent="0.45">
      <c r="A47" s="35">
        <v>44</v>
      </c>
      <c r="B47" s="32">
        <v>232.7999999999999</v>
      </c>
      <c r="C47" s="32">
        <v>5.2909090909090883</v>
      </c>
      <c r="D47" s="37">
        <v>1.8636363636363635</v>
      </c>
      <c r="E47" s="33">
        <v>0.38636363636363635</v>
      </c>
      <c r="F47" s="33">
        <v>0.25</v>
      </c>
      <c r="G47" s="33">
        <v>0.32474226804123713</v>
      </c>
      <c r="H47" s="33">
        <v>0.19587628865979381</v>
      </c>
      <c r="I47" s="34">
        <v>8659.5238095238092</v>
      </c>
      <c r="J47" s="34">
        <v>-7548.6842105263158</v>
      </c>
      <c r="K47" s="33">
        <v>0.13636363636363635</v>
      </c>
      <c r="L47" s="33">
        <v>0.23195876288659795</v>
      </c>
      <c r="M47" s="33">
        <v>0.32731958762886598</v>
      </c>
      <c r="N47" s="33">
        <v>0.57777777777777772</v>
      </c>
      <c r="O47" s="33">
        <v>0.40157480314960631</v>
      </c>
      <c r="P47" s="33">
        <v>0.38095238095238093</v>
      </c>
    </row>
    <row r="48" spans="1:16" x14ac:dyDescent="0.45">
      <c r="A48" s="35">
        <v>45</v>
      </c>
      <c r="B48" s="32">
        <v>214.39999999999989</v>
      </c>
      <c r="C48" s="32">
        <v>4.7644444444444423</v>
      </c>
      <c r="D48" s="37">
        <v>1.8888888888888888</v>
      </c>
      <c r="E48" s="33">
        <v>0.37777777777777777</v>
      </c>
      <c r="F48" s="33">
        <v>0.26666666666666666</v>
      </c>
      <c r="G48" s="33">
        <v>0.32151898734177214</v>
      </c>
      <c r="H48" s="33">
        <v>0.20253164556962025</v>
      </c>
      <c r="I48" s="34">
        <v>8654.3307086614168</v>
      </c>
      <c r="J48" s="34">
        <v>-7338.75</v>
      </c>
      <c r="K48" s="33">
        <v>0.13333333333333333</v>
      </c>
      <c r="L48" s="33">
        <v>0.23291139240506328</v>
      </c>
      <c r="M48" s="33">
        <v>0.32658227848101268</v>
      </c>
      <c r="N48" s="33">
        <v>0.56521739130434778</v>
      </c>
      <c r="O48" s="33">
        <v>0.40310077519379844</v>
      </c>
      <c r="P48" s="33">
        <v>0.37795275590551181</v>
      </c>
    </row>
    <row r="49" spans="1:16" x14ac:dyDescent="0.45">
      <c r="A49" s="35">
        <v>46</v>
      </c>
      <c r="B49" s="32">
        <v>215.39999999999989</v>
      </c>
      <c r="C49" s="32">
        <v>4.6826086956521715</v>
      </c>
      <c r="D49" s="37">
        <v>1.8913043478260869</v>
      </c>
      <c r="E49" s="33">
        <v>0.36956521739130432</v>
      </c>
      <c r="F49" s="33">
        <v>0.2608695652173913</v>
      </c>
      <c r="G49" s="33">
        <v>0.31761786600496278</v>
      </c>
      <c r="H49" s="33">
        <v>0.20099255583126552</v>
      </c>
      <c r="I49" s="34">
        <v>8727.34375</v>
      </c>
      <c r="J49" s="34">
        <v>-7396.2962962962965</v>
      </c>
      <c r="K49" s="33">
        <v>0.13043478260869565</v>
      </c>
      <c r="L49" s="33">
        <v>0.23325062034739455</v>
      </c>
      <c r="M49" s="33">
        <v>0.32754342431761785</v>
      </c>
      <c r="N49" s="33">
        <v>0.55319148936170215</v>
      </c>
      <c r="O49" s="33">
        <v>0.40151515151515149</v>
      </c>
      <c r="P49" s="33">
        <v>0.375</v>
      </c>
    </row>
    <row r="50" spans="1:16" x14ac:dyDescent="0.45">
      <c r="A50" s="35">
        <v>47</v>
      </c>
      <c r="B50" s="32">
        <v>259.19999999999987</v>
      </c>
      <c r="C50" s="32">
        <v>5.5148936170212739</v>
      </c>
      <c r="D50" s="37">
        <v>1.8723404255319149</v>
      </c>
      <c r="E50" s="33">
        <v>0.38297872340425532</v>
      </c>
      <c r="F50" s="33">
        <v>0.25531914893617019</v>
      </c>
      <c r="G50" s="33">
        <v>0.3235294117647059</v>
      </c>
      <c r="H50" s="33">
        <v>0.20098039215686275</v>
      </c>
      <c r="I50" s="34">
        <v>8787.121212121212</v>
      </c>
      <c r="J50" s="34">
        <v>-7452.4390243902435</v>
      </c>
      <c r="K50" s="33">
        <v>0.1276595744680851</v>
      </c>
      <c r="L50" s="33">
        <v>0.23774509803921567</v>
      </c>
      <c r="M50" s="33">
        <v>0.3235294117647059</v>
      </c>
      <c r="N50" s="33">
        <v>0.55670103092783507</v>
      </c>
      <c r="O50" s="33">
        <v>0.40151515151515149</v>
      </c>
      <c r="P50" s="33">
        <v>0.37878787878787878</v>
      </c>
    </row>
    <row r="51" spans="1:16" x14ac:dyDescent="0.45">
      <c r="A51" s="35">
        <v>48</v>
      </c>
      <c r="B51" s="32">
        <v>272.09999999999985</v>
      </c>
      <c r="C51" s="32">
        <v>5.6687499999999966</v>
      </c>
      <c r="D51" s="37">
        <v>1.8541666666666667</v>
      </c>
      <c r="E51" s="33">
        <v>0.39583333333333331</v>
      </c>
      <c r="F51" s="33">
        <v>0.25</v>
      </c>
      <c r="G51" s="33">
        <v>0.32451923076923078</v>
      </c>
      <c r="H51" s="33">
        <v>0.19951923076923078</v>
      </c>
      <c r="I51" s="34">
        <v>8746.6666666666661</v>
      </c>
      <c r="J51" s="34">
        <v>-7555.4216867469877</v>
      </c>
      <c r="K51" s="33">
        <v>0.125</v>
      </c>
      <c r="L51" s="33">
        <v>0.23798076923076922</v>
      </c>
      <c r="M51" s="33">
        <v>0.31971153846153844</v>
      </c>
      <c r="N51" s="33">
        <v>0.55555555555555558</v>
      </c>
      <c r="O51" s="33">
        <v>0.40601503759398494</v>
      </c>
      <c r="P51" s="33">
        <v>0.37777777777777777</v>
      </c>
    </row>
    <row r="52" spans="1:16" x14ac:dyDescent="0.45">
      <c r="A52" s="35">
        <v>49</v>
      </c>
      <c r="B52" s="32">
        <v>222.79999999999984</v>
      </c>
      <c r="C52" s="32">
        <v>4.5469387755102009</v>
      </c>
      <c r="D52" s="37">
        <v>1.8775510204081634</v>
      </c>
      <c r="E52" s="33">
        <v>0.38775510204081631</v>
      </c>
      <c r="F52" s="33">
        <v>0.26530612244897961</v>
      </c>
      <c r="G52" s="33">
        <v>0.32142857142857145</v>
      </c>
      <c r="H52" s="33">
        <v>0.20476190476190476</v>
      </c>
      <c r="I52" s="34">
        <v>8746.6666666666661</v>
      </c>
      <c r="J52" s="34">
        <v>-7620.9302325581393</v>
      </c>
      <c r="K52" s="33">
        <v>0.14285714285714285</v>
      </c>
      <c r="L52" s="33">
        <v>0.23571428571428571</v>
      </c>
      <c r="M52" s="33">
        <v>0.31904761904761902</v>
      </c>
      <c r="N52" s="33">
        <v>0.55555555555555558</v>
      </c>
      <c r="O52" s="33">
        <v>0.40298507462686567</v>
      </c>
      <c r="P52" s="33">
        <v>0.37777777777777777</v>
      </c>
    </row>
    <row r="53" spans="1:16" x14ac:dyDescent="0.45">
      <c r="A53" s="35">
        <v>50</v>
      </c>
      <c r="B53" s="32">
        <v>248.89999999999984</v>
      </c>
      <c r="C53" s="32">
        <v>4.9779999999999971</v>
      </c>
      <c r="D53" s="37">
        <v>1.86</v>
      </c>
      <c r="E53" s="33">
        <v>0.4</v>
      </c>
      <c r="F53" s="33">
        <v>0.26</v>
      </c>
      <c r="G53" s="33">
        <v>0.32400932400932403</v>
      </c>
      <c r="H53" s="33">
        <v>0.20046620046620048</v>
      </c>
      <c r="I53" s="34">
        <v>8680.5755395683445</v>
      </c>
      <c r="J53" s="34">
        <v>-7620.9302325581393</v>
      </c>
      <c r="K53" s="33">
        <v>0.14000000000000001</v>
      </c>
      <c r="L53" s="33">
        <v>0.23543123543123542</v>
      </c>
      <c r="M53" s="33">
        <v>0.32167832167832167</v>
      </c>
      <c r="N53" s="33">
        <v>0.5643564356435643</v>
      </c>
      <c r="O53" s="33">
        <v>0.40579710144927539</v>
      </c>
      <c r="P53" s="33">
        <v>0.38848920863309355</v>
      </c>
    </row>
    <row r="54" spans="1:16" x14ac:dyDescent="0.45">
      <c r="A54" s="35">
        <v>51</v>
      </c>
      <c r="B54" s="32">
        <v>269.99999999999983</v>
      </c>
      <c r="C54" s="32">
        <v>5.2941176470588198</v>
      </c>
      <c r="D54" s="37">
        <v>1.8431372549019607</v>
      </c>
      <c r="E54" s="33">
        <v>0.41176470588235292</v>
      </c>
      <c r="F54" s="33">
        <v>0.25490196078431371</v>
      </c>
      <c r="G54" s="33">
        <v>0.32648401826484019</v>
      </c>
      <c r="H54" s="33">
        <v>0.20091324200913241</v>
      </c>
      <c r="I54" s="34">
        <v>8604.1958041958042</v>
      </c>
      <c r="J54" s="34">
        <v>-7609.090909090909</v>
      </c>
      <c r="K54" s="33">
        <v>0.13725490196078433</v>
      </c>
      <c r="L54" s="33">
        <v>0.23744292237442921</v>
      </c>
      <c r="M54" s="33">
        <v>0.32420091324200911</v>
      </c>
      <c r="N54" s="33">
        <v>0.56730769230769229</v>
      </c>
      <c r="O54" s="33">
        <v>0.40140845070422537</v>
      </c>
      <c r="P54" s="33">
        <v>0.38461538461538464</v>
      </c>
    </row>
    <row r="55" spans="1:16" x14ac:dyDescent="0.45">
      <c r="A55" s="35">
        <v>52</v>
      </c>
      <c r="B55" s="32">
        <v>298.09999999999985</v>
      </c>
      <c r="C55" s="32">
        <v>5.7326923076923046</v>
      </c>
      <c r="D55" s="37">
        <v>1.8269230769230769</v>
      </c>
      <c r="E55" s="33">
        <v>0.42307692307692307</v>
      </c>
      <c r="F55" s="33">
        <v>0.25</v>
      </c>
      <c r="G55" s="33">
        <v>0.32885906040268459</v>
      </c>
      <c r="H55" s="33">
        <v>0.19910514541387025</v>
      </c>
      <c r="I55" s="34">
        <v>8548.299319727892</v>
      </c>
      <c r="J55" s="34">
        <v>-7658.4269662921351</v>
      </c>
      <c r="K55" s="33">
        <v>0.13461538461538461</v>
      </c>
      <c r="L55" s="33">
        <v>0.24161073825503357</v>
      </c>
      <c r="M55" s="33">
        <v>0.32214765100671139</v>
      </c>
      <c r="N55" s="33">
        <v>0.56481481481481477</v>
      </c>
      <c r="O55" s="33">
        <v>0.40972222222222221</v>
      </c>
      <c r="P55" s="33">
        <v>0.37414965986394561</v>
      </c>
    </row>
    <row r="56" spans="1:16" x14ac:dyDescent="0.45">
      <c r="A56" s="35">
        <v>53</v>
      </c>
      <c r="B56" s="32">
        <v>324.29999999999984</v>
      </c>
      <c r="C56" s="32">
        <v>6.1188679245282991</v>
      </c>
      <c r="D56" s="37">
        <v>1.8113207547169812</v>
      </c>
      <c r="E56" s="33">
        <v>0.43396226415094341</v>
      </c>
      <c r="F56" s="33">
        <v>0.24528301886792453</v>
      </c>
      <c r="G56" s="33">
        <v>0.33039647577092512</v>
      </c>
      <c r="H56" s="33">
        <v>0.19823788546255505</v>
      </c>
      <c r="I56" s="34">
        <v>8543.3333333333339</v>
      </c>
      <c r="J56" s="34">
        <v>-7616.666666666667</v>
      </c>
      <c r="K56" s="33">
        <v>0.13207547169811321</v>
      </c>
      <c r="L56" s="33">
        <v>0.24449339207048459</v>
      </c>
      <c r="M56" s="33">
        <v>0.32158590308370044</v>
      </c>
      <c r="N56" s="33">
        <v>0.56756756756756754</v>
      </c>
      <c r="O56" s="33">
        <v>0.41095890410958902</v>
      </c>
      <c r="P56" s="33">
        <v>0.38</v>
      </c>
    </row>
    <row r="57" spans="1:16" x14ac:dyDescent="0.45">
      <c r="A57" s="35">
        <v>54</v>
      </c>
      <c r="B57" s="32">
        <v>346.59999999999985</v>
      </c>
      <c r="C57" s="32">
        <v>6.4185185185185158</v>
      </c>
      <c r="D57" s="37">
        <v>1.7962962962962963</v>
      </c>
      <c r="E57" s="33">
        <v>0.44444444444444442</v>
      </c>
      <c r="F57" s="33">
        <v>0.24074074074074073</v>
      </c>
      <c r="G57" s="33">
        <v>0.33189655172413796</v>
      </c>
      <c r="H57" s="33">
        <v>0.1961206896551724</v>
      </c>
      <c r="I57" s="34">
        <v>8450</v>
      </c>
      <c r="J57" s="34">
        <v>-7617.5824175824173</v>
      </c>
      <c r="K57" s="33">
        <v>0.12962962962962962</v>
      </c>
      <c r="L57" s="33">
        <v>0.23922413793103448</v>
      </c>
      <c r="M57" s="33">
        <v>0.32112068965517243</v>
      </c>
      <c r="N57" s="33">
        <v>0.56756756756756754</v>
      </c>
      <c r="O57" s="33">
        <v>0.41610738255033558</v>
      </c>
      <c r="P57" s="33">
        <v>0.37662337662337664</v>
      </c>
    </row>
    <row r="58" spans="1:16" x14ac:dyDescent="0.45">
      <c r="A58" s="35">
        <v>55</v>
      </c>
      <c r="B58" s="32">
        <v>295.09999999999985</v>
      </c>
      <c r="C58" s="32">
        <v>5.3654545454545426</v>
      </c>
      <c r="D58" s="37">
        <v>1.8181818181818181</v>
      </c>
      <c r="E58" s="33">
        <v>0.43636363636363634</v>
      </c>
      <c r="F58" s="33">
        <v>0.25454545454545452</v>
      </c>
      <c r="G58" s="33">
        <v>0.32835820895522388</v>
      </c>
      <c r="H58" s="33">
        <v>0.19829424307036247</v>
      </c>
      <c r="I58" s="34">
        <v>8450</v>
      </c>
      <c r="J58" s="34">
        <v>-7730.1075268817203</v>
      </c>
      <c r="K58" s="33">
        <v>0.14545454545454545</v>
      </c>
      <c r="L58" s="33">
        <v>0.23880597014925373</v>
      </c>
      <c r="M58" s="33">
        <v>0.31982942430703626</v>
      </c>
      <c r="N58" s="33">
        <v>0.5625</v>
      </c>
      <c r="O58" s="33">
        <v>0.41333333333333333</v>
      </c>
      <c r="P58" s="33">
        <v>0.37662337662337664</v>
      </c>
    </row>
    <row r="59" spans="1:16" x14ac:dyDescent="0.45">
      <c r="A59" s="35">
        <v>56</v>
      </c>
      <c r="B59" s="32">
        <v>319.89999999999986</v>
      </c>
      <c r="C59" s="32">
        <v>5.7124999999999977</v>
      </c>
      <c r="D59" s="37">
        <v>1.8035714285714286</v>
      </c>
      <c r="E59" s="33">
        <v>0.44642857142857145</v>
      </c>
      <c r="F59" s="33">
        <v>0.25</v>
      </c>
      <c r="G59" s="33">
        <v>0.3277661795407098</v>
      </c>
      <c r="H59" s="33">
        <v>0.19624217118997914</v>
      </c>
      <c r="I59" s="34">
        <v>8468.7898089171977</v>
      </c>
      <c r="J59" s="34">
        <v>-7775.5319148936169</v>
      </c>
      <c r="K59" s="33">
        <v>0.14285714285714285</v>
      </c>
      <c r="L59" s="33">
        <v>0.23590814196242171</v>
      </c>
      <c r="M59" s="33">
        <v>0.32150313152400833</v>
      </c>
      <c r="N59" s="33">
        <v>0.5663716814159292</v>
      </c>
      <c r="O59" s="33">
        <v>0.40909090909090912</v>
      </c>
      <c r="P59" s="33">
        <v>0.36942675159235666</v>
      </c>
    </row>
    <row r="60" spans="1:16" x14ac:dyDescent="0.45">
      <c r="A60" s="35">
        <v>57</v>
      </c>
      <c r="B60" s="32">
        <v>291.09999999999985</v>
      </c>
      <c r="C60" s="32">
        <v>5.1070175438596461</v>
      </c>
      <c r="D60" s="37">
        <v>1.8245614035087718</v>
      </c>
      <c r="E60" s="33">
        <v>0.43859649122807015</v>
      </c>
      <c r="F60" s="33">
        <v>0.26315789473684209</v>
      </c>
      <c r="G60" s="33">
        <v>0.3271604938271605</v>
      </c>
      <c r="H60" s="33">
        <v>0.19753086419753085</v>
      </c>
      <c r="I60" s="34">
        <v>8425.7861635220124</v>
      </c>
      <c r="J60" s="34">
        <v>-7863.541666666667</v>
      </c>
      <c r="K60" s="33">
        <v>0.14035087719298245</v>
      </c>
      <c r="L60" s="33">
        <v>0.23456790123456789</v>
      </c>
      <c r="M60" s="33">
        <v>0.31893004115226337</v>
      </c>
      <c r="N60" s="33">
        <v>0.57017543859649122</v>
      </c>
      <c r="O60" s="33">
        <v>0.41290322580645161</v>
      </c>
      <c r="P60" s="33">
        <v>0.37106918238993708</v>
      </c>
    </row>
    <row r="61" spans="1:16" x14ac:dyDescent="0.45">
      <c r="A61" s="35">
        <v>58</v>
      </c>
      <c r="B61" s="32">
        <v>274.39999999999986</v>
      </c>
      <c r="C61" s="32">
        <v>4.7310344827586182</v>
      </c>
      <c r="D61" s="37">
        <v>1.8448275862068966</v>
      </c>
      <c r="E61" s="33">
        <v>0.43103448275862066</v>
      </c>
      <c r="F61" s="33">
        <v>0.27586206896551724</v>
      </c>
      <c r="G61" s="33">
        <v>0.32323232323232326</v>
      </c>
      <c r="H61" s="33">
        <v>0.19797979797979798</v>
      </c>
      <c r="I61" s="34">
        <v>8573.125</v>
      </c>
      <c r="J61" s="34">
        <v>-7840.8163265306121</v>
      </c>
      <c r="K61" s="33">
        <v>0.13793103448275862</v>
      </c>
      <c r="L61" s="33">
        <v>0.23232323232323232</v>
      </c>
      <c r="M61" s="33">
        <v>0.31919191919191919</v>
      </c>
      <c r="N61" s="33">
        <v>0.56521739130434778</v>
      </c>
      <c r="O61" s="33">
        <v>0.4050632911392405</v>
      </c>
      <c r="P61" s="33">
        <v>0.36875000000000002</v>
      </c>
    </row>
    <row r="62" spans="1:16" x14ac:dyDescent="0.45">
      <c r="A62" s="35">
        <v>59</v>
      </c>
      <c r="B62" s="32">
        <v>261.39999999999986</v>
      </c>
      <c r="C62" s="32">
        <v>4.4305084745762686</v>
      </c>
      <c r="D62" s="37">
        <v>1.8644067796610169</v>
      </c>
      <c r="E62" s="33">
        <v>0.42372881355932202</v>
      </c>
      <c r="F62" s="33">
        <v>0.28813559322033899</v>
      </c>
      <c r="G62" s="33">
        <v>0.32007952286282304</v>
      </c>
      <c r="H62" s="33">
        <v>0.19483101391650098</v>
      </c>
      <c r="I62" s="34">
        <v>8544.0993788819869</v>
      </c>
      <c r="J62" s="34">
        <v>-7840.8163265306121</v>
      </c>
      <c r="K62" s="33">
        <v>0.13559322033898305</v>
      </c>
      <c r="L62" s="33">
        <v>0.23061630218687873</v>
      </c>
      <c r="M62" s="33">
        <v>0.31610337972166996</v>
      </c>
      <c r="N62" s="33">
        <v>0.56896551724137934</v>
      </c>
      <c r="O62" s="33">
        <v>0.40251572327044027</v>
      </c>
      <c r="P62" s="33">
        <v>0.36645962732919257</v>
      </c>
    </row>
    <row r="63" spans="1:16" x14ac:dyDescent="0.45">
      <c r="A63" s="35">
        <v>60</v>
      </c>
      <c r="B63" s="32">
        <v>208.69999999999987</v>
      </c>
      <c r="C63" s="32">
        <v>3.4783333333333313</v>
      </c>
      <c r="D63" s="37">
        <v>1.8833333333333333</v>
      </c>
      <c r="E63" s="33">
        <v>0.41666666666666669</v>
      </c>
      <c r="F63" s="33">
        <v>0.3</v>
      </c>
      <c r="G63" s="33">
        <v>0.31692913385826771</v>
      </c>
      <c r="H63" s="33">
        <v>0.19685039370078741</v>
      </c>
      <c r="I63" s="34">
        <v>8544.0993788819869</v>
      </c>
      <c r="J63" s="34">
        <v>-7881</v>
      </c>
      <c r="K63" s="33">
        <v>0.15</v>
      </c>
      <c r="L63" s="33">
        <v>0.23228346456692914</v>
      </c>
      <c r="M63" s="33">
        <v>0.31496062992125984</v>
      </c>
      <c r="N63" s="33">
        <v>0.55932203389830504</v>
      </c>
      <c r="O63" s="33">
        <v>0.4</v>
      </c>
      <c r="P63" s="33">
        <v>0.36645962732919257</v>
      </c>
    </row>
    <row r="64" spans="1:16" x14ac:dyDescent="0.45">
      <c r="A64" s="35">
        <v>61</v>
      </c>
      <c r="B64" s="32">
        <v>245.89999999999986</v>
      </c>
      <c r="C64" s="32">
        <v>4.0311475409836044</v>
      </c>
      <c r="D64" s="37">
        <v>1.8688524590163935</v>
      </c>
      <c r="E64" s="33">
        <v>0.42622950819672129</v>
      </c>
      <c r="F64" s="33">
        <v>0.29508196721311475</v>
      </c>
      <c r="G64" s="33">
        <v>0.31853281853281851</v>
      </c>
      <c r="H64" s="33">
        <v>0.19498069498069498</v>
      </c>
      <c r="I64" s="34">
        <v>8613.939393939394</v>
      </c>
      <c r="J64" s="34">
        <v>-7921.7821782178216</v>
      </c>
      <c r="K64" s="33">
        <v>0.14754098360655737</v>
      </c>
      <c r="L64" s="33">
        <v>0.2335907335907336</v>
      </c>
      <c r="M64" s="33">
        <v>0.31853281853281851</v>
      </c>
      <c r="N64" s="33">
        <v>0.55371900826446285</v>
      </c>
      <c r="O64" s="33">
        <v>0.40606060606060607</v>
      </c>
      <c r="P64" s="33">
        <v>0.36969696969696969</v>
      </c>
    </row>
    <row r="65" spans="1:16" x14ac:dyDescent="0.45">
      <c r="A65" s="35">
        <v>62</v>
      </c>
      <c r="B65" s="32">
        <v>193.09999999999985</v>
      </c>
      <c r="C65" s="32">
        <v>3.1145161290322556</v>
      </c>
      <c r="D65" s="37">
        <v>1.8870967741935485</v>
      </c>
      <c r="E65" s="33">
        <v>0.41935483870967744</v>
      </c>
      <c r="F65" s="33">
        <v>0.30645161290322581</v>
      </c>
      <c r="G65" s="33">
        <v>0.31548757170172081</v>
      </c>
      <c r="H65" s="33">
        <v>0.19885277246653921</v>
      </c>
      <c r="I65" s="34">
        <v>8613.939393939394</v>
      </c>
      <c r="J65" s="34">
        <v>-7856.7307692307695</v>
      </c>
      <c r="K65" s="33">
        <v>0.16129032258064516</v>
      </c>
      <c r="L65" s="33">
        <v>0.23709369024856597</v>
      </c>
      <c r="M65" s="33">
        <v>0.31739961759082219</v>
      </c>
      <c r="N65" s="33">
        <v>0.54032258064516125</v>
      </c>
      <c r="O65" s="33">
        <v>0.40361445783132532</v>
      </c>
      <c r="P65" s="33">
        <v>0.36969696969696969</v>
      </c>
    </row>
    <row r="66" spans="1:16" x14ac:dyDescent="0.45">
      <c r="A66" s="35">
        <v>63</v>
      </c>
      <c r="B66" s="32">
        <v>248.19999999999985</v>
      </c>
      <c r="C66" s="32">
        <v>3.9396825396825372</v>
      </c>
      <c r="D66" s="37">
        <v>1.873015873015873</v>
      </c>
      <c r="E66" s="33">
        <v>0.42857142857142855</v>
      </c>
      <c r="F66" s="33">
        <v>0.30158730158730157</v>
      </c>
      <c r="G66" s="33">
        <v>0.31970260223048325</v>
      </c>
      <c r="H66" s="33">
        <v>0.19330855018587362</v>
      </c>
      <c r="I66" s="34">
        <v>8547.0930232558148</v>
      </c>
      <c r="J66" s="34">
        <v>-7856.7307692307695</v>
      </c>
      <c r="K66" s="33">
        <v>0.15873015873015872</v>
      </c>
      <c r="L66" s="33">
        <v>0.2342007434944238</v>
      </c>
      <c r="M66" s="33">
        <v>0.31412639405204462</v>
      </c>
      <c r="N66" s="33">
        <v>0.54761904761904767</v>
      </c>
      <c r="O66" s="33">
        <v>0.40236686390532544</v>
      </c>
      <c r="P66" s="33">
        <v>0.37790697674418605</v>
      </c>
    </row>
    <row r="67" spans="1:16" x14ac:dyDescent="0.45">
      <c r="A67" s="35">
        <v>64</v>
      </c>
      <c r="B67" s="32">
        <v>238.99999999999986</v>
      </c>
      <c r="C67" s="32">
        <v>3.7343749999999978</v>
      </c>
      <c r="D67" s="37">
        <v>1.875</v>
      </c>
      <c r="E67" s="33">
        <v>0.421875</v>
      </c>
      <c r="F67" s="33">
        <v>0.296875</v>
      </c>
      <c r="G67" s="33">
        <v>0.31926605504587158</v>
      </c>
      <c r="H67" s="33">
        <v>0.19266055045871561</v>
      </c>
      <c r="I67" s="34">
        <v>8517.8160919540223</v>
      </c>
      <c r="J67" s="34">
        <v>-7858.0952380952385</v>
      </c>
      <c r="K67" s="33">
        <v>0.15625</v>
      </c>
      <c r="L67" s="33">
        <v>0.23302752293577983</v>
      </c>
      <c r="M67" s="33">
        <v>0.31559633027522938</v>
      </c>
      <c r="N67" s="33">
        <v>0.55118110236220474</v>
      </c>
      <c r="O67" s="33">
        <v>0.39534883720930231</v>
      </c>
      <c r="P67" s="33">
        <v>0.37931034482758619</v>
      </c>
    </row>
    <row r="68" spans="1:16" x14ac:dyDescent="0.45">
      <c r="A68" s="35">
        <v>65</v>
      </c>
      <c r="B68" s="32">
        <v>274.49999999999989</v>
      </c>
      <c r="C68" s="32">
        <v>4.2230769230769214</v>
      </c>
      <c r="D68" s="37">
        <v>1.8615384615384616</v>
      </c>
      <c r="E68" s="33">
        <v>0.43076923076923079</v>
      </c>
      <c r="F68" s="33">
        <v>0.29230769230769232</v>
      </c>
      <c r="G68" s="33">
        <v>0.31907308377896615</v>
      </c>
      <c r="H68" s="33">
        <v>0.18894830659536541</v>
      </c>
      <c r="I68" s="34">
        <v>8533.5195530726251</v>
      </c>
      <c r="J68" s="34">
        <v>-7798.1132075471696</v>
      </c>
      <c r="K68" s="33">
        <v>0.15384615384615385</v>
      </c>
      <c r="L68" s="33">
        <v>0.22816399286987521</v>
      </c>
      <c r="M68" s="33">
        <v>0.3172905525846702</v>
      </c>
      <c r="N68" s="33">
        <v>0.5546875</v>
      </c>
      <c r="O68" s="33">
        <v>0.39325842696629215</v>
      </c>
      <c r="P68" s="33">
        <v>0.37988826815642457</v>
      </c>
    </row>
    <row r="69" spans="1:16" x14ac:dyDescent="0.45">
      <c r="A69" s="35">
        <v>66</v>
      </c>
      <c r="B69" s="32">
        <v>287.09999999999991</v>
      </c>
      <c r="C69" s="32">
        <v>4.3499999999999988</v>
      </c>
      <c r="D69" s="37">
        <v>1.8636363636363635</v>
      </c>
      <c r="E69" s="33">
        <v>0.42424242424242425</v>
      </c>
      <c r="F69" s="33">
        <v>0.2878787878787879</v>
      </c>
      <c r="G69" s="33">
        <v>0.3193717277486911</v>
      </c>
      <c r="H69" s="33">
        <v>0.19022687609075042</v>
      </c>
      <c r="I69" s="34">
        <v>8550.8196721311469</v>
      </c>
      <c r="J69" s="34">
        <v>-7733.9449541284403</v>
      </c>
      <c r="K69" s="33">
        <v>0.15151515151515152</v>
      </c>
      <c r="L69" s="33">
        <v>0.2268760907504363</v>
      </c>
      <c r="M69" s="33">
        <v>0.32286212914485168</v>
      </c>
      <c r="N69" s="33">
        <v>0.55384615384615388</v>
      </c>
      <c r="O69" s="33">
        <v>0.39459459459459462</v>
      </c>
      <c r="P69" s="33">
        <v>0.37704918032786883</v>
      </c>
    </row>
    <row r="70" spans="1:16" x14ac:dyDescent="0.45">
      <c r="A70" s="35">
        <v>67</v>
      </c>
      <c r="B70" s="32">
        <v>315.7999999999999</v>
      </c>
      <c r="C70" s="32">
        <v>4.7134328358208943</v>
      </c>
      <c r="D70" s="37">
        <v>1.8507462686567164</v>
      </c>
      <c r="E70" s="33">
        <v>0.43283582089552236</v>
      </c>
      <c r="F70" s="33">
        <v>0.28358208955223879</v>
      </c>
      <c r="G70" s="33">
        <v>0.31896551724137934</v>
      </c>
      <c r="H70" s="33">
        <v>0.18965517241379309</v>
      </c>
      <c r="I70" s="34">
        <v>8629.72972972973</v>
      </c>
      <c r="J70" s="34">
        <v>-7733.636363636364</v>
      </c>
      <c r="K70" s="33">
        <v>0.14925373134328357</v>
      </c>
      <c r="L70" s="33">
        <v>0.22758620689655173</v>
      </c>
      <c r="M70" s="33">
        <v>0.32241379310344825</v>
      </c>
      <c r="N70" s="33">
        <v>0.55303030303030298</v>
      </c>
      <c r="O70" s="33">
        <v>0.39572192513368987</v>
      </c>
      <c r="P70" s="33">
        <v>0.38378378378378381</v>
      </c>
    </row>
    <row r="71" spans="1:16" x14ac:dyDescent="0.45">
      <c r="A71" s="35">
        <v>68</v>
      </c>
      <c r="B71" s="32">
        <v>350.2999999999999</v>
      </c>
      <c r="C71" s="32">
        <v>5.1514705882352922</v>
      </c>
      <c r="D71" s="37">
        <v>1.838235294117647</v>
      </c>
      <c r="E71" s="33">
        <v>0.44117647058823528</v>
      </c>
      <c r="F71" s="33">
        <v>0.27941176470588236</v>
      </c>
      <c r="G71" s="33">
        <v>0.31972789115646261</v>
      </c>
      <c r="H71" s="33">
        <v>0.18877551020408162</v>
      </c>
      <c r="I71" s="34">
        <v>8719.6808510638293</v>
      </c>
      <c r="J71" s="34">
        <v>-7736.0360360360364</v>
      </c>
      <c r="K71" s="33">
        <v>0.14705882352941177</v>
      </c>
      <c r="L71" s="33">
        <v>0.22789115646258504</v>
      </c>
      <c r="M71" s="33">
        <v>0.32142857142857145</v>
      </c>
      <c r="N71" s="33">
        <v>0.55223880597014929</v>
      </c>
      <c r="O71" s="33">
        <v>0.3968253968253968</v>
      </c>
      <c r="P71" s="33">
        <v>0.38297872340425532</v>
      </c>
    </row>
    <row r="72" spans="1:16" x14ac:dyDescent="0.45">
      <c r="A72" s="35">
        <v>69</v>
      </c>
      <c r="B72" s="32">
        <v>384.09999999999991</v>
      </c>
      <c r="C72" s="32">
        <v>5.5666666666666655</v>
      </c>
      <c r="D72" s="37">
        <v>1.826086956521739</v>
      </c>
      <c r="E72" s="33">
        <v>0.44927536231884058</v>
      </c>
      <c r="F72" s="33">
        <v>0.27536231884057971</v>
      </c>
      <c r="G72" s="33">
        <v>0.32328308207705192</v>
      </c>
      <c r="H72" s="33">
        <v>0.18592964824120603</v>
      </c>
      <c r="I72" s="34">
        <v>8712.953367875647</v>
      </c>
      <c r="J72" s="34">
        <v>-7736.0360360360364</v>
      </c>
      <c r="K72" s="33">
        <v>0.14492753623188406</v>
      </c>
      <c r="L72" s="33">
        <v>0.22613065326633167</v>
      </c>
      <c r="M72" s="33">
        <v>0.32160804020100503</v>
      </c>
      <c r="N72" s="33">
        <v>0.54814814814814816</v>
      </c>
      <c r="O72" s="33">
        <v>0.40625</v>
      </c>
      <c r="P72" s="33">
        <v>0.38341968911917096</v>
      </c>
    </row>
    <row r="73" spans="1:16" x14ac:dyDescent="0.45">
      <c r="A73" s="35">
        <v>70</v>
      </c>
      <c r="B73" s="32">
        <v>390.59999999999991</v>
      </c>
      <c r="C73" s="32">
        <v>5.5799999999999983</v>
      </c>
      <c r="D73" s="37">
        <v>1.8285714285714285</v>
      </c>
      <c r="E73" s="33">
        <v>0.44285714285714284</v>
      </c>
      <c r="F73" s="33">
        <v>0.27142857142857141</v>
      </c>
      <c r="G73" s="33">
        <v>0.32396694214876032</v>
      </c>
      <c r="H73" s="33">
        <v>0.18512396694214875</v>
      </c>
      <c r="I73" s="34">
        <v>8686.224489795919</v>
      </c>
      <c r="J73" s="34">
        <v>-7770.5357142857147</v>
      </c>
      <c r="K73" s="33">
        <v>0.14285714285714285</v>
      </c>
      <c r="L73" s="33">
        <v>0.22644628099173553</v>
      </c>
      <c r="M73" s="33">
        <v>0.31900826446280994</v>
      </c>
      <c r="N73" s="33">
        <v>0.55474452554744524</v>
      </c>
      <c r="O73" s="33">
        <v>0.40414507772020725</v>
      </c>
      <c r="P73" s="33">
        <v>0.37755102040816324</v>
      </c>
    </row>
    <row r="74" spans="1:16" x14ac:dyDescent="0.45">
      <c r="A74" s="35">
        <v>71</v>
      </c>
      <c r="B74" s="32">
        <v>387.49999999999989</v>
      </c>
      <c r="C74" s="32">
        <v>5.4577464788732382</v>
      </c>
      <c r="D74" s="37">
        <v>1.8309859154929577</v>
      </c>
      <c r="E74" s="33">
        <v>0.43661971830985913</v>
      </c>
      <c r="F74" s="33">
        <v>0.26760563380281688</v>
      </c>
      <c r="G74" s="33">
        <v>0.32242225859247137</v>
      </c>
      <c r="H74" s="33">
        <v>0.18657937806873978</v>
      </c>
      <c r="I74" s="34">
        <v>8674.6192893401021</v>
      </c>
      <c r="J74" s="34">
        <v>-7721.9298245614036</v>
      </c>
      <c r="K74" s="33">
        <v>0.14084507042253522</v>
      </c>
      <c r="L74" s="33">
        <v>0.22585924713584288</v>
      </c>
      <c r="M74" s="33">
        <v>0.31914893617021278</v>
      </c>
      <c r="N74" s="33">
        <v>0.55072463768115942</v>
      </c>
      <c r="O74" s="33">
        <v>0.4</v>
      </c>
      <c r="P74" s="33">
        <v>0.37563451776649748</v>
      </c>
    </row>
    <row r="75" spans="1:16" x14ac:dyDescent="0.45">
      <c r="A75" s="35">
        <v>72</v>
      </c>
      <c r="B75" s="32">
        <v>361.39999999999986</v>
      </c>
      <c r="C75" s="32">
        <v>5.0194444444444422</v>
      </c>
      <c r="D75" s="37">
        <v>1.8472222222222223</v>
      </c>
      <c r="E75" s="33">
        <v>0.43055555555555558</v>
      </c>
      <c r="F75" s="33">
        <v>0.27777777777777779</v>
      </c>
      <c r="G75" s="33">
        <v>0.32090761750405189</v>
      </c>
      <c r="H75" s="33">
        <v>0.18638573743922204</v>
      </c>
      <c r="I75" s="34">
        <v>8663.1313131313127</v>
      </c>
      <c r="J75" s="34">
        <v>-7759.130434782609</v>
      </c>
      <c r="K75" s="33">
        <v>0.1388888888888889</v>
      </c>
      <c r="L75" s="33">
        <v>0.22528363047001621</v>
      </c>
      <c r="M75" s="33">
        <v>0.31604538087520262</v>
      </c>
      <c r="N75" s="33">
        <v>0.5539568345323741</v>
      </c>
      <c r="O75" s="33">
        <v>0.4</v>
      </c>
      <c r="P75" s="33">
        <v>0.37878787878787878</v>
      </c>
    </row>
    <row r="76" spans="1:16" x14ac:dyDescent="0.45">
      <c r="A76" s="35">
        <v>73</v>
      </c>
      <c r="B76" s="32">
        <v>380.79999999999984</v>
      </c>
      <c r="C76" s="32">
        <v>5.2164383561643817</v>
      </c>
      <c r="D76" s="37">
        <v>1.8356164383561644</v>
      </c>
      <c r="E76" s="33">
        <v>0.43835616438356162</v>
      </c>
      <c r="F76" s="33">
        <v>0.27397260273972601</v>
      </c>
      <c r="G76" s="33">
        <v>0.32102728731942215</v>
      </c>
      <c r="H76" s="33">
        <v>0.18619582664526485</v>
      </c>
      <c r="I76" s="34">
        <v>8663</v>
      </c>
      <c r="J76" s="34">
        <v>-7725.8620689655172</v>
      </c>
      <c r="K76" s="33">
        <v>0.13698630136986301</v>
      </c>
      <c r="L76" s="33">
        <v>0.22792937399678972</v>
      </c>
      <c r="M76" s="33">
        <v>0.3146067415730337</v>
      </c>
      <c r="N76" s="33">
        <v>0.54929577464788737</v>
      </c>
      <c r="O76" s="33">
        <v>0.39795918367346939</v>
      </c>
      <c r="P76" s="33">
        <v>0.38</v>
      </c>
    </row>
    <row r="77" spans="1:16" x14ac:dyDescent="0.45">
      <c r="A77" s="35">
        <v>74</v>
      </c>
      <c r="B77" s="32">
        <v>327.39999999999986</v>
      </c>
      <c r="C77" s="32">
        <v>4.4243243243243224</v>
      </c>
      <c r="D77" s="37">
        <v>1.8513513513513513</v>
      </c>
      <c r="E77" s="33">
        <v>0.43243243243243246</v>
      </c>
      <c r="F77" s="33">
        <v>0.28378378378378377</v>
      </c>
      <c r="G77" s="33">
        <v>0.31847133757961782</v>
      </c>
      <c r="H77" s="33">
        <v>0.18949044585987262</v>
      </c>
      <c r="I77" s="34">
        <v>8663</v>
      </c>
      <c r="J77" s="34">
        <v>-7815.9663865546217</v>
      </c>
      <c r="K77" s="33">
        <v>0.14864864864864866</v>
      </c>
      <c r="L77" s="33">
        <v>0.22770700636942676</v>
      </c>
      <c r="M77" s="33">
        <v>0.31210191082802546</v>
      </c>
      <c r="N77" s="33">
        <v>0.54545454545454541</v>
      </c>
      <c r="O77" s="33">
        <v>0.39795918367346939</v>
      </c>
      <c r="P77" s="33">
        <v>0.38</v>
      </c>
    </row>
    <row r="78" spans="1:16" x14ac:dyDescent="0.45">
      <c r="A78" s="35">
        <v>75</v>
      </c>
      <c r="B78" s="32">
        <v>336.79999999999984</v>
      </c>
      <c r="C78" s="32">
        <v>4.4906666666666641</v>
      </c>
      <c r="D78" s="37">
        <v>1.8533333333333333</v>
      </c>
      <c r="E78" s="33">
        <v>0.42666666666666669</v>
      </c>
      <c r="F78" s="33">
        <v>0.28000000000000003</v>
      </c>
      <c r="G78" s="33">
        <v>0.31818181818181818</v>
      </c>
      <c r="H78" s="33">
        <v>0.18965517241379309</v>
      </c>
      <c r="I78" s="34">
        <v>8712.3152709359601</v>
      </c>
      <c r="J78" s="34">
        <v>-7829.7520661157023</v>
      </c>
      <c r="K78" s="33">
        <v>0.14666666666666667</v>
      </c>
      <c r="L78" s="33">
        <v>0.2304075235109718</v>
      </c>
      <c r="M78" s="33">
        <v>0.30877742946708464</v>
      </c>
      <c r="N78" s="33">
        <v>0.5374149659863946</v>
      </c>
      <c r="O78" s="33">
        <v>0.39593908629441626</v>
      </c>
      <c r="P78" s="33">
        <v>0.38423645320197042</v>
      </c>
    </row>
    <row r="79" spans="1:16" x14ac:dyDescent="0.45">
      <c r="A79" s="35">
        <v>76</v>
      </c>
      <c r="B79" s="32">
        <v>344.09999999999985</v>
      </c>
      <c r="C79" s="32">
        <v>4.5276315789473669</v>
      </c>
      <c r="D79" s="37">
        <v>1.8552631578947369</v>
      </c>
      <c r="E79" s="33">
        <v>0.42105263157894735</v>
      </c>
      <c r="F79" s="33">
        <v>0.27631578947368424</v>
      </c>
      <c r="G79" s="33">
        <v>0.31888544891640869</v>
      </c>
      <c r="H79" s="33">
        <v>0.18885448916408668</v>
      </c>
      <c r="I79" s="34">
        <v>8689.8058252427181</v>
      </c>
      <c r="J79" s="34">
        <v>-7828.688524590164</v>
      </c>
      <c r="K79" s="33">
        <v>0.14473684210526316</v>
      </c>
      <c r="L79" s="33">
        <v>0.22910216718266255</v>
      </c>
      <c r="M79" s="33">
        <v>0.30804953560371517</v>
      </c>
      <c r="N79" s="33">
        <v>0.54054054054054057</v>
      </c>
      <c r="O79" s="33">
        <v>0.39698492462311558</v>
      </c>
      <c r="P79" s="33">
        <v>0.39320388349514562</v>
      </c>
    </row>
    <row r="80" spans="1:16" x14ac:dyDescent="0.45">
      <c r="A80" s="35">
        <v>77</v>
      </c>
      <c r="B80" s="32">
        <v>375.59999999999985</v>
      </c>
      <c r="C80" s="32">
        <v>4.8779220779220758</v>
      </c>
      <c r="D80" s="37">
        <v>1.8441558441558441</v>
      </c>
      <c r="E80" s="33">
        <v>0.42857142857142855</v>
      </c>
      <c r="F80" s="33">
        <v>0.27272727272727271</v>
      </c>
      <c r="G80" s="33">
        <v>0.3165137614678899</v>
      </c>
      <c r="H80" s="33">
        <v>0.18654434250764526</v>
      </c>
      <c r="I80" s="34">
        <v>8763.7681159420281</v>
      </c>
      <c r="J80" s="34">
        <v>-7828.688524590164</v>
      </c>
      <c r="K80" s="33">
        <v>0.14285714285714285</v>
      </c>
      <c r="L80" s="33">
        <v>0.23088685015290519</v>
      </c>
      <c r="M80" s="33">
        <v>0.3058103975535168</v>
      </c>
      <c r="N80" s="33">
        <v>0.53642384105960261</v>
      </c>
      <c r="O80" s="33">
        <v>0.39500000000000002</v>
      </c>
      <c r="P80" s="33">
        <v>0.39613526570048307</v>
      </c>
    </row>
    <row r="81" spans="1:16" x14ac:dyDescent="0.45">
      <c r="A81" s="35">
        <v>78</v>
      </c>
      <c r="B81" s="32">
        <v>377.19999999999987</v>
      </c>
      <c r="C81" s="32">
        <v>4.8358974358974347</v>
      </c>
      <c r="D81" s="37">
        <v>1.8461538461538463</v>
      </c>
      <c r="E81" s="33">
        <v>0.42307692307692307</v>
      </c>
      <c r="F81" s="33">
        <v>0.26923076923076922</v>
      </c>
      <c r="G81" s="33">
        <v>0.3161094224924012</v>
      </c>
      <c r="H81" s="33">
        <v>0.18541033434650456</v>
      </c>
      <c r="I81" s="34">
        <v>8734.1346153846152</v>
      </c>
      <c r="J81" s="34">
        <v>-7828.688524590164</v>
      </c>
      <c r="K81" s="33">
        <v>0.14102564102564102</v>
      </c>
      <c r="L81" s="33">
        <v>0.23100303951367782</v>
      </c>
      <c r="M81" s="33">
        <v>0.303951367781155</v>
      </c>
      <c r="N81" s="33">
        <v>0.53289473684210531</v>
      </c>
      <c r="O81" s="33">
        <v>0.39500000000000002</v>
      </c>
      <c r="P81" s="33">
        <v>0.39423076923076922</v>
      </c>
    </row>
    <row r="82" spans="1:16" x14ac:dyDescent="0.45">
      <c r="A82" s="35">
        <v>79</v>
      </c>
      <c r="B82" s="32">
        <v>390.49999999999989</v>
      </c>
      <c r="C82" s="32">
        <v>4.9430379746835431</v>
      </c>
      <c r="D82" s="37">
        <v>1.8481012658227849</v>
      </c>
      <c r="E82" s="33">
        <v>0.41772151898734178</v>
      </c>
      <c r="F82" s="33">
        <v>0.26582278481012656</v>
      </c>
      <c r="G82" s="33">
        <v>0.31445603576751119</v>
      </c>
      <c r="H82" s="33">
        <v>0.18479880774962743</v>
      </c>
      <c r="I82" s="34">
        <v>8750.2369668246447</v>
      </c>
      <c r="J82" s="34">
        <v>-7805.6451612903229</v>
      </c>
      <c r="K82" s="33">
        <v>0.13924050632911392</v>
      </c>
      <c r="L82" s="33">
        <v>0.22950819672131148</v>
      </c>
      <c r="M82" s="33">
        <v>0.30253353204172878</v>
      </c>
      <c r="N82" s="33">
        <v>0.53246753246753242</v>
      </c>
      <c r="O82" s="33">
        <v>0.39408866995073893</v>
      </c>
      <c r="P82" s="33">
        <v>0.39336492890995262</v>
      </c>
    </row>
    <row r="83" spans="1:16" x14ac:dyDescent="0.45">
      <c r="A83" s="35">
        <v>80</v>
      </c>
      <c r="B83" s="32">
        <v>369.19999999999987</v>
      </c>
      <c r="C83" s="32">
        <v>4.6149999999999984</v>
      </c>
      <c r="D83" s="37">
        <v>1.8625</v>
      </c>
      <c r="E83" s="33">
        <v>0.41249999999999998</v>
      </c>
      <c r="F83" s="33">
        <v>0.27500000000000002</v>
      </c>
      <c r="G83" s="33">
        <v>0.31424375917767988</v>
      </c>
      <c r="H83" s="33">
        <v>0.19089574155653452</v>
      </c>
      <c r="I83" s="34">
        <v>8801.401869158879</v>
      </c>
      <c r="J83" s="34">
        <v>-7803.0769230769229</v>
      </c>
      <c r="K83" s="33">
        <v>0.13750000000000001</v>
      </c>
      <c r="L83" s="33">
        <v>0.23201174743024963</v>
      </c>
      <c r="M83" s="33">
        <v>0.30102790014684289</v>
      </c>
      <c r="N83" s="33">
        <v>0.53797468354430378</v>
      </c>
      <c r="O83" s="33">
        <v>0.3902439024390244</v>
      </c>
      <c r="P83" s="33">
        <v>0.3925233644859813</v>
      </c>
    </row>
    <row r="84" spans="1:16" x14ac:dyDescent="0.45">
      <c r="A84" s="35">
        <v>81</v>
      </c>
      <c r="B84" s="32">
        <v>374.2999999999999</v>
      </c>
      <c r="C84" s="32">
        <v>4.6209876543209862</v>
      </c>
      <c r="D84" s="37">
        <v>1.8641975308641976</v>
      </c>
      <c r="E84" s="33">
        <v>0.40740740740740738</v>
      </c>
      <c r="F84" s="33">
        <v>0.27160493827160492</v>
      </c>
      <c r="G84" s="33">
        <v>0.31403762662807527</v>
      </c>
      <c r="H84" s="33">
        <v>0.19102749638205499</v>
      </c>
      <c r="I84" s="34">
        <v>8802.3041474654383</v>
      </c>
      <c r="J84" s="34">
        <v>-7725.757575757576</v>
      </c>
      <c r="K84" s="33">
        <v>0.13580246913580246</v>
      </c>
      <c r="L84" s="33">
        <v>0.23010130246020261</v>
      </c>
      <c r="M84" s="33">
        <v>0.29956584659913171</v>
      </c>
      <c r="N84" s="33">
        <v>0.54088050314465408</v>
      </c>
      <c r="O84" s="33">
        <v>0.38647342995169082</v>
      </c>
      <c r="P84" s="33">
        <v>0.39170506912442399</v>
      </c>
    </row>
    <row r="85" spans="1:16" x14ac:dyDescent="0.45">
      <c r="A85" s="35">
        <v>82</v>
      </c>
      <c r="B85" s="32">
        <v>344.69999999999987</v>
      </c>
      <c r="C85" s="32">
        <v>4.2036585365853645</v>
      </c>
      <c r="D85" s="37">
        <v>1.8780487804878048</v>
      </c>
      <c r="E85" s="33">
        <v>0.40243902439024393</v>
      </c>
      <c r="F85" s="33">
        <v>0.28048780487804881</v>
      </c>
      <c r="G85" s="33">
        <v>0.31428571428571428</v>
      </c>
      <c r="H85" s="33">
        <v>0.19428571428571428</v>
      </c>
      <c r="I85" s="34">
        <v>8750.454545454546</v>
      </c>
      <c r="J85" s="34">
        <v>-7723.5294117647063</v>
      </c>
      <c r="K85" s="33">
        <v>0.13414634146341464</v>
      </c>
      <c r="L85" s="33">
        <v>0.22857142857142856</v>
      </c>
      <c r="M85" s="33">
        <v>0.30285714285714288</v>
      </c>
      <c r="N85" s="33">
        <v>0.54374999999999996</v>
      </c>
      <c r="O85" s="33">
        <v>0.37735849056603776</v>
      </c>
      <c r="P85" s="33">
        <v>0.39545454545454545</v>
      </c>
    </row>
    <row r="86" spans="1:16" x14ac:dyDescent="0.45">
      <c r="A86" s="35">
        <v>83</v>
      </c>
      <c r="B86" s="32">
        <v>328.7999999999999</v>
      </c>
      <c r="C86" s="32">
        <v>3.9614457831325289</v>
      </c>
      <c r="D86" s="37">
        <v>1.8915662650602409</v>
      </c>
      <c r="E86" s="33">
        <v>0.39759036144578314</v>
      </c>
      <c r="F86" s="33">
        <v>0.28915662650602408</v>
      </c>
      <c r="G86" s="33">
        <v>0.31400282885431402</v>
      </c>
      <c r="H86" s="33">
        <v>0.19519094766619519</v>
      </c>
      <c r="I86" s="34">
        <v>8703.6036036036039</v>
      </c>
      <c r="J86" s="34">
        <v>-7707.246376811594</v>
      </c>
      <c r="K86" s="33">
        <v>0.13253012048192772</v>
      </c>
      <c r="L86" s="33">
        <v>0.22913719943422914</v>
      </c>
      <c r="M86" s="33">
        <v>0.30410183875530411</v>
      </c>
      <c r="N86" s="33">
        <v>0.53703703703703709</v>
      </c>
      <c r="O86" s="33">
        <v>0.37674418604651161</v>
      </c>
      <c r="P86" s="33">
        <v>0.39189189189189189</v>
      </c>
    </row>
    <row r="87" spans="1:16" x14ac:dyDescent="0.45">
      <c r="A87" s="35">
        <v>84</v>
      </c>
      <c r="B87" s="32">
        <v>283.59999999999991</v>
      </c>
      <c r="C87" s="32">
        <v>3.3761904761904753</v>
      </c>
      <c r="D87" s="37">
        <v>1.9047619047619047</v>
      </c>
      <c r="E87" s="33">
        <v>0.39285714285714285</v>
      </c>
      <c r="F87" s="33">
        <v>0.29761904761904762</v>
      </c>
      <c r="G87" s="33">
        <v>0.31136044880785413</v>
      </c>
      <c r="H87" s="33">
        <v>0.19635343618513323</v>
      </c>
      <c r="I87" s="34">
        <v>8703.6036036036039</v>
      </c>
      <c r="J87" s="34">
        <v>-7780.7142857142853</v>
      </c>
      <c r="K87" s="33">
        <v>0.14285714285714285</v>
      </c>
      <c r="L87" s="33">
        <v>0.23001402524544179</v>
      </c>
      <c r="M87" s="33">
        <v>0.30575035063113604</v>
      </c>
      <c r="N87" s="33">
        <v>0.53048780487804881</v>
      </c>
      <c r="O87" s="33">
        <v>0.37155963302752293</v>
      </c>
      <c r="P87" s="33">
        <v>0.39189189189189189</v>
      </c>
    </row>
    <row r="88" spans="1:16" x14ac:dyDescent="0.45">
      <c r="A88" s="35">
        <v>85</v>
      </c>
      <c r="B88" s="32">
        <v>320.99999999999989</v>
      </c>
      <c r="C88" s="32">
        <v>3.7764705882352927</v>
      </c>
      <c r="D88" s="37">
        <v>1.8941176470588235</v>
      </c>
      <c r="E88" s="33">
        <v>0.4</v>
      </c>
      <c r="F88" s="33">
        <v>0.29411764705882354</v>
      </c>
      <c r="G88" s="33">
        <v>0.31215469613259667</v>
      </c>
      <c r="H88" s="33">
        <v>0.19613259668508287</v>
      </c>
      <c r="I88" s="34">
        <v>8729.2035398230091</v>
      </c>
      <c r="J88" s="34">
        <v>-7766.1971830985913</v>
      </c>
      <c r="K88" s="33">
        <v>0.14117647058823529</v>
      </c>
      <c r="L88" s="33">
        <v>0.23204419889502761</v>
      </c>
      <c r="M88" s="33">
        <v>0.30524861878453041</v>
      </c>
      <c r="N88" s="33">
        <v>0.5357142857142857</v>
      </c>
      <c r="O88" s="33">
        <v>0.37104072398190047</v>
      </c>
      <c r="P88" s="33">
        <v>0.38495575221238937</v>
      </c>
    </row>
    <row r="89" spans="1:16" x14ac:dyDescent="0.45">
      <c r="A89" s="35">
        <v>86</v>
      </c>
      <c r="B89" s="32">
        <v>317.49999999999989</v>
      </c>
      <c r="C89" s="32">
        <v>3.6918604651162776</v>
      </c>
      <c r="D89" s="37">
        <v>1.8953488372093024</v>
      </c>
      <c r="E89" s="33">
        <v>0.39534883720930231</v>
      </c>
      <c r="F89" s="33">
        <v>0.29069767441860467</v>
      </c>
      <c r="G89" s="33">
        <v>0.31284153005464482</v>
      </c>
      <c r="H89" s="33">
        <v>0.19398907103825136</v>
      </c>
      <c r="I89" s="34">
        <v>8675.9825327510916</v>
      </c>
      <c r="J89" s="34">
        <v>-7766.1971830985913</v>
      </c>
      <c r="K89" s="33">
        <v>0.13953488372093023</v>
      </c>
      <c r="L89" s="33">
        <v>0.23087431693989072</v>
      </c>
      <c r="M89" s="33">
        <v>0.3046448087431694</v>
      </c>
      <c r="N89" s="33">
        <v>0.53846153846153844</v>
      </c>
      <c r="O89" s="33">
        <v>0.37219730941704038</v>
      </c>
      <c r="P89" s="33">
        <v>0.37991266375545851</v>
      </c>
    </row>
    <row r="90" spans="1:16" x14ac:dyDescent="0.45">
      <c r="A90" s="35">
        <v>87</v>
      </c>
      <c r="B90" s="32">
        <v>369.39999999999986</v>
      </c>
      <c r="C90" s="32">
        <v>4.2459770114942517</v>
      </c>
      <c r="D90" s="37">
        <v>1.8850574712643677</v>
      </c>
      <c r="E90" s="33">
        <v>0.40229885057471265</v>
      </c>
      <c r="F90" s="33">
        <v>0.28735632183908044</v>
      </c>
      <c r="G90" s="33">
        <v>0.31571815718157181</v>
      </c>
      <c r="H90" s="33">
        <v>0.19241192411924118</v>
      </c>
      <c r="I90" s="34">
        <v>8681.1158798283268</v>
      </c>
      <c r="J90" s="34">
        <v>-7766.1971830985913</v>
      </c>
      <c r="K90" s="33">
        <v>0.13793103448275862</v>
      </c>
      <c r="L90" s="33">
        <v>0.22899728997289973</v>
      </c>
      <c r="M90" s="33">
        <v>0.30623306233062331</v>
      </c>
      <c r="N90" s="33">
        <v>0.53846153846153844</v>
      </c>
      <c r="O90" s="33">
        <v>0.38053097345132741</v>
      </c>
      <c r="P90" s="33">
        <v>0.38197424892703863</v>
      </c>
    </row>
    <row r="91" spans="1:16" x14ac:dyDescent="0.45">
      <c r="A91" s="35">
        <v>88</v>
      </c>
      <c r="B91" s="32">
        <v>352.29999999999984</v>
      </c>
      <c r="C91" s="32">
        <v>4.0034090909090887</v>
      </c>
      <c r="D91" s="37">
        <v>1.8977272727272727</v>
      </c>
      <c r="E91" s="33">
        <v>0.39772727272727271</v>
      </c>
      <c r="F91" s="33">
        <v>0.29545454545454547</v>
      </c>
      <c r="G91" s="33">
        <v>0.31515957446808512</v>
      </c>
      <c r="H91" s="33">
        <v>0.1901595744680851</v>
      </c>
      <c r="I91" s="34">
        <v>8657.8059071729949</v>
      </c>
      <c r="J91" s="34">
        <v>-7837.7622377622374</v>
      </c>
      <c r="K91" s="33">
        <v>0.13636363636363635</v>
      </c>
      <c r="L91" s="33">
        <v>0.22739361702127658</v>
      </c>
      <c r="M91" s="33">
        <v>0.30718085106382981</v>
      </c>
      <c r="N91" s="33">
        <v>0.53216374269005851</v>
      </c>
      <c r="O91" s="33">
        <v>0.38528138528138528</v>
      </c>
      <c r="P91" s="33">
        <v>0.38396624472573837</v>
      </c>
    </row>
    <row r="92" spans="1:16" x14ac:dyDescent="0.45">
      <c r="A92" s="35">
        <v>89</v>
      </c>
      <c r="B92" s="32">
        <v>356.49999999999983</v>
      </c>
      <c r="C92" s="32">
        <v>4.0056179775280878</v>
      </c>
      <c r="D92" s="37">
        <v>1.898876404494382</v>
      </c>
      <c r="E92" s="33">
        <v>0.39325842696629215</v>
      </c>
      <c r="F92" s="33">
        <v>0.29213483146067415</v>
      </c>
      <c r="G92" s="33">
        <v>0.31530343007915568</v>
      </c>
      <c r="H92" s="33">
        <v>0.18865435356200527</v>
      </c>
      <c r="I92" s="34">
        <v>8645.606694560669</v>
      </c>
      <c r="J92" s="34">
        <v>-7837.7622377622374</v>
      </c>
      <c r="K92" s="33">
        <v>0.1348314606741573</v>
      </c>
      <c r="L92" s="33">
        <v>0.22823218997361477</v>
      </c>
      <c r="M92" s="33">
        <v>0.30606860158311344</v>
      </c>
      <c r="N92" s="33">
        <v>0.53179190751445082</v>
      </c>
      <c r="O92" s="33">
        <v>0.38362068965517243</v>
      </c>
      <c r="P92" s="33">
        <v>0.38493723849372385</v>
      </c>
    </row>
    <row r="93" spans="1:16" x14ac:dyDescent="0.45">
      <c r="A93" s="35">
        <v>90</v>
      </c>
      <c r="B93" s="32">
        <v>326.19999999999982</v>
      </c>
      <c r="C93" s="32">
        <v>3.6244444444444426</v>
      </c>
      <c r="D93" s="37">
        <v>1.9111111111111112</v>
      </c>
      <c r="E93" s="33">
        <v>0.3888888888888889</v>
      </c>
      <c r="F93" s="33">
        <v>0.3</v>
      </c>
      <c r="G93" s="33">
        <v>0.31517509727626458</v>
      </c>
      <c r="H93" s="33">
        <v>0.18936446173800259</v>
      </c>
      <c r="I93" s="34">
        <v>8601.6460905349795</v>
      </c>
      <c r="J93" s="34">
        <v>-7765.0684931506848</v>
      </c>
      <c r="K93" s="33">
        <v>0.13333333333333333</v>
      </c>
      <c r="L93" s="33">
        <v>0.23216601815823606</v>
      </c>
      <c r="M93" s="33">
        <v>0.30998702983138782</v>
      </c>
      <c r="N93" s="33">
        <v>0.51955307262569828</v>
      </c>
      <c r="O93" s="33">
        <v>0.38493723849372385</v>
      </c>
      <c r="P93" s="33">
        <v>0.38683127572016462</v>
      </c>
    </row>
    <row r="94" spans="1:16" x14ac:dyDescent="0.45">
      <c r="A94" s="35">
        <v>91</v>
      </c>
      <c r="B94" s="32">
        <v>316.5999999999998</v>
      </c>
      <c r="C94" s="32">
        <v>3.479120879120877</v>
      </c>
      <c r="D94" s="37">
        <v>1.9120879120879122</v>
      </c>
      <c r="E94" s="33">
        <v>0.38461538461538464</v>
      </c>
      <c r="F94" s="33">
        <v>0.2967032967032967</v>
      </c>
      <c r="G94" s="33">
        <v>0.31362467866323906</v>
      </c>
      <c r="H94" s="33">
        <v>0.19151670951156813</v>
      </c>
      <c r="I94" s="34">
        <v>8599.1803278688531</v>
      </c>
      <c r="J94" s="34">
        <v>-7663.0872483221474</v>
      </c>
      <c r="K94" s="33">
        <v>0.13186813186813187</v>
      </c>
      <c r="L94" s="33">
        <v>0.2326478149100257</v>
      </c>
      <c r="M94" s="33">
        <v>0.30976863753213368</v>
      </c>
      <c r="N94" s="33">
        <v>0.51933701657458564</v>
      </c>
      <c r="O94" s="33">
        <v>0.38174273858921159</v>
      </c>
      <c r="P94" s="33">
        <v>0.38524590163934425</v>
      </c>
    </row>
    <row r="95" spans="1:16" x14ac:dyDescent="0.45">
      <c r="A95" s="35">
        <v>92</v>
      </c>
      <c r="B95" s="32">
        <v>267.79999999999978</v>
      </c>
      <c r="C95" s="32">
        <v>2.9108695652173888</v>
      </c>
      <c r="D95" s="37">
        <v>1.923913043478261</v>
      </c>
      <c r="E95" s="33">
        <v>0.38043478260869568</v>
      </c>
      <c r="F95" s="33">
        <v>0.30434782608695654</v>
      </c>
      <c r="G95" s="33">
        <v>0.31170483460559795</v>
      </c>
      <c r="H95" s="33">
        <v>0.19338422391857507</v>
      </c>
      <c r="I95" s="34">
        <v>8595.5102040816328</v>
      </c>
      <c r="J95" s="34">
        <v>-7720.394736842105</v>
      </c>
      <c r="K95" s="33">
        <v>0.14130434782608695</v>
      </c>
      <c r="L95" s="33">
        <v>0.2340966921119593</v>
      </c>
      <c r="M95" s="33">
        <v>0.30916030534351147</v>
      </c>
      <c r="N95" s="33">
        <v>0.51630434782608692</v>
      </c>
      <c r="O95" s="33">
        <v>0.37860082304526749</v>
      </c>
      <c r="P95" s="33">
        <v>0.38775510204081631</v>
      </c>
    </row>
    <row r="96" spans="1:16" x14ac:dyDescent="0.45">
      <c r="A96" s="35">
        <v>93</v>
      </c>
      <c r="B96" s="32">
        <v>234.0999999999998</v>
      </c>
      <c r="C96" s="32">
        <v>2.5172043010752665</v>
      </c>
      <c r="D96" s="37">
        <v>1.935483870967742</v>
      </c>
      <c r="E96" s="33">
        <v>0.37634408602150538</v>
      </c>
      <c r="F96" s="33">
        <v>0.31182795698924731</v>
      </c>
      <c r="G96" s="33">
        <v>0.31021437578814626</v>
      </c>
      <c r="H96" s="33">
        <v>0.19546027742749053</v>
      </c>
      <c r="I96" s="34">
        <v>8593.0894308943098</v>
      </c>
      <c r="J96" s="34">
        <v>-7749.677419354839</v>
      </c>
      <c r="K96" s="33">
        <v>0.13978494623655913</v>
      </c>
      <c r="L96" s="33">
        <v>0.23707440100882723</v>
      </c>
      <c r="M96" s="33">
        <v>0.30643127364438838</v>
      </c>
      <c r="N96" s="33">
        <v>0.51063829787234039</v>
      </c>
      <c r="O96" s="33">
        <v>0.37860082304526749</v>
      </c>
      <c r="P96" s="33">
        <v>0.38617886178861788</v>
      </c>
    </row>
    <row r="97" spans="1:16" x14ac:dyDescent="0.45">
      <c r="A97" s="35">
        <v>94</v>
      </c>
      <c r="B97" s="32">
        <v>101.19999999999979</v>
      </c>
      <c r="C97" s="32">
        <v>1.0765957446808487</v>
      </c>
      <c r="D97" s="37">
        <v>1.946808510638298</v>
      </c>
      <c r="E97" s="33">
        <v>0.37234042553191488</v>
      </c>
      <c r="F97" s="33">
        <v>0.31914893617021278</v>
      </c>
      <c r="G97" s="33">
        <v>0.30788485607008759</v>
      </c>
      <c r="H97" s="33">
        <v>0.19899874843554444</v>
      </c>
      <c r="I97" s="34">
        <v>8593.0894308943098</v>
      </c>
      <c r="J97" s="34">
        <v>-8291.1949685534582</v>
      </c>
      <c r="K97" s="33">
        <v>0.14893617021276595</v>
      </c>
      <c r="L97" s="33">
        <v>0.23654568210262827</v>
      </c>
      <c r="M97" s="33">
        <v>0.30663329161451813</v>
      </c>
      <c r="N97" s="33">
        <v>0.50793650793650791</v>
      </c>
      <c r="O97" s="33">
        <v>0.37551020408163266</v>
      </c>
      <c r="P97" s="33">
        <v>0.38617886178861788</v>
      </c>
    </row>
    <row r="98" spans="1:16" x14ac:dyDescent="0.45">
      <c r="A98" s="35">
        <v>95</v>
      </c>
      <c r="B98" s="32">
        <v>71.799999999999784</v>
      </c>
      <c r="C98" s="32">
        <v>0.75578947368420824</v>
      </c>
      <c r="D98" s="37">
        <v>1.9578947368421054</v>
      </c>
      <c r="E98" s="33">
        <v>0.36842105263157893</v>
      </c>
      <c r="F98" s="33">
        <v>0.32631578947368423</v>
      </c>
      <c r="G98" s="33">
        <v>0.30645161290322581</v>
      </c>
      <c r="H98" s="33">
        <v>0.19727047146401985</v>
      </c>
      <c r="I98" s="34">
        <v>8564.7773279352223</v>
      </c>
      <c r="J98" s="34">
        <v>-8291.1949685534582</v>
      </c>
      <c r="K98" s="33">
        <v>0.14736842105263157</v>
      </c>
      <c r="L98" s="33">
        <v>0.23449131513647642</v>
      </c>
      <c r="M98" s="33">
        <v>0.30645161290322581</v>
      </c>
      <c r="N98" s="33">
        <v>0.50793650793650791</v>
      </c>
      <c r="O98" s="33">
        <v>0.37651821862348178</v>
      </c>
      <c r="P98" s="33">
        <v>0.38461538461538464</v>
      </c>
    </row>
    <row r="99" spans="1:16" x14ac:dyDescent="0.45">
      <c r="A99" s="35">
        <v>96</v>
      </c>
      <c r="B99" s="32">
        <v>72.299999999999784</v>
      </c>
      <c r="C99" s="32">
        <v>0.75312499999999771</v>
      </c>
      <c r="D99" s="37">
        <v>1.9583333333333333</v>
      </c>
      <c r="E99" s="33">
        <v>0.36458333333333331</v>
      </c>
      <c r="F99" s="33">
        <v>0.32291666666666669</v>
      </c>
      <c r="G99" s="33">
        <v>0.30552147239263805</v>
      </c>
      <c r="H99" s="33">
        <v>0.19631901840490798</v>
      </c>
      <c r="I99" s="34">
        <v>8574.6987951807223</v>
      </c>
      <c r="J99" s="34">
        <v>-8255.625</v>
      </c>
      <c r="K99" s="33">
        <v>0.14583333333333334</v>
      </c>
      <c r="L99" s="33">
        <v>0.2343558282208589</v>
      </c>
      <c r="M99" s="33">
        <v>0.30674846625766872</v>
      </c>
      <c r="N99" s="33">
        <v>0.50785340314136129</v>
      </c>
      <c r="O99" s="33">
        <v>0.376</v>
      </c>
      <c r="P99" s="33">
        <v>0.38554216867469882</v>
      </c>
    </row>
    <row r="100" spans="1:16" x14ac:dyDescent="0.45">
      <c r="A100" s="35">
        <v>97</v>
      </c>
      <c r="B100" s="32">
        <v>49.899999999999785</v>
      </c>
      <c r="C100" s="32">
        <v>0.51443298969071949</v>
      </c>
      <c r="D100" s="37">
        <v>1.9587628865979381</v>
      </c>
      <c r="E100" s="33">
        <v>0.36082474226804123</v>
      </c>
      <c r="F100" s="33">
        <v>0.31958762886597936</v>
      </c>
      <c r="G100" s="33">
        <v>0.30440097799511001</v>
      </c>
      <c r="H100" s="33">
        <v>0.19559902200488999</v>
      </c>
      <c r="I100" s="34">
        <v>8574.6987951807223</v>
      </c>
      <c r="J100" s="34">
        <v>-8255.625</v>
      </c>
      <c r="K100" s="33">
        <v>0.14432989690721648</v>
      </c>
      <c r="L100" s="33">
        <v>0.2334963325183374</v>
      </c>
      <c r="M100" s="33">
        <v>0.30562347188264061</v>
      </c>
      <c r="N100" s="33">
        <v>0.50785340314136129</v>
      </c>
      <c r="O100" s="33">
        <v>0.376</v>
      </c>
      <c r="P100" s="33">
        <v>0.38554216867469882</v>
      </c>
    </row>
    <row r="101" spans="1:16" x14ac:dyDescent="0.45">
      <c r="A101" s="35">
        <v>98</v>
      </c>
      <c r="B101" s="32">
        <v>36.399999999999785</v>
      </c>
      <c r="C101" s="32">
        <v>0.37142857142856922</v>
      </c>
      <c r="D101" s="37">
        <v>1.9591836734693877</v>
      </c>
      <c r="E101" s="33">
        <v>0.35714285714285715</v>
      </c>
      <c r="F101" s="33">
        <v>0.31632653061224492</v>
      </c>
      <c r="G101" s="33">
        <v>0.30350665054413545</v>
      </c>
      <c r="H101" s="33">
        <v>0.19588875453446192</v>
      </c>
      <c r="I101" s="34">
        <v>8601.9920318725108</v>
      </c>
      <c r="J101" s="34">
        <v>-8314.1975308641977</v>
      </c>
      <c r="K101" s="33">
        <v>0.14285714285714285</v>
      </c>
      <c r="L101" s="33">
        <v>0.23458282950423218</v>
      </c>
      <c r="M101" s="33">
        <v>0.30350665054413545</v>
      </c>
      <c r="N101" s="33">
        <v>0.51030927835051543</v>
      </c>
      <c r="O101" s="33">
        <v>0.37450199203187251</v>
      </c>
      <c r="P101" s="33">
        <v>0.38645418326693226</v>
      </c>
    </row>
    <row r="102" spans="1:16" x14ac:dyDescent="0.45">
      <c r="A102" s="35">
        <v>99</v>
      </c>
      <c r="B102" s="32">
        <v>42.999999999999787</v>
      </c>
      <c r="C102" s="32">
        <v>0.4343434343434322</v>
      </c>
      <c r="D102" s="37">
        <v>1.9595959595959596</v>
      </c>
      <c r="E102" s="33">
        <v>0.35353535353535354</v>
      </c>
      <c r="F102" s="33">
        <v>0.31313131313131315</v>
      </c>
      <c r="G102" s="33">
        <v>0.30299401197604792</v>
      </c>
      <c r="H102" s="33">
        <v>0.19640718562874251</v>
      </c>
      <c r="I102" s="34">
        <v>8602.766798418972</v>
      </c>
      <c r="J102" s="34">
        <v>-8248.1707317073178</v>
      </c>
      <c r="K102" s="33">
        <v>0.14141414141414141</v>
      </c>
      <c r="L102" s="33">
        <v>0.2347305389221557</v>
      </c>
      <c r="M102" s="33">
        <v>0.30419161676646705</v>
      </c>
      <c r="N102" s="33">
        <v>0.51020408163265307</v>
      </c>
      <c r="O102" s="33">
        <v>0.37401574803149606</v>
      </c>
      <c r="P102" s="33">
        <v>0.38735177865612647</v>
      </c>
    </row>
    <row r="103" spans="1:16" x14ac:dyDescent="0.45">
      <c r="A103" s="35">
        <v>100</v>
      </c>
      <c r="B103" s="32">
        <v>13.399999999999785</v>
      </c>
      <c r="C103" s="32">
        <v>0.13399999999999784</v>
      </c>
      <c r="D103" s="37">
        <v>1.97</v>
      </c>
      <c r="E103" s="33">
        <v>0.35</v>
      </c>
      <c r="F103" s="33">
        <v>0.32</v>
      </c>
      <c r="G103" s="33">
        <v>0.30166270783847982</v>
      </c>
      <c r="H103" s="33">
        <v>0.19833729216152018</v>
      </c>
      <c r="I103" s="34">
        <v>8584.645669291338</v>
      </c>
      <c r="J103" s="34">
        <v>-8206.5868263473058</v>
      </c>
      <c r="K103" s="33">
        <v>0.14000000000000001</v>
      </c>
      <c r="L103" s="33">
        <v>0.23515439429928742</v>
      </c>
      <c r="M103" s="33">
        <v>0.30403800475059384</v>
      </c>
      <c r="N103" s="33">
        <v>0.51010101010101006</v>
      </c>
      <c r="O103" s="33">
        <v>0.37109375</v>
      </c>
      <c r="P103" s="33">
        <v>0.38976377952755903</v>
      </c>
    </row>
    <row r="104" spans="1:16" x14ac:dyDescent="0.45">
      <c r="A104" s="35">
        <v>101</v>
      </c>
      <c r="B104" s="32">
        <v>-34.400000000000212</v>
      </c>
      <c r="C104" s="32">
        <v>-0.34059405940594267</v>
      </c>
      <c r="D104" s="37">
        <v>1.9801980198019802</v>
      </c>
      <c r="E104" s="33">
        <v>0.34653465346534651</v>
      </c>
      <c r="F104" s="33">
        <v>0.32673267326732675</v>
      </c>
      <c r="G104" s="33">
        <v>0.29952830188679247</v>
      </c>
      <c r="H104" s="33">
        <v>0.19811320754716982</v>
      </c>
      <c r="I104" s="34">
        <v>8584.645669291338</v>
      </c>
      <c r="J104" s="34">
        <v>-8205.3571428571431</v>
      </c>
      <c r="K104" s="33">
        <v>0.14851485148514851</v>
      </c>
      <c r="L104" s="33">
        <v>0.23349056603773585</v>
      </c>
      <c r="M104" s="33">
        <v>0.30306603773584906</v>
      </c>
      <c r="N104" s="33">
        <v>0.51010101010101006</v>
      </c>
      <c r="O104" s="33">
        <v>0.36964980544747084</v>
      </c>
      <c r="P104" s="33">
        <v>0.38976377952755903</v>
      </c>
    </row>
    <row r="105" spans="1:16" x14ac:dyDescent="0.45">
      <c r="A105" s="35">
        <v>102</v>
      </c>
      <c r="B105" s="32">
        <v>-56.500000000000213</v>
      </c>
      <c r="C105" s="32">
        <v>-0.55392156862745312</v>
      </c>
      <c r="D105" s="37">
        <v>1.9901960784313726</v>
      </c>
      <c r="E105" s="33">
        <v>0.34313725490196079</v>
      </c>
      <c r="F105" s="33">
        <v>0.33333333333333331</v>
      </c>
      <c r="G105" s="33">
        <v>0.29906542056074764</v>
      </c>
      <c r="H105" s="33">
        <v>0.19859813084112149</v>
      </c>
      <c r="I105" s="34">
        <v>8584.765625</v>
      </c>
      <c r="J105" s="34">
        <v>-8178.8235294117649</v>
      </c>
      <c r="K105" s="33">
        <v>0.14705882352941177</v>
      </c>
      <c r="L105" s="33">
        <v>0.23481308411214954</v>
      </c>
      <c r="M105" s="33">
        <v>0.30373831775700932</v>
      </c>
      <c r="N105" s="33">
        <v>0.5074626865671642</v>
      </c>
      <c r="O105" s="33">
        <v>0.36923076923076925</v>
      </c>
      <c r="P105" s="33">
        <v>0.390625</v>
      </c>
    </row>
    <row r="106" spans="1:16" x14ac:dyDescent="0.45">
      <c r="A106" s="35">
        <v>103</v>
      </c>
      <c r="B106" s="32">
        <v>-31.500000000000213</v>
      </c>
      <c r="C106" s="32">
        <v>-0.30582524271844869</v>
      </c>
      <c r="D106" s="37">
        <v>1.9805825242718447</v>
      </c>
      <c r="E106" s="33">
        <v>0.34951456310679613</v>
      </c>
      <c r="F106" s="33">
        <v>0.3300970873786408</v>
      </c>
      <c r="G106" s="33">
        <v>0.29976851851851855</v>
      </c>
      <c r="H106" s="33">
        <v>0.19907407407407407</v>
      </c>
      <c r="I106" s="34">
        <v>8591.8918918918916</v>
      </c>
      <c r="J106" s="34">
        <v>-8168.604651162791</v>
      </c>
      <c r="K106" s="33">
        <v>0.14563106796116504</v>
      </c>
      <c r="L106" s="33">
        <v>0.23495370370370369</v>
      </c>
      <c r="M106" s="33">
        <v>0.30324074074074076</v>
      </c>
      <c r="N106" s="33">
        <v>0.5073891625615764</v>
      </c>
      <c r="O106" s="33">
        <v>0.36641221374045801</v>
      </c>
      <c r="P106" s="33">
        <v>0.39768339768339767</v>
      </c>
    </row>
    <row r="107" spans="1:16" x14ac:dyDescent="0.45">
      <c r="A107" s="35">
        <v>104</v>
      </c>
      <c r="B107" s="32">
        <v>-49.900000000000212</v>
      </c>
      <c r="C107" s="32">
        <v>-0.47980769230769432</v>
      </c>
      <c r="D107" s="37">
        <v>1.9807692307692308</v>
      </c>
      <c r="E107" s="33">
        <v>0.34615384615384615</v>
      </c>
      <c r="F107" s="33">
        <v>0.32692307692307693</v>
      </c>
      <c r="G107" s="33">
        <v>0.2993119266055046</v>
      </c>
      <c r="H107" s="33">
        <v>0.19839449541284404</v>
      </c>
      <c r="I107" s="34">
        <v>8549.0421455938704</v>
      </c>
      <c r="J107" s="34">
        <v>-8190.7514450867056</v>
      </c>
      <c r="K107" s="33">
        <v>0.14423076923076922</v>
      </c>
      <c r="L107" s="33">
        <v>0.23279816513761467</v>
      </c>
      <c r="M107" s="33">
        <v>0.30389908256880732</v>
      </c>
      <c r="N107" s="33">
        <v>0.5073891625615764</v>
      </c>
      <c r="O107" s="33">
        <v>0.36603773584905658</v>
      </c>
      <c r="P107" s="33">
        <v>0.39846743295019155</v>
      </c>
    </row>
    <row r="108" spans="1:16" x14ac:dyDescent="0.45">
      <c r="A108" s="35">
        <v>105</v>
      </c>
      <c r="B108" s="32">
        <v>-48.80000000000021</v>
      </c>
      <c r="C108" s="32">
        <v>-0.46476190476190676</v>
      </c>
      <c r="D108" s="37">
        <v>1.980952380952381</v>
      </c>
      <c r="E108" s="33">
        <v>0.34285714285714286</v>
      </c>
      <c r="F108" s="33">
        <v>0.32380952380952382</v>
      </c>
      <c r="G108" s="33">
        <v>0.29852440408626563</v>
      </c>
      <c r="H108" s="33">
        <v>0.1963677639046538</v>
      </c>
      <c r="I108" s="34">
        <v>8553.9923954372625</v>
      </c>
      <c r="J108" s="34">
        <v>-8190.7514450867056</v>
      </c>
      <c r="K108" s="33">
        <v>0.14285714285714285</v>
      </c>
      <c r="L108" s="33">
        <v>0.23269012485811577</v>
      </c>
      <c r="M108" s="33">
        <v>0.30192962542565266</v>
      </c>
      <c r="N108" s="33">
        <v>0.50731707317073171</v>
      </c>
      <c r="O108" s="33">
        <v>0.36466165413533835</v>
      </c>
      <c r="P108" s="33">
        <v>0.39923954372623577</v>
      </c>
    </row>
    <row r="109" spans="1:16" x14ac:dyDescent="0.45">
      <c r="A109" s="35">
        <v>106</v>
      </c>
      <c r="B109" s="32">
        <v>-48.900000000000212</v>
      </c>
      <c r="C109" s="32">
        <v>-0.46132075471698314</v>
      </c>
      <c r="D109" s="37">
        <v>1.9811320754716981</v>
      </c>
      <c r="E109" s="33">
        <v>0.33962264150943394</v>
      </c>
      <c r="F109" s="33">
        <v>0.32075471698113206</v>
      </c>
      <c r="G109" s="33">
        <v>0.29899216125419931</v>
      </c>
      <c r="H109" s="33">
        <v>0.1948488241881299</v>
      </c>
      <c r="I109" s="34">
        <v>8530.3370786516862</v>
      </c>
      <c r="J109" s="34">
        <v>-8247.1264367816093</v>
      </c>
      <c r="K109" s="33">
        <v>0.14150943396226415</v>
      </c>
      <c r="L109" s="33">
        <v>0.23180291153415453</v>
      </c>
      <c r="M109" s="33">
        <v>0.30235162374020158</v>
      </c>
      <c r="N109" s="33">
        <v>0.50724637681159424</v>
      </c>
      <c r="O109" s="33">
        <v>0.36296296296296299</v>
      </c>
      <c r="P109" s="33">
        <v>0.4044943820224719</v>
      </c>
    </row>
    <row r="110" spans="1:16" x14ac:dyDescent="0.45">
      <c r="A110" s="35">
        <v>107</v>
      </c>
      <c r="B110" s="32">
        <v>-18.500000000000213</v>
      </c>
      <c r="C110" s="32">
        <v>-0.17289719626168423</v>
      </c>
      <c r="D110" s="37">
        <v>1.97196261682243</v>
      </c>
      <c r="E110" s="33">
        <v>0.34579439252336447</v>
      </c>
      <c r="F110" s="33">
        <v>0.31775700934579437</v>
      </c>
      <c r="G110" s="33">
        <v>0.30188679245283018</v>
      </c>
      <c r="H110" s="33">
        <v>0.19311875693673697</v>
      </c>
      <c r="I110" s="34">
        <v>8457.7205882352937</v>
      </c>
      <c r="J110" s="34">
        <v>-8247.1264367816093</v>
      </c>
      <c r="K110" s="33">
        <v>0.14018691588785046</v>
      </c>
      <c r="L110" s="33">
        <v>0.23085460599334073</v>
      </c>
      <c r="M110" s="33">
        <v>0.30410654827968925</v>
      </c>
      <c r="N110" s="33">
        <v>0.50480769230769229</v>
      </c>
      <c r="O110" s="33">
        <v>0.36861313868613138</v>
      </c>
      <c r="P110" s="33">
        <v>0.40808823529411764</v>
      </c>
    </row>
    <row r="111" spans="1:16" x14ac:dyDescent="0.45">
      <c r="A111" s="35">
        <v>108</v>
      </c>
      <c r="B111" s="32">
        <v>-28.200000000000212</v>
      </c>
      <c r="C111" s="32">
        <v>-0.26111111111111307</v>
      </c>
      <c r="D111" s="37">
        <v>1.9722222222222223</v>
      </c>
      <c r="E111" s="33">
        <v>0.34259259259259262</v>
      </c>
      <c r="F111" s="33">
        <v>0.31481481481481483</v>
      </c>
      <c r="G111" s="33">
        <v>0.30176211453744495</v>
      </c>
      <c r="H111" s="33">
        <v>0.19273127753303965</v>
      </c>
      <c r="I111" s="34">
        <v>8434.6715328467162</v>
      </c>
      <c r="J111" s="34">
        <v>-8208.5714285714294</v>
      </c>
      <c r="K111" s="33">
        <v>0.1388888888888889</v>
      </c>
      <c r="L111" s="33">
        <v>0.23017621145374451</v>
      </c>
      <c r="M111" s="33">
        <v>0.30616740088105726</v>
      </c>
      <c r="N111" s="33">
        <v>0.50239234449760761</v>
      </c>
      <c r="O111" s="33">
        <v>0.37050359712230213</v>
      </c>
      <c r="P111" s="33">
        <v>0.4051094890510949</v>
      </c>
    </row>
    <row r="112" spans="1:16" x14ac:dyDescent="0.45">
      <c r="A112" s="35">
        <v>109</v>
      </c>
      <c r="B112" s="32">
        <v>31.799999999999788</v>
      </c>
      <c r="C112" s="32">
        <v>0.29174311926605312</v>
      </c>
      <c r="D112" s="37">
        <v>1.963302752293578</v>
      </c>
      <c r="E112" s="33">
        <v>0.34862385321100919</v>
      </c>
      <c r="F112" s="33">
        <v>0.31192660550458717</v>
      </c>
      <c r="G112" s="33">
        <v>0.30219780219780218</v>
      </c>
      <c r="H112" s="33">
        <v>0.19230769230769232</v>
      </c>
      <c r="I112" s="34">
        <v>8578.545454545454</v>
      </c>
      <c r="J112" s="34">
        <v>-8208.5714285714294</v>
      </c>
      <c r="K112" s="33">
        <v>0.13761467889908258</v>
      </c>
      <c r="L112" s="33">
        <v>0.22967032967032966</v>
      </c>
      <c r="M112" s="33">
        <v>0.30659340659340661</v>
      </c>
      <c r="N112" s="33">
        <v>0.50239234449760761</v>
      </c>
      <c r="O112" s="33">
        <v>0.36917562724014336</v>
      </c>
      <c r="P112" s="33">
        <v>0.40363636363636363</v>
      </c>
    </row>
    <row r="113" spans="1:16" x14ac:dyDescent="0.45">
      <c r="A113" s="35">
        <v>110</v>
      </c>
      <c r="B113" s="32">
        <v>86.999999999999787</v>
      </c>
      <c r="C113" s="32">
        <v>0.79090909090908901</v>
      </c>
      <c r="D113" s="37">
        <v>1.9545454545454546</v>
      </c>
      <c r="E113" s="33">
        <v>0.35454545454545455</v>
      </c>
      <c r="F113" s="33">
        <v>0.30909090909090908</v>
      </c>
      <c r="G113" s="33">
        <v>0.30425299890948748</v>
      </c>
      <c r="H113" s="33">
        <v>0.19193020719738277</v>
      </c>
      <c r="I113" s="34">
        <v>8568.8172043010745</v>
      </c>
      <c r="J113" s="34">
        <v>-8184.090909090909</v>
      </c>
      <c r="K113" s="33">
        <v>0.13636363636363635</v>
      </c>
      <c r="L113" s="33">
        <v>0.23009814612868049</v>
      </c>
      <c r="M113" s="33">
        <v>0.3075245365321701</v>
      </c>
      <c r="N113" s="33">
        <v>0.50236966824644547</v>
      </c>
      <c r="O113" s="33">
        <v>0.37234042553191488</v>
      </c>
      <c r="P113" s="33">
        <v>0.4050179211469534</v>
      </c>
    </row>
    <row r="114" spans="1:16" x14ac:dyDescent="0.45">
      <c r="A114" s="35">
        <v>111</v>
      </c>
      <c r="B114" s="32">
        <v>85.999999999999787</v>
      </c>
      <c r="C114" s="32">
        <v>0.77477477477477286</v>
      </c>
      <c r="D114" s="37">
        <v>1.954954954954955</v>
      </c>
      <c r="E114" s="33">
        <v>0.35135135135135137</v>
      </c>
      <c r="F114" s="33">
        <v>0.30630630630630629</v>
      </c>
      <c r="G114" s="33">
        <v>0.30495689655172414</v>
      </c>
      <c r="H114" s="33">
        <v>0.19073275862068967</v>
      </c>
      <c r="I114" s="34">
        <v>8542.7561837455833</v>
      </c>
      <c r="J114" s="34">
        <v>-8149.1525423728817</v>
      </c>
      <c r="K114" s="33">
        <v>0.13513513513513514</v>
      </c>
      <c r="L114" s="33">
        <v>0.23060344827586207</v>
      </c>
      <c r="M114" s="33">
        <v>0.30926724137931033</v>
      </c>
      <c r="N114" s="33">
        <v>0.5</v>
      </c>
      <c r="O114" s="33">
        <v>0.37630662020905925</v>
      </c>
      <c r="P114" s="33">
        <v>0.40636042402826855</v>
      </c>
    </row>
    <row r="115" spans="1:16" x14ac:dyDescent="0.45">
      <c r="A115" s="35">
        <v>112</v>
      </c>
      <c r="B115" s="32">
        <v>85.299999999999784</v>
      </c>
      <c r="C115" s="32">
        <v>0.76160714285714093</v>
      </c>
      <c r="D115" s="37">
        <v>1.9553571428571428</v>
      </c>
      <c r="E115" s="33">
        <v>0.3482142857142857</v>
      </c>
      <c r="F115" s="33">
        <v>0.30357142857142855</v>
      </c>
      <c r="G115" s="33">
        <v>0.30513918629550324</v>
      </c>
      <c r="H115" s="33">
        <v>0.19271948608137046</v>
      </c>
      <c r="I115" s="34">
        <v>8546.3157894736851</v>
      </c>
      <c r="J115" s="34">
        <v>-8112.2222222222226</v>
      </c>
      <c r="K115" s="33">
        <v>0.13392857142857142</v>
      </c>
      <c r="L115" s="33">
        <v>0.23019271948608136</v>
      </c>
      <c r="M115" s="33">
        <v>0.30942184154175589</v>
      </c>
      <c r="N115" s="33">
        <v>0.50232558139534889</v>
      </c>
      <c r="O115" s="33">
        <v>0.37370242214532873</v>
      </c>
      <c r="P115" s="33">
        <v>0.40701754385964911</v>
      </c>
    </row>
    <row r="116" spans="1:16" x14ac:dyDescent="0.45">
      <c r="A116" s="35">
        <v>113</v>
      </c>
      <c r="B116" s="32">
        <v>104.69999999999979</v>
      </c>
      <c r="C116" s="32">
        <v>0.92654867256636986</v>
      </c>
      <c r="D116" s="37">
        <v>1.9469026548672566</v>
      </c>
      <c r="E116" s="33">
        <v>0.35398230088495575</v>
      </c>
      <c r="F116" s="33">
        <v>0.30088495575221241</v>
      </c>
      <c r="G116" s="33">
        <v>0.30614406779661019</v>
      </c>
      <c r="H116" s="33">
        <v>0.19385593220338984</v>
      </c>
      <c r="I116" s="34">
        <v>8537.0242214532864</v>
      </c>
      <c r="J116" s="34">
        <v>-8070.4918032786882</v>
      </c>
      <c r="K116" s="33">
        <v>0.13274336283185842</v>
      </c>
      <c r="L116" s="33">
        <v>0.2288135593220339</v>
      </c>
      <c r="M116" s="33">
        <v>0.3114406779661017</v>
      </c>
      <c r="N116" s="33">
        <v>0.5</v>
      </c>
      <c r="O116" s="33">
        <v>0.37755102040816324</v>
      </c>
      <c r="P116" s="33">
        <v>0.40830449826989618</v>
      </c>
    </row>
    <row r="117" spans="1:16" x14ac:dyDescent="0.45">
      <c r="A117" s="35">
        <v>114</v>
      </c>
      <c r="B117" s="32">
        <v>109.99999999999979</v>
      </c>
      <c r="C117" s="32">
        <v>0.9649122807017525</v>
      </c>
      <c r="D117" s="37">
        <v>1.9473684210526316</v>
      </c>
      <c r="E117" s="33">
        <v>0.35087719298245612</v>
      </c>
      <c r="F117" s="33">
        <v>0.2982456140350877</v>
      </c>
      <c r="G117" s="33">
        <v>0.30785340314136128</v>
      </c>
      <c r="H117" s="33">
        <v>0.19267015706806281</v>
      </c>
      <c r="I117" s="34">
        <v>8440.4761904761908</v>
      </c>
      <c r="J117" s="34">
        <v>-8039.673913043478</v>
      </c>
      <c r="K117" s="33">
        <v>0.13157894736842105</v>
      </c>
      <c r="L117" s="33">
        <v>0.22827225130890053</v>
      </c>
      <c r="M117" s="33">
        <v>0.31308900523560207</v>
      </c>
      <c r="N117" s="33">
        <v>0.5</v>
      </c>
      <c r="O117" s="33">
        <v>0.38127090301003347</v>
      </c>
      <c r="P117" s="33">
        <v>0.40476190476190477</v>
      </c>
    </row>
    <row r="118" spans="1:16" x14ac:dyDescent="0.45">
      <c r="A118" s="35">
        <v>115</v>
      </c>
      <c r="B118" s="32">
        <v>138.89999999999978</v>
      </c>
      <c r="C118" s="32">
        <v>1.2078260869565198</v>
      </c>
      <c r="D118" s="37">
        <v>1.9391304347826086</v>
      </c>
      <c r="E118" s="33">
        <v>0.35652173913043478</v>
      </c>
      <c r="F118" s="33">
        <v>0.29565217391304349</v>
      </c>
      <c r="G118" s="33">
        <v>0.30809128630705396</v>
      </c>
      <c r="H118" s="33">
        <v>0.19190871369294607</v>
      </c>
      <c r="I118" s="34">
        <v>8493.2659932659935</v>
      </c>
      <c r="J118" s="34">
        <v>-8007.0270270270266</v>
      </c>
      <c r="K118" s="33">
        <v>0.13043478260869565</v>
      </c>
      <c r="L118" s="33">
        <v>0.22821576763485477</v>
      </c>
      <c r="M118" s="33">
        <v>0.31120331950207469</v>
      </c>
      <c r="N118" s="33">
        <v>0.49545454545454548</v>
      </c>
      <c r="O118" s="33">
        <v>0.38333333333333336</v>
      </c>
      <c r="P118" s="33">
        <v>0.40404040404040403</v>
      </c>
    </row>
    <row r="119" spans="1:16" x14ac:dyDescent="0.45">
      <c r="A119" s="35">
        <v>116</v>
      </c>
      <c r="B119" s="32">
        <v>141.49999999999977</v>
      </c>
      <c r="C119" s="32">
        <v>1.2198275862068946</v>
      </c>
      <c r="D119" s="37">
        <v>1.9396551724137931</v>
      </c>
      <c r="E119" s="33">
        <v>0.35344827586206895</v>
      </c>
      <c r="F119" s="33">
        <v>0.29310344827586204</v>
      </c>
      <c r="G119" s="33">
        <v>0.30769230769230771</v>
      </c>
      <c r="H119" s="33">
        <v>0.19076923076923077</v>
      </c>
      <c r="I119" s="34">
        <v>8488.3333333333339</v>
      </c>
      <c r="J119" s="34">
        <v>-8005.3763440860212</v>
      </c>
      <c r="K119" s="33">
        <v>0.12931034482758622</v>
      </c>
      <c r="L119" s="33">
        <v>0.2287179487179487</v>
      </c>
      <c r="M119" s="33">
        <v>0.31076923076923074</v>
      </c>
      <c r="N119" s="33">
        <v>0.49775784753363228</v>
      </c>
      <c r="O119" s="33">
        <v>0.38283828382838286</v>
      </c>
      <c r="P119" s="33">
        <v>0.40666666666666668</v>
      </c>
    </row>
    <row r="120" spans="1:16" x14ac:dyDescent="0.45">
      <c r="A120" s="35">
        <v>117</v>
      </c>
      <c r="B120" s="32">
        <v>94.499999999999773</v>
      </c>
      <c r="C120" s="32">
        <v>0.80769230769230571</v>
      </c>
      <c r="D120" s="37">
        <v>1.9487179487179487</v>
      </c>
      <c r="E120" s="33">
        <v>0.3504273504273504</v>
      </c>
      <c r="F120" s="33">
        <v>0.29914529914529914</v>
      </c>
      <c r="G120" s="33">
        <v>0.3058103975535168</v>
      </c>
      <c r="H120" s="33">
        <v>0.19062181447502549</v>
      </c>
      <c r="I120" s="34">
        <v>8488.3333333333339</v>
      </c>
      <c r="J120" s="34">
        <v>-8026.7379679144387</v>
      </c>
      <c r="K120" s="33">
        <v>0.13675213675213677</v>
      </c>
      <c r="L120" s="33">
        <v>0.22731906218144751</v>
      </c>
      <c r="M120" s="33">
        <v>0.31192660550458717</v>
      </c>
      <c r="N120" s="33">
        <v>0.49775784753363228</v>
      </c>
      <c r="O120" s="33">
        <v>0.37908496732026142</v>
      </c>
      <c r="P120" s="33">
        <v>0.40666666666666668</v>
      </c>
    </row>
    <row r="121" spans="1:16" x14ac:dyDescent="0.45">
      <c r="A121" s="35">
        <v>118</v>
      </c>
      <c r="B121" s="32">
        <v>93.899999999999778</v>
      </c>
      <c r="C121" s="32">
        <v>0.79576271186440495</v>
      </c>
      <c r="D121" s="37">
        <v>1.9491525423728813</v>
      </c>
      <c r="E121" s="33">
        <v>0.34745762711864409</v>
      </c>
      <c r="F121" s="33">
        <v>0.29661016949152541</v>
      </c>
      <c r="G121" s="33">
        <v>0.30637007077856421</v>
      </c>
      <c r="H121" s="33">
        <v>0.1911021233569262</v>
      </c>
      <c r="I121" s="34">
        <v>8469.9669966996698</v>
      </c>
      <c r="J121" s="34">
        <v>-8047.6190476190477</v>
      </c>
      <c r="K121" s="33">
        <v>0.13559322033898305</v>
      </c>
      <c r="L121" s="33">
        <v>0.22851365015166836</v>
      </c>
      <c r="M121" s="33">
        <v>0.3114256825075834</v>
      </c>
      <c r="N121" s="33">
        <v>0.5</v>
      </c>
      <c r="O121" s="33">
        <v>0.37987012987012986</v>
      </c>
      <c r="P121" s="33">
        <v>0.40264026402640263</v>
      </c>
    </row>
    <row r="122" spans="1:16" x14ac:dyDescent="0.45">
      <c r="A122" s="35">
        <v>119</v>
      </c>
      <c r="B122" s="32">
        <v>141.29999999999978</v>
      </c>
      <c r="C122" s="32">
        <v>1.1873949579831915</v>
      </c>
      <c r="D122" s="37">
        <v>1.9411764705882353</v>
      </c>
      <c r="E122" s="33">
        <v>0.35294117647058826</v>
      </c>
      <c r="F122" s="33">
        <v>0.29411764705882354</v>
      </c>
      <c r="G122" s="33">
        <v>0.30761523046092182</v>
      </c>
      <c r="H122" s="33">
        <v>0.19038076152304609</v>
      </c>
      <c r="I122" s="34">
        <v>8487.6221498371342</v>
      </c>
      <c r="J122" s="34">
        <v>-8022.105263157895</v>
      </c>
      <c r="K122" s="33">
        <v>0.13445378151260504</v>
      </c>
      <c r="L122" s="33">
        <v>0.22845691382765532</v>
      </c>
      <c r="M122" s="33">
        <v>0.31062124248496992</v>
      </c>
      <c r="N122" s="33">
        <v>0.50438596491228072</v>
      </c>
      <c r="O122" s="33">
        <v>0.38064516129032255</v>
      </c>
      <c r="P122" s="33">
        <v>0.40716612377850164</v>
      </c>
    </row>
    <row r="123" spans="1:16" x14ac:dyDescent="0.45">
      <c r="A123" s="35">
        <v>120</v>
      </c>
      <c r="B123" s="32">
        <v>130.5999999999998</v>
      </c>
      <c r="C123" s="32">
        <v>1.0883333333333316</v>
      </c>
      <c r="D123" s="37">
        <v>1.9416666666666667</v>
      </c>
      <c r="E123" s="33">
        <v>0.35</v>
      </c>
      <c r="F123" s="33">
        <v>0.29166666666666669</v>
      </c>
      <c r="G123" s="33">
        <v>0.30784508440913605</v>
      </c>
      <c r="H123" s="33">
        <v>0.18867924528301888</v>
      </c>
      <c r="I123" s="34">
        <v>8467.7419354838712</v>
      </c>
      <c r="J123" s="34">
        <v>-8022.105263157895</v>
      </c>
      <c r="K123" s="33">
        <v>0.13333333333333333</v>
      </c>
      <c r="L123" s="33">
        <v>0.22840119165839126</v>
      </c>
      <c r="M123" s="33">
        <v>0.3128103277060576</v>
      </c>
      <c r="N123" s="33">
        <v>0.5043478260869565</v>
      </c>
      <c r="O123" s="33">
        <v>0.38095238095238093</v>
      </c>
      <c r="P123" s="33">
        <v>0.40322580645161288</v>
      </c>
    </row>
    <row r="124" spans="1:16" x14ac:dyDescent="0.45">
      <c r="A124" s="35">
        <v>121</v>
      </c>
      <c r="B124" s="32">
        <v>125.0999999999998</v>
      </c>
      <c r="C124" s="32">
        <v>1.0338842975206595</v>
      </c>
      <c r="D124" s="37">
        <v>1.9421487603305785</v>
      </c>
      <c r="E124" s="33">
        <v>0.34710743801652894</v>
      </c>
      <c r="F124" s="33">
        <v>0.28925619834710742</v>
      </c>
      <c r="G124" s="33">
        <v>0.30738916256157633</v>
      </c>
      <c r="H124" s="33">
        <v>0.18817733990147784</v>
      </c>
      <c r="I124" s="34">
        <v>8496.7948717948711</v>
      </c>
      <c r="J124" s="34">
        <v>-8042.9319371727752</v>
      </c>
      <c r="K124" s="33">
        <v>0.13223140495867769</v>
      </c>
      <c r="L124" s="33">
        <v>0.22758620689655173</v>
      </c>
      <c r="M124" s="33">
        <v>0.31231527093596056</v>
      </c>
      <c r="N124" s="33">
        <v>0.50649350649350644</v>
      </c>
      <c r="O124" s="33">
        <v>0.38170347003154576</v>
      </c>
      <c r="P124" s="33">
        <v>0.40384615384615385</v>
      </c>
    </row>
    <row r="125" spans="1:16" x14ac:dyDescent="0.45">
      <c r="A125" s="35">
        <v>122</v>
      </c>
      <c r="B125" s="32">
        <v>127.69999999999979</v>
      </c>
      <c r="C125" s="32">
        <v>1.0467213114754081</v>
      </c>
      <c r="D125" s="37">
        <v>1.9426229508196722</v>
      </c>
      <c r="E125" s="33">
        <v>0.34426229508196721</v>
      </c>
      <c r="F125" s="33">
        <v>0.28688524590163933</v>
      </c>
      <c r="G125" s="33">
        <v>0.30829268292682926</v>
      </c>
      <c r="H125" s="33">
        <v>0.18634146341463415</v>
      </c>
      <c r="I125" s="34">
        <v>8449.683544303798</v>
      </c>
      <c r="J125" s="34">
        <v>-8042.9319371727752</v>
      </c>
      <c r="K125" s="33">
        <v>0.13114754098360656</v>
      </c>
      <c r="L125" s="33">
        <v>0.22829268292682928</v>
      </c>
      <c r="M125" s="33">
        <v>0.31317073170731707</v>
      </c>
      <c r="N125" s="33">
        <v>0.50427350427350426</v>
      </c>
      <c r="O125" s="33">
        <v>0.38317757009345793</v>
      </c>
      <c r="P125" s="33">
        <v>0.4050632911392405</v>
      </c>
    </row>
    <row r="126" spans="1:16" x14ac:dyDescent="0.45">
      <c r="A126" s="35">
        <v>123</v>
      </c>
      <c r="B126" s="32">
        <v>154.4999999999998</v>
      </c>
      <c r="C126" s="32">
        <v>1.2560975609756082</v>
      </c>
      <c r="D126" s="37">
        <v>1.934959349593496</v>
      </c>
      <c r="E126" s="33">
        <v>0.34959349593495936</v>
      </c>
      <c r="F126" s="33">
        <v>0.28455284552845528</v>
      </c>
      <c r="G126" s="33">
        <v>0.30984555984555984</v>
      </c>
      <c r="H126" s="33">
        <v>0.18629343629343628</v>
      </c>
      <c r="I126" s="34">
        <v>8423.0529595015578</v>
      </c>
      <c r="J126" s="34">
        <v>-7989.6373056994817</v>
      </c>
      <c r="K126" s="33">
        <v>0.13008130081300814</v>
      </c>
      <c r="L126" s="33">
        <v>0.22876447876447875</v>
      </c>
      <c r="M126" s="33">
        <v>0.31274131274131273</v>
      </c>
      <c r="N126" s="33">
        <v>0.50210970464135019</v>
      </c>
      <c r="O126" s="33">
        <v>0.3888888888888889</v>
      </c>
      <c r="P126" s="33">
        <v>0.40498442367601245</v>
      </c>
    </row>
    <row r="127" spans="1:16" x14ac:dyDescent="0.45">
      <c r="A127" s="35">
        <v>124</v>
      </c>
      <c r="B127" s="32">
        <v>172.5999999999998</v>
      </c>
      <c r="C127" s="32">
        <v>1.3919354838709661</v>
      </c>
      <c r="D127" s="37">
        <v>1.9274193548387097</v>
      </c>
      <c r="E127" s="33">
        <v>0.35483870967741937</v>
      </c>
      <c r="F127" s="33">
        <v>0.28225806451612906</v>
      </c>
      <c r="G127" s="33">
        <v>0.30968360498561842</v>
      </c>
      <c r="H127" s="33">
        <v>0.18504314477468839</v>
      </c>
      <c r="I127" s="34">
        <v>8398.4520123839011</v>
      </c>
      <c r="J127" s="34">
        <v>-7989.6373056994817</v>
      </c>
      <c r="K127" s="33">
        <v>0.12903225806451613</v>
      </c>
      <c r="L127" s="33">
        <v>0.22722914669223393</v>
      </c>
      <c r="M127" s="33">
        <v>0.31447746883988492</v>
      </c>
      <c r="N127" s="33">
        <v>0.50210970464135019</v>
      </c>
      <c r="O127" s="33">
        <v>0.3902439024390244</v>
      </c>
      <c r="P127" s="33">
        <v>0.4086687306501548</v>
      </c>
    </row>
    <row r="128" spans="1:16" x14ac:dyDescent="0.45">
      <c r="A128" s="35">
        <v>125</v>
      </c>
      <c r="B128" s="32">
        <v>119.9999999999998</v>
      </c>
      <c r="C128" s="32">
        <v>0.95999999999999841</v>
      </c>
      <c r="D128" s="37">
        <v>1.9359999999999999</v>
      </c>
      <c r="E128" s="33">
        <v>0.35199999999999998</v>
      </c>
      <c r="F128" s="33">
        <v>0.28799999999999998</v>
      </c>
      <c r="G128" s="33">
        <v>0.30761904761904763</v>
      </c>
      <c r="H128" s="33">
        <v>0.18571428571428572</v>
      </c>
      <c r="I128" s="34">
        <v>8398.4520123839011</v>
      </c>
      <c r="J128" s="34">
        <v>-8018.4615384615381</v>
      </c>
      <c r="K128" s="33">
        <v>0.13600000000000001</v>
      </c>
      <c r="L128" s="33">
        <v>0.22761904761904761</v>
      </c>
      <c r="M128" s="33">
        <v>0.31428571428571428</v>
      </c>
      <c r="N128" s="33">
        <v>0.497907949790795</v>
      </c>
      <c r="O128" s="33">
        <v>0.38787878787878788</v>
      </c>
      <c r="P128" s="33">
        <v>0.4086687306501548</v>
      </c>
    </row>
    <row r="129" spans="1:16" x14ac:dyDescent="0.45">
      <c r="A129" s="35">
        <v>126</v>
      </c>
      <c r="B129" s="32">
        <v>77.999999999999801</v>
      </c>
      <c r="C129" s="32">
        <v>0.61904761904761751</v>
      </c>
      <c r="D129" s="37">
        <v>1.9444444444444444</v>
      </c>
      <c r="E129" s="33">
        <v>0.34920634920634919</v>
      </c>
      <c r="F129" s="33">
        <v>0.29365079365079366</v>
      </c>
      <c r="G129" s="33">
        <v>0.30442978322337416</v>
      </c>
      <c r="H129" s="33">
        <v>0.18661639962299717</v>
      </c>
      <c r="I129" s="34">
        <v>8398.4520123839011</v>
      </c>
      <c r="J129" s="34">
        <v>-7957.0707070707067</v>
      </c>
      <c r="K129" s="33">
        <v>0.13492063492063491</v>
      </c>
      <c r="L129" s="33">
        <v>0.22808671065032987</v>
      </c>
      <c r="M129" s="33">
        <v>0.31385485391140433</v>
      </c>
      <c r="N129" s="33">
        <v>0.49173553719008267</v>
      </c>
      <c r="O129" s="33">
        <v>0.38438438438438438</v>
      </c>
      <c r="P129" s="33">
        <v>0.4086687306501548</v>
      </c>
    </row>
    <row r="130" spans="1:16" x14ac:dyDescent="0.45">
      <c r="A130" s="35">
        <v>127</v>
      </c>
      <c r="B130" s="32">
        <v>83.199999999999804</v>
      </c>
      <c r="C130" s="32">
        <v>0.65511811023621891</v>
      </c>
      <c r="D130" s="37">
        <v>1.9448818897637796</v>
      </c>
      <c r="E130" s="33">
        <v>0.34645669291338582</v>
      </c>
      <c r="F130" s="33">
        <v>0.29133858267716534</v>
      </c>
      <c r="G130" s="33">
        <v>0.30430711610486894</v>
      </c>
      <c r="H130" s="33">
        <v>0.18632958801498128</v>
      </c>
      <c r="I130" s="34">
        <v>8425.8461538461543</v>
      </c>
      <c r="J130" s="34">
        <v>-7997.4874371859296</v>
      </c>
      <c r="K130" s="33">
        <v>0.13385826771653545</v>
      </c>
      <c r="L130" s="33">
        <v>0.22846441947565543</v>
      </c>
      <c r="M130" s="33">
        <v>0.31367041198501872</v>
      </c>
      <c r="N130" s="33">
        <v>0.49590163934426229</v>
      </c>
      <c r="O130" s="33">
        <v>0.38208955223880597</v>
      </c>
      <c r="P130" s="33">
        <v>0.41230769230769232</v>
      </c>
    </row>
    <row r="131" spans="1:16" x14ac:dyDescent="0.45">
      <c r="A131" s="35">
        <v>128</v>
      </c>
      <c r="B131" s="32">
        <v>31.699999999999804</v>
      </c>
      <c r="C131" s="32">
        <v>0.24765624999999847</v>
      </c>
      <c r="D131" s="37">
        <v>1.953125</v>
      </c>
      <c r="E131" s="33">
        <v>0.34375</v>
      </c>
      <c r="F131" s="33">
        <v>0.296875</v>
      </c>
      <c r="G131" s="33">
        <v>0.3026070763500931</v>
      </c>
      <c r="H131" s="33">
        <v>0.18808193668528864</v>
      </c>
      <c r="I131" s="34">
        <v>8425.8461538461543</v>
      </c>
      <c r="J131" s="34">
        <v>-8004.9504950495048</v>
      </c>
      <c r="K131" s="33">
        <v>0.140625</v>
      </c>
      <c r="L131" s="33">
        <v>0.22811918063314712</v>
      </c>
      <c r="M131" s="33">
        <v>0.31191806331471134</v>
      </c>
      <c r="N131" s="33">
        <v>0.49387755102040815</v>
      </c>
      <c r="O131" s="33">
        <v>0.38208955223880597</v>
      </c>
      <c r="P131" s="33">
        <v>0.41230769230769232</v>
      </c>
    </row>
    <row r="132" spans="1:16" x14ac:dyDescent="0.45">
      <c r="A132" s="35">
        <v>129</v>
      </c>
      <c r="B132" s="32">
        <v>24.699999999999804</v>
      </c>
      <c r="C132" s="32">
        <v>0.19147286821705276</v>
      </c>
      <c r="D132" s="37">
        <v>1.9534883720930232</v>
      </c>
      <c r="E132" s="33">
        <v>0.34108527131782945</v>
      </c>
      <c r="F132" s="33">
        <v>0.29457364341085274</v>
      </c>
      <c r="G132" s="33">
        <v>0.30064754856614245</v>
      </c>
      <c r="H132" s="33">
        <v>0.1877890841813136</v>
      </c>
      <c r="I132" s="34">
        <v>8425.8461538461543</v>
      </c>
      <c r="J132" s="34">
        <v>-7975.3694581280788</v>
      </c>
      <c r="K132" s="33">
        <v>0.13953488372093023</v>
      </c>
      <c r="L132" s="33">
        <v>0.2294172062904718</v>
      </c>
      <c r="M132" s="33">
        <v>0.31082331174838113</v>
      </c>
      <c r="N132" s="33">
        <v>0.48790322580645162</v>
      </c>
      <c r="O132" s="33">
        <v>0.38095238095238093</v>
      </c>
      <c r="P132" s="33">
        <v>0.41230769230769232</v>
      </c>
    </row>
    <row r="133" spans="1:16" x14ac:dyDescent="0.45">
      <c r="A133" s="35">
        <v>130</v>
      </c>
      <c r="B133" s="32">
        <v>11.799999999999804</v>
      </c>
      <c r="C133" s="32">
        <v>9.0769230769229256E-2</v>
      </c>
      <c r="D133" s="37">
        <v>1.9615384615384615</v>
      </c>
      <c r="E133" s="33">
        <v>0.33846153846153848</v>
      </c>
      <c r="F133" s="33">
        <v>0.3</v>
      </c>
      <c r="G133" s="33">
        <v>0.29908256880733947</v>
      </c>
      <c r="H133" s="33">
        <v>0.18807339449541285</v>
      </c>
      <c r="I133" s="34">
        <v>8436.8098159509209</v>
      </c>
      <c r="J133" s="34">
        <v>-7919.0243902439024</v>
      </c>
      <c r="K133" s="33">
        <v>0.13846153846153847</v>
      </c>
      <c r="L133" s="33">
        <v>0.22844036697247708</v>
      </c>
      <c r="M133" s="33">
        <v>0.30825688073394497</v>
      </c>
      <c r="N133" s="33">
        <v>0.48995983935742971</v>
      </c>
      <c r="O133" s="33">
        <v>0.38095238095238093</v>
      </c>
      <c r="P133" s="33">
        <v>0.41411042944785276</v>
      </c>
    </row>
    <row r="134" spans="1:16" x14ac:dyDescent="0.45">
      <c r="A134" s="35">
        <v>131</v>
      </c>
      <c r="B134" s="32">
        <v>33.499999999999801</v>
      </c>
      <c r="C134" s="32">
        <v>0.25572519083969314</v>
      </c>
      <c r="D134" s="37">
        <v>1.9541984732824427</v>
      </c>
      <c r="E134" s="33">
        <v>0.34351145038167941</v>
      </c>
      <c r="F134" s="33">
        <v>0.29770992366412213</v>
      </c>
      <c r="G134" s="33">
        <v>0.30018248175182483</v>
      </c>
      <c r="H134" s="33">
        <v>0.18795620437956204</v>
      </c>
      <c r="I134" s="34">
        <v>8412.7659574468089</v>
      </c>
      <c r="J134" s="34">
        <v>-7905.825242718447</v>
      </c>
      <c r="K134" s="33">
        <v>0.13740458015267176</v>
      </c>
      <c r="L134" s="33">
        <v>0.2281021897810219</v>
      </c>
      <c r="M134" s="33">
        <v>0.30839416058394159</v>
      </c>
      <c r="N134" s="33">
        <v>0.49199999999999999</v>
      </c>
      <c r="O134" s="33">
        <v>0.38165680473372782</v>
      </c>
      <c r="P134" s="33">
        <v>0.41337386018237082</v>
      </c>
    </row>
    <row r="135" spans="1:16" x14ac:dyDescent="0.45">
      <c r="A135" s="35">
        <v>132</v>
      </c>
      <c r="B135" s="32">
        <v>90.399999999999807</v>
      </c>
      <c r="C135" s="32">
        <v>0.68484848484848337</v>
      </c>
      <c r="D135" s="37">
        <v>1.946969696969697</v>
      </c>
      <c r="E135" s="33">
        <v>0.34848484848484851</v>
      </c>
      <c r="F135" s="33">
        <v>0.29545454545454547</v>
      </c>
      <c r="G135" s="33">
        <v>0.30234657039711194</v>
      </c>
      <c r="H135" s="33">
        <v>0.18682310469314078</v>
      </c>
      <c r="I135" s="34">
        <v>8440.2985074626868</v>
      </c>
      <c r="J135" s="34">
        <v>-7874.8792270531403</v>
      </c>
      <c r="K135" s="33">
        <v>0.13636363636363635</v>
      </c>
      <c r="L135" s="33">
        <v>0.2292418772563177</v>
      </c>
      <c r="M135" s="33">
        <v>0.30505415162454874</v>
      </c>
      <c r="N135" s="33">
        <v>0.49606299212598426</v>
      </c>
      <c r="O135" s="33">
        <v>0.38165680473372782</v>
      </c>
      <c r="P135" s="33">
        <v>0.41492537313432837</v>
      </c>
    </row>
    <row r="136" spans="1:16" x14ac:dyDescent="0.45">
      <c r="A136" s="35">
        <v>133</v>
      </c>
      <c r="B136" s="32">
        <v>91.299999999999812</v>
      </c>
      <c r="C136" s="32">
        <v>0.68646616541353245</v>
      </c>
      <c r="D136" s="37">
        <v>1.9473684210526316</v>
      </c>
      <c r="E136" s="33">
        <v>0.34586466165413532</v>
      </c>
      <c r="F136" s="33">
        <v>0.2932330827067669</v>
      </c>
      <c r="G136" s="33">
        <v>0.30224215246636771</v>
      </c>
      <c r="H136" s="33">
        <v>0.18834080717488788</v>
      </c>
      <c r="I136" s="34">
        <v>8466.4688427299698</v>
      </c>
      <c r="J136" s="34">
        <v>-7849.5238095238092</v>
      </c>
      <c r="K136" s="33">
        <v>0.13533834586466165</v>
      </c>
      <c r="L136" s="33">
        <v>0.22869955156950672</v>
      </c>
      <c r="M136" s="33">
        <v>0.3040358744394619</v>
      </c>
      <c r="N136" s="33">
        <v>0.49803921568627452</v>
      </c>
      <c r="O136" s="33">
        <v>0.38348082595870209</v>
      </c>
      <c r="P136" s="33">
        <v>0.41543026706231456</v>
      </c>
    </row>
    <row r="137" spans="1:16" x14ac:dyDescent="0.45">
      <c r="A137" s="35">
        <v>134</v>
      </c>
      <c r="B137" s="32">
        <v>55.699999999999811</v>
      </c>
      <c r="C137" s="32">
        <v>0.41567164179104338</v>
      </c>
      <c r="D137" s="37">
        <v>1.955223880597015</v>
      </c>
      <c r="E137" s="33">
        <v>0.34328358208955223</v>
      </c>
      <c r="F137" s="33">
        <v>0.29850746268656714</v>
      </c>
      <c r="G137" s="33">
        <v>0.30186999109528051</v>
      </c>
      <c r="H137" s="33">
        <v>0.18788958147818344</v>
      </c>
      <c r="I137" s="34">
        <v>8448.6725663716807</v>
      </c>
      <c r="J137" s="34">
        <v>-7897.6303317535549</v>
      </c>
      <c r="K137" s="33">
        <v>0.13432835820895522</v>
      </c>
      <c r="L137" s="33">
        <v>0.23063223508459482</v>
      </c>
      <c r="M137" s="33">
        <v>0.30365093499554763</v>
      </c>
      <c r="N137" s="33">
        <v>0.49806949806949807</v>
      </c>
      <c r="O137" s="33">
        <v>0.38123167155425219</v>
      </c>
      <c r="P137" s="33">
        <v>0.41592920353982299</v>
      </c>
    </row>
    <row r="138" spans="1:16" x14ac:dyDescent="0.45">
      <c r="A138" s="35">
        <v>135</v>
      </c>
      <c r="B138" s="32">
        <v>47.59999999999981</v>
      </c>
      <c r="C138" s="32">
        <v>0.35259259259259118</v>
      </c>
      <c r="D138" s="37">
        <v>1.9555555555555555</v>
      </c>
      <c r="E138" s="33">
        <v>0.34074074074074073</v>
      </c>
      <c r="F138" s="33">
        <v>0.29629629629629628</v>
      </c>
      <c r="G138" s="33">
        <v>0.30353982300884957</v>
      </c>
      <c r="H138" s="33">
        <v>0.18761061946902655</v>
      </c>
      <c r="I138" s="34">
        <v>8393.5860058309045</v>
      </c>
      <c r="J138" s="34">
        <v>-7935.8490566037735</v>
      </c>
      <c r="K138" s="33">
        <v>0.13333333333333333</v>
      </c>
      <c r="L138" s="33">
        <v>0.23362831858407079</v>
      </c>
      <c r="M138" s="33">
        <v>0.30176991150442478</v>
      </c>
      <c r="N138" s="33">
        <v>0.50378787878787878</v>
      </c>
      <c r="O138" s="33">
        <v>0.38123167155425219</v>
      </c>
      <c r="P138" s="33">
        <v>0.4139941690962099</v>
      </c>
    </row>
    <row r="139" spans="1:16" x14ac:dyDescent="0.45">
      <c r="A139" s="35">
        <v>136</v>
      </c>
      <c r="B139" s="32">
        <v>22.799999999999809</v>
      </c>
      <c r="C139" s="32">
        <v>0.16764705882352801</v>
      </c>
      <c r="D139" s="37">
        <v>1.963235294117647</v>
      </c>
      <c r="E139" s="33">
        <v>0.33823529411764708</v>
      </c>
      <c r="F139" s="33">
        <v>0.3014705882352941</v>
      </c>
      <c r="G139" s="33">
        <v>0.30228471001757468</v>
      </c>
      <c r="H139" s="33">
        <v>0.18717047451669597</v>
      </c>
      <c r="I139" s="34">
        <v>8392.4418604651164</v>
      </c>
      <c r="J139" s="34">
        <v>-7936.1502347417836</v>
      </c>
      <c r="K139" s="33">
        <v>0.13235294117647059</v>
      </c>
      <c r="L139" s="33">
        <v>0.23286467486818982</v>
      </c>
      <c r="M139" s="33">
        <v>0.30052724077328646</v>
      </c>
      <c r="N139" s="33">
        <v>0.50566037735849056</v>
      </c>
      <c r="O139" s="33">
        <v>0.38011695906432746</v>
      </c>
      <c r="P139" s="33">
        <v>0.41279069767441862</v>
      </c>
    </row>
    <row r="140" spans="1:16" x14ac:dyDescent="0.45">
      <c r="A140" s="35">
        <v>137</v>
      </c>
      <c r="B140" s="32">
        <v>58.999999999999815</v>
      </c>
      <c r="C140" s="32">
        <v>0.43065693430656798</v>
      </c>
      <c r="D140" s="37">
        <v>1.9562043795620438</v>
      </c>
      <c r="E140" s="33">
        <v>0.34306569343065696</v>
      </c>
      <c r="F140" s="33">
        <v>0.29927007299270075</v>
      </c>
      <c r="G140" s="33">
        <v>0.30340017436791633</v>
      </c>
      <c r="H140" s="33">
        <v>0.1857018308631212</v>
      </c>
      <c r="I140" s="34">
        <v>8371.2643678160912</v>
      </c>
      <c r="J140" s="34">
        <v>-7936.1502347417836</v>
      </c>
      <c r="K140" s="33">
        <v>0.13138686131386862</v>
      </c>
      <c r="L140" s="33">
        <v>0.23278116826503922</v>
      </c>
      <c r="M140" s="33">
        <v>0.29991281604184827</v>
      </c>
      <c r="N140" s="33">
        <v>0.50187265917602997</v>
      </c>
      <c r="O140" s="33">
        <v>0.38372093023255816</v>
      </c>
      <c r="P140" s="33">
        <v>0.41091954022988508</v>
      </c>
    </row>
    <row r="141" spans="1:16" x14ac:dyDescent="0.45">
      <c r="A141" s="35">
        <v>138</v>
      </c>
      <c r="B141" s="32">
        <v>61.099999999999817</v>
      </c>
      <c r="C141" s="32">
        <v>0.44275362318840444</v>
      </c>
      <c r="D141" s="37">
        <v>1.9565217391304348</v>
      </c>
      <c r="E141" s="33">
        <v>0.34057971014492755</v>
      </c>
      <c r="F141" s="33">
        <v>0.29710144927536231</v>
      </c>
      <c r="G141" s="33">
        <v>0.30337078651685395</v>
      </c>
      <c r="H141" s="33">
        <v>0.18496110630942092</v>
      </c>
      <c r="I141" s="34">
        <v>8363.5327635327631</v>
      </c>
      <c r="J141" s="34">
        <v>-7936.4485981308408</v>
      </c>
      <c r="K141" s="33">
        <v>0.13043478260869565</v>
      </c>
      <c r="L141" s="33">
        <v>0.23422644770959378</v>
      </c>
      <c r="M141" s="33">
        <v>0.29818496110630943</v>
      </c>
      <c r="N141" s="33">
        <v>0.50184501845018448</v>
      </c>
      <c r="O141" s="33">
        <v>0.38260869565217392</v>
      </c>
      <c r="P141" s="33">
        <v>0.41025641025641024</v>
      </c>
    </row>
    <row r="142" spans="1:16" x14ac:dyDescent="0.45">
      <c r="A142" s="35">
        <v>139</v>
      </c>
      <c r="B142" s="32">
        <v>32.099999999999817</v>
      </c>
      <c r="C142" s="32">
        <v>0.23093525179855984</v>
      </c>
      <c r="D142" s="37">
        <v>1.9568345323741008</v>
      </c>
      <c r="E142" s="33">
        <v>0.33812949640287771</v>
      </c>
      <c r="F142" s="33">
        <v>0.29496402877697842</v>
      </c>
      <c r="G142" s="33">
        <v>0.30102915951972553</v>
      </c>
      <c r="H142" s="33">
        <v>0.18439108061749571</v>
      </c>
      <c r="I142" s="34">
        <v>8363.5327635327631</v>
      </c>
      <c r="J142" s="34">
        <v>-7917.6744186046508</v>
      </c>
      <c r="K142" s="33">
        <v>0.12949640287769784</v>
      </c>
      <c r="L142" s="33">
        <v>0.23327615780445971</v>
      </c>
      <c r="M142" s="33">
        <v>0.30017152658662094</v>
      </c>
      <c r="N142" s="33">
        <v>0.5</v>
      </c>
      <c r="O142" s="33">
        <v>0.37714285714285717</v>
      </c>
      <c r="P142" s="33">
        <v>0.41025641025641024</v>
      </c>
    </row>
    <row r="143" spans="1:16" x14ac:dyDescent="0.45">
      <c r="A143" s="35">
        <v>140</v>
      </c>
      <c r="B143" s="32">
        <v>11.899999999999817</v>
      </c>
      <c r="C143" s="32">
        <v>8.4999999999998702E-2</v>
      </c>
      <c r="D143" s="37">
        <v>1.9642857142857142</v>
      </c>
      <c r="E143" s="33">
        <v>0.33571428571428569</v>
      </c>
      <c r="F143" s="33">
        <v>0.3</v>
      </c>
      <c r="G143" s="33">
        <v>0.30204778156996587</v>
      </c>
      <c r="H143" s="33">
        <v>0.18515358361774745</v>
      </c>
      <c r="I143" s="34">
        <v>8322.3163841807909</v>
      </c>
      <c r="J143" s="34">
        <v>-7917.0506912442397</v>
      </c>
      <c r="K143" s="33">
        <v>0.12857142857142856</v>
      </c>
      <c r="L143" s="33">
        <v>0.23293515358361774</v>
      </c>
      <c r="M143" s="33">
        <v>0.30119453924914674</v>
      </c>
      <c r="N143" s="33">
        <v>0.50183150183150182</v>
      </c>
      <c r="O143" s="33">
        <v>0.37677053824362605</v>
      </c>
      <c r="P143" s="33">
        <v>0.4096045197740113</v>
      </c>
    </row>
    <row r="144" spans="1:16" x14ac:dyDescent="0.45">
      <c r="A144" s="35">
        <v>141</v>
      </c>
      <c r="B144" s="32">
        <v>-18.100000000000183</v>
      </c>
      <c r="C144" s="32">
        <v>-0.12836879432624243</v>
      </c>
      <c r="D144" s="37">
        <v>1.9716312056737588</v>
      </c>
      <c r="E144" s="33">
        <v>0.33333333333333331</v>
      </c>
      <c r="F144" s="33">
        <v>0.30496453900709219</v>
      </c>
      <c r="G144" s="33">
        <v>0.30195080576759964</v>
      </c>
      <c r="H144" s="33">
        <v>0.18575063613231552</v>
      </c>
      <c r="I144" s="34">
        <v>8342.9775280898884</v>
      </c>
      <c r="J144" s="34">
        <v>-7954.3378995433786</v>
      </c>
      <c r="K144" s="33">
        <v>0.1276595744680851</v>
      </c>
      <c r="L144" s="33">
        <v>0.23494486853265478</v>
      </c>
      <c r="M144" s="33">
        <v>0.29940627650551316</v>
      </c>
      <c r="N144" s="33">
        <v>0.50180505415162457</v>
      </c>
      <c r="O144" s="33">
        <v>0.37677053824362605</v>
      </c>
      <c r="P144" s="33">
        <v>0.4101123595505618</v>
      </c>
    </row>
    <row r="145" spans="1:16" x14ac:dyDescent="0.45">
      <c r="A145" s="35">
        <v>142</v>
      </c>
      <c r="B145" s="32">
        <v>30.699999999999815</v>
      </c>
      <c r="C145" s="32">
        <v>0.21619718309859023</v>
      </c>
      <c r="D145" s="37">
        <v>1.9647887323943662</v>
      </c>
      <c r="E145" s="33">
        <v>0.3380281690140845</v>
      </c>
      <c r="F145" s="33">
        <v>0.30281690140845069</v>
      </c>
      <c r="G145" s="33">
        <v>0.30497051390058971</v>
      </c>
      <c r="H145" s="33">
        <v>0.18449873631002528</v>
      </c>
      <c r="I145" s="34">
        <v>8284.2541436464089</v>
      </c>
      <c r="J145" s="34">
        <v>-7954.3378995433786</v>
      </c>
      <c r="K145" s="33">
        <v>0.12676056338028169</v>
      </c>
      <c r="L145" s="33">
        <v>0.23336141533277169</v>
      </c>
      <c r="M145" s="33">
        <v>0.29907329401853411</v>
      </c>
      <c r="N145" s="33">
        <v>0.50180505415162457</v>
      </c>
      <c r="O145" s="33">
        <v>0.38028169014084506</v>
      </c>
      <c r="P145" s="33">
        <v>0.41160220994475138</v>
      </c>
    </row>
    <row r="146" spans="1:16" x14ac:dyDescent="0.45">
      <c r="A146" s="35">
        <v>143</v>
      </c>
      <c r="B146" s="32">
        <v>61.399999999999814</v>
      </c>
      <c r="C146" s="32">
        <v>0.42937062937062809</v>
      </c>
      <c r="D146" s="37">
        <v>1.9580419580419581</v>
      </c>
      <c r="E146" s="33">
        <v>0.34265734265734266</v>
      </c>
      <c r="F146" s="33">
        <v>0.30069930069930068</v>
      </c>
      <c r="G146" s="33">
        <v>0.30595138306789604</v>
      </c>
      <c r="H146" s="33">
        <v>0.18357082984073764</v>
      </c>
      <c r="I146" s="34">
        <v>8291.5068493150684</v>
      </c>
      <c r="J146" s="34">
        <v>-7954.3378995433786</v>
      </c>
      <c r="K146" s="33">
        <v>0.12587412587412589</v>
      </c>
      <c r="L146" s="33">
        <v>0.23302598491198659</v>
      </c>
      <c r="M146" s="33">
        <v>0.30092204526404026</v>
      </c>
      <c r="N146" s="33">
        <v>0.50359712230215825</v>
      </c>
      <c r="O146" s="33">
        <v>0.38161559888579388</v>
      </c>
      <c r="P146" s="33">
        <v>0.41643835616438357</v>
      </c>
    </row>
    <row r="147" spans="1:16" x14ac:dyDescent="0.45">
      <c r="A147" s="35">
        <v>144</v>
      </c>
      <c r="B147" s="32">
        <v>21.799999999999812</v>
      </c>
      <c r="C147" s="32">
        <v>0.15138888888888757</v>
      </c>
      <c r="D147" s="37">
        <v>1.9652777777777777</v>
      </c>
      <c r="E147" s="33">
        <v>0.34027777777777779</v>
      </c>
      <c r="F147" s="33">
        <v>0.30555555555555558</v>
      </c>
      <c r="G147" s="33">
        <v>0.30532445923460899</v>
      </c>
      <c r="H147" s="33">
        <v>0.18302828618968386</v>
      </c>
      <c r="I147" s="34">
        <v>8273.0245231607623</v>
      </c>
      <c r="J147" s="34">
        <v>-7976.818181818182</v>
      </c>
      <c r="K147" s="33">
        <v>0.125</v>
      </c>
      <c r="L147" s="33">
        <v>0.23460898502495842</v>
      </c>
      <c r="M147" s="33">
        <v>0.29866888519134777</v>
      </c>
      <c r="N147" s="33">
        <v>0.50354609929078009</v>
      </c>
      <c r="O147" s="33">
        <v>0.38161559888579388</v>
      </c>
      <c r="P147" s="33">
        <v>0.41689373297002724</v>
      </c>
    </row>
    <row r="148" spans="1:16" x14ac:dyDescent="0.45">
      <c r="A148" s="35">
        <v>145</v>
      </c>
      <c r="B148" s="32">
        <v>56.199999999999811</v>
      </c>
      <c r="C148" s="32">
        <v>0.38758620689655043</v>
      </c>
      <c r="D148" s="37">
        <v>1.9586206896551723</v>
      </c>
      <c r="E148" s="33">
        <v>0.34482758620689657</v>
      </c>
      <c r="F148" s="33">
        <v>0.30344827586206896</v>
      </c>
      <c r="G148" s="33">
        <v>0.30724876441515653</v>
      </c>
      <c r="H148" s="33">
        <v>0.18204283360790774</v>
      </c>
      <c r="I148" s="34">
        <v>8230.8310991957096</v>
      </c>
      <c r="J148" s="34">
        <v>-7976.9230769230771</v>
      </c>
      <c r="K148" s="33">
        <v>0.12413793103448276</v>
      </c>
      <c r="L148" s="33">
        <v>0.23558484349258649</v>
      </c>
      <c r="M148" s="33">
        <v>0.29901153212520593</v>
      </c>
      <c r="N148" s="33">
        <v>0.50349650349650354</v>
      </c>
      <c r="O148" s="33">
        <v>0.38567493112947659</v>
      </c>
      <c r="P148" s="33">
        <v>0.41554959785522788</v>
      </c>
    </row>
    <row r="149" spans="1:16" x14ac:dyDescent="0.45">
      <c r="A149" s="35">
        <v>146</v>
      </c>
      <c r="B149" s="32">
        <v>21.799999999999812</v>
      </c>
      <c r="C149" s="32">
        <v>0.14931506849314941</v>
      </c>
      <c r="D149" s="37">
        <v>1.9657534246575343</v>
      </c>
      <c r="E149" s="33">
        <v>0.34246575342465752</v>
      </c>
      <c r="F149" s="33">
        <v>0.30821917808219179</v>
      </c>
      <c r="G149" s="33">
        <v>0.30523731587561376</v>
      </c>
      <c r="H149" s="33">
        <v>0.18248772504091654</v>
      </c>
      <c r="I149" s="34">
        <v>8230.8310991957096</v>
      </c>
      <c r="J149" s="34">
        <v>-7970.8520179372199</v>
      </c>
      <c r="K149" s="33">
        <v>0.12328767123287671</v>
      </c>
      <c r="L149" s="33">
        <v>0.23404255319148937</v>
      </c>
      <c r="M149" s="33">
        <v>0.29950900163666122</v>
      </c>
      <c r="N149" s="33">
        <v>0.50349650349650354</v>
      </c>
      <c r="O149" s="33">
        <v>0.38251366120218577</v>
      </c>
      <c r="P149" s="33">
        <v>0.41554959785522788</v>
      </c>
    </row>
    <row r="150" spans="1:16" x14ac:dyDescent="0.45">
      <c r="A150" s="35">
        <v>147</v>
      </c>
      <c r="B150" s="32">
        <v>-1.6000000000001862</v>
      </c>
      <c r="C150" s="32">
        <v>-1.0884353741497864E-2</v>
      </c>
      <c r="D150" s="37">
        <v>1.9727891156462585</v>
      </c>
      <c r="E150" s="33">
        <v>0.3401360544217687</v>
      </c>
      <c r="F150" s="33">
        <v>0.31292517006802723</v>
      </c>
      <c r="G150" s="33">
        <v>0.30537459283387625</v>
      </c>
      <c r="H150" s="33">
        <v>0.18322475570032573</v>
      </c>
      <c r="I150" s="34">
        <v>8221.3333333333339</v>
      </c>
      <c r="J150" s="34">
        <v>-7959.1111111111113</v>
      </c>
      <c r="K150" s="33">
        <v>0.12244897959183673</v>
      </c>
      <c r="L150" s="33">
        <v>0.23452768729641693</v>
      </c>
      <c r="M150" s="33">
        <v>0.29804560260586321</v>
      </c>
      <c r="N150" s="33">
        <v>0.50347222222222221</v>
      </c>
      <c r="O150" s="33">
        <v>0.38251366120218577</v>
      </c>
      <c r="P150" s="33">
        <v>0.41599999999999998</v>
      </c>
    </row>
    <row r="151" spans="1:16" x14ac:dyDescent="0.45">
      <c r="A151" s="35">
        <v>148</v>
      </c>
      <c r="B151" s="32">
        <v>58.999999999999815</v>
      </c>
      <c r="C151" s="32">
        <v>0.39864864864864741</v>
      </c>
      <c r="D151" s="37">
        <v>1.9662162162162162</v>
      </c>
      <c r="E151" s="33">
        <v>0.34459459459459457</v>
      </c>
      <c r="F151" s="33">
        <v>0.3108108108108108</v>
      </c>
      <c r="G151" s="33">
        <v>0.30769230769230771</v>
      </c>
      <c r="H151" s="33">
        <v>0.18380566801619433</v>
      </c>
      <c r="I151" s="34">
        <v>8247.105263157895</v>
      </c>
      <c r="J151" s="34">
        <v>-7899.1189427312775</v>
      </c>
      <c r="K151" s="33">
        <v>0.12162162162162163</v>
      </c>
      <c r="L151" s="33">
        <v>0.23400809716599191</v>
      </c>
      <c r="M151" s="33">
        <v>0.29878542510121459</v>
      </c>
      <c r="N151" s="33">
        <v>0.50519031141868509</v>
      </c>
      <c r="O151" s="33">
        <v>0.38482384823848237</v>
      </c>
      <c r="P151" s="33">
        <v>0.41578947368421054</v>
      </c>
    </row>
    <row r="152" spans="1:16" x14ac:dyDescent="0.45">
      <c r="A152" s="35">
        <v>149</v>
      </c>
      <c r="B152" s="32">
        <v>20.499999999999815</v>
      </c>
      <c r="C152" s="32">
        <v>0.13758389261744841</v>
      </c>
      <c r="D152" s="37">
        <v>1.9731543624161074</v>
      </c>
      <c r="E152" s="33">
        <v>0.34228187919463088</v>
      </c>
      <c r="F152" s="33">
        <v>0.31543624161073824</v>
      </c>
      <c r="G152" s="33">
        <v>0.30676328502415456</v>
      </c>
      <c r="H152" s="33">
        <v>0.18438003220611915</v>
      </c>
      <c r="I152" s="34">
        <v>8256.9553805774285</v>
      </c>
      <c r="J152" s="34">
        <v>-7917.4672489082968</v>
      </c>
      <c r="K152" s="33">
        <v>0.12080536912751678</v>
      </c>
      <c r="L152" s="33">
        <v>0.23429951690821257</v>
      </c>
      <c r="M152" s="33">
        <v>0.29871175523349436</v>
      </c>
      <c r="N152" s="33">
        <v>0.50515463917525771</v>
      </c>
      <c r="O152" s="33">
        <v>0.38274932614555257</v>
      </c>
      <c r="P152" s="33">
        <v>0.41469816272965881</v>
      </c>
    </row>
    <row r="153" spans="1:16" x14ac:dyDescent="0.45">
      <c r="A153" s="35">
        <v>150</v>
      </c>
      <c r="B153" s="32">
        <v>-14.500000000000185</v>
      </c>
      <c r="C153" s="32">
        <v>-9.66666666666679E-2</v>
      </c>
      <c r="D153" s="37">
        <v>1.98</v>
      </c>
      <c r="E153" s="33">
        <v>0.34</v>
      </c>
      <c r="F153" s="33">
        <v>0.32</v>
      </c>
      <c r="G153" s="33">
        <v>0.30480000000000002</v>
      </c>
      <c r="H153" s="33">
        <v>0.18479999999999999</v>
      </c>
      <c r="I153" s="34">
        <v>8256.9553805774285</v>
      </c>
      <c r="J153" s="34">
        <v>-7900.4329004329002</v>
      </c>
      <c r="K153" s="33">
        <v>0.12</v>
      </c>
      <c r="L153" s="33">
        <v>0.23280000000000001</v>
      </c>
      <c r="M153" s="33">
        <v>0.30080000000000001</v>
      </c>
      <c r="N153" s="33">
        <v>0.50515463917525771</v>
      </c>
      <c r="O153" s="33">
        <v>0.37765957446808512</v>
      </c>
      <c r="P153" s="33">
        <v>0.41469816272965881</v>
      </c>
    </row>
    <row r="154" spans="1:16" x14ac:dyDescent="0.45">
      <c r="A154" s="35">
        <v>151</v>
      </c>
      <c r="B154" s="32">
        <v>-9.1000000000001844</v>
      </c>
      <c r="C154" s="32">
        <v>-6.0264900662252874E-2</v>
      </c>
      <c r="D154" s="37">
        <v>1.9801324503311257</v>
      </c>
      <c r="E154" s="33">
        <v>0.33774834437086093</v>
      </c>
      <c r="F154" s="33">
        <v>0.31788079470198677</v>
      </c>
      <c r="G154" s="33">
        <v>0.30389817024661891</v>
      </c>
      <c r="H154" s="33">
        <v>0.18456642800318218</v>
      </c>
      <c r="I154" s="34">
        <v>8266.7539267015709</v>
      </c>
      <c r="J154" s="34">
        <v>-7877.5862068965516</v>
      </c>
      <c r="K154" s="33">
        <v>0.11920529801324503</v>
      </c>
      <c r="L154" s="33">
        <v>0.23150357995226731</v>
      </c>
      <c r="M154" s="33">
        <v>0.30071599045346065</v>
      </c>
      <c r="N154" s="33">
        <v>0.50515463917525771</v>
      </c>
      <c r="O154" s="33">
        <v>0.37566137566137564</v>
      </c>
      <c r="P154" s="33">
        <v>0.41361256544502617</v>
      </c>
    </row>
    <row r="155" spans="1:16" x14ac:dyDescent="0.45">
      <c r="A155" s="35">
        <v>152</v>
      </c>
      <c r="B155" s="32">
        <v>-44.100000000000186</v>
      </c>
      <c r="C155" s="32">
        <v>-0.29013157894736963</v>
      </c>
      <c r="D155" s="37">
        <v>1.986842105263158</v>
      </c>
      <c r="E155" s="33">
        <v>0.33552631578947367</v>
      </c>
      <c r="F155" s="33">
        <v>0.32236842105263158</v>
      </c>
      <c r="G155" s="33">
        <v>0.3027667984189723</v>
      </c>
      <c r="H155" s="33">
        <v>0.18498023715415018</v>
      </c>
      <c r="I155" s="34">
        <v>8266.0574412532642</v>
      </c>
      <c r="J155" s="34">
        <v>-7883.7606837606836</v>
      </c>
      <c r="K155" s="33">
        <v>0.11842105263157894</v>
      </c>
      <c r="L155" s="33">
        <v>0.23241106719367588</v>
      </c>
      <c r="M155" s="33">
        <v>0.30039525691699603</v>
      </c>
      <c r="N155" s="33">
        <v>0.50340136054421769</v>
      </c>
      <c r="O155" s="33">
        <v>0.37368421052631579</v>
      </c>
      <c r="P155" s="33">
        <v>0.41514360313315929</v>
      </c>
    </row>
    <row r="156" spans="1:16" x14ac:dyDescent="0.45">
      <c r="A156" s="35">
        <v>153</v>
      </c>
      <c r="B156" s="32">
        <v>-43.800000000000189</v>
      </c>
      <c r="C156" s="32">
        <v>-0.28627450980392283</v>
      </c>
      <c r="D156" s="37">
        <v>1.9869281045751634</v>
      </c>
      <c r="E156" s="33">
        <v>0.33333333333333331</v>
      </c>
      <c r="F156" s="33">
        <v>0.3202614379084967</v>
      </c>
      <c r="G156" s="33">
        <v>0.30322073841319719</v>
      </c>
      <c r="H156" s="33">
        <v>0.18460329929300864</v>
      </c>
      <c r="I156" s="34">
        <v>8247.6683937823836</v>
      </c>
      <c r="J156" s="34">
        <v>-7866.8085106382978</v>
      </c>
      <c r="K156" s="33">
        <v>0.11764705882352941</v>
      </c>
      <c r="L156" s="33">
        <v>0.23252160251374707</v>
      </c>
      <c r="M156" s="33">
        <v>0.30164964650432052</v>
      </c>
      <c r="N156" s="33">
        <v>0.5033783783783784</v>
      </c>
      <c r="O156" s="33">
        <v>0.375</v>
      </c>
      <c r="P156" s="33">
        <v>0.41450777202072536</v>
      </c>
    </row>
    <row r="157" spans="1:16" x14ac:dyDescent="0.45">
      <c r="A157" s="35">
        <v>154</v>
      </c>
      <c r="B157" s="32">
        <v>-31.800000000000189</v>
      </c>
      <c r="C157" s="32">
        <v>-0.20649350649350773</v>
      </c>
      <c r="D157" s="37">
        <v>1.9870129870129871</v>
      </c>
      <c r="E157" s="33">
        <v>0.33116883116883117</v>
      </c>
      <c r="F157" s="33">
        <v>0.31818181818181818</v>
      </c>
      <c r="G157" s="33">
        <v>0.30352941176470588</v>
      </c>
      <c r="H157" s="33">
        <v>0.18431372549019609</v>
      </c>
      <c r="I157" s="34">
        <v>8257.364341085271</v>
      </c>
      <c r="J157" s="34">
        <v>-7866.8085106382978</v>
      </c>
      <c r="K157" s="33">
        <v>0.11688311688311688</v>
      </c>
      <c r="L157" s="33">
        <v>0.23294117647058823</v>
      </c>
      <c r="M157" s="33">
        <v>0.30117647058823527</v>
      </c>
      <c r="N157" s="33">
        <v>0.50505050505050508</v>
      </c>
      <c r="O157" s="33">
        <v>0.375</v>
      </c>
      <c r="P157" s="33">
        <v>0.41602067183462532</v>
      </c>
    </row>
    <row r="158" spans="1:16" x14ac:dyDescent="0.45">
      <c r="A158" s="35">
        <v>155</v>
      </c>
      <c r="B158" s="32">
        <v>7.8999999999998138</v>
      </c>
      <c r="C158" s="32">
        <v>5.0967741935482667E-2</v>
      </c>
      <c r="D158" s="37">
        <v>1.9806451612903226</v>
      </c>
      <c r="E158" s="33">
        <v>0.33548387096774196</v>
      </c>
      <c r="F158" s="33">
        <v>0.31612903225806449</v>
      </c>
      <c r="G158" s="33">
        <v>0.30499219968798752</v>
      </c>
      <c r="H158" s="33">
        <v>0.18330733229329174</v>
      </c>
      <c r="I158" s="34">
        <v>8252.6854219948855</v>
      </c>
      <c r="J158" s="34">
        <v>-7866.8085106382978</v>
      </c>
      <c r="K158" s="33">
        <v>0.11612903225806452</v>
      </c>
      <c r="L158" s="33">
        <v>0.23400936037441497</v>
      </c>
      <c r="M158" s="33">
        <v>0.29953198127925118</v>
      </c>
      <c r="N158" s="33">
        <v>0.50666666666666671</v>
      </c>
      <c r="O158" s="33">
        <v>0.375</v>
      </c>
      <c r="P158" s="33">
        <v>0.41687979539641945</v>
      </c>
    </row>
    <row r="159" spans="1:16" x14ac:dyDescent="0.45">
      <c r="A159" s="35">
        <v>156</v>
      </c>
      <c r="B159" s="32">
        <v>-12.100000000000186</v>
      </c>
      <c r="C159" s="32">
        <v>-7.756410256410376E-2</v>
      </c>
      <c r="D159" s="37">
        <v>1.9807692307692308</v>
      </c>
      <c r="E159" s="33">
        <v>0.33333333333333331</v>
      </c>
      <c r="F159" s="33">
        <v>0.3141025641025641</v>
      </c>
      <c r="G159" s="33">
        <v>0.30602782071097373</v>
      </c>
      <c r="H159" s="33">
        <v>0.18238021638330756</v>
      </c>
      <c r="I159" s="34">
        <v>8215.6565656565654</v>
      </c>
      <c r="J159" s="34">
        <v>-7845.7627118644068</v>
      </c>
      <c r="K159" s="33">
        <v>0.11538461538461539</v>
      </c>
      <c r="L159" s="33">
        <v>0.2357032457496136</v>
      </c>
      <c r="M159" s="33">
        <v>0.29984544049459044</v>
      </c>
      <c r="N159" s="33">
        <v>0.50819672131147542</v>
      </c>
      <c r="O159" s="33">
        <v>0.37628865979381443</v>
      </c>
      <c r="P159" s="33">
        <v>0.41414141414141414</v>
      </c>
    </row>
    <row r="160" spans="1:16" x14ac:dyDescent="0.45">
      <c r="A160" s="35">
        <v>157</v>
      </c>
      <c r="B160" s="32">
        <v>8.8999999999998138</v>
      </c>
      <c r="C160" s="32">
        <v>5.6687898089170789E-2</v>
      </c>
      <c r="D160" s="37">
        <v>1.9745222929936306</v>
      </c>
      <c r="E160" s="33">
        <v>0.33757961783439489</v>
      </c>
      <c r="F160" s="33">
        <v>0.31210191082802546</v>
      </c>
      <c r="G160" s="33">
        <v>0.30721966205837176</v>
      </c>
      <c r="H160" s="33">
        <v>0.18202764976958524</v>
      </c>
      <c r="I160" s="34">
        <v>8179.25</v>
      </c>
      <c r="J160" s="34">
        <v>-7837.1308016877638</v>
      </c>
      <c r="K160" s="33">
        <v>0.11464968152866242</v>
      </c>
      <c r="L160" s="33">
        <v>0.23655913978494625</v>
      </c>
      <c r="M160" s="33">
        <v>0.29877112135176653</v>
      </c>
      <c r="N160" s="33">
        <v>0.50974025974025972</v>
      </c>
      <c r="O160" s="33">
        <v>0.37789203084832906</v>
      </c>
      <c r="P160" s="33">
        <v>0.41249999999999998</v>
      </c>
    </row>
    <row r="161" spans="1:16" x14ac:dyDescent="0.45">
      <c r="A161" s="35">
        <v>158</v>
      </c>
      <c r="B161" s="32">
        <v>47.099999999999817</v>
      </c>
      <c r="C161" s="32">
        <v>0.29810126582278362</v>
      </c>
      <c r="D161" s="37">
        <v>1.9683544303797469</v>
      </c>
      <c r="E161" s="33">
        <v>0.34177215189873417</v>
      </c>
      <c r="F161" s="33">
        <v>0.310126582278481</v>
      </c>
      <c r="G161" s="33">
        <v>0.30827638572513288</v>
      </c>
      <c r="H161" s="33">
        <v>0.18147304479878512</v>
      </c>
      <c r="I161" s="34">
        <v>8142.6108374384239</v>
      </c>
      <c r="J161" s="34">
        <v>-7830.1255230125525</v>
      </c>
      <c r="K161" s="33">
        <v>0.11392405063291139</v>
      </c>
      <c r="L161" s="33">
        <v>0.23690205011389523</v>
      </c>
      <c r="M161" s="33">
        <v>0.29992406985573272</v>
      </c>
      <c r="N161" s="33">
        <v>0.51282051282051277</v>
      </c>
      <c r="O161" s="33">
        <v>0.37721518987341773</v>
      </c>
      <c r="P161" s="33">
        <v>0.41133004926108374</v>
      </c>
    </row>
    <row r="162" spans="1:16" x14ac:dyDescent="0.45">
      <c r="A162" s="35">
        <v>159</v>
      </c>
      <c r="B162" s="32">
        <v>18.399999999999817</v>
      </c>
      <c r="C162" s="32">
        <v>0.11572327044025042</v>
      </c>
      <c r="D162" s="37">
        <v>1.9748427672955975</v>
      </c>
      <c r="E162" s="33">
        <v>0.33962264150943394</v>
      </c>
      <c r="F162" s="33">
        <v>0.31446540880503143</v>
      </c>
      <c r="G162" s="33">
        <v>0.30769230769230771</v>
      </c>
      <c r="H162" s="33">
        <v>0.18099547511312217</v>
      </c>
      <c r="I162" s="34">
        <v>8131.1274509803925</v>
      </c>
      <c r="J162" s="34">
        <v>-7864.166666666667</v>
      </c>
      <c r="K162" s="33">
        <v>0.11320754716981132</v>
      </c>
      <c r="L162" s="33">
        <v>0.2368024132730015</v>
      </c>
      <c r="M162" s="33">
        <v>0.30015082956259426</v>
      </c>
      <c r="N162" s="33">
        <v>0.51273885350318471</v>
      </c>
      <c r="O162" s="33">
        <v>0.37688442211055279</v>
      </c>
      <c r="P162" s="33">
        <v>0.41176470588235292</v>
      </c>
    </row>
    <row r="163" spans="1:16" x14ac:dyDescent="0.45">
      <c r="A163" s="35">
        <v>160</v>
      </c>
      <c r="B163" s="32">
        <v>-25.600000000000183</v>
      </c>
      <c r="C163" s="32">
        <v>-0.16000000000000114</v>
      </c>
      <c r="D163" s="37">
        <v>1.98125</v>
      </c>
      <c r="E163" s="33">
        <v>0.33750000000000002</v>
      </c>
      <c r="F163" s="33">
        <v>0.31874999999999998</v>
      </c>
      <c r="G163" s="33">
        <v>0.30757689422355589</v>
      </c>
      <c r="H163" s="33">
        <v>0.18229557389347337</v>
      </c>
      <c r="I163" s="34">
        <v>8116.0975609756097</v>
      </c>
      <c r="J163" s="34">
        <v>-7913.5802469135806</v>
      </c>
      <c r="K163" s="33">
        <v>0.1125</v>
      </c>
      <c r="L163" s="33">
        <v>0.23630907726931732</v>
      </c>
      <c r="M163" s="33">
        <v>0.30082520630157539</v>
      </c>
      <c r="N163" s="33">
        <v>0.51111111111111107</v>
      </c>
      <c r="O163" s="33">
        <v>0.37655860349127179</v>
      </c>
      <c r="P163" s="33">
        <v>0.41463414634146339</v>
      </c>
    </row>
    <row r="164" spans="1:16" x14ac:dyDescent="0.45">
      <c r="A164" s="35">
        <v>161</v>
      </c>
      <c r="B164" s="32">
        <v>-44.500000000000185</v>
      </c>
      <c r="C164" s="32">
        <v>-0.27639751552795144</v>
      </c>
      <c r="D164" s="37">
        <v>1.9813664596273293</v>
      </c>
      <c r="E164" s="33">
        <v>0.33540372670807456</v>
      </c>
      <c r="F164" s="33">
        <v>0.31677018633540371</v>
      </c>
      <c r="G164" s="33">
        <v>0.30843913368185211</v>
      </c>
      <c r="H164" s="33">
        <v>0.18222554144884243</v>
      </c>
      <c r="I164" s="34">
        <v>8083.0508474576272</v>
      </c>
      <c r="J164" s="34">
        <v>-7920.4918032786882</v>
      </c>
      <c r="K164" s="33">
        <v>0.11180124223602485</v>
      </c>
      <c r="L164" s="33">
        <v>0.23599701269604181</v>
      </c>
      <c r="M164" s="33">
        <v>0.30246452576549665</v>
      </c>
      <c r="N164" s="33">
        <v>0.51265822784810122</v>
      </c>
      <c r="O164" s="33">
        <v>0.37777777777777777</v>
      </c>
      <c r="P164" s="33">
        <v>0.41646489104116224</v>
      </c>
    </row>
    <row r="165" spans="1:16" x14ac:dyDescent="0.45">
      <c r="A165" s="35">
        <v>162</v>
      </c>
      <c r="B165" s="32">
        <v>-22.200000000000184</v>
      </c>
      <c r="C165" s="32">
        <v>-0.13703703703703818</v>
      </c>
      <c r="D165" s="37">
        <v>1.9753086419753085</v>
      </c>
      <c r="E165" s="33">
        <v>0.33950617283950618</v>
      </c>
      <c r="F165" s="33">
        <v>0.31481481481481483</v>
      </c>
      <c r="G165" s="33">
        <v>0.30957683741648107</v>
      </c>
      <c r="H165" s="33">
        <v>0.18114328136599853</v>
      </c>
      <c r="I165" s="34">
        <v>8041.9664268585129</v>
      </c>
      <c r="J165" s="34">
        <v>-7920.4918032786882</v>
      </c>
      <c r="K165" s="33">
        <v>0.1111111111111111</v>
      </c>
      <c r="L165" s="33">
        <v>0.23459539717891612</v>
      </c>
      <c r="M165" s="33">
        <v>0.30215293244246472</v>
      </c>
      <c r="N165" s="33">
        <v>0.51265822784810122</v>
      </c>
      <c r="O165" s="33">
        <v>0.3783783783783784</v>
      </c>
      <c r="P165" s="33">
        <v>0.41247002398081534</v>
      </c>
    </row>
    <row r="166" spans="1:16" x14ac:dyDescent="0.45">
      <c r="A166" s="35">
        <v>163</v>
      </c>
      <c r="B166" s="32">
        <v>25.099999999999813</v>
      </c>
      <c r="C166" s="32">
        <v>0.15398773006134855</v>
      </c>
      <c r="D166" s="37">
        <v>1.9693251533742331</v>
      </c>
      <c r="E166" s="33">
        <v>0.34355828220858897</v>
      </c>
      <c r="F166" s="33">
        <v>0.31288343558282211</v>
      </c>
      <c r="G166" s="33">
        <v>0.31093057607090102</v>
      </c>
      <c r="H166" s="33">
        <v>0.18020679468242246</v>
      </c>
      <c r="I166" s="34">
        <v>8038.7173396674589</v>
      </c>
      <c r="J166" s="34">
        <v>-7920.4918032786882</v>
      </c>
      <c r="K166" s="33">
        <v>0.11042944785276074</v>
      </c>
      <c r="L166" s="33">
        <v>0.23338257016248154</v>
      </c>
      <c r="M166" s="33">
        <v>0.30354505169867063</v>
      </c>
      <c r="N166" s="33">
        <v>0.51265822784810122</v>
      </c>
      <c r="O166" s="33">
        <v>0.38199513381995132</v>
      </c>
      <c r="P166" s="33">
        <v>0.41567695961995249</v>
      </c>
    </row>
    <row r="167" spans="1:16" x14ac:dyDescent="0.45">
      <c r="A167" s="35">
        <v>164</v>
      </c>
      <c r="B167" s="32">
        <v>-9.4000000000001869</v>
      </c>
      <c r="C167" s="32">
        <v>-5.7317073170732848E-2</v>
      </c>
      <c r="D167" s="37">
        <v>1.975609756097561</v>
      </c>
      <c r="E167" s="33">
        <v>0.34146341463414637</v>
      </c>
      <c r="F167" s="33">
        <v>0.31707317073170732</v>
      </c>
      <c r="G167" s="33">
        <v>0.30865102639296188</v>
      </c>
      <c r="H167" s="33">
        <v>0.17961876832844575</v>
      </c>
      <c r="I167" s="34">
        <v>8038.7173396674589</v>
      </c>
      <c r="J167" s="34">
        <v>-7920.8163265306121</v>
      </c>
      <c r="K167" s="33">
        <v>0.10975609756097561</v>
      </c>
      <c r="L167" s="33">
        <v>0.23240469208211142</v>
      </c>
      <c r="M167" s="33">
        <v>0.3027859237536657</v>
      </c>
      <c r="N167" s="33">
        <v>0.51104100946372244</v>
      </c>
      <c r="O167" s="33">
        <v>0.38014527845036322</v>
      </c>
      <c r="P167" s="33">
        <v>0.41567695961995249</v>
      </c>
    </row>
    <row r="168" spans="1:16" x14ac:dyDescent="0.45">
      <c r="A168" s="35">
        <v>165</v>
      </c>
      <c r="B168" s="32">
        <v>-48.100000000000193</v>
      </c>
      <c r="C168" s="32">
        <v>-0.29151515151515267</v>
      </c>
      <c r="D168" s="37">
        <v>1.9818181818181819</v>
      </c>
      <c r="E168" s="33">
        <v>0.33939393939393941</v>
      </c>
      <c r="F168" s="33">
        <v>0.32121212121212123</v>
      </c>
      <c r="G168" s="33">
        <v>0.30976676384839652</v>
      </c>
      <c r="H168" s="33">
        <v>0.17930029154518951</v>
      </c>
      <c r="I168" s="34">
        <v>8017.8823529411766</v>
      </c>
      <c r="J168" s="34">
        <v>-8018.6991869918702</v>
      </c>
      <c r="K168" s="33">
        <v>0.10909090909090909</v>
      </c>
      <c r="L168" s="33">
        <v>0.2325072886297376</v>
      </c>
      <c r="M168" s="33">
        <v>0.30320699708454812</v>
      </c>
      <c r="N168" s="33">
        <v>0.51410658307210033</v>
      </c>
      <c r="O168" s="33">
        <v>0.37980769230769229</v>
      </c>
      <c r="P168" s="33">
        <v>0.41411764705882353</v>
      </c>
    </row>
    <row r="169" spans="1:16" x14ac:dyDescent="0.45">
      <c r="A169" s="35">
        <v>166</v>
      </c>
      <c r="B169" s="32">
        <v>-22.900000000000194</v>
      </c>
      <c r="C169" s="32">
        <v>-0.13795180722891684</v>
      </c>
      <c r="D169" s="37">
        <v>1.9759036144578312</v>
      </c>
      <c r="E169" s="33">
        <v>0.34337349397590361</v>
      </c>
      <c r="F169" s="33">
        <v>0.31927710843373491</v>
      </c>
      <c r="G169" s="33">
        <v>0.31059506531204645</v>
      </c>
      <c r="H169" s="33">
        <v>0.17851959361393324</v>
      </c>
      <c r="I169" s="34">
        <v>8027.336448598131</v>
      </c>
      <c r="J169" s="34">
        <v>-8018.6991869918702</v>
      </c>
      <c r="K169" s="33">
        <v>0.10843373493975904</v>
      </c>
      <c r="L169" s="33">
        <v>0.23149492017416545</v>
      </c>
      <c r="M169" s="33">
        <v>0.3026124818577649</v>
      </c>
      <c r="N169" s="33">
        <v>0.51410658307210033</v>
      </c>
      <c r="O169" s="33">
        <v>0.38129496402877699</v>
      </c>
      <c r="P169" s="33">
        <v>0.4135514018691589</v>
      </c>
    </row>
    <row r="170" spans="1:16" x14ac:dyDescent="0.45">
      <c r="A170" s="35">
        <v>167</v>
      </c>
      <c r="B170" s="32">
        <v>-2.8000000000001926</v>
      </c>
      <c r="C170" s="32">
        <v>-1.6766467065869418E-2</v>
      </c>
      <c r="D170" s="37">
        <v>1.9760479041916168</v>
      </c>
      <c r="E170" s="33">
        <v>0.3413173652694611</v>
      </c>
      <c r="F170" s="33">
        <v>0.31736526946107785</v>
      </c>
      <c r="G170" s="33">
        <v>0.31123919308357351</v>
      </c>
      <c r="H170" s="33">
        <v>0.17939481268011528</v>
      </c>
      <c r="I170" s="34">
        <v>8040.0462962962965</v>
      </c>
      <c r="J170" s="34">
        <v>-7984.3373493975905</v>
      </c>
      <c r="K170" s="33">
        <v>0.10778443113772455</v>
      </c>
      <c r="L170" s="33">
        <v>0.2334293948126801</v>
      </c>
      <c r="M170" s="33">
        <v>0.30115273775216139</v>
      </c>
      <c r="N170" s="33">
        <v>0.51543209876543206</v>
      </c>
      <c r="O170" s="33">
        <v>0.38277511961722488</v>
      </c>
      <c r="P170" s="33">
        <v>0.41435185185185186</v>
      </c>
    </row>
    <row r="171" spans="1:16" x14ac:dyDescent="0.45">
      <c r="A171" s="35">
        <v>168</v>
      </c>
      <c r="B171" s="32">
        <v>21.399999999999807</v>
      </c>
      <c r="C171" s="32">
        <v>0.12738095238095123</v>
      </c>
      <c r="D171" s="37">
        <v>1.9702380952380953</v>
      </c>
      <c r="E171" s="33">
        <v>0.34523809523809523</v>
      </c>
      <c r="F171" s="33">
        <v>0.31547619047619047</v>
      </c>
      <c r="G171" s="33">
        <v>0.31254480286738351</v>
      </c>
      <c r="H171" s="33">
        <v>0.17921146953405018</v>
      </c>
      <c r="I171" s="34">
        <v>8005.7339449541287</v>
      </c>
      <c r="J171" s="34">
        <v>-7960.4</v>
      </c>
      <c r="K171" s="33">
        <v>0.10714285714285714</v>
      </c>
      <c r="L171" s="33">
        <v>0.23297491039426524</v>
      </c>
      <c r="M171" s="33">
        <v>0.30035842293906811</v>
      </c>
      <c r="N171" s="33">
        <v>0.51692307692307693</v>
      </c>
      <c r="O171" s="33">
        <v>0.38424821002386633</v>
      </c>
      <c r="P171" s="33">
        <v>0.41513761467889909</v>
      </c>
    </row>
    <row r="172" spans="1:16" x14ac:dyDescent="0.45">
      <c r="A172" s="35">
        <v>169</v>
      </c>
      <c r="B172" s="32">
        <v>20.799999999999805</v>
      </c>
      <c r="C172" s="32">
        <v>0.12307692307692192</v>
      </c>
      <c r="D172" s="37">
        <v>1.970414201183432</v>
      </c>
      <c r="E172" s="33">
        <v>0.34319526627218933</v>
      </c>
      <c r="F172" s="33">
        <v>0.31360946745562129</v>
      </c>
      <c r="G172" s="33">
        <v>0.31383737517831667</v>
      </c>
      <c r="H172" s="33">
        <v>0.1783166904422254</v>
      </c>
      <c r="I172" s="34">
        <v>7976.590909090909</v>
      </c>
      <c r="J172" s="34">
        <v>-7960.4</v>
      </c>
      <c r="K172" s="33">
        <v>0.10650887573964497</v>
      </c>
      <c r="L172" s="33">
        <v>0.23323823109843081</v>
      </c>
      <c r="M172" s="33">
        <v>0.30028530670470754</v>
      </c>
      <c r="N172" s="33">
        <v>0.51681957186544347</v>
      </c>
      <c r="O172" s="33">
        <v>0.38479809976247031</v>
      </c>
      <c r="P172" s="33">
        <v>0.41590909090909089</v>
      </c>
    </row>
    <row r="173" spans="1:16" x14ac:dyDescent="0.45">
      <c r="A173" s="35">
        <v>170</v>
      </c>
      <c r="B173" s="32">
        <v>-3.0000000000001954</v>
      </c>
      <c r="C173" s="32">
        <v>-1.764705882353056E-2</v>
      </c>
      <c r="D173" s="37">
        <v>1.9764705882352942</v>
      </c>
      <c r="E173" s="33">
        <v>0.3411764705882353</v>
      </c>
      <c r="F173" s="33">
        <v>0.31764705882352939</v>
      </c>
      <c r="G173" s="33">
        <v>0.31347517730496455</v>
      </c>
      <c r="H173" s="33">
        <v>0.17801418439716313</v>
      </c>
      <c r="I173" s="34">
        <v>7967.6470588235297</v>
      </c>
      <c r="J173" s="34">
        <v>-7933.8645418326696</v>
      </c>
      <c r="K173" s="33">
        <v>0.10588235294117647</v>
      </c>
      <c r="L173" s="33">
        <v>0.23262411347517731</v>
      </c>
      <c r="M173" s="33">
        <v>0.29929078014184396</v>
      </c>
      <c r="N173" s="33">
        <v>0.51829268292682928</v>
      </c>
      <c r="O173" s="33">
        <v>0.38625592417061611</v>
      </c>
      <c r="P173" s="33">
        <v>0.41628959276018102</v>
      </c>
    </row>
    <row r="174" spans="1:16" x14ac:dyDescent="0.45">
      <c r="A174" s="35">
        <v>171</v>
      </c>
      <c r="B174" s="32">
        <v>-27.400000000000194</v>
      </c>
      <c r="C174" s="32">
        <v>-0.16023391812865612</v>
      </c>
      <c r="D174" s="37">
        <v>1.9824561403508771</v>
      </c>
      <c r="E174" s="33">
        <v>0.33918128654970758</v>
      </c>
      <c r="F174" s="33">
        <v>0.32163742690058478</v>
      </c>
      <c r="G174" s="33">
        <v>0.31289640591966172</v>
      </c>
      <c r="H174" s="33">
        <v>0.17899929527836506</v>
      </c>
      <c r="I174" s="34">
        <v>7958.1081081081084</v>
      </c>
      <c r="J174" s="34">
        <v>-7918.1102362204729</v>
      </c>
      <c r="K174" s="33">
        <v>0.10526315789473684</v>
      </c>
      <c r="L174" s="33">
        <v>0.23326286116983791</v>
      </c>
      <c r="M174" s="33">
        <v>0.29809725158562367</v>
      </c>
      <c r="N174" s="33">
        <v>0.5166163141993958</v>
      </c>
      <c r="O174" s="33">
        <v>0.38534278959810875</v>
      </c>
      <c r="P174" s="33">
        <v>0.41666666666666669</v>
      </c>
    </row>
    <row r="175" spans="1:16" x14ac:dyDescent="0.45">
      <c r="A175" s="35">
        <v>172</v>
      </c>
      <c r="B175" s="32">
        <v>-60.500000000000199</v>
      </c>
      <c r="C175" s="32">
        <v>-0.35174418604651281</v>
      </c>
      <c r="D175" s="37">
        <v>1.9883720930232558</v>
      </c>
      <c r="E175" s="33">
        <v>0.33720930232558138</v>
      </c>
      <c r="F175" s="33">
        <v>0.32558139534883723</v>
      </c>
      <c r="G175" s="33">
        <v>0.31254379817799577</v>
      </c>
      <c r="H175" s="33">
        <v>0.17939733707077785</v>
      </c>
      <c r="I175" s="34">
        <v>7948.6547085201792</v>
      </c>
      <c r="J175" s="34">
        <v>-7970.3125</v>
      </c>
      <c r="K175" s="33">
        <v>0.10465116279069768</v>
      </c>
      <c r="L175" s="33">
        <v>0.23405746320953047</v>
      </c>
      <c r="M175" s="33">
        <v>0.29852838121934128</v>
      </c>
      <c r="N175" s="33">
        <v>0.51497005988023947</v>
      </c>
      <c r="O175" s="33">
        <v>0.38497652582159625</v>
      </c>
      <c r="P175" s="33">
        <v>0.4170403587443946</v>
      </c>
    </row>
    <row r="176" spans="1:16" x14ac:dyDescent="0.45">
      <c r="A176" s="35">
        <v>173</v>
      </c>
      <c r="B176" s="32">
        <v>-71.400000000000205</v>
      </c>
      <c r="C176" s="32">
        <v>-0.41271676300578153</v>
      </c>
      <c r="D176" s="37">
        <v>1.9884393063583814</v>
      </c>
      <c r="E176" s="33">
        <v>0.33526011560693642</v>
      </c>
      <c r="F176" s="33">
        <v>0.32369942196531792</v>
      </c>
      <c r="G176" s="33">
        <v>0.31202223766504517</v>
      </c>
      <c r="H176" s="33">
        <v>0.17790132036136205</v>
      </c>
      <c r="I176" s="34">
        <v>7922.0489977728284</v>
      </c>
      <c r="J176" s="34">
        <v>-7970.3125</v>
      </c>
      <c r="K176" s="33">
        <v>0.10404624277456648</v>
      </c>
      <c r="L176" s="33">
        <v>0.23349548297428771</v>
      </c>
      <c r="M176" s="33">
        <v>0.29881862404447534</v>
      </c>
      <c r="N176" s="33">
        <v>0.51190476190476186</v>
      </c>
      <c r="O176" s="33">
        <v>0.38604651162790699</v>
      </c>
      <c r="P176" s="33">
        <v>0.41870824053452116</v>
      </c>
    </row>
    <row r="177" spans="1:16" x14ac:dyDescent="0.45">
      <c r="A177" s="35">
        <v>174</v>
      </c>
      <c r="B177" s="32">
        <v>-41.100000000000207</v>
      </c>
      <c r="C177" s="32">
        <v>-0.23620689655172533</v>
      </c>
      <c r="D177" s="37">
        <v>1.9827586206896552</v>
      </c>
      <c r="E177" s="33">
        <v>0.33908045977011492</v>
      </c>
      <c r="F177" s="33">
        <v>0.32183908045977011</v>
      </c>
      <c r="G177" s="33">
        <v>0.31353591160220995</v>
      </c>
      <c r="H177" s="33">
        <v>0.17679558011049723</v>
      </c>
      <c r="I177" s="34">
        <v>7900.4405286343608</v>
      </c>
      <c r="J177" s="34">
        <v>-7970.3125</v>
      </c>
      <c r="K177" s="33">
        <v>0.10344827586206896</v>
      </c>
      <c r="L177" s="33">
        <v>0.23273480662983426</v>
      </c>
      <c r="M177" s="33">
        <v>0.29903314917127072</v>
      </c>
      <c r="N177" s="33">
        <v>0.51335311572700293</v>
      </c>
      <c r="O177" s="33">
        <v>0.39030023094688221</v>
      </c>
      <c r="P177" s="33">
        <v>0.41629955947136565</v>
      </c>
    </row>
    <row r="178" spans="1:16" x14ac:dyDescent="0.45">
      <c r="A178" s="35">
        <v>175</v>
      </c>
      <c r="B178" s="32">
        <v>-68.600000000000207</v>
      </c>
      <c r="C178" s="32">
        <v>-0.39200000000000118</v>
      </c>
      <c r="D178" s="37">
        <v>1.9828571428571429</v>
      </c>
      <c r="E178" s="33">
        <v>0.33714285714285713</v>
      </c>
      <c r="F178" s="33">
        <v>0.32</v>
      </c>
      <c r="G178" s="33">
        <v>0.31314521679284241</v>
      </c>
      <c r="H178" s="33">
        <v>0.17618719889883</v>
      </c>
      <c r="I178" s="34">
        <v>7886.3736263736264</v>
      </c>
      <c r="J178" s="34">
        <v>-7970.3125</v>
      </c>
      <c r="K178" s="33">
        <v>0.10285714285714286</v>
      </c>
      <c r="L178" s="33">
        <v>0.2326221610461115</v>
      </c>
      <c r="M178" s="33">
        <v>0.29800412938747417</v>
      </c>
      <c r="N178" s="33">
        <v>0.51183431952662717</v>
      </c>
      <c r="O178" s="33">
        <v>0.39030023094688221</v>
      </c>
      <c r="P178" s="33">
        <v>0.4175824175824176</v>
      </c>
    </row>
    <row r="179" spans="1:16" x14ac:dyDescent="0.45">
      <c r="A179" s="35">
        <v>176</v>
      </c>
      <c r="B179" s="32">
        <v>-6.0000000000002061</v>
      </c>
      <c r="C179" s="32">
        <v>-3.4090909090910261E-2</v>
      </c>
      <c r="D179" s="37">
        <v>1.9772727272727273</v>
      </c>
      <c r="E179" s="33">
        <v>0.34090909090909088</v>
      </c>
      <c r="F179" s="33">
        <v>0.31818181818181818</v>
      </c>
      <c r="G179" s="33">
        <v>0.31456043956043955</v>
      </c>
      <c r="H179" s="33">
        <v>0.17582417582417584</v>
      </c>
      <c r="I179" s="34">
        <v>7938.6462882096066</v>
      </c>
      <c r="J179" s="34">
        <v>-7970.3125</v>
      </c>
      <c r="K179" s="33">
        <v>0.10227272727272728</v>
      </c>
      <c r="L179" s="33">
        <v>0.23282967032967034</v>
      </c>
      <c r="M179" s="33">
        <v>0.29876373626373626</v>
      </c>
      <c r="N179" s="33">
        <v>0.51327433628318586</v>
      </c>
      <c r="O179" s="33">
        <v>0.39310344827586208</v>
      </c>
      <c r="P179" s="33">
        <v>0.41703056768558949</v>
      </c>
    </row>
    <row r="180" spans="1:16" x14ac:dyDescent="0.45">
      <c r="A180" s="35">
        <v>177</v>
      </c>
      <c r="B180" s="32">
        <v>-11.000000000000206</v>
      </c>
      <c r="C180" s="32">
        <v>-6.2146892655368394E-2</v>
      </c>
      <c r="D180" s="37">
        <v>1.9774011299435028</v>
      </c>
      <c r="E180" s="33">
        <v>0.33898305084745761</v>
      </c>
      <c r="F180" s="33">
        <v>0.31638418079096048</v>
      </c>
      <c r="G180" s="33">
        <v>0.31629175187457398</v>
      </c>
      <c r="H180" s="33">
        <v>0.17586912065439672</v>
      </c>
      <c r="I180" s="34">
        <v>7903.6637931034484</v>
      </c>
      <c r="J180" s="34">
        <v>-7970.1550387596899</v>
      </c>
      <c r="K180" s="33">
        <v>0.10169491525423729</v>
      </c>
      <c r="L180" s="33">
        <v>0.23176550783912747</v>
      </c>
      <c r="M180" s="33">
        <v>0.29993183367416498</v>
      </c>
      <c r="N180" s="33">
        <v>0.5117647058823529</v>
      </c>
      <c r="O180" s="33">
        <v>0.39772727272727271</v>
      </c>
      <c r="P180" s="33">
        <v>0.41379310344827586</v>
      </c>
    </row>
    <row r="181" spans="1:16" x14ac:dyDescent="0.45">
      <c r="A181" s="35">
        <v>178</v>
      </c>
      <c r="B181" s="32">
        <v>-47.000000000000206</v>
      </c>
      <c r="C181" s="32">
        <v>-0.26404494382022586</v>
      </c>
      <c r="D181" s="37">
        <v>1.9831460674157304</v>
      </c>
      <c r="E181" s="33">
        <v>0.33707865168539325</v>
      </c>
      <c r="F181" s="33">
        <v>0.3202247191011236</v>
      </c>
      <c r="G181" s="33">
        <v>0.31532748143146522</v>
      </c>
      <c r="H181" s="33">
        <v>0.17690749493585414</v>
      </c>
      <c r="I181" s="34">
        <v>7886.0813704496786</v>
      </c>
      <c r="J181" s="34">
        <v>-7936.259541984733</v>
      </c>
      <c r="K181" s="33">
        <v>0.10112359550561797</v>
      </c>
      <c r="L181" s="33">
        <v>0.22957461174881835</v>
      </c>
      <c r="M181" s="33">
        <v>0.29912221471978395</v>
      </c>
      <c r="N181" s="33">
        <v>0.5117647058823529</v>
      </c>
      <c r="O181" s="33">
        <v>0.39729119638826182</v>
      </c>
      <c r="P181" s="33">
        <v>0.41327623126338331</v>
      </c>
    </row>
    <row r="182" spans="1:16" x14ac:dyDescent="0.45">
      <c r="A182" s="35">
        <v>179</v>
      </c>
      <c r="B182" s="32">
        <v>-101.70000000000022</v>
      </c>
      <c r="C182" s="32">
        <v>-0.56815642458100679</v>
      </c>
      <c r="D182" s="37">
        <v>1.988826815642458</v>
      </c>
      <c r="E182" s="33">
        <v>0.33519553072625696</v>
      </c>
      <c r="F182" s="33">
        <v>0.32402234636871508</v>
      </c>
      <c r="G182" s="33">
        <v>0.31321260898725689</v>
      </c>
      <c r="H182" s="33">
        <v>0.17706237424547283</v>
      </c>
      <c r="I182" s="34">
        <v>7886.0813704496786</v>
      </c>
      <c r="J182" s="34">
        <v>-7989.772727272727</v>
      </c>
      <c r="K182" s="33">
        <v>0.10614525139664804</v>
      </c>
      <c r="L182" s="33">
        <v>0.22937625754527163</v>
      </c>
      <c r="M182" s="33">
        <v>0.29912810194500333</v>
      </c>
      <c r="N182" s="33">
        <v>0.50877192982456143</v>
      </c>
      <c r="O182" s="33">
        <v>0.39461883408071746</v>
      </c>
      <c r="P182" s="33">
        <v>0.41327623126338331</v>
      </c>
    </row>
    <row r="183" spans="1:16" x14ac:dyDescent="0.45">
      <c r="A183" s="35">
        <v>180</v>
      </c>
      <c r="B183" s="32">
        <v>-80.80000000000021</v>
      </c>
      <c r="C183" s="32">
        <v>-0.44888888888889006</v>
      </c>
      <c r="D183" s="37">
        <v>1.9833333333333334</v>
      </c>
      <c r="E183" s="33">
        <v>0.33888888888888891</v>
      </c>
      <c r="F183" s="33">
        <v>0.32222222222222224</v>
      </c>
      <c r="G183" s="33">
        <v>0.31354236157438292</v>
      </c>
      <c r="H183" s="33">
        <v>0.1761174116077385</v>
      </c>
      <c r="I183" s="34">
        <v>7886.8085106382978</v>
      </c>
      <c r="J183" s="34">
        <v>-7989.772727272727</v>
      </c>
      <c r="K183" s="33">
        <v>0.10555555555555556</v>
      </c>
      <c r="L183" s="33">
        <v>0.22881921280853904</v>
      </c>
      <c r="M183" s="33">
        <v>0.29886591060707141</v>
      </c>
      <c r="N183" s="33">
        <v>0.51020408163265307</v>
      </c>
      <c r="O183" s="33">
        <v>0.39285714285714285</v>
      </c>
      <c r="P183" s="33">
        <v>0.4127659574468085</v>
      </c>
    </row>
    <row r="184" spans="1:16" x14ac:dyDescent="0.45">
      <c r="A184" s="35">
        <v>181</v>
      </c>
      <c r="B184" s="32">
        <v>-90.600000000000207</v>
      </c>
      <c r="C184" s="32">
        <v>-0.50055248618784642</v>
      </c>
      <c r="D184" s="37">
        <v>1.9834254143646408</v>
      </c>
      <c r="E184" s="33">
        <v>0.33701657458563539</v>
      </c>
      <c r="F184" s="33">
        <v>0.32044198895027626</v>
      </c>
      <c r="G184" s="33">
        <v>0.31407702523240372</v>
      </c>
      <c r="H184" s="33">
        <v>0.17596281540504649</v>
      </c>
      <c r="I184" s="34">
        <v>7860.4651162790697</v>
      </c>
      <c r="J184" s="34">
        <v>-7967.1698113207549</v>
      </c>
      <c r="K184" s="33">
        <v>0.10497237569060773</v>
      </c>
      <c r="L184" s="33">
        <v>0.22775564409030544</v>
      </c>
      <c r="M184" s="33">
        <v>0.29946879150066402</v>
      </c>
      <c r="N184" s="33">
        <v>0.51020408163265307</v>
      </c>
      <c r="O184" s="33">
        <v>0.39689578713968959</v>
      </c>
      <c r="P184" s="33">
        <v>0.41226215644820297</v>
      </c>
    </row>
    <row r="185" spans="1:16" x14ac:dyDescent="0.45">
      <c r="A185" s="35">
        <v>182</v>
      </c>
      <c r="B185" s="32">
        <v>-97.500000000000213</v>
      </c>
      <c r="C185" s="32">
        <v>-0.53571428571428692</v>
      </c>
      <c r="D185" s="37">
        <v>1.9835164835164836</v>
      </c>
      <c r="E185" s="33">
        <v>0.33516483516483514</v>
      </c>
      <c r="F185" s="33">
        <v>0.31868131868131866</v>
      </c>
      <c r="G185" s="33">
        <v>0.31307793923381771</v>
      </c>
      <c r="H185" s="33">
        <v>0.17569352708058125</v>
      </c>
      <c r="I185" s="34">
        <v>7860.1265822784808</v>
      </c>
      <c r="J185" s="34">
        <v>-7980.8270676691727</v>
      </c>
      <c r="K185" s="33">
        <v>0.1043956043956044</v>
      </c>
      <c r="L185" s="33">
        <v>0.22655217965653898</v>
      </c>
      <c r="M185" s="33">
        <v>0.29788639365918096</v>
      </c>
      <c r="N185" s="33">
        <v>0.51020408163265307</v>
      </c>
      <c r="O185" s="33">
        <v>0.39689578713968959</v>
      </c>
      <c r="P185" s="33">
        <v>0.41139240506329117</v>
      </c>
    </row>
    <row r="186" spans="1:16" x14ac:dyDescent="0.45">
      <c r="A186" s="35">
        <v>183</v>
      </c>
      <c r="B186" s="32">
        <v>-92.30000000000021</v>
      </c>
      <c r="C186" s="32">
        <v>-0.50437158469945476</v>
      </c>
      <c r="D186" s="37">
        <v>1.9836065573770492</v>
      </c>
      <c r="E186" s="33">
        <v>0.33333333333333331</v>
      </c>
      <c r="F186" s="33">
        <v>0.31693989071038253</v>
      </c>
      <c r="G186" s="33">
        <v>0.31295200525969757</v>
      </c>
      <c r="H186" s="33">
        <v>0.17554240631163709</v>
      </c>
      <c r="I186" s="34">
        <v>7865.7563025210084</v>
      </c>
      <c r="J186" s="34">
        <v>-7979.7752808988762</v>
      </c>
      <c r="K186" s="33">
        <v>0.10382513661202186</v>
      </c>
      <c r="L186" s="33">
        <v>0.22616699539776464</v>
      </c>
      <c r="M186" s="33">
        <v>0.29717291255752792</v>
      </c>
      <c r="N186" s="33">
        <v>0.51162790697674421</v>
      </c>
      <c r="O186" s="33">
        <v>0.39823008849557523</v>
      </c>
      <c r="P186" s="33">
        <v>0.41176470588235292</v>
      </c>
    </row>
    <row r="187" spans="1:16" x14ac:dyDescent="0.45">
      <c r="A187" s="35">
        <v>184</v>
      </c>
      <c r="B187" s="32">
        <v>-27.200000000000216</v>
      </c>
      <c r="C187" s="32">
        <v>-0.14782608695652291</v>
      </c>
      <c r="D187" s="37">
        <v>1.9782608695652173</v>
      </c>
      <c r="E187" s="33">
        <v>0.33695652173913043</v>
      </c>
      <c r="F187" s="33">
        <v>0.31521739130434784</v>
      </c>
      <c r="G187" s="33">
        <v>0.31592689295039167</v>
      </c>
      <c r="H187" s="33">
        <v>0.17493472584856398</v>
      </c>
      <c r="I187" s="34">
        <v>7823.3471074380168</v>
      </c>
      <c r="J187" s="34">
        <v>-7954.8507462686566</v>
      </c>
      <c r="K187" s="33">
        <v>0.10326086956521739</v>
      </c>
      <c r="L187" s="33">
        <v>0.22650130548302871</v>
      </c>
      <c r="M187" s="33">
        <v>0.2983028720626632</v>
      </c>
      <c r="N187" s="33">
        <v>0.51585014409221897</v>
      </c>
      <c r="O187" s="33">
        <v>0.40262582056892782</v>
      </c>
      <c r="P187" s="33">
        <v>0.41115702479338845</v>
      </c>
    </row>
    <row r="188" spans="1:16" x14ac:dyDescent="0.45">
      <c r="A188" s="35">
        <v>185</v>
      </c>
      <c r="B188" s="32">
        <v>-18.500000000000217</v>
      </c>
      <c r="C188" s="32">
        <v>-0.10000000000000117</v>
      </c>
      <c r="D188" s="37">
        <v>1.9783783783783784</v>
      </c>
      <c r="E188" s="33">
        <v>0.33513513513513515</v>
      </c>
      <c r="F188" s="33">
        <v>0.31351351351351353</v>
      </c>
      <c r="G188" s="33">
        <v>0.31643924626380765</v>
      </c>
      <c r="H188" s="33">
        <v>0.17478882391163092</v>
      </c>
      <c r="I188" s="34">
        <v>7832.0328542094458</v>
      </c>
      <c r="J188" s="34">
        <v>-7969.8884758364311</v>
      </c>
      <c r="K188" s="33">
        <v>0.10270270270270271</v>
      </c>
      <c r="L188" s="33">
        <v>0.22612085769980506</v>
      </c>
      <c r="M188" s="33">
        <v>0.29759584145549056</v>
      </c>
      <c r="N188" s="33">
        <v>0.51724137931034486</v>
      </c>
      <c r="O188" s="33">
        <v>0.40393013100436681</v>
      </c>
      <c r="P188" s="33">
        <v>0.41067761806981518</v>
      </c>
    </row>
    <row r="189" spans="1:16" x14ac:dyDescent="0.45">
      <c r="A189" s="35">
        <v>186</v>
      </c>
      <c r="B189" s="32">
        <v>-29.000000000000217</v>
      </c>
      <c r="C189" s="32">
        <v>-0.15591397849462482</v>
      </c>
      <c r="D189" s="37">
        <v>1.978494623655914</v>
      </c>
      <c r="E189" s="33">
        <v>0.33333333333333331</v>
      </c>
      <c r="F189" s="33">
        <v>0.31182795698924731</v>
      </c>
      <c r="G189" s="33">
        <v>0.31674208144796379</v>
      </c>
      <c r="H189" s="33">
        <v>0.17388493859082094</v>
      </c>
      <c r="I189" s="34">
        <v>7826.7346938775509</v>
      </c>
      <c r="J189" s="34">
        <v>-7969.8884758364311</v>
      </c>
      <c r="K189" s="33">
        <v>0.10215053763440861</v>
      </c>
      <c r="L189" s="33">
        <v>0.22689075630252101</v>
      </c>
      <c r="M189" s="33">
        <v>0.29864253393665158</v>
      </c>
      <c r="N189" s="33">
        <v>0.51566951566951569</v>
      </c>
      <c r="O189" s="33">
        <v>0.40476190476190477</v>
      </c>
      <c r="P189" s="33">
        <v>0.41020408163265304</v>
      </c>
    </row>
    <row r="190" spans="1:16" x14ac:dyDescent="0.45">
      <c r="A190" s="35">
        <v>187</v>
      </c>
      <c r="B190" s="32">
        <v>-28.600000000000218</v>
      </c>
      <c r="C190" s="32">
        <v>-0.15294117647058941</v>
      </c>
      <c r="D190" s="37">
        <v>1.9786096256684491</v>
      </c>
      <c r="E190" s="33">
        <v>0.33155080213903743</v>
      </c>
      <c r="F190" s="33">
        <v>0.31016042780748665</v>
      </c>
      <c r="G190" s="33">
        <v>0.31748071979434445</v>
      </c>
      <c r="H190" s="33">
        <v>0.17416452442159383</v>
      </c>
      <c r="I190" s="34">
        <v>7821.4574898785422</v>
      </c>
      <c r="J190" s="34">
        <v>-7999.6309963099629</v>
      </c>
      <c r="K190" s="33">
        <v>0.10160427807486631</v>
      </c>
      <c r="L190" s="33">
        <v>0.2268637532133676</v>
      </c>
      <c r="M190" s="33">
        <v>0.29755784061696661</v>
      </c>
      <c r="N190" s="33">
        <v>0.51558073654390935</v>
      </c>
      <c r="O190" s="33">
        <v>0.4038876889848812</v>
      </c>
      <c r="P190" s="33">
        <v>0.41093117408906882</v>
      </c>
    </row>
    <row r="191" spans="1:16" x14ac:dyDescent="0.45">
      <c r="A191" s="35">
        <v>188</v>
      </c>
      <c r="B191" s="32">
        <v>-45.700000000000216</v>
      </c>
      <c r="C191" s="32">
        <v>-0.24308510638297987</v>
      </c>
      <c r="D191" s="37">
        <v>1.9840425531914894</v>
      </c>
      <c r="E191" s="33">
        <v>0.32978723404255317</v>
      </c>
      <c r="F191" s="33">
        <v>0.31382978723404253</v>
      </c>
      <c r="G191" s="33">
        <v>0.31693290734824281</v>
      </c>
      <c r="H191" s="33">
        <v>0.17316293929712459</v>
      </c>
      <c r="I191" s="34">
        <v>7805.8467741935483</v>
      </c>
      <c r="J191" s="34">
        <v>-7999.6309963099629</v>
      </c>
      <c r="K191" s="33">
        <v>0.10106382978723404</v>
      </c>
      <c r="L191" s="33">
        <v>0.22619808306709266</v>
      </c>
      <c r="M191" s="33">
        <v>0.29776357827476041</v>
      </c>
      <c r="N191" s="33">
        <v>0.51694915254237284</v>
      </c>
      <c r="O191" s="33">
        <v>0.40343347639484978</v>
      </c>
      <c r="P191" s="33">
        <v>0.41129032258064518</v>
      </c>
    </row>
    <row r="192" spans="1:16" x14ac:dyDescent="0.45">
      <c r="A192" s="35">
        <v>189</v>
      </c>
      <c r="B192" s="32">
        <v>-89.100000000000222</v>
      </c>
      <c r="C192" s="32">
        <v>-0.47142857142857258</v>
      </c>
      <c r="D192" s="37">
        <v>1.9894179894179893</v>
      </c>
      <c r="E192" s="33">
        <v>0.32804232804232802</v>
      </c>
      <c r="F192" s="33">
        <v>0.31746031746031744</v>
      </c>
      <c r="G192" s="33">
        <v>0.31679389312977096</v>
      </c>
      <c r="H192" s="33">
        <v>0.17366412213740459</v>
      </c>
      <c r="I192" s="34">
        <v>7782.9317269076309</v>
      </c>
      <c r="J192" s="34">
        <v>-8050.9157509157512</v>
      </c>
      <c r="K192" s="33">
        <v>0.10052910052910052</v>
      </c>
      <c r="L192" s="33">
        <v>0.22519083969465647</v>
      </c>
      <c r="M192" s="33">
        <v>0.30025445292620867</v>
      </c>
      <c r="N192" s="33">
        <v>0.51694915254237284</v>
      </c>
      <c r="O192" s="33">
        <v>0.40254237288135591</v>
      </c>
      <c r="P192" s="33">
        <v>0.41365461847389556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AC5D-0648-41D1-91CA-2AA498353403}">
  <sheetPr codeName="Sheet10"/>
  <dimension ref="A1:Q22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50.2</v>
      </c>
      <c r="C4" s="32">
        <v>50.2</v>
      </c>
      <c r="D4" s="37">
        <v>1</v>
      </c>
      <c r="E4" s="33">
        <v>1</v>
      </c>
      <c r="F4" s="33">
        <v>0</v>
      </c>
      <c r="G4" s="33">
        <v>0.4</v>
      </c>
      <c r="H4" s="33">
        <v>0.2</v>
      </c>
      <c r="I4" s="34">
        <v>10925</v>
      </c>
      <c r="J4" s="34">
        <v>-1500</v>
      </c>
      <c r="K4" s="33">
        <v>0</v>
      </c>
      <c r="L4" s="33">
        <v>0.3</v>
      </c>
      <c r="M4" s="33">
        <v>0.1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14.400000000000006</v>
      </c>
      <c r="C5" s="32">
        <v>7.2000000000000028</v>
      </c>
      <c r="D5" s="37">
        <v>2</v>
      </c>
      <c r="E5" s="33">
        <v>0.5</v>
      </c>
      <c r="F5" s="33">
        <v>0.5</v>
      </c>
      <c r="G5" s="33">
        <v>0.26315789473684209</v>
      </c>
      <c r="H5" s="33">
        <v>0.15789473684210525</v>
      </c>
      <c r="I5" s="34">
        <v>9260</v>
      </c>
      <c r="J5" s="34">
        <v>-5000</v>
      </c>
      <c r="K5" s="33">
        <v>0</v>
      </c>
      <c r="L5" s="33">
        <v>0.36842105263157893</v>
      </c>
      <c r="M5" s="33">
        <v>0.15789473684210525</v>
      </c>
      <c r="N5" s="33">
        <v>0.5714285714285714</v>
      </c>
      <c r="O5" s="33">
        <v>0</v>
      </c>
      <c r="P5" s="33">
        <v>0.2</v>
      </c>
    </row>
    <row r="6" spans="1:17" x14ac:dyDescent="0.45">
      <c r="A6" s="35">
        <v>3</v>
      </c>
      <c r="B6" s="32">
        <v>40.400000000000006</v>
      </c>
      <c r="C6" s="32">
        <v>13.466666666666669</v>
      </c>
      <c r="D6" s="37">
        <v>1.6666666666666667</v>
      </c>
      <c r="E6" s="33">
        <v>0.66666666666666663</v>
      </c>
      <c r="F6" s="33">
        <v>0.33333333333333331</v>
      </c>
      <c r="G6" s="33">
        <v>0.34615384615384615</v>
      </c>
      <c r="H6" s="33">
        <v>0.11538461538461539</v>
      </c>
      <c r="I6" s="34">
        <v>7488.8888888888887</v>
      </c>
      <c r="J6" s="34">
        <v>-5000</v>
      </c>
      <c r="K6" s="33">
        <v>0</v>
      </c>
      <c r="L6" s="33">
        <v>0.38461538461538464</v>
      </c>
      <c r="M6" s="33">
        <v>0.11538461538461539</v>
      </c>
      <c r="N6" s="33">
        <v>0.7</v>
      </c>
      <c r="O6" s="33">
        <v>0</v>
      </c>
      <c r="P6" s="33">
        <v>0.44444444444444442</v>
      </c>
    </row>
    <row r="7" spans="1:17" x14ac:dyDescent="0.45">
      <c r="A7" s="35">
        <v>4</v>
      </c>
      <c r="B7" s="32">
        <v>101.60000000000001</v>
      </c>
      <c r="C7" s="32">
        <v>25.400000000000002</v>
      </c>
      <c r="D7" s="37">
        <v>1.5</v>
      </c>
      <c r="E7" s="33">
        <v>0.75</v>
      </c>
      <c r="F7" s="33">
        <v>0.25</v>
      </c>
      <c r="G7" s="33">
        <v>0.43243243243243246</v>
      </c>
      <c r="H7" s="33">
        <v>8.1081081081081086E-2</v>
      </c>
      <c r="I7" s="34">
        <v>7600</v>
      </c>
      <c r="J7" s="34">
        <v>-5000</v>
      </c>
      <c r="K7" s="33">
        <v>0</v>
      </c>
      <c r="L7" s="33">
        <v>0.35135135135135137</v>
      </c>
      <c r="M7" s="33">
        <v>0.1891891891891892</v>
      </c>
      <c r="N7" s="33">
        <v>0.69230769230769229</v>
      </c>
      <c r="O7" s="33">
        <v>0.5714285714285714</v>
      </c>
      <c r="P7" s="33">
        <v>0.5</v>
      </c>
    </row>
    <row r="8" spans="1:17" x14ac:dyDescent="0.45">
      <c r="A8" s="35">
        <v>5</v>
      </c>
      <c r="B8" s="32">
        <v>99.9</v>
      </c>
      <c r="C8" s="32">
        <v>19.98</v>
      </c>
      <c r="D8" s="37">
        <v>1.6</v>
      </c>
      <c r="E8" s="33">
        <v>0.6</v>
      </c>
      <c r="F8" s="33">
        <v>0.2</v>
      </c>
      <c r="G8" s="33">
        <v>0.40909090909090912</v>
      </c>
      <c r="H8" s="33">
        <v>9.0909090909090912E-2</v>
      </c>
      <c r="I8" s="34">
        <v>7116.666666666667</v>
      </c>
      <c r="J8" s="34">
        <v>-5050</v>
      </c>
      <c r="K8" s="33">
        <v>0</v>
      </c>
      <c r="L8" s="33">
        <v>0.36363636363636365</v>
      </c>
      <c r="M8" s="33">
        <v>0.18181818181818182</v>
      </c>
      <c r="N8" s="33">
        <v>0.6875</v>
      </c>
      <c r="O8" s="33">
        <v>0.5</v>
      </c>
      <c r="P8" s="33">
        <v>0.44444444444444442</v>
      </c>
    </row>
    <row r="9" spans="1:17" x14ac:dyDescent="0.45">
      <c r="A9" s="35">
        <v>6</v>
      </c>
      <c r="B9" s="32">
        <v>85.5</v>
      </c>
      <c r="C9" s="32">
        <v>14.25</v>
      </c>
      <c r="D9" s="37">
        <v>1.8333333333333333</v>
      </c>
      <c r="E9" s="33">
        <v>0.5</v>
      </c>
      <c r="F9" s="33">
        <v>0.33333333333333331</v>
      </c>
      <c r="G9" s="33">
        <v>0.37735849056603776</v>
      </c>
      <c r="H9" s="33">
        <v>0.13207547169811321</v>
      </c>
      <c r="I9" s="34">
        <v>7390</v>
      </c>
      <c r="J9" s="34">
        <v>-4828.5714285714284</v>
      </c>
      <c r="K9" s="33">
        <v>0</v>
      </c>
      <c r="L9" s="33">
        <v>0.35849056603773582</v>
      </c>
      <c r="M9" s="33">
        <v>0.15094339622641509</v>
      </c>
      <c r="N9" s="33">
        <v>0.68421052631578949</v>
      </c>
      <c r="O9" s="33">
        <v>0.5</v>
      </c>
      <c r="P9" s="33">
        <v>0.4</v>
      </c>
    </row>
    <row r="10" spans="1:17" x14ac:dyDescent="0.45">
      <c r="A10" s="35">
        <v>7</v>
      </c>
      <c r="B10" s="32">
        <v>113.3</v>
      </c>
      <c r="C10" s="32">
        <v>16.185714285714287</v>
      </c>
      <c r="D10" s="37">
        <v>1.7142857142857142</v>
      </c>
      <c r="E10" s="33">
        <v>0.5714285714285714</v>
      </c>
      <c r="F10" s="33">
        <v>0.2857142857142857</v>
      </c>
      <c r="G10" s="33">
        <v>0.38805970149253732</v>
      </c>
      <c r="H10" s="33">
        <v>0.1044776119402985</v>
      </c>
      <c r="I10" s="34">
        <v>6703.8461538461543</v>
      </c>
      <c r="J10" s="34">
        <v>-4828.5714285714284</v>
      </c>
      <c r="K10" s="33">
        <v>0</v>
      </c>
      <c r="L10" s="33">
        <v>0.31343283582089554</v>
      </c>
      <c r="M10" s="33">
        <v>0.14925373134328357</v>
      </c>
      <c r="N10" s="33">
        <v>0.61904761904761907</v>
      </c>
      <c r="O10" s="33">
        <v>0.6</v>
      </c>
      <c r="P10" s="33">
        <v>0.42307692307692307</v>
      </c>
    </row>
    <row r="11" spans="1:17" x14ac:dyDescent="0.45">
      <c r="A11" s="35">
        <v>8</v>
      </c>
      <c r="B11" s="32">
        <v>148.1</v>
      </c>
      <c r="C11" s="32">
        <v>18.512499999999999</v>
      </c>
      <c r="D11" s="37">
        <v>1.625</v>
      </c>
      <c r="E11" s="33">
        <v>0.625</v>
      </c>
      <c r="F11" s="33">
        <v>0.25</v>
      </c>
      <c r="G11" s="33">
        <v>0.37179487179487181</v>
      </c>
      <c r="H11" s="33">
        <v>0.12820512820512819</v>
      </c>
      <c r="I11" s="34">
        <v>7662.0689655172409</v>
      </c>
      <c r="J11" s="34">
        <v>-5390</v>
      </c>
      <c r="K11" s="33">
        <v>0</v>
      </c>
      <c r="L11" s="33">
        <v>0.26923076923076922</v>
      </c>
      <c r="M11" s="33">
        <v>0.20512820512820512</v>
      </c>
      <c r="N11" s="33">
        <v>0.61904761904761907</v>
      </c>
      <c r="O11" s="33">
        <v>0.5625</v>
      </c>
      <c r="P11" s="33">
        <v>0.37931034482758619</v>
      </c>
    </row>
    <row r="12" spans="1:17" x14ac:dyDescent="0.45">
      <c r="A12" s="35">
        <v>9</v>
      </c>
      <c r="B12" s="32">
        <v>180.89999999999998</v>
      </c>
      <c r="C12" s="32">
        <v>20.099999999999998</v>
      </c>
      <c r="D12" s="37">
        <v>1.5555555555555556</v>
      </c>
      <c r="E12" s="33">
        <v>0.66666666666666663</v>
      </c>
      <c r="F12" s="33">
        <v>0.22222222222222221</v>
      </c>
      <c r="G12" s="33">
        <v>0.375</v>
      </c>
      <c r="H12" s="33">
        <v>0.13636363636363635</v>
      </c>
      <c r="I12" s="34">
        <v>7575.757575757576</v>
      </c>
      <c r="J12" s="34">
        <v>-5325</v>
      </c>
      <c r="K12" s="33">
        <v>0</v>
      </c>
      <c r="L12" s="33">
        <v>0.28409090909090912</v>
      </c>
      <c r="M12" s="33">
        <v>0.19318181818181818</v>
      </c>
      <c r="N12" s="33">
        <v>0.6</v>
      </c>
      <c r="O12" s="33">
        <v>0.58823529411764708</v>
      </c>
      <c r="P12" s="33">
        <v>0.45454545454545453</v>
      </c>
    </row>
    <row r="13" spans="1:17" x14ac:dyDescent="0.45">
      <c r="A13" s="35">
        <v>10</v>
      </c>
      <c r="B13" s="32">
        <v>158.19999999999999</v>
      </c>
      <c r="C13" s="32">
        <v>15.819999999999999</v>
      </c>
      <c r="D13" s="37">
        <v>1.7</v>
      </c>
      <c r="E13" s="33">
        <v>0.6</v>
      </c>
      <c r="F13" s="33">
        <v>0.3</v>
      </c>
      <c r="G13" s="33">
        <v>0.35051546391752575</v>
      </c>
      <c r="H13" s="33">
        <v>0.14432989690721648</v>
      </c>
      <c r="I13" s="34">
        <v>7705.8823529411766</v>
      </c>
      <c r="J13" s="34">
        <v>-4935.7142857142853</v>
      </c>
      <c r="K13" s="33">
        <v>0</v>
      </c>
      <c r="L13" s="33">
        <v>0.26804123711340205</v>
      </c>
      <c r="M13" s="33">
        <v>0.20618556701030927</v>
      </c>
      <c r="N13" s="33">
        <v>0.61538461538461542</v>
      </c>
      <c r="O13" s="33">
        <v>0.5</v>
      </c>
      <c r="P13" s="33">
        <v>0.47058823529411764</v>
      </c>
    </row>
    <row r="14" spans="1:17" x14ac:dyDescent="0.45">
      <c r="A14" s="35">
        <v>11</v>
      </c>
      <c r="B14" s="32">
        <v>185.2</v>
      </c>
      <c r="C14" s="32">
        <v>16.836363636363636</v>
      </c>
      <c r="D14" s="37">
        <v>1.6363636363636365</v>
      </c>
      <c r="E14" s="33">
        <v>0.63636363636363635</v>
      </c>
      <c r="F14" s="33">
        <v>0.27272727272727271</v>
      </c>
      <c r="G14" s="33">
        <v>0.33962264150943394</v>
      </c>
      <c r="H14" s="33">
        <v>0.15094339622641509</v>
      </c>
      <c r="I14" s="34">
        <v>8275</v>
      </c>
      <c r="J14" s="34">
        <v>-5125</v>
      </c>
      <c r="K14" s="33">
        <v>0</v>
      </c>
      <c r="L14" s="33">
        <v>0.25471698113207547</v>
      </c>
      <c r="M14" s="33">
        <v>0.19811320754716982</v>
      </c>
      <c r="N14" s="33">
        <v>0.59259259259259256</v>
      </c>
      <c r="O14" s="33">
        <v>0.52380952380952384</v>
      </c>
      <c r="P14" s="33">
        <v>0.44444444444444442</v>
      </c>
    </row>
    <row r="15" spans="1:17" x14ac:dyDescent="0.45">
      <c r="A15" s="35">
        <v>12</v>
      </c>
      <c r="B15" s="32">
        <v>184.89999999999998</v>
      </c>
      <c r="C15" s="32">
        <v>15.408333333333331</v>
      </c>
      <c r="D15" s="37">
        <v>1.6666666666666667</v>
      </c>
      <c r="E15" s="33">
        <v>0.58333333333333337</v>
      </c>
      <c r="F15" s="33">
        <v>0.25</v>
      </c>
      <c r="G15" s="33">
        <v>0.32758620689655171</v>
      </c>
      <c r="H15" s="33">
        <v>0.14655172413793102</v>
      </c>
      <c r="I15" s="34">
        <v>8471.0526315789466</v>
      </c>
      <c r="J15" s="34">
        <v>-5294.1176470588234</v>
      </c>
      <c r="K15" s="33">
        <v>0</v>
      </c>
      <c r="L15" s="33">
        <v>0.2413793103448276</v>
      </c>
      <c r="M15" s="33">
        <v>0.20689655172413793</v>
      </c>
      <c r="N15" s="33">
        <v>0.6071428571428571</v>
      </c>
      <c r="O15" s="33">
        <v>0.5</v>
      </c>
      <c r="P15" s="33">
        <v>0.47368421052631576</v>
      </c>
    </row>
    <row r="16" spans="1:17" x14ac:dyDescent="0.45">
      <c r="A16" s="35">
        <v>13</v>
      </c>
      <c r="B16" s="32">
        <v>206.39999999999998</v>
      </c>
      <c r="C16" s="32">
        <v>15.876923076923076</v>
      </c>
      <c r="D16" s="37">
        <v>1.6153846153846154</v>
      </c>
      <c r="E16" s="33">
        <v>0.61538461538461542</v>
      </c>
      <c r="F16" s="33">
        <v>0.23076923076923078</v>
      </c>
      <c r="G16" s="33">
        <v>0.33870967741935482</v>
      </c>
      <c r="H16" s="33">
        <v>0.14516129032258066</v>
      </c>
      <c r="I16" s="34">
        <v>8283.3333333333339</v>
      </c>
      <c r="J16" s="34">
        <v>-5444.4444444444443</v>
      </c>
      <c r="K16" s="33">
        <v>0</v>
      </c>
      <c r="L16" s="33">
        <v>0.27419354838709675</v>
      </c>
      <c r="M16" s="33">
        <v>0.20161290322580644</v>
      </c>
      <c r="N16" s="33">
        <v>0.58823529411764708</v>
      </c>
      <c r="O16" s="33">
        <v>0.48</v>
      </c>
      <c r="P16" s="33">
        <v>0.45238095238095238</v>
      </c>
    </row>
    <row r="17" spans="1:16" x14ac:dyDescent="0.45">
      <c r="A17" s="35">
        <v>14</v>
      </c>
      <c r="B17" s="32">
        <v>240.09999999999997</v>
      </c>
      <c r="C17" s="32">
        <v>17.149999999999999</v>
      </c>
      <c r="D17" s="37">
        <v>1.5714285714285714</v>
      </c>
      <c r="E17" s="33">
        <v>0.6428571428571429</v>
      </c>
      <c r="F17" s="33">
        <v>0.21428571428571427</v>
      </c>
      <c r="G17" s="33">
        <v>0.35820895522388058</v>
      </c>
      <c r="H17" s="33">
        <v>0.13432835820895522</v>
      </c>
      <c r="I17" s="34">
        <v>8039.583333333333</v>
      </c>
      <c r="J17" s="34">
        <v>-5444.4444444444443</v>
      </c>
      <c r="K17" s="33">
        <v>0</v>
      </c>
      <c r="L17" s="33">
        <v>0.26865671641791045</v>
      </c>
      <c r="M17" s="33">
        <v>0.20895522388059701</v>
      </c>
      <c r="N17" s="33">
        <v>0.58333333333333337</v>
      </c>
      <c r="O17" s="33">
        <v>0.5357142857142857</v>
      </c>
      <c r="P17" s="33">
        <v>0.5</v>
      </c>
    </row>
    <row r="18" spans="1:16" x14ac:dyDescent="0.45">
      <c r="A18" s="35">
        <v>15</v>
      </c>
      <c r="B18" s="32">
        <v>269.49999999999994</v>
      </c>
      <c r="C18" s="32">
        <v>17.966666666666661</v>
      </c>
      <c r="D18" s="37">
        <v>1.5333333333333334</v>
      </c>
      <c r="E18" s="33">
        <v>0.66666666666666663</v>
      </c>
      <c r="F18" s="33">
        <v>0.2</v>
      </c>
      <c r="G18" s="33">
        <v>0.36363636363636365</v>
      </c>
      <c r="H18" s="33">
        <v>0.13286713286713286</v>
      </c>
      <c r="I18" s="34">
        <v>7890.3846153846152</v>
      </c>
      <c r="J18" s="34">
        <v>-5236.8421052631575</v>
      </c>
      <c r="K18" s="33">
        <v>0</v>
      </c>
      <c r="L18" s="33">
        <v>0.27972027972027974</v>
      </c>
      <c r="M18" s="33">
        <v>0.20279720279720279</v>
      </c>
      <c r="N18" s="33">
        <v>0.57499999999999996</v>
      </c>
      <c r="O18" s="33">
        <v>0.55172413793103448</v>
      </c>
      <c r="P18" s="33">
        <v>0.5</v>
      </c>
    </row>
    <row r="19" spans="1:16" x14ac:dyDescent="0.45">
      <c r="A19" s="35">
        <v>16</v>
      </c>
      <c r="B19" s="32">
        <v>323.69999999999993</v>
      </c>
      <c r="C19" s="32">
        <v>20.231249999999996</v>
      </c>
      <c r="D19" s="37">
        <v>1.5</v>
      </c>
      <c r="E19" s="33">
        <v>0.6875</v>
      </c>
      <c r="F19" s="33">
        <v>0.1875</v>
      </c>
      <c r="G19" s="33">
        <v>0.375</v>
      </c>
      <c r="H19" s="33">
        <v>0.125</v>
      </c>
      <c r="I19" s="34">
        <v>8029.8245614035086</v>
      </c>
      <c r="J19" s="34">
        <v>-5236.8421052631575</v>
      </c>
      <c r="K19" s="33">
        <v>0</v>
      </c>
      <c r="L19" s="33">
        <v>0.27631578947368424</v>
      </c>
      <c r="M19" s="33">
        <v>0.21710526315789475</v>
      </c>
      <c r="N19" s="33">
        <v>0.5714285714285714</v>
      </c>
      <c r="O19" s="33">
        <v>0.60606060606060608</v>
      </c>
      <c r="P19" s="33">
        <v>0.50877192982456143</v>
      </c>
    </row>
    <row r="20" spans="1:16" x14ac:dyDescent="0.45">
      <c r="A20" s="35">
        <v>17</v>
      </c>
      <c r="B20" s="32">
        <v>359.09999999999991</v>
      </c>
      <c r="C20" s="32">
        <v>21.1235294117647</v>
      </c>
      <c r="D20" s="37">
        <v>1.4705882352941178</v>
      </c>
      <c r="E20" s="33">
        <v>0.70588235294117652</v>
      </c>
      <c r="F20" s="33">
        <v>0.17647058823529413</v>
      </c>
      <c r="G20" s="33">
        <v>0.38650306748466257</v>
      </c>
      <c r="H20" s="33">
        <v>0.12883435582822086</v>
      </c>
      <c r="I20" s="34">
        <v>7984.1269841269841</v>
      </c>
      <c r="J20" s="34">
        <v>-5685.7142857142853</v>
      </c>
      <c r="K20" s="33">
        <v>0</v>
      </c>
      <c r="L20" s="33">
        <v>0.27607361963190186</v>
      </c>
      <c r="M20" s="33">
        <v>0.21472392638036811</v>
      </c>
      <c r="N20" s="33">
        <v>0.57777777777777772</v>
      </c>
      <c r="O20" s="33">
        <v>0.62857142857142856</v>
      </c>
      <c r="P20" s="33">
        <v>0.47619047619047616</v>
      </c>
    </row>
    <row r="21" spans="1:16" x14ac:dyDescent="0.45">
      <c r="A21" s="35">
        <v>18</v>
      </c>
      <c r="B21" s="32">
        <v>352.39999999999992</v>
      </c>
      <c r="C21" s="32">
        <v>19.577777777777772</v>
      </c>
      <c r="D21" s="37">
        <v>1.5</v>
      </c>
      <c r="E21" s="33">
        <v>0.66666666666666663</v>
      </c>
      <c r="F21" s="33">
        <v>0.16666666666666666</v>
      </c>
      <c r="G21" s="33">
        <v>0.38323353293413176</v>
      </c>
      <c r="H21" s="33">
        <v>0.12574850299401197</v>
      </c>
      <c r="I21" s="34">
        <v>7879.6875</v>
      </c>
      <c r="J21" s="34">
        <v>-5685.7142857142853</v>
      </c>
      <c r="K21" s="33">
        <v>0</v>
      </c>
      <c r="L21" s="33">
        <v>0.27544910179640719</v>
      </c>
      <c r="M21" s="33">
        <v>0.20958083832335328</v>
      </c>
      <c r="N21" s="33">
        <v>0.58695652173913049</v>
      </c>
      <c r="O21" s="33">
        <v>0.62857142857142856</v>
      </c>
      <c r="P21" s="33">
        <v>0.46875</v>
      </c>
    </row>
    <row r="22" spans="1:16" x14ac:dyDescent="0.45">
      <c r="A22" s="35">
        <v>19</v>
      </c>
      <c r="B22" s="32">
        <v>383.19999999999993</v>
      </c>
      <c r="C22" s="32">
        <v>20.168421052631576</v>
      </c>
      <c r="D22" s="37">
        <v>1.4736842105263157</v>
      </c>
      <c r="E22" s="33">
        <v>0.68421052631578949</v>
      </c>
      <c r="F22" s="33">
        <v>0.15789473684210525</v>
      </c>
      <c r="G22" s="33">
        <v>0.38983050847457629</v>
      </c>
      <c r="H22" s="33">
        <v>0.12429378531073447</v>
      </c>
      <c r="I22" s="34">
        <v>7834.782608695652</v>
      </c>
      <c r="J22" s="34">
        <v>-5972.727272727273</v>
      </c>
      <c r="K22" s="33">
        <v>0</v>
      </c>
      <c r="L22" s="33">
        <v>0.28813559322033899</v>
      </c>
      <c r="M22" s="33">
        <v>0.20903954802259886</v>
      </c>
      <c r="N22" s="33">
        <v>0.60784313725490191</v>
      </c>
      <c r="O22" s="33">
        <v>0.6216216216216216</v>
      </c>
      <c r="P22" s="33">
        <v>0.46376811594202899</v>
      </c>
    </row>
    <row r="23" spans="1:16" x14ac:dyDescent="0.45">
      <c r="A23" s="35">
        <v>20</v>
      </c>
      <c r="B23" s="32">
        <v>365.49999999999994</v>
      </c>
      <c r="C23" s="32">
        <v>18.274999999999999</v>
      </c>
      <c r="D23" s="37">
        <v>1.5</v>
      </c>
      <c r="E23" s="33">
        <v>0.65</v>
      </c>
      <c r="F23" s="33">
        <v>0.15</v>
      </c>
      <c r="G23" s="33">
        <v>0.37634408602150538</v>
      </c>
      <c r="H23" s="33">
        <v>0.13440860215053763</v>
      </c>
      <c r="I23" s="34">
        <v>7888.5714285714284</v>
      </c>
      <c r="J23" s="34">
        <v>-6096</v>
      </c>
      <c r="K23" s="33">
        <v>0</v>
      </c>
      <c r="L23" s="33">
        <v>0.27956989247311825</v>
      </c>
      <c r="M23" s="33">
        <v>0.22043010752688172</v>
      </c>
      <c r="N23" s="33">
        <v>0.59615384615384615</v>
      </c>
      <c r="O23" s="33">
        <v>0.58536585365853655</v>
      </c>
      <c r="P23" s="33">
        <v>0.47142857142857142</v>
      </c>
    </row>
    <row r="24" spans="1:16" x14ac:dyDescent="0.45">
      <c r="A24" s="35">
        <v>21</v>
      </c>
      <c r="B24" s="32">
        <v>371.39999999999992</v>
      </c>
      <c r="C24" s="32">
        <v>17.685714285714283</v>
      </c>
      <c r="D24" s="37">
        <v>1.5238095238095237</v>
      </c>
      <c r="E24" s="33">
        <v>0.61904761904761907</v>
      </c>
      <c r="F24" s="33">
        <v>0.14285714285714285</v>
      </c>
      <c r="G24" s="33">
        <v>0.375</v>
      </c>
      <c r="H24" s="33">
        <v>0.13541666666666666</v>
      </c>
      <c r="I24" s="34">
        <v>8168.0555555555557</v>
      </c>
      <c r="J24" s="34">
        <v>-6553.8461538461543</v>
      </c>
      <c r="K24" s="33">
        <v>0</v>
      </c>
      <c r="L24" s="33">
        <v>0.28125</v>
      </c>
      <c r="M24" s="33">
        <v>0.21354166666666666</v>
      </c>
      <c r="N24" s="33">
        <v>0.59259259259259256</v>
      </c>
      <c r="O24" s="33">
        <v>0.58536585365853655</v>
      </c>
      <c r="P24" s="33">
        <v>0.47222222222222221</v>
      </c>
    </row>
    <row r="25" spans="1:16" x14ac:dyDescent="0.45">
      <c r="A25" s="35">
        <v>22</v>
      </c>
      <c r="B25" s="32">
        <v>414.2999999999999</v>
      </c>
      <c r="C25" s="32">
        <v>18.831818181818178</v>
      </c>
      <c r="D25" s="37">
        <v>1.5</v>
      </c>
      <c r="E25" s="33">
        <v>0.63636363636363635</v>
      </c>
      <c r="F25" s="33">
        <v>0.13636363636363635</v>
      </c>
      <c r="G25" s="33">
        <v>0.38805970149253732</v>
      </c>
      <c r="H25" s="33">
        <v>0.13432835820895522</v>
      </c>
      <c r="I25" s="34">
        <v>8025.6410256410254</v>
      </c>
      <c r="J25" s="34">
        <v>-6385.1851851851852</v>
      </c>
      <c r="K25" s="33">
        <v>0</v>
      </c>
      <c r="L25" s="33">
        <v>0.28358208955223879</v>
      </c>
      <c r="M25" s="33">
        <v>0.22388059701492538</v>
      </c>
      <c r="N25" s="33">
        <v>0.61403508771929827</v>
      </c>
      <c r="O25" s="33">
        <v>0.6</v>
      </c>
      <c r="P25" s="33">
        <v>0.46153846153846156</v>
      </c>
    </row>
    <row r="26" spans="1:16" x14ac:dyDescent="0.45">
      <c r="A26" s="35">
        <v>23</v>
      </c>
      <c r="B26" s="32">
        <v>356.2999999999999</v>
      </c>
      <c r="C26" s="32">
        <v>15.491304347826082</v>
      </c>
      <c r="D26" s="37">
        <v>1.5652173913043479</v>
      </c>
      <c r="E26" s="33">
        <v>0.60869565217391308</v>
      </c>
      <c r="F26" s="33">
        <v>0.17391304347826086</v>
      </c>
      <c r="G26" s="33">
        <v>0.38613861386138615</v>
      </c>
      <c r="H26" s="33">
        <v>0.13861386138613863</v>
      </c>
      <c r="I26" s="34">
        <v>8025.6410256410254</v>
      </c>
      <c r="J26" s="34">
        <v>-7871.4285714285716</v>
      </c>
      <c r="K26" s="33">
        <v>4.3478260869565216E-2</v>
      </c>
      <c r="L26" s="33">
        <v>0.28217821782178215</v>
      </c>
      <c r="M26" s="33">
        <v>0.22277227722772278</v>
      </c>
      <c r="N26" s="33">
        <v>0.61403508771929827</v>
      </c>
      <c r="O26" s="33">
        <v>0.6</v>
      </c>
      <c r="P26" s="33">
        <v>0.46153846153846156</v>
      </c>
    </row>
    <row r="27" spans="1:16" x14ac:dyDescent="0.45">
      <c r="A27" s="35">
        <v>24</v>
      </c>
      <c r="B27" s="32">
        <v>329.89999999999992</v>
      </c>
      <c r="C27" s="32">
        <v>13.74583333333333</v>
      </c>
      <c r="D27" s="37">
        <v>1.625</v>
      </c>
      <c r="E27" s="33">
        <v>0.58333333333333337</v>
      </c>
      <c r="F27" s="33">
        <v>0.20833333333333334</v>
      </c>
      <c r="G27" s="33">
        <v>0.37799043062200954</v>
      </c>
      <c r="H27" s="33">
        <v>0.13875598086124402</v>
      </c>
      <c r="I27" s="34">
        <v>8151.8987341772154</v>
      </c>
      <c r="J27" s="34">
        <v>-7734.4827586206893</v>
      </c>
      <c r="K27" s="33">
        <v>4.1666666666666664E-2</v>
      </c>
      <c r="L27" s="33">
        <v>0.28708133971291866</v>
      </c>
      <c r="M27" s="33">
        <v>0.22966507177033493</v>
      </c>
      <c r="N27" s="33">
        <v>0.6</v>
      </c>
      <c r="O27" s="33">
        <v>0.5625</v>
      </c>
      <c r="P27" s="33">
        <v>0.46835443037974683</v>
      </c>
    </row>
    <row r="28" spans="1:16" x14ac:dyDescent="0.45">
      <c r="A28" s="35">
        <v>25</v>
      </c>
      <c r="B28" s="32">
        <v>294.99999999999994</v>
      </c>
      <c r="C28" s="32">
        <v>11.799999999999997</v>
      </c>
      <c r="D28" s="37">
        <v>1.68</v>
      </c>
      <c r="E28" s="33">
        <v>0.56000000000000005</v>
      </c>
      <c r="F28" s="33">
        <v>0.24</v>
      </c>
      <c r="G28" s="33">
        <v>0.3686635944700461</v>
      </c>
      <c r="H28" s="33">
        <v>0.14746543778801843</v>
      </c>
      <c r="I28" s="34">
        <v>8068.75</v>
      </c>
      <c r="J28" s="34">
        <v>-7709.375</v>
      </c>
      <c r="K28" s="33">
        <v>0.04</v>
      </c>
      <c r="L28" s="33">
        <v>0.28110599078341014</v>
      </c>
      <c r="M28" s="33">
        <v>0.23502304147465439</v>
      </c>
      <c r="N28" s="33">
        <v>0.5901639344262295</v>
      </c>
      <c r="O28" s="33">
        <v>0.5490196078431373</v>
      </c>
      <c r="P28" s="33">
        <v>0.46250000000000002</v>
      </c>
    </row>
    <row r="29" spans="1:16" x14ac:dyDescent="0.45">
      <c r="A29" s="35">
        <v>26</v>
      </c>
      <c r="B29" s="32">
        <v>329.29999999999995</v>
      </c>
      <c r="C29" s="32">
        <v>12.665384615384614</v>
      </c>
      <c r="D29" s="37">
        <v>1.6538461538461537</v>
      </c>
      <c r="E29" s="33">
        <v>0.57692307692307687</v>
      </c>
      <c r="F29" s="33">
        <v>0.23076923076923078</v>
      </c>
      <c r="G29" s="33">
        <v>0.375</v>
      </c>
      <c r="H29" s="33">
        <v>0.14732142857142858</v>
      </c>
      <c r="I29" s="34">
        <v>8077.3809523809523</v>
      </c>
      <c r="J29" s="34">
        <v>-7709.090909090909</v>
      </c>
      <c r="K29" s="33">
        <v>3.8461538461538464E-2</v>
      </c>
      <c r="L29" s="33">
        <v>0.28125</v>
      </c>
      <c r="M29" s="33">
        <v>0.24553571428571427</v>
      </c>
      <c r="N29" s="33">
        <v>0.60317460317460314</v>
      </c>
      <c r="O29" s="33">
        <v>0.52727272727272723</v>
      </c>
      <c r="P29" s="33">
        <v>0.4642857142857143</v>
      </c>
    </row>
    <row r="30" spans="1:16" x14ac:dyDescent="0.45">
      <c r="A30" s="35">
        <v>27</v>
      </c>
      <c r="B30" s="32">
        <v>362.4</v>
      </c>
      <c r="C30" s="32">
        <v>13.422222222222221</v>
      </c>
      <c r="D30" s="37">
        <v>1.6296296296296295</v>
      </c>
      <c r="E30" s="33">
        <v>0.59259259259259256</v>
      </c>
      <c r="F30" s="33">
        <v>0.22222222222222221</v>
      </c>
      <c r="G30" s="33">
        <v>0.37872340425531914</v>
      </c>
      <c r="H30" s="33">
        <v>0.14468085106382977</v>
      </c>
      <c r="I30" s="34">
        <v>8033.7078651685397</v>
      </c>
      <c r="J30" s="34">
        <v>-7823.5294117647063</v>
      </c>
      <c r="K30" s="33">
        <v>3.7037037037037035E-2</v>
      </c>
      <c r="L30" s="33">
        <v>0.27659574468085107</v>
      </c>
      <c r="M30" s="33">
        <v>0.24680851063829787</v>
      </c>
      <c r="N30" s="33">
        <v>0.61538461538461542</v>
      </c>
      <c r="O30" s="33">
        <v>0.53448275862068961</v>
      </c>
      <c r="P30" s="33">
        <v>0.43820224719101125</v>
      </c>
    </row>
    <row r="31" spans="1:16" x14ac:dyDescent="0.45">
      <c r="A31" s="35">
        <v>28</v>
      </c>
      <c r="B31" s="32">
        <v>375.79999999999995</v>
      </c>
      <c r="C31" s="32">
        <v>13.421428571428569</v>
      </c>
      <c r="D31" s="37">
        <v>1.6428571428571428</v>
      </c>
      <c r="E31" s="33">
        <v>0.5714285714285714</v>
      </c>
      <c r="F31" s="33">
        <v>0.21428571428571427</v>
      </c>
      <c r="G31" s="33">
        <v>0.37398373983739835</v>
      </c>
      <c r="H31" s="33">
        <v>0.14227642276422764</v>
      </c>
      <c r="I31" s="34">
        <v>8228.2608695652179</v>
      </c>
      <c r="J31" s="34">
        <v>-7828.5714285714284</v>
      </c>
      <c r="K31" s="33">
        <v>3.5714285714285712E-2</v>
      </c>
      <c r="L31" s="33">
        <v>0.27642276422764228</v>
      </c>
      <c r="M31" s="33">
        <v>0.24796747967479674</v>
      </c>
      <c r="N31" s="33">
        <v>0.6029411764705882</v>
      </c>
      <c r="O31" s="33">
        <v>0.54098360655737709</v>
      </c>
      <c r="P31" s="33">
        <v>0.42391304347826086</v>
      </c>
    </row>
    <row r="32" spans="1:16" x14ac:dyDescent="0.45">
      <c r="A32" s="35">
        <v>29</v>
      </c>
      <c r="B32" s="32">
        <v>381.09999999999997</v>
      </c>
      <c r="C32" s="32">
        <v>13.141379310344826</v>
      </c>
      <c r="D32" s="37">
        <v>1.6551724137931034</v>
      </c>
      <c r="E32" s="33">
        <v>0.55172413793103448</v>
      </c>
      <c r="F32" s="33">
        <v>0.20689655172413793</v>
      </c>
      <c r="G32" s="33">
        <v>0.37450199203187251</v>
      </c>
      <c r="H32" s="33">
        <v>0.1394422310756972</v>
      </c>
      <c r="I32" s="34">
        <v>8231.9148936170204</v>
      </c>
      <c r="J32" s="34">
        <v>-7828.5714285714284</v>
      </c>
      <c r="K32" s="33">
        <v>3.4482758620689655E-2</v>
      </c>
      <c r="L32" s="33">
        <v>0.27490039840637448</v>
      </c>
      <c r="M32" s="33">
        <v>0.24701195219123506</v>
      </c>
      <c r="N32" s="33">
        <v>0.59420289855072461</v>
      </c>
      <c r="O32" s="33">
        <v>0.54838709677419351</v>
      </c>
      <c r="P32" s="33">
        <v>0.42553191489361702</v>
      </c>
    </row>
    <row r="33" spans="1:16" x14ac:dyDescent="0.45">
      <c r="A33" s="35">
        <v>30</v>
      </c>
      <c r="B33" s="32">
        <v>340.79999999999995</v>
      </c>
      <c r="C33" s="32">
        <v>11.359999999999998</v>
      </c>
      <c r="D33" s="37">
        <v>1.7</v>
      </c>
      <c r="E33" s="33">
        <v>0.53333333333333333</v>
      </c>
      <c r="F33" s="33">
        <v>0.23333333333333334</v>
      </c>
      <c r="G33" s="33">
        <v>0.36121673003802279</v>
      </c>
      <c r="H33" s="33">
        <v>0.13688212927756654</v>
      </c>
      <c r="I33" s="34">
        <v>8172.6315789473683</v>
      </c>
      <c r="J33" s="34">
        <v>-7755.5555555555557</v>
      </c>
      <c r="K33" s="33">
        <v>3.3333333333333333E-2</v>
      </c>
      <c r="L33" s="33">
        <v>0.26615969581749049</v>
      </c>
      <c r="M33" s="33">
        <v>0.24714828897338403</v>
      </c>
      <c r="N33" s="33">
        <v>0.58571428571428574</v>
      </c>
      <c r="O33" s="33">
        <v>0.53846153846153844</v>
      </c>
      <c r="P33" s="33">
        <v>0.42105263157894735</v>
      </c>
    </row>
    <row r="34" spans="1:16" x14ac:dyDescent="0.45">
      <c r="A34" s="35">
        <v>31</v>
      </c>
      <c r="B34" s="32">
        <v>319.49999999999994</v>
      </c>
      <c r="C34" s="32">
        <v>10.306451612903224</v>
      </c>
      <c r="D34" s="37">
        <v>1.7419354838709677</v>
      </c>
      <c r="E34" s="33">
        <v>0.5161290322580645</v>
      </c>
      <c r="F34" s="33">
        <v>0.25806451612903225</v>
      </c>
      <c r="G34" s="33">
        <v>0.35636363636363638</v>
      </c>
      <c r="H34" s="33">
        <v>0.13818181818181818</v>
      </c>
      <c r="I34" s="34">
        <v>8070.408163265306</v>
      </c>
      <c r="J34" s="34">
        <v>-7636.8421052631575</v>
      </c>
      <c r="K34" s="33">
        <v>3.2258064516129031E-2</v>
      </c>
      <c r="L34" s="33">
        <v>0.25818181818181818</v>
      </c>
      <c r="M34" s="33">
        <v>0.24363636363636362</v>
      </c>
      <c r="N34" s="33">
        <v>0.59154929577464788</v>
      </c>
      <c r="O34" s="33">
        <v>0.52238805970149249</v>
      </c>
      <c r="P34" s="33">
        <v>0.42857142857142855</v>
      </c>
    </row>
    <row r="35" spans="1:16" x14ac:dyDescent="0.45">
      <c r="A35" s="35">
        <v>32</v>
      </c>
      <c r="B35" s="32">
        <v>349.39999999999992</v>
      </c>
      <c r="C35" s="32">
        <v>10.918749999999998</v>
      </c>
      <c r="D35" s="37">
        <v>1.71875</v>
      </c>
      <c r="E35" s="33">
        <v>0.53125</v>
      </c>
      <c r="F35" s="33">
        <v>0.25</v>
      </c>
      <c r="G35" s="33">
        <v>0.35563380281690143</v>
      </c>
      <c r="H35" s="33">
        <v>0.13380281690140844</v>
      </c>
      <c r="I35" s="34">
        <v>8027.7227722772277</v>
      </c>
      <c r="J35" s="34">
        <v>-7636.8421052631575</v>
      </c>
      <c r="K35" s="33">
        <v>3.125E-2</v>
      </c>
      <c r="L35" s="33">
        <v>0.25352112676056338</v>
      </c>
      <c r="M35" s="33">
        <v>0.23943661971830985</v>
      </c>
      <c r="N35" s="33">
        <v>0.59722222222222221</v>
      </c>
      <c r="O35" s="33">
        <v>0.52941176470588236</v>
      </c>
      <c r="P35" s="33">
        <v>0.42574257425742573</v>
      </c>
    </row>
    <row r="36" spans="1:16" x14ac:dyDescent="0.45">
      <c r="A36" s="35">
        <v>33</v>
      </c>
      <c r="B36" s="32">
        <v>349.19999999999993</v>
      </c>
      <c r="C36" s="32">
        <v>10.58181818181818</v>
      </c>
      <c r="D36" s="37">
        <v>1.7272727272727273</v>
      </c>
      <c r="E36" s="33">
        <v>0.51515151515151514</v>
      </c>
      <c r="F36" s="33">
        <v>0.24242424242424243</v>
      </c>
      <c r="G36" s="33">
        <v>0.35395189003436428</v>
      </c>
      <c r="H36" s="33">
        <v>0.13058419243986255</v>
      </c>
      <c r="I36" s="34">
        <v>7918.4466019417478</v>
      </c>
      <c r="J36" s="34">
        <v>-7636.8421052631575</v>
      </c>
      <c r="K36" s="33">
        <v>3.0303030303030304E-2</v>
      </c>
      <c r="L36" s="33">
        <v>0.25085910652920962</v>
      </c>
      <c r="M36" s="33">
        <v>0.23711340206185566</v>
      </c>
      <c r="N36" s="33">
        <v>0.60273972602739723</v>
      </c>
      <c r="O36" s="33">
        <v>0.53623188405797106</v>
      </c>
      <c r="P36" s="33">
        <v>0.42718446601941745</v>
      </c>
    </row>
    <row r="37" spans="1:16" x14ac:dyDescent="0.45">
      <c r="A37" s="35">
        <v>34</v>
      </c>
      <c r="B37" s="32">
        <v>374.49999999999994</v>
      </c>
      <c r="C37" s="32">
        <v>11.01470588235294</v>
      </c>
      <c r="D37" s="37">
        <v>1.7058823529411764</v>
      </c>
      <c r="E37" s="33">
        <v>0.52941176470588236</v>
      </c>
      <c r="F37" s="33">
        <v>0.23529411764705882</v>
      </c>
      <c r="G37" s="33">
        <v>0.34883720930232559</v>
      </c>
      <c r="H37" s="33">
        <v>0.12624584717607973</v>
      </c>
      <c r="I37" s="34">
        <v>8053.333333333333</v>
      </c>
      <c r="J37" s="34">
        <v>-7636.8421052631575</v>
      </c>
      <c r="K37" s="33">
        <v>2.9411764705882353E-2</v>
      </c>
      <c r="L37" s="33">
        <v>0.24916943521594684</v>
      </c>
      <c r="M37" s="33">
        <v>0.2292358803986711</v>
      </c>
      <c r="N37" s="33">
        <v>0.61333333333333329</v>
      </c>
      <c r="O37" s="33">
        <v>0.53623188405797106</v>
      </c>
      <c r="P37" s="33">
        <v>0.42857142857142855</v>
      </c>
    </row>
    <row r="38" spans="1:16" x14ac:dyDescent="0.45">
      <c r="A38" s="35">
        <v>35</v>
      </c>
      <c r="B38" s="32">
        <v>357.89999999999992</v>
      </c>
      <c r="C38" s="32">
        <v>10.225714285714284</v>
      </c>
      <c r="D38" s="37">
        <v>1.7428571428571429</v>
      </c>
      <c r="E38" s="33">
        <v>0.51428571428571423</v>
      </c>
      <c r="F38" s="33">
        <v>0.25714285714285712</v>
      </c>
      <c r="G38" s="33">
        <v>0.34083601286173631</v>
      </c>
      <c r="H38" s="33">
        <v>0.13183279742765272</v>
      </c>
      <c r="I38" s="34">
        <v>8090.566037735849</v>
      </c>
      <c r="J38" s="34">
        <v>-7536.5853658536589</v>
      </c>
      <c r="K38" s="33">
        <v>2.8571428571428571E-2</v>
      </c>
      <c r="L38" s="33">
        <v>0.24758842443729903</v>
      </c>
      <c r="M38" s="33">
        <v>0.22508038585209003</v>
      </c>
      <c r="N38" s="33">
        <v>0.61038961038961037</v>
      </c>
      <c r="O38" s="33">
        <v>0.52857142857142858</v>
      </c>
      <c r="P38" s="33">
        <v>0.43396226415094341</v>
      </c>
    </row>
    <row r="39" spans="1:16" x14ac:dyDescent="0.45">
      <c r="A39" s="35">
        <v>36</v>
      </c>
      <c r="B39" s="32">
        <v>312.09999999999991</v>
      </c>
      <c r="C39" s="32">
        <v>8.6694444444444425</v>
      </c>
      <c r="D39" s="37">
        <v>1.7777777777777777</v>
      </c>
      <c r="E39" s="33">
        <v>0.5</v>
      </c>
      <c r="F39" s="33">
        <v>0.27777777777777779</v>
      </c>
      <c r="G39" s="33">
        <v>0.33650793650793653</v>
      </c>
      <c r="H39" s="33">
        <v>0.13968253968253969</v>
      </c>
      <c r="I39" s="34">
        <v>8090.566037735849</v>
      </c>
      <c r="J39" s="34">
        <v>-7722.727272727273</v>
      </c>
      <c r="K39" s="33">
        <v>5.5555555555555552E-2</v>
      </c>
      <c r="L39" s="33">
        <v>0.24761904761904763</v>
      </c>
      <c r="M39" s="33">
        <v>0.22222222222222221</v>
      </c>
      <c r="N39" s="33">
        <v>0.60256410256410253</v>
      </c>
      <c r="O39" s="33">
        <v>0.52857142857142858</v>
      </c>
      <c r="P39" s="33">
        <v>0.43396226415094341</v>
      </c>
    </row>
    <row r="40" spans="1:16" x14ac:dyDescent="0.45">
      <c r="A40" s="35">
        <v>37</v>
      </c>
      <c r="B40" s="32">
        <v>325.09999999999991</v>
      </c>
      <c r="C40" s="32">
        <v>8.7864864864864849</v>
      </c>
      <c r="D40" s="37">
        <v>1.7567567567567568</v>
      </c>
      <c r="E40" s="33">
        <v>0.51351351351351349</v>
      </c>
      <c r="F40" s="33">
        <v>0.27027027027027029</v>
      </c>
      <c r="G40" s="33">
        <v>0.3364485981308411</v>
      </c>
      <c r="H40" s="33">
        <v>0.13707165109034267</v>
      </c>
      <c r="I40" s="34">
        <v>8024.0740740740739</v>
      </c>
      <c r="J40" s="34">
        <v>-7722.727272727273</v>
      </c>
      <c r="K40" s="33">
        <v>5.4054054054054057E-2</v>
      </c>
      <c r="L40" s="33">
        <v>0.24610591900311526</v>
      </c>
      <c r="M40" s="33">
        <v>0.22118380062305296</v>
      </c>
      <c r="N40" s="33">
        <v>0.60759493670886078</v>
      </c>
      <c r="O40" s="33">
        <v>0.53521126760563376</v>
      </c>
      <c r="P40" s="33">
        <v>0.42592592592592593</v>
      </c>
    </row>
    <row r="41" spans="1:16" x14ac:dyDescent="0.45">
      <c r="A41" s="35">
        <v>38</v>
      </c>
      <c r="B41" s="32">
        <v>360.49999999999989</v>
      </c>
      <c r="C41" s="32">
        <v>9.4868421052631557</v>
      </c>
      <c r="D41" s="37">
        <v>1.736842105263158</v>
      </c>
      <c r="E41" s="33">
        <v>0.52631578947368418</v>
      </c>
      <c r="F41" s="33">
        <v>0.26315789473684209</v>
      </c>
      <c r="G41" s="33">
        <v>0.34042553191489361</v>
      </c>
      <c r="H41" s="33">
        <v>0.13677811550151975</v>
      </c>
      <c r="I41" s="34">
        <v>7992.8571428571431</v>
      </c>
      <c r="J41" s="34">
        <v>-7595.5555555555557</v>
      </c>
      <c r="K41" s="33">
        <v>5.2631578947368418E-2</v>
      </c>
      <c r="L41" s="33">
        <v>0.24316109422492402</v>
      </c>
      <c r="M41" s="33">
        <v>0.22492401215805471</v>
      </c>
      <c r="N41" s="33">
        <v>0.61250000000000004</v>
      </c>
      <c r="O41" s="33">
        <v>0.54054054054054057</v>
      </c>
      <c r="P41" s="33">
        <v>0.42857142857142855</v>
      </c>
    </row>
    <row r="42" spans="1:16" x14ac:dyDescent="0.45">
      <c r="A42" s="35">
        <v>39</v>
      </c>
      <c r="B42" s="32">
        <v>365.39999999999986</v>
      </c>
      <c r="C42" s="32">
        <v>9.3692307692307661</v>
      </c>
      <c r="D42" s="37">
        <v>1.7435897435897436</v>
      </c>
      <c r="E42" s="33">
        <v>0.51282051282051277</v>
      </c>
      <c r="F42" s="33">
        <v>0.25641025641025639</v>
      </c>
      <c r="G42" s="33">
        <v>0.33731343283582088</v>
      </c>
      <c r="H42" s="33">
        <v>0.13432835820895522</v>
      </c>
      <c r="I42" s="34">
        <v>7968.141592920354</v>
      </c>
      <c r="J42" s="34">
        <v>-7595.5555555555557</v>
      </c>
      <c r="K42" s="33">
        <v>5.128205128205128E-2</v>
      </c>
      <c r="L42" s="33">
        <v>0.24477611940298508</v>
      </c>
      <c r="M42" s="33">
        <v>0.22388059701492538</v>
      </c>
      <c r="N42" s="33">
        <v>0.6097560975609756</v>
      </c>
      <c r="O42" s="33">
        <v>0.53333333333333333</v>
      </c>
      <c r="P42" s="33">
        <v>0.4247787610619469</v>
      </c>
    </row>
    <row r="43" spans="1:16" x14ac:dyDescent="0.45">
      <c r="A43" s="35">
        <v>40</v>
      </c>
      <c r="B43" s="32">
        <v>398.79999999999984</v>
      </c>
      <c r="C43" s="32">
        <v>9.9699999999999953</v>
      </c>
      <c r="D43" s="37">
        <v>1.7250000000000001</v>
      </c>
      <c r="E43" s="33">
        <v>0.52500000000000002</v>
      </c>
      <c r="F43" s="33">
        <v>0.25</v>
      </c>
      <c r="G43" s="33">
        <v>0.33819241982507287</v>
      </c>
      <c r="H43" s="33">
        <v>0.13119533527696792</v>
      </c>
      <c r="I43" s="34">
        <v>8048.2758620689656</v>
      </c>
      <c r="J43" s="34">
        <v>-7595.5555555555557</v>
      </c>
      <c r="K43" s="33">
        <v>0.05</v>
      </c>
      <c r="L43" s="33">
        <v>0.24489795918367346</v>
      </c>
      <c r="M43" s="33">
        <v>0.22157434402332363</v>
      </c>
      <c r="N43" s="33">
        <v>0.61904761904761907</v>
      </c>
      <c r="O43" s="33">
        <v>0.52631578947368418</v>
      </c>
      <c r="P43" s="33">
        <v>0.43103448275862066</v>
      </c>
    </row>
    <row r="44" spans="1:16" x14ac:dyDescent="0.45">
      <c r="A44" s="35">
        <v>41</v>
      </c>
      <c r="B44" s="32">
        <v>399.89999999999986</v>
      </c>
      <c r="C44" s="32">
        <v>9.7536585365853625</v>
      </c>
      <c r="D44" s="37">
        <v>1.7317073170731707</v>
      </c>
      <c r="E44" s="33">
        <v>0.51219512195121952</v>
      </c>
      <c r="F44" s="33">
        <v>0.24390243902439024</v>
      </c>
      <c r="G44" s="33">
        <v>0.33618233618233617</v>
      </c>
      <c r="H44" s="33">
        <v>0.13390313390313391</v>
      </c>
      <c r="I44" s="34">
        <v>8032.2033898305081</v>
      </c>
      <c r="J44" s="34">
        <v>-7465.9574468085102</v>
      </c>
      <c r="K44" s="33">
        <v>4.878048780487805E-2</v>
      </c>
      <c r="L44" s="33">
        <v>0.24501424501424501</v>
      </c>
      <c r="M44" s="33">
        <v>0.21652421652421652</v>
      </c>
      <c r="N44" s="33">
        <v>0.61627906976744184</v>
      </c>
      <c r="O44" s="33">
        <v>0.52631578947368418</v>
      </c>
      <c r="P44" s="33">
        <v>0.44067796610169491</v>
      </c>
    </row>
    <row r="45" spans="1:16" x14ac:dyDescent="0.45">
      <c r="A45" s="35">
        <v>42</v>
      </c>
      <c r="B45" s="32">
        <v>419.29999999999984</v>
      </c>
      <c r="C45" s="32">
        <v>9.983333333333329</v>
      </c>
      <c r="D45" s="37">
        <v>1.7142857142857142</v>
      </c>
      <c r="E45" s="33">
        <v>0.52380952380952384</v>
      </c>
      <c r="F45" s="33">
        <v>0.23809523809523808</v>
      </c>
      <c r="G45" s="33">
        <v>0.34078212290502791</v>
      </c>
      <c r="H45" s="33">
        <v>0.13407821229050279</v>
      </c>
      <c r="I45" s="34">
        <v>7878.688524590164</v>
      </c>
      <c r="J45" s="34">
        <v>-7477.083333333333</v>
      </c>
      <c r="K45" s="33">
        <v>4.7619047619047616E-2</v>
      </c>
      <c r="L45" s="33">
        <v>0.25139664804469275</v>
      </c>
      <c r="M45" s="33">
        <v>0.21508379888268156</v>
      </c>
      <c r="N45" s="33">
        <v>0.61111111111111116</v>
      </c>
      <c r="O45" s="33">
        <v>0.53246753246753242</v>
      </c>
      <c r="P45" s="33">
        <v>0.42622950819672129</v>
      </c>
    </row>
    <row r="46" spans="1:16" x14ac:dyDescent="0.45">
      <c r="A46" s="35">
        <v>43</v>
      </c>
      <c r="B46" s="32">
        <v>424.79999999999984</v>
      </c>
      <c r="C46" s="32">
        <v>9.8790697674418571</v>
      </c>
      <c r="D46" s="37">
        <v>1.7209302325581395</v>
      </c>
      <c r="E46" s="33">
        <v>0.51162790697674421</v>
      </c>
      <c r="F46" s="33">
        <v>0.23255813953488372</v>
      </c>
      <c r="G46" s="33">
        <v>0.34426229508196721</v>
      </c>
      <c r="H46" s="33">
        <v>0.13387978142076504</v>
      </c>
      <c r="I46" s="34">
        <v>7830.9523809523807</v>
      </c>
      <c r="J46" s="34">
        <v>-7651.0204081632655</v>
      </c>
      <c r="K46" s="33">
        <v>4.6511627906976744E-2</v>
      </c>
      <c r="L46" s="33">
        <v>0.25136612021857924</v>
      </c>
      <c r="M46" s="33">
        <v>0.22131147540983606</v>
      </c>
      <c r="N46" s="33">
        <v>0.60869565217391308</v>
      </c>
      <c r="O46" s="33">
        <v>0.54320987654320985</v>
      </c>
      <c r="P46" s="33">
        <v>0.41269841269841268</v>
      </c>
    </row>
    <row r="47" spans="1:16" x14ac:dyDescent="0.45">
      <c r="A47" s="35">
        <v>44</v>
      </c>
      <c r="B47" s="32">
        <v>424.39999999999986</v>
      </c>
      <c r="C47" s="32">
        <v>9.6454545454545428</v>
      </c>
      <c r="D47" s="37">
        <v>1.7272727272727273</v>
      </c>
      <c r="E47" s="33">
        <v>0.5</v>
      </c>
      <c r="F47" s="33">
        <v>0.22727272727272727</v>
      </c>
      <c r="G47" s="33">
        <v>0.34491978609625668</v>
      </c>
      <c r="H47" s="33">
        <v>0.13368983957219252</v>
      </c>
      <c r="I47" s="34">
        <v>7813.1782945736431</v>
      </c>
      <c r="J47" s="34">
        <v>-7730</v>
      </c>
      <c r="K47" s="33">
        <v>4.5454545454545456E-2</v>
      </c>
      <c r="L47" s="33">
        <v>0.25133689839572193</v>
      </c>
      <c r="M47" s="33">
        <v>0.22459893048128343</v>
      </c>
      <c r="N47" s="33">
        <v>0.6063829787234043</v>
      </c>
      <c r="O47" s="33">
        <v>0.54761904761904767</v>
      </c>
      <c r="P47" s="33">
        <v>0.41860465116279072</v>
      </c>
    </row>
    <row r="48" spans="1:16" x14ac:dyDescent="0.45">
      <c r="A48" s="35">
        <v>45</v>
      </c>
      <c r="B48" s="32">
        <v>425.69999999999987</v>
      </c>
      <c r="C48" s="32">
        <v>9.4599999999999973</v>
      </c>
      <c r="D48" s="37">
        <v>1.7333333333333334</v>
      </c>
      <c r="E48" s="33">
        <v>0.48888888888888887</v>
      </c>
      <c r="F48" s="33">
        <v>0.22222222222222221</v>
      </c>
      <c r="G48" s="33">
        <v>0.34383202099737531</v>
      </c>
      <c r="H48" s="33">
        <v>0.13123359580052493</v>
      </c>
      <c r="I48" s="34">
        <v>7805.3435114503818</v>
      </c>
      <c r="J48" s="34">
        <v>-7730</v>
      </c>
      <c r="K48" s="33">
        <v>4.4444444444444446E-2</v>
      </c>
      <c r="L48" s="33">
        <v>0.24934383202099739</v>
      </c>
      <c r="M48" s="33">
        <v>0.22572178477690288</v>
      </c>
      <c r="N48" s="33">
        <v>0.61052631578947369</v>
      </c>
      <c r="O48" s="33">
        <v>0.54651162790697672</v>
      </c>
      <c r="P48" s="33">
        <v>0.41984732824427479</v>
      </c>
    </row>
    <row r="49" spans="1:16" x14ac:dyDescent="0.45">
      <c r="A49" s="35">
        <v>46</v>
      </c>
      <c r="B49" s="32">
        <v>465.7999999999999</v>
      </c>
      <c r="C49" s="32">
        <v>10.126086956521737</v>
      </c>
      <c r="D49" s="37">
        <v>1.7173913043478262</v>
      </c>
      <c r="E49" s="33">
        <v>0.5</v>
      </c>
      <c r="F49" s="33">
        <v>0.21739130434782608</v>
      </c>
      <c r="G49" s="33">
        <v>0.34961439588688947</v>
      </c>
      <c r="H49" s="33">
        <v>0.12853470437017994</v>
      </c>
      <c r="I49" s="34">
        <v>7780.1470588235297</v>
      </c>
      <c r="J49" s="34">
        <v>-7730</v>
      </c>
      <c r="K49" s="33">
        <v>4.3478260869565216E-2</v>
      </c>
      <c r="L49" s="33">
        <v>0.25192802056555269</v>
      </c>
      <c r="M49" s="33">
        <v>0.2262210796915167</v>
      </c>
      <c r="N49" s="33">
        <v>0.61224489795918369</v>
      </c>
      <c r="O49" s="33">
        <v>0.55681818181818177</v>
      </c>
      <c r="P49" s="33">
        <v>0.40441176470588236</v>
      </c>
    </row>
    <row r="50" spans="1:16" x14ac:dyDescent="0.45">
      <c r="A50" s="35">
        <v>47</v>
      </c>
      <c r="B50" s="32">
        <v>419.99999999999989</v>
      </c>
      <c r="C50" s="32">
        <v>8.9361702127659548</v>
      </c>
      <c r="D50" s="37">
        <v>1.7446808510638299</v>
      </c>
      <c r="E50" s="33">
        <v>0.48936170212765956</v>
      </c>
      <c r="F50" s="33">
        <v>0.23404255319148937</v>
      </c>
      <c r="G50" s="33">
        <v>0.34693877551020408</v>
      </c>
      <c r="H50" s="33">
        <v>0.1326530612244898</v>
      </c>
      <c r="I50" s="34">
        <v>7780.1470588235297</v>
      </c>
      <c r="J50" s="34">
        <v>-7611.5384615384619</v>
      </c>
      <c r="K50" s="33">
        <v>6.3829787234042548E-2</v>
      </c>
      <c r="L50" s="33">
        <v>0.25</v>
      </c>
      <c r="M50" s="33">
        <v>0.22448979591836735</v>
      </c>
      <c r="N50" s="33">
        <v>0.61224489795918369</v>
      </c>
      <c r="O50" s="33">
        <v>0.55681818181818177</v>
      </c>
      <c r="P50" s="33">
        <v>0.40441176470588236</v>
      </c>
    </row>
    <row r="51" spans="1:16" x14ac:dyDescent="0.45">
      <c r="A51" s="35">
        <v>48</v>
      </c>
      <c r="B51" s="32">
        <v>424.59999999999991</v>
      </c>
      <c r="C51" s="32">
        <v>8.8458333333333314</v>
      </c>
      <c r="D51" s="37">
        <v>1.75</v>
      </c>
      <c r="E51" s="33">
        <v>0.47916666666666669</v>
      </c>
      <c r="F51" s="33">
        <v>0.22916666666666666</v>
      </c>
      <c r="G51" s="33">
        <v>0.34508816120906799</v>
      </c>
      <c r="H51" s="33">
        <v>0.13098236775818639</v>
      </c>
      <c r="I51" s="34">
        <v>7810.9489051094888</v>
      </c>
      <c r="J51" s="34">
        <v>-7611.5384615384619</v>
      </c>
      <c r="K51" s="33">
        <v>6.25E-2</v>
      </c>
      <c r="L51" s="33">
        <v>0.24685138539042822</v>
      </c>
      <c r="M51" s="33">
        <v>0.22418136020151133</v>
      </c>
      <c r="N51" s="33">
        <v>0.61224489795918369</v>
      </c>
      <c r="O51" s="33">
        <v>0.5617977528089888</v>
      </c>
      <c r="P51" s="33">
        <v>0.40145985401459855</v>
      </c>
    </row>
    <row r="52" spans="1:16" x14ac:dyDescent="0.45">
      <c r="A52" s="35">
        <v>49</v>
      </c>
      <c r="B52" s="32">
        <v>427.39999999999992</v>
      </c>
      <c r="C52" s="32">
        <v>8.7224489795918352</v>
      </c>
      <c r="D52" s="37">
        <v>1.7551020408163265</v>
      </c>
      <c r="E52" s="33">
        <v>0.46938775510204084</v>
      </c>
      <c r="F52" s="33">
        <v>0.22448979591836735</v>
      </c>
      <c r="G52" s="33">
        <v>0.34320987654320989</v>
      </c>
      <c r="H52" s="33">
        <v>0.13333333333333333</v>
      </c>
      <c r="I52" s="34">
        <v>7871.223021582734</v>
      </c>
      <c r="J52" s="34">
        <v>-7509.2592592592591</v>
      </c>
      <c r="K52" s="33">
        <v>6.1224489795918366E-2</v>
      </c>
      <c r="L52" s="33">
        <v>0.24444444444444444</v>
      </c>
      <c r="M52" s="33">
        <v>0.2271604938271605</v>
      </c>
      <c r="N52" s="33">
        <v>0.60606060606060608</v>
      </c>
      <c r="O52" s="33">
        <v>0.56521739130434778</v>
      </c>
      <c r="P52" s="33">
        <v>0.40287769784172661</v>
      </c>
    </row>
    <row r="53" spans="1:16" x14ac:dyDescent="0.45">
      <c r="A53" s="35">
        <v>50</v>
      </c>
      <c r="B53" s="32">
        <v>474.2999999999999</v>
      </c>
      <c r="C53" s="32">
        <v>9.4859999999999971</v>
      </c>
      <c r="D53" s="37">
        <v>1.74</v>
      </c>
      <c r="E53" s="33">
        <v>0.48</v>
      </c>
      <c r="F53" s="33">
        <v>0.22</v>
      </c>
      <c r="G53" s="33">
        <v>0.3471882640586797</v>
      </c>
      <c r="H53" s="33">
        <v>0.13202933985330073</v>
      </c>
      <c r="I53" s="34">
        <v>7943.6619718309857</v>
      </c>
      <c r="J53" s="34">
        <v>-7509.2592592592591</v>
      </c>
      <c r="K53" s="33">
        <v>0.06</v>
      </c>
      <c r="L53" s="33">
        <v>0.24938875305623473</v>
      </c>
      <c r="M53" s="33">
        <v>0.22493887530562348</v>
      </c>
      <c r="N53" s="33">
        <v>0.61764705882352944</v>
      </c>
      <c r="O53" s="33">
        <v>0.56521739130434778</v>
      </c>
      <c r="P53" s="33">
        <v>0.40140845070422537</v>
      </c>
    </row>
    <row r="54" spans="1:16" x14ac:dyDescent="0.45">
      <c r="A54" s="35">
        <v>51</v>
      </c>
      <c r="B54" s="32">
        <v>500.7999999999999</v>
      </c>
      <c r="C54" s="32">
        <v>9.8196078431372538</v>
      </c>
      <c r="D54" s="37">
        <v>1.7254901960784315</v>
      </c>
      <c r="E54" s="33">
        <v>0.49019607843137253</v>
      </c>
      <c r="F54" s="33">
        <v>0.21568627450980393</v>
      </c>
      <c r="G54" s="33">
        <v>0.34523809523809523</v>
      </c>
      <c r="H54" s="33">
        <v>0.13333333333333333</v>
      </c>
      <c r="I54" s="34">
        <v>7962.7586206896549</v>
      </c>
      <c r="J54" s="34">
        <v>-7310.7142857142853</v>
      </c>
      <c r="K54" s="33">
        <v>5.8823529411764705E-2</v>
      </c>
      <c r="L54" s="33">
        <v>0.24761904761904763</v>
      </c>
      <c r="M54" s="33">
        <v>0.22619047619047619</v>
      </c>
      <c r="N54" s="33">
        <v>0.61538461538461542</v>
      </c>
      <c r="O54" s="33">
        <v>0.55789473684210522</v>
      </c>
      <c r="P54" s="33">
        <v>0.39310344827586208</v>
      </c>
    </row>
    <row r="55" spans="1:16" x14ac:dyDescent="0.45">
      <c r="A55" s="35">
        <v>52</v>
      </c>
      <c r="B55" s="32">
        <v>534.89999999999986</v>
      </c>
      <c r="C55" s="32">
        <v>10.286538461538459</v>
      </c>
      <c r="D55" s="37">
        <v>1.7115384615384615</v>
      </c>
      <c r="E55" s="33">
        <v>0.5</v>
      </c>
      <c r="F55" s="33">
        <v>0.21153846153846154</v>
      </c>
      <c r="G55" s="33">
        <v>0.34741784037558687</v>
      </c>
      <c r="H55" s="33">
        <v>0.13145539906103287</v>
      </c>
      <c r="I55" s="34">
        <v>8003.3783783783783</v>
      </c>
      <c r="J55" s="34">
        <v>-7310.7142857142853</v>
      </c>
      <c r="K55" s="33">
        <v>5.7692307692307696E-2</v>
      </c>
      <c r="L55" s="33">
        <v>0.25117370892018781</v>
      </c>
      <c r="M55" s="33">
        <v>0.22300469483568075</v>
      </c>
      <c r="N55" s="33">
        <v>0.62616822429906538</v>
      </c>
      <c r="O55" s="33">
        <v>0.55789473684210522</v>
      </c>
      <c r="P55" s="33">
        <v>0.38513513513513514</v>
      </c>
    </row>
    <row r="56" spans="1:16" x14ac:dyDescent="0.45">
      <c r="A56" s="35">
        <v>53</v>
      </c>
      <c r="B56" s="32">
        <v>539.49999999999989</v>
      </c>
      <c r="C56" s="32">
        <v>10.179245283018865</v>
      </c>
      <c r="D56" s="37">
        <v>1.7169811320754718</v>
      </c>
      <c r="E56" s="33">
        <v>0.49056603773584906</v>
      </c>
      <c r="F56" s="33">
        <v>0.20754716981132076</v>
      </c>
      <c r="G56" s="33">
        <v>0.3480278422273782</v>
      </c>
      <c r="H56" s="33">
        <v>0.13225058004640372</v>
      </c>
      <c r="I56" s="34">
        <v>8030</v>
      </c>
      <c r="J56" s="34">
        <v>-7385.9649122807014</v>
      </c>
      <c r="K56" s="33">
        <v>5.6603773584905662E-2</v>
      </c>
      <c r="L56" s="33">
        <v>0.25058004640371229</v>
      </c>
      <c r="M56" s="33">
        <v>0.22273781902552203</v>
      </c>
      <c r="N56" s="33">
        <v>0.62962962962962965</v>
      </c>
      <c r="O56" s="33">
        <v>0.55208333333333337</v>
      </c>
      <c r="P56" s="33">
        <v>0.38666666666666666</v>
      </c>
    </row>
    <row r="57" spans="1:16" x14ac:dyDescent="0.45">
      <c r="A57" s="35">
        <v>54</v>
      </c>
      <c r="B57" s="32">
        <v>566.59999999999991</v>
      </c>
      <c r="C57" s="32">
        <v>10.49259259259259</v>
      </c>
      <c r="D57" s="37">
        <v>1.7037037037037037</v>
      </c>
      <c r="E57" s="33">
        <v>0.5</v>
      </c>
      <c r="F57" s="33">
        <v>0.20370370370370369</v>
      </c>
      <c r="G57" s="33">
        <v>0.35079726651480636</v>
      </c>
      <c r="H57" s="33">
        <v>0.13439635535307518</v>
      </c>
      <c r="I57" s="34">
        <v>8001.2987012987014</v>
      </c>
      <c r="J57" s="34">
        <v>-7383.0508474576272</v>
      </c>
      <c r="K57" s="33">
        <v>5.5555555555555552E-2</v>
      </c>
      <c r="L57" s="33">
        <v>0.24829157175398633</v>
      </c>
      <c r="M57" s="33">
        <v>0.2255125284738041</v>
      </c>
      <c r="N57" s="33">
        <v>0.6330275229357798</v>
      </c>
      <c r="O57" s="33">
        <v>0.55555555555555558</v>
      </c>
      <c r="P57" s="33">
        <v>0.38311688311688313</v>
      </c>
    </row>
    <row r="58" spans="1:16" x14ac:dyDescent="0.45">
      <c r="A58" s="35">
        <v>55</v>
      </c>
      <c r="B58" s="32">
        <v>584.59999999999991</v>
      </c>
      <c r="C58" s="32">
        <v>10.629090909090907</v>
      </c>
      <c r="D58" s="37">
        <v>1.6909090909090909</v>
      </c>
      <c r="E58" s="33">
        <v>0.50909090909090904</v>
      </c>
      <c r="F58" s="33">
        <v>0.2</v>
      </c>
      <c r="G58" s="33">
        <v>0.34977578475336324</v>
      </c>
      <c r="H58" s="33">
        <v>0.1367713004484305</v>
      </c>
      <c r="I58" s="34">
        <v>7975.6410256410254</v>
      </c>
      <c r="J58" s="34">
        <v>-7181.9672131147545</v>
      </c>
      <c r="K58" s="33">
        <v>5.4545454545454543E-2</v>
      </c>
      <c r="L58" s="33">
        <v>0.25112107623318386</v>
      </c>
      <c r="M58" s="33">
        <v>0.22421524663677131</v>
      </c>
      <c r="N58" s="33">
        <v>0.6339285714285714</v>
      </c>
      <c r="O58" s="33">
        <v>0.55000000000000004</v>
      </c>
      <c r="P58" s="33">
        <v>0.39102564102564102</v>
      </c>
    </row>
    <row r="59" spans="1:16" x14ac:dyDescent="0.45">
      <c r="A59" s="35">
        <v>56</v>
      </c>
      <c r="B59" s="32">
        <v>590.69999999999993</v>
      </c>
      <c r="C59" s="32">
        <v>10.548214285714284</v>
      </c>
      <c r="D59" s="37">
        <v>1.6964285714285714</v>
      </c>
      <c r="E59" s="33">
        <v>0.5</v>
      </c>
      <c r="F59" s="33">
        <v>0.19642857142857142</v>
      </c>
      <c r="G59" s="33">
        <v>0.34945054945054943</v>
      </c>
      <c r="H59" s="33">
        <v>0.13626373626373625</v>
      </c>
      <c r="I59" s="34">
        <v>7983.0188679245284</v>
      </c>
      <c r="J59" s="34">
        <v>-7117.7419354838712</v>
      </c>
      <c r="K59" s="33">
        <v>5.3571428571428568E-2</v>
      </c>
      <c r="L59" s="33">
        <v>0.25274725274725274</v>
      </c>
      <c r="M59" s="33">
        <v>0.22857142857142856</v>
      </c>
      <c r="N59" s="33">
        <v>0.62608695652173918</v>
      </c>
      <c r="O59" s="33">
        <v>0.53846153846153844</v>
      </c>
      <c r="P59" s="33">
        <v>0.40251572327044027</v>
      </c>
    </row>
    <row r="60" spans="1:16" x14ac:dyDescent="0.45">
      <c r="A60" s="35">
        <v>57</v>
      </c>
      <c r="B60" s="32">
        <v>593.09999999999991</v>
      </c>
      <c r="C60" s="32">
        <v>10.405263157894735</v>
      </c>
      <c r="D60" s="37">
        <v>1.7017543859649122</v>
      </c>
      <c r="E60" s="33">
        <v>0.49122807017543857</v>
      </c>
      <c r="F60" s="33">
        <v>0.19298245614035087</v>
      </c>
      <c r="G60" s="33">
        <v>0.34773218142548595</v>
      </c>
      <c r="H60" s="33">
        <v>0.14038876889848811</v>
      </c>
      <c r="I60" s="34">
        <v>8080.7453416149065</v>
      </c>
      <c r="J60" s="34">
        <v>-7120</v>
      </c>
      <c r="K60" s="33">
        <v>5.2631578947368418E-2</v>
      </c>
      <c r="L60" s="33">
        <v>0.25269978401727861</v>
      </c>
      <c r="M60" s="33">
        <v>0.23110151187904968</v>
      </c>
      <c r="N60" s="33">
        <v>0.62393162393162394</v>
      </c>
      <c r="O60" s="33">
        <v>0.53271028037383172</v>
      </c>
      <c r="P60" s="33">
        <v>0.40372670807453415</v>
      </c>
    </row>
    <row r="61" spans="1:16" x14ac:dyDescent="0.45">
      <c r="A61" s="35">
        <v>58</v>
      </c>
      <c r="B61" s="32">
        <v>597.59999999999991</v>
      </c>
      <c r="C61" s="32">
        <v>10.303448275862067</v>
      </c>
      <c r="D61" s="37">
        <v>1.7068965517241379</v>
      </c>
      <c r="E61" s="33">
        <v>0.48275862068965519</v>
      </c>
      <c r="F61" s="33">
        <v>0.18965517241379309</v>
      </c>
      <c r="G61" s="33">
        <v>0.34533898305084748</v>
      </c>
      <c r="H61" s="33">
        <v>0.14194915254237289</v>
      </c>
      <c r="I61" s="34">
        <v>8076.687116564417</v>
      </c>
      <c r="J61" s="34">
        <v>-7052.2388059701489</v>
      </c>
      <c r="K61" s="33">
        <v>5.1724137931034482E-2</v>
      </c>
      <c r="L61" s="33">
        <v>0.2521186440677966</v>
      </c>
      <c r="M61" s="33">
        <v>0.23305084745762711</v>
      </c>
      <c r="N61" s="33">
        <v>0.62184873949579833</v>
      </c>
      <c r="O61" s="33">
        <v>0.52727272727272723</v>
      </c>
      <c r="P61" s="33">
        <v>0.3987730061349693</v>
      </c>
    </row>
    <row r="62" spans="1:16" x14ac:dyDescent="0.45">
      <c r="A62" s="35">
        <v>59</v>
      </c>
      <c r="B62" s="32">
        <v>571.59999999999991</v>
      </c>
      <c r="C62" s="32">
        <v>9.6881355932203377</v>
      </c>
      <c r="D62" s="37">
        <v>1.728813559322034</v>
      </c>
      <c r="E62" s="33">
        <v>0.47457627118644069</v>
      </c>
      <c r="F62" s="33">
        <v>0.20338983050847459</v>
      </c>
      <c r="G62" s="33">
        <v>0.3388773388773389</v>
      </c>
      <c r="H62" s="33">
        <v>0.14345114345114346</v>
      </c>
      <c r="I62" s="34">
        <v>8076.687116564417</v>
      </c>
      <c r="J62" s="34">
        <v>-7034.782608695652</v>
      </c>
      <c r="K62" s="33">
        <v>5.0847457627118647E-2</v>
      </c>
      <c r="L62" s="33">
        <v>0.24948024948024949</v>
      </c>
      <c r="M62" s="33">
        <v>0.23700623700623702</v>
      </c>
      <c r="N62" s="33">
        <v>0.6166666666666667</v>
      </c>
      <c r="O62" s="33">
        <v>0.50877192982456143</v>
      </c>
      <c r="P62" s="33">
        <v>0.3987730061349693</v>
      </c>
    </row>
    <row r="63" spans="1:16" x14ac:dyDescent="0.45">
      <c r="A63" s="35">
        <v>60</v>
      </c>
      <c r="B63" s="32">
        <v>544.59999999999991</v>
      </c>
      <c r="C63" s="32">
        <v>9.0766666666666644</v>
      </c>
      <c r="D63" s="37">
        <v>1.75</v>
      </c>
      <c r="E63" s="33">
        <v>0.46666666666666667</v>
      </c>
      <c r="F63" s="33">
        <v>0.21666666666666667</v>
      </c>
      <c r="G63" s="33">
        <v>0.33606557377049179</v>
      </c>
      <c r="H63" s="33">
        <v>0.14344262295081966</v>
      </c>
      <c r="I63" s="34">
        <v>8037.1951219512193</v>
      </c>
      <c r="J63" s="34">
        <v>-7008.5714285714284</v>
      </c>
      <c r="K63" s="33">
        <v>0.05</v>
      </c>
      <c r="L63" s="33">
        <v>0.24795081967213115</v>
      </c>
      <c r="M63" s="33">
        <v>0.23770491803278687</v>
      </c>
      <c r="N63" s="33">
        <v>0.61157024793388426</v>
      </c>
      <c r="O63" s="33">
        <v>0.50862068965517238</v>
      </c>
      <c r="P63" s="33">
        <v>0.40243902439024393</v>
      </c>
    </row>
    <row r="64" spans="1:16" x14ac:dyDescent="0.45">
      <c r="A64" s="35">
        <v>61</v>
      </c>
      <c r="B64" s="32">
        <v>527.79999999999995</v>
      </c>
      <c r="C64" s="32">
        <v>8.6524590163934416</v>
      </c>
      <c r="D64" s="37">
        <v>1.7704918032786885</v>
      </c>
      <c r="E64" s="33">
        <v>0.45901639344262296</v>
      </c>
      <c r="F64" s="33">
        <v>0.22950819672131148</v>
      </c>
      <c r="G64" s="33">
        <v>0.33333333333333331</v>
      </c>
      <c r="H64" s="33">
        <v>0.1465863453815261</v>
      </c>
      <c r="I64" s="34">
        <v>7999.3975903614455</v>
      </c>
      <c r="J64" s="34">
        <v>-6883.5616438356165</v>
      </c>
      <c r="K64" s="33">
        <v>4.9180327868852458E-2</v>
      </c>
      <c r="L64" s="33">
        <v>0.24899598393574296</v>
      </c>
      <c r="M64" s="33">
        <v>0.23694779116465864</v>
      </c>
      <c r="N64" s="33">
        <v>0.60483870967741937</v>
      </c>
      <c r="O64" s="33">
        <v>0.5</v>
      </c>
      <c r="P64" s="33">
        <v>0.40361445783132532</v>
      </c>
    </row>
    <row r="65" spans="1:16" x14ac:dyDescent="0.45">
      <c r="A65" s="35">
        <v>62</v>
      </c>
      <c r="B65" s="32">
        <v>531.9</v>
      </c>
      <c r="C65" s="32">
        <v>8.5790322580645153</v>
      </c>
      <c r="D65" s="37">
        <v>1.7741935483870968</v>
      </c>
      <c r="E65" s="33">
        <v>0.45161290322580644</v>
      </c>
      <c r="F65" s="33">
        <v>0.22580645161290322</v>
      </c>
      <c r="G65" s="33">
        <v>0.33200795228628233</v>
      </c>
      <c r="H65" s="33">
        <v>0.14512922465208747</v>
      </c>
      <c r="I65" s="34">
        <v>7964.0718562874254</v>
      </c>
      <c r="J65" s="34">
        <v>-6883.5616438356165</v>
      </c>
      <c r="K65" s="33">
        <v>4.8387096774193547E-2</v>
      </c>
      <c r="L65" s="33">
        <v>0.24652087475149106</v>
      </c>
      <c r="M65" s="33">
        <v>0.23658051689860835</v>
      </c>
      <c r="N65" s="33">
        <v>0.60483870967741937</v>
      </c>
      <c r="O65" s="33">
        <v>0.49579831932773111</v>
      </c>
      <c r="P65" s="33">
        <v>0.40718562874251496</v>
      </c>
    </row>
    <row r="66" spans="1:16" x14ac:dyDescent="0.45">
      <c r="A66" s="35">
        <v>63</v>
      </c>
      <c r="B66" s="32">
        <v>500.59999999999997</v>
      </c>
      <c r="C66" s="32">
        <v>7.9460317460317453</v>
      </c>
      <c r="D66" s="37">
        <v>1.7936507936507937</v>
      </c>
      <c r="E66" s="33">
        <v>0.44444444444444442</v>
      </c>
      <c r="F66" s="33">
        <v>0.23809523809523808</v>
      </c>
      <c r="G66" s="33">
        <v>0.32879377431906615</v>
      </c>
      <c r="H66" s="33">
        <v>0.14785992217898833</v>
      </c>
      <c r="I66" s="34">
        <v>7986.3905325443784</v>
      </c>
      <c r="J66" s="34">
        <v>-7032.894736842105</v>
      </c>
      <c r="K66" s="33">
        <v>4.7619047619047616E-2</v>
      </c>
      <c r="L66" s="33">
        <v>0.24902723735408561</v>
      </c>
      <c r="M66" s="33">
        <v>0.23929961089494164</v>
      </c>
      <c r="N66" s="33">
        <v>0.59375</v>
      </c>
      <c r="O66" s="33">
        <v>0.48780487804878048</v>
      </c>
      <c r="P66" s="33">
        <v>0.40828402366863903</v>
      </c>
    </row>
    <row r="67" spans="1:16" x14ac:dyDescent="0.45">
      <c r="A67" s="35">
        <v>64</v>
      </c>
      <c r="B67" s="32">
        <v>518.9</v>
      </c>
      <c r="C67" s="32">
        <v>8.1078124999999996</v>
      </c>
      <c r="D67" s="37">
        <v>1.78125</v>
      </c>
      <c r="E67" s="33">
        <v>0.453125</v>
      </c>
      <c r="F67" s="33">
        <v>0.234375</v>
      </c>
      <c r="G67" s="33">
        <v>0.32887189292543023</v>
      </c>
      <c r="H67" s="33">
        <v>0.14531548757170173</v>
      </c>
      <c r="I67" s="34">
        <v>8002.9069767441861</v>
      </c>
      <c r="J67" s="34">
        <v>-7032.894736842105</v>
      </c>
      <c r="K67" s="33">
        <v>4.6875E-2</v>
      </c>
      <c r="L67" s="33">
        <v>0.25047801147227533</v>
      </c>
      <c r="M67" s="33">
        <v>0.23709369024856597</v>
      </c>
      <c r="N67" s="33">
        <v>0.59541984732824427</v>
      </c>
      <c r="O67" s="33">
        <v>0.4838709677419355</v>
      </c>
      <c r="P67" s="33">
        <v>0.41860465116279072</v>
      </c>
    </row>
    <row r="68" spans="1:16" x14ac:dyDescent="0.45">
      <c r="A68" s="35">
        <v>65</v>
      </c>
      <c r="B68" s="32">
        <v>538.1</v>
      </c>
      <c r="C68" s="32">
        <v>8.2784615384615385</v>
      </c>
      <c r="D68" s="37">
        <v>1.7692307692307692</v>
      </c>
      <c r="E68" s="33">
        <v>0.46153846153846156</v>
      </c>
      <c r="F68" s="33">
        <v>0.23076923076923078</v>
      </c>
      <c r="G68" s="33">
        <v>0.33207547169811319</v>
      </c>
      <c r="H68" s="33">
        <v>0.14339622641509434</v>
      </c>
      <c r="I68" s="34">
        <v>7955.681818181818</v>
      </c>
      <c r="J68" s="34">
        <v>-7032.894736842105</v>
      </c>
      <c r="K68" s="33">
        <v>4.6153846153846156E-2</v>
      </c>
      <c r="L68" s="33">
        <v>0.25283018867924528</v>
      </c>
      <c r="M68" s="33">
        <v>0.23962264150943396</v>
      </c>
      <c r="N68" s="33">
        <v>0.58955223880597019</v>
      </c>
      <c r="O68" s="33">
        <v>0.48818897637795278</v>
      </c>
      <c r="P68" s="33">
        <v>0.42045454545454547</v>
      </c>
    </row>
    <row r="69" spans="1:16" x14ac:dyDescent="0.45">
      <c r="A69" s="35">
        <v>66</v>
      </c>
      <c r="B69" s="32">
        <v>538.70000000000005</v>
      </c>
      <c r="C69" s="32">
        <v>8.1621212121212121</v>
      </c>
      <c r="D69" s="37">
        <v>1.7727272727272727</v>
      </c>
      <c r="E69" s="33">
        <v>0.45454545454545453</v>
      </c>
      <c r="F69" s="33">
        <v>0.22727272727272727</v>
      </c>
      <c r="G69" s="33">
        <v>0.33457249070631973</v>
      </c>
      <c r="H69" s="33">
        <v>0.14126394052044611</v>
      </c>
      <c r="I69" s="34">
        <v>7895</v>
      </c>
      <c r="J69" s="34">
        <v>-7032.894736842105</v>
      </c>
      <c r="K69" s="33">
        <v>4.5454545454545456E-2</v>
      </c>
      <c r="L69" s="33">
        <v>0.25092936802973975</v>
      </c>
      <c r="M69" s="33">
        <v>0.23977695167286245</v>
      </c>
      <c r="N69" s="33">
        <v>0.59259259259259256</v>
      </c>
      <c r="O69" s="33">
        <v>0.49612403100775193</v>
      </c>
      <c r="P69" s="33">
        <v>0.41666666666666669</v>
      </c>
    </row>
    <row r="70" spans="1:16" x14ac:dyDescent="0.45">
      <c r="A70" s="35">
        <v>67</v>
      </c>
      <c r="B70" s="32">
        <v>503.50000000000006</v>
      </c>
      <c r="C70" s="32">
        <v>7.5149253731343295</v>
      </c>
      <c r="D70" s="37">
        <v>1.791044776119403</v>
      </c>
      <c r="E70" s="33">
        <v>0.44776119402985076</v>
      </c>
      <c r="F70" s="33">
        <v>0.23880597014925373</v>
      </c>
      <c r="G70" s="33">
        <v>0.33211678832116787</v>
      </c>
      <c r="H70" s="33">
        <v>0.14051094890510948</v>
      </c>
      <c r="I70" s="34">
        <v>7902.7472527472528</v>
      </c>
      <c r="J70" s="34">
        <v>-7175.3246753246749</v>
      </c>
      <c r="K70" s="33">
        <v>4.4776119402985072E-2</v>
      </c>
      <c r="L70" s="33">
        <v>0.25</v>
      </c>
      <c r="M70" s="33">
        <v>0.24270072992700731</v>
      </c>
      <c r="N70" s="33">
        <v>0.59124087591240881</v>
      </c>
      <c r="O70" s="33">
        <v>0.48872180451127817</v>
      </c>
      <c r="P70" s="33">
        <v>0.41208791208791207</v>
      </c>
    </row>
    <row r="71" spans="1:16" x14ac:dyDescent="0.45">
      <c r="A71" s="35">
        <v>68</v>
      </c>
      <c r="B71" s="32">
        <v>544.1</v>
      </c>
      <c r="C71" s="32">
        <v>8.0014705882352946</v>
      </c>
      <c r="D71" s="37">
        <v>1.7794117647058822</v>
      </c>
      <c r="E71" s="33">
        <v>0.45588235294117646</v>
      </c>
      <c r="F71" s="33">
        <v>0.23529411764705882</v>
      </c>
      <c r="G71" s="33">
        <v>0.33634719710669075</v>
      </c>
      <c r="H71" s="33">
        <v>0.13924050632911392</v>
      </c>
      <c r="I71" s="34">
        <v>7886.5591397849466</v>
      </c>
      <c r="J71" s="34">
        <v>-7175.3246753246749</v>
      </c>
      <c r="K71" s="33">
        <v>4.4117647058823532E-2</v>
      </c>
      <c r="L71" s="33">
        <v>0.24954792043399637</v>
      </c>
      <c r="M71" s="33">
        <v>0.24231464737793851</v>
      </c>
      <c r="N71" s="33">
        <v>0.59420289855072461</v>
      </c>
      <c r="O71" s="33">
        <v>0.4925373134328358</v>
      </c>
      <c r="P71" s="33">
        <v>0.40860215053763443</v>
      </c>
    </row>
    <row r="72" spans="1:16" x14ac:dyDescent="0.45">
      <c r="A72" s="35">
        <v>69</v>
      </c>
      <c r="B72" s="32">
        <v>576.5</v>
      </c>
      <c r="C72" s="32">
        <v>8.3550724637681153</v>
      </c>
      <c r="D72" s="37">
        <v>1.7681159420289856</v>
      </c>
      <c r="E72" s="33">
        <v>0.46376811594202899</v>
      </c>
      <c r="F72" s="33">
        <v>0.2318840579710145</v>
      </c>
      <c r="G72" s="33">
        <v>0.33745583038869259</v>
      </c>
      <c r="H72" s="33">
        <v>0.13780918727915195</v>
      </c>
      <c r="I72" s="34">
        <v>7899.4764397905756</v>
      </c>
      <c r="J72" s="34">
        <v>-7182.0512820512822</v>
      </c>
      <c r="K72" s="33">
        <v>4.3478260869565216E-2</v>
      </c>
      <c r="L72" s="33">
        <v>0.25265017667844525</v>
      </c>
      <c r="M72" s="33">
        <v>0.23851590106007067</v>
      </c>
      <c r="N72" s="33">
        <v>0.60139860139860135</v>
      </c>
      <c r="O72" s="33">
        <v>0.48888888888888887</v>
      </c>
      <c r="P72" s="33">
        <v>0.41361256544502617</v>
      </c>
    </row>
    <row r="73" spans="1:16" x14ac:dyDescent="0.45">
      <c r="A73" s="35">
        <v>70</v>
      </c>
      <c r="B73" s="32">
        <v>544.79999999999995</v>
      </c>
      <c r="C73" s="32">
        <v>7.782857142857142</v>
      </c>
      <c r="D73" s="37">
        <v>1.7857142857142858</v>
      </c>
      <c r="E73" s="33">
        <v>0.45714285714285713</v>
      </c>
      <c r="F73" s="33">
        <v>0.24285714285714285</v>
      </c>
      <c r="G73" s="33">
        <v>0.33507853403141363</v>
      </c>
      <c r="H73" s="33">
        <v>0.13787085514834205</v>
      </c>
      <c r="I73" s="34">
        <v>7869.270833333333</v>
      </c>
      <c r="J73" s="34">
        <v>-7192.4050632911394</v>
      </c>
      <c r="K73" s="33">
        <v>4.2857142857142858E-2</v>
      </c>
      <c r="L73" s="33">
        <v>0.24956369982547993</v>
      </c>
      <c r="M73" s="33">
        <v>0.23734729493891799</v>
      </c>
      <c r="N73" s="33">
        <v>0.60139860139860135</v>
      </c>
      <c r="O73" s="33">
        <v>0.48529411764705882</v>
      </c>
      <c r="P73" s="33">
        <v>0.41666666666666669</v>
      </c>
    </row>
    <row r="74" spans="1:16" x14ac:dyDescent="0.45">
      <c r="A74" s="35">
        <v>71</v>
      </c>
      <c r="B74" s="32">
        <v>502.09999999999997</v>
      </c>
      <c r="C74" s="32">
        <v>7.0718309859154926</v>
      </c>
      <c r="D74" s="37">
        <v>1.8028169014084507</v>
      </c>
      <c r="E74" s="33">
        <v>0.45070422535211269</v>
      </c>
      <c r="F74" s="33">
        <v>0.25352112676056338</v>
      </c>
      <c r="G74" s="33">
        <v>0.33390705679862304</v>
      </c>
      <c r="H74" s="33">
        <v>0.14285714285714285</v>
      </c>
      <c r="I74" s="34">
        <v>7860.3092783505153</v>
      </c>
      <c r="J74" s="34">
        <v>-7468.674698795181</v>
      </c>
      <c r="K74" s="33">
        <v>4.2253521126760563E-2</v>
      </c>
      <c r="L74" s="33">
        <v>0.2512908777969019</v>
      </c>
      <c r="M74" s="33">
        <v>0.23580034423407917</v>
      </c>
      <c r="N74" s="33">
        <v>0.60273972602739723</v>
      </c>
      <c r="O74" s="33">
        <v>0.48175182481751827</v>
      </c>
      <c r="P74" s="33">
        <v>0.42268041237113402</v>
      </c>
    </row>
    <row r="75" spans="1:16" x14ac:dyDescent="0.45">
      <c r="A75" s="35">
        <v>72</v>
      </c>
      <c r="B75" s="32">
        <v>526.19999999999993</v>
      </c>
      <c r="C75" s="32">
        <v>7.3083333333333327</v>
      </c>
      <c r="D75" s="37">
        <v>1.7916666666666667</v>
      </c>
      <c r="E75" s="33">
        <v>0.45833333333333331</v>
      </c>
      <c r="F75" s="33">
        <v>0.25</v>
      </c>
      <c r="G75" s="33">
        <v>0.33616298811544992</v>
      </c>
      <c r="H75" s="33">
        <v>0.14091680814940577</v>
      </c>
      <c r="I75" s="34">
        <v>7842.424242424242</v>
      </c>
      <c r="J75" s="34">
        <v>-7468.674698795181</v>
      </c>
      <c r="K75" s="33">
        <v>4.1666666666666664E-2</v>
      </c>
      <c r="L75" s="33">
        <v>0.25127334465195245</v>
      </c>
      <c r="M75" s="33">
        <v>0.23769100169779286</v>
      </c>
      <c r="N75" s="33">
        <v>0.60810810810810811</v>
      </c>
      <c r="O75" s="33">
        <v>0.47857142857142859</v>
      </c>
      <c r="P75" s="33">
        <v>0.42424242424242425</v>
      </c>
    </row>
    <row r="76" spans="1:16" x14ac:dyDescent="0.45">
      <c r="A76" s="35">
        <v>73</v>
      </c>
      <c r="B76" s="32">
        <v>550.99999999999989</v>
      </c>
      <c r="C76" s="32">
        <v>7.5479452054794507</v>
      </c>
      <c r="D76" s="37">
        <v>1.7808219178082192</v>
      </c>
      <c r="E76" s="33">
        <v>0.46575342465753422</v>
      </c>
      <c r="F76" s="33">
        <v>0.24657534246575341</v>
      </c>
      <c r="G76" s="33">
        <v>0.33835845896147404</v>
      </c>
      <c r="H76" s="33">
        <v>0.14237855946398659</v>
      </c>
      <c r="I76" s="34">
        <v>7834.6534653465351</v>
      </c>
      <c r="J76" s="34">
        <v>-7528.2352941176468</v>
      </c>
      <c r="K76" s="33">
        <v>4.1095890410958902E-2</v>
      </c>
      <c r="L76" s="33">
        <v>0.25628140703517588</v>
      </c>
      <c r="M76" s="33">
        <v>0.23785594639865998</v>
      </c>
      <c r="N76" s="33">
        <v>0.60784313725490191</v>
      </c>
      <c r="O76" s="33">
        <v>0.47887323943661969</v>
      </c>
      <c r="P76" s="33">
        <v>0.42079207920792078</v>
      </c>
    </row>
    <row r="77" spans="1:16" x14ac:dyDescent="0.45">
      <c r="A77" s="35">
        <v>74</v>
      </c>
      <c r="B77" s="32">
        <v>576.49999999999989</v>
      </c>
      <c r="C77" s="32">
        <v>7.7905405405405386</v>
      </c>
      <c r="D77" s="37">
        <v>1.7702702702702702</v>
      </c>
      <c r="E77" s="33">
        <v>0.47297297297297297</v>
      </c>
      <c r="F77" s="33">
        <v>0.24324324324324326</v>
      </c>
      <c r="G77" s="33">
        <v>0.3383084577114428</v>
      </c>
      <c r="H77" s="33">
        <v>0.14096185737976782</v>
      </c>
      <c r="I77" s="34">
        <v>7836.2745098039213</v>
      </c>
      <c r="J77" s="34">
        <v>-7528.2352941176468</v>
      </c>
      <c r="K77" s="33">
        <v>4.0540540540540543E-2</v>
      </c>
      <c r="L77" s="33">
        <v>0.25538971807628524</v>
      </c>
      <c r="M77" s="33">
        <v>0.23714759535655058</v>
      </c>
      <c r="N77" s="33">
        <v>0.61038961038961037</v>
      </c>
      <c r="O77" s="33">
        <v>0.47552447552447552</v>
      </c>
      <c r="P77" s="33">
        <v>0.42156862745098039</v>
      </c>
    </row>
    <row r="78" spans="1:16" x14ac:dyDescent="0.45">
      <c r="A78" s="35">
        <v>75</v>
      </c>
      <c r="B78" s="32">
        <v>601.29999999999984</v>
      </c>
      <c r="C78" s="32">
        <v>8.0173333333333314</v>
      </c>
      <c r="D78" s="37">
        <v>1.76</v>
      </c>
      <c r="E78" s="33">
        <v>0.48</v>
      </c>
      <c r="F78" s="33">
        <v>0.24</v>
      </c>
      <c r="G78" s="33">
        <v>0.33990147783251229</v>
      </c>
      <c r="H78" s="33">
        <v>0.13957307060755336</v>
      </c>
      <c r="I78" s="34">
        <v>7849.7584541062806</v>
      </c>
      <c r="J78" s="34">
        <v>-7528.2352941176468</v>
      </c>
      <c r="K78" s="33">
        <v>0.04</v>
      </c>
      <c r="L78" s="33">
        <v>0.25451559934318557</v>
      </c>
      <c r="M78" s="33">
        <v>0.2348111658456486</v>
      </c>
      <c r="N78" s="33">
        <v>0.61290322580645162</v>
      </c>
      <c r="O78" s="33">
        <v>0.47552447552447552</v>
      </c>
      <c r="P78" s="33">
        <v>0.42028985507246375</v>
      </c>
    </row>
    <row r="79" spans="1:16" x14ac:dyDescent="0.45">
      <c r="A79" s="35">
        <v>76</v>
      </c>
      <c r="B79" s="32">
        <v>576.29999999999984</v>
      </c>
      <c r="C79" s="32">
        <v>7.5828947368421034</v>
      </c>
      <c r="D79" s="37">
        <v>1.7763157894736843</v>
      </c>
      <c r="E79" s="33">
        <v>0.47368421052631576</v>
      </c>
      <c r="F79" s="33">
        <v>0.25</v>
      </c>
      <c r="G79" s="33">
        <v>0.33658536585365856</v>
      </c>
      <c r="H79" s="33">
        <v>0.13983739837398373</v>
      </c>
      <c r="I79" s="34">
        <v>7849.7584541062806</v>
      </c>
      <c r="J79" s="34">
        <v>-7533.7209302325582</v>
      </c>
      <c r="K79" s="33">
        <v>3.9473684210526314E-2</v>
      </c>
      <c r="L79" s="33">
        <v>0.25365853658536586</v>
      </c>
      <c r="M79" s="33">
        <v>0.23577235772357724</v>
      </c>
      <c r="N79" s="33">
        <v>0.60897435897435892</v>
      </c>
      <c r="O79" s="33">
        <v>0.4689655172413793</v>
      </c>
      <c r="P79" s="33">
        <v>0.42028985507246375</v>
      </c>
    </row>
    <row r="80" spans="1:16" x14ac:dyDescent="0.45">
      <c r="A80" s="35">
        <v>77</v>
      </c>
      <c r="B80" s="32">
        <v>546.79999999999984</v>
      </c>
      <c r="C80" s="32">
        <v>7.101298701298699</v>
      </c>
      <c r="D80" s="37">
        <v>1.7922077922077921</v>
      </c>
      <c r="E80" s="33">
        <v>0.46753246753246752</v>
      </c>
      <c r="F80" s="33">
        <v>0.25974025974025972</v>
      </c>
      <c r="G80" s="33">
        <v>0.33601286173633438</v>
      </c>
      <c r="H80" s="33">
        <v>0.13987138263665594</v>
      </c>
      <c r="I80" s="34">
        <v>7844.4976076555022</v>
      </c>
      <c r="J80" s="34">
        <v>-7580.4597701149423</v>
      </c>
      <c r="K80" s="33">
        <v>3.896103896103896E-2</v>
      </c>
      <c r="L80" s="33">
        <v>0.25241157556270094</v>
      </c>
      <c r="M80" s="33">
        <v>0.23794212218649519</v>
      </c>
      <c r="N80" s="33">
        <v>0.61146496815286622</v>
      </c>
      <c r="O80" s="33">
        <v>0.46621621621621623</v>
      </c>
      <c r="P80" s="33">
        <v>0.42105263157894735</v>
      </c>
    </row>
    <row r="81" spans="1:16" x14ac:dyDescent="0.45">
      <c r="A81" s="35">
        <v>78</v>
      </c>
      <c r="B81" s="32">
        <v>579.29999999999984</v>
      </c>
      <c r="C81" s="32">
        <v>7.4269230769230745</v>
      </c>
      <c r="D81" s="37">
        <v>1.7820512820512822</v>
      </c>
      <c r="E81" s="33">
        <v>0.47435897435897434</v>
      </c>
      <c r="F81" s="33">
        <v>0.25641025641025639</v>
      </c>
      <c r="G81" s="33">
        <v>0.33649289099526064</v>
      </c>
      <c r="H81" s="33">
        <v>0.13744075829383887</v>
      </c>
      <c r="I81" s="34">
        <v>7884.9765258215966</v>
      </c>
      <c r="J81" s="34">
        <v>-7580.4597701149423</v>
      </c>
      <c r="K81" s="33">
        <v>3.8461538461538464E-2</v>
      </c>
      <c r="L81" s="33">
        <v>0.2527646129541864</v>
      </c>
      <c r="M81" s="33">
        <v>0.24328593996840442</v>
      </c>
      <c r="N81" s="33">
        <v>0.60624999999999996</v>
      </c>
      <c r="O81" s="33">
        <v>0.46753246753246752</v>
      </c>
      <c r="P81" s="33">
        <v>0.42253521126760563</v>
      </c>
    </row>
    <row r="82" spans="1:16" x14ac:dyDescent="0.45">
      <c r="A82" s="35">
        <v>79</v>
      </c>
      <c r="B82" s="32">
        <v>556.89999999999986</v>
      </c>
      <c r="C82" s="32">
        <v>7.0493670886075934</v>
      </c>
      <c r="D82" s="37">
        <v>1.7848101265822784</v>
      </c>
      <c r="E82" s="33">
        <v>0.46835443037974683</v>
      </c>
      <c r="F82" s="33">
        <v>0.25316455696202533</v>
      </c>
      <c r="G82" s="33">
        <v>0.33281493001555212</v>
      </c>
      <c r="H82" s="33">
        <v>0.13841368584758942</v>
      </c>
      <c r="I82" s="34">
        <v>7904.2056074766351</v>
      </c>
      <c r="J82" s="34">
        <v>-7465.1685393258431</v>
      </c>
      <c r="K82" s="33">
        <v>3.7974683544303799E-2</v>
      </c>
      <c r="L82" s="33">
        <v>0.25038880248833595</v>
      </c>
      <c r="M82" s="33">
        <v>0.24105754276827371</v>
      </c>
      <c r="N82" s="33">
        <v>0.60248447204968947</v>
      </c>
      <c r="O82" s="33">
        <v>0.46451612903225808</v>
      </c>
      <c r="P82" s="33">
        <v>0.42056074766355139</v>
      </c>
    </row>
    <row r="83" spans="1:16" x14ac:dyDescent="0.45">
      <c r="A83" s="35">
        <v>80</v>
      </c>
      <c r="B83" s="32">
        <v>572.09999999999991</v>
      </c>
      <c r="C83" s="32">
        <v>7.1512499999999992</v>
      </c>
      <c r="D83" s="37">
        <v>1.7749999999999999</v>
      </c>
      <c r="E83" s="33">
        <v>0.47499999999999998</v>
      </c>
      <c r="F83" s="33">
        <v>0.25</v>
      </c>
      <c r="G83" s="33">
        <v>0.33436055469953774</v>
      </c>
      <c r="H83" s="33">
        <v>0.13867488443759629</v>
      </c>
      <c r="I83" s="34">
        <v>7871.8894009216592</v>
      </c>
      <c r="J83" s="34">
        <v>-7471.1111111111113</v>
      </c>
      <c r="K83" s="33">
        <v>3.7499999999999999E-2</v>
      </c>
      <c r="L83" s="33">
        <v>0.2526964560862866</v>
      </c>
      <c r="M83" s="33">
        <v>0.24191063174114022</v>
      </c>
      <c r="N83" s="33">
        <v>0.60365853658536583</v>
      </c>
      <c r="O83" s="33">
        <v>0.46496815286624205</v>
      </c>
      <c r="P83" s="33">
        <v>0.42396313364055299</v>
      </c>
    </row>
    <row r="84" spans="1:16" x14ac:dyDescent="0.45">
      <c r="A84" s="35">
        <v>81</v>
      </c>
      <c r="B84" s="32">
        <v>521.59999999999991</v>
      </c>
      <c r="C84" s="32">
        <v>6.4395061728395051</v>
      </c>
      <c r="D84" s="37">
        <v>1.7901234567901234</v>
      </c>
      <c r="E84" s="33">
        <v>0.46913580246913578</v>
      </c>
      <c r="F84" s="33">
        <v>0.25925925925925924</v>
      </c>
      <c r="G84" s="33">
        <v>0.33231240428790199</v>
      </c>
      <c r="H84" s="33">
        <v>0.14395099540581929</v>
      </c>
      <c r="I84" s="34">
        <v>7871.8894009216592</v>
      </c>
      <c r="J84" s="34">
        <v>-7584.0425531914898</v>
      </c>
      <c r="K84" s="33">
        <v>4.9382716049382713E-2</v>
      </c>
      <c r="L84" s="33">
        <v>0.25114854517611024</v>
      </c>
      <c r="M84" s="33">
        <v>0.24042879019908117</v>
      </c>
      <c r="N84" s="33">
        <v>0.60365853658536583</v>
      </c>
      <c r="O84" s="33">
        <v>0.46496815286624205</v>
      </c>
      <c r="P84" s="33">
        <v>0.42396313364055299</v>
      </c>
    </row>
    <row r="85" spans="1:16" x14ac:dyDescent="0.45">
      <c r="A85" s="35">
        <v>82</v>
      </c>
      <c r="B85" s="32">
        <v>548.39999999999986</v>
      </c>
      <c r="C85" s="32">
        <v>6.6878048780487784</v>
      </c>
      <c r="D85" s="37">
        <v>1.7804878048780488</v>
      </c>
      <c r="E85" s="33">
        <v>0.47560975609756095</v>
      </c>
      <c r="F85" s="33">
        <v>0.25609756097560976</v>
      </c>
      <c r="G85" s="33">
        <v>0.33333333333333331</v>
      </c>
      <c r="H85" s="33">
        <v>0.14114114114114115</v>
      </c>
      <c r="I85" s="34">
        <v>7816.666666666667</v>
      </c>
      <c r="J85" s="34">
        <v>-7584.0425531914898</v>
      </c>
      <c r="K85" s="33">
        <v>4.878048780487805E-2</v>
      </c>
      <c r="L85" s="33">
        <v>0.25375375375375375</v>
      </c>
      <c r="M85" s="33">
        <v>0.23723723723723725</v>
      </c>
      <c r="N85" s="33">
        <v>0.60946745562130178</v>
      </c>
      <c r="O85" s="33">
        <v>0.46835443037974683</v>
      </c>
      <c r="P85" s="33">
        <v>0.42342342342342343</v>
      </c>
    </row>
    <row r="86" spans="1:16" x14ac:dyDescent="0.45">
      <c r="A86" s="35">
        <v>83</v>
      </c>
      <c r="B86" s="32">
        <v>546.59999999999991</v>
      </c>
      <c r="C86" s="32">
        <v>6.5855421686746975</v>
      </c>
      <c r="D86" s="37">
        <v>1.7831325301204819</v>
      </c>
      <c r="E86" s="33">
        <v>0.46987951807228917</v>
      </c>
      <c r="F86" s="33">
        <v>0.25301204819277107</v>
      </c>
      <c r="G86" s="33">
        <v>0.33234421364985162</v>
      </c>
      <c r="H86" s="33">
        <v>0.1394658753709199</v>
      </c>
      <c r="I86" s="34">
        <v>7789.2857142857147</v>
      </c>
      <c r="J86" s="34">
        <v>-7584.0425531914898</v>
      </c>
      <c r="K86" s="33">
        <v>4.8192771084337352E-2</v>
      </c>
      <c r="L86" s="33">
        <v>0.25519287833827892</v>
      </c>
      <c r="M86" s="33">
        <v>0.23738872403560832</v>
      </c>
      <c r="N86" s="33">
        <v>0.60465116279069764</v>
      </c>
      <c r="O86" s="33">
        <v>0.46875</v>
      </c>
      <c r="P86" s="33">
        <v>0.42410714285714285</v>
      </c>
    </row>
    <row r="87" spans="1:16" x14ac:dyDescent="0.45">
      <c r="A87" s="35">
        <v>84</v>
      </c>
      <c r="B87" s="32">
        <v>566.49999999999989</v>
      </c>
      <c r="C87" s="32">
        <v>6.7440476190476177</v>
      </c>
      <c r="D87" s="37">
        <v>1.7857142857142858</v>
      </c>
      <c r="E87" s="33">
        <v>0.4642857142857143</v>
      </c>
      <c r="F87" s="33">
        <v>0.25</v>
      </c>
      <c r="G87" s="33">
        <v>0.33333333333333331</v>
      </c>
      <c r="H87" s="33">
        <v>0.13864306784660768</v>
      </c>
      <c r="I87" s="34">
        <v>7825.2212389380529</v>
      </c>
      <c r="J87" s="34">
        <v>-7584.0425531914898</v>
      </c>
      <c r="K87" s="33">
        <v>4.7619047619047616E-2</v>
      </c>
      <c r="L87" s="33">
        <v>0.25663716814159293</v>
      </c>
      <c r="M87" s="33">
        <v>0.2359882005899705</v>
      </c>
      <c r="N87" s="33">
        <v>0.60919540229885061</v>
      </c>
      <c r="O87" s="33">
        <v>0.46875</v>
      </c>
      <c r="P87" s="33">
        <v>0.4247787610619469</v>
      </c>
    </row>
    <row r="88" spans="1:16" x14ac:dyDescent="0.45">
      <c r="A88" s="35">
        <v>85</v>
      </c>
      <c r="B88" s="32">
        <v>529.79999999999984</v>
      </c>
      <c r="C88" s="32">
        <v>6.232941176470586</v>
      </c>
      <c r="D88" s="37">
        <v>1.8</v>
      </c>
      <c r="E88" s="33">
        <v>0.45882352941176469</v>
      </c>
      <c r="F88" s="33">
        <v>0.25882352941176473</v>
      </c>
      <c r="G88" s="33">
        <v>0.33040935672514621</v>
      </c>
      <c r="H88" s="33">
        <v>0.14035087719298245</v>
      </c>
      <c r="I88" s="34">
        <v>7825.2212389380529</v>
      </c>
      <c r="J88" s="34">
        <v>-7563.541666666667</v>
      </c>
      <c r="K88" s="33">
        <v>4.7058823529411764E-2</v>
      </c>
      <c r="L88" s="33">
        <v>0.25877192982456143</v>
      </c>
      <c r="M88" s="33">
        <v>0.23391812865497075</v>
      </c>
      <c r="N88" s="33">
        <v>0.59887005649717517</v>
      </c>
      <c r="O88" s="33">
        <v>0.46875</v>
      </c>
      <c r="P88" s="33">
        <v>0.4247787610619469</v>
      </c>
    </row>
    <row r="89" spans="1:16" x14ac:dyDescent="0.45">
      <c r="A89" s="35">
        <v>86</v>
      </c>
      <c r="B89" s="32">
        <v>550.39999999999986</v>
      </c>
      <c r="C89" s="32">
        <v>6.3999999999999986</v>
      </c>
      <c r="D89" s="37">
        <v>1.7906976744186047</v>
      </c>
      <c r="E89" s="33">
        <v>0.46511627906976744</v>
      </c>
      <c r="F89" s="33">
        <v>0.2558139534883721</v>
      </c>
      <c r="G89" s="33">
        <v>0.3318903318903319</v>
      </c>
      <c r="H89" s="33">
        <v>0.13852813852813853</v>
      </c>
      <c r="I89" s="34">
        <v>7776.521739130435</v>
      </c>
      <c r="J89" s="34">
        <v>-7563.541666666667</v>
      </c>
      <c r="K89" s="33">
        <v>4.6511627906976744E-2</v>
      </c>
      <c r="L89" s="33">
        <v>0.26118326118326118</v>
      </c>
      <c r="M89" s="33">
        <v>0.23376623376623376</v>
      </c>
      <c r="N89" s="33">
        <v>0.59668508287292821</v>
      </c>
      <c r="O89" s="33">
        <v>0.47530864197530864</v>
      </c>
      <c r="P89" s="33">
        <v>0.42608695652173911</v>
      </c>
    </row>
    <row r="90" spans="1:16" x14ac:dyDescent="0.45">
      <c r="A90" s="35">
        <v>87</v>
      </c>
      <c r="B90" s="32">
        <v>554.39999999999986</v>
      </c>
      <c r="C90" s="32">
        <v>6.3724137931034468</v>
      </c>
      <c r="D90" s="37">
        <v>1.7931034482758621</v>
      </c>
      <c r="E90" s="33">
        <v>0.45977011494252873</v>
      </c>
      <c r="F90" s="33">
        <v>0.25287356321839083</v>
      </c>
      <c r="G90" s="33">
        <v>0.33190271816881262</v>
      </c>
      <c r="H90" s="33">
        <v>0.13733905579399142</v>
      </c>
      <c r="I90" s="34">
        <v>7784.0517241379312</v>
      </c>
      <c r="J90" s="34">
        <v>-7563.541666666667</v>
      </c>
      <c r="K90" s="33">
        <v>4.5977011494252873E-2</v>
      </c>
      <c r="L90" s="33">
        <v>0.2603719599427754</v>
      </c>
      <c r="M90" s="33">
        <v>0.23319027181688126</v>
      </c>
      <c r="N90" s="33">
        <v>0.59890109890109888</v>
      </c>
      <c r="O90" s="33">
        <v>0.4785276073619632</v>
      </c>
      <c r="P90" s="33">
        <v>0.42672413793103448</v>
      </c>
    </row>
    <row r="91" spans="1:16" x14ac:dyDescent="0.45">
      <c r="A91" s="35">
        <v>88</v>
      </c>
      <c r="B91" s="32">
        <v>570.89999999999986</v>
      </c>
      <c r="C91" s="32">
        <v>6.487499999999998</v>
      </c>
      <c r="D91" s="37">
        <v>1.7840909090909092</v>
      </c>
      <c r="E91" s="33">
        <v>0.46590909090909088</v>
      </c>
      <c r="F91" s="33">
        <v>0.25</v>
      </c>
      <c r="G91" s="33">
        <v>0.33144475920679889</v>
      </c>
      <c r="H91" s="33">
        <v>0.13739376770538245</v>
      </c>
      <c r="I91" s="34">
        <v>7774.3589743589746</v>
      </c>
      <c r="J91" s="34">
        <v>-7545.3608247422681</v>
      </c>
      <c r="K91" s="33">
        <v>4.5454545454545456E-2</v>
      </c>
      <c r="L91" s="33">
        <v>0.26203966005665724</v>
      </c>
      <c r="M91" s="33">
        <v>0.23229461756373937</v>
      </c>
      <c r="N91" s="33">
        <v>0.6</v>
      </c>
      <c r="O91" s="33">
        <v>0.47560975609756095</v>
      </c>
      <c r="P91" s="33">
        <v>0.42735042735042733</v>
      </c>
    </row>
    <row r="92" spans="1:16" x14ac:dyDescent="0.45">
      <c r="A92" s="35">
        <v>89</v>
      </c>
      <c r="B92" s="32">
        <v>531.89999999999986</v>
      </c>
      <c r="C92" s="32">
        <v>5.9764044943820211</v>
      </c>
      <c r="D92" s="37">
        <v>1.797752808988764</v>
      </c>
      <c r="E92" s="33">
        <v>0.4606741573033708</v>
      </c>
      <c r="F92" s="33">
        <v>0.25842696629213485</v>
      </c>
      <c r="G92" s="33">
        <v>0.33053221288515405</v>
      </c>
      <c r="H92" s="33">
        <v>0.13725490196078433</v>
      </c>
      <c r="I92" s="34">
        <v>7734.3220338983047</v>
      </c>
      <c r="J92" s="34">
        <v>-7590.8163265306121</v>
      </c>
      <c r="K92" s="33">
        <v>4.49438202247191E-2</v>
      </c>
      <c r="L92" s="33">
        <v>0.26470588235294118</v>
      </c>
      <c r="M92" s="33">
        <v>0.22969187675070027</v>
      </c>
      <c r="N92" s="33">
        <v>0.59259259259259256</v>
      </c>
      <c r="O92" s="33">
        <v>0.47560975609756095</v>
      </c>
      <c r="P92" s="33">
        <v>0.43220338983050849</v>
      </c>
    </row>
    <row r="93" spans="1:16" x14ac:dyDescent="0.45">
      <c r="A93" s="35">
        <v>90</v>
      </c>
      <c r="B93" s="32">
        <v>486.29999999999984</v>
      </c>
      <c r="C93" s="32">
        <v>5.4033333333333315</v>
      </c>
      <c r="D93" s="37">
        <v>1.8111111111111111</v>
      </c>
      <c r="E93" s="33">
        <v>0.45555555555555555</v>
      </c>
      <c r="F93" s="33">
        <v>0.26666666666666666</v>
      </c>
      <c r="G93" s="33">
        <v>0.3287101248266297</v>
      </c>
      <c r="H93" s="33">
        <v>0.13869625520110956</v>
      </c>
      <c r="I93" s="34">
        <v>7735.4430379746836</v>
      </c>
      <c r="J93" s="34">
        <v>-7715</v>
      </c>
      <c r="K93" s="33">
        <v>5.5555555555555552E-2</v>
      </c>
      <c r="L93" s="33">
        <v>0.26490984743411927</v>
      </c>
      <c r="M93" s="33">
        <v>0.2288488210818308</v>
      </c>
      <c r="N93" s="33">
        <v>0.58638743455497377</v>
      </c>
      <c r="O93" s="33">
        <v>0.47272727272727272</v>
      </c>
      <c r="P93" s="33">
        <v>0.43459915611814348</v>
      </c>
    </row>
    <row r="94" spans="1:16" x14ac:dyDescent="0.45">
      <c r="A94" s="35">
        <v>91</v>
      </c>
      <c r="B94" s="32">
        <v>520.39999999999986</v>
      </c>
      <c r="C94" s="32">
        <v>5.718681318681317</v>
      </c>
      <c r="D94" s="37">
        <v>1.8021978021978022</v>
      </c>
      <c r="E94" s="33">
        <v>0.46153846153846156</v>
      </c>
      <c r="F94" s="33">
        <v>0.26373626373626374</v>
      </c>
      <c r="G94" s="33">
        <v>0.33150684931506852</v>
      </c>
      <c r="H94" s="33">
        <v>0.13835616438356163</v>
      </c>
      <c r="I94" s="34">
        <v>7683.8842975206608</v>
      </c>
      <c r="J94" s="34">
        <v>-7753.4653465346537</v>
      </c>
      <c r="K94" s="33">
        <v>5.4945054945054944E-2</v>
      </c>
      <c r="L94" s="33">
        <v>0.26438356164383564</v>
      </c>
      <c r="M94" s="33">
        <v>0.23013698630136986</v>
      </c>
      <c r="N94" s="33">
        <v>0.59067357512953367</v>
      </c>
      <c r="O94" s="33">
        <v>0.47023809523809523</v>
      </c>
      <c r="P94" s="33">
        <v>0.43388429752066116</v>
      </c>
    </row>
    <row r="95" spans="1:16" x14ac:dyDescent="0.45">
      <c r="A95" s="35">
        <v>92</v>
      </c>
      <c r="B95" s="32">
        <v>548.09999999999991</v>
      </c>
      <c r="C95" s="32">
        <v>5.9576086956521728</v>
      </c>
      <c r="D95" s="37">
        <v>1.7934782608695652</v>
      </c>
      <c r="E95" s="33">
        <v>0.46739130434782611</v>
      </c>
      <c r="F95" s="33">
        <v>0.2608695652173913</v>
      </c>
      <c r="G95" s="33">
        <v>0.33242876526458615</v>
      </c>
      <c r="H95" s="33">
        <v>0.13839891451831751</v>
      </c>
      <c r="I95" s="34">
        <v>7687.7551020408164</v>
      </c>
      <c r="J95" s="34">
        <v>-7755.8823529411766</v>
      </c>
      <c r="K95" s="33">
        <v>5.434782608695652E-2</v>
      </c>
      <c r="L95" s="33">
        <v>0.26458616010854819</v>
      </c>
      <c r="M95" s="33">
        <v>0.22930800542740842</v>
      </c>
      <c r="N95" s="33">
        <v>0.59487179487179487</v>
      </c>
      <c r="O95" s="33">
        <v>0.46745562130177515</v>
      </c>
      <c r="P95" s="33">
        <v>0.43265306122448982</v>
      </c>
    </row>
    <row r="96" spans="1:16" x14ac:dyDescent="0.45">
      <c r="A96" s="35">
        <v>93</v>
      </c>
      <c r="B96" s="32">
        <v>583.99999999999989</v>
      </c>
      <c r="C96" s="32">
        <v>6.2795698924731171</v>
      </c>
      <c r="D96" s="37">
        <v>1.7849462365591398</v>
      </c>
      <c r="E96" s="33">
        <v>0.4731182795698925</v>
      </c>
      <c r="F96" s="33">
        <v>0.25806451612903225</v>
      </c>
      <c r="G96" s="33">
        <v>0.33378196500672946</v>
      </c>
      <c r="H96" s="33">
        <v>0.13728129205921938</v>
      </c>
      <c r="I96" s="34">
        <v>7701.2096774193551</v>
      </c>
      <c r="J96" s="34">
        <v>-7755.8823529411766</v>
      </c>
      <c r="K96" s="33">
        <v>5.3763440860215055E-2</v>
      </c>
      <c r="L96" s="33">
        <v>0.26648721399730824</v>
      </c>
      <c r="M96" s="33">
        <v>0.22880215343203231</v>
      </c>
      <c r="N96" s="33">
        <v>0.59595959595959591</v>
      </c>
      <c r="O96" s="33">
        <v>0.47058823529411764</v>
      </c>
      <c r="P96" s="33">
        <v>0.42741935483870969</v>
      </c>
    </row>
    <row r="97" spans="1:16" x14ac:dyDescent="0.45">
      <c r="A97" s="35">
        <v>94</v>
      </c>
      <c r="B97" s="32">
        <v>605.69999999999993</v>
      </c>
      <c r="C97" s="32">
        <v>6.4436170212765953</v>
      </c>
      <c r="D97" s="37">
        <v>1.7872340425531914</v>
      </c>
      <c r="E97" s="33">
        <v>0.46808510638297873</v>
      </c>
      <c r="F97" s="33">
        <v>0.25531914893617019</v>
      </c>
      <c r="G97" s="33">
        <v>0.33554376657824936</v>
      </c>
      <c r="H97" s="33">
        <v>0.13925729442970822</v>
      </c>
      <c r="I97" s="34">
        <v>7755.731225296443</v>
      </c>
      <c r="J97" s="34">
        <v>-7844.7619047619046</v>
      </c>
      <c r="K97" s="33">
        <v>5.3191489361702128E-2</v>
      </c>
      <c r="L97" s="33">
        <v>0.26790450928381965</v>
      </c>
      <c r="M97" s="33">
        <v>0.22944297082228116</v>
      </c>
      <c r="N97" s="33">
        <v>0.59405940594059403</v>
      </c>
      <c r="O97" s="33">
        <v>0.47976878612716761</v>
      </c>
      <c r="P97" s="33">
        <v>0.42292490118577075</v>
      </c>
    </row>
    <row r="98" spans="1:16" x14ac:dyDescent="0.45">
      <c r="A98" s="35">
        <v>95</v>
      </c>
      <c r="B98" s="32">
        <v>625.19999999999993</v>
      </c>
      <c r="C98" s="32">
        <v>6.581052631578947</v>
      </c>
      <c r="D98" s="37">
        <v>1.7789473684210526</v>
      </c>
      <c r="E98" s="33">
        <v>0.47368421052631576</v>
      </c>
      <c r="F98" s="33">
        <v>0.25263157894736843</v>
      </c>
      <c r="G98" s="33">
        <v>0.33595800524934383</v>
      </c>
      <c r="H98" s="33">
        <v>0.13910761154855644</v>
      </c>
      <c r="I98" s="34">
        <v>7750.78125</v>
      </c>
      <c r="J98" s="34">
        <v>-7780.1886792452833</v>
      </c>
      <c r="K98" s="33">
        <v>5.2631578947368418E-2</v>
      </c>
      <c r="L98" s="33">
        <v>0.26902887139107612</v>
      </c>
      <c r="M98" s="33">
        <v>0.22703412073490814</v>
      </c>
      <c r="N98" s="33">
        <v>0.59512195121951217</v>
      </c>
      <c r="O98" s="33">
        <v>0.47976878612716761</v>
      </c>
      <c r="P98" s="33">
        <v>0.42578125</v>
      </c>
    </row>
    <row r="99" spans="1:16" x14ac:dyDescent="0.45">
      <c r="A99" s="35">
        <v>96</v>
      </c>
      <c r="B99" s="32">
        <v>638.79999999999995</v>
      </c>
      <c r="C99" s="32">
        <v>6.6541666666666659</v>
      </c>
      <c r="D99" s="37">
        <v>1.78125</v>
      </c>
      <c r="E99" s="33">
        <v>0.46875</v>
      </c>
      <c r="F99" s="33">
        <v>0.25</v>
      </c>
      <c r="G99" s="33">
        <v>0.33506493506493507</v>
      </c>
      <c r="H99" s="33">
        <v>0.13896103896103895</v>
      </c>
      <c r="I99" s="34">
        <v>7760.4651162790697</v>
      </c>
      <c r="J99" s="34">
        <v>-7726.1682242990655</v>
      </c>
      <c r="K99" s="33">
        <v>5.2083333333333336E-2</v>
      </c>
      <c r="L99" s="33">
        <v>0.27142857142857141</v>
      </c>
      <c r="M99" s="33">
        <v>0.22467532467532467</v>
      </c>
      <c r="N99" s="33">
        <v>0.59330143540669855</v>
      </c>
      <c r="O99" s="33">
        <v>0.47976878612716761</v>
      </c>
      <c r="P99" s="33">
        <v>0.4263565891472868</v>
      </c>
    </row>
    <row r="100" spans="1:16" x14ac:dyDescent="0.45">
      <c r="A100" s="35">
        <v>97</v>
      </c>
      <c r="B100" s="32">
        <v>680.69999999999993</v>
      </c>
      <c r="C100" s="32">
        <v>7.0175257731958753</v>
      </c>
      <c r="D100" s="37">
        <v>1.7731958762886597</v>
      </c>
      <c r="E100" s="33">
        <v>0.47422680412371132</v>
      </c>
      <c r="F100" s="33">
        <v>0.24742268041237114</v>
      </c>
      <c r="G100" s="33">
        <v>0.33762886597938147</v>
      </c>
      <c r="H100" s="33">
        <v>0.13788659793814434</v>
      </c>
      <c r="I100" s="34">
        <v>7750</v>
      </c>
      <c r="J100" s="34">
        <v>-7726.1682242990655</v>
      </c>
      <c r="K100" s="33">
        <v>5.1546391752577317E-2</v>
      </c>
      <c r="L100" s="33">
        <v>0.27319587628865977</v>
      </c>
      <c r="M100" s="33">
        <v>0.22551546391752578</v>
      </c>
      <c r="N100" s="33">
        <v>0.59433962264150941</v>
      </c>
      <c r="O100" s="33">
        <v>0.48571428571428571</v>
      </c>
      <c r="P100" s="33">
        <v>0.43129770992366412</v>
      </c>
    </row>
    <row r="101" spans="1:16" x14ac:dyDescent="0.45">
      <c r="A101" s="35">
        <v>98</v>
      </c>
      <c r="B101" s="32">
        <v>664.19999999999993</v>
      </c>
      <c r="C101" s="32">
        <v>6.7775510204081622</v>
      </c>
      <c r="D101" s="37">
        <v>1.7755102040816326</v>
      </c>
      <c r="E101" s="33">
        <v>0.46938775510204084</v>
      </c>
      <c r="F101" s="33">
        <v>0.24489795918367346</v>
      </c>
      <c r="G101" s="33">
        <v>0.33460076045627374</v>
      </c>
      <c r="H101" s="33">
        <v>0.13561470215462612</v>
      </c>
      <c r="I101" s="34">
        <v>7729.166666666667</v>
      </c>
      <c r="J101" s="34">
        <v>-7726.1682242990655</v>
      </c>
      <c r="K101" s="33">
        <v>5.1020408163265307E-2</v>
      </c>
      <c r="L101" s="33">
        <v>0.27376425855513309</v>
      </c>
      <c r="M101" s="33">
        <v>0.2256020278833967</v>
      </c>
      <c r="N101" s="33">
        <v>0.59259259259259256</v>
      </c>
      <c r="O101" s="33">
        <v>0.47752808988764045</v>
      </c>
      <c r="P101" s="33">
        <v>0.42803030303030304</v>
      </c>
    </row>
    <row r="102" spans="1:16" x14ac:dyDescent="0.45">
      <c r="A102" s="35">
        <v>99</v>
      </c>
      <c r="B102" s="32">
        <v>713.19999999999993</v>
      </c>
      <c r="C102" s="32">
        <v>7.2040404040404029</v>
      </c>
      <c r="D102" s="37">
        <v>1.7676767676767677</v>
      </c>
      <c r="E102" s="33">
        <v>0.47474747474747475</v>
      </c>
      <c r="F102" s="33">
        <v>0.24242424242424243</v>
      </c>
      <c r="G102" s="33">
        <v>0.33624999999999999</v>
      </c>
      <c r="H102" s="33">
        <v>0.13375000000000001</v>
      </c>
      <c r="I102" s="34">
        <v>7737.1747211895909</v>
      </c>
      <c r="J102" s="34">
        <v>-7726.1682242990655</v>
      </c>
      <c r="K102" s="33">
        <v>5.0505050505050504E-2</v>
      </c>
      <c r="L102" s="33">
        <v>0.27124999999999999</v>
      </c>
      <c r="M102" s="33">
        <v>0.22750000000000001</v>
      </c>
      <c r="N102" s="33">
        <v>0.59447004608294929</v>
      </c>
      <c r="O102" s="33">
        <v>0.47802197802197804</v>
      </c>
      <c r="P102" s="33">
        <v>0.43122676579925651</v>
      </c>
    </row>
    <row r="103" spans="1:16" x14ac:dyDescent="0.45">
      <c r="A103" s="35">
        <v>100</v>
      </c>
      <c r="B103" s="32">
        <v>757.59999999999991</v>
      </c>
      <c r="C103" s="32">
        <v>7.5759999999999987</v>
      </c>
      <c r="D103" s="37">
        <v>1.76</v>
      </c>
      <c r="E103" s="33">
        <v>0.48</v>
      </c>
      <c r="F103" s="33">
        <v>0.24</v>
      </c>
      <c r="G103" s="33">
        <v>0.33788819875776399</v>
      </c>
      <c r="H103" s="33">
        <v>0.13291925465838508</v>
      </c>
      <c r="I103" s="34">
        <v>7773.8970588235297</v>
      </c>
      <c r="J103" s="34">
        <v>-7726.1682242990655</v>
      </c>
      <c r="K103" s="33">
        <v>0.05</v>
      </c>
      <c r="L103" s="33">
        <v>0.27204968944099378</v>
      </c>
      <c r="M103" s="33">
        <v>0.22608695652173913</v>
      </c>
      <c r="N103" s="33">
        <v>0.59817351598173518</v>
      </c>
      <c r="O103" s="33">
        <v>0.47802197802197804</v>
      </c>
      <c r="P103" s="33">
        <v>0.43014705882352944</v>
      </c>
    </row>
    <row r="104" spans="1:16" x14ac:dyDescent="0.45">
      <c r="A104" s="35">
        <v>101</v>
      </c>
      <c r="B104" s="32">
        <v>717.39999999999986</v>
      </c>
      <c r="C104" s="32">
        <v>7.1029702970297013</v>
      </c>
      <c r="D104" s="37">
        <v>1.7722772277227723</v>
      </c>
      <c r="E104" s="33">
        <v>0.47524752475247523</v>
      </c>
      <c r="F104" s="33">
        <v>0.24752475247524752</v>
      </c>
      <c r="G104" s="33">
        <v>0.33620689655172414</v>
      </c>
      <c r="H104" s="33">
        <v>0.13300492610837439</v>
      </c>
      <c r="I104" s="34">
        <v>7750.1831501831502</v>
      </c>
      <c r="J104" s="34">
        <v>-7821.2962962962965</v>
      </c>
      <c r="K104" s="33">
        <v>4.9504950495049507E-2</v>
      </c>
      <c r="L104" s="33">
        <v>0.27093596059113301</v>
      </c>
      <c r="M104" s="33">
        <v>0.22536945812807882</v>
      </c>
      <c r="N104" s="33">
        <v>0.6</v>
      </c>
      <c r="O104" s="33">
        <v>0.47540983606557374</v>
      </c>
      <c r="P104" s="33">
        <v>0.42857142857142855</v>
      </c>
    </row>
    <row r="105" spans="1:16" x14ac:dyDescent="0.45">
      <c r="A105" s="35">
        <v>102</v>
      </c>
      <c r="B105" s="32">
        <v>767.39999999999986</v>
      </c>
      <c r="C105" s="32">
        <v>7.5235294117647049</v>
      </c>
      <c r="D105" s="37">
        <v>1.7647058823529411</v>
      </c>
      <c r="E105" s="33">
        <v>0.48039215686274511</v>
      </c>
      <c r="F105" s="33">
        <v>0.24509803921568626</v>
      </c>
      <c r="G105" s="33">
        <v>0.33780487804878051</v>
      </c>
      <c r="H105" s="33">
        <v>0.13170731707317074</v>
      </c>
      <c r="I105" s="34">
        <v>7788.8086642599274</v>
      </c>
      <c r="J105" s="34">
        <v>-7821.2962962962965</v>
      </c>
      <c r="K105" s="33">
        <v>4.9019607843137254E-2</v>
      </c>
      <c r="L105" s="33">
        <v>0.27317073170731709</v>
      </c>
      <c r="M105" s="33">
        <v>0.22560975609756098</v>
      </c>
      <c r="N105" s="33">
        <v>0.5982142857142857</v>
      </c>
      <c r="O105" s="33">
        <v>0.48108108108108111</v>
      </c>
      <c r="P105" s="33">
        <v>0.4296028880866426</v>
      </c>
    </row>
    <row r="106" spans="1:16" x14ac:dyDescent="0.45">
      <c r="A106" s="35">
        <v>103</v>
      </c>
      <c r="B106" s="32">
        <v>891.49999999999989</v>
      </c>
      <c r="C106" s="32">
        <v>8.6553398058252409</v>
      </c>
      <c r="D106" s="37">
        <v>1.7572815533980584</v>
      </c>
      <c r="E106" s="33">
        <v>0.4854368932038835</v>
      </c>
      <c r="F106" s="33">
        <v>0.24271844660194175</v>
      </c>
      <c r="G106" s="33">
        <v>0.33898305084745761</v>
      </c>
      <c r="H106" s="33">
        <v>0.13075060532687652</v>
      </c>
      <c r="I106" s="34">
        <v>8098.5714285714284</v>
      </c>
      <c r="J106" s="34">
        <v>-7821.2962962962965</v>
      </c>
      <c r="K106" s="33">
        <v>4.8543689320388349E-2</v>
      </c>
      <c r="L106" s="33">
        <v>0.27360774818401939</v>
      </c>
      <c r="M106" s="33">
        <v>0.22397094430992737</v>
      </c>
      <c r="N106" s="33">
        <v>0.59734513274336287</v>
      </c>
      <c r="O106" s="33">
        <v>0.48108108108108111</v>
      </c>
      <c r="P106" s="33">
        <v>0.42857142857142855</v>
      </c>
    </row>
    <row r="107" spans="1:16" x14ac:dyDescent="0.45">
      <c r="A107" s="35">
        <v>104</v>
      </c>
      <c r="B107" s="32">
        <v>898.49999999999989</v>
      </c>
      <c r="C107" s="32">
        <v>8.6394230769230766</v>
      </c>
      <c r="D107" s="37">
        <v>1.7596153846153846</v>
      </c>
      <c r="E107" s="33">
        <v>0.48076923076923078</v>
      </c>
      <c r="F107" s="33">
        <v>0.24038461538461539</v>
      </c>
      <c r="G107" s="33">
        <v>0.3397358943577431</v>
      </c>
      <c r="H107" s="33">
        <v>0.12965186074429771</v>
      </c>
      <c r="I107" s="34">
        <v>8104.5936395759718</v>
      </c>
      <c r="J107" s="34">
        <v>-7821.2962962962965</v>
      </c>
      <c r="K107" s="33">
        <v>4.807692307692308E-2</v>
      </c>
      <c r="L107" s="33">
        <v>0.27370948379351739</v>
      </c>
      <c r="M107" s="33">
        <v>0.22208883553421369</v>
      </c>
      <c r="N107" s="33">
        <v>0.60087719298245612</v>
      </c>
      <c r="O107" s="33">
        <v>0.48108108108108111</v>
      </c>
      <c r="P107" s="33">
        <v>0.43109540636042404</v>
      </c>
    </row>
    <row r="108" spans="1:16" x14ac:dyDescent="0.45">
      <c r="A108" s="35">
        <v>105</v>
      </c>
      <c r="B108" s="32">
        <v>884.39999999999986</v>
      </c>
      <c r="C108" s="32">
        <v>8.4228571428571417</v>
      </c>
      <c r="D108" s="37">
        <v>1.7714285714285714</v>
      </c>
      <c r="E108" s="33">
        <v>0.47619047619047616</v>
      </c>
      <c r="F108" s="33">
        <v>0.24761904761904763</v>
      </c>
      <c r="G108" s="33">
        <v>0.33847980997624705</v>
      </c>
      <c r="H108" s="33">
        <v>0.13064133016627077</v>
      </c>
      <c r="I108" s="34">
        <v>8117.894736842105</v>
      </c>
      <c r="J108" s="34">
        <v>-7804.545454545455</v>
      </c>
      <c r="K108" s="33">
        <v>4.7619047619047616E-2</v>
      </c>
      <c r="L108" s="33">
        <v>0.27197149643705465</v>
      </c>
      <c r="M108" s="33">
        <v>0.22446555819477435</v>
      </c>
      <c r="N108" s="33">
        <v>0.6026200873362445</v>
      </c>
      <c r="O108" s="33">
        <v>0.47619047619047616</v>
      </c>
      <c r="P108" s="33">
        <v>0.43508771929824563</v>
      </c>
    </row>
    <row r="109" spans="1:16" x14ac:dyDescent="0.45">
      <c r="A109" s="35">
        <v>106</v>
      </c>
      <c r="B109" s="32">
        <v>954.99999999999989</v>
      </c>
      <c r="C109" s="32">
        <v>9.0094339622641506</v>
      </c>
      <c r="D109" s="37">
        <v>1.7641509433962264</v>
      </c>
      <c r="E109" s="33">
        <v>0.48113207547169812</v>
      </c>
      <c r="F109" s="33">
        <v>0.24528301886792453</v>
      </c>
      <c r="G109" s="33">
        <v>0.3408284023668639</v>
      </c>
      <c r="H109" s="33">
        <v>0.13017751479289941</v>
      </c>
      <c r="I109" s="34">
        <v>8226.3888888888887</v>
      </c>
      <c r="J109" s="34">
        <v>-7804.545454545455</v>
      </c>
      <c r="K109" s="33">
        <v>4.716981132075472E-2</v>
      </c>
      <c r="L109" s="33">
        <v>0.2710059171597633</v>
      </c>
      <c r="M109" s="33">
        <v>0.22603550295857988</v>
      </c>
      <c r="N109" s="33">
        <v>0.6026200873362445</v>
      </c>
      <c r="O109" s="33">
        <v>0.48167539267015708</v>
      </c>
      <c r="P109" s="33">
        <v>0.4375</v>
      </c>
    </row>
    <row r="110" spans="1:16" x14ac:dyDescent="0.45">
      <c r="A110" s="35">
        <v>107</v>
      </c>
      <c r="B110" s="32">
        <v>923.99999999999989</v>
      </c>
      <c r="C110" s="32">
        <v>8.6355140186915875</v>
      </c>
      <c r="D110" s="37">
        <v>1.7757009345794392</v>
      </c>
      <c r="E110" s="33">
        <v>0.47663551401869159</v>
      </c>
      <c r="F110" s="33">
        <v>0.25233644859813081</v>
      </c>
      <c r="G110" s="33">
        <v>0.33840749414519905</v>
      </c>
      <c r="H110" s="33">
        <v>0.13114754098360656</v>
      </c>
      <c r="I110" s="34">
        <v>8260.2076124567466</v>
      </c>
      <c r="J110" s="34">
        <v>-7843.75</v>
      </c>
      <c r="K110" s="33">
        <v>4.6728971962616821E-2</v>
      </c>
      <c r="L110" s="33">
        <v>0.27166276346604218</v>
      </c>
      <c r="M110" s="33">
        <v>0.22599531615925059</v>
      </c>
      <c r="N110" s="33">
        <v>0.59482758620689657</v>
      </c>
      <c r="O110" s="33">
        <v>0.47668393782383417</v>
      </c>
      <c r="P110" s="33">
        <v>0.43598615916955019</v>
      </c>
    </row>
    <row r="111" spans="1:16" x14ac:dyDescent="0.45">
      <c r="A111" s="35">
        <v>108</v>
      </c>
      <c r="B111" s="32">
        <v>900.39999999999986</v>
      </c>
      <c r="C111" s="32">
        <v>8.3370370370370352</v>
      </c>
      <c r="D111" s="37">
        <v>1.787037037037037</v>
      </c>
      <c r="E111" s="33">
        <v>0.47222222222222221</v>
      </c>
      <c r="F111" s="33">
        <v>0.25925925925925924</v>
      </c>
      <c r="G111" s="33">
        <v>0.33874709976798145</v>
      </c>
      <c r="H111" s="33">
        <v>0.12993039443155452</v>
      </c>
      <c r="I111" s="34">
        <v>8217.1232876712329</v>
      </c>
      <c r="J111" s="34">
        <v>-7843.75</v>
      </c>
      <c r="K111" s="33">
        <v>4.6296296296296294E-2</v>
      </c>
      <c r="L111" s="33">
        <v>0.27030162412993042</v>
      </c>
      <c r="M111" s="33">
        <v>0.22737819025522041</v>
      </c>
      <c r="N111" s="33">
        <v>0.59227467811158796</v>
      </c>
      <c r="O111" s="33">
        <v>0.47959183673469385</v>
      </c>
      <c r="P111" s="33">
        <v>0.4315068493150685</v>
      </c>
    </row>
    <row r="112" spans="1:16" x14ac:dyDescent="0.45">
      <c r="A112" s="35">
        <v>109</v>
      </c>
      <c r="B112" s="32">
        <v>903.59999999999991</v>
      </c>
      <c r="C112" s="32">
        <v>8.2899082568807323</v>
      </c>
      <c r="D112" s="37">
        <v>1.7889908256880733</v>
      </c>
      <c r="E112" s="33">
        <v>0.46788990825688076</v>
      </c>
      <c r="F112" s="33">
        <v>0.25688073394495414</v>
      </c>
      <c r="G112" s="33">
        <v>0.33831990794016109</v>
      </c>
      <c r="H112" s="33">
        <v>0.13003452243958574</v>
      </c>
      <c r="I112" s="34">
        <v>8212.925170068027</v>
      </c>
      <c r="J112" s="34">
        <v>-7820.353982300885</v>
      </c>
      <c r="K112" s="33">
        <v>4.5871559633027525E-2</v>
      </c>
      <c r="L112" s="33">
        <v>0.26812428078250861</v>
      </c>
      <c r="M112" s="33">
        <v>0.22669735327963175</v>
      </c>
      <c r="N112" s="33">
        <v>0.59227467811158796</v>
      </c>
      <c r="O112" s="33">
        <v>0.48223350253807107</v>
      </c>
      <c r="P112" s="33">
        <v>0.42857142857142855</v>
      </c>
    </row>
    <row r="113" spans="1:16" x14ac:dyDescent="0.45">
      <c r="A113" s="35">
        <v>110</v>
      </c>
      <c r="B113" s="32">
        <v>915.09999999999991</v>
      </c>
      <c r="C113" s="32">
        <v>8.3190909090909084</v>
      </c>
      <c r="D113" s="37">
        <v>1.790909090909091</v>
      </c>
      <c r="E113" s="33">
        <v>0.46363636363636362</v>
      </c>
      <c r="F113" s="33">
        <v>0.25454545454545452</v>
      </c>
      <c r="G113" s="33">
        <v>0.33823529411764708</v>
      </c>
      <c r="H113" s="33">
        <v>0.12895927601809956</v>
      </c>
      <c r="I113" s="34">
        <v>8190.635451505017</v>
      </c>
      <c r="J113" s="34">
        <v>-7785.9649122807014</v>
      </c>
      <c r="K113" s="33">
        <v>4.5454545454545456E-2</v>
      </c>
      <c r="L113" s="33">
        <v>0.26583710407239819</v>
      </c>
      <c r="M113" s="33">
        <v>0.2239819004524887</v>
      </c>
      <c r="N113" s="33">
        <v>0.5957446808510638</v>
      </c>
      <c r="O113" s="33">
        <v>0.47979797979797978</v>
      </c>
      <c r="P113" s="33">
        <v>0.42474916387959866</v>
      </c>
    </row>
    <row r="114" spans="1:16" x14ac:dyDescent="0.45">
      <c r="A114" s="35">
        <v>111</v>
      </c>
      <c r="B114" s="32">
        <v>985.69999999999993</v>
      </c>
      <c r="C114" s="32">
        <v>8.8801801801801794</v>
      </c>
      <c r="D114" s="37">
        <v>1.7837837837837838</v>
      </c>
      <c r="E114" s="33">
        <v>0.46846846846846846</v>
      </c>
      <c r="F114" s="33">
        <v>0.25225225225225223</v>
      </c>
      <c r="G114" s="33">
        <v>0.34157303370786518</v>
      </c>
      <c r="H114" s="33">
        <v>0.12808988764044943</v>
      </c>
      <c r="I114" s="34">
        <v>8235.5263157894733</v>
      </c>
      <c r="J114" s="34">
        <v>-7785.9649122807014</v>
      </c>
      <c r="K114" s="33">
        <v>4.5045045045045043E-2</v>
      </c>
      <c r="L114" s="33">
        <v>0.26629213483146069</v>
      </c>
      <c r="M114" s="33">
        <v>0.2247191011235955</v>
      </c>
      <c r="N114" s="33">
        <v>0.59915611814345993</v>
      </c>
      <c r="O114" s="33">
        <v>0.48499999999999999</v>
      </c>
      <c r="P114" s="33">
        <v>0.43092105263157893</v>
      </c>
    </row>
    <row r="115" spans="1:16" x14ac:dyDescent="0.45">
      <c r="A115" s="35">
        <v>112</v>
      </c>
      <c r="B115" s="32">
        <v>991.49999999999989</v>
      </c>
      <c r="C115" s="32">
        <v>8.8526785714285712</v>
      </c>
      <c r="D115" s="37">
        <v>1.7857142857142858</v>
      </c>
      <c r="E115" s="33">
        <v>0.4642857142857143</v>
      </c>
      <c r="F115" s="33">
        <v>0.25</v>
      </c>
      <c r="G115" s="33">
        <v>0.34298440979955458</v>
      </c>
      <c r="H115" s="33">
        <v>0.12694877505567928</v>
      </c>
      <c r="I115" s="34">
        <v>8203.5714285714294</v>
      </c>
      <c r="J115" s="34">
        <v>-7785.9649122807014</v>
      </c>
      <c r="K115" s="33">
        <v>4.4642857142857144E-2</v>
      </c>
      <c r="L115" s="33">
        <v>0.267260579064588</v>
      </c>
      <c r="M115" s="33">
        <v>0.22494432071269488</v>
      </c>
      <c r="N115" s="33">
        <v>0.60416666666666663</v>
      </c>
      <c r="O115" s="33">
        <v>0.48514851485148514</v>
      </c>
      <c r="P115" s="33">
        <v>0.42857142857142855</v>
      </c>
    </row>
    <row r="116" spans="1:16" x14ac:dyDescent="0.45">
      <c r="A116" s="35">
        <v>113</v>
      </c>
      <c r="B116" s="32">
        <v>1038.3999999999999</v>
      </c>
      <c r="C116" s="32">
        <v>9.18938053097345</v>
      </c>
      <c r="D116" s="37">
        <v>1.7787610619469028</v>
      </c>
      <c r="E116" s="33">
        <v>0.46902654867256638</v>
      </c>
      <c r="F116" s="33">
        <v>0.24778761061946902</v>
      </c>
      <c r="G116" s="33">
        <v>0.34357848518111966</v>
      </c>
      <c r="H116" s="33">
        <v>0.12733260153677278</v>
      </c>
      <c r="I116" s="34">
        <v>8231.3099041533551</v>
      </c>
      <c r="J116" s="34">
        <v>-7766.3793103448279</v>
      </c>
      <c r="K116" s="33">
        <v>4.4247787610619468E-2</v>
      </c>
      <c r="L116" s="33">
        <v>0.26783754116355651</v>
      </c>
      <c r="M116" s="33">
        <v>0.2239297475301866</v>
      </c>
      <c r="N116" s="33">
        <v>0.60655737704918034</v>
      </c>
      <c r="O116" s="33">
        <v>0.48529411764705882</v>
      </c>
      <c r="P116" s="33">
        <v>0.43130990415335463</v>
      </c>
    </row>
    <row r="117" spans="1:16" x14ac:dyDescent="0.45">
      <c r="A117" s="35">
        <v>114</v>
      </c>
      <c r="B117" s="32">
        <v>1045.8</v>
      </c>
      <c r="C117" s="32">
        <v>9.1736842105263161</v>
      </c>
      <c r="D117" s="37">
        <v>1.7807017543859649</v>
      </c>
      <c r="E117" s="33">
        <v>0.46491228070175439</v>
      </c>
      <c r="F117" s="33">
        <v>0.24561403508771928</v>
      </c>
      <c r="G117" s="33">
        <v>0.34415584415584416</v>
      </c>
      <c r="H117" s="33">
        <v>0.12878787878787878</v>
      </c>
      <c r="I117" s="34">
        <v>8321.3836477987425</v>
      </c>
      <c r="J117" s="34">
        <v>-7973.9495798319331</v>
      </c>
      <c r="K117" s="33">
        <v>4.3859649122807015E-2</v>
      </c>
      <c r="L117" s="33">
        <v>0.27056277056277056</v>
      </c>
      <c r="M117" s="33">
        <v>0.22294372294372294</v>
      </c>
      <c r="N117" s="33">
        <v>0.60399999999999998</v>
      </c>
      <c r="O117" s="33">
        <v>0.4854368932038835</v>
      </c>
      <c r="P117" s="33">
        <v>0.4308176100628931</v>
      </c>
    </row>
    <row r="118" spans="1:16" x14ac:dyDescent="0.45">
      <c r="A118" s="35">
        <v>115</v>
      </c>
      <c r="B118" s="32">
        <v>1047.2</v>
      </c>
      <c r="C118" s="32">
        <v>9.1060869565217395</v>
      </c>
      <c r="D118" s="37">
        <v>1.7826086956521738</v>
      </c>
      <c r="E118" s="33">
        <v>0.46086956521739131</v>
      </c>
      <c r="F118" s="33">
        <v>0.24347826086956523</v>
      </c>
      <c r="G118" s="33">
        <v>0.34334763948497854</v>
      </c>
      <c r="H118" s="33">
        <v>0.12768240343347639</v>
      </c>
      <c r="I118" s="34">
        <v>8310.625</v>
      </c>
      <c r="J118" s="34">
        <v>-7973.9495798319331</v>
      </c>
      <c r="K118" s="33">
        <v>4.3478260869565216E-2</v>
      </c>
      <c r="L118" s="33">
        <v>0.27038626609442062</v>
      </c>
      <c r="M118" s="33">
        <v>0.22424892703862662</v>
      </c>
      <c r="N118" s="33">
        <v>0.60317460317460314</v>
      </c>
      <c r="O118" s="33">
        <v>0.48325358851674644</v>
      </c>
      <c r="P118" s="33">
        <v>0.42812499999999998</v>
      </c>
    </row>
    <row r="119" spans="1:16" x14ac:dyDescent="0.45">
      <c r="A119" s="35">
        <v>116</v>
      </c>
      <c r="B119" s="32">
        <v>1043.3</v>
      </c>
      <c r="C119" s="32">
        <v>8.9939655172413797</v>
      </c>
      <c r="D119" s="37">
        <v>1.7844827586206897</v>
      </c>
      <c r="E119" s="33">
        <v>0.45689655172413796</v>
      </c>
      <c r="F119" s="33">
        <v>0.2413793103448276</v>
      </c>
      <c r="G119" s="33">
        <v>0.34358430540827145</v>
      </c>
      <c r="H119" s="33">
        <v>0.12831389183457051</v>
      </c>
      <c r="I119" s="34">
        <v>8296.6049382716046</v>
      </c>
      <c r="J119" s="34">
        <v>-7973.5537190082641</v>
      </c>
      <c r="K119" s="33">
        <v>4.3103448275862072E-2</v>
      </c>
      <c r="L119" s="33">
        <v>0.26723223753976671</v>
      </c>
      <c r="M119" s="33">
        <v>0.22481442205726404</v>
      </c>
      <c r="N119" s="33">
        <v>0.60317460317460314</v>
      </c>
      <c r="O119" s="33">
        <v>0.48584905660377359</v>
      </c>
      <c r="P119" s="33">
        <v>0.42592592592592593</v>
      </c>
    </row>
    <row r="120" spans="1:16" x14ac:dyDescent="0.45">
      <c r="A120" s="35">
        <v>117</v>
      </c>
      <c r="B120" s="32">
        <v>1060.0999999999999</v>
      </c>
      <c r="C120" s="32">
        <v>9.0606837606837605</v>
      </c>
      <c r="D120" s="37">
        <v>1.7777777777777777</v>
      </c>
      <c r="E120" s="33">
        <v>0.46153846153846156</v>
      </c>
      <c r="F120" s="33">
        <v>0.23931623931623933</v>
      </c>
      <c r="G120" s="33">
        <v>0.34351949420442573</v>
      </c>
      <c r="H120" s="33">
        <v>0.12855637513171761</v>
      </c>
      <c r="I120" s="34">
        <v>8285.5828220858893</v>
      </c>
      <c r="J120" s="34">
        <v>-7950.8196721311479</v>
      </c>
      <c r="K120" s="33">
        <v>4.2735042735042736E-2</v>
      </c>
      <c r="L120" s="33">
        <v>0.26765015806111697</v>
      </c>
      <c r="M120" s="33">
        <v>0.22444678609062171</v>
      </c>
      <c r="N120" s="33">
        <v>0.60236220472440949</v>
      </c>
      <c r="O120" s="33">
        <v>0.48826291079812206</v>
      </c>
      <c r="P120" s="33">
        <v>0.42638036809815949</v>
      </c>
    </row>
    <row r="121" spans="1:16" x14ac:dyDescent="0.45">
      <c r="A121" s="35">
        <v>118</v>
      </c>
      <c r="B121" s="32">
        <v>1067.8</v>
      </c>
      <c r="C121" s="32">
        <v>9.0491525423728802</v>
      </c>
      <c r="D121" s="37">
        <v>1.7796610169491525</v>
      </c>
      <c r="E121" s="33">
        <v>0.4576271186440678</v>
      </c>
      <c r="F121" s="33">
        <v>0.23728813559322035</v>
      </c>
      <c r="G121" s="33">
        <v>0.34309623430962344</v>
      </c>
      <c r="H121" s="33">
        <v>0.12761506276150628</v>
      </c>
      <c r="I121" s="34">
        <v>8316.1585365853662</v>
      </c>
      <c r="J121" s="34">
        <v>-7950.8196721311479</v>
      </c>
      <c r="K121" s="33">
        <v>4.2372881355932202E-2</v>
      </c>
      <c r="L121" s="33">
        <v>0.26882845188284521</v>
      </c>
      <c r="M121" s="33">
        <v>0.22280334728033474</v>
      </c>
      <c r="N121" s="33">
        <v>0.59922178988326846</v>
      </c>
      <c r="O121" s="33">
        <v>0.48826291079812206</v>
      </c>
      <c r="P121" s="33">
        <v>0.42378048780487804</v>
      </c>
    </row>
    <row r="122" spans="1:16" x14ac:dyDescent="0.45">
      <c r="A122" s="35">
        <v>119</v>
      </c>
      <c r="B122" s="32">
        <v>1027</v>
      </c>
      <c r="C122" s="32">
        <v>8.6302521008403357</v>
      </c>
      <c r="D122" s="37">
        <v>1.7899159663865547</v>
      </c>
      <c r="E122" s="33">
        <v>0.45378151260504201</v>
      </c>
      <c r="F122" s="33">
        <v>0.24369747899159663</v>
      </c>
      <c r="G122" s="33">
        <v>0.34024896265560167</v>
      </c>
      <c r="H122" s="33">
        <v>0.12863070539419086</v>
      </c>
      <c r="I122" s="34">
        <v>8316.1585365853662</v>
      </c>
      <c r="J122" s="34">
        <v>-7935.4838709677415</v>
      </c>
      <c r="K122" s="33">
        <v>4.2016806722689079E-2</v>
      </c>
      <c r="L122" s="33">
        <v>0.26867219917012447</v>
      </c>
      <c r="M122" s="33">
        <v>0.22199170124481327</v>
      </c>
      <c r="N122" s="33">
        <v>0.59459459459459463</v>
      </c>
      <c r="O122" s="33">
        <v>0.48598130841121495</v>
      </c>
      <c r="P122" s="33">
        <v>0.42378048780487804</v>
      </c>
    </row>
    <row r="123" spans="1:16" x14ac:dyDescent="0.45">
      <c r="A123" s="35">
        <v>120</v>
      </c>
      <c r="B123" s="32">
        <v>1070.7</v>
      </c>
      <c r="C123" s="32">
        <v>8.9225000000000012</v>
      </c>
      <c r="D123" s="37">
        <v>1.7833333333333334</v>
      </c>
      <c r="E123" s="33">
        <v>0.45833333333333331</v>
      </c>
      <c r="F123" s="33">
        <v>0.24166666666666667</v>
      </c>
      <c r="G123" s="33">
        <v>0.3432682425488181</v>
      </c>
      <c r="H123" s="33">
        <v>0.12949640287769784</v>
      </c>
      <c r="I123" s="34">
        <v>8312.8742514970054</v>
      </c>
      <c r="J123" s="34">
        <v>-7901.5873015873012</v>
      </c>
      <c r="K123" s="33">
        <v>4.1666666666666664E-2</v>
      </c>
      <c r="L123" s="33">
        <v>0.27132579650565264</v>
      </c>
      <c r="M123" s="33">
        <v>0.22096608427543679</v>
      </c>
      <c r="N123" s="33">
        <v>0.59848484848484851</v>
      </c>
      <c r="O123" s="33">
        <v>0.48837209302325579</v>
      </c>
      <c r="P123" s="33">
        <v>0.42814371257485029</v>
      </c>
    </row>
    <row r="124" spans="1:16" x14ac:dyDescent="0.45">
      <c r="A124" s="35">
        <v>121</v>
      </c>
      <c r="B124" s="32">
        <v>1071.8</v>
      </c>
      <c r="C124" s="32">
        <v>8.8578512396694205</v>
      </c>
      <c r="D124" s="37">
        <v>1.7851239669421488</v>
      </c>
      <c r="E124" s="33">
        <v>0.45454545454545453</v>
      </c>
      <c r="F124" s="33">
        <v>0.23966942148760331</v>
      </c>
      <c r="G124" s="33">
        <v>0.34282807731434384</v>
      </c>
      <c r="H124" s="33">
        <v>0.12919633774160733</v>
      </c>
      <c r="I124" s="34">
        <v>8289.0207715133529</v>
      </c>
      <c r="J124" s="34">
        <v>-7880.3149606299212</v>
      </c>
      <c r="K124" s="33">
        <v>4.1322314049586778E-2</v>
      </c>
      <c r="L124" s="33">
        <v>0.27060020345879959</v>
      </c>
      <c r="M124" s="33">
        <v>0.22380467955239064</v>
      </c>
      <c r="N124" s="33">
        <v>0.59774436090225569</v>
      </c>
      <c r="O124" s="33">
        <v>0.48636363636363639</v>
      </c>
      <c r="P124" s="33">
        <v>0.42433234421364985</v>
      </c>
    </row>
    <row r="125" spans="1:16" x14ac:dyDescent="0.45">
      <c r="A125" s="35">
        <v>122</v>
      </c>
      <c r="B125" s="32">
        <v>1110.2</v>
      </c>
      <c r="C125" s="32">
        <v>9.1</v>
      </c>
      <c r="D125" s="37">
        <v>1.778688524590164</v>
      </c>
      <c r="E125" s="33">
        <v>0.45901639344262296</v>
      </c>
      <c r="F125" s="33">
        <v>0.23770491803278687</v>
      </c>
      <c r="G125" s="33">
        <v>0.34510595358224017</v>
      </c>
      <c r="H125" s="33">
        <v>0.12815338042381433</v>
      </c>
      <c r="I125" s="34">
        <v>8267.8362573099421</v>
      </c>
      <c r="J125" s="34">
        <v>-7880.3149606299212</v>
      </c>
      <c r="K125" s="33">
        <v>4.0983606557377046E-2</v>
      </c>
      <c r="L125" s="33">
        <v>0.27144298688193741</v>
      </c>
      <c r="M125" s="33">
        <v>0.22401614530776992</v>
      </c>
      <c r="N125" s="33">
        <v>0.60223048327137552</v>
      </c>
      <c r="O125" s="33">
        <v>0.48648648648648651</v>
      </c>
      <c r="P125" s="33">
        <v>0.41812865497076024</v>
      </c>
    </row>
    <row r="126" spans="1:16" x14ac:dyDescent="0.45">
      <c r="A126" s="35">
        <v>123</v>
      </c>
      <c r="B126" s="32">
        <v>1077.4000000000001</v>
      </c>
      <c r="C126" s="32">
        <v>8.7593495934959353</v>
      </c>
      <c r="D126" s="37">
        <v>1.7886178861788617</v>
      </c>
      <c r="E126" s="33">
        <v>0.45528455284552843</v>
      </c>
      <c r="F126" s="33">
        <v>0.24390243902439024</v>
      </c>
      <c r="G126" s="33">
        <v>0.34302908726178538</v>
      </c>
      <c r="H126" s="33">
        <v>0.1283851554663992</v>
      </c>
      <c r="I126" s="34">
        <v>8267.8362573099421</v>
      </c>
      <c r="J126" s="34">
        <v>-7943.75</v>
      </c>
      <c r="K126" s="33">
        <v>4.065040650406504E-2</v>
      </c>
      <c r="L126" s="33">
        <v>0.27081243731193583</v>
      </c>
      <c r="M126" s="33">
        <v>0.22668004012036108</v>
      </c>
      <c r="N126" s="33">
        <v>0.6</v>
      </c>
      <c r="O126" s="33">
        <v>0.47787610619469029</v>
      </c>
      <c r="P126" s="33">
        <v>0.41812865497076024</v>
      </c>
    </row>
    <row r="127" spans="1:16" x14ac:dyDescent="0.45">
      <c r="A127" s="35">
        <v>124</v>
      </c>
      <c r="B127" s="32">
        <v>1103.7</v>
      </c>
      <c r="C127" s="32">
        <v>8.9008064516129028</v>
      </c>
      <c r="D127" s="37">
        <v>1.782258064516129</v>
      </c>
      <c r="E127" s="33">
        <v>0.45967741935483869</v>
      </c>
      <c r="F127" s="33">
        <v>0.24193548387096775</v>
      </c>
      <c r="G127" s="33">
        <v>0.34260178748758691</v>
      </c>
      <c r="H127" s="33">
        <v>0.13008937437934459</v>
      </c>
      <c r="I127" s="34">
        <v>8276.5217391304341</v>
      </c>
      <c r="J127" s="34">
        <v>-7885.4961832061072</v>
      </c>
      <c r="K127" s="33">
        <v>4.0322580645161289E-2</v>
      </c>
      <c r="L127" s="33">
        <v>0.27110228401191661</v>
      </c>
      <c r="M127" s="33">
        <v>0.22740814299900694</v>
      </c>
      <c r="N127" s="33">
        <v>0.60073260073260071</v>
      </c>
      <c r="O127" s="33">
        <v>0.4759825327510917</v>
      </c>
      <c r="P127" s="33">
        <v>0.41739130434782606</v>
      </c>
    </row>
    <row r="128" spans="1:16" x14ac:dyDescent="0.45">
      <c r="A128" s="35">
        <v>125</v>
      </c>
      <c r="B128" s="32">
        <v>1125.2</v>
      </c>
      <c r="C128" s="32">
        <v>9.0015999999999998</v>
      </c>
      <c r="D128" s="37">
        <v>1.776</v>
      </c>
      <c r="E128" s="33">
        <v>0.46400000000000002</v>
      </c>
      <c r="F128" s="33">
        <v>0.24</v>
      </c>
      <c r="G128" s="33">
        <v>0.34184675834970529</v>
      </c>
      <c r="H128" s="33">
        <v>0.13064833005893908</v>
      </c>
      <c r="I128" s="34">
        <v>8269.8275862068967</v>
      </c>
      <c r="J128" s="34">
        <v>-7803.7593984962405</v>
      </c>
      <c r="K128" s="33">
        <v>0.04</v>
      </c>
      <c r="L128" s="33">
        <v>0.27013752455795675</v>
      </c>
      <c r="M128" s="33">
        <v>0.22888015717092339</v>
      </c>
      <c r="N128" s="33">
        <v>0.6</v>
      </c>
      <c r="O128" s="33">
        <v>0.47210300429184548</v>
      </c>
      <c r="P128" s="33">
        <v>0.41954022988505746</v>
      </c>
    </row>
    <row r="129" spans="1:16" x14ac:dyDescent="0.45">
      <c r="A129" s="35">
        <v>126</v>
      </c>
      <c r="B129" s="32">
        <v>1116.5</v>
      </c>
      <c r="C129" s="32">
        <v>8.8611111111111107</v>
      </c>
      <c r="D129" s="37">
        <v>1.7777777777777777</v>
      </c>
      <c r="E129" s="33">
        <v>0.46031746031746029</v>
      </c>
      <c r="F129" s="33">
        <v>0.23809523809523808</v>
      </c>
      <c r="G129" s="33">
        <v>0.34274586173320348</v>
      </c>
      <c r="H129" s="33">
        <v>0.12950340798442064</v>
      </c>
      <c r="I129" s="34">
        <v>8219.318181818182</v>
      </c>
      <c r="J129" s="34">
        <v>-7803.7593984962405</v>
      </c>
      <c r="K129" s="33">
        <v>3.968253968253968E-2</v>
      </c>
      <c r="L129" s="33">
        <v>0.26971762414800388</v>
      </c>
      <c r="M129" s="33">
        <v>0.22979552093476144</v>
      </c>
      <c r="N129" s="33">
        <v>0.6028880866425993</v>
      </c>
      <c r="O129" s="33">
        <v>0.47457627118644069</v>
      </c>
      <c r="P129" s="33">
        <v>0.42329545454545453</v>
      </c>
    </row>
    <row r="130" spans="1:16" x14ac:dyDescent="0.45">
      <c r="A130" s="35">
        <v>127</v>
      </c>
      <c r="B130" s="32">
        <v>1093.9000000000001</v>
      </c>
      <c r="C130" s="32">
        <v>8.6133858267716548</v>
      </c>
      <c r="D130" s="37">
        <v>1.7874015748031495</v>
      </c>
      <c r="E130" s="33">
        <v>0.45669291338582679</v>
      </c>
      <c r="F130" s="33">
        <v>0.24409448818897639</v>
      </c>
      <c r="G130" s="33">
        <v>0.34200385356454721</v>
      </c>
      <c r="H130" s="33">
        <v>0.13005780346820808</v>
      </c>
      <c r="I130" s="34">
        <v>8203.6619718309867</v>
      </c>
      <c r="J130" s="34">
        <v>-7776.2962962962965</v>
      </c>
      <c r="K130" s="33">
        <v>3.937007874015748E-2</v>
      </c>
      <c r="L130" s="33">
        <v>0.27167630057803466</v>
      </c>
      <c r="M130" s="33">
        <v>0.22832369942196531</v>
      </c>
      <c r="N130" s="33">
        <v>0.5957446808510638</v>
      </c>
      <c r="O130" s="33">
        <v>0.47679324894514769</v>
      </c>
      <c r="P130" s="33">
        <v>0.42535211267605633</v>
      </c>
    </row>
    <row r="131" spans="1:16" x14ac:dyDescent="0.45">
      <c r="A131" s="35">
        <v>128</v>
      </c>
      <c r="B131" s="32">
        <v>1098.6000000000001</v>
      </c>
      <c r="C131" s="32">
        <v>8.5828125000000011</v>
      </c>
      <c r="D131" s="37">
        <v>1.7890625</v>
      </c>
      <c r="E131" s="33">
        <v>0.453125</v>
      </c>
      <c r="F131" s="33">
        <v>0.2421875</v>
      </c>
      <c r="G131" s="33">
        <v>0.34291187739463602</v>
      </c>
      <c r="H131" s="33">
        <v>0.13026819923371646</v>
      </c>
      <c r="I131" s="34">
        <v>8222.0670391061449</v>
      </c>
      <c r="J131" s="34">
        <v>-7851.4705882352937</v>
      </c>
      <c r="K131" s="33">
        <v>3.90625E-2</v>
      </c>
      <c r="L131" s="33">
        <v>0.27203065134099619</v>
      </c>
      <c r="M131" s="33">
        <v>0.22796934865900384</v>
      </c>
      <c r="N131" s="33">
        <v>0.59507042253521125</v>
      </c>
      <c r="O131" s="33">
        <v>0.47899159663865548</v>
      </c>
      <c r="P131" s="33">
        <v>0.42737430167597767</v>
      </c>
    </row>
    <row r="132" spans="1:16" x14ac:dyDescent="0.45">
      <c r="A132" s="35">
        <v>129</v>
      </c>
      <c r="B132" s="32">
        <v>1120.8000000000002</v>
      </c>
      <c r="C132" s="32">
        <v>8.6883720930232577</v>
      </c>
      <c r="D132" s="37">
        <v>1.7829457364341086</v>
      </c>
      <c r="E132" s="33">
        <v>0.4573643410852713</v>
      </c>
      <c r="F132" s="33">
        <v>0.24031007751937986</v>
      </c>
      <c r="G132" s="33">
        <v>0.34315589353612169</v>
      </c>
      <c r="H132" s="33">
        <v>0.13117870722433461</v>
      </c>
      <c r="I132" s="34">
        <v>8230.4709141274234</v>
      </c>
      <c r="J132" s="34">
        <v>-7853.623188405797</v>
      </c>
      <c r="K132" s="33">
        <v>3.875968992248062E-2</v>
      </c>
      <c r="L132" s="33">
        <v>0.27281368821292773</v>
      </c>
      <c r="M132" s="33">
        <v>0.22718631178707224</v>
      </c>
      <c r="N132" s="33">
        <v>0.59233449477351918</v>
      </c>
      <c r="O132" s="33">
        <v>0.48117154811715479</v>
      </c>
      <c r="P132" s="33">
        <v>0.4265927977839335</v>
      </c>
    </row>
    <row r="133" spans="1:16" x14ac:dyDescent="0.45">
      <c r="A133" s="35">
        <v>130</v>
      </c>
      <c r="B133" s="32">
        <v>1072.3000000000002</v>
      </c>
      <c r="C133" s="32">
        <v>8.2484615384615392</v>
      </c>
      <c r="D133" s="37">
        <v>1.7923076923076924</v>
      </c>
      <c r="E133" s="33">
        <v>0.45384615384615384</v>
      </c>
      <c r="F133" s="33">
        <v>0.24615384615384617</v>
      </c>
      <c r="G133" s="33">
        <v>0.34118755890669178</v>
      </c>
      <c r="H133" s="33">
        <v>0.13100848256361922</v>
      </c>
      <c r="I133" s="34">
        <v>8216.5745856353587</v>
      </c>
      <c r="J133" s="34">
        <v>-7852.517985611511</v>
      </c>
      <c r="K133" s="33">
        <v>4.6153846153846156E-2</v>
      </c>
      <c r="L133" s="33">
        <v>0.27238454288407166</v>
      </c>
      <c r="M133" s="33">
        <v>0.22525918944392084</v>
      </c>
      <c r="N133" s="33">
        <v>0.59169550173010377</v>
      </c>
      <c r="O133" s="33">
        <v>0.48117154811715479</v>
      </c>
      <c r="P133" s="33">
        <v>0.425414364640884</v>
      </c>
    </row>
    <row r="134" spans="1:16" x14ac:dyDescent="0.45">
      <c r="A134" s="35">
        <v>131</v>
      </c>
      <c r="B134" s="32">
        <v>1138.5000000000002</v>
      </c>
      <c r="C134" s="32">
        <v>8.690839694656491</v>
      </c>
      <c r="D134" s="37">
        <v>1.7862595419847329</v>
      </c>
      <c r="E134" s="33">
        <v>0.4580152671755725</v>
      </c>
      <c r="F134" s="33">
        <v>0.24427480916030533</v>
      </c>
      <c r="G134" s="33">
        <v>0.34299065420560748</v>
      </c>
      <c r="H134" s="33">
        <v>0.13177570093457944</v>
      </c>
      <c r="I134" s="34">
        <v>8279.0190735694814</v>
      </c>
      <c r="J134" s="34">
        <v>-7792.9078014184397</v>
      </c>
      <c r="K134" s="33">
        <v>4.5801526717557252E-2</v>
      </c>
      <c r="L134" s="33">
        <v>0.27102803738317754</v>
      </c>
      <c r="M134" s="33">
        <v>0.22429906542056074</v>
      </c>
      <c r="N134" s="33">
        <v>0.59310344827586203</v>
      </c>
      <c r="O134" s="33">
        <v>0.48333333333333334</v>
      </c>
      <c r="P134" s="33">
        <v>0.42506811989100818</v>
      </c>
    </row>
    <row r="135" spans="1:16" x14ac:dyDescent="0.45">
      <c r="A135" s="35">
        <v>132</v>
      </c>
      <c r="B135" s="32">
        <v>1192.7000000000003</v>
      </c>
      <c r="C135" s="32">
        <v>9.035606060606062</v>
      </c>
      <c r="D135" s="37">
        <v>1.7803030303030303</v>
      </c>
      <c r="E135" s="33">
        <v>0.4621212121212121</v>
      </c>
      <c r="F135" s="33">
        <v>0.24242424242424243</v>
      </c>
      <c r="G135" s="33">
        <v>0.34508348794063082</v>
      </c>
      <c r="H135" s="33">
        <v>0.13079777365491652</v>
      </c>
      <c r="I135" s="34">
        <v>8283.8709677419356</v>
      </c>
      <c r="J135" s="34">
        <v>-7792.9078014184397</v>
      </c>
      <c r="K135" s="33">
        <v>4.5454545454545456E-2</v>
      </c>
      <c r="L135" s="33">
        <v>0.27272727272727271</v>
      </c>
      <c r="M135" s="33">
        <v>0.22356215213358072</v>
      </c>
      <c r="N135" s="33">
        <v>0.59863945578231292</v>
      </c>
      <c r="O135" s="33">
        <v>0.48132780082987553</v>
      </c>
      <c r="P135" s="33">
        <v>0.42741935483870969</v>
      </c>
    </row>
    <row r="136" spans="1:16" x14ac:dyDescent="0.45">
      <c r="A136" s="35">
        <v>133</v>
      </c>
      <c r="B136" s="32">
        <v>1208.4000000000003</v>
      </c>
      <c r="C136" s="32">
        <v>9.085714285714289</v>
      </c>
      <c r="D136" s="37">
        <v>1.7744360902255638</v>
      </c>
      <c r="E136" s="33">
        <v>0.46616541353383456</v>
      </c>
      <c r="F136" s="33">
        <v>0.24060150375939848</v>
      </c>
      <c r="G136" s="33">
        <v>0.34466911764705882</v>
      </c>
      <c r="H136" s="33">
        <v>0.12959558823529413</v>
      </c>
      <c r="I136" s="34">
        <v>8265.8666666666668</v>
      </c>
      <c r="J136" s="34">
        <v>-7792.9078014184397</v>
      </c>
      <c r="K136" s="33">
        <v>4.5112781954887216E-2</v>
      </c>
      <c r="L136" s="33">
        <v>0.27205882352941174</v>
      </c>
      <c r="M136" s="33">
        <v>0.22242647058823528</v>
      </c>
      <c r="N136" s="33">
        <v>0.60135135135135132</v>
      </c>
      <c r="O136" s="33">
        <v>0.47933884297520662</v>
      </c>
      <c r="P136" s="33">
        <v>0.42666666666666669</v>
      </c>
    </row>
    <row r="137" spans="1:16" x14ac:dyDescent="0.45">
      <c r="A137" s="35">
        <v>134</v>
      </c>
      <c r="B137" s="32">
        <v>1166.7000000000003</v>
      </c>
      <c r="C137" s="32">
        <v>8.7067164179104495</v>
      </c>
      <c r="D137" s="37">
        <v>1.7835820895522387</v>
      </c>
      <c r="E137" s="33">
        <v>0.46268656716417911</v>
      </c>
      <c r="F137" s="33">
        <v>0.2462686567164179</v>
      </c>
      <c r="G137" s="33">
        <v>0.34303912647861695</v>
      </c>
      <c r="H137" s="33">
        <v>0.13102820746132848</v>
      </c>
      <c r="I137" s="34">
        <v>8235.2785145888593</v>
      </c>
      <c r="J137" s="34">
        <v>-7797.916666666667</v>
      </c>
      <c r="K137" s="33">
        <v>4.4776119402985072E-2</v>
      </c>
      <c r="L137" s="33">
        <v>0.27115559599636035</v>
      </c>
      <c r="M137" s="33">
        <v>0.22292993630573249</v>
      </c>
      <c r="N137" s="33">
        <v>0.59731543624161076</v>
      </c>
      <c r="O137" s="33">
        <v>0.47755102040816327</v>
      </c>
      <c r="P137" s="33">
        <v>0.4270557029177719</v>
      </c>
    </row>
    <row r="138" spans="1:16" x14ac:dyDescent="0.45">
      <c r="A138" s="35">
        <v>135</v>
      </c>
      <c r="B138" s="32">
        <v>1154.1000000000004</v>
      </c>
      <c r="C138" s="32">
        <v>8.5488888888888912</v>
      </c>
      <c r="D138" s="37">
        <v>1.7851851851851852</v>
      </c>
      <c r="E138" s="33">
        <v>0.45925925925925926</v>
      </c>
      <c r="F138" s="33">
        <v>0.24444444444444444</v>
      </c>
      <c r="G138" s="33">
        <v>0.34115523465703973</v>
      </c>
      <c r="H138" s="33">
        <v>0.13267148014440433</v>
      </c>
      <c r="I138" s="34">
        <v>8298.1481481481478</v>
      </c>
      <c r="J138" s="34">
        <v>-7783.6734693877552</v>
      </c>
      <c r="K138" s="33">
        <v>4.4444444444444446E-2</v>
      </c>
      <c r="L138" s="33">
        <v>0.27075812274368233</v>
      </c>
      <c r="M138" s="33">
        <v>0.22202166064981949</v>
      </c>
      <c r="N138" s="33">
        <v>0.59333333333333338</v>
      </c>
      <c r="O138" s="33">
        <v>0.47967479674796748</v>
      </c>
      <c r="P138" s="33">
        <v>0.42592592592592593</v>
      </c>
    </row>
    <row r="139" spans="1:16" x14ac:dyDescent="0.45">
      <c r="A139" s="35">
        <v>136</v>
      </c>
      <c r="B139" s="32">
        <v>1129.8000000000004</v>
      </c>
      <c r="C139" s="32">
        <v>8.3073529411764735</v>
      </c>
      <c r="D139" s="37">
        <v>1.7941176470588236</v>
      </c>
      <c r="E139" s="33">
        <v>0.45588235294117646</v>
      </c>
      <c r="F139" s="33">
        <v>0.25</v>
      </c>
      <c r="G139" s="33">
        <v>0.3399103139013453</v>
      </c>
      <c r="H139" s="33">
        <v>0.13183856502242153</v>
      </c>
      <c r="I139" s="34">
        <v>8282.0580474934031</v>
      </c>
      <c r="J139" s="34">
        <v>-7783.6734693877552</v>
      </c>
      <c r="K139" s="33">
        <v>4.4117647058823532E-2</v>
      </c>
      <c r="L139" s="33">
        <v>0.26905829596412556</v>
      </c>
      <c r="M139" s="33">
        <v>0.22242152466367712</v>
      </c>
      <c r="N139" s="33">
        <v>0.59333333333333338</v>
      </c>
      <c r="O139" s="33">
        <v>0.47983870967741937</v>
      </c>
      <c r="P139" s="33">
        <v>0.42744063324538256</v>
      </c>
    </row>
    <row r="140" spans="1:16" x14ac:dyDescent="0.45">
      <c r="A140" s="35">
        <v>137</v>
      </c>
      <c r="B140" s="32">
        <v>1111.1000000000004</v>
      </c>
      <c r="C140" s="32">
        <v>8.1102189781021927</v>
      </c>
      <c r="D140" s="37">
        <v>1.802919708029197</v>
      </c>
      <c r="E140" s="33">
        <v>0.45255474452554745</v>
      </c>
      <c r="F140" s="33">
        <v>0.25547445255474455</v>
      </c>
      <c r="G140" s="33">
        <v>0.33957219251336901</v>
      </c>
      <c r="H140" s="33">
        <v>0.1319073083778966</v>
      </c>
      <c r="I140" s="34">
        <v>8245.9317585301833</v>
      </c>
      <c r="J140" s="34">
        <v>-7757.4324324324325</v>
      </c>
      <c r="K140" s="33">
        <v>4.3795620437956206E-2</v>
      </c>
      <c r="L140" s="33">
        <v>0.26827094474153296</v>
      </c>
      <c r="M140" s="33">
        <v>0.22370766488413546</v>
      </c>
      <c r="N140" s="33">
        <v>0.59136212624584716</v>
      </c>
      <c r="O140" s="33">
        <v>0.48207171314741037</v>
      </c>
      <c r="P140" s="33">
        <v>0.43044619422572178</v>
      </c>
    </row>
    <row r="141" spans="1:16" x14ac:dyDescent="0.45">
      <c r="A141" s="35">
        <v>138</v>
      </c>
      <c r="B141" s="32">
        <v>1174.7000000000003</v>
      </c>
      <c r="C141" s="32">
        <v>8.512318840579713</v>
      </c>
      <c r="D141" s="37">
        <v>1.7971014492753623</v>
      </c>
      <c r="E141" s="33">
        <v>0.45652173913043476</v>
      </c>
      <c r="F141" s="33">
        <v>0.25362318840579712</v>
      </c>
      <c r="G141" s="33">
        <v>0.34217506631299732</v>
      </c>
      <c r="H141" s="33">
        <v>0.13085764809902742</v>
      </c>
      <c r="I141" s="34">
        <v>8238.5012919896635</v>
      </c>
      <c r="J141" s="34">
        <v>-7757.4324324324325</v>
      </c>
      <c r="K141" s="33">
        <v>4.3478260869565216E-2</v>
      </c>
      <c r="L141" s="33">
        <v>0.27055702917771884</v>
      </c>
      <c r="M141" s="33">
        <v>0.22281167108753316</v>
      </c>
      <c r="N141" s="33">
        <v>0.59803921568627449</v>
      </c>
      <c r="O141" s="33">
        <v>0.48015873015873017</v>
      </c>
      <c r="P141" s="33">
        <v>0.4289405684754522</v>
      </c>
    </row>
    <row r="142" spans="1:16" x14ac:dyDescent="0.45">
      <c r="A142" s="35">
        <v>139</v>
      </c>
      <c r="B142" s="32">
        <v>1218.3000000000002</v>
      </c>
      <c r="C142" s="32">
        <v>8.7647482014388505</v>
      </c>
      <c r="D142" s="37">
        <v>1.7913669064748201</v>
      </c>
      <c r="E142" s="33">
        <v>0.46043165467625902</v>
      </c>
      <c r="F142" s="33">
        <v>0.25179856115107913</v>
      </c>
      <c r="G142" s="33">
        <v>0.343585237258348</v>
      </c>
      <c r="H142" s="33">
        <v>0.13093145869947276</v>
      </c>
      <c r="I142" s="34">
        <v>8250.1278772378519</v>
      </c>
      <c r="J142" s="34">
        <v>-7724.8322147651006</v>
      </c>
      <c r="K142" s="33">
        <v>4.3165467625899283E-2</v>
      </c>
      <c r="L142" s="33">
        <v>0.27065026362038663</v>
      </c>
      <c r="M142" s="33">
        <v>0.22407732864674867</v>
      </c>
      <c r="N142" s="33">
        <v>0.60064935064935066</v>
      </c>
      <c r="O142" s="33">
        <v>0.4823529411764706</v>
      </c>
      <c r="P142" s="33">
        <v>0.42710997442455245</v>
      </c>
    </row>
    <row r="143" spans="1:16" x14ac:dyDescent="0.45">
      <c r="A143" s="35">
        <v>140</v>
      </c>
      <c r="B143" s="32">
        <v>1245.7000000000003</v>
      </c>
      <c r="C143" s="32">
        <v>8.8978571428571449</v>
      </c>
      <c r="D143" s="37">
        <v>1.7857142857142858</v>
      </c>
      <c r="E143" s="33">
        <v>0.4642857142857143</v>
      </c>
      <c r="F143" s="33">
        <v>0.25</v>
      </c>
      <c r="G143" s="33">
        <v>0.34377719756309832</v>
      </c>
      <c r="H143" s="33">
        <v>0.13054830287206268</v>
      </c>
      <c r="I143" s="34">
        <v>8216.2025316455693</v>
      </c>
      <c r="J143" s="34">
        <v>-7680</v>
      </c>
      <c r="K143" s="33">
        <v>4.2857142857142858E-2</v>
      </c>
      <c r="L143" s="33">
        <v>0.26979982593559615</v>
      </c>
      <c r="M143" s="33">
        <v>0.22541340295909487</v>
      </c>
      <c r="N143" s="33">
        <v>0.60322580645161294</v>
      </c>
      <c r="O143" s="33">
        <v>0.4826254826254826</v>
      </c>
      <c r="P143" s="33">
        <v>0.42278481012658226</v>
      </c>
    </row>
    <row r="144" spans="1:16" x14ac:dyDescent="0.45">
      <c r="A144" s="35">
        <v>141</v>
      </c>
      <c r="B144" s="32">
        <v>1262.8000000000002</v>
      </c>
      <c r="C144" s="32">
        <v>8.9560283687943283</v>
      </c>
      <c r="D144" s="37">
        <v>1.7801418439716312</v>
      </c>
      <c r="E144" s="33">
        <v>0.46808510638297873</v>
      </c>
      <c r="F144" s="33">
        <v>0.24822695035460993</v>
      </c>
      <c r="G144" s="33">
        <v>0.34429065743944637</v>
      </c>
      <c r="H144" s="33">
        <v>0.13148788927335639</v>
      </c>
      <c r="I144" s="34">
        <v>8222.1105527638192</v>
      </c>
      <c r="J144" s="34">
        <v>-7638.1578947368425</v>
      </c>
      <c r="K144" s="33">
        <v>4.2553191489361701E-2</v>
      </c>
      <c r="L144" s="33">
        <v>0.27076124567474047</v>
      </c>
      <c r="M144" s="33">
        <v>0.22491349480968859</v>
      </c>
      <c r="N144" s="33">
        <v>0.60383386581469645</v>
      </c>
      <c r="O144" s="33">
        <v>0.48461538461538461</v>
      </c>
      <c r="P144" s="33">
        <v>0.42462311557788945</v>
      </c>
    </row>
    <row r="145" spans="1:16" x14ac:dyDescent="0.45">
      <c r="A145" s="35">
        <v>142</v>
      </c>
      <c r="B145" s="32">
        <v>1242.8000000000002</v>
      </c>
      <c r="C145" s="32">
        <v>8.7521126760563401</v>
      </c>
      <c r="D145" s="37">
        <v>1.7887323943661972</v>
      </c>
      <c r="E145" s="33">
        <v>0.46478873239436619</v>
      </c>
      <c r="F145" s="33">
        <v>0.25352112676056338</v>
      </c>
      <c r="G145" s="33">
        <v>0.34334763948497854</v>
      </c>
      <c r="H145" s="33">
        <v>0.1313304721030043</v>
      </c>
      <c r="I145" s="34">
        <v>8226</v>
      </c>
      <c r="J145" s="34">
        <v>-7640.5228758169933</v>
      </c>
      <c r="K145" s="33">
        <v>4.2253521126760563E-2</v>
      </c>
      <c r="L145" s="33">
        <v>0.27038626609442062</v>
      </c>
      <c r="M145" s="33">
        <v>0.22489270386266094</v>
      </c>
      <c r="N145" s="33">
        <v>0.6063492063492063</v>
      </c>
      <c r="O145" s="33">
        <v>0.48091603053435117</v>
      </c>
      <c r="P145" s="33">
        <v>0.42499999999999999</v>
      </c>
    </row>
    <row r="146" spans="1:16" x14ac:dyDescent="0.45">
      <c r="A146" s="35">
        <v>143</v>
      </c>
      <c r="B146" s="32">
        <v>1197.3000000000002</v>
      </c>
      <c r="C146" s="32">
        <v>8.3727272727272748</v>
      </c>
      <c r="D146" s="37">
        <v>1.7972027972027973</v>
      </c>
      <c r="E146" s="33">
        <v>0.46153846153846156</v>
      </c>
      <c r="F146" s="33">
        <v>0.25874125874125875</v>
      </c>
      <c r="G146" s="33">
        <v>0.34188034188034189</v>
      </c>
      <c r="H146" s="33">
        <v>0.13247863247863248</v>
      </c>
      <c r="I146" s="34">
        <v>8226</v>
      </c>
      <c r="J146" s="34">
        <v>-7709.677419354839</v>
      </c>
      <c r="K146" s="33">
        <v>4.8951048951048952E-2</v>
      </c>
      <c r="L146" s="33">
        <v>0.27008547008547007</v>
      </c>
      <c r="M146" s="33">
        <v>0.22478632478632479</v>
      </c>
      <c r="N146" s="33">
        <v>0.60443037974683544</v>
      </c>
      <c r="O146" s="33">
        <v>0.47908745247148288</v>
      </c>
      <c r="P146" s="33">
        <v>0.42499999999999999</v>
      </c>
    </row>
    <row r="147" spans="1:16" x14ac:dyDescent="0.45">
      <c r="A147" s="35">
        <v>144</v>
      </c>
      <c r="B147" s="32">
        <v>1171.1000000000001</v>
      </c>
      <c r="C147" s="32">
        <v>8.1326388888888896</v>
      </c>
      <c r="D147" s="37">
        <v>1.8055555555555556</v>
      </c>
      <c r="E147" s="33">
        <v>0.45833333333333331</v>
      </c>
      <c r="F147" s="33">
        <v>0.2638888888888889</v>
      </c>
      <c r="G147" s="33">
        <v>0.34069668649107904</v>
      </c>
      <c r="H147" s="33">
        <v>0.13254035683942225</v>
      </c>
      <c r="I147" s="34">
        <v>8218.4538653366581</v>
      </c>
      <c r="J147" s="34">
        <v>-7669.8717948717949</v>
      </c>
      <c r="K147" s="33">
        <v>4.8611111111111112E-2</v>
      </c>
      <c r="L147" s="33">
        <v>0.27102803738317754</v>
      </c>
      <c r="M147" s="33">
        <v>0.22514868309260833</v>
      </c>
      <c r="N147" s="33">
        <v>0.60188087774294674</v>
      </c>
      <c r="O147" s="33">
        <v>0.47547169811320755</v>
      </c>
      <c r="P147" s="33">
        <v>0.42394014962593518</v>
      </c>
    </row>
    <row r="148" spans="1:16" x14ac:dyDescent="0.45">
      <c r="A148" s="35">
        <v>145</v>
      </c>
      <c r="B148" s="32">
        <v>1175.0000000000002</v>
      </c>
      <c r="C148" s="32">
        <v>8.1034482758620712</v>
      </c>
      <c r="D148" s="37">
        <v>1.806896551724138</v>
      </c>
      <c r="E148" s="33">
        <v>0.45517241379310347</v>
      </c>
      <c r="F148" s="33">
        <v>0.2620689655172414</v>
      </c>
      <c r="G148" s="33">
        <v>0.34148397976391232</v>
      </c>
      <c r="H148" s="33">
        <v>0.13153456998313659</v>
      </c>
      <c r="I148" s="34">
        <v>8205.6790123456794</v>
      </c>
      <c r="J148" s="34">
        <v>-7669.8717948717949</v>
      </c>
      <c r="K148" s="33">
        <v>4.8275862068965517E-2</v>
      </c>
      <c r="L148" s="33">
        <v>0.27150084317032042</v>
      </c>
      <c r="M148" s="33">
        <v>0.22344013490725126</v>
      </c>
      <c r="N148" s="33">
        <v>0.60559006211180122</v>
      </c>
      <c r="O148" s="33">
        <v>0.47547169811320755</v>
      </c>
      <c r="P148" s="33">
        <v>0.42222222222222222</v>
      </c>
    </row>
    <row r="149" spans="1:16" x14ac:dyDescent="0.45">
      <c r="A149" s="35">
        <v>146</v>
      </c>
      <c r="B149" s="32">
        <v>1172.2000000000003</v>
      </c>
      <c r="C149" s="32">
        <v>8.0287671232876736</v>
      </c>
      <c r="D149" s="37">
        <v>1.8082191780821917</v>
      </c>
      <c r="E149" s="33">
        <v>0.45205479452054792</v>
      </c>
      <c r="F149" s="33">
        <v>0.26027397260273971</v>
      </c>
      <c r="G149" s="33">
        <v>0.34225941422594142</v>
      </c>
      <c r="H149" s="33">
        <v>0.13138075313807532</v>
      </c>
      <c r="I149" s="34">
        <v>8175.0611246943763</v>
      </c>
      <c r="J149" s="34">
        <v>-7697.4522292993634</v>
      </c>
      <c r="K149" s="33">
        <v>4.7945205479452052E-2</v>
      </c>
      <c r="L149" s="33">
        <v>0.27029288702928872</v>
      </c>
      <c r="M149" s="33">
        <v>0.22594142259414227</v>
      </c>
      <c r="N149" s="33">
        <v>0.60371517027863775</v>
      </c>
      <c r="O149" s="33">
        <v>0.48148148148148145</v>
      </c>
      <c r="P149" s="33">
        <v>0.42053789731051344</v>
      </c>
    </row>
    <row r="150" spans="1:16" x14ac:dyDescent="0.45">
      <c r="A150" s="35">
        <v>147</v>
      </c>
      <c r="B150" s="32">
        <v>1141.3000000000002</v>
      </c>
      <c r="C150" s="32">
        <v>7.7639455782312936</v>
      </c>
      <c r="D150" s="37">
        <v>1.8163265306122449</v>
      </c>
      <c r="E150" s="33">
        <v>0.44897959183673469</v>
      </c>
      <c r="F150" s="33">
        <v>0.26530612244897961</v>
      </c>
      <c r="G150" s="33">
        <v>0.34138218151540384</v>
      </c>
      <c r="H150" s="33">
        <v>0.13322231473771856</v>
      </c>
      <c r="I150" s="34">
        <v>8167.8048780487807</v>
      </c>
      <c r="J150" s="34">
        <v>-7688.75</v>
      </c>
      <c r="K150" s="33">
        <v>4.7619047619047616E-2</v>
      </c>
      <c r="L150" s="33">
        <v>0.26977518734388012</v>
      </c>
      <c r="M150" s="33">
        <v>0.22731057452123229</v>
      </c>
      <c r="N150" s="33">
        <v>0.60185185185185186</v>
      </c>
      <c r="O150" s="33">
        <v>0.47985347985347987</v>
      </c>
      <c r="P150" s="33">
        <v>0.4195121951219512</v>
      </c>
    </row>
    <row r="151" spans="1:16" x14ac:dyDescent="0.45">
      <c r="A151" s="35">
        <v>148</v>
      </c>
      <c r="B151" s="32">
        <v>1145.0000000000002</v>
      </c>
      <c r="C151" s="32">
        <v>7.7364864864864877</v>
      </c>
      <c r="D151" s="37">
        <v>1.8175675675675675</v>
      </c>
      <c r="E151" s="33">
        <v>0.44594594594594594</v>
      </c>
      <c r="F151" s="33">
        <v>0.26351351351351349</v>
      </c>
      <c r="G151" s="33">
        <v>0.34132231404958679</v>
      </c>
      <c r="H151" s="33">
        <v>0.13305785123966943</v>
      </c>
      <c r="I151" s="34">
        <v>8164.406779661017</v>
      </c>
      <c r="J151" s="34">
        <v>-7665.217391304348</v>
      </c>
      <c r="K151" s="33">
        <v>4.72972972972973E-2</v>
      </c>
      <c r="L151" s="33">
        <v>0.26859504132231404</v>
      </c>
      <c r="M151" s="33">
        <v>0.22975206611570248</v>
      </c>
      <c r="N151" s="33">
        <v>0.6</v>
      </c>
      <c r="O151" s="33">
        <v>0.48201438848920863</v>
      </c>
      <c r="P151" s="33">
        <v>0.42130750605326878</v>
      </c>
    </row>
    <row r="152" spans="1:16" x14ac:dyDescent="0.45">
      <c r="A152" s="35">
        <v>149</v>
      </c>
      <c r="B152" s="32">
        <v>1159.6000000000001</v>
      </c>
      <c r="C152" s="32">
        <v>7.7825503355704706</v>
      </c>
      <c r="D152" s="37">
        <v>1.8120805369127517</v>
      </c>
      <c r="E152" s="33">
        <v>0.44966442953020136</v>
      </c>
      <c r="F152" s="33">
        <v>0.26174496644295303</v>
      </c>
      <c r="G152" s="33">
        <v>0.34210526315789475</v>
      </c>
      <c r="H152" s="33">
        <v>0.13322368421052633</v>
      </c>
      <c r="I152" s="34">
        <v>8157.4519230769229</v>
      </c>
      <c r="J152" s="34">
        <v>-7691.9753086419751</v>
      </c>
      <c r="K152" s="33">
        <v>4.6979865771812082E-2</v>
      </c>
      <c r="L152" s="33">
        <v>0.26973684210526316</v>
      </c>
      <c r="M152" s="33">
        <v>0.22944078947368421</v>
      </c>
      <c r="N152" s="33">
        <v>0.60060975609756095</v>
      </c>
      <c r="O152" s="33">
        <v>0.4838709677419355</v>
      </c>
      <c r="P152" s="33">
        <v>0.42067307692307693</v>
      </c>
    </row>
    <row r="153" spans="1:16" x14ac:dyDescent="0.45">
      <c r="A153" s="35">
        <v>150</v>
      </c>
      <c r="B153" s="32">
        <v>1171.0000000000002</v>
      </c>
      <c r="C153" s="32">
        <v>7.8066666666666684</v>
      </c>
      <c r="D153" s="37">
        <v>1.8133333333333332</v>
      </c>
      <c r="E153" s="33">
        <v>0.44666666666666666</v>
      </c>
      <c r="F153" s="33">
        <v>0.26</v>
      </c>
      <c r="G153" s="33">
        <v>0.34257748776508973</v>
      </c>
      <c r="H153" s="33">
        <v>0.132952691680261</v>
      </c>
      <c r="I153" s="34">
        <v>8150.9523809523807</v>
      </c>
      <c r="J153" s="34">
        <v>-7676.687116564417</v>
      </c>
      <c r="K153" s="33">
        <v>4.6666666666666669E-2</v>
      </c>
      <c r="L153" s="33">
        <v>0.26835236541598695</v>
      </c>
      <c r="M153" s="33">
        <v>0.23001631321370311</v>
      </c>
      <c r="N153" s="33">
        <v>0.60182370820668696</v>
      </c>
      <c r="O153" s="33">
        <v>0.48936170212765956</v>
      </c>
      <c r="P153" s="33">
        <v>0.41904761904761906</v>
      </c>
    </row>
    <row r="154" spans="1:16" x14ac:dyDescent="0.45">
      <c r="A154" s="35">
        <v>151</v>
      </c>
      <c r="B154" s="32">
        <v>1213.5000000000002</v>
      </c>
      <c r="C154" s="32">
        <v>8.0364238410596034</v>
      </c>
      <c r="D154" s="37">
        <v>1.8079470198675496</v>
      </c>
      <c r="E154" s="33">
        <v>0.45033112582781459</v>
      </c>
      <c r="F154" s="33">
        <v>0.25827814569536423</v>
      </c>
      <c r="G154" s="33">
        <v>0.34359805510534847</v>
      </c>
      <c r="H154" s="33">
        <v>0.13209076175040518</v>
      </c>
      <c r="I154" s="34">
        <v>8161.3207547169814</v>
      </c>
      <c r="J154" s="34">
        <v>-7676.687116564417</v>
      </c>
      <c r="K154" s="33">
        <v>4.6357615894039736E-2</v>
      </c>
      <c r="L154" s="33">
        <v>0.26742301458670986</v>
      </c>
      <c r="M154" s="33">
        <v>0.23176661264181522</v>
      </c>
      <c r="N154" s="33">
        <v>0.6</v>
      </c>
      <c r="O154" s="33">
        <v>0.49300699300699302</v>
      </c>
      <c r="P154" s="33">
        <v>0.419811320754717</v>
      </c>
    </row>
    <row r="155" spans="1:16" x14ac:dyDescent="0.45">
      <c r="A155" s="35">
        <v>152</v>
      </c>
      <c r="B155" s="32">
        <v>1248.0000000000002</v>
      </c>
      <c r="C155" s="32">
        <v>8.2105263157894743</v>
      </c>
      <c r="D155" s="37">
        <v>1.8026315789473684</v>
      </c>
      <c r="E155" s="33">
        <v>0.45394736842105265</v>
      </c>
      <c r="F155" s="33">
        <v>0.25657894736842107</v>
      </c>
      <c r="G155" s="33">
        <v>0.34405144694533762</v>
      </c>
      <c r="H155" s="33">
        <v>0.13183279742765272</v>
      </c>
      <c r="I155" s="34">
        <v>8168.2242990654204</v>
      </c>
      <c r="J155" s="34">
        <v>-7678.6585365853662</v>
      </c>
      <c r="K155" s="33">
        <v>4.6052631578947366E-2</v>
      </c>
      <c r="L155" s="33">
        <v>0.26688102893890675</v>
      </c>
      <c r="M155" s="33">
        <v>0.23311897106109325</v>
      </c>
      <c r="N155" s="33">
        <v>0.5993975903614458</v>
      </c>
      <c r="O155" s="33">
        <v>0.49310344827586206</v>
      </c>
      <c r="P155" s="33">
        <v>0.42056074766355139</v>
      </c>
    </row>
    <row r="156" spans="1:16" x14ac:dyDescent="0.45">
      <c r="A156" s="35">
        <v>153</v>
      </c>
      <c r="B156" s="32">
        <v>1250.4000000000003</v>
      </c>
      <c r="C156" s="32">
        <v>8.1725490196078461</v>
      </c>
      <c r="D156" s="37">
        <v>1.803921568627451</v>
      </c>
      <c r="E156" s="33">
        <v>0.45098039215686275</v>
      </c>
      <c r="F156" s="33">
        <v>0.25490196078431371</v>
      </c>
      <c r="G156" s="33">
        <v>0.34449760765550241</v>
      </c>
      <c r="H156" s="33">
        <v>0.13078149920255183</v>
      </c>
      <c r="I156" s="34">
        <v>8135.416666666667</v>
      </c>
      <c r="J156" s="34">
        <v>-7678.6585365853662</v>
      </c>
      <c r="K156" s="33">
        <v>4.5751633986928102E-2</v>
      </c>
      <c r="L156" s="33">
        <v>0.26714513556618819</v>
      </c>
      <c r="M156" s="33">
        <v>0.23205741626794257</v>
      </c>
      <c r="N156" s="33">
        <v>0.60298507462686568</v>
      </c>
      <c r="O156" s="33">
        <v>0.49484536082474229</v>
      </c>
      <c r="P156" s="33">
        <v>0.41666666666666669</v>
      </c>
    </row>
    <row r="157" spans="1:16" x14ac:dyDescent="0.45">
      <c r="A157" s="35">
        <v>154</v>
      </c>
      <c r="B157" s="32">
        <v>1223.7000000000003</v>
      </c>
      <c r="C157" s="32">
        <v>7.9461038961038977</v>
      </c>
      <c r="D157" s="37">
        <v>1.8116883116883118</v>
      </c>
      <c r="E157" s="33">
        <v>0.44805194805194803</v>
      </c>
      <c r="F157" s="33">
        <v>0.25974025974025972</v>
      </c>
      <c r="G157" s="33">
        <v>0.34337827121332276</v>
      </c>
      <c r="H157" s="33">
        <v>0.13243457573354481</v>
      </c>
      <c r="I157" s="34">
        <v>8153.5796766743651</v>
      </c>
      <c r="J157" s="34">
        <v>-7691.6167664670656</v>
      </c>
      <c r="K157" s="33">
        <v>4.5454545454545456E-2</v>
      </c>
      <c r="L157" s="33">
        <v>0.26724821570182394</v>
      </c>
      <c r="M157" s="33">
        <v>0.23156225218080889</v>
      </c>
      <c r="N157" s="33">
        <v>0.60237388724035612</v>
      </c>
      <c r="O157" s="33">
        <v>0.49315068493150682</v>
      </c>
      <c r="P157" s="33">
        <v>0.41570438799076215</v>
      </c>
    </row>
    <row r="158" spans="1:16" x14ac:dyDescent="0.45">
      <c r="A158" s="35">
        <v>155</v>
      </c>
      <c r="B158" s="32">
        <v>1213.8000000000002</v>
      </c>
      <c r="C158" s="32">
        <v>7.8309677419354848</v>
      </c>
      <c r="D158" s="37">
        <v>1.8129032258064517</v>
      </c>
      <c r="E158" s="33">
        <v>0.44516129032258067</v>
      </c>
      <c r="F158" s="33">
        <v>0.25806451612903225</v>
      </c>
      <c r="G158" s="33">
        <v>0.34173228346456691</v>
      </c>
      <c r="H158" s="33">
        <v>0.13307086614173227</v>
      </c>
      <c r="I158" s="34">
        <v>8153.2258064516127</v>
      </c>
      <c r="J158" s="34">
        <v>-7683.4319526627223</v>
      </c>
      <c r="K158" s="33">
        <v>4.5161290322580643E-2</v>
      </c>
      <c r="L158" s="33">
        <v>0.26692913385826772</v>
      </c>
      <c r="M158" s="33">
        <v>0.23070866141732282</v>
      </c>
      <c r="N158" s="33">
        <v>0.59882005899705015</v>
      </c>
      <c r="O158" s="33">
        <v>0.49146757679180886</v>
      </c>
      <c r="P158" s="33">
        <v>0.41705069124423966</v>
      </c>
    </row>
    <row r="159" spans="1:16" x14ac:dyDescent="0.45">
      <c r="A159" s="35">
        <v>156</v>
      </c>
      <c r="B159" s="32">
        <v>1263.9000000000001</v>
      </c>
      <c r="C159" s="32">
        <v>8.101923076923077</v>
      </c>
      <c r="D159" s="37">
        <v>1.8076923076923077</v>
      </c>
      <c r="E159" s="33">
        <v>0.44871794871794873</v>
      </c>
      <c r="F159" s="33">
        <v>0.25641025641025639</v>
      </c>
      <c r="G159" s="33">
        <v>0.34190031152647976</v>
      </c>
      <c r="H159" s="33">
        <v>0.13239875389408098</v>
      </c>
      <c r="I159" s="34">
        <v>8171.7539863325737</v>
      </c>
      <c r="J159" s="34">
        <v>-7645.8823529411766</v>
      </c>
      <c r="K159" s="33">
        <v>4.4871794871794872E-2</v>
      </c>
      <c r="L159" s="33">
        <v>0.26635514018691586</v>
      </c>
      <c r="M159" s="33">
        <v>0.23130841121495327</v>
      </c>
      <c r="N159" s="33">
        <v>0.59941520467836262</v>
      </c>
      <c r="O159" s="33">
        <v>0.49494949494949497</v>
      </c>
      <c r="P159" s="33">
        <v>0.41685649202733488</v>
      </c>
    </row>
    <row r="160" spans="1:16" x14ac:dyDescent="0.45">
      <c r="A160" s="35">
        <v>157</v>
      </c>
      <c r="B160" s="32">
        <v>1287.4000000000001</v>
      </c>
      <c r="C160" s="32">
        <v>8.2000000000000011</v>
      </c>
      <c r="D160" s="37">
        <v>1.802547770700637</v>
      </c>
      <c r="E160" s="33">
        <v>0.45222929936305734</v>
      </c>
      <c r="F160" s="33">
        <v>0.25477707006369427</v>
      </c>
      <c r="G160" s="33">
        <v>0.34287925696594429</v>
      </c>
      <c r="H160" s="33">
        <v>0.13235294117647059</v>
      </c>
      <c r="I160" s="34">
        <v>8164.3340857787807</v>
      </c>
      <c r="J160" s="34">
        <v>-7618.1286549707602</v>
      </c>
      <c r="K160" s="33">
        <v>4.4585987261146494E-2</v>
      </c>
      <c r="L160" s="33">
        <v>0.26625386996904027</v>
      </c>
      <c r="M160" s="33">
        <v>0.23219814241486067</v>
      </c>
      <c r="N160" s="33">
        <v>0.59883720930232553</v>
      </c>
      <c r="O160" s="33">
        <v>0.49666666666666665</v>
      </c>
      <c r="P160" s="33">
        <v>0.41534988713318283</v>
      </c>
    </row>
    <row r="161" spans="1:16" x14ac:dyDescent="0.45">
      <c r="A161" s="35">
        <v>158</v>
      </c>
      <c r="B161" s="32">
        <v>1309</v>
      </c>
      <c r="C161" s="32">
        <v>8.2848101265822791</v>
      </c>
      <c r="D161" s="37">
        <v>1.7974683544303798</v>
      </c>
      <c r="E161" s="33">
        <v>0.45569620253164556</v>
      </c>
      <c r="F161" s="33">
        <v>0.25316455696202533</v>
      </c>
      <c r="G161" s="33">
        <v>0.34283513097072421</v>
      </c>
      <c r="H161" s="33">
        <v>0.13174114021571648</v>
      </c>
      <c r="I161" s="34">
        <v>8151.4606741573034</v>
      </c>
      <c r="J161" s="34">
        <v>-7618.1286549707602</v>
      </c>
      <c r="K161" s="33">
        <v>4.4303797468354431E-2</v>
      </c>
      <c r="L161" s="33">
        <v>0.2657935285053929</v>
      </c>
      <c r="M161" s="33">
        <v>0.23266563944530047</v>
      </c>
      <c r="N161" s="33">
        <v>0.59710144927536235</v>
      </c>
      <c r="O161" s="33">
        <v>0.49668874172185429</v>
      </c>
      <c r="P161" s="33">
        <v>0.41348314606741571</v>
      </c>
    </row>
    <row r="162" spans="1:16" x14ac:dyDescent="0.45">
      <c r="A162" s="35">
        <v>159</v>
      </c>
      <c r="B162" s="32">
        <v>1345.9</v>
      </c>
      <c r="C162" s="32">
        <v>8.4647798742138374</v>
      </c>
      <c r="D162" s="37">
        <v>1.7924528301886793</v>
      </c>
      <c r="E162" s="33">
        <v>0.45911949685534592</v>
      </c>
      <c r="F162" s="33">
        <v>0.25157232704402516</v>
      </c>
      <c r="G162" s="33">
        <v>0.34429992348890587</v>
      </c>
      <c r="H162" s="33">
        <v>0.13159908186687069</v>
      </c>
      <c r="I162" s="34">
        <v>8114.4444444444443</v>
      </c>
      <c r="J162" s="34">
        <v>-7604.0697674418607</v>
      </c>
      <c r="K162" s="33">
        <v>4.40251572327044E-2</v>
      </c>
      <c r="L162" s="33">
        <v>0.26702371843917366</v>
      </c>
      <c r="M162" s="33">
        <v>0.23335883703136956</v>
      </c>
      <c r="N162" s="33">
        <v>0.59885386819484243</v>
      </c>
      <c r="O162" s="33">
        <v>0.49508196721311476</v>
      </c>
      <c r="P162" s="33">
        <v>0.41333333333333333</v>
      </c>
    </row>
    <row r="163" spans="1:16" x14ac:dyDescent="0.45">
      <c r="A163" s="35">
        <v>160</v>
      </c>
      <c r="B163" s="32">
        <v>1344.4</v>
      </c>
      <c r="C163" s="32">
        <v>8.4024999999999999</v>
      </c>
      <c r="D163" s="37">
        <v>1.79375</v>
      </c>
      <c r="E163" s="33">
        <v>0.45624999999999999</v>
      </c>
      <c r="F163" s="33">
        <v>0.25</v>
      </c>
      <c r="G163" s="33">
        <v>0.34348819497334349</v>
      </c>
      <c r="H163" s="33">
        <v>0.13175932977913177</v>
      </c>
      <c r="I163" s="34">
        <v>8114.1906873614189</v>
      </c>
      <c r="J163" s="34">
        <v>-7590.1734104046245</v>
      </c>
      <c r="K163" s="33">
        <v>4.3749999999999997E-2</v>
      </c>
      <c r="L163" s="33">
        <v>0.26656511805026656</v>
      </c>
      <c r="M163" s="33">
        <v>0.23229246001523229</v>
      </c>
      <c r="N163" s="33">
        <v>0.6</v>
      </c>
      <c r="O163" s="33">
        <v>0.49508196721311476</v>
      </c>
      <c r="P163" s="33">
        <v>0.41241685144124168</v>
      </c>
    </row>
    <row r="164" spans="1:16" x14ac:dyDescent="0.45">
      <c r="A164" s="35">
        <v>161</v>
      </c>
      <c r="B164" s="32">
        <v>1375.4</v>
      </c>
      <c r="C164" s="32">
        <v>8.5428571428571427</v>
      </c>
      <c r="D164" s="37">
        <v>1.7888198757763976</v>
      </c>
      <c r="E164" s="33">
        <v>0.45962732919254656</v>
      </c>
      <c r="F164" s="33">
        <v>0.2484472049689441</v>
      </c>
      <c r="G164" s="33">
        <v>0.34393939393939393</v>
      </c>
      <c r="H164" s="33">
        <v>0.13181818181818181</v>
      </c>
      <c r="I164" s="34">
        <v>8139.8678414096912</v>
      </c>
      <c r="J164" s="34">
        <v>-7592.5287356321842</v>
      </c>
      <c r="K164" s="33">
        <v>4.3478260869565216E-2</v>
      </c>
      <c r="L164" s="33">
        <v>0.26666666666666666</v>
      </c>
      <c r="M164" s="33">
        <v>0.23257575757575757</v>
      </c>
      <c r="N164" s="33">
        <v>0.60227272727272729</v>
      </c>
      <c r="O164" s="33">
        <v>0.49511400651465798</v>
      </c>
      <c r="P164" s="33">
        <v>0.41409691629955947</v>
      </c>
    </row>
    <row r="165" spans="1:16" x14ac:dyDescent="0.45">
      <c r="A165" s="35">
        <v>162</v>
      </c>
      <c r="B165" s="32">
        <v>1421.9</v>
      </c>
      <c r="C165" s="32">
        <v>8.7771604938271608</v>
      </c>
      <c r="D165" s="37">
        <v>1.7839506172839505</v>
      </c>
      <c r="E165" s="33">
        <v>0.46296296296296297</v>
      </c>
      <c r="F165" s="33">
        <v>0.24691358024691357</v>
      </c>
      <c r="G165" s="33">
        <v>0.34490566037735848</v>
      </c>
      <c r="H165" s="33">
        <v>0.13132075471698113</v>
      </c>
      <c r="I165" s="34">
        <v>8165.2078774617066</v>
      </c>
      <c r="J165" s="34">
        <v>-7592.5287356321842</v>
      </c>
      <c r="K165" s="33">
        <v>4.3209876543209874E-2</v>
      </c>
      <c r="L165" s="33">
        <v>0.26641509433962263</v>
      </c>
      <c r="M165" s="33">
        <v>0.23245283018867924</v>
      </c>
      <c r="N165" s="33">
        <v>0.60339943342776203</v>
      </c>
      <c r="O165" s="33">
        <v>0.49675324675324678</v>
      </c>
      <c r="P165" s="33">
        <v>0.41794310722100658</v>
      </c>
    </row>
    <row r="166" spans="1:16" x14ac:dyDescent="0.45">
      <c r="A166" s="35">
        <v>163</v>
      </c>
      <c r="B166" s="32">
        <v>1425.1000000000001</v>
      </c>
      <c r="C166" s="32">
        <v>8.7429447852760749</v>
      </c>
      <c r="D166" s="37">
        <v>1.7852760736196318</v>
      </c>
      <c r="E166" s="33">
        <v>0.46012269938650308</v>
      </c>
      <c r="F166" s="33">
        <v>0.24539877300613497</v>
      </c>
      <c r="G166" s="33">
        <v>0.34480179506357517</v>
      </c>
      <c r="H166" s="33">
        <v>0.13089005235602094</v>
      </c>
      <c r="I166" s="34">
        <v>8136.0086767895882</v>
      </c>
      <c r="J166" s="34">
        <v>-7571.4285714285716</v>
      </c>
      <c r="K166" s="33">
        <v>4.2944785276073622E-2</v>
      </c>
      <c r="L166" s="33">
        <v>0.26551982049364248</v>
      </c>
      <c r="M166" s="33">
        <v>0.23261032161555723</v>
      </c>
      <c r="N166" s="33">
        <v>0.60281690140845068</v>
      </c>
      <c r="O166" s="33">
        <v>0.49839228295819937</v>
      </c>
      <c r="P166" s="33">
        <v>0.41865509761388287</v>
      </c>
    </row>
    <row r="167" spans="1:16" x14ac:dyDescent="0.45">
      <c r="A167" s="35">
        <v>164</v>
      </c>
      <c r="B167" s="32">
        <v>1402.2</v>
      </c>
      <c r="C167" s="32">
        <v>8.5500000000000007</v>
      </c>
      <c r="D167" s="37">
        <v>1.7926829268292683</v>
      </c>
      <c r="E167" s="33">
        <v>0.45731707317073172</v>
      </c>
      <c r="F167" s="33">
        <v>0.25</v>
      </c>
      <c r="G167" s="33">
        <v>0.34247590808005929</v>
      </c>
      <c r="H167" s="33">
        <v>0.13046701260192736</v>
      </c>
      <c r="I167" s="34">
        <v>8144.3722943722942</v>
      </c>
      <c r="J167" s="34">
        <v>-7550.568181818182</v>
      </c>
      <c r="K167" s="33">
        <v>4.2682926829268296E-2</v>
      </c>
      <c r="L167" s="33">
        <v>0.26464047442550037</v>
      </c>
      <c r="M167" s="33">
        <v>0.2335063009636768</v>
      </c>
      <c r="N167" s="33">
        <v>0.60224089635854339</v>
      </c>
      <c r="O167" s="33">
        <v>0.49206349206349204</v>
      </c>
      <c r="P167" s="33">
        <v>0.41991341991341991</v>
      </c>
    </row>
    <row r="168" spans="1:16" x14ac:dyDescent="0.45">
      <c r="A168" s="35">
        <v>165</v>
      </c>
      <c r="B168" s="32">
        <v>1432.4</v>
      </c>
      <c r="C168" s="32">
        <v>8.6812121212121216</v>
      </c>
      <c r="D168" s="37">
        <v>1.7878787878787878</v>
      </c>
      <c r="E168" s="33">
        <v>0.46060606060606063</v>
      </c>
      <c r="F168" s="33">
        <v>0.24848484848484848</v>
      </c>
      <c r="G168" s="33">
        <v>0.34340456890198967</v>
      </c>
      <c r="H168" s="33">
        <v>0.13043478260869565</v>
      </c>
      <c r="I168" s="34">
        <v>8144.6351931330473</v>
      </c>
      <c r="J168" s="34">
        <v>-7553.1073446327682</v>
      </c>
      <c r="K168" s="33">
        <v>4.2424242424242427E-2</v>
      </c>
      <c r="L168" s="33">
        <v>0.26381724392041267</v>
      </c>
      <c r="M168" s="33">
        <v>0.23360353721444363</v>
      </c>
      <c r="N168" s="33">
        <v>0.6033519553072626</v>
      </c>
      <c r="O168" s="33">
        <v>0.49211356466876971</v>
      </c>
      <c r="P168" s="33">
        <v>0.42060085836909872</v>
      </c>
    </row>
    <row r="169" spans="1:16" x14ac:dyDescent="0.45">
      <c r="A169" s="35">
        <v>166</v>
      </c>
      <c r="B169" s="32">
        <v>1454.5</v>
      </c>
      <c r="C169" s="32">
        <v>8.7620481927710845</v>
      </c>
      <c r="D169" s="37">
        <v>1.7831325301204819</v>
      </c>
      <c r="E169" s="33">
        <v>0.46385542168674698</v>
      </c>
      <c r="F169" s="33">
        <v>0.24698795180722891</v>
      </c>
      <c r="G169" s="33">
        <v>0.3433602347762289</v>
      </c>
      <c r="H169" s="33">
        <v>0.12986060161408658</v>
      </c>
      <c r="I169" s="34">
        <v>8146.7948717948721</v>
      </c>
      <c r="J169" s="34">
        <v>-7553.1073446327682</v>
      </c>
      <c r="K169" s="33">
        <v>4.2168674698795178E-2</v>
      </c>
      <c r="L169" s="33">
        <v>0.26338958180484223</v>
      </c>
      <c r="M169" s="33">
        <v>0.23477622890682318</v>
      </c>
      <c r="N169" s="33">
        <v>0.6044568245125348</v>
      </c>
      <c r="O169" s="33">
        <v>0.49062499999999998</v>
      </c>
      <c r="P169" s="33">
        <v>0.42094017094017094</v>
      </c>
    </row>
    <row r="170" spans="1:16" x14ac:dyDescent="0.45">
      <c r="A170" s="35">
        <v>167</v>
      </c>
      <c r="B170" s="32">
        <v>1408.3</v>
      </c>
      <c r="C170" s="32">
        <v>8.432934131736527</v>
      </c>
      <c r="D170" s="37">
        <v>1.7904191616766467</v>
      </c>
      <c r="E170" s="33">
        <v>0.46107784431137727</v>
      </c>
      <c r="F170" s="33">
        <v>0.25149700598802394</v>
      </c>
      <c r="G170" s="33">
        <v>0.34233576642335767</v>
      </c>
      <c r="H170" s="33">
        <v>0.12992700729927006</v>
      </c>
      <c r="I170" s="34">
        <v>8132.1961620469083</v>
      </c>
      <c r="J170" s="34">
        <v>-7645.5056179775283</v>
      </c>
      <c r="K170" s="33">
        <v>4.790419161676647E-2</v>
      </c>
      <c r="L170" s="33">
        <v>0.26423357664233577</v>
      </c>
      <c r="M170" s="33">
        <v>0.23430656934306571</v>
      </c>
      <c r="N170" s="33">
        <v>0.59944751381215466</v>
      </c>
      <c r="O170" s="33">
        <v>0.48909657320872274</v>
      </c>
      <c r="P170" s="33">
        <v>0.42004264392324092</v>
      </c>
    </row>
    <row r="171" spans="1:16" x14ac:dyDescent="0.45">
      <c r="A171" s="35">
        <v>168</v>
      </c>
      <c r="B171" s="32">
        <v>1434.6</v>
      </c>
      <c r="C171" s="32">
        <v>8.5392857142857146</v>
      </c>
      <c r="D171" s="37">
        <v>1.7857142857142858</v>
      </c>
      <c r="E171" s="33">
        <v>0.4642857142857143</v>
      </c>
      <c r="F171" s="33">
        <v>0.25</v>
      </c>
      <c r="G171" s="33">
        <v>0.34350036310820625</v>
      </c>
      <c r="H171" s="33">
        <v>0.13071895424836602</v>
      </c>
      <c r="I171" s="34">
        <v>8142.2832980972516</v>
      </c>
      <c r="J171" s="34">
        <v>-7693.8888888888887</v>
      </c>
      <c r="K171" s="33">
        <v>4.7619047619047616E-2</v>
      </c>
      <c r="L171" s="33">
        <v>0.26361655773420478</v>
      </c>
      <c r="M171" s="33">
        <v>0.23529411764705882</v>
      </c>
      <c r="N171" s="33">
        <v>0.60055096418732778</v>
      </c>
      <c r="O171" s="33">
        <v>0.49074074074074076</v>
      </c>
      <c r="P171" s="33">
        <v>0.42283298097251587</v>
      </c>
    </row>
    <row r="172" spans="1:16" x14ac:dyDescent="0.45">
      <c r="A172" s="35">
        <v>169</v>
      </c>
      <c r="B172" s="32">
        <v>1474.3999999999999</v>
      </c>
      <c r="C172" s="32">
        <v>8.7242603550295854</v>
      </c>
      <c r="D172" s="37">
        <v>1.7810650887573964</v>
      </c>
      <c r="E172" s="33">
        <v>0.46745562130177515</v>
      </c>
      <c r="F172" s="33">
        <v>0.24852071005917159</v>
      </c>
      <c r="G172" s="33">
        <v>0.34393063583815031</v>
      </c>
      <c r="H172" s="33">
        <v>0.13005780346820808</v>
      </c>
      <c r="I172" s="34">
        <v>8137.8151260504201</v>
      </c>
      <c r="J172" s="34">
        <v>-7693.8888888888887</v>
      </c>
      <c r="K172" s="33">
        <v>4.7337278106508875E-2</v>
      </c>
      <c r="L172" s="33">
        <v>0.26517341040462428</v>
      </c>
      <c r="M172" s="33">
        <v>0.23410404624277456</v>
      </c>
      <c r="N172" s="33">
        <v>0.59945504087193457</v>
      </c>
      <c r="O172" s="33">
        <v>0.49074074074074076</v>
      </c>
      <c r="P172" s="33">
        <v>0.42436974789915966</v>
      </c>
    </row>
    <row r="173" spans="1:16" x14ac:dyDescent="0.45">
      <c r="A173" s="35">
        <v>170</v>
      </c>
      <c r="B173" s="32">
        <v>1472.4999999999998</v>
      </c>
      <c r="C173" s="32">
        <v>8.6617647058823515</v>
      </c>
      <c r="D173" s="37">
        <v>1.7823529411764707</v>
      </c>
      <c r="E173" s="33">
        <v>0.46470588235294119</v>
      </c>
      <c r="F173" s="33">
        <v>0.24705882352941178</v>
      </c>
      <c r="G173" s="33">
        <v>0.34316546762589928</v>
      </c>
      <c r="H173" s="33">
        <v>0.13093525179856116</v>
      </c>
      <c r="I173" s="34">
        <v>8145.9119496855346</v>
      </c>
      <c r="J173" s="34">
        <v>-7636.2637362637361</v>
      </c>
      <c r="K173" s="33">
        <v>4.7058823529411764E-2</v>
      </c>
      <c r="L173" s="33">
        <v>0.26402877697841726</v>
      </c>
      <c r="M173" s="33">
        <v>0.23525179856115108</v>
      </c>
      <c r="N173" s="33">
        <v>0.59945504087193457</v>
      </c>
      <c r="O173" s="33">
        <v>0.4892966360856269</v>
      </c>
      <c r="P173" s="33">
        <v>0.42348008385744235</v>
      </c>
    </row>
    <row r="174" spans="1:16" x14ac:dyDescent="0.45">
      <c r="A174" s="35">
        <v>171</v>
      </c>
      <c r="B174" s="32">
        <v>1533.2999999999997</v>
      </c>
      <c r="C174" s="32">
        <v>8.966666666666665</v>
      </c>
      <c r="D174" s="37">
        <v>1.7777777777777777</v>
      </c>
      <c r="E174" s="33">
        <v>0.46783625730994149</v>
      </c>
      <c r="F174" s="33">
        <v>0.24561403508771928</v>
      </c>
      <c r="G174" s="33">
        <v>0.34263233190271819</v>
      </c>
      <c r="H174" s="33">
        <v>0.1301859799713877</v>
      </c>
      <c r="I174" s="34">
        <v>8223.1732776617955</v>
      </c>
      <c r="J174" s="34">
        <v>-7636.2637362637361</v>
      </c>
      <c r="K174" s="33">
        <v>4.6783625730994149E-2</v>
      </c>
      <c r="L174" s="33">
        <v>0.26466380543633761</v>
      </c>
      <c r="M174" s="33">
        <v>0.23533619456366237</v>
      </c>
      <c r="N174" s="33">
        <v>0.5972972972972973</v>
      </c>
      <c r="O174" s="33">
        <v>0.48632218844984804</v>
      </c>
      <c r="P174" s="33">
        <v>0.42379958246346555</v>
      </c>
    </row>
    <row r="175" spans="1:16" x14ac:dyDescent="0.45">
      <c r="A175" s="35">
        <v>172</v>
      </c>
      <c r="B175" s="32">
        <v>1535.2999999999997</v>
      </c>
      <c r="C175" s="32">
        <v>8.9261627906976724</v>
      </c>
      <c r="D175" s="37">
        <v>1.7790697674418605</v>
      </c>
      <c r="E175" s="33">
        <v>0.46511627906976744</v>
      </c>
      <c r="F175" s="33">
        <v>0.2441860465116279</v>
      </c>
      <c r="G175" s="33">
        <v>0.34281650071123754</v>
      </c>
      <c r="H175" s="33">
        <v>0.13015647226173541</v>
      </c>
      <c r="I175" s="34">
        <v>8216.5975103734436</v>
      </c>
      <c r="J175" s="34">
        <v>-7660.109289617486</v>
      </c>
      <c r="K175" s="33">
        <v>4.6511627906976744E-2</v>
      </c>
      <c r="L175" s="33">
        <v>0.26386913229018494</v>
      </c>
      <c r="M175" s="33">
        <v>0.23613086770981509</v>
      </c>
      <c r="N175" s="33">
        <v>0.59568733153638809</v>
      </c>
      <c r="O175" s="33">
        <v>0.48795180722891568</v>
      </c>
      <c r="P175" s="33">
        <v>0.42531120331950206</v>
      </c>
    </row>
    <row r="176" spans="1:16" x14ac:dyDescent="0.45">
      <c r="A176" s="35">
        <v>173</v>
      </c>
      <c r="B176" s="32">
        <v>1503.0999999999997</v>
      </c>
      <c r="C176" s="32">
        <v>8.6884393063583794</v>
      </c>
      <c r="D176" s="37">
        <v>1.7861271676300579</v>
      </c>
      <c r="E176" s="33">
        <v>0.46242774566473988</v>
      </c>
      <c r="F176" s="33">
        <v>0.24855491329479767</v>
      </c>
      <c r="G176" s="33">
        <v>0.34253361641896674</v>
      </c>
      <c r="H176" s="33">
        <v>0.1316348195329087</v>
      </c>
      <c r="I176" s="34">
        <v>8210.1239669421484</v>
      </c>
      <c r="J176" s="34">
        <v>-7708.6021505376348</v>
      </c>
      <c r="K176" s="33">
        <v>4.6242774566473986E-2</v>
      </c>
      <c r="L176" s="33">
        <v>0.26610049539985847</v>
      </c>
      <c r="M176" s="33">
        <v>0.23496107572540695</v>
      </c>
      <c r="N176" s="33">
        <v>0.59308510638297873</v>
      </c>
      <c r="O176" s="33">
        <v>0.48795180722891568</v>
      </c>
      <c r="P176" s="33">
        <v>0.42561983471074383</v>
      </c>
    </row>
    <row r="177" spans="1:16" x14ac:dyDescent="0.45">
      <c r="A177" s="35">
        <v>174</v>
      </c>
      <c r="B177" s="32">
        <v>1548.2999999999997</v>
      </c>
      <c r="C177" s="32">
        <v>8.8982758620689637</v>
      </c>
      <c r="D177" s="37">
        <v>1.7816091954022988</v>
      </c>
      <c r="E177" s="33">
        <v>0.46551724137931033</v>
      </c>
      <c r="F177" s="33">
        <v>0.2471264367816092</v>
      </c>
      <c r="G177" s="33">
        <v>0.34412385643912735</v>
      </c>
      <c r="H177" s="33">
        <v>0.13089373680506686</v>
      </c>
      <c r="I177" s="34">
        <v>8218.6094069529645</v>
      </c>
      <c r="J177" s="34">
        <v>-7708.6021505376348</v>
      </c>
      <c r="K177" s="33">
        <v>4.5977011494252873E-2</v>
      </c>
      <c r="L177" s="33">
        <v>0.26600985221674878</v>
      </c>
      <c r="M177" s="33">
        <v>0.23574947220267417</v>
      </c>
      <c r="N177" s="33">
        <v>0.59259259259259256</v>
      </c>
      <c r="O177" s="33">
        <v>0.48955223880597015</v>
      </c>
      <c r="P177" s="33">
        <v>0.42740286298568508</v>
      </c>
    </row>
    <row r="178" spans="1:16" x14ac:dyDescent="0.45">
      <c r="A178" s="35">
        <v>175</v>
      </c>
      <c r="B178" s="32">
        <v>1535.7999999999997</v>
      </c>
      <c r="C178" s="32">
        <v>8.775999999999998</v>
      </c>
      <c r="D178" s="37">
        <v>1.7885714285714285</v>
      </c>
      <c r="E178" s="33">
        <v>0.46285714285714286</v>
      </c>
      <c r="F178" s="33">
        <v>0.25142857142857145</v>
      </c>
      <c r="G178" s="33">
        <v>0.3435969209237229</v>
      </c>
      <c r="H178" s="33">
        <v>0.13086074177746676</v>
      </c>
      <c r="I178" s="34">
        <v>8217.5152749490826</v>
      </c>
      <c r="J178" s="34">
        <v>-7731.5508021390378</v>
      </c>
      <c r="K178" s="33">
        <v>4.5714285714285714E-2</v>
      </c>
      <c r="L178" s="33">
        <v>0.26662001399580126</v>
      </c>
      <c r="M178" s="33">
        <v>0.23512946116165151</v>
      </c>
      <c r="N178" s="33">
        <v>0.59055118110236215</v>
      </c>
      <c r="O178" s="33">
        <v>0.48809523809523808</v>
      </c>
      <c r="P178" s="33">
        <v>0.42769857433808556</v>
      </c>
    </row>
    <row r="179" spans="1:16" x14ac:dyDescent="0.45">
      <c r="A179" s="35">
        <v>176</v>
      </c>
      <c r="B179" s="32">
        <v>1564.5999999999997</v>
      </c>
      <c r="C179" s="32">
        <v>8.8897727272727263</v>
      </c>
      <c r="D179" s="37">
        <v>1.7840909090909092</v>
      </c>
      <c r="E179" s="33">
        <v>0.46590909090909088</v>
      </c>
      <c r="F179" s="33">
        <v>0.25</v>
      </c>
      <c r="G179" s="33">
        <v>0.344683808200139</v>
      </c>
      <c r="H179" s="33">
        <v>0.13064628214037527</v>
      </c>
      <c r="I179" s="34">
        <v>8214.717741935483</v>
      </c>
      <c r="J179" s="34">
        <v>-7754.255319148936</v>
      </c>
      <c r="K179" s="33">
        <v>4.5454545454545456E-2</v>
      </c>
      <c r="L179" s="33">
        <v>0.26546212647671996</v>
      </c>
      <c r="M179" s="33">
        <v>0.23558026407227242</v>
      </c>
      <c r="N179" s="33">
        <v>0.59162303664921467</v>
      </c>
      <c r="O179" s="33">
        <v>0.48967551622418881</v>
      </c>
      <c r="P179" s="33">
        <v>0.42943548387096775</v>
      </c>
    </row>
    <row r="180" spans="1:16" x14ac:dyDescent="0.45">
      <c r="A180" s="35">
        <v>177</v>
      </c>
      <c r="B180" s="32">
        <v>1537.1999999999996</v>
      </c>
      <c r="C180" s="32">
        <v>8.6847457627118629</v>
      </c>
      <c r="D180" s="37">
        <v>1.7909604519774012</v>
      </c>
      <c r="E180" s="33">
        <v>0.4632768361581921</v>
      </c>
      <c r="F180" s="33">
        <v>0.25423728813559321</v>
      </c>
      <c r="G180" s="33">
        <v>0.34394463667820069</v>
      </c>
      <c r="H180" s="33">
        <v>0.13079584775086506</v>
      </c>
      <c r="I180" s="34">
        <v>8213.6820925553311</v>
      </c>
      <c r="J180" s="34">
        <v>-7753.9682539682535</v>
      </c>
      <c r="K180" s="33">
        <v>4.519774011299435E-2</v>
      </c>
      <c r="L180" s="33">
        <v>0.26505190311418686</v>
      </c>
      <c r="M180" s="33">
        <v>0.23598615916955018</v>
      </c>
      <c r="N180" s="33">
        <v>0.59007832898172319</v>
      </c>
      <c r="O180" s="33">
        <v>0.48973607038123168</v>
      </c>
      <c r="P180" s="33">
        <v>0.42857142857142855</v>
      </c>
    </row>
    <row r="181" spans="1:16" x14ac:dyDescent="0.45">
      <c r="A181" s="35">
        <v>178</v>
      </c>
      <c r="B181" s="32">
        <v>1526.1999999999996</v>
      </c>
      <c r="C181" s="32">
        <v>8.5741573033707841</v>
      </c>
      <c r="D181" s="37">
        <v>1.7921348314606742</v>
      </c>
      <c r="E181" s="33">
        <v>0.4606741573033708</v>
      </c>
      <c r="F181" s="33">
        <v>0.25280898876404495</v>
      </c>
      <c r="G181" s="33">
        <v>0.34178082191780823</v>
      </c>
      <c r="H181" s="33">
        <v>0.13082191780821917</v>
      </c>
      <c r="I181" s="34">
        <v>8220.8416833667343</v>
      </c>
      <c r="J181" s="34">
        <v>-7777.486910994764</v>
      </c>
      <c r="K181" s="33">
        <v>4.49438202247191E-2</v>
      </c>
      <c r="L181" s="33">
        <v>0.26506849315068493</v>
      </c>
      <c r="M181" s="33">
        <v>0.23698630136986301</v>
      </c>
      <c r="N181" s="33">
        <v>0.58656330749354002</v>
      </c>
      <c r="O181" s="33">
        <v>0.48554913294797686</v>
      </c>
      <c r="P181" s="33">
        <v>0.42685370741482964</v>
      </c>
    </row>
    <row r="182" spans="1:16" x14ac:dyDescent="0.45">
      <c r="A182" s="35">
        <v>179</v>
      </c>
      <c r="B182" s="32">
        <v>1554.0999999999997</v>
      </c>
      <c r="C182" s="32">
        <v>8.6821229050279314</v>
      </c>
      <c r="D182" s="37">
        <v>1.7877094972067038</v>
      </c>
      <c r="E182" s="33">
        <v>0.46368715083798884</v>
      </c>
      <c r="F182" s="33">
        <v>0.25139664804469275</v>
      </c>
      <c r="G182" s="33">
        <v>0.34104833219877467</v>
      </c>
      <c r="H182" s="33">
        <v>0.13002042205582029</v>
      </c>
      <c r="I182" s="34">
        <v>8235.3293413173651</v>
      </c>
      <c r="J182" s="34">
        <v>-7777.486910994764</v>
      </c>
      <c r="K182" s="33">
        <v>4.4692737430167599E-2</v>
      </c>
      <c r="L182" s="33">
        <v>0.26480599046970726</v>
      </c>
      <c r="M182" s="33">
        <v>0.23689584751531653</v>
      </c>
      <c r="N182" s="33">
        <v>0.58611825192802058</v>
      </c>
      <c r="O182" s="33">
        <v>0.48275862068965519</v>
      </c>
      <c r="P182" s="33">
        <v>0.42514970059880242</v>
      </c>
    </row>
    <row r="183" spans="1:16" x14ac:dyDescent="0.45">
      <c r="A183" s="35">
        <v>180</v>
      </c>
      <c r="B183" s="32">
        <v>1553.2999999999997</v>
      </c>
      <c r="C183" s="32">
        <v>8.6294444444444434</v>
      </c>
      <c r="D183" s="37">
        <v>1.788888888888889</v>
      </c>
      <c r="E183" s="33">
        <v>0.46111111111111114</v>
      </c>
      <c r="F183" s="33">
        <v>0.25</v>
      </c>
      <c r="G183" s="33">
        <v>0.34010840108401086</v>
      </c>
      <c r="H183" s="33">
        <v>0.12940379403794039</v>
      </c>
      <c r="I183" s="34">
        <v>8250.7968127490039</v>
      </c>
      <c r="J183" s="34">
        <v>-7777.486910994764</v>
      </c>
      <c r="K183" s="33">
        <v>4.4444444444444446E-2</v>
      </c>
      <c r="L183" s="33">
        <v>0.26422764227642276</v>
      </c>
      <c r="M183" s="33">
        <v>0.23712737127371275</v>
      </c>
      <c r="N183" s="33">
        <v>0.5871794871794872</v>
      </c>
      <c r="O183" s="33">
        <v>0.48</v>
      </c>
      <c r="P183" s="33">
        <v>0.42430278884462153</v>
      </c>
    </row>
    <row r="184" spans="1:16" x14ac:dyDescent="0.45">
      <c r="A184" s="35">
        <v>181</v>
      </c>
      <c r="B184" s="32">
        <v>1552.9999999999998</v>
      </c>
      <c r="C184" s="32">
        <v>8.5801104972375679</v>
      </c>
      <c r="D184" s="37">
        <v>1.7900552486187846</v>
      </c>
      <c r="E184" s="33">
        <v>0.4585635359116022</v>
      </c>
      <c r="F184" s="33">
        <v>0.24861878453038674</v>
      </c>
      <c r="G184" s="33">
        <v>0.33985165205664192</v>
      </c>
      <c r="H184" s="33">
        <v>0.12879298718813217</v>
      </c>
      <c r="I184" s="34">
        <v>8227.7777777777774</v>
      </c>
      <c r="J184" s="34">
        <v>-7777.486910994764</v>
      </c>
      <c r="K184" s="33">
        <v>4.4198895027624308E-2</v>
      </c>
      <c r="L184" s="33">
        <v>0.26298044504383006</v>
      </c>
      <c r="M184" s="33">
        <v>0.23735670937289277</v>
      </c>
      <c r="N184" s="33">
        <v>0.5871794871794872</v>
      </c>
      <c r="O184" s="33">
        <v>0.48295454545454547</v>
      </c>
      <c r="P184" s="33">
        <v>0.42261904761904762</v>
      </c>
    </row>
    <row r="185" spans="1:16" x14ac:dyDescent="0.45">
      <c r="A185" s="35">
        <v>182</v>
      </c>
      <c r="B185" s="32">
        <v>1600.4999999999998</v>
      </c>
      <c r="C185" s="32">
        <v>8.793956043956042</v>
      </c>
      <c r="D185" s="37">
        <v>1.7857142857142858</v>
      </c>
      <c r="E185" s="33">
        <v>0.46153846153846156</v>
      </c>
      <c r="F185" s="33">
        <v>0.24725274725274726</v>
      </c>
      <c r="G185" s="33">
        <v>0.34226389819156061</v>
      </c>
      <c r="H185" s="33">
        <v>0.12860013395847286</v>
      </c>
      <c r="I185" s="34">
        <v>8209.0019569471624</v>
      </c>
      <c r="J185" s="34">
        <v>-7820.3125</v>
      </c>
      <c r="K185" s="33">
        <v>4.3956043956043959E-2</v>
      </c>
      <c r="L185" s="33">
        <v>0.26389819156061622</v>
      </c>
      <c r="M185" s="33">
        <v>0.2377762893503014</v>
      </c>
      <c r="N185" s="33">
        <v>0.58883248730964466</v>
      </c>
      <c r="O185" s="33">
        <v>0.48732394366197185</v>
      </c>
      <c r="P185" s="33">
        <v>0.42465753424657532</v>
      </c>
    </row>
    <row r="186" spans="1:16" x14ac:dyDescent="0.45">
      <c r="A186" s="35">
        <v>183</v>
      </c>
      <c r="B186" s="32">
        <v>1578.4999999999998</v>
      </c>
      <c r="C186" s="32">
        <v>8.6256830601092886</v>
      </c>
      <c r="D186" s="37">
        <v>1.7868852459016393</v>
      </c>
      <c r="E186" s="33">
        <v>0.45901639344262296</v>
      </c>
      <c r="F186" s="33">
        <v>0.24590163934426229</v>
      </c>
      <c r="G186" s="33">
        <v>0.34110592938041306</v>
      </c>
      <c r="H186" s="33">
        <v>0.1279147235176549</v>
      </c>
      <c r="I186" s="34">
        <v>8208.59375</v>
      </c>
      <c r="J186" s="34">
        <v>-7820.3125</v>
      </c>
      <c r="K186" s="33">
        <v>4.3715846994535519E-2</v>
      </c>
      <c r="L186" s="33">
        <v>0.26382411725516325</v>
      </c>
      <c r="M186" s="33">
        <v>0.23717521652231846</v>
      </c>
      <c r="N186" s="33">
        <v>0.58838383838383834</v>
      </c>
      <c r="O186" s="33">
        <v>0.4859550561797753</v>
      </c>
      <c r="P186" s="33">
        <v>0.42578125</v>
      </c>
    </row>
    <row r="187" spans="1:16" x14ac:dyDescent="0.45">
      <c r="A187" s="35">
        <v>184</v>
      </c>
      <c r="B187" s="32">
        <v>1553.9999999999998</v>
      </c>
      <c r="C187" s="32">
        <v>8.445652173913043</v>
      </c>
      <c r="D187" s="37">
        <v>1.7934782608695652</v>
      </c>
      <c r="E187" s="33">
        <v>0.45652173913043476</v>
      </c>
      <c r="F187" s="33">
        <v>0.25</v>
      </c>
      <c r="G187" s="33">
        <v>0.34060846560846558</v>
      </c>
      <c r="H187" s="33">
        <v>0.12896825396825398</v>
      </c>
      <c r="I187" s="34">
        <v>8199.0291262135925</v>
      </c>
      <c r="J187" s="34">
        <v>-7829.2307692307695</v>
      </c>
      <c r="K187" s="33">
        <v>4.3478260869565216E-2</v>
      </c>
      <c r="L187" s="33">
        <v>0.26455026455026454</v>
      </c>
      <c r="M187" s="33">
        <v>0.23677248677248677</v>
      </c>
      <c r="N187" s="33">
        <v>0.58750000000000002</v>
      </c>
      <c r="O187" s="33">
        <v>0.48603351955307261</v>
      </c>
      <c r="P187" s="33">
        <v>0.42524271844660194</v>
      </c>
    </row>
    <row r="188" spans="1:16" x14ac:dyDescent="0.45">
      <c r="A188" s="35">
        <v>185</v>
      </c>
      <c r="B188" s="32">
        <v>1594.7999999999997</v>
      </c>
      <c r="C188" s="32">
        <v>8.6205405405405386</v>
      </c>
      <c r="D188" s="37">
        <v>1.7891891891891891</v>
      </c>
      <c r="E188" s="33">
        <v>0.45945945945945948</v>
      </c>
      <c r="F188" s="33">
        <v>0.24864864864864866</v>
      </c>
      <c r="G188" s="33">
        <v>0.34231274638633374</v>
      </c>
      <c r="H188" s="33">
        <v>0.1287779237844941</v>
      </c>
      <c r="I188" s="34">
        <v>8179.4625719769674</v>
      </c>
      <c r="J188" s="34">
        <v>-7815.8163265306121</v>
      </c>
      <c r="K188" s="33">
        <v>4.3243243243243246E-2</v>
      </c>
      <c r="L188" s="33">
        <v>0.26544021024967146</v>
      </c>
      <c r="M188" s="33">
        <v>0.23784494086727989</v>
      </c>
      <c r="N188" s="33">
        <v>0.5866336633663366</v>
      </c>
      <c r="O188" s="33">
        <v>0.48618784530386738</v>
      </c>
      <c r="P188" s="33">
        <v>0.42226487523992323</v>
      </c>
    </row>
    <row r="189" spans="1:16" x14ac:dyDescent="0.45">
      <c r="A189" s="35">
        <v>186</v>
      </c>
      <c r="B189" s="32">
        <v>1635.9999999999998</v>
      </c>
      <c r="C189" s="32">
        <v>8.7956989247311821</v>
      </c>
      <c r="D189" s="37">
        <v>1.7849462365591398</v>
      </c>
      <c r="E189" s="33">
        <v>0.46236559139784944</v>
      </c>
      <c r="F189" s="33">
        <v>0.24731182795698925</v>
      </c>
      <c r="G189" s="33">
        <v>0.34268929503916451</v>
      </c>
      <c r="H189" s="33">
        <v>0.12793733681462141</v>
      </c>
      <c r="I189" s="34">
        <v>8192.3809523809523</v>
      </c>
      <c r="J189" s="34">
        <v>-7815.8163265306121</v>
      </c>
      <c r="K189" s="33">
        <v>4.3010752688172046E-2</v>
      </c>
      <c r="L189" s="33">
        <v>0.26436031331592691</v>
      </c>
      <c r="M189" s="33">
        <v>0.23694516971279372</v>
      </c>
      <c r="N189" s="33">
        <v>0.58765432098765435</v>
      </c>
      <c r="O189" s="33">
        <v>0.48760330578512395</v>
      </c>
      <c r="P189" s="33">
        <v>0.42285714285714288</v>
      </c>
    </row>
    <row r="190" spans="1:16" x14ac:dyDescent="0.45">
      <c r="A190" s="35">
        <v>187</v>
      </c>
      <c r="B190" s="32">
        <v>1628.2999999999997</v>
      </c>
      <c r="C190" s="32">
        <v>8.7074866310160406</v>
      </c>
      <c r="D190" s="37">
        <v>1.786096256684492</v>
      </c>
      <c r="E190" s="33">
        <v>0.45989304812834225</v>
      </c>
      <c r="F190" s="33">
        <v>0.24598930481283424</v>
      </c>
      <c r="G190" s="33">
        <v>0.34350649350649348</v>
      </c>
      <c r="H190" s="33">
        <v>0.12727272727272726</v>
      </c>
      <c r="I190" s="34">
        <v>8148.5822306238188</v>
      </c>
      <c r="J190" s="34">
        <v>-7815.8163265306121</v>
      </c>
      <c r="K190" s="33">
        <v>4.2780748663101602E-2</v>
      </c>
      <c r="L190" s="33">
        <v>0.26428571428571429</v>
      </c>
      <c r="M190" s="33">
        <v>0.23831168831168831</v>
      </c>
      <c r="N190" s="33">
        <v>0.58968058968058967</v>
      </c>
      <c r="O190" s="33">
        <v>0.4877384196185286</v>
      </c>
      <c r="P190" s="33">
        <v>0.41965973534971646</v>
      </c>
    </row>
    <row r="191" spans="1:16" x14ac:dyDescent="0.45">
      <c r="A191" s="35">
        <v>188</v>
      </c>
      <c r="B191" s="32">
        <v>1659.9999999999998</v>
      </c>
      <c r="C191" s="32">
        <v>8.8297872340425521</v>
      </c>
      <c r="D191" s="37">
        <v>1.7819148936170213</v>
      </c>
      <c r="E191" s="33">
        <v>0.46276595744680848</v>
      </c>
      <c r="F191" s="33">
        <v>0.24468085106382978</v>
      </c>
      <c r="G191" s="33">
        <v>0.34431524547803616</v>
      </c>
      <c r="H191" s="33">
        <v>0.12661498708010335</v>
      </c>
      <c r="I191" s="34">
        <v>8144.0900562851784</v>
      </c>
      <c r="J191" s="34">
        <v>-7815.8163265306121</v>
      </c>
      <c r="K191" s="33">
        <v>4.2553191489361701E-2</v>
      </c>
      <c r="L191" s="33">
        <v>0.26550387596899228</v>
      </c>
      <c r="M191" s="33">
        <v>0.23772609819121446</v>
      </c>
      <c r="N191" s="33">
        <v>0.59367396593673971</v>
      </c>
      <c r="O191" s="33">
        <v>0.48641304347826086</v>
      </c>
      <c r="P191" s="33">
        <v>0.42213883677298314</v>
      </c>
    </row>
    <row r="192" spans="1:16" x14ac:dyDescent="0.45">
      <c r="A192" s="35">
        <v>189</v>
      </c>
      <c r="B192" s="32">
        <v>1692.1999999999998</v>
      </c>
      <c r="C192" s="32">
        <v>8.9534391534391524</v>
      </c>
      <c r="D192" s="37">
        <v>1.7777777777777777</v>
      </c>
      <c r="E192" s="33">
        <v>0.46560846560846558</v>
      </c>
      <c r="F192" s="33">
        <v>0.24338624338624337</v>
      </c>
      <c r="G192" s="33">
        <v>0.34553628773281952</v>
      </c>
      <c r="H192" s="33">
        <v>0.12588310854206808</v>
      </c>
      <c r="I192" s="34">
        <v>8104.0892193308546</v>
      </c>
      <c r="J192" s="34">
        <v>-7815.8163265306121</v>
      </c>
      <c r="K192" s="33">
        <v>4.2328042328042326E-2</v>
      </c>
      <c r="L192" s="33">
        <v>0.26461143224149003</v>
      </c>
      <c r="M192" s="33">
        <v>0.23827874116891459</v>
      </c>
      <c r="N192" s="33">
        <v>0.59466019417475724</v>
      </c>
      <c r="O192" s="33">
        <v>0.49056603773584906</v>
      </c>
      <c r="P192" s="33">
        <v>0.42193308550185876</v>
      </c>
    </row>
    <row r="193" spans="1:16" x14ac:dyDescent="0.45">
      <c r="A193" s="35">
        <v>190</v>
      </c>
      <c r="B193" s="32">
        <v>1689.2999999999997</v>
      </c>
      <c r="C193" s="32">
        <v>8.8910526315789458</v>
      </c>
      <c r="D193" s="37">
        <v>1.7789473684210526</v>
      </c>
      <c r="E193" s="33">
        <v>0.4631578947368421</v>
      </c>
      <c r="F193" s="33">
        <v>0.24210526315789474</v>
      </c>
      <c r="G193" s="33">
        <v>0.34504792332268369</v>
      </c>
      <c r="H193" s="33">
        <v>0.12587859424920128</v>
      </c>
      <c r="I193" s="34">
        <v>8101.4814814814818</v>
      </c>
      <c r="J193" s="34">
        <v>-7815.2284263959391</v>
      </c>
      <c r="K193" s="33">
        <v>4.2105263157894736E-2</v>
      </c>
      <c r="L193" s="33">
        <v>0.26517571884984026</v>
      </c>
      <c r="M193" s="33">
        <v>0.23706070287539935</v>
      </c>
      <c r="N193" s="33">
        <v>0.59277108433734937</v>
      </c>
      <c r="O193" s="33">
        <v>0.49056603773584906</v>
      </c>
      <c r="P193" s="33">
        <v>0.42407407407407405</v>
      </c>
    </row>
    <row r="194" spans="1:16" x14ac:dyDescent="0.45">
      <c r="A194" s="35">
        <v>191</v>
      </c>
      <c r="B194" s="32">
        <v>1721.2999999999997</v>
      </c>
      <c r="C194" s="32">
        <v>9.0120418848167532</v>
      </c>
      <c r="D194" s="37">
        <v>1.7748691099476439</v>
      </c>
      <c r="E194" s="33">
        <v>0.46596858638743455</v>
      </c>
      <c r="F194" s="33">
        <v>0.24083769633507854</v>
      </c>
      <c r="G194" s="33">
        <v>0.34456452638270818</v>
      </c>
      <c r="H194" s="33">
        <v>0.12523839796567068</v>
      </c>
      <c r="I194" s="34">
        <v>8130.6273062730625</v>
      </c>
      <c r="J194" s="34">
        <v>-7815.2284263959391</v>
      </c>
      <c r="K194" s="33">
        <v>4.1884816753926704E-2</v>
      </c>
      <c r="L194" s="33">
        <v>0.26509853782581055</v>
      </c>
      <c r="M194" s="33">
        <v>0.23712650985378259</v>
      </c>
      <c r="N194" s="33">
        <v>0.592326139088729</v>
      </c>
      <c r="O194" s="33">
        <v>0.4906166219839142</v>
      </c>
      <c r="P194" s="33">
        <v>0.42619926199261993</v>
      </c>
    </row>
    <row r="195" spans="1:16" x14ac:dyDescent="0.45">
      <c r="A195" s="35">
        <v>192</v>
      </c>
      <c r="B195" s="32">
        <v>1762.7999999999997</v>
      </c>
      <c r="C195" s="32">
        <v>9.1812499999999986</v>
      </c>
      <c r="D195" s="37">
        <v>1.7708333333333333</v>
      </c>
      <c r="E195" s="33">
        <v>0.46875</v>
      </c>
      <c r="F195" s="33">
        <v>0.23958333333333334</v>
      </c>
      <c r="G195" s="33">
        <v>0.34559289790741915</v>
      </c>
      <c r="H195" s="33">
        <v>0.12492073557387444</v>
      </c>
      <c r="I195" s="34">
        <v>8146.4220183486241</v>
      </c>
      <c r="J195" s="34">
        <v>-7815.2284263959391</v>
      </c>
      <c r="K195" s="33">
        <v>4.1666666666666664E-2</v>
      </c>
      <c r="L195" s="33">
        <v>0.26506024096385544</v>
      </c>
      <c r="M195" s="33">
        <v>0.23715916296766013</v>
      </c>
      <c r="N195" s="33">
        <v>0.59330143540669855</v>
      </c>
      <c r="O195" s="33">
        <v>0.49197860962566847</v>
      </c>
      <c r="P195" s="33">
        <v>0.42568807339449544</v>
      </c>
    </row>
    <row r="196" spans="1:16" x14ac:dyDescent="0.45">
      <c r="A196" s="35">
        <v>193</v>
      </c>
      <c r="B196" s="32">
        <v>1799.3999999999996</v>
      </c>
      <c r="C196" s="32">
        <v>9.323316062176163</v>
      </c>
      <c r="D196" s="37">
        <v>1.766839378238342</v>
      </c>
      <c r="E196" s="33">
        <v>0.47150259067357514</v>
      </c>
      <c r="F196" s="33">
        <v>0.23834196891191708</v>
      </c>
      <c r="G196" s="33">
        <v>0.34615384615384615</v>
      </c>
      <c r="H196" s="33">
        <v>0.12421185372005045</v>
      </c>
      <c r="I196" s="34">
        <v>8168.3060109289618</v>
      </c>
      <c r="J196" s="34">
        <v>-7815.2284263959391</v>
      </c>
      <c r="K196" s="33">
        <v>4.145077720207254E-2</v>
      </c>
      <c r="L196" s="33">
        <v>0.2635561160151324</v>
      </c>
      <c r="M196" s="33">
        <v>0.2364438839848676</v>
      </c>
      <c r="N196" s="33">
        <v>0.59330143540669855</v>
      </c>
      <c r="O196" s="33">
        <v>0.49333333333333335</v>
      </c>
      <c r="P196" s="33">
        <v>0.42258652094717669</v>
      </c>
    </row>
    <row r="197" spans="1:16" x14ac:dyDescent="0.45">
      <c r="A197" s="35">
        <v>194</v>
      </c>
      <c r="B197" s="32">
        <v>1831.2999999999997</v>
      </c>
      <c r="C197" s="32">
        <v>9.4396907216494839</v>
      </c>
      <c r="D197" s="37">
        <v>1.7628865979381443</v>
      </c>
      <c r="E197" s="33">
        <v>0.47422680412371132</v>
      </c>
      <c r="F197" s="33">
        <v>0.23711340206185566</v>
      </c>
      <c r="G197" s="33">
        <v>0.34651600753295669</v>
      </c>
      <c r="H197" s="33">
        <v>0.12429378531073447</v>
      </c>
      <c r="I197" s="34">
        <v>8200</v>
      </c>
      <c r="J197" s="34">
        <v>-7836.363636363636</v>
      </c>
      <c r="K197" s="33">
        <v>4.1237113402061855E-2</v>
      </c>
      <c r="L197" s="33">
        <v>0.26490897677338354</v>
      </c>
      <c r="M197" s="33">
        <v>0.23603264281230382</v>
      </c>
      <c r="N197" s="33">
        <v>0.59241706161137442</v>
      </c>
      <c r="O197" s="33">
        <v>0.49202127659574468</v>
      </c>
      <c r="P197" s="33">
        <v>0.42572463768115942</v>
      </c>
    </row>
    <row r="198" spans="1:16" x14ac:dyDescent="0.45">
      <c r="A198" s="35">
        <v>195</v>
      </c>
      <c r="B198" s="32">
        <v>1872.7999999999997</v>
      </c>
      <c r="C198" s="32">
        <v>9.604102564102563</v>
      </c>
      <c r="D198" s="37">
        <v>1.7589743589743589</v>
      </c>
      <c r="E198" s="33">
        <v>0.47692307692307695</v>
      </c>
      <c r="F198" s="33">
        <v>0.23589743589743589</v>
      </c>
      <c r="G198" s="33">
        <v>0.34625</v>
      </c>
      <c r="H198" s="33">
        <v>0.124375</v>
      </c>
      <c r="I198" s="34">
        <v>8261.73285198556</v>
      </c>
      <c r="J198" s="34">
        <v>-7855.276381909548</v>
      </c>
      <c r="K198" s="33">
        <v>4.1025641025641026E-2</v>
      </c>
      <c r="L198" s="33">
        <v>0.26437500000000003</v>
      </c>
      <c r="M198" s="33">
        <v>0.23624999999999999</v>
      </c>
      <c r="N198" s="33">
        <v>0.59101654846335694</v>
      </c>
      <c r="O198" s="33">
        <v>0.48941798941798942</v>
      </c>
      <c r="P198" s="33">
        <v>0.42418772563176893</v>
      </c>
    </row>
    <row r="199" spans="1:16" x14ac:dyDescent="0.45">
      <c r="A199" s="35">
        <v>196</v>
      </c>
      <c r="B199" s="32">
        <v>1834.0999999999997</v>
      </c>
      <c r="C199" s="32">
        <v>9.3576530612244877</v>
      </c>
      <c r="D199" s="37">
        <v>1.7653061224489797</v>
      </c>
      <c r="E199" s="33">
        <v>0.47448979591836737</v>
      </c>
      <c r="F199" s="33">
        <v>0.23979591836734693</v>
      </c>
      <c r="G199" s="33">
        <v>0.34429280397022333</v>
      </c>
      <c r="H199" s="33">
        <v>0.12406947890818859</v>
      </c>
      <c r="I199" s="34">
        <v>8254.0540540540533</v>
      </c>
      <c r="J199" s="34">
        <v>-7822.5</v>
      </c>
      <c r="K199" s="33">
        <v>4.0816326530612242E-2</v>
      </c>
      <c r="L199" s="33">
        <v>0.26426799007444168</v>
      </c>
      <c r="M199" s="33">
        <v>0.23635235732009927</v>
      </c>
      <c r="N199" s="33">
        <v>0.58920187793427226</v>
      </c>
      <c r="O199" s="33">
        <v>0.48556430446194226</v>
      </c>
      <c r="P199" s="33">
        <v>0.42522522522522521</v>
      </c>
    </row>
    <row r="200" spans="1:16" x14ac:dyDescent="0.45">
      <c r="A200" s="35">
        <v>197</v>
      </c>
      <c r="B200" s="32">
        <v>1788.5999999999997</v>
      </c>
      <c r="C200" s="32">
        <v>9.079187817258882</v>
      </c>
      <c r="D200" s="37">
        <v>1.7715736040609138</v>
      </c>
      <c r="E200" s="33">
        <v>0.4720812182741117</v>
      </c>
      <c r="F200" s="33">
        <v>0.24365482233502539</v>
      </c>
      <c r="G200" s="33">
        <v>0.34215384615384614</v>
      </c>
      <c r="H200" s="33">
        <v>0.12430769230769231</v>
      </c>
      <c r="I200" s="34">
        <v>8253.5971223021588</v>
      </c>
      <c r="J200" s="34">
        <v>-7832.1782178217818</v>
      </c>
      <c r="K200" s="33">
        <v>4.5685279187817257E-2</v>
      </c>
      <c r="L200" s="33">
        <v>0.26338461538461538</v>
      </c>
      <c r="M200" s="33">
        <v>0.2363076923076923</v>
      </c>
      <c r="N200" s="33">
        <v>0.58644859813084116</v>
      </c>
      <c r="O200" s="33">
        <v>0.484375</v>
      </c>
      <c r="P200" s="33">
        <v>0.42446043165467628</v>
      </c>
    </row>
    <row r="201" spans="1:16" x14ac:dyDescent="0.45">
      <c r="A201" s="35">
        <v>198</v>
      </c>
      <c r="B201" s="32">
        <v>1804.7999999999997</v>
      </c>
      <c r="C201" s="32">
        <v>9.1151515151515135</v>
      </c>
      <c r="D201" s="37">
        <v>1.7727272727272727</v>
      </c>
      <c r="E201" s="33">
        <v>0.46969696969696972</v>
      </c>
      <c r="F201" s="33">
        <v>0.24242424242424243</v>
      </c>
      <c r="G201" s="33">
        <v>0.34149326805385555</v>
      </c>
      <c r="H201" s="33">
        <v>0.12484700122399021</v>
      </c>
      <c r="I201" s="34">
        <v>8277.7777777777774</v>
      </c>
      <c r="J201" s="34">
        <v>-7767.6470588235297</v>
      </c>
      <c r="K201" s="33">
        <v>4.5454545454545456E-2</v>
      </c>
      <c r="L201" s="33">
        <v>0.26254589963280295</v>
      </c>
      <c r="M201" s="33">
        <v>0.2350061199510404</v>
      </c>
      <c r="N201" s="33">
        <v>0.58508158508158503</v>
      </c>
      <c r="O201" s="33">
        <v>0.484375</v>
      </c>
      <c r="P201" s="33">
        <v>0.42473118279569894</v>
      </c>
    </row>
    <row r="202" spans="1:16" x14ac:dyDescent="0.45">
      <c r="A202" s="35">
        <v>199</v>
      </c>
      <c r="B202" s="32">
        <v>1806.0999999999997</v>
      </c>
      <c r="C202" s="32">
        <v>9.0758793969849236</v>
      </c>
      <c r="D202" s="37">
        <v>1.7738693467336684</v>
      </c>
      <c r="E202" s="33">
        <v>0.46733668341708545</v>
      </c>
      <c r="F202" s="33">
        <v>0.24120603015075376</v>
      </c>
      <c r="G202" s="33">
        <v>0.3408399269628728</v>
      </c>
      <c r="H202" s="33">
        <v>0.1241631162507608</v>
      </c>
      <c r="I202" s="34">
        <v>8258.75</v>
      </c>
      <c r="J202" s="34">
        <v>-7767.6470588235297</v>
      </c>
      <c r="K202" s="33">
        <v>4.5226130653266333E-2</v>
      </c>
      <c r="L202" s="33">
        <v>0.26293365794278756</v>
      </c>
      <c r="M202" s="33">
        <v>0.23554473524041389</v>
      </c>
      <c r="N202" s="33">
        <v>0.58101851851851849</v>
      </c>
      <c r="O202" s="33">
        <v>0.48320413436692505</v>
      </c>
      <c r="P202" s="33">
        <v>0.42321428571428571</v>
      </c>
    </row>
    <row r="203" spans="1:16" x14ac:dyDescent="0.45">
      <c r="A203" s="35">
        <v>200</v>
      </c>
      <c r="B203" s="32">
        <v>1830.1999999999996</v>
      </c>
      <c r="C203" s="32">
        <v>9.150999999999998</v>
      </c>
      <c r="D203" s="37">
        <v>1.77</v>
      </c>
      <c r="E203" s="33">
        <v>0.47</v>
      </c>
      <c r="F203" s="33">
        <v>0.24</v>
      </c>
      <c r="G203" s="33">
        <v>0.34079903147699758</v>
      </c>
      <c r="H203" s="33">
        <v>0.12409200968523003</v>
      </c>
      <c r="I203" s="34">
        <v>8273.712255772647</v>
      </c>
      <c r="J203" s="34">
        <v>-7736.0975609756097</v>
      </c>
      <c r="K203" s="33">
        <v>4.4999999999999998E-2</v>
      </c>
      <c r="L203" s="33">
        <v>0.26392251815980627</v>
      </c>
      <c r="M203" s="33">
        <v>0.23547215496368037</v>
      </c>
      <c r="N203" s="33">
        <v>0.58027522935779818</v>
      </c>
      <c r="O203" s="33">
        <v>0.48329048843187661</v>
      </c>
      <c r="P203" s="33">
        <v>0.42273534635879217</v>
      </c>
    </row>
    <row r="204" spans="1:16" x14ac:dyDescent="0.45">
      <c r="A204" s="35">
        <v>201</v>
      </c>
      <c r="B204" s="32">
        <v>1812.7999999999995</v>
      </c>
      <c r="C204" s="32">
        <v>9.0189054726368134</v>
      </c>
      <c r="D204" s="37">
        <v>1.7761194029850746</v>
      </c>
      <c r="E204" s="33">
        <v>0.46766169154228854</v>
      </c>
      <c r="F204" s="33">
        <v>0.24378109452736318</v>
      </c>
      <c r="G204" s="33">
        <v>0.33974744437763077</v>
      </c>
      <c r="H204" s="33">
        <v>0.12507516536380037</v>
      </c>
      <c r="I204" s="34">
        <v>8286.9026548672573</v>
      </c>
      <c r="J204" s="34">
        <v>-7691.3461538461543</v>
      </c>
      <c r="K204" s="33">
        <v>4.4776119402985072E-2</v>
      </c>
      <c r="L204" s="33">
        <v>0.26398075766686713</v>
      </c>
      <c r="M204" s="33">
        <v>0.23571858087793146</v>
      </c>
      <c r="N204" s="33">
        <v>0.5808656036446469</v>
      </c>
      <c r="O204" s="33">
        <v>0.47959183673469385</v>
      </c>
      <c r="P204" s="33">
        <v>0.42123893805309737</v>
      </c>
    </row>
    <row r="205" spans="1:16" x14ac:dyDescent="0.45">
      <c r="A205" s="35">
        <v>202</v>
      </c>
      <c r="B205" s="32">
        <v>1853.4999999999995</v>
      </c>
      <c r="C205" s="32">
        <v>9.1757425742574235</v>
      </c>
      <c r="D205" s="37">
        <v>1.7722772277227723</v>
      </c>
      <c r="E205" s="33">
        <v>0.47029702970297027</v>
      </c>
      <c r="F205" s="33">
        <v>0.24257425742574257</v>
      </c>
      <c r="G205" s="33">
        <v>0.34048896839594511</v>
      </c>
      <c r="H205" s="33">
        <v>0.12522361359570661</v>
      </c>
      <c r="I205" s="34">
        <v>8282.6619964973725</v>
      </c>
      <c r="J205" s="34">
        <v>-7655.2380952380954</v>
      </c>
      <c r="K205" s="33">
        <v>4.4554455445544552E-2</v>
      </c>
      <c r="L205" s="33">
        <v>0.26416219439475253</v>
      </c>
      <c r="M205" s="33">
        <v>0.23673225998807393</v>
      </c>
      <c r="N205" s="33">
        <v>0.58013544018058694</v>
      </c>
      <c r="O205" s="33">
        <v>0.47858942065491183</v>
      </c>
      <c r="P205" s="33">
        <v>0.41856392294220668</v>
      </c>
    </row>
    <row r="206" spans="1:16" x14ac:dyDescent="0.45">
      <c r="A206" s="35">
        <v>203</v>
      </c>
      <c r="B206" s="32">
        <v>1867.4999999999995</v>
      </c>
      <c r="C206" s="32">
        <v>9.1995073891625587</v>
      </c>
      <c r="D206" s="37">
        <v>1.7684729064039408</v>
      </c>
      <c r="E206" s="33">
        <v>0.47290640394088668</v>
      </c>
      <c r="F206" s="33">
        <v>0.2413793103448276</v>
      </c>
      <c r="G206" s="33">
        <v>0.33966745843230406</v>
      </c>
      <c r="H206" s="33">
        <v>0.12470308788598575</v>
      </c>
      <c r="I206" s="34">
        <v>8289.1608391608388</v>
      </c>
      <c r="J206" s="34">
        <v>-7655.2380952380954</v>
      </c>
      <c r="K206" s="33">
        <v>4.4334975369458129E-2</v>
      </c>
      <c r="L206" s="33">
        <v>0.26543942992874109</v>
      </c>
      <c r="M206" s="33">
        <v>0.23634204275534443</v>
      </c>
      <c r="N206" s="33">
        <v>0.57718120805369133</v>
      </c>
      <c r="O206" s="33">
        <v>0.47738693467336685</v>
      </c>
      <c r="P206" s="33">
        <v>0.41958041958041958</v>
      </c>
    </row>
    <row r="207" spans="1:16" x14ac:dyDescent="0.45">
      <c r="A207" s="35">
        <v>204</v>
      </c>
      <c r="B207" s="32">
        <v>1934.3999999999996</v>
      </c>
      <c r="C207" s="32">
        <v>9.4823529411764689</v>
      </c>
      <c r="D207" s="37">
        <v>1.7647058823529411</v>
      </c>
      <c r="E207" s="33">
        <v>0.47549019607843135</v>
      </c>
      <c r="F207" s="33">
        <v>0.24019607843137256</v>
      </c>
      <c r="G207" s="33">
        <v>0.34238488783943327</v>
      </c>
      <c r="H207" s="33">
        <v>0.12396694214876033</v>
      </c>
      <c r="I207" s="34">
        <v>8280.689655172413</v>
      </c>
      <c r="J207" s="34">
        <v>-7655.2380952380954</v>
      </c>
      <c r="K207" s="33">
        <v>4.4117647058823532E-2</v>
      </c>
      <c r="L207" s="33">
        <v>0.26564344746162927</v>
      </c>
      <c r="M207" s="33">
        <v>0.2384887839433294</v>
      </c>
      <c r="N207" s="33">
        <v>0.57999999999999996</v>
      </c>
      <c r="O207" s="33">
        <v>0.48267326732673266</v>
      </c>
      <c r="P207" s="33">
        <v>0.4206896551724138</v>
      </c>
    </row>
    <row r="208" spans="1:16" x14ac:dyDescent="0.45">
      <c r="A208" s="35">
        <v>205</v>
      </c>
      <c r="B208" s="32">
        <v>1937.5999999999997</v>
      </c>
      <c r="C208" s="32">
        <v>9.4517073170731685</v>
      </c>
      <c r="D208" s="37">
        <v>1.7658536585365854</v>
      </c>
      <c r="E208" s="33">
        <v>0.47317073170731705</v>
      </c>
      <c r="F208" s="33">
        <v>0.23902439024390243</v>
      </c>
      <c r="G208" s="33">
        <v>0.34235294117647058</v>
      </c>
      <c r="H208" s="33">
        <v>0.12352941176470589</v>
      </c>
      <c r="I208" s="34">
        <v>8275.4295532646047</v>
      </c>
      <c r="J208" s="34">
        <v>-7655.2380952380954</v>
      </c>
      <c r="K208" s="33">
        <v>4.3902439024390241E-2</v>
      </c>
      <c r="L208" s="33">
        <v>0.26529411764705885</v>
      </c>
      <c r="M208" s="33">
        <v>0.23764705882352941</v>
      </c>
      <c r="N208" s="33">
        <v>0.58093126385809313</v>
      </c>
      <c r="O208" s="33">
        <v>0.48267326732673266</v>
      </c>
      <c r="P208" s="33">
        <v>0.41924398625429554</v>
      </c>
    </row>
    <row r="209" spans="1:16" x14ac:dyDescent="0.45">
      <c r="A209" s="35">
        <v>206</v>
      </c>
      <c r="B209" s="32">
        <v>1937.2999999999997</v>
      </c>
      <c r="C209" s="32">
        <v>9.4043689320388335</v>
      </c>
      <c r="D209" s="37">
        <v>1.766990291262136</v>
      </c>
      <c r="E209" s="33">
        <v>0.470873786407767</v>
      </c>
      <c r="F209" s="33">
        <v>0.23786407766990292</v>
      </c>
      <c r="G209" s="33">
        <v>0.3426736719206071</v>
      </c>
      <c r="H209" s="33">
        <v>0.1237594862813777</v>
      </c>
      <c r="I209" s="34">
        <v>8274.2759795570691</v>
      </c>
      <c r="J209" s="34">
        <v>-7630.1886792452833</v>
      </c>
      <c r="K209" s="33">
        <v>4.3689320388349516E-2</v>
      </c>
      <c r="L209" s="33">
        <v>0.26503210741389377</v>
      </c>
      <c r="M209" s="33">
        <v>0.23934617629889082</v>
      </c>
      <c r="N209" s="33">
        <v>0.58149779735682816</v>
      </c>
      <c r="O209" s="33">
        <v>0.48292682926829267</v>
      </c>
      <c r="P209" s="33">
        <v>0.4190800681431005</v>
      </c>
    </row>
    <row r="210" spans="1:16" x14ac:dyDescent="0.45">
      <c r="A210" s="35">
        <v>207</v>
      </c>
      <c r="B210" s="32">
        <v>1977.1999999999998</v>
      </c>
      <c r="C210" s="32">
        <v>9.5516908212560381</v>
      </c>
      <c r="D210" s="37">
        <v>1.7632850241545894</v>
      </c>
      <c r="E210" s="33">
        <v>0.47342995169082125</v>
      </c>
      <c r="F210" s="33">
        <v>0.23671497584541062</v>
      </c>
      <c r="G210" s="33">
        <v>0.34300638421358098</v>
      </c>
      <c r="H210" s="33">
        <v>0.12362159024956472</v>
      </c>
      <c r="I210" s="34">
        <v>8277.8341793570216</v>
      </c>
      <c r="J210" s="34">
        <v>-7630.5164319248825</v>
      </c>
      <c r="K210" s="33">
        <v>4.3478260869565216E-2</v>
      </c>
      <c r="L210" s="33">
        <v>0.26465467208357518</v>
      </c>
      <c r="M210" s="33">
        <v>0.23969820081253626</v>
      </c>
      <c r="N210" s="33">
        <v>0.58333333333333337</v>
      </c>
      <c r="O210" s="33">
        <v>0.48426150121065376</v>
      </c>
      <c r="P210" s="33">
        <v>0.41962774957698817</v>
      </c>
    </row>
    <row r="211" spans="1:16" x14ac:dyDescent="0.45">
      <c r="A211" s="35">
        <v>208</v>
      </c>
      <c r="B211" s="32">
        <v>1974.9999999999998</v>
      </c>
      <c r="C211" s="32">
        <v>9.4951923076923066</v>
      </c>
      <c r="D211" s="37">
        <v>1.7644230769230769</v>
      </c>
      <c r="E211" s="33">
        <v>0.47115384615384615</v>
      </c>
      <c r="F211" s="33">
        <v>0.23557692307692307</v>
      </c>
      <c r="G211" s="33">
        <v>0.34315424610051992</v>
      </c>
      <c r="H211" s="33">
        <v>0.12420566146735991</v>
      </c>
      <c r="I211" s="34">
        <v>8271.0437710437709</v>
      </c>
      <c r="J211" s="34">
        <v>-7633.9534883720926</v>
      </c>
      <c r="K211" s="33">
        <v>4.3269230769230768E-2</v>
      </c>
      <c r="L211" s="33">
        <v>0.26458694396302718</v>
      </c>
      <c r="M211" s="33">
        <v>0.2391681109185442</v>
      </c>
      <c r="N211" s="33">
        <v>0.58515283842794763</v>
      </c>
      <c r="O211" s="33">
        <v>0.48309178743961351</v>
      </c>
      <c r="P211" s="33">
        <v>0.42255892255892258</v>
      </c>
    </row>
    <row r="212" spans="1:16" x14ac:dyDescent="0.45">
      <c r="A212" s="35">
        <v>209</v>
      </c>
      <c r="B212" s="32">
        <v>1923.8999999999999</v>
      </c>
      <c r="C212" s="32">
        <v>9.2052631578947359</v>
      </c>
      <c r="D212" s="37">
        <v>1.770334928229665</v>
      </c>
      <c r="E212" s="33">
        <v>0.46889952153110048</v>
      </c>
      <c r="F212" s="33">
        <v>0.23923444976076555</v>
      </c>
      <c r="G212" s="33">
        <v>0.34234752589182971</v>
      </c>
      <c r="H212" s="33">
        <v>0.12428078250863062</v>
      </c>
      <c r="I212" s="34">
        <v>8260.5042016806728</v>
      </c>
      <c r="J212" s="34">
        <v>-7708.333333333333</v>
      </c>
      <c r="K212" s="33">
        <v>4.784688995215311E-2</v>
      </c>
      <c r="L212" s="33">
        <v>0.26409666283084005</v>
      </c>
      <c r="M212" s="33">
        <v>0.23935558112773303</v>
      </c>
      <c r="N212" s="33">
        <v>0.58387799564270149</v>
      </c>
      <c r="O212" s="33">
        <v>0.48317307692307693</v>
      </c>
      <c r="P212" s="33">
        <v>0.42184873949579832</v>
      </c>
    </row>
    <row r="213" spans="1:16" x14ac:dyDescent="0.45">
      <c r="A213" s="35">
        <v>210</v>
      </c>
      <c r="B213" s="32">
        <v>1949.1999999999998</v>
      </c>
      <c r="C213" s="32">
        <v>9.2819047619047605</v>
      </c>
      <c r="D213" s="37">
        <v>1.7666666666666666</v>
      </c>
      <c r="E213" s="33">
        <v>0.47142857142857142</v>
      </c>
      <c r="F213" s="33">
        <v>0.23809523809523808</v>
      </c>
      <c r="G213" s="33">
        <v>0.34230108757870636</v>
      </c>
      <c r="H213" s="33">
        <v>0.12421293646250715</v>
      </c>
      <c r="I213" s="34">
        <v>8252.8428093645489</v>
      </c>
      <c r="J213" s="34">
        <v>-7690.7834101382487</v>
      </c>
      <c r="K213" s="33">
        <v>4.7619047619047616E-2</v>
      </c>
      <c r="L213" s="33">
        <v>0.2633085289066972</v>
      </c>
      <c r="M213" s="33">
        <v>0.23983972524327418</v>
      </c>
      <c r="N213" s="33">
        <v>0.58478260869565213</v>
      </c>
      <c r="O213" s="33">
        <v>0.47971360381861577</v>
      </c>
      <c r="P213" s="33">
        <v>0.4197324414715719</v>
      </c>
    </row>
    <row r="214" spans="1:16" x14ac:dyDescent="0.45">
      <c r="A214" s="35">
        <v>211</v>
      </c>
      <c r="B214" s="32">
        <v>1970.8999999999999</v>
      </c>
      <c r="C214" s="32">
        <v>9.3407582938388618</v>
      </c>
      <c r="D214" s="37">
        <v>1.7630331753554502</v>
      </c>
      <c r="E214" s="33">
        <v>0.47393364928909953</v>
      </c>
      <c r="F214" s="33">
        <v>0.23696682464454977</v>
      </c>
      <c r="G214" s="33">
        <v>0.34264538198403649</v>
      </c>
      <c r="H214" s="33">
        <v>0.12371721778791334</v>
      </c>
      <c r="I214" s="34">
        <v>8239.4342762063225</v>
      </c>
      <c r="J214" s="34">
        <v>-7690.7834101382487</v>
      </c>
      <c r="K214" s="33">
        <v>4.7393364928909949E-2</v>
      </c>
      <c r="L214" s="33">
        <v>0.26453819840364878</v>
      </c>
      <c r="M214" s="33">
        <v>0.24002280501710377</v>
      </c>
      <c r="N214" s="33">
        <v>0.58405172413793105</v>
      </c>
      <c r="O214" s="33">
        <v>0.47980997624703087</v>
      </c>
      <c r="P214" s="33">
        <v>0.41763727121464228</v>
      </c>
    </row>
    <row r="215" spans="1:16" x14ac:dyDescent="0.45">
      <c r="A215" s="35">
        <v>212</v>
      </c>
      <c r="B215" s="32">
        <v>2015.3999999999999</v>
      </c>
      <c r="C215" s="32">
        <v>9.5066037735849047</v>
      </c>
      <c r="D215" s="37">
        <v>1.7594339622641511</v>
      </c>
      <c r="E215" s="33">
        <v>0.47641509433962265</v>
      </c>
      <c r="F215" s="33">
        <v>0.23584905660377359</v>
      </c>
      <c r="G215" s="33">
        <v>0.34241908006814309</v>
      </c>
      <c r="H215" s="33">
        <v>0.12322544009085747</v>
      </c>
      <c r="I215" s="34">
        <v>8295.0248756218898</v>
      </c>
      <c r="J215" s="34">
        <v>-7690.7834101382487</v>
      </c>
      <c r="K215" s="33">
        <v>4.716981132075472E-2</v>
      </c>
      <c r="L215" s="33">
        <v>0.26519023282226006</v>
      </c>
      <c r="M215" s="33">
        <v>0.23906871095968199</v>
      </c>
      <c r="N215" s="33">
        <v>0.58458244111349034</v>
      </c>
      <c r="O215" s="33">
        <v>0.47980997624703087</v>
      </c>
      <c r="P215" s="33">
        <v>0.41956882255389716</v>
      </c>
    </row>
    <row r="216" spans="1:16" x14ac:dyDescent="0.45">
      <c r="A216" s="35">
        <v>213</v>
      </c>
      <c r="B216" s="32">
        <v>2052.8999999999996</v>
      </c>
      <c r="C216" s="32">
        <v>9.638028169014083</v>
      </c>
      <c r="D216" s="37">
        <v>1.755868544600939</v>
      </c>
      <c r="E216" s="33">
        <v>0.47887323943661969</v>
      </c>
      <c r="F216" s="33">
        <v>0.23474178403755869</v>
      </c>
      <c r="G216" s="33">
        <v>0.34276018099547512</v>
      </c>
      <c r="H216" s="33">
        <v>0.12273755656108597</v>
      </c>
      <c r="I216" s="34">
        <v>8313.3663366336641</v>
      </c>
      <c r="J216" s="34">
        <v>-7690.7834101382487</v>
      </c>
      <c r="K216" s="33">
        <v>4.6948356807511735E-2</v>
      </c>
      <c r="L216" s="33">
        <v>0.26583710407239819</v>
      </c>
      <c r="M216" s="33">
        <v>0.23925339366515838</v>
      </c>
      <c r="N216" s="33">
        <v>0.58723404255319145</v>
      </c>
      <c r="O216" s="33">
        <v>0.47754137115839246</v>
      </c>
      <c r="P216" s="33">
        <v>0.42079207920792078</v>
      </c>
    </row>
    <row r="217" spans="1:16" x14ac:dyDescent="0.45">
      <c r="A217" s="35">
        <v>214</v>
      </c>
      <c r="B217" s="32">
        <v>2031.0999999999997</v>
      </c>
      <c r="C217" s="32">
        <v>9.4911214953271017</v>
      </c>
      <c r="D217" s="37">
        <v>1.7616822429906542</v>
      </c>
      <c r="E217" s="33">
        <v>0.47663551401869159</v>
      </c>
      <c r="F217" s="33">
        <v>0.23831775700934579</v>
      </c>
      <c r="G217" s="33">
        <v>0.34177927927927926</v>
      </c>
      <c r="H217" s="33">
        <v>0.12387387387387387</v>
      </c>
      <c r="I217" s="34">
        <v>8312.3558484349251</v>
      </c>
      <c r="J217" s="34">
        <v>-7662.272727272727</v>
      </c>
      <c r="K217" s="33">
        <v>4.6728971962616821E-2</v>
      </c>
      <c r="L217" s="33">
        <v>0.26520270270270269</v>
      </c>
      <c r="M217" s="33">
        <v>0.23986486486486486</v>
      </c>
      <c r="N217" s="33">
        <v>0.5859872611464968</v>
      </c>
      <c r="O217" s="33">
        <v>0.47417840375586856</v>
      </c>
      <c r="P217" s="33">
        <v>0.42174629324546953</v>
      </c>
    </row>
    <row r="218" spans="1:16" x14ac:dyDescent="0.45">
      <c r="A218" s="35">
        <v>215</v>
      </c>
      <c r="B218" s="32">
        <v>2017.9999999999998</v>
      </c>
      <c r="C218" s="32">
        <v>9.3860465116279066</v>
      </c>
      <c r="D218" s="37">
        <v>1.7674418604651163</v>
      </c>
      <c r="E218" s="33">
        <v>0.47441860465116281</v>
      </c>
      <c r="F218" s="33">
        <v>0.24186046511627907</v>
      </c>
      <c r="G218" s="33">
        <v>0.3411764705882353</v>
      </c>
      <c r="H218" s="33">
        <v>0.12380952380952381</v>
      </c>
      <c r="I218" s="34">
        <v>8317.8981937602621</v>
      </c>
      <c r="J218" s="34">
        <v>-7642.0814479638011</v>
      </c>
      <c r="K218" s="33">
        <v>4.6511627906976744E-2</v>
      </c>
      <c r="L218" s="33">
        <v>0.26442577030812325</v>
      </c>
      <c r="M218" s="33">
        <v>0.23977591036414567</v>
      </c>
      <c r="N218" s="33">
        <v>0.58686440677966101</v>
      </c>
      <c r="O218" s="33">
        <v>0.47429906542056077</v>
      </c>
      <c r="P218" s="33">
        <v>0.42200328407224957</v>
      </c>
    </row>
    <row r="219" spans="1:16" x14ac:dyDescent="0.45">
      <c r="A219" s="35">
        <v>216</v>
      </c>
      <c r="B219" s="32">
        <v>2013.1999999999998</v>
      </c>
      <c r="C219" s="32">
        <v>9.3203703703703695</v>
      </c>
      <c r="D219" s="37">
        <v>1.7685185185185186</v>
      </c>
      <c r="E219" s="33">
        <v>0.47222222222222221</v>
      </c>
      <c r="F219" s="33">
        <v>0.24074074074074073</v>
      </c>
      <c r="G219" s="33">
        <v>0.34113712374581939</v>
      </c>
      <c r="H219" s="33">
        <v>0.12430323299888517</v>
      </c>
      <c r="I219" s="34">
        <v>8315.3594771241824</v>
      </c>
      <c r="J219" s="34">
        <v>-7644.8430493273545</v>
      </c>
      <c r="K219" s="33">
        <v>4.6296296296296294E-2</v>
      </c>
      <c r="L219" s="33">
        <v>0.26421404682274247</v>
      </c>
      <c r="M219" s="33">
        <v>0.2391304347826087</v>
      </c>
      <c r="N219" s="33">
        <v>0.58860759493670889</v>
      </c>
      <c r="O219" s="33">
        <v>0.47552447552447552</v>
      </c>
      <c r="P219" s="33">
        <v>0.42156862745098039</v>
      </c>
    </row>
    <row r="220" spans="1:16" x14ac:dyDescent="0.45">
      <c r="A220" s="35">
        <v>217</v>
      </c>
      <c r="B220" s="32">
        <v>1963.7999999999997</v>
      </c>
      <c r="C220" s="32">
        <v>9.0497695852534541</v>
      </c>
      <c r="D220" s="37">
        <v>1.7741935483870968</v>
      </c>
      <c r="E220" s="33">
        <v>0.47004608294930877</v>
      </c>
      <c r="F220" s="33">
        <v>0.24423963133640553</v>
      </c>
      <c r="G220" s="33">
        <v>0.3392461197339246</v>
      </c>
      <c r="H220" s="33">
        <v>0.12583148558758314</v>
      </c>
      <c r="I220" s="34">
        <v>8315.3594771241824</v>
      </c>
      <c r="J220" s="34">
        <v>-7635.242290748899</v>
      </c>
      <c r="K220" s="33">
        <v>5.0691244239631339E-2</v>
      </c>
      <c r="L220" s="33">
        <v>0.26385809312638581</v>
      </c>
      <c r="M220" s="33">
        <v>0.23835920177383593</v>
      </c>
      <c r="N220" s="33">
        <v>0.58613445378151263</v>
      </c>
      <c r="O220" s="33">
        <v>0.47441860465116281</v>
      </c>
      <c r="P220" s="33">
        <v>0.42156862745098039</v>
      </c>
    </row>
    <row r="221" spans="1:16" x14ac:dyDescent="0.45">
      <c r="A221" s="35">
        <v>218</v>
      </c>
      <c r="B221" s="32">
        <v>1930.1999999999998</v>
      </c>
      <c r="C221" s="32">
        <v>8.8541284403669724</v>
      </c>
      <c r="D221" s="37">
        <v>1.7798165137614679</v>
      </c>
      <c r="E221" s="33">
        <v>0.46788990825688076</v>
      </c>
      <c r="F221" s="33">
        <v>0.24770642201834864</v>
      </c>
      <c r="G221" s="33">
        <v>0.33736929003852506</v>
      </c>
      <c r="H221" s="33">
        <v>0.12658227848101267</v>
      </c>
      <c r="I221" s="34">
        <v>8314.8450244698197</v>
      </c>
      <c r="J221" s="34">
        <v>-7573.913043478261</v>
      </c>
      <c r="K221" s="33">
        <v>5.0458715596330278E-2</v>
      </c>
      <c r="L221" s="33">
        <v>0.26472206934507431</v>
      </c>
      <c r="M221" s="33">
        <v>0.23885525591634563</v>
      </c>
      <c r="N221" s="33">
        <v>0.58212058212058215</v>
      </c>
      <c r="O221" s="33">
        <v>0.47004608294930877</v>
      </c>
      <c r="P221" s="33">
        <v>0.42251223491027734</v>
      </c>
    </row>
    <row r="222" spans="1:16" x14ac:dyDescent="0.45">
      <c r="A222" s="35">
        <v>219</v>
      </c>
      <c r="B222" s="32">
        <v>1957.1</v>
      </c>
      <c r="C222" s="32">
        <v>8.9365296803652967</v>
      </c>
      <c r="D222" s="37">
        <v>1.7762557077625571</v>
      </c>
      <c r="E222" s="33">
        <v>0.47031963470319632</v>
      </c>
      <c r="F222" s="33">
        <v>0.24657534246575341</v>
      </c>
      <c r="G222" s="33">
        <v>0.33734281027884089</v>
      </c>
      <c r="H222" s="33">
        <v>0.12629852378348824</v>
      </c>
      <c r="I222" s="34">
        <v>8303.7277147487839</v>
      </c>
      <c r="J222" s="34">
        <v>-7575.757575757576</v>
      </c>
      <c r="K222" s="33">
        <v>5.0228310502283102E-2</v>
      </c>
      <c r="L222" s="33">
        <v>0.26517222525970474</v>
      </c>
      <c r="M222" s="33">
        <v>0.2383816293056315</v>
      </c>
      <c r="N222" s="33">
        <v>0.58144329896907221</v>
      </c>
      <c r="O222" s="33">
        <v>0.46788990825688076</v>
      </c>
      <c r="P222" s="33">
        <v>0.42139384116693679</v>
      </c>
    </row>
    <row r="223" spans="1:16" x14ac:dyDescent="0.45">
      <c r="A223" s="35">
        <v>220</v>
      </c>
      <c r="B223" s="32">
        <v>1969.1</v>
      </c>
      <c r="C223" s="32">
        <v>8.9504545454545443</v>
      </c>
      <c r="D223" s="37">
        <v>1.7772727272727273</v>
      </c>
      <c r="E223" s="33">
        <v>0.4681818181818182</v>
      </c>
      <c r="F223" s="33">
        <v>0.24545454545454545</v>
      </c>
      <c r="G223" s="33">
        <v>0.33714596949891068</v>
      </c>
      <c r="H223" s="33">
        <v>0.12581699346405228</v>
      </c>
      <c r="I223" s="34">
        <v>8308.7237479806136</v>
      </c>
      <c r="J223" s="34">
        <v>-7575.757575757576</v>
      </c>
      <c r="K223" s="33">
        <v>0.05</v>
      </c>
      <c r="L223" s="33">
        <v>0.26470588235294118</v>
      </c>
      <c r="M223" s="33">
        <v>0.23801742919389979</v>
      </c>
      <c r="N223" s="33">
        <v>0.58024691358024694</v>
      </c>
      <c r="O223" s="33">
        <v>0.46910755148741418</v>
      </c>
      <c r="P223" s="33">
        <v>0.42164781906300486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593C5-655E-4280-A689-94A34EE67B47}">
  <sheetPr codeName="Sheet8"/>
  <dimension ref="A1:Q9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158</v>
      </c>
      <c r="B1" s="36" t="s">
        <v>158</v>
      </c>
      <c r="C1" s="36" t="s">
        <v>158</v>
      </c>
      <c r="D1" s="37" t="s">
        <v>158</v>
      </c>
      <c r="E1" s="36" t="s">
        <v>158</v>
      </c>
      <c r="F1" s="36" t="s">
        <v>158</v>
      </c>
      <c r="G1" s="36" t="s">
        <v>158</v>
      </c>
      <c r="H1" s="36" t="s">
        <v>158</v>
      </c>
      <c r="I1" s="36" t="s">
        <v>158</v>
      </c>
      <c r="J1" s="36" t="s">
        <v>158</v>
      </c>
      <c r="K1" s="36" t="s">
        <v>158</v>
      </c>
      <c r="L1" s="36" t="s">
        <v>158</v>
      </c>
      <c r="M1" s="36" t="s">
        <v>158</v>
      </c>
      <c r="N1" s="36" t="s">
        <v>158</v>
      </c>
      <c r="O1" s="36" t="s">
        <v>158</v>
      </c>
      <c r="P1" s="36" t="s">
        <v>158</v>
      </c>
      <c r="Q1" s="36" t="s">
        <v>158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-4.5999999999999996</v>
      </c>
      <c r="C4" s="32">
        <v>-4.5999999999999996</v>
      </c>
      <c r="D4" s="37">
        <v>2</v>
      </c>
      <c r="E4" s="33">
        <v>0</v>
      </c>
      <c r="F4" s="33">
        <v>0</v>
      </c>
      <c r="G4" s="33">
        <v>0.3</v>
      </c>
      <c r="H4" s="33">
        <v>0.1</v>
      </c>
      <c r="I4" s="34">
        <v>5000</v>
      </c>
      <c r="J4" s="34">
        <v>-2600</v>
      </c>
      <c r="K4" s="33">
        <v>0</v>
      </c>
      <c r="L4" s="33">
        <v>0.4</v>
      </c>
      <c r="M4" s="33">
        <v>0.2</v>
      </c>
      <c r="N4" s="33">
        <v>0.25</v>
      </c>
      <c r="O4" s="33">
        <v>0.5</v>
      </c>
      <c r="P4" s="33">
        <v>0</v>
      </c>
    </row>
    <row r="5" spans="1:17" x14ac:dyDescent="0.45">
      <c r="A5" s="35">
        <v>2</v>
      </c>
      <c r="B5" s="32">
        <v>19.899999999999999</v>
      </c>
      <c r="C5" s="32">
        <v>9.9499999999999993</v>
      </c>
      <c r="D5" s="37">
        <v>1.5</v>
      </c>
      <c r="E5" s="33">
        <v>0.5</v>
      </c>
      <c r="F5" s="33">
        <v>0</v>
      </c>
      <c r="G5" s="33">
        <v>0.31578947368421051</v>
      </c>
      <c r="H5" s="33">
        <v>0.10526315789473684</v>
      </c>
      <c r="I5" s="34">
        <v>7000</v>
      </c>
      <c r="J5" s="34">
        <v>-7300</v>
      </c>
      <c r="K5" s="33">
        <v>0</v>
      </c>
      <c r="L5" s="33">
        <v>0.36842105263157893</v>
      </c>
      <c r="M5" s="33">
        <v>0.26315789473684209</v>
      </c>
      <c r="N5" s="33">
        <v>0.42857142857142855</v>
      </c>
      <c r="O5" s="33">
        <v>0.4</v>
      </c>
      <c r="P5" s="33">
        <v>0.33333333333333331</v>
      </c>
    </row>
    <row r="6" spans="1:17" x14ac:dyDescent="0.45">
      <c r="A6" s="35">
        <v>3</v>
      </c>
      <c r="B6" s="32">
        <v>-8.3000000000000007</v>
      </c>
      <c r="C6" s="32">
        <v>-2.7666666666666671</v>
      </c>
      <c r="D6" s="37">
        <v>2</v>
      </c>
      <c r="E6" s="33">
        <v>0.33333333333333331</v>
      </c>
      <c r="F6" s="33">
        <v>0.33333333333333331</v>
      </c>
      <c r="G6" s="33">
        <v>0.25925925925925924</v>
      </c>
      <c r="H6" s="33">
        <v>0.18518518518518517</v>
      </c>
      <c r="I6" s="34">
        <v>6557.1428571428569</v>
      </c>
      <c r="J6" s="34">
        <v>-6340</v>
      </c>
      <c r="K6" s="33">
        <v>0</v>
      </c>
      <c r="L6" s="33">
        <v>0.33333333333333331</v>
      </c>
      <c r="M6" s="33">
        <v>0.22222222222222221</v>
      </c>
      <c r="N6" s="33">
        <v>0.44444444444444442</v>
      </c>
      <c r="O6" s="33">
        <v>0.33333333333333331</v>
      </c>
      <c r="P6" s="33">
        <v>0.2857142857142857</v>
      </c>
    </row>
    <row r="7" spans="1:17" x14ac:dyDescent="0.45">
      <c r="A7" s="35">
        <v>4</v>
      </c>
      <c r="B7" s="32">
        <v>-30.7</v>
      </c>
      <c r="C7" s="32">
        <v>-7.6749999999999998</v>
      </c>
      <c r="D7" s="37">
        <v>2</v>
      </c>
      <c r="E7" s="33">
        <v>0.25</v>
      </c>
      <c r="F7" s="33">
        <v>0.25</v>
      </c>
      <c r="G7" s="33">
        <v>0.26315789473684209</v>
      </c>
      <c r="H7" s="33">
        <v>0.21052631578947367</v>
      </c>
      <c r="I7" s="34">
        <v>7390</v>
      </c>
      <c r="J7" s="34">
        <v>-8375</v>
      </c>
      <c r="K7" s="33">
        <v>0</v>
      </c>
      <c r="L7" s="33">
        <v>0.34210526315789475</v>
      </c>
      <c r="M7" s="33">
        <v>0.23684210526315788</v>
      </c>
      <c r="N7" s="33">
        <v>0.46153846153846156</v>
      </c>
      <c r="O7" s="33">
        <v>0.33333333333333331</v>
      </c>
      <c r="P7" s="33">
        <v>0.4</v>
      </c>
    </row>
    <row r="8" spans="1:17" x14ac:dyDescent="0.45">
      <c r="A8" s="35">
        <v>5</v>
      </c>
      <c r="B8" s="32">
        <v>-55.8</v>
      </c>
      <c r="C8" s="32">
        <v>-11.16</v>
      </c>
      <c r="D8" s="37">
        <v>2.2000000000000002</v>
      </c>
      <c r="E8" s="33">
        <v>0.2</v>
      </c>
      <c r="F8" s="33">
        <v>0.4</v>
      </c>
      <c r="G8" s="33">
        <v>0.24444444444444444</v>
      </c>
      <c r="H8" s="33">
        <v>0.22222222222222221</v>
      </c>
      <c r="I8" s="34">
        <v>7445.454545454545</v>
      </c>
      <c r="J8" s="34">
        <v>-8160</v>
      </c>
      <c r="K8" s="33">
        <v>0</v>
      </c>
      <c r="L8" s="33">
        <v>0.28888888888888886</v>
      </c>
      <c r="M8" s="33">
        <v>0.26666666666666666</v>
      </c>
      <c r="N8" s="33">
        <v>0.46153846153846156</v>
      </c>
      <c r="O8" s="33">
        <v>0.33333333333333331</v>
      </c>
      <c r="P8" s="33">
        <v>0.36363636363636365</v>
      </c>
    </row>
    <row r="9" spans="1:17" x14ac:dyDescent="0.45">
      <c r="A9" s="35">
        <v>6</v>
      </c>
      <c r="B9" s="32">
        <v>-40.799999999999997</v>
      </c>
      <c r="C9" s="32">
        <v>-6.8</v>
      </c>
      <c r="D9" s="37">
        <v>2</v>
      </c>
      <c r="E9" s="33">
        <v>0.33333333333333331</v>
      </c>
      <c r="F9" s="33">
        <v>0.33333333333333331</v>
      </c>
      <c r="G9" s="33">
        <v>0.24074074074074073</v>
      </c>
      <c r="H9" s="33">
        <v>0.22222222222222221</v>
      </c>
      <c r="I9" s="34">
        <v>7838.4615384615381</v>
      </c>
      <c r="J9" s="34">
        <v>-7925</v>
      </c>
      <c r="K9" s="33">
        <v>0</v>
      </c>
      <c r="L9" s="33">
        <v>0.29629629629629628</v>
      </c>
      <c r="M9" s="33">
        <v>0.24074074074074073</v>
      </c>
      <c r="N9" s="33">
        <v>0.5</v>
      </c>
      <c r="O9" s="33">
        <v>0.30769230769230771</v>
      </c>
      <c r="P9" s="33">
        <v>0.46153846153846156</v>
      </c>
    </row>
    <row r="10" spans="1:17" x14ac:dyDescent="0.45">
      <c r="A10" s="35">
        <v>7</v>
      </c>
      <c r="B10" s="32">
        <v>-71</v>
      </c>
      <c r="C10" s="32">
        <v>-10.142857142857142</v>
      </c>
      <c r="D10" s="37">
        <v>2.1428571428571428</v>
      </c>
      <c r="E10" s="33">
        <v>0.2857142857142857</v>
      </c>
      <c r="F10" s="33">
        <v>0.42857142857142855</v>
      </c>
      <c r="G10" s="33">
        <v>0.22058823529411764</v>
      </c>
      <c r="H10" s="33">
        <v>0.23529411764705882</v>
      </c>
      <c r="I10" s="34">
        <v>8180</v>
      </c>
      <c r="J10" s="34">
        <v>-7700</v>
      </c>
      <c r="K10" s="33">
        <v>0</v>
      </c>
      <c r="L10" s="33">
        <v>0.25</v>
      </c>
      <c r="M10" s="33">
        <v>0.26470588235294118</v>
      </c>
      <c r="N10" s="33">
        <v>0.52941176470588236</v>
      </c>
      <c r="O10" s="33">
        <v>0.27777777777777779</v>
      </c>
      <c r="P10" s="33">
        <v>0.46666666666666667</v>
      </c>
    </row>
    <row r="11" spans="1:17" x14ac:dyDescent="0.45">
      <c r="A11" s="35">
        <v>8</v>
      </c>
      <c r="B11" s="32">
        <v>-76.900000000000006</v>
      </c>
      <c r="C11" s="32">
        <v>-9.6125000000000007</v>
      </c>
      <c r="D11" s="37">
        <v>2.125</v>
      </c>
      <c r="E11" s="33">
        <v>0.25</v>
      </c>
      <c r="F11" s="33">
        <v>0.375</v>
      </c>
      <c r="G11" s="33">
        <v>0.21794871794871795</v>
      </c>
      <c r="H11" s="33">
        <v>0.20512820512820512</v>
      </c>
      <c r="I11" s="34">
        <v>7805.8823529411766</v>
      </c>
      <c r="J11" s="34">
        <v>-7700</v>
      </c>
      <c r="K11" s="33">
        <v>0</v>
      </c>
      <c r="L11" s="33">
        <v>0.24358974358974358</v>
      </c>
      <c r="M11" s="33">
        <v>0.26923076923076922</v>
      </c>
      <c r="N11" s="33">
        <v>0.47368421052631576</v>
      </c>
      <c r="O11" s="33">
        <v>0.23809523809523808</v>
      </c>
      <c r="P11" s="33">
        <v>0.47058823529411764</v>
      </c>
    </row>
    <row r="12" spans="1:17" x14ac:dyDescent="0.45">
      <c r="A12" s="35">
        <v>9</v>
      </c>
      <c r="B12" s="32">
        <v>-59.500000000000007</v>
      </c>
      <c r="C12" s="32">
        <v>-6.6111111111111116</v>
      </c>
      <c r="D12" s="37">
        <v>2</v>
      </c>
      <c r="E12" s="33">
        <v>0.33333333333333331</v>
      </c>
      <c r="F12" s="33">
        <v>0.33333333333333331</v>
      </c>
      <c r="G12" s="33">
        <v>0.2413793103448276</v>
      </c>
      <c r="H12" s="33">
        <v>0.19540229885057472</v>
      </c>
      <c r="I12" s="34">
        <v>7576.1904761904761</v>
      </c>
      <c r="J12" s="34">
        <v>-7552.9411764705883</v>
      </c>
      <c r="K12" s="33">
        <v>0</v>
      </c>
      <c r="L12" s="33">
        <v>0.2413793103448276</v>
      </c>
      <c r="M12" s="33">
        <v>0.26436781609195403</v>
      </c>
      <c r="N12" s="33">
        <v>0.52380952380952384</v>
      </c>
      <c r="O12" s="33">
        <v>0.2608695652173913</v>
      </c>
      <c r="P12" s="33">
        <v>0.52380952380952384</v>
      </c>
    </row>
    <row r="13" spans="1:17" x14ac:dyDescent="0.45">
      <c r="A13" s="35">
        <v>10</v>
      </c>
      <c r="B13" s="32">
        <v>-32.700000000000003</v>
      </c>
      <c r="C13" s="32">
        <v>-3.2700000000000005</v>
      </c>
      <c r="D13" s="37">
        <v>1.9</v>
      </c>
      <c r="E13" s="33">
        <v>0.4</v>
      </c>
      <c r="F13" s="33">
        <v>0.3</v>
      </c>
      <c r="G13" s="33">
        <v>0.25263157894736843</v>
      </c>
      <c r="H13" s="33">
        <v>0.18947368421052632</v>
      </c>
      <c r="I13" s="34">
        <v>7562.5</v>
      </c>
      <c r="J13" s="34">
        <v>-7277.7777777777774</v>
      </c>
      <c r="K13" s="33">
        <v>0</v>
      </c>
      <c r="L13" s="33">
        <v>0.24210526315789474</v>
      </c>
      <c r="M13" s="33">
        <v>0.27368421052631581</v>
      </c>
      <c r="N13" s="33">
        <v>0.56521739130434778</v>
      </c>
      <c r="O13" s="33">
        <v>0.23076923076923078</v>
      </c>
      <c r="P13" s="33">
        <v>0.5</v>
      </c>
    </row>
    <row r="14" spans="1:17" x14ac:dyDescent="0.45">
      <c r="A14" s="35">
        <v>11</v>
      </c>
      <c r="B14" s="32">
        <v>-35.5</v>
      </c>
      <c r="C14" s="32">
        <v>-3.2272727272727271</v>
      </c>
      <c r="D14" s="37">
        <v>1.9090909090909092</v>
      </c>
      <c r="E14" s="33">
        <v>0.36363636363636365</v>
      </c>
      <c r="F14" s="33">
        <v>0.27272727272727271</v>
      </c>
      <c r="G14" s="33">
        <v>0.24509803921568626</v>
      </c>
      <c r="H14" s="33">
        <v>0.17647058823529413</v>
      </c>
      <c r="I14" s="34">
        <v>7568</v>
      </c>
      <c r="J14" s="34">
        <v>-7277.7777777777774</v>
      </c>
      <c r="K14" s="33">
        <v>0</v>
      </c>
      <c r="L14" s="33">
        <v>0.22549019607843138</v>
      </c>
      <c r="M14" s="33">
        <v>0.27450980392156865</v>
      </c>
      <c r="N14" s="33">
        <v>0.56521739130434778</v>
      </c>
      <c r="O14" s="33">
        <v>0.25</v>
      </c>
      <c r="P14" s="33">
        <v>0.48</v>
      </c>
    </row>
    <row r="15" spans="1:17" x14ac:dyDescent="0.45">
      <c r="A15" s="35">
        <v>12</v>
      </c>
      <c r="B15" s="32">
        <v>-59.5</v>
      </c>
      <c r="C15" s="32">
        <v>-4.958333333333333</v>
      </c>
      <c r="D15" s="37">
        <v>2</v>
      </c>
      <c r="E15" s="33">
        <v>0.33333333333333331</v>
      </c>
      <c r="F15" s="33">
        <v>0.33333333333333331</v>
      </c>
      <c r="G15" s="33">
        <v>0.24324324324324326</v>
      </c>
      <c r="H15" s="33">
        <v>0.17117117117117117</v>
      </c>
      <c r="I15" s="34">
        <v>7451.8518518518522</v>
      </c>
      <c r="J15" s="34">
        <v>-7000</v>
      </c>
      <c r="K15" s="33">
        <v>0</v>
      </c>
      <c r="L15" s="33">
        <v>0.21621621621621623</v>
      </c>
      <c r="M15" s="33">
        <v>0.27027027027027029</v>
      </c>
      <c r="N15" s="33">
        <v>0.58333333333333337</v>
      </c>
      <c r="O15" s="33">
        <v>0.26666666666666666</v>
      </c>
      <c r="P15" s="33">
        <v>0.48148148148148145</v>
      </c>
    </row>
    <row r="16" spans="1:17" x14ac:dyDescent="0.45">
      <c r="A16" s="35">
        <v>13</v>
      </c>
      <c r="B16" s="32">
        <v>-66.2</v>
      </c>
      <c r="C16" s="32">
        <v>-5.0923076923076929</v>
      </c>
      <c r="D16" s="37">
        <v>2</v>
      </c>
      <c r="E16" s="33">
        <v>0.30769230769230771</v>
      </c>
      <c r="F16" s="33">
        <v>0.30769230769230771</v>
      </c>
      <c r="G16" s="33">
        <v>0.24590163934426229</v>
      </c>
      <c r="H16" s="33">
        <v>0.1721311475409836</v>
      </c>
      <c r="I16" s="34">
        <v>7803.333333333333</v>
      </c>
      <c r="J16" s="34">
        <v>-7457.1428571428569</v>
      </c>
      <c r="K16" s="33">
        <v>0</v>
      </c>
      <c r="L16" s="33">
        <v>0.20491803278688525</v>
      </c>
      <c r="M16" s="33">
        <v>0.27868852459016391</v>
      </c>
      <c r="N16" s="33">
        <v>0.6</v>
      </c>
      <c r="O16" s="33">
        <v>0.23529411764705882</v>
      </c>
      <c r="P16" s="33">
        <v>0.5</v>
      </c>
    </row>
    <row r="17" spans="1:16" x14ac:dyDescent="0.45">
      <c r="A17" s="35">
        <v>14</v>
      </c>
      <c r="B17" s="32">
        <v>-51.1</v>
      </c>
      <c r="C17" s="32">
        <v>-3.65</v>
      </c>
      <c r="D17" s="37">
        <v>1.9285714285714286</v>
      </c>
      <c r="E17" s="33">
        <v>0.35714285714285715</v>
      </c>
      <c r="F17" s="33">
        <v>0.2857142857142857</v>
      </c>
      <c r="G17" s="33">
        <v>0.25</v>
      </c>
      <c r="H17" s="33">
        <v>0.17424242424242425</v>
      </c>
      <c r="I17" s="34">
        <v>7793.939393939394</v>
      </c>
      <c r="J17" s="34">
        <v>-7395.652173913043</v>
      </c>
      <c r="K17" s="33">
        <v>0</v>
      </c>
      <c r="L17" s="33">
        <v>0.18939393939393939</v>
      </c>
      <c r="M17" s="33">
        <v>0.27272727272727271</v>
      </c>
      <c r="N17" s="33">
        <v>0.6</v>
      </c>
      <c r="O17" s="33">
        <v>0.25</v>
      </c>
      <c r="P17" s="33">
        <v>0.51515151515151514</v>
      </c>
    </row>
    <row r="18" spans="1:16" x14ac:dyDescent="0.45">
      <c r="A18" s="35">
        <v>15</v>
      </c>
      <c r="B18" s="32">
        <v>-65.2</v>
      </c>
      <c r="C18" s="32">
        <v>-4.3466666666666667</v>
      </c>
      <c r="D18" s="37">
        <v>2</v>
      </c>
      <c r="E18" s="33">
        <v>0.33333333333333331</v>
      </c>
      <c r="F18" s="33">
        <v>0.33333333333333331</v>
      </c>
      <c r="G18" s="33">
        <v>0.25</v>
      </c>
      <c r="H18" s="33">
        <v>0.1736111111111111</v>
      </c>
      <c r="I18" s="34">
        <v>7527.7777777777774</v>
      </c>
      <c r="J18" s="34">
        <v>-7108</v>
      </c>
      <c r="K18" s="33">
        <v>0</v>
      </c>
      <c r="L18" s="33">
        <v>0.1875</v>
      </c>
      <c r="M18" s="33">
        <v>0.25694444444444442</v>
      </c>
      <c r="N18" s="33">
        <v>0.59259259259259256</v>
      </c>
      <c r="O18" s="33">
        <v>0.27027027027027029</v>
      </c>
      <c r="P18" s="33">
        <v>0.5</v>
      </c>
    </row>
    <row r="19" spans="1:16" x14ac:dyDescent="0.45">
      <c r="A19" s="35">
        <v>16</v>
      </c>
      <c r="B19" s="32">
        <v>-70.600000000000009</v>
      </c>
      <c r="C19" s="32">
        <v>-4.4125000000000005</v>
      </c>
      <c r="D19" s="37">
        <v>2</v>
      </c>
      <c r="E19" s="33">
        <v>0.3125</v>
      </c>
      <c r="F19" s="33">
        <v>0.3125</v>
      </c>
      <c r="G19" s="33">
        <v>0.24025974025974026</v>
      </c>
      <c r="H19" s="33">
        <v>0.16883116883116883</v>
      </c>
      <c r="I19" s="34">
        <v>7540.5405405405409</v>
      </c>
      <c r="J19" s="34">
        <v>-6911.5384615384619</v>
      </c>
      <c r="K19" s="33">
        <v>0</v>
      </c>
      <c r="L19" s="33">
        <v>0.18831168831168832</v>
      </c>
      <c r="M19" s="33">
        <v>0.24025974025974026</v>
      </c>
      <c r="N19" s="33">
        <v>0.58620689655172409</v>
      </c>
      <c r="O19" s="33">
        <v>0.27027027027027029</v>
      </c>
      <c r="P19" s="33">
        <v>0.48648648648648651</v>
      </c>
    </row>
    <row r="20" spans="1:16" x14ac:dyDescent="0.45">
      <c r="A20" s="35">
        <v>17</v>
      </c>
      <c r="B20" s="32">
        <v>-65.2</v>
      </c>
      <c r="C20" s="32">
        <v>-3.835294117647059</v>
      </c>
      <c r="D20" s="37">
        <v>2</v>
      </c>
      <c r="E20" s="33">
        <v>0.29411764705882354</v>
      </c>
      <c r="F20" s="33">
        <v>0.29411764705882354</v>
      </c>
      <c r="G20" s="33">
        <v>0.24050632911392406</v>
      </c>
      <c r="H20" s="33">
        <v>0.16455696202531644</v>
      </c>
      <c r="I20" s="34">
        <v>7444.7368421052633</v>
      </c>
      <c r="J20" s="34">
        <v>-6911.5384615384619</v>
      </c>
      <c r="K20" s="33">
        <v>0</v>
      </c>
      <c r="L20" s="33">
        <v>0.189873417721519</v>
      </c>
      <c r="M20" s="33">
        <v>0.23417721518987342</v>
      </c>
      <c r="N20" s="33">
        <v>0.56666666666666665</v>
      </c>
      <c r="O20" s="33">
        <v>0.27027027027027029</v>
      </c>
      <c r="P20" s="33">
        <v>0.47368421052631576</v>
      </c>
    </row>
    <row r="21" spans="1:16" x14ac:dyDescent="0.45">
      <c r="A21" s="35">
        <v>18</v>
      </c>
      <c r="B21" s="32">
        <v>-80.2</v>
      </c>
      <c r="C21" s="32">
        <v>-4.4555555555555557</v>
      </c>
      <c r="D21" s="37">
        <v>2.0555555555555554</v>
      </c>
      <c r="E21" s="33">
        <v>0.27777777777777779</v>
      </c>
      <c r="F21" s="33">
        <v>0.33333333333333331</v>
      </c>
      <c r="G21" s="33">
        <v>0.24390243902439024</v>
      </c>
      <c r="H21" s="33">
        <v>0.16463414634146342</v>
      </c>
      <c r="I21" s="34">
        <v>7202.5</v>
      </c>
      <c r="J21" s="34">
        <v>-6848.1481481481478</v>
      </c>
      <c r="K21" s="33">
        <v>0</v>
      </c>
      <c r="L21" s="33">
        <v>0.18902439024390244</v>
      </c>
      <c r="M21" s="33">
        <v>0.22560975609756098</v>
      </c>
      <c r="N21" s="33">
        <v>0.58064516129032262</v>
      </c>
      <c r="O21" s="33">
        <v>0.27027027027027029</v>
      </c>
      <c r="P21" s="33">
        <v>0.5</v>
      </c>
    </row>
    <row r="22" spans="1:16" x14ac:dyDescent="0.45">
      <c r="A22" s="35">
        <v>19</v>
      </c>
      <c r="B22" s="32">
        <v>-115.1</v>
      </c>
      <c r="C22" s="32">
        <v>-6.0578947368421048</v>
      </c>
      <c r="D22" s="37">
        <v>2.1052631578947367</v>
      </c>
      <c r="E22" s="33">
        <v>0.26315789473684209</v>
      </c>
      <c r="F22" s="33">
        <v>0.36842105263157893</v>
      </c>
      <c r="G22" s="33">
        <v>0.23837209302325582</v>
      </c>
      <c r="H22" s="33">
        <v>0.1744186046511628</v>
      </c>
      <c r="I22" s="34">
        <v>7095.1219512195121</v>
      </c>
      <c r="J22" s="34">
        <v>-6670</v>
      </c>
      <c r="K22" s="33">
        <v>0</v>
      </c>
      <c r="L22" s="33">
        <v>0.19186046511627908</v>
      </c>
      <c r="M22" s="33">
        <v>0.22674418604651161</v>
      </c>
      <c r="N22" s="33">
        <v>0.54545454545454541</v>
      </c>
      <c r="O22" s="33">
        <v>0.28205128205128205</v>
      </c>
      <c r="P22" s="33">
        <v>0.51219512195121952</v>
      </c>
    </row>
    <row r="23" spans="1:16" x14ac:dyDescent="0.45">
      <c r="A23" s="35">
        <v>20</v>
      </c>
      <c r="B23" s="32">
        <v>-88.8</v>
      </c>
      <c r="C23" s="32">
        <v>-4.4399999999999995</v>
      </c>
      <c r="D23" s="37">
        <v>2.0499999999999998</v>
      </c>
      <c r="E23" s="33">
        <v>0.3</v>
      </c>
      <c r="F23" s="33">
        <v>0.35</v>
      </c>
      <c r="G23" s="33">
        <v>0.24444444444444444</v>
      </c>
      <c r="H23" s="33">
        <v>0.17777777777777778</v>
      </c>
      <c r="I23" s="34">
        <v>7134.090909090909</v>
      </c>
      <c r="J23" s="34">
        <v>-6525</v>
      </c>
      <c r="K23" s="33">
        <v>0</v>
      </c>
      <c r="L23" s="33">
        <v>0.18333333333333332</v>
      </c>
      <c r="M23" s="33">
        <v>0.23333333333333334</v>
      </c>
      <c r="N23" s="33">
        <v>0.54545454545454541</v>
      </c>
      <c r="O23" s="33">
        <v>0.2857142857142857</v>
      </c>
      <c r="P23" s="33">
        <v>0.52272727272727271</v>
      </c>
    </row>
    <row r="24" spans="1:16" x14ac:dyDescent="0.45">
      <c r="A24" s="35">
        <v>21</v>
      </c>
      <c r="B24" s="32">
        <v>-111.4</v>
      </c>
      <c r="C24" s="32">
        <v>-5.3047619047619055</v>
      </c>
      <c r="D24" s="37">
        <v>2.0952380952380953</v>
      </c>
      <c r="E24" s="33">
        <v>0.2857142857142857</v>
      </c>
      <c r="F24" s="33">
        <v>0.38095238095238093</v>
      </c>
      <c r="G24" s="33">
        <v>0.24468085106382978</v>
      </c>
      <c r="H24" s="33">
        <v>0.18085106382978725</v>
      </c>
      <c r="I24" s="34">
        <v>7336.95652173913</v>
      </c>
      <c r="J24" s="34">
        <v>-6647.0588235294117</v>
      </c>
      <c r="K24" s="33">
        <v>0</v>
      </c>
      <c r="L24" s="33">
        <v>0.18617021276595744</v>
      </c>
      <c r="M24" s="33">
        <v>0.23404255319148937</v>
      </c>
      <c r="N24" s="33">
        <v>0.54285714285714282</v>
      </c>
      <c r="O24" s="33">
        <v>0.29545454545454547</v>
      </c>
      <c r="P24" s="33">
        <v>0.5</v>
      </c>
    </row>
    <row r="25" spans="1:16" x14ac:dyDescent="0.45">
      <c r="A25" s="35">
        <v>22</v>
      </c>
      <c r="B25" s="32">
        <v>-142.80000000000001</v>
      </c>
      <c r="C25" s="32">
        <v>-6.4909090909090912</v>
      </c>
      <c r="D25" s="37">
        <v>2.1363636363636362</v>
      </c>
      <c r="E25" s="33">
        <v>0.27272727272727271</v>
      </c>
      <c r="F25" s="33">
        <v>0.40909090909090912</v>
      </c>
      <c r="G25" s="33">
        <v>0.25510204081632654</v>
      </c>
      <c r="H25" s="33">
        <v>0.18367346938775511</v>
      </c>
      <c r="I25" s="34">
        <v>7004</v>
      </c>
      <c r="J25" s="34">
        <v>-6530.5555555555557</v>
      </c>
      <c r="K25" s="33">
        <v>0</v>
      </c>
      <c r="L25" s="33">
        <v>0.18367346938775511</v>
      </c>
      <c r="M25" s="33">
        <v>0.22448979591836735</v>
      </c>
      <c r="N25" s="33">
        <v>0.52777777777777779</v>
      </c>
      <c r="O25" s="33">
        <v>0.29545454545454547</v>
      </c>
      <c r="P25" s="33">
        <v>0.5</v>
      </c>
    </row>
    <row r="26" spans="1:16" x14ac:dyDescent="0.45">
      <c r="A26" s="35">
        <v>23</v>
      </c>
      <c r="B26" s="32">
        <v>-80.900000000000006</v>
      </c>
      <c r="C26" s="32">
        <v>-3.5173913043478264</v>
      </c>
      <c r="D26" s="37">
        <v>2.0869565217391304</v>
      </c>
      <c r="E26" s="33">
        <v>0.30434782608695654</v>
      </c>
      <c r="F26" s="33">
        <v>0.39130434782608697</v>
      </c>
      <c r="G26" s="33">
        <v>0.2613065326633166</v>
      </c>
      <c r="H26" s="33">
        <v>0.18090452261306533</v>
      </c>
      <c r="I26" s="34">
        <v>7713.4615384615381</v>
      </c>
      <c r="J26" s="34">
        <v>-6530.5555555555557</v>
      </c>
      <c r="K26" s="33">
        <v>0</v>
      </c>
      <c r="L26" s="33">
        <v>0.18090452261306533</v>
      </c>
      <c r="M26" s="33">
        <v>0.23115577889447236</v>
      </c>
      <c r="N26" s="33">
        <v>0.52777777777777779</v>
      </c>
      <c r="O26" s="33">
        <v>0.30434782608695654</v>
      </c>
      <c r="P26" s="33">
        <v>0.5</v>
      </c>
    </row>
    <row r="27" spans="1:16" x14ac:dyDescent="0.45">
      <c r="A27" s="35">
        <v>24</v>
      </c>
      <c r="B27" s="32">
        <v>-111.60000000000001</v>
      </c>
      <c r="C27" s="32">
        <v>-4.6500000000000004</v>
      </c>
      <c r="D27" s="37">
        <v>2.125</v>
      </c>
      <c r="E27" s="33">
        <v>0.29166666666666669</v>
      </c>
      <c r="F27" s="33">
        <v>0.41666666666666669</v>
      </c>
      <c r="G27" s="33">
        <v>0.25728155339805825</v>
      </c>
      <c r="H27" s="33">
        <v>0.17475728155339806</v>
      </c>
      <c r="I27" s="34">
        <v>7605.6603773584902</v>
      </c>
      <c r="J27" s="34">
        <v>-6530.5555555555557</v>
      </c>
      <c r="K27" s="33">
        <v>0</v>
      </c>
      <c r="L27" s="33">
        <v>0.18446601941747573</v>
      </c>
      <c r="M27" s="33">
        <v>0.22815533980582525</v>
      </c>
      <c r="N27" s="33">
        <v>0.52631578947368418</v>
      </c>
      <c r="O27" s="33">
        <v>0.2978723404255319</v>
      </c>
      <c r="P27" s="33">
        <v>0.49056603773584906</v>
      </c>
    </row>
    <row r="28" spans="1:16" x14ac:dyDescent="0.45">
      <c r="A28" s="35">
        <v>25</v>
      </c>
      <c r="B28" s="32">
        <v>-97.500000000000014</v>
      </c>
      <c r="C28" s="32">
        <v>-3.9000000000000004</v>
      </c>
      <c r="D28" s="37">
        <v>2.08</v>
      </c>
      <c r="E28" s="33">
        <v>0.32</v>
      </c>
      <c r="F28" s="33">
        <v>0.4</v>
      </c>
      <c r="G28" s="33">
        <v>0.2570093457943925</v>
      </c>
      <c r="H28" s="33">
        <v>0.16822429906542055</v>
      </c>
      <c r="I28" s="34">
        <v>7574.545454545455</v>
      </c>
      <c r="J28" s="34">
        <v>-6530.5555555555557</v>
      </c>
      <c r="K28" s="33">
        <v>0</v>
      </c>
      <c r="L28" s="33">
        <v>0.1822429906542056</v>
      </c>
      <c r="M28" s="33">
        <v>0.23364485981308411</v>
      </c>
      <c r="N28" s="33">
        <v>0.51282051282051277</v>
      </c>
      <c r="O28" s="33">
        <v>0.32</v>
      </c>
      <c r="P28" s="33">
        <v>0.47272727272727272</v>
      </c>
    </row>
    <row r="29" spans="1:16" x14ac:dyDescent="0.45">
      <c r="A29" s="35">
        <v>26</v>
      </c>
      <c r="B29" s="32">
        <v>-123.10000000000002</v>
      </c>
      <c r="C29" s="32">
        <v>-4.7346153846153856</v>
      </c>
      <c r="D29" s="37">
        <v>2.1153846153846154</v>
      </c>
      <c r="E29" s="33">
        <v>0.30769230769230771</v>
      </c>
      <c r="F29" s="33">
        <v>0.42307692307692307</v>
      </c>
      <c r="G29" s="33">
        <v>0.2556053811659193</v>
      </c>
      <c r="H29" s="33">
        <v>0.17040358744394618</v>
      </c>
      <c r="I29" s="34">
        <v>7424.5614035087719</v>
      </c>
      <c r="J29" s="34">
        <v>-6605.2631578947367</v>
      </c>
      <c r="K29" s="33">
        <v>0</v>
      </c>
      <c r="L29" s="33">
        <v>0.17488789237668162</v>
      </c>
      <c r="M29" s="33">
        <v>0.23318385650224216</v>
      </c>
      <c r="N29" s="33">
        <v>0.51282051282051277</v>
      </c>
      <c r="O29" s="33">
        <v>0.32692307692307693</v>
      </c>
      <c r="P29" s="33">
        <v>0.47368421052631576</v>
      </c>
    </row>
    <row r="30" spans="1:16" x14ac:dyDescent="0.45">
      <c r="A30" s="35">
        <v>27</v>
      </c>
      <c r="B30" s="32">
        <v>-125.20000000000002</v>
      </c>
      <c r="C30" s="32">
        <v>-4.6370370370370377</v>
      </c>
      <c r="D30" s="37">
        <v>2.1111111111111112</v>
      </c>
      <c r="E30" s="33">
        <v>0.29629629629629628</v>
      </c>
      <c r="F30" s="33">
        <v>0.40740740740740738</v>
      </c>
      <c r="G30" s="33">
        <v>0.25431034482758619</v>
      </c>
      <c r="H30" s="33">
        <v>0.17241379310344829</v>
      </c>
      <c r="I30" s="34">
        <v>7413.5593220338988</v>
      </c>
      <c r="J30" s="34">
        <v>-6607.5</v>
      </c>
      <c r="K30" s="33">
        <v>0</v>
      </c>
      <c r="L30" s="33">
        <v>0.17241379310344829</v>
      </c>
      <c r="M30" s="33">
        <v>0.23706896551724138</v>
      </c>
      <c r="N30" s="33">
        <v>0.5</v>
      </c>
      <c r="O30" s="33">
        <v>0.34545454545454546</v>
      </c>
      <c r="P30" s="33">
        <v>0.47457627118644069</v>
      </c>
    </row>
    <row r="31" spans="1:16" x14ac:dyDescent="0.45">
      <c r="A31" s="35">
        <v>28</v>
      </c>
      <c r="B31" s="32">
        <v>-124.40000000000002</v>
      </c>
      <c r="C31" s="32">
        <v>-4.4428571428571439</v>
      </c>
      <c r="D31" s="37">
        <v>2.1071428571428572</v>
      </c>
      <c r="E31" s="33">
        <v>0.2857142857142857</v>
      </c>
      <c r="F31" s="33">
        <v>0.39285714285714285</v>
      </c>
      <c r="G31" s="33">
        <v>0.25523012552301255</v>
      </c>
      <c r="H31" s="33">
        <v>0.16736401673640167</v>
      </c>
      <c r="I31" s="34">
        <v>7431.1475409836066</v>
      </c>
      <c r="J31" s="34">
        <v>-6607.5</v>
      </c>
      <c r="K31" s="33">
        <v>0</v>
      </c>
      <c r="L31" s="33">
        <v>0.17154811715481172</v>
      </c>
      <c r="M31" s="33">
        <v>0.23012552301255229</v>
      </c>
      <c r="N31" s="33">
        <v>0.51219512195121952</v>
      </c>
      <c r="O31" s="33">
        <v>0.34545454545454546</v>
      </c>
      <c r="P31" s="33">
        <v>0.47540983606557374</v>
      </c>
    </row>
    <row r="32" spans="1:16" x14ac:dyDescent="0.45">
      <c r="A32" s="35">
        <v>29</v>
      </c>
      <c r="B32" s="32">
        <v>-156.00000000000003</v>
      </c>
      <c r="C32" s="32">
        <v>-5.3793103448275872</v>
      </c>
      <c r="D32" s="37">
        <v>2.1379310344827585</v>
      </c>
      <c r="E32" s="33">
        <v>0.27586206896551724</v>
      </c>
      <c r="F32" s="33">
        <v>0.41379310344827586</v>
      </c>
      <c r="G32" s="33">
        <v>0.25301204819277107</v>
      </c>
      <c r="H32" s="33">
        <v>0.17269076305220885</v>
      </c>
      <c r="I32" s="34">
        <v>7512.6984126984125</v>
      </c>
      <c r="J32" s="34">
        <v>-6834.8837209302328</v>
      </c>
      <c r="K32" s="33">
        <v>0</v>
      </c>
      <c r="L32" s="33">
        <v>0.17269076305220885</v>
      </c>
      <c r="M32" s="33">
        <v>0.22489959839357429</v>
      </c>
      <c r="N32" s="33">
        <v>0.51162790697674421</v>
      </c>
      <c r="O32" s="33">
        <v>0.35714285714285715</v>
      </c>
      <c r="P32" s="33">
        <v>0.46031746031746029</v>
      </c>
    </row>
    <row r="33" spans="1:16" x14ac:dyDescent="0.45">
      <c r="A33" s="35">
        <v>30</v>
      </c>
      <c r="B33" s="32">
        <v>-182.90000000000003</v>
      </c>
      <c r="C33" s="32">
        <v>-6.0966666666666676</v>
      </c>
      <c r="D33" s="37">
        <v>2.1666666666666665</v>
      </c>
      <c r="E33" s="33">
        <v>0.26666666666666666</v>
      </c>
      <c r="F33" s="33">
        <v>0.43333333333333335</v>
      </c>
      <c r="G33" s="33">
        <v>0.25</v>
      </c>
      <c r="H33" s="33">
        <v>0.17578125</v>
      </c>
      <c r="I33" s="34">
        <v>7426.5625</v>
      </c>
      <c r="J33" s="34">
        <v>-6795.5555555555557</v>
      </c>
      <c r="K33" s="33">
        <v>0</v>
      </c>
      <c r="L33" s="33">
        <v>0.16796875</v>
      </c>
      <c r="M33" s="33">
        <v>0.23046875</v>
      </c>
      <c r="N33" s="33">
        <v>0.51162790697674421</v>
      </c>
      <c r="O33" s="33">
        <v>0.3559322033898305</v>
      </c>
      <c r="P33" s="33">
        <v>0.453125</v>
      </c>
    </row>
    <row r="34" spans="1:16" x14ac:dyDescent="0.45">
      <c r="A34" s="35">
        <v>31</v>
      </c>
      <c r="B34" s="32">
        <v>-203.20000000000005</v>
      </c>
      <c r="C34" s="32">
        <v>-6.554838709677421</v>
      </c>
      <c r="D34" s="37">
        <v>2.193548387096774</v>
      </c>
      <c r="E34" s="33">
        <v>0.25806451612903225</v>
      </c>
      <c r="F34" s="33">
        <v>0.45161290322580644</v>
      </c>
      <c r="G34" s="33">
        <v>0.2509505703422053</v>
      </c>
      <c r="H34" s="33">
        <v>0.17490494296577946</v>
      </c>
      <c r="I34" s="34">
        <v>7300</v>
      </c>
      <c r="J34" s="34">
        <v>-6821.739130434783</v>
      </c>
      <c r="K34" s="33">
        <v>0</v>
      </c>
      <c r="L34" s="33">
        <v>0.16730038022813687</v>
      </c>
      <c r="M34" s="33">
        <v>0.23193916349809887</v>
      </c>
      <c r="N34" s="33">
        <v>0.52272727272727271</v>
      </c>
      <c r="O34" s="33">
        <v>0.36065573770491804</v>
      </c>
      <c r="P34" s="33">
        <v>0.43939393939393939</v>
      </c>
    </row>
    <row r="35" spans="1:16" x14ac:dyDescent="0.45">
      <c r="A35" s="35">
        <v>32</v>
      </c>
      <c r="B35" s="32">
        <v>-211.90000000000003</v>
      </c>
      <c r="C35" s="32">
        <v>-6.6218750000000011</v>
      </c>
      <c r="D35" s="37">
        <v>2.1875</v>
      </c>
      <c r="E35" s="33">
        <v>0.25</v>
      </c>
      <c r="F35" s="33">
        <v>0.4375</v>
      </c>
      <c r="G35" s="33">
        <v>0.25089605734767023</v>
      </c>
      <c r="H35" s="33">
        <v>0.16845878136200718</v>
      </c>
      <c r="I35" s="34">
        <v>7240</v>
      </c>
      <c r="J35" s="34">
        <v>-6923.4042553191493</v>
      </c>
      <c r="K35" s="33">
        <v>0</v>
      </c>
      <c r="L35" s="33">
        <v>0.16845878136200718</v>
      </c>
      <c r="M35" s="33">
        <v>0.23297491039426524</v>
      </c>
      <c r="N35" s="33">
        <v>0.51063829787234039</v>
      </c>
      <c r="O35" s="33">
        <v>0.36923076923076925</v>
      </c>
      <c r="P35" s="33">
        <v>0.44285714285714284</v>
      </c>
    </row>
    <row r="36" spans="1:16" x14ac:dyDescent="0.45">
      <c r="A36" s="35">
        <v>33</v>
      </c>
      <c r="B36" s="32">
        <v>-183.10000000000002</v>
      </c>
      <c r="C36" s="32">
        <v>-5.5484848484848488</v>
      </c>
      <c r="D36" s="37">
        <v>2.1515151515151514</v>
      </c>
      <c r="E36" s="33">
        <v>0.27272727272727271</v>
      </c>
      <c r="F36" s="33">
        <v>0.42424242424242425</v>
      </c>
      <c r="G36" s="33">
        <v>0.25085910652920962</v>
      </c>
      <c r="H36" s="33">
        <v>0.16494845360824742</v>
      </c>
      <c r="I36" s="34">
        <v>7316.4383561643835</v>
      </c>
      <c r="J36" s="34">
        <v>-6820.833333333333</v>
      </c>
      <c r="K36" s="33">
        <v>0</v>
      </c>
      <c r="L36" s="33">
        <v>0.16494845360824742</v>
      </c>
      <c r="M36" s="33">
        <v>0.23367697594501718</v>
      </c>
      <c r="N36" s="33">
        <v>0.52083333333333337</v>
      </c>
      <c r="O36" s="33">
        <v>0.35294117647058826</v>
      </c>
      <c r="P36" s="33">
        <v>0.43835616438356162</v>
      </c>
    </row>
    <row r="37" spans="1:16" x14ac:dyDescent="0.45">
      <c r="A37" s="35">
        <v>34</v>
      </c>
      <c r="B37" s="32">
        <v>-168.3</v>
      </c>
      <c r="C37" s="32">
        <v>-4.95</v>
      </c>
      <c r="D37" s="37">
        <v>2.1176470588235294</v>
      </c>
      <c r="E37" s="33">
        <v>0.29411764705882354</v>
      </c>
      <c r="F37" s="33">
        <v>0.41176470588235292</v>
      </c>
      <c r="G37" s="33">
        <v>0.25083612040133779</v>
      </c>
      <c r="H37" s="33">
        <v>0.16387959866220736</v>
      </c>
      <c r="I37" s="34">
        <v>7386.666666666667</v>
      </c>
      <c r="J37" s="34">
        <v>-6800</v>
      </c>
      <c r="K37" s="33">
        <v>0</v>
      </c>
      <c r="L37" s="33">
        <v>0.16053511705685619</v>
      </c>
      <c r="M37" s="33">
        <v>0.22742474916387959</v>
      </c>
      <c r="N37" s="33">
        <v>0.52083333333333337</v>
      </c>
      <c r="O37" s="33">
        <v>0.35294117647058826</v>
      </c>
      <c r="P37" s="33">
        <v>0.44</v>
      </c>
    </row>
    <row r="38" spans="1:16" x14ac:dyDescent="0.45">
      <c r="A38" s="35">
        <v>35</v>
      </c>
      <c r="B38" s="32">
        <v>-210.60000000000002</v>
      </c>
      <c r="C38" s="32">
        <v>-6.0171428571428578</v>
      </c>
      <c r="D38" s="37">
        <v>2.1428571428571428</v>
      </c>
      <c r="E38" s="33">
        <v>0.2857142857142857</v>
      </c>
      <c r="F38" s="33">
        <v>0.42857142857142855</v>
      </c>
      <c r="G38" s="33">
        <v>0.24919093851132687</v>
      </c>
      <c r="H38" s="33">
        <v>0.16181229773462782</v>
      </c>
      <c r="I38" s="34">
        <v>7274.0259740259744</v>
      </c>
      <c r="J38" s="34">
        <v>-6742</v>
      </c>
      <c r="K38" s="33">
        <v>0</v>
      </c>
      <c r="L38" s="33">
        <v>0.1553398058252427</v>
      </c>
      <c r="M38" s="33">
        <v>0.22977346278317151</v>
      </c>
      <c r="N38" s="33">
        <v>0.52083333333333337</v>
      </c>
      <c r="O38" s="33">
        <v>0.352112676056338</v>
      </c>
      <c r="P38" s="33">
        <v>0.45454545454545453</v>
      </c>
    </row>
    <row r="39" spans="1:16" x14ac:dyDescent="0.45">
      <c r="A39" s="35">
        <v>36</v>
      </c>
      <c r="B39" s="32">
        <v>-199.20000000000002</v>
      </c>
      <c r="C39" s="32">
        <v>-5.5333333333333341</v>
      </c>
      <c r="D39" s="37">
        <v>2.1388888888888888</v>
      </c>
      <c r="E39" s="33">
        <v>0.27777777777777779</v>
      </c>
      <c r="F39" s="33">
        <v>0.41666666666666669</v>
      </c>
      <c r="G39" s="33">
        <v>0.25159235668789809</v>
      </c>
      <c r="H39" s="33">
        <v>0.15923566878980891</v>
      </c>
      <c r="I39" s="34">
        <v>7291.1392405063289</v>
      </c>
      <c r="J39" s="34">
        <v>-6742</v>
      </c>
      <c r="K39" s="33">
        <v>0</v>
      </c>
      <c r="L39" s="33">
        <v>0.15605095541401273</v>
      </c>
      <c r="M39" s="33">
        <v>0.22929936305732485</v>
      </c>
      <c r="N39" s="33">
        <v>0.51020408163265307</v>
      </c>
      <c r="O39" s="33">
        <v>0.3611111111111111</v>
      </c>
      <c r="P39" s="33">
        <v>0.44303797468354428</v>
      </c>
    </row>
    <row r="40" spans="1:16" x14ac:dyDescent="0.45">
      <c r="A40" s="35">
        <v>37</v>
      </c>
      <c r="B40" s="32">
        <v>-177.00000000000003</v>
      </c>
      <c r="C40" s="32">
        <v>-4.7837837837837842</v>
      </c>
      <c r="D40" s="37">
        <v>2.1081081081081079</v>
      </c>
      <c r="E40" s="33">
        <v>0.29729729729729731</v>
      </c>
      <c r="F40" s="33">
        <v>0.40540540540540543</v>
      </c>
      <c r="G40" s="33">
        <v>0.25617283950617287</v>
      </c>
      <c r="H40" s="33">
        <v>0.15432098765432098</v>
      </c>
      <c r="I40" s="34">
        <v>7261.4457831325299</v>
      </c>
      <c r="J40" s="34">
        <v>-6742</v>
      </c>
      <c r="K40" s="33">
        <v>0</v>
      </c>
      <c r="L40" s="33">
        <v>0.15432098765432098</v>
      </c>
      <c r="M40" s="33">
        <v>0.23765432098765432</v>
      </c>
      <c r="N40" s="33">
        <v>0.52</v>
      </c>
      <c r="O40" s="33">
        <v>0.35064935064935066</v>
      </c>
      <c r="P40" s="33">
        <v>0.44578313253012047</v>
      </c>
    </row>
    <row r="41" spans="1:16" x14ac:dyDescent="0.45">
      <c r="A41" s="35">
        <v>38</v>
      </c>
      <c r="B41" s="32">
        <v>-213.10000000000002</v>
      </c>
      <c r="C41" s="32">
        <v>-5.6078947368421055</v>
      </c>
      <c r="D41" s="37">
        <v>2.1315789473684212</v>
      </c>
      <c r="E41" s="33">
        <v>0.28947368421052633</v>
      </c>
      <c r="F41" s="33">
        <v>0.42105263157894735</v>
      </c>
      <c r="G41" s="33">
        <v>0.25301204819277107</v>
      </c>
      <c r="H41" s="33">
        <v>0.1536144578313253</v>
      </c>
      <c r="I41" s="34">
        <v>7198.8095238095239</v>
      </c>
      <c r="J41" s="34">
        <v>-6845.0980392156862</v>
      </c>
      <c r="K41" s="33">
        <v>0</v>
      </c>
      <c r="L41" s="33">
        <v>0.15662650602409639</v>
      </c>
      <c r="M41" s="33">
        <v>0.23493975903614459</v>
      </c>
      <c r="N41" s="33">
        <v>0.5</v>
      </c>
      <c r="O41" s="33">
        <v>0.34615384615384615</v>
      </c>
      <c r="P41" s="33">
        <v>0.44047619047619047</v>
      </c>
    </row>
    <row r="42" spans="1:16" x14ac:dyDescent="0.45">
      <c r="A42" s="35">
        <v>39</v>
      </c>
      <c r="B42" s="32">
        <v>-238.60000000000002</v>
      </c>
      <c r="C42" s="32">
        <v>-6.1179487179487184</v>
      </c>
      <c r="D42" s="37">
        <v>2.1538461538461537</v>
      </c>
      <c r="E42" s="33">
        <v>0.28205128205128205</v>
      </c>
      <c r="F42" s="33">
        <v>0.4358974358974359</v>
      </c>
      <c r="G42" s="33">
        <v>0.24778761061946902</v>
      </c>
      <c r="H42" s="33">
        <v>0.15044247787610621</v>
      </c>
      <c r="I42" s="34">
        <v>7198.8095238095239</v>
      </c>
      <c r="J42" s="34">
        <v>-6845.0980392156862</v>
      </c>
      <c r="K42" s="33">
        <v>0</v>
      </c>
      <c r="L42" s="33">
        <v>0.15634218289085547</v>
      </c>
      <c r="M42" s="33">
        <v>0.2359882005899705</v>
      </c>
      <c r="N42" s="33">
        <v>0.49056603773584906</v>
      </c>
      <c r="O42" s="33">
        <v>0.33750000000000002</v>
      </c>
      <c r="P42" s="33">
        <v>0.44047619047619047</v>
      </c>
    </row>
    <row r="43" spans="1:16" x14ac:dyDescent="0.45">
      <c r="A43" s="35">
        <v>40</v>
      </c>
      <c r="B43" s="32">
        <v>-193.60000000000002</v>
      </c>
      <c r="C43" s="32">
        <v>-4.8400000000000007</v>
      </c>
      <c r="D43" s="37">
        <v>2.125</v>
      </c>
      <c r="E43" s="33">
        <v>0.3</v>
      </c>
      <c r="F43" s="33">
        <v>0.42499999999999999</v>
      </c>
      <c r="G43" s="33">
        <v>0.25356125356125359</v>
      </c>
      <c r="H43" s="33">
        <v>0.14814814814814814</v>
      </c>
      <c r="I43" s="34">
        <v>7457.303370786517</v>
      </c>
      <c r="J43" s="34">
        <v>-6867.3076923076924</v>
      </c>
      <c r="K43" s="33">
        <v>0</v>
      </c>
      <c r="L43" s="33">
        <v>0.150997150997151</v>
      </c>
      <c r="M43" s="33">
        <v>0.23646723646723647</v>
      </c>
      <c r="N43" s="33">
        <v>0.49056603773584906</v>
      </c>
      <c r="O43" s="33">
        <v>0.3493975903614458</v>
      </c>
      <c r="P43" s="33">
        <v>0.4157303370786517</v>
      </c>
    </row>
    <row r="44" spans="1:16" x14ac:dyDescent="0.45">
      <c r="A44" s="35">
        <v>41</v>
      </c>
      <c r="B44" s="32">
        <v>-170.00000000000003</v>
      </c>
      <c r="C44" s="32">
        <v>-4.1463414634146352</v>
      </c>
      <c r="D44" s="37">
        <v>2.0975609756097562</v>
      </c>
      <c r="E44" s="33">
        <v>0.31707317073170732</v>
      </c>
      <c r="F44" s="33">
        <v>0.41463414634146339</v>
      </c>
      <c r="G44" s="33">
        <v>0.25555555555555554</v>
      </c>
      <c r="H44" s="33">
        <v>0.14722222222222223</v>
      </c>
      <c r="I44" s="34">
        <v>7450</v>
      </c>
      <c r="J44" s="34">
        <v>-6775.4716981132078</v>
      </c>
      <c r="K44" s="33">
        <v>0</v>
      </c>
      <c r="L44" s="33">
        <v>0.15277777777777779</v>
      </c>
      <c r="M44" s="33">
        <v>0.23333333333333334</v>
      </c>
      <c r="N44" s="33">
        <v>0.50909090909090904</v>
      </c>
      <c r="O44" s="33">
        <v>0.34523809523809523</v>
      </c>
      <c r="P44" s="33">
        <v>0.41304347826086957</v>
      </c>
    </row>
    <row r="45" spans="1:16" x14ac:dyDescent="0.45">
      <c r="A45" s="35">
        <v>42</v>
      </c>
      <c r="B45" s="32">
        <v>-143.30000000000004</v>
      </c>
      <c r="C45" s="32">
        <v>-3.4119047619047627</v>
      </c>
      <c r="D45" s="37">
        <v>2.0714285714285716</v>
      </c>
      <c r="E45" s="33">
        <v>0.33333333333333331</v>
      </c>
      <c r="F45" s="33">
        <v>0.40476190476190477</v>
      </c>
      <c r="G45" s="33">
        <v>0.26158038147138962</v>
      </c>
      <c r="H45" s="33">
        <v>0.1444141689373297</v>
      </c>
      <c r="I45" s="34">
        <v>7332.291666666667</v>
      </c>
      <c r="J45" s="34">
        <v>-6775.4716981132078</v>
      </c>
      <c r="K45" s="33">
        <v>0</v>
      </c>
      <c r="L45" s="33">
        <v>0.15258855585831063</v>
      </c>
      <c r="M45" s="33">
        <v>0.23160762942779292</v>
      </c>
      <c r="N45" s="33">
        <v>0.5178571428571429</v>
      </c>
      <c r="O45" s="33">
        <v>0.35294117647058826</v>
      </c>
      <c r="P45" s="33">
        <v>0.40625</v>
      </c>
    </row>
    <row r="46" spans="1:16" x14ac:dyDescent="0.45">
      <c r="A46" s="35">
        <v>43</v>
      </c>
      <c r="B46" s="32">
        <v>-172.20000000000005</v>
      </c>
      <c r="C46" s="32">
        <v>-4.0046511627906991</v>
      </c>
      <c r="D46" s="37">
        <v>2.0930232558139537</v>
      </c>
      <c r="E46" s="33">
        <v>0.32558139534883723</v>
      </c>
      <c r="F46" s="33">
        <v>0.41860465116279072</v>
      </c>
      <c r="G46" s="33">
        <v>0.25866666666666666</v>
      </c>
      <c r="H46" s="33">
        <v>0.14133333333333334</v>
      </c>
      <c r="I46" s="34">
        <v>7269.072164948454</v>
      </c>
      <c r="J46" s="34">
        <v>-6775.4716981132078</v>
      </c>
      <c r="K46" s="33">
        <v>0</v>
      </c>
      <c r="L46" s="33">
        <v>0.152</v>
      </c>
      <c r="M46" s="33">
        <v>0.22666666666666666</v>
      </c>
      <c r="N46" s="33">
        <v>0.50877192982456143</v>
      </c>
      <c r="O46" s="33">
        <v>0.35294117647058826</v>
      </c>
      <c r="P46" s="33">
        <v>0.41237113402061853</v>
      </c>
    </row>
    <row r="47" spans="1:16" x14ac:dyDescent="0.45">
      <c r="A47" s="35">
        <v>44</v>
      </c>
      <c r="B47" s="32">
        <v>-144.10000000000005</v>
      </c>
      <c r="C47" s="32">
        <v>-3.2750000000000012</v>
      </c>
      <c r="D47" s="37">
        <v>2.0681818181818183</v>
      </c>
      <c r="E47" s="33">
        <v>0.34090909090909088</v>
      </c>
      <c r="F47" s="33">
        <v>0.40909090909090912</v>
      </c>
      <c r="G47" s="33">
        <v>0.26631853785900783</v>
      </c>
      <c r="H47" s="33">
        <v>0.13838120104438642</v>
      </c>
      <c r="I47" s="34">
        <v>7090.1960784313724</v>
      </c>
      <c r="J47" s="34">
        <v>-6775.4716981132078</v>
      </c>
      <c r="K47" s="33">
        <v>0</v>
      </c>
      <c r="L47" s="33">
        <v>0.15404699738903394</v>
      </c>
      <c r="M47" s="33">
        <v>0.22715404699738903</v>
      </c>
      <c r="N47" s="33">
        <v>0.50847457627118642</v>
      </c>
      <c r="O47" s="33">
        <v>0.36781609195402298</v>
      </c>
      <c r="P47" s="33">
        <v>0.41176470588235292</v>
      </c>
    </row>
    <row r="48" spans="1:16" x14ac:dyDescent="0.45">
      <c r="A48" s="35">
        <v>45</v>
      </c>
      <c r="B48" s="32">
        <v>-97.300000000000054</v>
      </c>
      <c r="C48" s="32">
        <v>-2.1622222222222236</v>
      </c>
      <c r="D48" s="37">
        <v>2.0444444444444443</v>
      </c>
      <c r="E48" s="33">
        <v>0.35555555555555557</v>
      </c>
      <c r="F48" s="33">
        <v>0.4</v>
      </c>
      <c r="G48" s="33">
        <v>0.27020202020202022</v>
      </c>
      <c r="H48" s="33">
        <v>0.1388888888888889</v>
      </c>
      <c r="I48" s="34">
        <v>7148.5981308411219</v>
      </c>
      <c r="J48" s="34">
        <v>-6636.363636363636</v>
      </c>
      <c r="K48" s="33">
        <v>0</v>
      </c>
      <c r="L48" s="33">
        <v>0.15404040404040403</v>
      </c>
      <c r="M48" s="33">
        <v>0.23484848484848486</v>
      </c>
      <c r="N48" s="33">
        <v>0.50819672131147542</v>
      </c>
      <c r="O48" s="33">
        <v>0.36559139784946237</v>
      </c>
      <c r="P48" s="33">
        <v>0.42990654205607476</v>
      </c>
    </row>
    <row r="49" spans="1:16" x14ac:dyDescent="0.45">
      <c r="A49" s="35">
        <v>46</v>
      </c>
      <c r="B49" s="32">
        <v>-145.90000000000006</v>
      </c>
      <c r="C49" s="32">
        <v>-3.1717391304347839</v>
      </c>
      <c r="D49" s="37">
        <v>2.0652173913043477</v>
      </c>
      <c r="E49" s="33">
        <v>0.34782608695652173</v>
      </c>
      <c r="F49" s="33">
        <v>0.41304347826086957</v>
      </c>
      <c r="G49" s="33">
        <v>0.26683291770573564</v>
      </c>
      <c r="H49" s="33">
        <v>0.14463840399002495</v>
      </c>
      <c r="I49" s="34">
        <v>7148.5981308411219</v>
      </c>
      <c r="J49" s="34">
        <v>-6755.1724137931033</v>
      </c>
      <c r="K49" s="33">
        <v>2.1739130434782608E-2</v>
      </c>
      <c r="L49" s="33">
        <v>0.15211970074812967</v>
      </c>
      <c r="M49" s="33">
        <v>0.23441396508728179</v>
      </c>
      <c r="N49" s="33">
        <v>0.50819672131147542</v>
      </c>
      <c r="O49" s="33">
        <v>0.36170212765957449</v>
      </c>
      <c r="P49" s="33">
        <v>0.42990654205607476</v>
      </c>
    </row>
    <row r="50" spans="1:16" x14ac:dyDescent="0.45">
      <c r="A50" s="35">
        <v>47</v>
      </c>
      <c r="B50" s="32">
        <v>-187.00000000000006</v>
      </c>
      <c r="C50" s="32">
        <v>-3.9787234042553203</v>
      </c>
      <c r="D50" s="37">
        <v>2.0851063829787235</v>
      </c>
      <c r="E50" s="33">
        <v>0.34042553191489361</v>
      </c>
      <c r="F50" s="33">
        <v>0.42553191489361702</v>
      </c>
      <c r="G50" s="33">
        <v>0.26570048309178745</v>
      </c>
      <c r="H50" s="33">
        <v>0.14734299516908211</v>
      </c>
      <c r="I50" s="34">
        <v>7146.363636363636</v>
      </c>
      <c r="J50" s="34">
        <v>-6840.9836065573772</v>
      </c>
      <c r="K50" s="33">
        <v>2.1276595744680851E-2</v>
      </c>
      <c r="L50" s="33">
        <v>0.15217391304347827</v>
      </c>
      <c r="M50" s="33">
        <v>0.23429951690821257</v>
      </c>
      <c r="N50" s="33">
        <v>0.49206349206349204</v>
      </c>
      <c r="O50" s="33">
        <v>0.37113402061855671</v>
      </c>
      <c r="P50" s="33">
        <v>0.42727272727272725</v>
      </c>
    </row>
    <row r="51" spans="1:16" x14ac:dyDescent="0.45">
      <c r="A51" s="35">
        <v>48</v>
      </c>
      <c r="B51" s="32">
        <v>-230.30000000000007</v>
      </c>
      <c r="C51" s="32">
        <v>-4.7979166666666684</v>
      </c>
      <c r="D51" s="37">
        <v>2.1041666666666665</v>
      </c>
      <c r="E51" s="33">
        <v>0.33333333333333331</v>
      </c>
      <c r="F51" s="33">
        <v>0.4375</v>
      </c>
      <c r="G51" s="33">
        <v>0.26635514018691586</v>
      </c>
      <c r="H51" s="33">
        <v>0.14719626168224298</v>
      </c>
      <c r="I51" s="34">
        <v>7019.2982456140353</v>
      </c>
      <c r="J51" s="34">
        <v>-6966.666666666667</v>
      </c>
      <c r="K51" s="33">
        <v>2.0833333333333332E-2</v>
      </c>
      <c r="L51" s="33">
        <v>0.14719626168224298</v>
      </c>
      <c r="M51" s="33">
        <v>0.23831775700934579</v>
      </c>
      <c r="N51" s="33">
        <v>0.49206349206349204</v>
      </c>
      <c r="O51" s="33">
        <v>0.37254901960784315</v>
      </c>
      <c r="P51" s="33">
        <v>0.41228070175438597</v>
      </c>
    </row>
    <row r="52" spans="1:16" x14ac:dyDescent="0.45">
      <c r="A52" s="35">
        <v>49</v>
      </c>
      <c r="B52" s="32">
        <v>-256.70000000000005</v>
      </c>
      <c r="C52" s="32">
        <v>-5.2387755102040829</v>
      </c>
      <c r="D52" s="37">
        <v>2.1224489795918369</v>
      </c>
      <c r="E52" s="33">
        <v>0.32653061224489793</v>
      </c>
      <c r="F52" s="33">
        <v>0.44897959183673469</v>
      </c>
      <c r="G52" s="33">
        <v>0.26605504587155965</v>
      </c>
      <c r="H52" s="33">
        <v>0.14908256880733944</v>
      </c>
      <c r="I52" s="34">
        <v>7024.1379310344828</v>
      </c>
      <c r="J52" s="34">
        <v>-6955.3846153846152</v>
      </c>
      <c r="K52" s="33">
        <v>2.0408163265306121E-2</v>
      </c>
      <c r="L52" s="33">
        <v>0.1536697247706422</v>
      </c>
      <c r="M52" s="33">
        <v>0.23394495412844038</v>
      </c>
      <c r="N52" s="33">
        <v>0.4925373134328358</v>
      </c>
      <c r="O52" s="33">
        <v>0.37254901960784315</v>
      </c>
      <c r="P52" s="33">
        <v>0.40517241379310343</v>
      </c>
    </row>
    <row r="53" spans="1:16" x14ac:dyDescent="0.45">
      <c r="A53" s="35">
        <v>50</v>
      </c>
      <c r="B53" s="32">
        <v>-292.80000000000007</v>
      </c>
      <c r="C53" s="32">
        <v>-5.8560000000000016</v>
      </c>
      <c r="D53" s="37">
        <v>2.14</v>
      </c>
      <c r="E53" s="33">
        <v>0.32</v>
      </c>
      <c r="F53" s="33">
        <v>0.46</v>
      </c>
      <c r="G53" s="33">
        <v>0.2611607142857143</v>
      </c>
      <c r="H53" s="33">
        <v>0.15401785714285715</v>
      </c>
      <c r="I53" s="34">
        <v>7117.9487179487178</v>
      </c>
      <c r="J53" s="34">
        <v>-7056.521739130435</v>
      </c>
      <c r="K53" s="33">
        <v>0.02</v>
      </c>
      <c r="L53" s="33">
        <v>0.15178571428571427</v>
      </c>
      <c r="M53" s="33">
        <v>0.23214285714285715</v>
      </c>
      <c r="N53" s="33">
        <v>0.48529411764705882</v>
      </c>
      <c r="O53" s="33">
        <v>0.375</v>
      </c>
      <c r="P53" s="33">
        <v>0.41025641025641024</v>
      </c>
    </row>
    <row r="54" spans="1:16" x14ac:dyDescent="0.45">
      <c r="A54" s="35">
        <v>51</v>
      </c>
      <c r="B54" s="32">
        <v>-273.60000000000008</v>
      </c>
      <c r="C54" s="32">
        <v>-5.3647058823529425</v>
      </c>
      <c r="D54" s="37">
        <v>2.1176470588235294</v>
      </c>
      <c r="E54" s="33">
        <v>0.33333333333333331</v>
      </c>
      <c r="F54" s="33">
        <v>0.45098039215686275</v>
      </c>
      <c r="G54" s="33">
        <v>0.26143790849673204</v>
      </c>
      <c r="H54" s="33">
        <v>0.15250544662309368</v>
      </c>
      <c r="I54" s="34">
        <v>7172.5</v>
      </c>
      <c r="J54" s="34">
        <v>-6974.2857142857147</v>
      </c>
      <c r="K54" s="33">
        <v>1.9607843137254902E-2</v>
      </c>
      <c r="L54" s="33">
        <v>0.15250544662309368</v>
      </c>
      <c r="M54" s="33">
        <v>0.22875816993464052</v>
      </c>
      <c r="N54" s="33">
        <v>0.5</v>
      </c>
      <c r="O54" s="33">
        <v>0.37142857142857144</v>
      </c>
      <c r="P54" s="33">
        <v>0.40833333333333333</v>
      </c>
    </row>
    <row r="55" spans="1:16" x14ac:dyDescent="0.45">
      <c r="A55" s="35">
        <v>52</v>
      </c>
      <c r="B55" s="32">
        <v>-296.10000000000008</v>
      </c>
      <c r="C55" s="32">
        <v>-5.6942307692307708</v>
      </c>
      <c r="D55" s="37">
        <v>2.1346153846153846</v>
      </c>
      <c r="E55" s="33">
        <v>0.32692307692307693</v>
      </c>
      <c r="F55" s="33">
        <v>0.46153846153846156</v>
      </c>
      <c r="G55" s="33">
        <v>0.25910064239828695</v>
      </c>
      <c r="H55" s="33">
        <v>0.14989293361884368</v>
      </c>
      <c r="I55" s="34">
        <v>7146.2809917355371</v>
      </c>
      <c r="J55" s="34">
        <v>-6974.2857142857147</v>
      </c>
      <c r="K55" s="33">
        <v>1.9230769230769232E-2</v>
      </c>
      <c r="L55" s="33">
        <v>0.15203426124197003</v>
      </c>
      <c r="M55" s="33">
        <v>0.23126338329764454</v>
      </c>
      <c r="N55" s="33">
        <v>0.49295774647887325</v>
      </c>
      <c r="O55" s="33">
        <v>0.37037037037037035</v>
      </c>
      <c r="P55" s="33">
        <v>0.41322314049586778</v>
      </c>
    </row>
    <row r="56" spans="1:16" x14ac:dyDescent="0.45">
      <c r="A56" s="35">
        <v>53</v>
      </c>
      <c r="B56" s="32">
        <v>-383.50000000000011</v>
      </c>
      <c r="C56" s="32">
        <v>-7.2358490566037759</v>
      </c>
      <c r="D56" s="37">
        <v>2.1509433962264151</v>
      </c>
      <c r="E56" s="33">
        <v>0.32075471698113206</v>
      </c>
      <c r="F56" s="33">
        <v>0.47169811320754718</v>
      </c>
      <c r="G56" s="33">
        <v>0.25949367088607594</v>
      </c>
      <c r="H56" s="33">
        <v>0.15189873417721519</v>
      </c>
      <c r="I56" s="34">
        <v>7054.4715447154467</v>
      </c>
      <c r="J56" s="34">
        <v>-7594.4444444444443</v>
      </c>
      <c r="K56" s="33">
        <v>3.7735849056603772E-2</v>
      </c>
      <c r="L56" s="33">
        <v>0.14978902953586498</v>
      </c>
      <c r="M56" s="33">
        <v>0.23417721518987342</v>
      </c>
      <c r="N56" s="33">
        <v>0.49295774647887325</v>
      </c>
      <c r="O56" s="33">
        <v>0.36936936936936937</v>
      </c>
      <c r="P56" s="33">
        <v>0.41463414634146339</v>
      </c>
    </row>
    <row r="57" spans="1:16" x14ac:dyDescent="0.45">
      <c r="A57" s="35">
        <v>54</v>
      </c>
      <c r="B57" s="32">
        <v>-415.00000000000011</v>
      </c>
      <c r="C57" s="32">
        <v>-7.6851851851851869</v>
      </c>
      <c r="D57" s="37">
        <v>2.1666666666666665</v>
      </c>
      <c r="E57" s="33">
        <v>0.31481481481481483</v>
      </c>
      <c r="F57" s="33">
        <v>0.48148148148148145</v>
      </c>
      <c r="G57" s="33">
        <v>0.25518672199170123</v>
      </c>
      <c r="H57" s="33">
        <v>0.15352697095435686</v>
      </c>
      <c r="I57" s="34">
        <v>7054.4715447154467</v>
      </c>
      <c r="J57" s="34">
        <v>-7594.594594594595</v>
      </c>
      <c r="K57" s="33">
        <v>3.7037037037037035E-2</v>
      </c>
      <c r="L57" s="33">
        <v>0.14730290456431536</v>
      </c>
      <c r="M57" s="33">
        <v>0.23443983402489627</v>
      </c>
      <c r="N57" s="33">
        <v>0.49295774647887325</v>
      </c>
      <c r="O57" s="33">
        <v>0.36283185840707965</v>
      </c>
      <c r="P57" s="33">
        <v>0.41463414634146339</v>
      </c>
    </row>
    <row r="58" spans="1:16" x14ac:dyDescent="0.45">
      <c r="A58" s="35">
        <v>55</v>
      </c>
      <c r="B58" s="32">
        <v>-381.50000000000011</v>
      </c>
      <c r="C58" s="32">
        <v>-6.9363636363636383</v>
      </c>
      <c r="D58" s="37">
        <v>2.1454545454545455</v>
      </c>
      <c r="E58" s="33">
        <v>0.32727272727272727</v>
      </c>
      <c r="F58" s="33">
        <v>0.47272727272727272</v>
      </c>
      <c r="G58" s="33">
        <v>0.26024590163934425</v>
      </c>
      <c r="H58" s="33">
        <v>0.15163934426229508</v>
      </c>
      <c r="I58" s="34">
        <v>7035.4330708661419</v>
      </c>
      <c r="J58" s="34">
        <v>-7594.594594594595</v>
      </c>
      <c r="K58" s="33">
        <v>3.6363636363636362E-2</v>
      </c>
      <c r="L58" s="33">
        <v>0.15163934426229508</v>
      </c>
      <c r="M58" s="33">
        <v>0.23770491803278687</v>
      </c>
      <c r="N58" s="33">
        <v>0.48648648648648651</v>
      </c>
      <c r="O58" s="33">
        <v>0.37931034482758619</v>
      </c>
      <c r="P58" s="33">
        <v>0.40944881889763779</v>
      </c>
    </row>
    <row r="59" spans="1:16" x14ac:dyDescent="0.45">
      <c r="A59" s="35">
        <v>56</v>
      </c>
      <c r="B59" s="32">
        <v>-369.50000000000011</v>
      </c>
      <c r="C59" s="32">
        <v>-6.5982142857142874</v>
      </c>
      <c r="D59" s="37">
        <v>2.1428571428571428</v>
      </c>
      <c r="E59" s="33">
        <v>0.32142857142857145</v>
      </c>
      <c r="F59" s="33">
        <v>0.4642857142857143</v>
      </c>
      <c r="G59" s="33">
        <v>0.26506024096385544</v>
      </c>
      <c r="H59" s="33">
        <v>0.15060240963855423</v>
      </c>
      <c r="I59" s="34">
        <v>6975</v>
      </c>
      <c r="J59" s="34">
        <v>-7600</v>
      </c>
      <c r="K59" s="33">
        <v>3.5714285714285712E-2</v>
      </c>
      <c r="L59" s="33">
        <v>0.15461847389558234</v>
      </c>
      <c r="M59" s="33">
        <v>0.24096385542168675</v>
      </c>
      <c r="N59" s="33">
        <v>0.48051948051948051</v>
      </c>
      <c r="O59" s="33">
        <v>0.39166666666666666</v>
      </c>
      <c r="P59" s="33">
        <v>0.39393939393939392</v>
      </c>
    </row>
    <row r="60" spans="1:16" x14ac:dyDescent="0.45">
      <c r="A60" s="35">
        <v>57</v>
      </c>
      <c r="B60" s="32">
        <v>-389.2000000000001</v>
      </c>
      <c r="C60" s="32">
        <v>-6.8280701754385982</v>
      </c>
      <c r="D60" s="37">
        <v>2.1578947368421053</v>
      </c>
      <c r="E60" s="33">
        <v>0.31578947368421051</v>
      </c>
      <c r="F60" s="33">
        <v>0.47368421052631576</v>
      </c>
      <c r="G60" s="33">
        <v>0.26862745098039215</v>
      </c>
      <c r="H60" s="33">
        <v>0.15490196078431373</v>
      </c>
      <c r="I60" s="34">
        <v>7048.175182481752</v>
      </c>
      <c r="J60" s="34">
        <v>-7786.0759493670885</v>
      </c>
      <c r="K60" s="33">
        <v>3.5087719298245612E-2</v>
      </c>
      <c r="L60" s="33">
        <v>0.15294117647058825</v>
      </c>
      <c r="M60" s="33">
        <v>0.23921568627450981</v>
      </c>
      <c r="N60" s="33">
        <v>0.48717948717948717</v>
      </c>
      <c r="O60" s="33">
        <v>0.40163934426229508</v>
      </c>
      <c r="P60" s="33">
        <v>0.38686131386861317</v>
      </c>
    </row>
    <row r="61" spans="1:16" x14ac:dyDescent="0.45">
      <c r="A61" s="35">
        <v>58</v>
      </c>
      <c r="B61" s="32">
        <v>-436.00000000000011</v>
      </c>
      <c r="C61" s="32">
        <v>-7.517241379310347</v>
      </c>
      <c r="D61" s="37">
        <v>2.1724137931034484</v>
      </c>
      <c r="E61" s="33">
        <v>0.31034482758620691</v>
      </c>
      <c r="F61" s="33">
        <v>0.48275862068965519</v>
      </c>
      <c r="G61" s="33">
        <v>0.26692456479690524</v>
      </c>
      <c r="H61" s="33">
        <v>0.15473887814313347</v>
      </c>
      <c r="I61" s="34">
        <v>7015.942028985507</v>
      </c>
      <c r="J61" s="34">
        <v>-7725</v>
      </c>
      <c r="K61" s="33">
        <v>5.1724137931034482E-2</v>
      </c>
      <c r="L61" s="33">
        <v>0.15280464216634429</v>
      </c>
      <c r="M61" s="33">
        <v>0.23791102514506771</v>
      </c>
      <c r="N61" s="33">
        <v>0.49367088607594939</v>
      </c>
      <c r="O61" s="33">
        <v>0.3983739837398374</v>
      </c>
      <c r="P61" s="33">
        <v>0.38405797101449274</v>
      </c>
    </row>
    <row r="62" spans="1:16" x14ac:dyDescent="0.45">
      <c r="A62" s="35">
        <v>59</v>
      </c>
      <c r="B62" s="32">
        <v>-399.2000000000001</v>
      </c>
      <c r="C62" s="32">
        <v>-6.7661016949152559</v>
      </c>
      <c r="D62" s="37">
        <v>2.152542372881356</v>
      </c>
      <c r="E62" s="33">
        <v>0.32203389830508472</v>
      </c>
      <c r="F62" s="33">
        <v>0.47457627118644069</v>
      </c>
      <c r="G62" s="33">
        <v>0.27134724857685011</v>
      </c>
      <c r="H62" s="33">
        <v>0.15370018975332067</v>
      </c>
      <c r="I62" s="34">
        <v>7116.0839160839159</v>
      </c>
      <c r="J62" s="34">
        <v>-7661.7283950617284</v>
      </c>
      <c r="K62" s="33">
        <v>5.0847457627118647E-2</v>
      </c>
      <c r="L62" s="33">
        <v>0.14990512333965844</v>
      </c>
      <c r="M62" s="33">
        <v>0.23908918406072105</v>
      </c>
      <c r="N62" s="33">
        <v>0.49367088607594939</v>
      </c>
      <c r="O62" s="33">
        <v>0.40476190476190477</v>
      </c>
      <c r="P62" s="33">
        <v>0.38461538461538464</v>
      </c>
    </row>
    <row r="63" spans="1:16" x14ac:dyDescent="0.45">
      <c r="A63" s="35">
        <v>60</v>
      </c>
      <c r="B63" s="32">
        <v>-444.30000000000013</v>
      </c>
      <c r="C63" s="32">
        <v>-7.405000000000002</v>
      </c>
      <c r="D63" s="37">
        <v>2.1666666666666665</v>
      </c>
      <c r="E63" s="33">
        <v>0.31666666666666665</v>
      </c>
      <c r="F63" s="33">
        <v>0.48333333333333334</v>
      </c>
      <c r="G63" s="33">
        <v>0.26679104477611942</v>
      </c>
      <c r="H63" s="33">
        <v>0.15858208955223882</v>
      </c>
      <c r="I63" s="34">
        <v>7116.0839160839159</v>
      </c>
      <c r="J63" s="34">
        <v>-7543.5294117647063</v>
      </c>
      <c r="K63" s="33">
        <v>6.6666666666666666E-2</v>
      </c>
      <c r="L63" s="33">
        <v>0.14925373134328357</v>
      </c>
      <c r="M63" s="33">
        <v>0.24067164179104478</v>
      </c>
      <c r="N63" s="33">
        <v>0.48749999999999999</v>
      </c>
      <c r="O63" s="33">
        <v>0.39534883720930231</v>
      </c>
      <c r="P63" s="33">
        <v>0.38461538461538464</v>
      </c>
    </row>
    <row r="64" spans="1:16" x14ac:dyDescent="0.45">
      <c r="A64" s="35">
        <v>61</v>
      </c>
      <c r="B64" s="32">
        <v>-491.00000000000011</v>
      </c>
      <c r="C64" s="32">
        <v>-8.0491803278688536</v>
      </c>
      <c r="D64" s="37">
        <v>2.180327868852459</v>
      </c>
      <c r="E64" s="33">
        <v>0.31147540983606559</v>
      </c>
      <c r="F64" s="33">
        <v>0.49180327868852458</v>
      </c>
      <c r="G64" s="33">
        <v>0.26470588235294118</v>
      </c>
      <c r="H64" s="33">
        <v>0.15992647058823528</v>
      </c>
      <c r="I64" s="34">
        <v>7150</v>
      </c>
      <c r="J64" s="34">
        <v>-7636.7816091954019</v>
      </c>
      <c r="K64" s="33">
        <v>8.1967213114754092E-2</v>
      </c>
      <c r="L64" s="33">
        <v>0.14889705882352941</v>
      </c>
      <c r="M64" s="33">
        <v>0.23897058823529413</v>
      </c>
      <c r="N64" s="33">
        <v>0.48148148148148145</v>
      </c>
      <c r="O64" s="33">
        <v>0.4</v>
      </c>
      <c r="P64" s="33">
        <v>0.38194444444444442</v>
      </c>
    </row>
    <row r="65" spans="1:16" x14ac:dyDescent="0.45">
      <c r="A65" s="35">
        <v>62</v>
      </c>
      <c r="B65" s="32">
        <v>-482.00000000000011</v>
      </c>
      <c r="C65" s="32">
        <v>-7.7741935483870988</v>
      </c>
      <c r="D65" s="37">
        <v>2.1774193548387095</v>
      </c>
      <c r="E65" s="33">
        <v>0.30645161290322581</v>
      </c>
      <c r="F65" s="33">
        <v>0.4838709677419355</v>
      </c>
      <c r="G65" s="33">
        <v>0.26497277676950998</v>
      </c>
      <c r="H65" s="33">
        <v>0.15970961887477314</v>
      </c>
      <c r="I65" s="34">
        <v>7195.2054794520545</v>
      </c>
      <c r="J65" s="34">
        <v>-7594.318181818182</v>
      </c>
      <c r="K65" s="33">
        <v>8.0645161290322578E-2</v>
      </c>
      <c r="L65" s="33">
        <v>0.14700544464609799</v>
      </c>
      <c r="M65" s="33">
        <v>0.2413793103448276</v>
      </c>
      <c r="N65" s="33">
        <v>0.48148148148148145</v>
      </c>
      <c r="O65" s="33">
        <v>0.39097744360902253</v>
      </c>
      <c r="P65" s="33">
        <v>0.38356164383561642</v>
      </c>
    </row>
    <row r="66" spans="1:16" x14ac:dyDescent="0.45">
      <c r="A66" s="35">
        <v>63</v>
      </c>
      <c r="B66" s="32">
        <v>-522.20000000000016</v>
      </c>
      <c r="C66" s="32">
        <v>-8.2888888888888914</v>
      </c>
      <c r="D66" s="37">
        <v>2.1904761904761907</v>
      </c>
      <c r="E66" s="33">
        <v>0.30158730158730157</v>
      </c>
      <c r="F66" s="33">
        <v>0.49206349206349204</v>
      </c>
      <c r="G66" s="33">
        <v>0.26250000000000001</v>
      </c>
      <c r="H66" s="33">
        <v>0.16071428571428573</v>
      </c>
      <c r="I66" s="34">
        <v>7160.5442176870747</v>
      </c>
      <c r="J66" s="34">
        <v>-7573.333333333333</v>
      </c>
      <c r="K66" s="33">
        <v>7.9365079365079361E-2</v>
      </c>
      <c r="L66" s="33">
        <v>0.14464285714285716</v>
      </c>
      <c r="M66" s="33">
        <v>0.2392857142857143</v>
      </c>
      <c r="N66" s="33">
        <v>0.48148148148148145</v>
      </c>
      <c r="O66" s="33">
        <v>0.39552238805970147</v>
      </c>
      <c r="P66" s="33">
        <v>0.38775510204081631</v>
      </c>
    </row>
    <row r="67" spans="1:16" x14ac:dyDescent="0.45">
      <c r="A67" s="35">
        <v>64</v>
      </c>
      <c r="B67" s="32">
        <v>-550.9000000000002</v>
      </c>
      <c r="C67" s="32">
        <v>-8.6078125000000032</v>
      </c>
      <c r="D67" s="37">
        <v>2.203125</v>
      </c>
      <c r="E67" s="33">
        <v>0.296875</v>
      </c>
      <c r="F67" s="33">
        <v>0.5</v>
      </c>
      <c r="G67" s="33">
        <v>0.26278659611992944</v>
      </c>
      <c r="H67" s="33">
        <v>0.16225749559082892</v>
      </c>
      <c r="I67" s="34">
        <v>7086.5771812080538</v>
      </c>
      <c r="J67" s="34">
        <v>-7669.565217391304</v>
      </c>
      <c r="K67" s="33">
        <v>7.8125E-2</v>
      </c>
      <c r="L67" s="33">
        <v>0.14462081128747795</v>
      </c>
      <c r="M67" s="33">
        <v>0.24162257495590828</v>
      </c>
      <c r="N67" s="33">
        <v>0.48780487804878048</v>
      </c>
      <c r="O67" s="33">
        <v>0.39416058394160586</v>
      </c>
      <c r="P67" s="33">
        <v>0.3825503355704698</v>
      </c>
    </row>
    <row r="68" spans="1:16" x14ac:dyDescent="0.45">
      <c r="A68" s="35">
        <v>65</v>
      </c>
      <c r="B68" s="32">
        <v>-526.20000000000016</v>
      </c>
      <c r="C68" s="32">
        <v>-8.0953846153846172</v>
      </c>
      <c r="D68" s="37">
        <v>2.1846153846153844</v>
      </c>
      <c r="E68" s="33">
        <v>0.30769230769230771</v>
      </c>
      <c r="F68" s="33">
        <v>0.49230769230769234</v>
      </c>
      <c r="G68" s="33">
        <v>0.26689774696707108</v>
      </c>
      <c r="H68" s="33">
        <v>0.16117850953206239</v>
      </c>
      <c r="I68" s="34">
        <v>7048.7012987012986</v>
      </c>
      <c r="J68" s="34">
        <v>-7673.1182795698924</v>
      </c>
      <c r="K68" s="33">
        <v>7.6923076923076927E-2</v>
      </c>
      <c r="L68" s="33">
        <v>0.14558058925476602</v>
      </c>
      <c r="M68" s="33">
        <v>0.24436741767764297</v>
      </c>
      <c r="N68" s="33">
        <v>0.5</v>
      </c>
      <c r="O68" s="33">
        <v>0.40425531914893614</v>
      </c>
      <c r="P68" s="33">
        <v>0.38311688311688313</v>
      </c>
    </row>
    <row r="69" spans="1:16" x14ac:dyDescent="0.45">
      <c r="A69" s="35">
        <v>66</v>
      </c>
      <c r="B69" s="32">
        <v>-497.90000000000015</v>
      </c>
      <c r="C69" s="32">
        <v>-7.5439393939393966</v>
      </c>
      <c r="D69" s="37">
        <v>2.1666666666666665</v>
      </c>
      <c r="E69" s="33">
        <v>0.31818181818181818</v>
      </c>
      <c r="F69" s="33">
        <v>0.48484848484848486</v>
      </c>
      <c r="G69" s="33">
        <v>0.27226027397260272</v>
      </c>
      <c r="H69" s="33">
        <v>0.15924657534246575</v>
      </c>
      <c r="I69" s="34">
        <v>6926.4150943396226</v>
      </c>
      <c r="J69" s="34">
        <v>-7673.1182795698924</v>
      </c>
      <c r="K69" s="33">
        <v>7.575757575757576E-2</v>
      </c>
      <c r="L69" s="33">
        <v>0.14554794520547945</v>
      </c>
      <c r="M69" s="33">
        <v>0.24657534246575341</v>
      </c>
      <c r="N69" s="33">
        <v>0.50588235294117645</v>
      </c>
      <c r="O69" s="33">
        <v>0.40972222222222221</v>
      </c>
      <c r="P69" s="33">
        <v>0.39622641509433965</v>
      </c>
    </row>
    <row r="70" spans="1:16" x14ac:dyDescent="0.45">
      <c r="A70" s="35">
        <v>67</v>
      </c>
      <c r="B70" s="32">
        <v>-494.00000000000017</v>
      </c>
      <c r="C70" s="32">
        <v>-7.3731343283582111</v>
      </c>
      <c r="D70" s="37">
        <v>2.1641791044776117</v>
      </c>
      <c r="E70" s="33">
        <v>0.31343283582089554</v>
      </c>
      <c r="F70" s="33">
        <v>0.47761194029850745</v>
      </c>
      <c r="G70" s="33">
        <v>0.27364864864864863</v>
      </c>
      <c r="H70" s="33">
        <v>0.1570945945945946</v>
      </c>
      <c r="I70" s="34">
        <v>6873.4567901234568</v>
      </c>
      <c r="J70" s="34">
        <v>-7673.1182795698924</v>
      </c>
      <c r="K70" s="33">
        <v>7.4626865671641784E-2</v>
      </c>
      <c r="L70" s="33">
        <v>0.14527027027027026</v>
      </c>
      <c r="M70" s="33">
        <v>0.2533783783783784</v>
      </c>
      <c r="N70" s="33">
        <v>0.51162790697674421</v>
      </c>
      <c r="O70" s="33">
        <v>0.40666666666666668</v>
      </c>
      <c r="P70" s="33">
        <v>0.40123456790123457</v>
      </c>
    </row>
    <row r="71" spans="1:16" x14ac:dyDescent="0.45">
      <c r="A71" s="35">
        <v>68</v>
      </c>
      <c r="B71" s="32">
        <v>-513.00000000000023</v>
      </c>
      <c r="C71" s="32">
        <v>-7.5441176470588269</v>
      </c>
      <c r="D71" s="37">
        <v>2.1764705882352939</v>
      </c>
      <c r="E71" s="33">
        <v>0.30882352941176472</v>
      </c>
      <c r="F71" s="33">
        <v>0.48529411764705882</v>
      </c>
      <c r="G71" s="33">
        <v>0.27242524916943522</v>
      </c>
      <c r="H71" s="33">
        <v>0.15780730897009967</v>
      </c>
      <c r="I71" s="34">
        <v>6887.1951219512193</v>
      </c>
      <c r="J71" s="34">
        <v>-7827.3684210526317</v>
      </c>
      <c r="K71" s="33">
        <v>7.3529411764705885E-2</v>
      </c>
      <c r="L71" s="33">
        <v>0.1461794019933555</v>
      </c>
      <c r="M71" s="33">
        <v>0.24916943521594684</v>
      </c>
      <c r="N71" s="33">
        <v>0.51136363636363635</v>
      </c>
      <c r="O71" s="33">
        <v>0.40666666666666668</v>
      </c>
      <c r="P71" s="33">
        <v>0.40243902439024393</v>
      </c>
    </row>
    <row r="72" spans="1:16" x14ac:dyDescent="0.45">
      <c r="A72" s="35">
        <v>69</v>
      </c>
      <c r="B72" s="32">
        <v>-482.60000000000025</v>
      </c>
      <c r="C72" s="32">
        <v>-6.9942028985507285</v>
      </c>
      <c r="D72" s="37">
        <v>2.1594202898550723</v>
      </c>
      <c r="E72" s="33">
        <v>0.3188405797101449</v>
      </c>
      <c r="F72" s="33">
        <v>0.47826086956521741</v>
      </c>
      <c r="G72" s="33">
        <v>0.27287581699346403</v>
      </c>
      <c r="H72" s="33">
        <v>0.15522875816993464</v>
      </c>
      <c r="I72" s="34">
        <v>6890.4191616766466</v>
      </c>
      <c r="J72" s="34">
        <v>-7827.3684210526317</v>
      </c>
      <c r="K72" s="33">
        <v>7.2463768115942032E-2</v>
      </c>
      <c r="L72" s="33">
        <v>0.14705882352941177</v>
      </c>
      <c r="M72" s="33">
        <v>0.24673202614379086</v>
      </c>
      <c r="N72" s="33">
        <v>0.51111111111111107</v>
      </c>
      <c r="O72" s="33">
        <v>0.41059602649006621</v>
      </c>
      <c r="P72" s="33">
        <v>0.40718562874251496</v>
      </c>
    </row>
    <row r="73" spans="1:16" x14ac:dyDescent="0.45">
      <c r="A73" s="35">
        <v>70</v>
      </c>
      <c r="B73" s="32">
        <v>-490.90000000000026</v>
      </c>
      <c r="C73" s="32">
        <v>-7.0128571428571469</v>
      </c>
      <c r="D73" s="37">
        <v>2.157142857142857</v>
      </c>
      <c r="E73" s="33">
        <v>0.31428571428571428</v>
      </c>
      <c r="F73" s="33">
        <v>0.47142857142857142</v>
      </c>
      <c r="G73" s="33">
        <v>0.27140549273021003</v>
      </c>
      <c r="H73" s="33">
        <v>0.15508885298869143</v>
      </c>
      <c r="I73" s="34">
        <v>6944.6428571428569</v>
      </c>
      <c r="J73" s="34">
        <v>-7829.166666666667</v>
      </c>
      <c r="K73" s="33">
        <v>7.1428571428571425E-2</v>
      </c>
      <c r="L73" s="33">
        <v>0.14862681744749595</v>
      </c>
      <c r="M73" s="33">
        <v>0.25040387722132473</v>
      </c>
      <c r="N73" s="33">
        <v>0.51086956521739135</v>
      </c>
      <c r="O73" s="33">
        <v>0.4</v>
      </c>
      <c r="P73" s="33">
        <v>0.4107142857142857</v>
      </c>
    </row>
    <row r="74" spans="1:16" x14ac:dyDescent="0.45">
      <c r="A74" s="35">
        <v>71</v>
      </c>
      <c r="B74" s="32">
        <v>-486.70000000000027</v>
      </c>
      <c r="C74" s="32">
        <v>-6.8549295774647927</v>
      </c>
      <c r="D74" s="37">
        <v>2.1549295774647885</v>
      </c>
      <c r="E74" s="33">
        <v>0.30985915492957744</v>
      </c>
      <c r="F74" s="33">
        <v>0.46478873239436619</v>
      </c>
      <c r="G74" s="33">
        <v>0.27344992050874406</v>
      </c>
      <c r="H74" s="33">
        <v>0.15580286168521462</v>
      </c>
      <c r="I74" s="34">
        <v>6958.7209302325582</v>
      </c>
      <c r="J74" s="34">
        <v>-7934.6938775510207</v>
      </c>
      <c r="K74" s="33">
        <v>7.0422535211267609E-2</v>
      </c>
      <c r="L74" s="33">
        <v>0.1494435612082671</v>
      </c>
      <c r="M74" s="33">
        <v>0.25278219395866453</v>
      </c>
      <c r="N74" s="33">
        <v>0.52127659574468088</v>
      </c>
      <c r="O74" s="33">
        <v>0.39622641509433965</v>
      </c>
      <c r="P74" s="33">
        <v>0.41279069767441862</v>
      </c>
    </row>
    <row r="75" spans="1:16" x14ac:dyDescent="0.45">
      <c r="A75" s="35">
        <v>72</v>
      </c>
      <c r="B75" s="32">
        <v>-450.00000000000028</v>
      </c>
      <c r="C75" s="32">
        <v>-6.2500000000000036</v>
      </c>
      <c r="D75" s="37">
        <v>2.1388888888888888</v>
      </c>
      <c r="E75" s="33">
        <v>0.31944444444444442</v>
      </c>
      <c r="F75" s="33">
        <v>0.45833333333333331</v>
      </c>
      <c r="G75" s="33">
        <v>0.27230046948356806</v>
      </c>
      <c r="H75" s="33">
        <v>0.15492957746478872</v>
      </c>
      <c r="I75" s="34">
        <v>7071.2643678160921</v>
      </c>
      <c r="J75" s="34">
        <v>-7864.6464646464647</v>
      </c>
      <c r="K75" s="33">
        <v>6.9444444444444448E-2</v>
      </c>
      <c r="L75" s="33">
        <v>0.14866979655712051</v>
      </c>
      <c r="M75" s="33">
        <v>0.25039123630672927</v>
      </c>
      <c r="N75" s="33">
        <v>0.51578947368421058</v>
      </c>
      <c r="O75" s="33">
        <v>0.4</v>
      </c>
      <c r="P75" s="33">
        <v>0.41379310344827586</v>
      </c>
    </row>
    <row r="76" spans="1:16" x14ac:dyDescent="0.45">
      <c r="A76" s="35">
        <v>73</v>
      </c>
      <c r="B76" s="32">
        <v>-460.50000000000028</v>
      </c>
      <c r="C76" s="32">
        <v>-6.3082191780821955</v>
      </c>
      <c r="D76" s="37">
        <v>2.1369863013698631</v>
      </c>
      <c r="E76" s="33">
        <v>0.31506849315068491</v>
      </c>
      <c r="F76" s="33">
        <v>0.45205479452054792</v>
      </c>
      <c r="G76" s="33">
        <v>0.27411944869831545</v>
      </c>
      <c r="H76" s="33">
        <v>0.15620214395099541</v>
      </c>
      <c r="I76" s="34">
        <v>7007.2625698324018</v>
      </c>
      <c r="J76" s="34">
        <v>-7789.2156862745096</v>
      </c>
      <c r="K76" s="33">
        <v>6.8493150684931503E-2</v>
      </c>
      <c r="L76" s="33">
        <v>0.14701378254211334</v>
      </c>
      <c r="M76" s="33">
        <v>0.25267993874425726</v>
      </c>
      <c r="N76" s="33">
        <v>0.52083333333333337</v>
      </c>
      <c r="O76" s="33">
        <v>0.40606060606060607</v>
      </c>
      <c r="P76" s="33">
        <v>0.41899441340782123</v>
      </c>
    </row>
    <row r="77" spans="1:16" x14ac:dyDescent="0.45">
      <c r="A77" s="35">
        <v>74</v>
      </c>
      <c r="B77" s="32">
        <v>-460.70000000000027</v>
      </c>
      <c r="C77" s="32">
        <v>-6.2256756756756797</v>
      </c>
      <c r="D77" s="37">
        <v>2.1351351351351351</v>
      </c>
      <c r="E77" s="33">
        <v>0.3108108108108108</v>
      </c>
      <c r="F77" s="33">
        <v>0.44594594594594594</v>
      </c>
      <c r="G77" s="33">
        <v>0.27231467473524962</v>
      </c>
      <c r="H77" s="33">
        <v>0.15582450832072617</v>
      </c>
      <c r="I77" s="34">
        <v>7012.7777777777774</v>
      </c>
      <c r="J77" s="34">
        <v>-7741.7475728155341</v>
      </c>
      <c r="K77" s="33">
        <v>6.7567567567567571E-2</v>
      </c>
      <c r="L77" s="33">
        <v>0.14523449319213314</v>
      </c>
      <c r="M77" s="33">
        <v>0.25264750378214829</v>
      </c>
      <c r="N77" s="33">
        <v>0.52083333333333337</v>
      </c>
      <c r="O77" s="33">
        <v>0.40119760479041916</v>
      </c>
      <c r="P77" s="33">
        <v>0.41666666666666669</v>
      </c>
    </row>
    <row r="78" spans="1:16" x14ac:dyDescent="0.45">
      <c r="A78" s="35">
        <v>75</v>
      </c>
      <c r="B78" s="32">
        <v>-462.20000000000027</v>
      </c>
      <c r="C78" s="32">
        <v>-6.1626666666666701</v>
      </c>
      <c r="D78" s="37">
        <v>2.1333333333333333</v>
      </c>
      <c r="E78" s="33">
        <v>0.30666666666666664</v>
      </c>
      <c r="F78" s="33">
        <v>0.44</v>
      </c>
      <c r="G78" s="33">
        <v>0.27286356821589203</v>
      </c>
      <c r="H78" s="33">
        <v>0.15442278860569716</v>
      </c>
      <c r="I78" s="34">
        <v>7030.7692307692305</v>
      </c>
      <c r="J78" s="34">
        <v>-7741.7475728155341</v>
      </c>
      <c r="K78" s="33">
        <v>6.6666666666666666E-2</v>
      </c>
      <c r="L78" s="33">
        <v>0.14542728635682159</v>
      </c>
      <c r="M78" s="33">
        <v>0.25337331334332835</v>
      </c>
      <c r="N78" s="33">
        <v>0.51546391752577314</v>
      </c>
      <c r="O78" s="33">
        <v>0.40828402366863903</v>
      </c>
      <c r="P78" s="33">
        <v>0.4175824175824176</v>
      </c>
    </row>
    <row r="79" spans="1:16" x14ac:dyDescent="0.45">
      <c r="A79" s="35">
        <v>76</v>
      </c>
      <c r="B79" s="32">
        <v>-520.50000000000023</v>
      </c>
      <c r="C79" s="32">
        <v>-6.8486842105263186</v>
      </c>
      <c r="D79" s="37">
        <v>2.1447368421052633</v>
      </c>
      <c r="E79" s="33">
        <v>0.30263157894736842</v>
      </c>
      <c r="F79" s="33">
        <v>0.44736842105263158</v>
      </c>
      <c r="G79" s="33">
        <v>0.27111111111111114</v>
      </c>
      <c r="H79" s="33">
        <v>0.15555555555555556</v>
      </c>
      <c r="I79" s="34">
        <v>7036.0655737704919</v>
      </c>
      <c r="J79" s="34">
        <v>-7880</v>
      </c>
      <c r="K79" s="33">
        <v>7.8947368421052627E-2</v>
      </c>
      <c r="L79" s="33">
        <v>0.14518518518518519</v>
      </c>
      <c r="M79" s="33">
        <v>0.25185185185185183</v>
      </c>
      <c r="N79" s="33">
        <v>0.52040816326530615</v>
      </c>
      <c r="O79" s="33">
        <v>0.40588235294117647</v>
      </c>
      <c r="P79" s="33">
        <v>0.41530054644808745</v>
      </c>
    </row>
    <row r="80" spans="1:16" x14ac:dyDescent="0.45">
      <c r="A80" s="35">
        <v>77</v>
      </c>
      <c r="B80" s="32">
        <v>-490.00000000000023</v>
      </c>
      <c r="C80" s="32">
        <v>-6.3636363636363669</v>
      </c>
      <c r="D80" s="37">
        <v>2.1298701298701297</v>
      </c>
      <c r="E80" s="33">
        <v>0.31168831168831168</v>
      </c>
      <c r="F80" s="33">
        <v>0.44155844155844154</v>
      </c>
      <c r="G80" s="33">
        <v>0.27339181286549707</v>
      </c>
      <c r="H80" s="33">
        <v>0.15350877192982457</v>
      </c>
      <c r="I80" s="34">
        <v>7100.5347593582892</v>
      </c>
      <c r="J80" s="34">
        <v>-7880</v>
      </c>
      <c r="K80" s="33">
        <v>7.792207792207792E-2</v>
      </c>
      <c r="L80" s="33">
        <v>0.14327485380116958</v>
      </c>
      <c r="M80" s="33">
        <v>0.25292397660818716</v>
      </c>
      <c r="N80" s="33">
        <v>0.52040816326530615</v>
      </c>
      <c r="O80" s="33">
        <v>0.41040462427745666</v>
      </c>
      <c r="P80" s="33">
        <v>0.41711229946524064</v>
      </c>
    </row>
    <row r="81" spans="1:16" x14ac:dyDescent="0.45">
      <c r="A81" s="35">
        <v>78</v>
      </c>
      <c r="B81" s="32">
        <v>-427.60000000000025</v>
      </c>
      <c r="C81" s="32">
        <v>-5.4820512820512857</v>
      </c>
      <c r="D81" s="37">
        <v>2.1153846153846154</v>
      </c>
      <c r="E81" s="33">
        <v>0.32051282051282054</v>
      </c>
      <c r="F81" s="33">
        <v>0.4358974358974359</v>
      </c>
      <c r="G81" s="33">
        <v>0.27833572453371591</v>
      </c>
      <c r="H81" s="33">
        <v>0.15208034433285508</v>
      </c>
      <c r="I81" s="34">
        <v>7171.1340206185569</v>
      </c>
      <c r="J81" s="34">
        <v>-7918.867924528302</v>
      </c>
      <c r="K81" s="33">
        <v>7.6923076923076927E-2</v>
      </c>
      <c r="L81" s="33">
        <v>0.14347202295552366</v>
      </c>
      <c r="M81" s="33">
        <v>0.25538020086083213</v>
      </c>
      <c r="N81" s="33">
        <v>0.52</v>
      </c>
      <c r="O81" s="33">
        <v>0.4157303370786517</v>
      </c>
      <c r="P81" s="33">
        <v>0.42783505154639173</v>
      </c>
    </row>
    <row r="82" spans="1:16" x14ac:dyDescent="0.45">
      <c r="A82" s="35">
        <v>79</v>
      </c>
      <c r="B82" s="32">
        <v>-419.20000000000027</v>
      </c>
      <c r="C82" s="32">
        <v>-5.306329113924054</v>
      </c>
      <c r="D82" s="37">
        <v>2.1139240506329116</v>
      </c>
      <c r="E82" s="33">
        <v>0.31645569620253167</v>
      </c>
      <c r="F82" s="33">
        <v>0.43037974683544306</v>
      </c>
      <c r="G82" s="33">
        <v>0.28005657708628007</v>
      </c>
      <c r="H82" s="33">
        <v>0.15275813295615276</v>
      </c>
      <c r="I82" s="34">
        <v>7225.757575757576</v>
      </c>
      <c r="J82" s="34">
        <v>-7901.8518518518522</v>
      </c>
      <c r="K82" s="33">
        <v>7.5949367088607597E-2</v>
      </c>
      <c r="L82" s="33">
        <v>0.14568599717114569</v>
      </c>
      <c r="M82" s="33">
        <v>0.25742574257425743</v>
      </c>
      <c r="N82" s="33">
        <v>0.53398058252427183</v>
      </c>
      <c r="O82" s="33">
        <v>0.41208791208791207</v>
      </c>
      <c r="P82" s="33">
        <v>0.42424242424242425</v>
      </c>
    </row>
    <row r="83" spans="1:16" x14ac:dyDescent="0.45">
      <c r="A83" s="35">
        <v>80</v>
      </c>
      <c r="B83" s="32">
        <v>-427.50000000000028</v>
      </c>
      <c r="C83" s="32">
        <v>-5.3437500000000036</v>
      </c>
      <c r="D83" s="37">
        <v>2.1124999999999998</v>
      </c>
      <c r="E83" s="33">
        <v>0.3125</v>
      </c>
      <c r="F83" s="33">
        <v>0.42499999999999999</v>
      </c>
      <c r="G83" s="33">
        <v>0.28050490883590462</v>
      </c>
      <c r="H83" s="33">
        <v>0.15287517531556802</v>
      </c>
      <c r="I83" s="34">
        <v>7225.5</v>
      </c>
      <c r="J83" s="34">
        <v>-7900</v>
      </c>
      <c r="K83" s="33">
        <v>7.4999999999999997E-2</v>
      </c>
      <c r="L83" s="33">
        <v>0.1458625525946704</v>
      </c>
      <c r="M83" s="33">
        <v>0.25806451612903225</v>
      </c>
      <c r="N83" s="33">
        <v>0.53846153846153844</v>
      </c>
      <c r="O83" s="33">
        <v>0.41304347826086957</v>
      </c>
      <c r="P83" s="33">
        <v>0.43</v>
      </c>
    </row>
    <row r="84" spans="1:16" x14ac:dyDescent="0.45">
      <c r="A84" s="35">
        <v>81</v>
      </c>
      <c r="B84" s="32">
        <v>-430.90000000000026</v>
      </c>
      <c r="C84" s="32">
        <v>-5.3197530864197562</v>
      </c>
      <c r="D84" s="37">
        <v>2.1111111111111112</v>
      </c>
      <c r="E84" s="33">
        <v>0.30864197530864196</v>
      </c>
      <c r="F84" s="33">
        <v>0.41975308641975306</v>
      </c>
      <c r="G84" s="33">
        <v>0.28155339805825241</v>
      </c>
      <c r="H84" s="33">
        <v>0.1553398058252427</v>
      </c>
      <c r="I84" s="34">
        <v>7173.8916256157636</v>
      </c>
      <c r="J84" s="34">
        <v>-7780.3571428571431</v>
      </c>
      <c r="K84" s="33">
        <v>7.407407407407407E-2</v>
      </c>
      <c r="L84" s="33">
        <v>0.14563106796116504</v>
      </c>
      <c r="M84" s="33">
        <v>0.2579750346740638</v>
      </c>
      <c r="N84" s="33">
        <v>0.54285714285714282</v>
      </c>
      <c r="O84" s="33">
        <v>0.41935483870967744</v>
      </c>
      <c r="P84" s="33">
        <v>0.42857142857142855</v>
      </c>
    </row>
    <row r="85" spans="1:16" x14ac:dyDescent="0.45">
      <c r="A85" s="35">
        <v>82</v>
      </c>
      <c r="B85" s="32">
        <v>-468.40000000000026</v>
      </c>
      <c r="C85" s="32">
        <v>-5.7121951219512228</v>
      </c>
      <c r="D85" s="37">
        <v>2.1219512195121952</v>
      </c>
      <c r="E85" s="33">
        <v>0.3048780487804878</v>
      </c>
      <c r="F85" s="33">
        <v>0.42682926829268292</v>
      </c>
      <c r="G85" s="33">
        <v>0.27922971114167811</v>
      </c>
      <c r="H85" s="33">
        <v>0.15680880330123798</v>
      </c>
      <c r="I85" s="34">
        <v>7173.8916256157636</v>
      </c>
      <c r="J85" s="34">
        <v>-7748.2456140350878</v>
      </c>
      <c r="K85" s="33">
        <v>7.3170731707317069E-2</v>
      </c>
      <c r="L85" s="33">
        <v>0.14442916093535077</v>
      </c>
      <c r="M85" s="33">
        <v>0.25722145804676755</v>
      </c>
      <c r="N85" s="33">
        <v>0.54285714285714282</v>
      </c>
      <c r="O85" s="33">
        <v>0.41711229946524064</v>
      </c>
      <c r="P85" s="33">
        <v>0.42857142857142855</v>
      </c>
    </row>
    <row r="86" spans="1:16" x14ac:dyDescent="0.45">
      <c r="A86" s="35">
        <v>83</v>
      </c>
      <c r="B86" s="32">
        <v>-502.90000000000026</v>
      </c>
      <c r="C86" s="32">
        <v>-6.0590361445783163</v>
      </c>
      <c r="D86" s="37">
        <v>2.1325301204819276</v>
      </c>
      <c r="E86" s="33">
        <v>0.30120481927710846</v>
      </c>
      <c r="F86" s="33">
        <v>0.43373493975903615</v>
      </c>
      <c r="G86" s="33">
        <v>0.27755102040816326</v>
      </c>
      <c r="H86" s="33">
        <v>0.16054421768707483</v>
      </c>
      <c r="I86" s="34">
        <v>7152.9411764705883</v>
      </c>
      <c r="J86" s="34">
        <v>-7683.0508474576272</v>
      </c>
      <c r="K86" s="33">
        <v>7.2289156626506021E-2</v>
      </c>
      <c r="L86" s="33">
        <v>0.14557823129251701</v>
      </c>
      <c r="M86" s="33">
        <v>0.25578231292517006</v>
      </c>
      <c r="N86" s="33">
        <v>0.53271028037383172</v>
      </c>
      <c r="O86" s="33">
        <v>0.41489361702127658</v>
      </c>
      <c r="P86" s="33">
        <v>0.4264705882352941</v>
      </c>
    </row>
    <row r="87" spans="1:16" x14ac:dyDescent="0.45">
      <c r="A87" s="35">
        <v>84</v>
      </c>
      <c r="B87" s="32">
        <v>-564.20000000000027</v>
      </c>
      <c r="C87" s="32">
        <v>-6.7166666666666703</v>
      </c>
      <c r="D87" s="37">
        <v>2.1428571428571428</v>
      </c>
      <c r="E87" s="33">
        <v>0.29761904761904762</v>
      </c>
      <c r="F87" s="33">
        <v>0.44047619047619047</v>
      </c>
      <c r="G87" s="33">
        <v>0.27516778523489932</v>
      </c>
      <c r="H87" s="33">
        <v>0.16107382550335569</v>
      </c>
      <c r="I87" s="34">
        <v>7127.8048780487807</v>
      </c>
      <c r="J87" s="34">
        <v>-7755</v>
      </c>
      <c r="K87" s="33">
        <v>8.3333333333333329E-2</v>
      </c>
      <c r="L87" s="33">
        <v>0.1436241610738255</v>
      </c>
      <c r="M87" s="33">
        <v>0.25771812080536916</v>
      </c>
      <c r="N87" s="33">
        <v>0.53271028037383172</v>
      </c>
      <c r="O87" s="33">
        <v>0.41145833333333331</v>
      </c>
      <c r="P87" s="33">
        <v>0.42439024390243901</v>
      </c>
    </row>
    <row r="88" spans="1:16" x14ac:dyDescent="0.45">
      <c r="A88" s="35">
        <v>85</v>
      </c>
      <c r="B88" s="32">
        <v>-589.90000000000032</v>
      </c>
      <c r="C88" s="32">
        <v>-6.9400000000000039</v>
      </c>
      <c r="D88" s="37">
        <v>2.1529411764705881</v>
      </c>
      <c r="E88" s="33">
        <v>0.29411764705882354</v>
      </c>
      <c r="F88" s="33">
        <v>0.44705882352941179</v>
      </c>
      <c r="G88" s="33">
        <v>0.27357237715803451</v>
      </c>
      <c r="H88" s="33">
        <v>0.16334661354581673</v>
      </c>
      <c r="I88" s="34">
        <v>7103.3980582524273</v>
      </c>
      <c r="J88" s="34">
        <v>-7657.7235772357726</v>
      </c>
      <c r="K88" s="33">
        <v>8.2352941176470587E-2</v>
      </c>
      <c r="L88" s="33">
        <v>0.14342629482071714</v>
      </c>
      <c r="M88" s="33">
        <v>0.25896414342629481</v>
      </c>
      <c r="N88" s="33">
        <v>0.52777777777777779</v>
      </c>
      <c r="O88" s="33">
        <v>0.40512820512820513</v>
      </c>
      <c r="P88" s="33">
        <v>0.42718446601941745</v>
      </c>
    </row>
    <row r="89" spans="1:16" x14ac:dyDescent="0.45">
      <c r="A89" s="35">
        <v>86</v>
      </c>
      <c r="B89" s="32">
        <v>-582.3000000000003</v>
      </c>
      <c r="C89" s="32">
        <v>-6.7709302325581433</v>
      </c>
      <c r="D89" s="37">
        <v>2.1511627906976742</v>
      </c>
      <c r="E89" s="33">
        <v>0.29069767441860467</v>
      </c>
      <c r="F89" s="33">
        <v>0.44186046511627908</v>
      </c>
      <c r="G89" s="33">
        <v>0.27500000000000002</v>
      </c>
      <c r="H89" s="33">
        <v>0.16447368421052633</v>
      </c>
      <c r="I89" s="34">
        <v>7093.7799043062205</v>
      </c>
      <c r="J89" s="34">
        <v>-7576.8</v>
      </c>
      <c r="K89" s="33">
        <v>8.1395348837209308E-2</v>
      </c>
      <c r="L89" s="33">
        <v>0.14342105263157895</v>
      </c>
      <c r="M89" s="33">
        <v>0.26184210526315788</v>
      </c>
      <c r="N89" s="33">
        <v>0.5321100917431193</v>
      </c>
      <c r="O89" s="33">
        <v>0.40703517587939697</v>
      </c>
      <c r="P89" s="33">
        <v>0.42583732057416268</v>
      </c>
    </row>
    <row r="90" spans="1:16" x14ac:dyDescent="0.45">
      <c r="A90" s="35">
        <v>87</v>
      </c>
      <c r="B90" s="32">
        <v>-606.90000000000032</v>
      </c>
      <c r="C90" s="32">
        <v>-6.9758620689655206</v>
      </c>
      <c r="D90" s="37">
        <v>2.1609195402298851</v>
      </c>
      <c r="E90" s="33">
        <v>0.28735632183908044</v>
      </c>
      <c r="F90" s="33">
        <v>0.44827586206896552</v>
      </c>
      <c r="G90" s="33">
        <v>0.27379400260756193</v>
      </c>
      <c r="H90" s="33">
        <v>0.16427640156453716</v>
      </c>
      <c r="I90" s="34">
        <v>7096.666666666667</v>
      </c>
      <c r="J90" s="34">
        <v>-7537.3015873015875</v>
      </c>
      <c r="K90" s="33">
        <v>8.0459770114942528E-2</v>
      </c>
      <c r="L90" s="33">
        <v>0.14211212516297261</v>
      </c>
      <c r="M90" s="33">
        <v>0.26336375488917863</v>
      </c>
      <c r="N90" s="33">
        <v>0.5321100917431193</v>
      </c>
      <c r="O90" s="33">
        <v>0.40099009900990101</v>
      </c>
      <c r="P90" s="33">
        <v>0.42857142857142855</v>
      </c>
    </row>
    <row r="91" spans="1:16" x14ac:dyDescent="0.45">
      <c r="A91" s="35">
        <v>88</v>
      </c>
      <c r="B91" s="32">
        <v>-597.70000000000027</v>
      </c>
      <c r="C91" s="32">
        <v>-6.792045454545458</v>
      </c>
      <c r="D91" s="37">
        <v>2.1590909090909092</v>
      </c>
      <c r="E91" s="33">
        <v>0.28409090909090912</v>
      </c>
      <c r="F91" s="33">
        <v>0.44318181818181818</v>
      </c>
      <c r="G91" s="33">
        <v>0.27307692307692305</v>
      </c>
      <c r="H91" s="33">
        <v>0.16282051282051282</v>
      </c>
      <c r="I91" s="34">
        <v>7107.9812206572769</v>
      </c>
      <c r="J91" s="34">
        <v>-7540.9448818897636</v>
      </c>
      <c r="K91" s="33">
        <v>7.9545454545454544E-2</v>
      </c>
      <c r="L91" s="33">
        <v>0.14102564102564102</v>
      </c>
      <c r="M91" s="33">
        <v>0.26282051282051283</v>
      </c>
      <c r="N91" s="33">
        <v>0.53636363636363638</v>
      </c>
      <c r="O91" s="33">
        <v>0.39512195121951221</v>
      </c>
      <c r="P91" s="33">
        <v>0.43661971830985913</v>
      </c>
    </row>
    <row r="92" spans="1:16" x14ac:dyDescent="0.45">
      <c r="A92" s="35">
        <v>89</v>
      </c>
      <c r="B92" s="32">
        <v>-581.00000000000023</v>
      </c>
      <c r="C92" s="32">
        <v>-6.5280898876404523</v>
      </c>
      <c r="D92" s="37">
        <v>2.1573033707865168</v>
      </c>
      <c r="E92" s="33">
        <v>0.2808988764044944</v>
      </c>
      <c r="F92" s="33">
        <v>0.43820224719101125</v>
      </c>
      <c r="G92" s="33">
        <v>0.27341772151898736</v>
      </c>
      <c r="H92" s="33">
        <v>0.16202531645569621</v>
      </c>
      <c r="I92" s="34">
        <v>7159.7222222222226</v>
      </c>
      <c r="J92" s="34">
        <v>-7497.65625</v>
      </c>
      <c r="K92" s="33">
        <v>7.8651685393258425E-2</v>
      </c>
      <c r="L92" s="33">
        <v>0.14177215189873418</v>
      </c>
      <c r="M92" s="33">
        <v>0.26202531645569621</v>
      </c>
      <c r="N92" s="33">
        <v>0.5357142857142857</v>
      </c>
      <c r="O92" s="33">
        <v>0.39613526570048307</v>
      </c>
      <c r="P92" s="33">
        <v>0.43518518518518517</v>
      </c>
    </row>
    <row r="93" spans="1:16" x14ac:dyDescent="0.45">
      <c r="A93" s="35">
        <v>90</v>
      </c>
      <c r="B93" s="32">
        <v>-584.9000000000002</v>
      </c>
      <c r="C93" s="32">
        <v>-6.4988888888888914</v>
      </c>
      <c r="D93" s="37">
        <v>2.1555555555555554</v>
      </c>
      <c r="E93" s="33">
        <v>0.27777777777777779</v>
      </c>
      <c r="F93" s="33">
        <v>0.43333333333333335</v>
      </c>
      <c r="G93" s="33">
        <v>0.27453416149068322</v>
      </c>
      <c r="H93" s="33">
        <v>0.16149068322981366</v>
      </c>
      <c r="I93" s="34">
        <v>7129.8642533936654</v>
      </c>
      <c r="J93" s="34">
        <v>-7514.6153846153848</v>
      </c>
      <c r="K93" s="33">
        <v>7.7777777777777779E-2</v>
      </c>
      <c r="L93" s="33">
        <v>0.1391304347826087</v>
      </c>
      <c r="M93" s="33">
        <v>0.26583850931677017</v>
      </c>
      <c r="N93" s="33">
        <v>0.5357142857142857</v>
      </c>
      <c r="O93" s="33">
        <v>0.40186915887850466</v>
      </c>
      <c r="P93" s="33">
        <v>0.43438914027149322</v>
      </c>
    </row>
    <row r="94" spans="1:16" x14ac:dyDescent="0.45">
      <c r="A94" s="35">
        <v>91</v>
      </c>
      <c r="B94" s="32">
        <v>-589.00000000000023</v>
      </c>
      <c r="C94" s="32">
        <v>-6.4725274725274753</v>
      </c>
      <c r="D94" s="37">
        <v>2.1538461538461537</v>
      </c>
      <c r="E94" s="33">
        <v>0.27472527472527475</v>
      </c>
      <c r="F94" s="33">
        <v>0.42857142857142855</v>
      </c>
      <c r="G94" s="33">
        <v>0.27518427518427518</v>
      </c>
      <c r="H94" s="33">
        <v>0.16216216216216217</v>
      </c>
      <c r="I94" s="34">
        <v>7093.3035714285716</v>
      </c>
      <c r="J94" s="34">
        <v>-7565.909090909091</v>
      </c>
      <c r="K94" s="33">
        <v>7.6923076923076927E-2</v>
      </c>
      <c r="L94" s="33">
        <v>0.14004914004914004</v>
      </c>
      <c r="M94" s="33">
        <v>0.26535626535626533</v>
      </c>
      <c r="N94" s="33">
        <v>0.53508771929824561</v>
      </c>
      <c r="O94" s="33">
        <v>0.39814814814814814</v>
      </c>
      <c r="P94" s="33">
        <v>0.42857142857142855</v>
      </c>
    </row>
    <row r="95" spans="1:16" x14ac:dyDescent="0.45">
      <c r="A95" s="35">
        <v>92</v>
      </c>
      <c r="B95" s="32">
        <v>-643.60000000000025</v>
      </c>
      <c r="C95" s="32">
        <v>-6.9956521739130464</v>
      </c>
      <c r="D95" s="37">
        <v>2.1630434782608696</v>
      </c>
      <c r="E95" s="33">
        <v>0.27173913043478259</v>
      </c>
      <c r="F95" s="33">
        <v>0.43478260869565216</v>
      </c>
      <c r="G95" s="33">
        <v>0.27527405602923266</v>
      </c>
      <c r="H95" s="33">
        <v>0.16199756394640683</v>
      </c>
      <c r="I95" s="34">
        <v>7083.1858407079644</v>
      </c>
      <c r="J95" s="34">
        <v>-7644.3609022556393</v>
      </c>
      <c r="K95" s="33">
        <v>8.6956521739130432E-2</v>
      </c>
      <c r="L95" s="33">
        <v>0.14007308160779536</v>
      </c>
      <c r="M95" s="33">
        <v>0.26552984165651644</v>
      </c>
      <c r="N95" s="33">
        <v>0.5304347826086957</v>
      </c>
      <c r="O95" s="33">
        <v>0.39908256880733944</v>
      </c>
      <c r="P95" s="33">
        <v>0.4247787610619469</v>
      </c>
    </row>
    <row r="96" spans="1:16" x14ac:dyDescent="0.45">
      <c r="A96" s="35">
        <v>93</v>
      </c>
      <c r="B96" s="32">
        <v>-703.8000000000003</v>
      </c>
      <c r="C96" s="32">
        <v>-7.5677419354838742</v>
      </c>
      <c r="D96" s="37">
        <v>2.172043010752688</v>
      </c>
      <c r="E96" s="33">
        <v>0.26881720430107525</v>
      </c>
      <c r="F96" s="33">
        <v>0.44086021505376344</v>
      </c>
      <c r="G96" s="33">
        <v>0.27283653846153844</v>
      </c>
      <c r="H96" s="33">
        <v>0.16225961538461539</v>
      </c>
      <c r="I96" s="34">
        <v>7057.7092511013216</v>
      </c>
      <c r="J96" s="34">
        <v>-7708.8888888888887</v>
      </c>
      <c r="K96" s="33">
        <v>9.6774193548387094E-2</v>
      </c>
      <c r="L96" s="33">
        <v>0.14182692307692307</v>
      </c>
      <c r="M96" s="33">
        <v>0.26322115384615385</v>
      </c>
      <c r="N96" s="33">
        <v>0.52542372881355937</v>
      </c>
      <c r="O96" s="33">
        <v>0.39726027397260272</v>
      </c>
      <c r="P96" s="33">
        <v>0.42290748898678415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27AF-655F-4A78-A754-66AEC9D016C7}">
  <sheetPr codeName="Sheet6"/>
  <dimension ref="A1:Q36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141</v>
      </c>
      <c r="B1" s="36" t="s">
        <v>141</v>
      </c>
      <c r="C1" s="36" t="s">
        <v>141</v>
      </c>
      <c r="D1" s="37" t="s">
        <v>141</v>
      </c>
      <c r="E1" s="36" t="s">
        <v>141</v>
      </c>
      <c r="F1" s="36" t="s">
        <v>141</v>
      </c>
      <c r="G1" s="36" t="s">
        <v>141</v>
      </c>
      <c r="H1" s="36" t="s">
        <v>141</v>
      </c>
      <c r="I1" s="36" t="s">
        <v>141</v>
      </c>
      <c r="J1" s="36" t="s">
        <v>141</v>
      </c>
      <c r="K1" s="36" t="s">
        <v>141</v>
      </c>
      <c r="L1" s="36" t="s">
        <v>141</v>
      </c>
      <c r="M1" s="36" t="s">
        <v>141</v>
      </c>
      <c r="N1" s="36" t="s">
        <v>141</v>
      </c>
      <c r="O1" s="36" t="s">
        <v>141</v>
      </c>
      <c r="P1" s="36" t="s">
        <v>141</v>
      </c>
      <c r="Q1" s="36" t="s">
        <v>141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0.3</v>
      </c>
      <c r="H4" s="33">
        <v>0.23333333333333334</v>
      </c>
      <c r="I4" s="34">
        <v>8144.4444444444443</v>
      </c>
      <c r="J4" s="34">
        <v>-6471.4285714285716</v>
      </c>
      <c r="K4" s="33">
        <v>0.33333333333333331</v>
      </c>
      <c r="L4" s="33">
        <v>0.36666666666666664</v>
      </c>
      <c r="M4" s="33">
        <v>0.2</v>
      </c>
      <c r="N4" s="33">
        <v>0.45454545454545453</v>
      </c>
      <c r="O4" s="33">
        <v>0.33333333333333331</v>
      </c>
      <c r="P4" s="33">
        <v>0.22222222222222221</v>
      </c>
    </row>
    <row r="5" spans="1:17" x14ac:dyDescent="0.45">
      <c r="A5" s="35">
        <v>2</v>
      </c>
      <c r="B5" s="32">
        <v>3.5527136788005009E-15</v>
      </c>
      <c r="C5" s="32">
        <v>5.9211894646675012E-16</v>
      </c>
      <c r="D5" s="37">
        <v>2</v>
      </c>
      <c r="E5" s="33">
        <v>0.33333333333333331</v>
      </c>
      <c r="F5" s="33">
        <v>0.33333333333333331</v>
      </c>
      <c r="G5" s="33">
        <v>0.2807017543859649</v>
      </c>
      <c r="H5" s="33">
        <v>0.19298245614035087</v>
      </c>
      <c r="I5" s="34">
        <v>8431.25</v>
      </c>
      <c r="J5" s="34">
        <v>-6654.545454545455</v>
      </c>
      <c r="K5" s="33">
        <v>0.16666666666666666</v>
      </c>
      <c r="L5" s="33">
        <v>0.40350877192982454</v>
      </c>
      <c r="M5" s="33">
        <v>0.21052631578947367</v>
      </c>
      <c r="N5" s="33">
        <v>0.47826086956521741</v>
      </c>
      <c r="O5" s="33">
        <v>0.25</v>
      </c>
      <c r="P5" s="33">
        <v>0.3125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0.27777777777777779</v>
      </c>
      <c r="H6" s="33">
        <v>0.17777777777777778</v>
      </c>
      <c r="I6" s="34">
        <v>8212</v>
      </c>
      <c r="J6" s="34">
        <v>-8425</v>
      </c>
      <c r="K6" s="33">
        <v>0.1111111111111111</v>
      </c>
      <c r="L6" s="33">
        <v>0.32222222222222224</v>
      </c>
      <c r="M6" s="33">
        <v>0.18888888888888888</v>
      </c>
      <c r="N6" s="33">
        <v>0.44827586206896552</v>
      </c>
      <c r="O6" s="33">
        <v>0.41176470588235292</v>
      </c>
      <c r="P6" s="33">
        <v>0.36</v>
      </c>
    </row>
    <row r="7" spans="1:17" x14ac:dyDescent="0.45">
      <c r="A7" s="35">
        <v>4</v>
      </c>
      <c r="B7" s="32">
        <v>0</v>
      </c>
      <c r="C7" s="32">
        <v>0</v>
      </c>
      <c r="D7" s="37">
        <v>2</v>
      </c>
      <c r="E7" s="33">
        <v>0.33333333333333331</v>
      </c>
      <c r="F7" s="33">
        <v>0.33333333333333331</v>
      </c>
      <c r="G7" s="33">
        <v>0.29059829059829062</v>
      </c>
      <c r="H7" s="33">
        <v>0.19658119658119658</v>
      </c>
      <c r="I7" s="34">
        <v>9064.7058823529405</v>
      </c>
      <c r="J7" s="34">
        <v>-9934.782608695652</v>
      </c>
      <c r="K7" s="33">
        <v>0.16666666666666666</v>
      </c>
      <c r="L7" s="33">
        <v>0.3247863247863248</v>
      </c>
      <c r="M7" s="33">
        <v>0.1623931623931624</v>
      </c>
      <c r="N7" s="33">
        <v>0.5</v>
      </c>
      <c r="O7" s="33">
        <v>0.42105263157894735</v>
      </c>
      <c r="P7" s="33">
        <v>0.3235294117647059</v>
      </c>
    </row>
    <row r="8" spans="1:17" x14ac:dyDescent="0.45">
      <c r="A8" s="35">
        <v>5</v>
      </c>
      <c r="B8" s="32">
        <v>0</v>
      </c>
      <c r="C8" s="32">
        <v>0</v>
      </c>
      <c r="D8" s="37">
        <v>2</v>
      </c>
      <c r="E8" s="33">
        <v>0.33333333333333331</v>
      </c>
      <c r="F8" s="33">
        <v>0.33333333333333331</v>
      </c>
      <c r="G8" s="33">
        <v>0.29710144927536231</v>
      </c>
      <c r="H8" s="33">
        <v>0.18115942028985507</v>
      </c>
      <c r="I8" s="34">
        <v>8243.9024390243903</v>
      </c>
      <c r="J8" s="34">
        <v>-9244</v>
      </c>
      <c r="K8" s="33">
        <v>0.13333333333333333</v>
      </c>
      <c r="L8" s="33">
        <v>0.31159420289855072</v>
      </c>
      <c r="M8" s="33">
        <v>0.13768115942028986</v>
      </c>
      <c r="N8" s="33">
        <v>0.55813953488372092</v>
      </c>
      <c r="O8" s="33">
        <v>0.42105263157894735</v>
      </c>
      <c r="P8" s="33">
        <v>0.3902439024390244</v>
      </c>
    </row>
    <row r="9" spans="1:17" x14ac:dyDescent="0.45">
      <c r="A9" s="35">
        <v>6</v>
      </c>
      <c r="B9" s="32">
        <v>0</v>
      </c>
      <c r="C9" s="32">
        <v>0</v>
      </c>
      <c r="D9" s="37">
        <v>2</v>
      </c>
      <c r="E9" s="33">
        <v>0.33333333333333331</v>
      </c>
      <c r="F9" s="33">
        <v>0.33333333333333331</v>
      </c>
      <c r="G9" s="33">
        <v>0.30246913580246915</v>
      </c>
      <c r="H9" s="33">
        <v>0.19135802469135801</v>
      </c>
      <c r="I9" s="34">
        <v>7802.0408163265311</v>
      </c>
      <c r="J9" s="34">
        <v>-8583.8709677419356</v>
      </c>
      <c r="K9" s="33">
        <v>0.1111111111111111</v>
      </c>
      <c r="L9" s="33">
        <v>0.30864197530864196</v>
      </c>
      <c r="M9" s="33">
        <v>0.16666666666666666</v>
      </c>
      <c r="N9" s="33">
        <v>0.6</v>
      </c>
      <c r="O9" s="33">
        <v>0.37037037037037035</v>
      </c>
      <c r="P9" s="33">
        <v>0.36734693877551022</v>
      </c>
    </row>
    <row r="10" spans="1:17" x14ac:dyDescent="0.45">
      <c r="A10" s="35">
        <v>7</v>
      </c>
      <c r="B10" s="32">
        <v>7.1054273576010019E-15</v>
      </c>
      <c r="C10" s="32">
        <v>3.3835368369528578E-16</v>
      </c>
      <c r="D10" s="37">
        <v>2</v>
      </c>
      <c r="E10" s="33">
        <v>0.33333333333333331</v>
      </c>
      <c r="F10" s="33">
        <v>0.33333333333333331</v>
      </c>
      <c r="G10" s="33">
        <v>0.30256410256410254</v>
      </c>
      <c r="H10" s="33">
        <v>0.17948717948717949</v>
      </c>
      <c r="I10" s="34">
        <v>7872.8813559322034</v>
      </c>
      <c r="J10" s="34">
        <v>-8954.2857142857138</v>
      </c>
      <c r="K10" s="33">
        <v>9.5238095238095233E-2</v>
      </c>
      <c r="L10" s="33">
        <v>0.29743589743589743</v>
      </c>
      <c r="M10" s="33">
        <v>0.17948717948717949</v>
      </c>
      <c r="N10" s="33">
        <v>0.58620689655172409</v>
      </c>
      <c r="O10" s="33">
        <v>0.42857142857142855</v>
      </c>
      <c r="P10" s="33">
        <v>0.40677966101694918</v>
      </c>
    </row>
    <row r="11" spans="1:17" x14ac:dyDescent="0.45">
      <c r="A11" s="35">
        <v>8</v>
      </c>
      <c r="B11" s="32">
        <v>7.1054273576010019E-15</v>
      </c>
      <c r="C11" s="32">
        <v>2.9605947323337506E-16</v>
      </c>
      <c r="D11" s="37">
        <v>2</v>
      </c>
      <c r="E11" s="33">
        <v>0.33333333333333331</v>
      </c>
      <c r="F11" s="33">
        <v>0.33333333333333331</v>
      </c>
      <c r="G11" s="33">
        <v>0.30092592592592593</v>
      </c>
      <c r="H11" s="33">
        <v>0.18518518518518517</v>
      </c>
      <c r="I11" s="34">
        <v>7818.4615384615381</v>
      </c>
      <c r="J11" s="34">
        <v>-8627.5</v>
      </c>
      <c r="K11" s="33">
        <v>8.3333333333333329E-2</v>
      </c>
      <c r="L11" s="33">
        <v>0.28703703703703703</v>
      </c>
      <c r="M11" s="33">
        <v>0.18981481481481483</v>
      </c>
      <c r="N11" s="33">
        <v>0.59677419354838712</v>
      </c>
      <c r="O11" s="33">
        <v>0.41463414634146339</v>
      </c>
      <c r="P11" s="33">
        <v>0.38461538461538464</v>
      </c>
    </row>
    <row r="12" spans="1:17" x14ac:dyDescent="0.45">
      <c r="A12" s="35">
        <v>9</v>
      </c>
      <c r="B12" s="32">
        <v>6.7723604502134549E-15</v>
      </c>
      <c r="C12" s="32">
        <v>2.5082816482272053E-16</v>
      </c>
      <c r="D12" s="37">
        <v>2</v>
      </c>
      <c r="E12" s="33">
        <v>0.33333333333333331</v>
      </c>
      <c r="F12" s="33">
        <v>0.33333333333333331</v>
      </c>
      <c r="G12" s="33">
        <v>0.30452674897119342</v>
      </c>
      <c r="H12" s="33">
        <v>0.18930041152263374</v>
      </c>
      <c r="I12" s="34">
        <v>7662.1621621621625</v>
      </c>
      <c r="J12" s="34">
        <v>-8258.6956521739139</v>
      </c>
      <c r="K12" s="33">
        <v>7.407407407407407E-2</v>
      </c>
      <c r="L12" s="33">
        <v>0.27983539094650206</v>
      </c>
      <c r="M12" s="33">
        <v>0.18518518518518517</v>
      </c>
      <c r="N12" s="33">
        <v>0.6029411764705882</v>
      </c>
      <c r="O12" s="33">
        <v>0.44444444444444442</v>
      </c>
      <c r="P12" s="33">
        <v>0.3783783783783784</v>
      </c>
    </row>
    <row r="13" spans="1:17" x14ac:dyDescent="0.45">
      <c r="A13" s="35">
        <v>10</v>
      </c>
      <c r="B13" s="32">
        <v>8.4376949871511897E-15</v>
      </c>
      <c r="C13" s="32">
        <v>2.8125649957170631E-16</v>
      </c>
      <c r="D13" s="37">
        <v>2</v>
      </c>
      <c r="E13" s="33">
        <v>0.33333333333333331</v>
      </c>
      <c r="F13" s="33">
        <v>0.33333333333333331</v>
      </c>
      <c r="G13" s="33">
        <v>0.2982456140350877</v>
      </c>
      <c r="H13" s="33">
        <v>0.18245614035087721</v>
      </c>
      <c r="I13" s="34">
        <v>7692.9411764705883</v>
      </c>
      <c r="J13" s="34">
        <v>-8292.3076923076915</v>
      </c>
      <c r="K13" s="33">
        <v>6.6666666666666666E-2</v>
      </c>
      <c r="L13" s="33">
        <v>0.25964912280701752</v>
      </c>
      <c r="M13" s="33">
        <v>0.19298245614035087</v>
      </c>
      <c r="N13" s="33">
        <v>0.59459459459459463</v>
      </c>
      <c r="O13" s="33">
        <v>0.41818181818181815</v>
      </c>
      <c r="P13" s="33">
        <v>0.38823529411764707</v>
      </c>
    </row>
    <row r="14" spans="1:17" x14ac:dyDescent="0.45">
      <c r="A14" s="35">
        <v>11</v>
      </c>
      <c r="B14" s="32">
        <v>7.1054273576010019E-15</v>
      </c>
      <c r="C14" s="32">
        <v>2.153159805333637E-16</v>
      </c>
      <c r="D14" s="37">
        <v>2</v>
      </c>
      <c r="E14" s="33">
        <v>0.33333333333333331</v>
      </c>
      <c r="F14" s="33">
        <v>0.33333333333333331</v>
      </c>
      <c r="G14" s="33">
        <v>0.30188679245283018</v>
      </c>
      <c r="H14" s="33">
        <v>0.19496855345911951</v>
      </c>
      <c r="I14" s="34">
        <v>7796.875</v>
      </c>
      <c r="J14" s="34">
        <v>-8383.8709677419356</v>
      </c>
      <c r="K14" s="33">
        <v>9.0909090909090912E-2</v>
      </c>
      <c r="L14" s="33">
        <v>0.24842767295597484</v>
      </c>
      <c r="M14" s="33">
        <v>0.20754716981132076</v>
      </c>
      <c r="N14" s="33">
        <v>0.60759493670886078</v>
      </c>
      <c r="O14" s="33">
        <v>0.42424242424242425</v>
      </c>
      <c r="P14" s="33">
        <v>0.35416666666666669</v>
      </c>
    </row>
    <row r="15" spans="1:17" x14ac:dyDescent="0.45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0.29597701149425287</v>
      </c>
      <c r="H15" s="33">
        <v>0.18390804597701149</v>
      </c>
      <c r="I15" s="34">
        <v>7711.6504854368932</v>
      </c>
      <c r="J15" s="34">
        <v>-8278.125</v>
      </c>
      <c r="K15" s="33">
        <v>8.3333333333333329E-2</v>
      </c>
      <c r="L15" s="33">
        <v>0.25</v>
      </c>
      <c r="M15" s="33">
        <v>0.20977011494252873</v>
      </c>
      <c r="N15" s="33">
        <v>0.57471264367816088</v>
      </c>
      <c r="O15" s="33">
        <v>0.41095890410958902</v>
      </c>
      <c r="P15" s="33">
        <v>0.37864077669902912</v>
      </c>
    </row>
    <row r="16" spans="1:17" x14ac:dyDescent="0.45">
      <c r="A16" s="35">
        <v>13</v>
      </c>
      <c r="B16" s="32">
        <v>6.2172489379008766E-15</v>
      </c>
      <c r="C16" s="32">
        <v>1.5941663943335581E-16</v>
      </c>
      <c r="D16" s="37">
        <v>2</v>
      </c>
      <c r="E16" s="33">
        <v>0.33333333333333331</v>
      </c>
      <c r="F16" s="33">
        <v>0.33333333333333331</v>
      </c>
      <c r="G16" s="33">
        <v>0.29866666666666669</v>
      </c>
      <c r="H16" s="33">
        <v>0.17866666666666667</v>
      </c>
      <c r="I16" s="34">
        <v>7655.3571428571431</v>
      </c>
      <c r="J16" s="34">
        <v>-8062.686567164179</v>
      </c>
      <c r="K16" s="33">
        <v>7.6923076923076927E-2</v>
      </c>
      <c r="L16" s="33">
        <v>0.248</v>
      </c>
      <c r="M16" s="33">
        <v>0.21866666666666668</v>
      </c>
      <c r="N16" s="33">
        <v>0.59139784946236562</v>
      </c>
      <c r="O16" s="33">
        <v>0.3902439024390244</v>
      </c>
      <c r="P16" s="33">
        <v>0.4017857142857143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0.29353233830845771</v>
      </c>
      <c r="H17" s="33">
        <v>0.17910447761194029</v>
      </c>
      <c r="I17" s="34">
        <v>7859.3220338983047</v>
      </c>
      <c r="J17" s="34">
        <v>-8225</v>
      </c>
      <c r="K17" s="33">
        <v>7.1428571428571425E-2</v>
      </c>
      <c r="L17" s="33">
        <v>0.2462686567164179</v>
      </c>
      <c r="M17" s="33">
        <v>0.21641791044776118</v>
      </c>
      <c r="N17" s="33">
        <v>0.58585858585858586</v>
      </c>
      <c r="O17" s="33">
        <v>0.37931034482758619</v>
      </c>
      <c r="P17" s="33">
        <v>0.38983050847457629</v>
      </c>
    </row>
    <row r="18" spans="1:16" x14ac:dyDescent="0.45">
      <c r="A18" s="35">
        <v>15</v>
      </c>
      <c r="B18" s="32">
        <v>1.1379786002407855E-14</v>
      </c>
      <c r="C18" s="32">
        <v>2.528841333868412E-16</v>
      </c>
      <c r="D18" s="37">
        <v>2</v>
      </c>
      <c r="E18" s="33">
        <v>0.33333333333333331</v>
      </c>
      <c r="F18" s="33">
        <v>0.33333333333333331</v>
      </c>
      <c r="G18" s="33">
        <v>0.29629629629629628</v>
      </c>
      <c r="H18" s="33">
        <v>0.17824074074074073</v>
      </c>
      <c r="I18" s="34">
        <v>7854.6875</v>
      </c>
      <c r="J18" s="34">
        <v>-7992.2077922077924</v>
      </c>
      <c r="K18" s="33">
        <v>6.6666666666666666E-2</v>
      </c>
      <c r="L18" s="33">
        <v>0.24537037037037038</v>
      </c>
      <c r="M18" s="33">
        <v>0.21527777777777779</v>
      </c>
      <c r="N18" s="33">
        <v>0.58490566037735847</v>
      </c>
      <c r="O18" s="33">
        <v>0.38709677419354838</v>
      </c>
      <c r="P18" s="33">
        <v>0.3984375</v>
      </c>
    </row>
    <row r="19" spans="1:16" x14ac:dyDescent="0.45">
      <c r="A19" s="35">
        <v>16</v>
      </c>
      <c r="B19" s="32">
        <v>1.4210854715202004E-14</v>
      </c>
      <c r="C19" s="32">
        <v>2.9605947323337506E-16</v>
      </c>
      <c r="D19" s="37">
        <v>2</v>
      </c>
      <c r="E19" s="33">
        <v>0.33333333333333331</v>
      </c>
      <c r="F19" s="33">
        <v>0.33333333333333331</v>
      </c>
      <c r="G19" s="33">
        <v>0.2982456140350877</v>
      </c>
      <c r="H19" s="33">
        <v>0.18201754385964913</v>
      </c>
      <c r="I19" s="34">
        <v>7907.3529411764703</v>
      </c>
      <c r="J19" s="34">
        <v>-7968.674698795181</v>
      </c>
      <c r="K19" s="33">
        <v>6.25E-2</v>
      </c>
      <c r="L19" s="33">
        <v>0.25438596491228072</v>
      </c>
      <c r="M19" s="33">
        <v>0.21271929824561403</v>
      </c>
      <c r="N19" s="33">
        <v>0.57758620689655171</v>
      </c>
      <c r="O19" s="33">
        <v>0.39175257731958762</v>
      </c>
      <c r="P19" s="33">
        <v>0.38970588235294118</v>
      </c>
    </row>
    <row r="20" spans="1:16" x14ac:dyDescent="0.45">
      <c r="A20" s="35">
        <v>17</v>
      </c>
      <c r="B20" s="32">
        <v>1.4210854715202004E-14</v>
      </c>
      <c r="C20" s="32">
        <v>2.7864421010200007E-16</v>
      </c>
      <c r="D20" s="37">
        <v>2</v>
      </c>
      <c r="E20" s="33">
        <v>0.33333333333333331</v>
      </c>
      <c r="F20" s="33">
        <v>0.33333333333333331</v>
      </c>
      <c r="G20" s="33">
        <v>0.30041152263374488</v>
      </c>
      <c r="H20" s="33">
        <v>0.17489711934156379</v>
      </c>
      <c r="I20" s="34">
        <v>7965.7534246575342</v>
      </c>
      <c r="J20" s="34">
        <v>-7968.2352941176468</v>
      </c>
      <c r="K20" s="33">
        <v>7.8431372549019607E-2</v>
      </c>
      <c r="L20" s="33">
        <v>0.25102880658436216</v>
      </c>
      <c r="M20" s="33">
        <v>0.2139917695473251</v>
      </c>
      <c r="N20" s="33">
        <v>0.57377049180327866</v>
      </c>
      <c r="O20" s="33">
        <v>0.40384615384615385</v>
      </c>
      <c r="P20" s="33">
        <v>0.4178082191780822</v>
      </c>
    </row>
    <row r="21" spans="1:16" x14ac:dyDescent="0.45">
      <c r="A21" s="35">
        <v>18</v>
      </c>
      <c r="B21" s="32">
        <v>1.4210854715202004E-14</v>
      </c>
      <c r="C21" s="32">
        <v>2.631639762074445E-16</v>
      </c>
      <c r="D21" s="37">
        <v>2</v>
      </c>
      <c r="E21" s="33">
        <v>0.33333333333333331</v>
      </c>
      <c r="F21" s="33">
        <v>0.33333333333333331</v>
      </c>
      <c r="G21" s="33">
        <v>0.2982456140350877</v>
      </c>
      <c r="H21" s="33">
        <v>0.17348927875243664</v>
      </c>
      <c r="I21" s="34">
        <v>7864.7058823529414</v>
      </c>
      <c r="J21" s="34">
        <v>-7793.2584269662921</v>
      </c>
      <c r="K21" s="33">
        <v>7.407407407407407E-2</v>
      </c>
      <c r="L21" s="33">
        <v>0.24951267056530213</v>
      </c>
      <c r="M21" s="33">
        <v>0.21442495126705652</v>
      </c>
      <c r="N21" s="33">
        <v>0.5703125</v>
      </c>
      <c r="O21" s="33">
        <v>0.40909090909090912</v>
      </c>
      <c r="P21" s="33">
        <v>0.41830065359477125</v>
      </c>
    </row>
    <row r="22" spans="1:16" x14ac:dyDescent="0.45">
      <c r="A22" s="35">
        <v>19</v>
      </c>
      <c r="B22" s="32">
        <v>1.4210854715202004E-14</v>
      </c>
      <c r="C22" s="32">
        <v>2.49313240617579E-16</v>
      </c>
      <c r="D22" s="37">
        <v>2</v>
      </c>
      <c r="E22" s="33">
        <v>0.33333333333333331</v>
      </c>
      <c r="F22" s="33">
        <v>0.33333333333333331</v>
      </c>
      <c r="G22" s="33">
        <v>0.3</v>
      </c>
      <c r="H22" s="33">
        <v>0.17222222222222222</v>
      </c>
      <c r="I22" s="34">
        <v>7929.0123456790125</v>
      </c>
      <c r="J22" s="34">
        <v>-7923.6559139784949</v>
      </c>
      <c r="K22" s="33">
        <v>7.0175438596491224E-2</v>
      </c>
      <c r="L22" s="33">
        <v>0.24629629629629629</v>
      </c>
      <c r="M22" s="33">
        <v>0.21666666666666667</v>
      </c>
      <c r="N22" s="33">
        <v>0.56390977443609025</v>
      </c>
      <c r="O22" s="33">
        <v>0.42735042735042733</v>
      </c>
      <c r="P22" s="33">
        <v>0.42592592592592593</v>
      </c>
    </row>
    <row r="23" spans="1:16" x14ac:dyDescent="0.45">
      <c r="A23" s="35">
        <v>20</v>
      </c>
      <c r="B23" s="32">
        <v>1.4210854715202004E-14</v>
      </c>
      <c r="C23" s="32">
        <v>2.3684757858670006E-16</v>
      </c>
      <c r="D23" s="37">
        <v>2</v>
      </c>
      <c r="E23" s="33">
        <v>0.33333333333333331</v>
      </c>
      <c r="F23" s="33">
        <v>0.33333333333333331</v>
      </c>
      <c r="G23" s="33">
        <v>0.30017452006980805</v>
      </c>
      <c r="H23" s="33">
        <v>0.17801047120418848</v>
      </c>
      <c r="I23" s="34">
        <v>7907.5581395348836</v>
      </c>
      <c r="J23" s="34">
        <v>-7890.1960784313724</v>
      </c>
      <c r="K23" s="33">
        <v>6.6666666666666666E-2</v>
      </c>
      <c r="L23" s="33">
        <v>0.24083769633507854</v>
      </c>
      <c r="M23" s="33">
        <v>0.21291448516579406</v>
      </c>
      <c r="N23" s="33">
        <v>0.55797101449275366</v>
      </c>
      <c r="O23" s="33">
        <v>0.44262295081967212</v>
      </c>
      <c r="P23" s="33">
        <v>0.40697674418604651</v>
      </c>
    </row>
    <row r="24" spans="1:16" x14ac:dyDescent="0.45">
      <c r="A24" s="35">
        <v>21</v>
      </c>
      <c r="B24" s="32">
        <v>9.7699626167013776E-15</v>
      </c>
      <c r="C24" s="32">
        <v>1.5507877169367265E-16</v>
      </c>
      <c r="D24" s="37">
        <v>2</v>
      </c>
      <c r="E24" s="33">
        <v>0.33333333333333331</v>
      </c>
      <c r="F24" s="33">
        <v>0.33333333333333331</v>
      </c>
      <c r="G24" s="33">
        <v>0.30256410256410254</v>
      </c>
      <c r="H24" s="33">
        <v>0.17948717948717949</v>
      </c>
      <c r="I24" s="34">
        <v>7995.4802259887001</v>
      </c>
      <c r="J24" s="34">
        <v>-8018.0952380952385</v>
      </c>
      <c r="K24" s="33">
        <v>7.9365079365079361E-2</v>
      </c>
      <c r="L24" s="33">
        <v>0.23931623931623933</v>
      </c>
      <c r="M24" s="33">
        <v>0.2153846153846154</v>
      </c>
      <c r="N24" s="33">
        <v>0.55714285714285716</v>
      </c>
      <c r="O24" s="33">
        <v>0.46031746031746029</v>
      </c>
      <c r="P24" s="33">
        <v>0.40112994350282488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0.30406504065040652</v>
      </c>
      <c r="H25" s="33">
        <v>0.1821138211382114</v>
      </c>
      <c r="I25" s="34">
        <v>7971.6577540106955</v>
      </c>
      <c r="J25" s="34">
        <v>-7941.0714285714284</v>
      </c>
      <c r="K25" s="33">
        <v>9.0909090909090912E-2</v>
      </c>
      <c r="L25" s="33">
        <v>0.24390243902439024</v>
      </c>
      <c r="M25" s="33">
        <v>0.216260162601626</v>
      </c>
      <c r="N25" s="33">
        <v>0.57333333333333336</v>
      </c>
      <c r="O25" s="33">
        <v>0.45112781954887216</v>
      </c>
      <c r="P25" s="33">
        <v>0.39572192513368987</v>
      </c>
    </row>
    <row r="26" spans="1:16" x14ac:dyDescent="0.45">
      <c r="A26" s="35">
        <v>23</v>
      </c>
      <c r="B26" s="32">
        <v>3.5527136788005009E-15</v>
      </c>
      <c r="C26" s="32">
        <v>5.1488604040586971E-17</v>
      </c>
      <c r="D26" s="37">
        <v>2</v>
      </c>
      <c r="E26" s="33">
        <v>0.33333333333333331</v>
      </c>
      <c r="F26" s="33">
        <v>0.33333333333333331</v>
      </c>
      <c r="G26" s="33">
        <v>0.30373831775700932</v>
      </c>
      <c r="H26" s="33">
        <v>0.18380062305295949</v>
      </c>
      <c r="I26" s="34">
        <v>8074.3589743589746</v>
      </c>
      <c r="J26" s="34">
        <v>-8050.8474576271183</v>
      </c>
      <c r="K26" s="33">
        <v>0.10144927536231885</v>
      </c>
      <c r="L26" s="33">
        <v>0.24454828660436137</v>
      </c>
      <c r="M26" s="33">
        <v>0.22118380062305296</v>
      </c>
      <c r="N26" s="33">
        <v>0.57324840764331209</v>
      </c>
      <c r="O26" s="33">
        <v>0.44366197183098594</v>
      </c>
      <c r="P26" s="33">
        <v>0.38974358974358975</v>
      </c>
    </row>
    <row r="27" spans="1:16" x14ac:dyDescent="0.45">
      <c r="A27" s="35">
        <v>24</v>
      </c>
      <c r="B27" s="32">
        <v>3.5527136788005009E-15</v>
      </c>
      <c r="C27" s="32">
        <v>4.9343245538895844E-17</v>
      </c>
      <c r="D27" s="37">
        <v>2</v>
      </c>
      <c r="E27" s="33">
        <v>0.33333333333333331</v>
      </c>
      <c r="F27" s="33">
        <v>0.33333333333333331</v>
      </c>
      <c r="G27" s="33">
        <v>0.30222222222222223</v>
      </c>
      <c r="H27" s="33">
        <v>0.18222222222222223</v>
      </c>
      <c r="I27" s="34">
        <v>8148.0392156862745</v>
      </c>
      <c r="J27" s="34">
        <v>-8078.8617886178863</v>
      </c>
      <c r="K27" s="33">
        <v>0.1111111111111111</v>
      </c>
      <c r="L27" s="33">
        <v>0.24148148148148149</v>
      </c>
      <c r="M27" s="33">
        <v>0.22666666666666666</v>
      </c>
      <c r="N27" s="33">
        <v>0.57055214723926384</v>
      </c>
      <c r="O27" s="33">
        <v>0.43137254901960786</v>
      </c>
      <c r="P27" s="33">
        <v>0.39215686274509803</v>
      </c>
    </row>
    <row r="28" spans="1:16" x14ac:dyDescent="0.45">
      <c r="A28" s="35">
        <v>25</v>
      </c>
      <c r="B28" s="32">
        <v>3.5527136788005009E-15</v>
      </c>
      <c r="C28" s="32">
        <v>4.7369515717340015E-17</v>
      </c>
      <c r="D28" s="37">
        <v>2</v>
      </c>
      <c r="E28" s="33">
        <v>0.33333333333333331</v>
      </c>
      <c r="F28" s="33">
        <v>0.33333333333333331</v>
      </c>
      <c r="G28" s="33">
        <v>0.30316091954022989</v>
      </c>
      <c r="H28" s="33">
        <v>0.17959770114942528</v>
      </c>
      <c r="I28" s="34">
        <v>8145.9715639810429</v>
      </c>
      <c r="J28" s="34">
        <v>-8060</v>
      </c>
      <c r="K28" s="33">
        <v>0.10666666666666667</v>
      </c>
      <c r="L28" s="33">
        <v>0.24281609195402298</v>
      </c>
      <c r="M28" s="33">
        <v>0.22557471264367815</v>
      </c>
      <c r="N28" s="33">
        <v>0.57396449704142016</v>
      </c>
      <c r="O28" s="33">
        <v>0.43312101910828027</v>
      </c>
      <c r="P28" s="33">
        <v>0.40284360189573459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0.30027548209366389</v>
      </c>
      <c r="H29" s="33">
        <v>0.1790633608815427</v>
      </c>
      <c r="I29" s="34">
        <v>8187.1559633027518</v>
      </c>
      <c r="J29" s="34">
        <v>-8103.8461538461543</v>
      </c>
      <c r="K29" s="33">
        <v>0.11538461538461539</v>
      </c>
      <c r="L29" s="33">
        <v>0.24655647382920109</v>
      </c>
      <c r="M29" s="33">
        <v>0.22865013774104684</v>
      </c>
      <c r="N29" s="33">
        <v>0.56983240223463683</v>
      </c>
      <c r="O29" s="33">
        <v>0.42168674698795183</v>
      </c>
      <c r="P29" s="33">
        <v>0.39908256880733944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0.29973118279569894</v>
      </c>
      <c r="H30" s="33">
        <v>0.17876344086021506</v>
      </c>
      <c r="I30" s="34">
        <v>8387.4439461883412</v>
      </c>
      <c r="J30" s="34">
        <v>-8143.6090225563912</v>
      </c>
      <c r="K30" s="33">
        <v>0.12345679012345678</v>
      </c>
      <c r="L30" s="33">
        <v>0.24596774193548387</v>
      </c>
      <c r="M30" s="33">
        <v>0.22849462365591397</v>
      </c>
      <c r="N30" s="33">
        <v>0.57377049180327866</v>
      </c>
      <c r="O30" s="33">
        <v>0.41764705882352943</v>
      </c>
      <c r="P30" s="33">
        <v>0.3991031390134529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0.29858429858429858</v>
      </c>
      <c r="H31" s="33">
        <v>0.17760617760617761</v>
      </c>
      <c r="I31" s="34">
        <v>8440.0862068965525</v>
      </c>
      <c r="J31" s="34">
        <v>-8165.217391304348</v>
      </c>
      <c r="K31" s="33">
        <v>0.13095238095238096</v>
      </c>
      <c r="L31" s="33">
        <v>0.24324324324324326</v>
      </c>
      <c r="M31" s="33">
        <v>0.23294723294723294</v>
      </c>
      <c r="N31" s="33">
        <v>0.5714285714285714</v>
      </c>
      <c r="O31" s="33">
        <v>0.40883977900552487</v>
      </c>
      <c r="P31" s="33">
        <v>0.40086206896551724</v>
      </c>
    </row>
    <row r="32" spans="1:16" x14ac:dyDescent="0.45">
      <c r="A32" s="35">
        <v>29</v>
      </c>
      <c r="B32" s="32">
        <v>-4.2188474935755949E-15</v>
      </c>
      <c r="C32" s="32">
        <v>-4.8492499926156265E-17</v>
      </c>
      <c r="D32" s="37">
        <v>2</v>
      </c>
      <c r="E32" s="33">
        <v>0.33333333333333331</v>
      </c>
      <c r="F32" s="33">
        <v>0.33333333333333331</v>
      </c>
      <c r="G32" s="33">
        <v>0.29850746268656714</v>
      </c>
      <c r="H32" s="33">
        <v>0.17910447761194029</v>
      </c>
      <c r="I32" s="34">
        <v>8358.3333333333339</v>
      </c>
      <c r="J32" s="34">
        <v>-8067.3611111111113</v>
      </c>
      <c r="K32" s="33">
        <v>0.12643678160919541</v>
      </c>
      <c r="L32" s="33">
        <v>0.24004975124378108</v>
      </c>
      <c r="M32" s="33">
        <v>0.23383084577114427</v>
      </c>
      <c r="N32" s="33">
        <v>0.5803108808290155</v>
      </c>
      <c r="O32" s="33">
        <v>0.41489361702127658</v>
      </c>
      <c r="P32" s="33">
        <v>0.39583333333333331</v>
      </c>
    </row>
    <row r="33" spans="1:16" x14ac:dyDescent="0.45">
      <c r="A33" s="35">
        <v>30</v>
      </c>
      <c r="B33" s="32">
        <v>-7.1054273576010019E-15</v>
      </c>
      <c r="C33" s="32">
        <v>-7.8949192862233357E-17</v>
      </c>
      <c r="D33" s="37">
        <v>2</v>
      </c>
      <c r="E33" s="33">
        <v>0.33333333333333331</v>
      </c>
      <c r="F33" s="33">
        <v>0.33333333333333331</v>
      </c>
      <c r="G33" s="33">
        <v>0.29863692688971499</v>
      </c>
      <c r="H33" s="33">
        <v>0.17967781908302355</v>
      </c>
      <c r="I33" s="34">
        <v>8522.8215767634847</v>
      </c>
      <c r="J33" s="34">
        <v>-8342.7586206896558</v>
      </c>
      <c r="K33" s="33">
        <v>0.13333333333333333</v>
      </c>
      <c r="L33" s="33">
        <v>0.23915737298636927</v>
      </c>
      <c r="M33" s="33">
        <v>0.23296158612143741</v>
      </c>
      <c r="N33" s="33">
        <v>0.5803108808290155</v>
      </c>
      <c r="O33" s="33">
        <v>0.41489361702127658</v>
      </c>
      <c r="P33" s="33">
        <v>0.39419087136929459</v>
      </c>
    </row>
    <row r="34" spans="1:16" x14ac:dyDescent="0.45">
      <c r="A34" s="35">
        <v>31</v>
      </c>
      <c r="B34" s="32">
        <v>-7.1054273576010019E-15</v>
      </c>
      <c r="C34" s="32">
        <v>-7.6402444705387123E-17</v>
      </c>
      <c r="D34" s="37">
        <v>2</v>
      </c>
      <c r="E34" s="33">
        <v>0.33333333333333331</v>
      </c>
      <c r="F34" s="33">
        <v>0.33333333333333331</v>
      </c>
      <c r="G34" s="33">
        <v>0.29951690821256038</v>
      </c>
      <c r="H34" s="33">
        <v>0.17753623188405798</v>
      </c>
      <c r="I34" s="34">
        <v>8632.6612903225814</v>
      </c>
      <c r="J34" s="34">
        <v>-8262.5850340136058</v>
      </c>
      <c r="K34" s="33">
        <v>0.12903225806451613</v>
      </c>
      <c r="L34" s="33">
        <v>0.2391304347826087</v>
      </c>
      <c r="M34" s="33">
        <v>0.2391304347826087</v>
      </c>
      <c r="N34" s="33">
        <v>0.58080808080808077</v>
      </c>
      <c r="O34" s="33">
        <v>0.41414141414141414</v>
      </c>
      <c r="P34" s="33">
        <v>0.40322580645161288</v>
      </c>
    </row>
    <row r="35" spans="1:16" x14ac:dyDescent="0.45">
      <c r="A35" s="35">
        <v>32</v>
      </c>
      <c r="B35" s="32">
        <v>-5.3290705182007514E-15</v>
      </c>
      <c r="C35" s="32">
        <v>-5.5511151231257827E-17</v>
      </c>
      <c r="D35" s="37">
        <v>2</v>
      </c>
      <c r="E35" s="33">
        <v>0.33333333333333331</v>
      </c>
      <c r="F35" s="33">
        <v>0.33333333333333331</v>
      </c>
      <c r="G35" s="33">
        <v>0.29929577464788731</v>
      </c>
      <c r="H35" s="33">
        <v>0.1795774647887324</v>
      </c>
      <c r="I35" s="34">
        <v>8567.0588235294126</v>
      </c>
      <c r="J35" s="34">
        <v>-8145.751633986928</v>
      </c>
      <c r="K35" s="33">
        <v>0.125</v>
      </c>
      <c r="L35" s="33">
        <v>0.23708920187793428</v>
      </c>
      <c r="M35" s="33">
        <v>0.24178403755868544</v>
      </c>
      <c r="N35" s="33">
        <v>0.58415841584158412</v>
      </c>
      <c r="O35" s="33">
        <v>0.40291262135922329</v>
      </c>
      <c r="P35" s="33">
        <v>0.396078431372549</v>
      </c>
    </row>
    <row r="36" spans="1:16" x14ac:dyDescent="0.45">
      <c r="A36" s="35">
        <v>33</v>
      </c>
      <c r="B36" s="32">
        <v>-1.0658141036401503E-14</v>
      </c>
      <c r="C36" s="32">
        <v>-1.0765799026668185E-16</v>
      </c>
      <c r="D36" s="37">
        <v>2</v>
      </c>
      <c r="E36" s="33">
        <v>0.33333333333333331</v>
      </c>
      <c r="F36" s="33">
        <v>0.33333333333333331</v>
      </c>
      <c r="G36" s="33">
        <v>0.29896907216494845</v>
      </c>
      <c r="H36" s="33">
        <v>0.17869415807560138</v>
      </c>
      <c r="I36" s="34">
        <v>8541.3793103448279</v>
      </c>
      <c r="J36" s="34">
        <v>-8096.1538461538457</v>
      </c>
      <c r="K36" s="33">
        <v>0.12121212121212122</v>
      </c>
      <c r="L36" s="33">
        <v>0.23482245131729668</v>
      </c>
      <c r="M36" s="33">
        <v>0.24513172966781213</v>
      </c>
      <c r="N36" s="33">
        <v>0.59024390243902436</v>
      </c>
      <c r="O36" s="33">
        <v>0.39719626168224298</v>
      </c>
      <c r="P36" s="33">
        <v>0.39846743295019155</v>
      </c>
    </row>
    <row r="37" spans="1:16" x14ac:dyDescent="0.45">
      <c r="A37" s="35">
        <v>34</v>
      </c>
      <c r="B37" s="32">
        <v>-1.4210854715202004E-14</v>
      </c>
      <c r="C37" s="32">
        <v>-1.3932210505100003E-16</v>
      </c>
      <c r="D37" s="37">
        <v>2</v>
      </c>
      <c r="E37" s="33">
        <v>0.33333333333333331</v>
      </c>
      <c r="F37" s="33">
        <v>0.33333333333333331</v>
      </c>
      <c r="G37" s="33">
        <v>0.2969094922737307</v>
      </c>
      <c r="H37" s="33">
        <v>0.17880794701986755</v>
      </c>
      <c r="I37" s="34">
        <v>8488.1040892193305</v>
      </c>
      <c r="J37" s="34">
        <v>-8043.2098765432102</v>
      </c>
      <c r="K37" s="33">
        <v>0.12745098039215685</v>
      </c>
      <c r="L37" s="33">
        <v>0.23509933774834438</v>
      </c>
      <c r="M37" s="33">
        <v>0.24613686534216336</v>
      </c>
      <c r="N37" s="33">
        <v>0.58685446009389675</v>
      </c>
      <c r="O37" s="33">
        <v>0.39013452914798208</v>
      </c>
      <c r="P37" s="33">
        <v>0.39405204460966542</v>
      </c>
    </row>
    <row r="38" spans="1:16" x14ac:dyDescent="0.45">
      <c r="A38" s="35">
        <v>35</v>
      </c>
      <c r="B38" s="32">
        <v>-1.4210854715202004E-14</v>
      </c>
      <c r="C38" s="32">
        <v>-1.3534147347811433E-16</v>
      </c>
      <c r="D38" s="37">
        <v>2</v>
      </c>
      <c r="E38" s="33">
        <v>0.33333333333333331</v>
      </c>
      <c r="F38" s="33">
        <v>0.33333333333333331</v>
      </c>
      <c r="G38" s="33">
        <v>0.2978494623655914</v>
      </c>
      <c r="H38" s="33">
        <v>0.17956989247311828</v>
      </c>
      <c r="I38" s="34">
        <v>8472.9241877256318</v>
      </c>
      <c r="J38" s="34">
        <v>-8056.8862275449101</v>
      </c>
      <c r="K38" s="33">
        <v>0.13333333333333333</v>
      </c>
      <c r="L38" s="33">
        <v>0.23978494623655913</v>
      </c>
      <c r="M38" s="33">
        <v>0.24408602150537634</v>
      </c>
      <c r="N38" s="33">
        <v>0.57847533632286996</v>
      </c>
      <c r="O38" s="33">
        <v>0.3964757709251101</v>
      </c>
      <c r="P38" s="33">
        <v>0.39350180505415161</v>
      </c>
    </row>
    <row r="39" spans="1:16" x14ac:dyDescent="0.45">
      <c r="A39" s="35">
        <v>36</v>
      </c>
      <c r="B39" s="32">
        <v>-2.1316282072803006E-14</v>
      </c>
      <c r="C39" s="32">
        <v>-1.9737298215558337E-16</v>
      </c>
      <c r="D39" s="37">
        <v>2</v>
      </c>
      <c r="E39" s="33">
        <v>0.33333333333333331</v>
      </c>
      <c r="F39" s="33">
        <v>0.33333333333333331</v>
      </c>
      <c r="G39" s="33">
        <v>0.29746835443037972</v>
      </c>
      <c r="H39" s="33">
        <v>0.17721518987341772</v>
      </c>
      <c r="I39" s="34">
        <v>8512.056737588653</v>
      </c>
      <c r="J39" s="34">
        <v>-8043.4523809523807</v>
      </c>
      <c r="K39" s="33">
        <v>0.1388888888888889</v>
      </c>
      <c r="L39" s="33">
        <v>0.24261603375527427</v>
      </c>
      <c r="M39" s="33">
        <v>0.24261603375527427</v>
      </c>
      <c r="N39" s="33">
        <v>0.57391304347826089</v>
      </c>
      <c r="O39" s="33">
        <v>0.39565217391304347</v>
      </c>
      <c r="P39" s="33">
        <v>0.40070921985815605</v>
      </c>
    </row>
    <row r="40" spans="1:16" x14ac:dyDescent="0.45">
      <c r="A40" s="35">
        <v>37</v>
      </c>
      <c r="B40" s="32">
        <v>-2.1316282072803006E-14</v>
      </c>
      <c r="C40" s="32">
        <v>-1.9203857723245952E-16</v>
      </c>
      <c r="D40" s="37">
        <v>2</v>
      </c>
      <c r="E40" s="33">
        <v>0.33333333333333331</v>
      </c>
      <c r="F40" s="33">
        <v>0.33333333333333331</v>
      </c>
      <c r="G40" s="33">
        <v>0.29846153846153844</v>
      </c>
      <c r="H40" s="33">
        <v>0.17948717948717949</v>
      </c>
      <c r="I40" s="34">
        <v>8552.9209621993123</v>
      </c>
      <c r="J40" s="34">
        <v>-8058.2857142857147</v>
      </c>
      <c r="K40" s="33">
        <v>0.13513513513513514</v>
      </c>
      <c r="L40" s="33">
        <v>0.24</v>
      </c>
      <c r="M40" s="33">
        <v>0.24923076923076923</v>
      </c>
      <c r="N40" s="33">
        <v>0.57264957264957261</v>
      </c>
      <c r="O40" s="33">
        <v>0.40329218106995884</v>
      </c>
      <c r="P40" s="33">
        <v>0.3951890034364261</v>
      </c>
    </row>
    <row r="41" spans="1:16" x14ac:dyDescent="0.45">
      <c r="A41" s="35">
        <v>38</v>
      </c>
      <c r="B41" s="32">
        <v>-2.1316282072803006E-14</v>
      </c>
      <c r="C41" s="32">
        <v>-1.8698493046318425E-16</v>
      </c>
      <c r="D41" s="37">
        <v>2</v>
      </c>
      <c r="E41" s="33">
        <v>0.33333333333333331</v>
      </c>
      <c r="F41" s="33">
        <v>0.33333333333333331</v>
      </c>
      <c r="G41" s="33">
        <v>0.29940119760479039</v>
      </c>
      <c r="H41" s="33">
        <v>0.17864271457085829</v>
      </c>
      <c r="I41" s="34">
        <v>8511.3333333333339</v>
      </c>
      <c r="J41" s="34">
        <v>-7970.3910614525139</v>
      </c>
      <c r="K41" s="33">
        <v>0.13157894736842105</v>
      </c>
      <c r="L41" s="33">
        <v>0.23952095808383234</v>
      </c>
      <c r="M41" s="33">
        <v>0.249500998003992</v>
      </c>
      <c r="N41" s="33">
        <v>0.58333333333333337</v>
      </c>
      <c r="O41" s="33">
        <v>0.40400000000000003</v>
      </c>
      <c r="P41" s="33">
        <v>0.4</v>
      </c>
    </row>
    <row r="42" spans="1:16" x14ac:dyDescent="0.45">
      <c r="A42" s="35">
        <v>39</v>
      </c>
      <c r="B42" s="32">
        <v>-1.865174681370263E-14</v>
      </c>
      <c r="C42" s="32">
        <v>-1.5941663943335581E-16</v>
      </c>
      <c r="D42" s="37">
        <v>2</v>
      </c>
      <c r="E42" s="33">
        <v>0.33333333333333331</v>
      </c>
      <c r="F42" s="33">
        <v>0.33333333333333331</v>
      </c>
      <c r="G42" s="33">
        <v>0.29855072463768118</v>
      </c>
      <c r="H42" s="33">
        <v>0.17874396135265699</v>
      </c>
      <c r="I42" s="34">
        <v>8526.8608414239479</v>
      </c>
      <c r="J42" s="34">
        <v>-7971.8918918918916</v>
      </c>
      <c r="K42" s="33">
        <v>0.12820512820512819</v>
      </c>
      <c r="L42" s="33">
        <v>0.23768115942028986</v>
      </c>
      <c r="M42" s="33">
        <v>0.24927536231884059</v>
      </c>
      <c r="N42" s="33">
        <v>0.58130081300813008</v>
      </c>
      <c r="O42" s="33">
        <v>0.40310077519379844</v>
      </c>
      <c r="P42" s="33">
        <v>0.39805825242718446</v>
      </c>
    </row>
    <row r="43" spans="1:16" x14ac:dyDescent="0.45">
      <c r="A43" s="35">
        <v>40</v>
      </c>
      <c r="B43" s="32">
        <v>-2.4868995751603507E-14</v>
      </c>
      <c r="C43" s="32">
        <v>-2.0724163126336256E-16</v>
      </c>
      <c r="D43" s="37">
        <v>2</v>
      </c>
      <c r="E43" s="33">
        <v>0.33333333333333331</v>
      </c>
      <c r="F43" s="33">
        <v>0.33333333333333331</v>
      </c>
      <c r="G43" s="33">
        <v>0.29868913857677903</v>
      </c>
      <c r="H43" s="33">
        <v>0.17883895131086142</v>
      </c>
      <c r="I43" s="34">
        <v>8548.9028213166148</v>
      </c>
      <c r="J43" s="34">
        <v>-8061.2565445026175</v>
      </c>
      <c r="K43" s="33">
        <v>0.125</v>
      </c>
      <c r="L43" s="33">
        <v>0.23876404494382023</v>
      </c>
      <c r="M43" s="33">
        <v>0.25</v>
      </c>
      <c r="N43" s="33">
        <v>0.58431372549019611</v>
      </c>
      <c r="O43" s="33">
        <v>0.4044943820224719</v>
      </c>
      <c r="P43" s="33">
        <v>0.39811912225705332</v>
      </c>
    </row>
    <row r="44" spans="1:16" x14ac:dyDescent="0.45">
      <c r="A44" s="35">
        <v>41</v>
      </c>
      <c r="B44" s="32">
        <v>-2.8421709430404007E-14</v>
      </c>
      <c r="C44" s="32">
        <v>-2.3107080837726838E-16</v>
      </c>
      <c r="D44" s="37">
        <v>2</v>
      </c>
      <c r="E44" s="33">
        <v>0.33333333333333331</v>
      </c>
      <c r="F44" s="33">
        <v>0.33333333333333331</v>
      </c>
      <c r="G44" s="33">
        <v>0.2982456140350877</v>
      </c>
      <c r="H44" s="33">
        <v>0.17820867959372114</v>
      </c>
      <c r="I44" s="34">
        <v>8606.5015479876165</v>
      </c>
      <c r="J44" s="34">
        <v>-8095.8549222797928</v>
      </c>
      <c r="K44" s="33">
        <v>0.13008130081300814</v>
      </c>
      <c r="L44" s="33">
        <v>0.23822714681440443</v>
      </c>
      <c r="M44" s="33">
        <v>0.24838411819021236</v>
      </c>
      <c r="N44" s="33">
        <v>0.57751937984496127</v>
      </c>
      <c r="O44" s="33">
        <v>0.40892193308550184</v>
      </c>
      <c r="P44" s="33">
        <v>0.39938080495356038</v>
      </c>
    </row>
    <row r="45" spans="1:16" x14ac:dyDescent="0.45">
      <c r="A45" s="35">
        <v>42</v>
      </c>
      <c r="B45" s="32">
        <v>-2.6645352591003757E-14</v>
      </c>
      <c r="C45" s="32">
        <v>-2.1147105230955362E-16</v>
      </c>
      <c r="D45" s="37">
        <v>2</v>
      </c>
      <c r="E45" s="33">
        <v>0.33333333333333331</v>
      </c>
      <c r="F45" s="33">
        <v>0.33333333333333331</v>
      </c>
      <c r="G45" s="33">
        <v>0.29579982126899018</v>
      </c>
      <c r="H45" s="33">
        <v>0.17515638963360142</v>
      </c>
      <c r="I45" s="34">
        <v>8548.9425981873119</v>
      </c>
      <c r="J45" s="34">
        <v>-8021.9387755102043</v>
      </c>
      <c r="K45" s="33">
        <v>0.12698412698412698</v>
      </c>
      <c r="L45" s="33">
        <v>0.23949955317247543</v>
      </c>
      <c r="M45" s="33">
        <v>0.25201072386058981</v>
      </c>
      <c r="N45" s="33">
        <v>0.57089552238805974</v>
      </c>
      <c r="O45" s="33">
        <v>0.40425531914893614</v>
      </c>
      <c r="P45" s="33">
        <v>0.40483383685800606</v>
      </c>
    </row>
    <row r="46" spans="1:16" x14ac:dyDescent="0.45">
      <c r="A46" s="35">
        <v>43</v>
      </c>
      <c r="B46" s="32">
        <v>-2.8421709430404007E-14</v>
      </c>
      <c r="C46" s="32">
        <v>-2.2032332891786052E-16</v>
      </c>
      <c r="D46" s="37">
        <v>2</v>
      </c>
      <c r="E46" s="33">
        <v>0.33333333333333331</v>
      </c>
      <c r="F46" s="33">
        <v>0.33333333333333331</v>
      </c>
      <c r="G46" s="33">
        <v>0.29610389610389609</v>
      </c>
      <c r="H46" s="33">
        <v>0.1748917748917749</v>
      </c>
      <c r="I46" s="34">
        <v>8503.5087719298244</v>
      </c>
      <c r="J46" s="34">
        <v>-7950</v>
      </c>
      <c r="K46" s="33">
        <v>0.12403100775193798</v>
      </c>
      <c r="L46" s="33">
        <v>0.23463203463203464</v>
      </c>
      <c r="M46" s="33">
        <v>0.25800865800865802</v>
      </c>
      <c r="N46" s="33">
        <v>0.5719557195571956</v>
      </c>
      <c r="O46" s="33">
        <v>0.40268456375838924</v>
      </c>
      <c r="P46" s="33">
        <v>0.4064327485380117</v>
      </c>
    </row>
    <row r="47" spans="1:16" x14ac:dyDescent="0.45">
      <c r="A47" s="35">
        <v>44</v>
      </c>
      <c r="B47" s="32">
        <v>-2.8421709430404007E-14</v>
      </c>
      <c r="C47" s="32">
        <v>-2.153159805333637E-16</v>
      </c>
      <c r="D47" s="37">
        <v>2</v>
      </c>
      <c r="E47" s="33">
        <v>0.33333333333333331</v>
      </c>
      <c r="F47" s="33">
        <v>0.33333333333333331</v>
      </c>
      <c r="G47" s="33">
        <v>0.2970464135021097</v>
      </c>
      <c r="H47" s="33">
        <v>0.17468354430379746</v>
      </c>
      <c r="I47" s="34">
        <v>8463.068181818182</v>
      </c>
      <c r="J47" s="34">
        <v>-7928.5024154589373</v>
      </c>
      <c r="K47" s="33">
        <v>0.12121212121212122</v>
      </c>
      <c r="L47" s="33">
        <v>0.2320675105485232</v>
      </c>
      <c r="M47" s="33">
        <v>0.25907172995780592</v>
      </c>
      <c r="N47" s="33">
        <v>0.57454545454545458</v>
      </c>
      <c r="O47" s="33">
        <v>0.40390879478827363</v>
      </c>
      <c r="P47" s="33">
        <v>0.40909090909090912</v>
      </c>
    </row>
    <row r="48" spans="1:16" x14ac:dyDescent="0.45">
      <c r="A48" s="35">
        <v>45</v>
      </c>
      <c r="B48" s="32">
        <v>-3.0198066269804258E-14</v>
      </c>
      <c r="C48" s="32">
        <v>-2.2368937977632781E-16</v>
      </c>
      <c r="D48" s="37">
        <v>2</v>
      </c>
      <c r="E48" s="33">
        <v>0.33333333333333331</v>
      </c>
      <c r="F48" s="33">
        <v>0.33333333333333331</v>
      </c>
      <c r="G48" s="33">
        <v>0.29729729729729731</v>
      </c>
      <c r="H48" s="33">
        <v>0.17362817362817362</v>
      </c>
      <c r="I48" s="34">
        <v>8351.7906336088163</v>
      </c>
      <c r="J48" s="34">
        <v>-7823.5849056603774</v>
      </c>
      <c r="K48" s="33">
        <v>0.11851851851851852</v>
      </c>
      <c r="L48" s="33">
        <v>0.23013923013923013</v>
      </c>
      <c r="M48" s="33">
        <v>0.25716625716625718</v>
      </c>
      <c r="N48" s="33">
        <v>0.57651245551601427</v>
      </c>
      <c r="O48" s="33">
        <v>0.40764331210191085</v>
      </c>
      <c r="P48" s="33">
        <v>0.41322314049586778</v>
      </c>
    </row>
    <row r="49" spans="1:16" x14ac:dyDescent="0.45">
      <c r="A49" s="35">
        <v>46</v>
      </c>
      <c r="B49" s="32">
        <v>-2.5757174171303632E-14</v>
      </c>
      <c r="C49" s="32">
        <v>-1.8664618964712776E-16</v>
      </c>
      <c r="D49" s="37">
        <v>2</v>
      </c>
      <c r="E49" s="33">
        <v>0.33333333333333331</v>
      </c>
      <c r="F49" s="33">
        <v>0.33333333333333331</v>
      </c>
      <c r="G49" s="33">
        <v>0.29496402877697842</v>
      </c>
      <c r="H49" s="33">
        <v>0.17346123101518784</v>
      </c>
      <c r="I49" s="34">
        <v>8327.1002710027096</v>
      </c>
      <c r="J49" s="34">
        <v>-7822.5806451612907</v>
      </c>
      <c r="K49" s="33">
        <v>0.11594202898550725</v>
      </c>
      <c r="L49" s="33">
        <v>0.23341326938449242</v>
      </c>
      <c r="M49" s="33">
        <v>0.25659472422062352</v>
      </c>
      <c r="N49" s="33">
        <v>0.56849315068493156</v>
      </c>
      <c r="O49" s="33">
        <v>0.40186915887850466</v>
      </c>
      <c r="P49" s="33">
        <v>0.40921409214092141</v>
      </c>
    </row>
    <row r="50" spans="1:16" x14ac:dyDescent="0.45">
      <c r="A50" s="35">
        <v>47</v>
      </c>
      <c r="B50" s="32">
        <v>-2.3980817331903381E-14</v>
      </c>
      <c r="C50" s="32">
        <v>-1.7007671866598143E-16</v>
      </c>
      <c r="D50" s="37">
        <v>2</v>
      </c>
      <c r="E50" s="33">
        <v>0.33333333333333331</v>
      </c>
      <c r="F50" s="33">
        <v>0.33333333333333331</v>
      </c>
      <c r="G50" s="33">
        <v>0.29411764705882354</v>
      </c>
      <c r="H50" s="33">
        <v>0.17254901960784313</v>
      </c>
      <c r="I50" s="34">
        <v>8288.5333333333328</v>
      </c>
      <c r="J50" s="34">
        <v>-7786.363636363636</v>
      </c>
      <c r="K50" s="33">
        <v>0.11347517730496454</v>
      </c>
      <c r="L50" s="33">
        <v>0.23372549019607844</v>
      </c>
      <c r="M50" s="33">
        <v>0.25803921568627453</v>
      </c>
      <c r="N50" s="33">
        <v>0.56711409395973156</v>
      </c>
      <c r="O50" s="33">
        <v>0.40121580547112462</v>
      </c>
      <c r="P50" s="33">
        <v>0.41066666666666668</v>
      </c>
    </row>
    <row r="51" spans="1:16" x14ac:dyDescent="0.45">
      <c r="A51" s="35">
        <v>48</v>
      </c>
      <c r="B51" s="32">
        <v>-2.1316282072803006E-14</v>
      </c>
      <c r="C51" s="32">
        <v>-1.4802973661668753E-16</v>
      </c>
      <c r="D51" s="37">
        <v>2</v>
      </c>
      <c r="E51" s="33">
        <v>0.33333333333333331</v>
      </c>
      <c r="F51" s="33">
        <v>0.33333333333333331</v>
      </c>
      <c r="G51" s="33">
        <v>0.29484218629715164</v>
      </c>
      <c r="H51" s="33">
        <v>0.17321016166281755</v>
      </c>
      <c r="I51" s="34">
        <v>8333.4203655352485</v>
      </c>
      <c r="J51" s="34">
        <v>-7788.8888888888887</v>
      </c>
      <c r="K51" s="33">
        <v>0.11805555555555555</v>
      </c>
      <c r="L51" s="33">
        <v>0.23556581986143188</v>
      </c>
      <c r="M51" s="33">
        <v>0.25789068514241725</v>
      </c>
      <c r="N51" s="33">
        <v>0.55882352941176472</v>
      </c>
      <c r="O51" s="33">
        <v>0.40895522388059702</v>
      </c>
      <c r="P51" s="33">
        <v>0.40992167101827676</v>
      </c>
    </row>
    <row r="52" spans="1:16" x14ac:dyDescent="0.45">
      <c r="A52" s="35">
        <v>49</v>
      </c>
      <c r="B52" s="32">
        <v>-2.1316282072803006E-14</v>
      </c>
      <c r="C52" s="32">
        <v>-1.450087215836939E-16</v>
      </c>
      <c r="D52" s="37">
        <v>2</v>
      </c>
      <c r="E52" s="33">
        <v>0.33333333333333331</v>
      </c>
      <c r="F52" s="33">
        <v>0.33333333333333331</v>
      </c>
      <c r="G52" s="33">
        <v>0.29460895975702356</v>
      </c>
      <c r="H52" s="33">
        <v>0.17312072892938496</v>
      </c>
      <c r="I52" s="34">
        <v>8398.9690721649476</v>
      </c>
      <c r="J52" s="34">
        <v>-7939.4736842105267</v>
      </c>
      <c r="K52" s="33">
        <v>0.12244897959183673</v>
      </c>
      <c r="L52" s="33">
        <v>0.23690205011389523</v>
      </c>
      <c r="M52" s="33">
        <v>0.25664388762338647</v>
      </c>
      <c r="N52" s="33">
        <v>0.55128205128205132</v>
      </c>
      <c r="O52" s="33">
        <v>0.41420118343195267</v>
      </c>
      <c r="P52" s="33">
        <v>0.40979381443298968</v>
      </c>
    </row>
    <row r="53" spans="1:16" x14ac:dyDescent="0.45">
      <c r="A53" s="35">
        <v>50</v>
      </c>
      <c r="B53" s="32">
        <v>-2.1316282072803006E-14</v>
      </c>
      <c r="C53" s="32">
        <v>-1.4210854715202004E-16</v>
      </c>
      <c r="D53" s="37">
        <v>2</v>
      </c>
      <c r="E53" s="33">
        <v>0.33333333333333331</v>
      </c>
      <c r="F53" s="33">
        <v>0.33333333333333331</v>
      </c>
      <c r="G53" s="33">
        <v>0.29315476190476192</v>
      </c>
      <c r="H53" s="33">
        <v>0.17261904761904762</v>
      </c>
      <c r="I53" s="34">
        <v>8369.5431472081218</v>
      </c>
      <c r="J53" s="34">
        <v>-7939.6551724137935</v>
      </c>
      <c r="K53" s="33">
        <v>0.12</v>
      </c>
      <c r="L53" s="33">
        <v>0.23586309523809523</v>
      </c>
      <c r="M53" s="33">
        <v>0.25744047619047616</v>
      </c>
      <c r="N53" s="33">
        <v>0.5457413249211357</v>
      </c>
      <c r="O53" s="33">
        <v>0.41618497109826591</v>
      </c>
      <c r="P53" s="33">
        <v>0.40862944162436549</v>
      </c>
    </row>
    <row r="54" spans="1:16" x14ac:dyDescent="0.45">
      <c r="A54" s="35">
        <v>51</v>
      </c>
      <c r="B54" s="32">
        <v>-2.8421709430404007E-14</v>
      </c>
      <c r="C54" s="32">
        <v>-1.8576280673466672E-16</v>
      </c>
      <c r="D54" s="37">
        <v>2</v>
      </c>
      <c r="E54" s="33">
        <v>0.33333333333333331</v>
      </c>
      <c r="F54" s="33">
        <v>0.33333333333333331</v>
      </c>
      <c r="G54" s="33">
        <v>0.29304029304029305</v>
      </c>
      <c r="H54" s="33">
        <v>0.17216117216117216</v>
      </c>
      <c r="I54" s="34">
        <v>8396</v>
      </c>
      <c r="J54" s="34">
        <v>-8017.0212765957449</v>
      </c>
      <c r="K54" s="33">
        <v>0.12418300653594772</v>
      </c>
      <c r="L54" s="33">
        <v>0.23663003663003662</v>
      </c>
      <c r="M54" s="33">
        <v>0.25567765567765566</v>
      </c>
      <c r="N54" s="33">
        <v>0.54489164086687303</v>
      </c>
      <c r="O54" s="33">
        <v>0.41833810888252149</v>
      </c>
      <c r="P54" s="33">
        <v>0.41</v>
      </c>
    </row>
    <row r="55" spans="1:16" x14ac:dyDescent="0.45">
      <c r="A55" s="35">
        <v>52</v>
      </c>
      <c r="B55" s="32">
        <v>-2.9309887850104133E-14</v>
      </c>
      <c r="C55" s="32">
        <v>-1.8788389647502649E-16</v>
      </c>
      <c r="D55" s="37">
        <v>2</v>
      </c>
      <c r="E55" s="33">
        <v>0.33333333333333331</v>
      </c>
      <c r="F55" s="33">
        <v>0.33333333333333331</v>
      </c>
      <c r="G55" s="33">
        <v>0.29292929292929293</v>
      </c>
      <c r="H55" s="33">
        <v>0.17243867243867245</v>
      </c>
      <c r="I55" s="34">
        <v>8337.4384236453207</v>
      </c>
      <c r="J55" s="34">
        <v>-7953.1380753138073</v>
      </c>
      <c r="K55" s="33">
        <v>0.12179487179487179</v>
      </c>
      <c r="L55" s="33">
        <v>0.23809523809523808</v>
      </c>
      <c r="M55" s="33">
        <v>0.25396825396825395</v>
      </c>
      <c r="N55" s="33">
        <v>0.54545454545454541</v>
      </c>
      <c r="O55" s="33">
        <v>0.42045454545454547</v>
      </c>
      <c r="P55" s="33">
        <v>0.40886699507389163</v>
      </c>
    </row>
    <row r="56" spans="1:16" x14ac:dyDescent="0.45">
      <c r="A56" s="35">
        <v>53</v>
      </c>
      <c r="B56" s="32">
        <v>-3.1974423109204508E-14</v>
      </c>
      <c r="C56" s="32">
        <v>-2.0109700068682081E-16</v>
      </c>
      <c r="D56" s="37">
        <v>2</v>
      </c>
      <c r="E56" s="33">
        <v>0.33333333333333331</v>
      </c>
      <c r="F56" s="33">
        <v>0.33333333333333331</v>
      </c>
      <c r="G56" s="33">
        <v>0.29307909604519772</v>
      </c>
      <c r="H56" s="33">
        <v>0.17090395480225989</v>
      </c>
      <c r="I56" s="34">
        <v>8356.3855421686749</v>
      </c>
      <c r="J56" s="34">
        <v>-7989.2561983471078</v>
      </c>
      <c r="K56" s="33">
        <v>0.11949685534591195</v>
      </c>
      <c r="L56" s="33">
        <v>0.23799435028248589</v>
      </c>
      <c r="M56" s="33">
        <v>0.25141242937853109</v>
      </c>
      <c r="N56" s="33">
        <v>0.54896142433234418</v>
      </c>
      <c r="O56" s="33">
        <v>0.42134831460674155</v>
      </c>
      <c r="P56" s="33">
        <v>0.41445783132530123</v>
      </c>
    </row>
    <row r="57" spans="1:16" x14ac:dyDescent="0.45">
      <c r="A57" s="35">
        <v>54</v>
      </c>
      <c r="B57" s="32">
        <v>-3.5527136788005009E-14</v>
      </c>
      <c r="C57" s="32">
        <v>-2.1930331350620375E-16</v>
      </c>
      <c r="D57" s="37">
        <v>2</v>
      </c>
      <c r="E57" s="33">
        <v>0.33333333333333331</v>
      </c>
      <c r="F57" s="33">
        <v>0.33333333333333331</v>
      </c>
      <c r="G57" s="33">
        <v>0.29183955739972339</v>
      </c>
      <c r="H57" s="33">
        <v>0.17081604426002767</v>
      </c>
      <c r="I57" s="34">
        <v>8332.7014218009481</v>
      </c>
      <c r="J57" s="34">
        <v>-7944.1295546558704</v>
      </c>
      <c r="K57" s="33">
        <v>0.11728395061728394</v>
      </c>
      <c r="L57" s="33">
        <v>0.23720608575380359</v>
      </c>
      <c r="M57" s="33">
        <v>0.24896265560165975</v>
      </c>
      <c r="N57" s="33">
        <v>0.54810495626822153</v>
      </c>
      <c r="O57" s="33">
        <v>0.42499999999999999</v>
      </c>
      <c r="P57" s="33">
        <v>0.41232227488151657</v>
      </c>
    </row>
    <row r="58" spans="1:16" x14ac:dyDescent="0.45">
      <c r="A58" s="35">
        <v>55</v>
      </c>
      <c r="B58" s="32">
        <v>-3.5527136788005009E-14</v>
      </c>
      <c r="C58" s="32">
        <v>-2.153159805333637E-16</v>
      </c>
      <c r="D58" s="37">
        <v>2</v>
      </c>
      <c r="E58" s="33">
        <v>0.33333333333333331</v>
      </c>
      <c r="F58" s="33">
        <v>0.33333333333333331</v>
      </c>
      <c r="G58" s="33">
        <v>0.29149519890260633</v>
      </c>
      <c r="H58" s="33">
        <v>0.17146776406035666</v>
      </c>
      <c r="I58" s="34">
        <v>8346.3529411764703</v>
      </c>
      <c r="J58" s="34">
        <v>-7972</v>
      </c>
      <c r="K58" s="33">
        <v>0.12121212121212122</v>
      </c>
      <c r="L58" s="33">
        <v>0.23731138545953362</v>
      </c>
      <c r="M58" s="33">
        <v>0.24828532235939643</v>
      </c>
      <c r="N58" s="33">
        <v>0.54624277456647397</v>
      </c>
      <c r="O58" s="33">
        <v>0.425414364640884</v>
      </c>
      <c r="P58" s="33">
        <v>0.40941176470588236</v>
      </c>
    </row>
    <row r="59" spans="1:16" x14ac:dyDescent="0.45">
      <c r="A59" s="35">
        <v>56</v>
      </c>
      <c r="B59" s="32">
        <v>-3.5527136788005009E-14</v>
      </c>
      <c r="C59" s="32">
        <v>-2.1147105230955362E-16</v>
      </c>
      <c r="D59" s="37">
        <v>2</v>
      </c>
      <c r="E59" s="33">
        <v>0.33333333333333331</v>
      </c>
      <c r="F59" s="33">
        <v>0.33333333333333331</v>
      </c>
      <c r="G59" s="33">
        <v>0.28950863213811423</v>
      </c>
      <c r="H59" s="33">
        <v>0.17131474103585656</v>
      </c>
      <c r="I59" s="34">
        <v>8341.7431192660551</v>
      </c>
      <c r="J59" s="34">
        <v>-7925.1937984496126</v>
      </c>
      <c r="K59" s="33">
        <v>0.11904761904761904</v>
      </c>
      <c r="L59" s="33">
        <v>0.23904382470119523</v>
      </c>
      <c r="M59" s="33">
        <v>0.24966799468791501</v>
      </c>
      <c r="N59" s="33">
        <v>0.54166666666666663</v>
      </c>
      <c r="O59" s="33">
        <v>0.42021276595744683</v>
      </c>
      <c r="P59" s="33">
        <v>0.40596330275229359</v>
      </c>
    </row>
    <row r="60" spans="1:16" x14ac:dyDescent="0.45">
      <c r="A60" s="35">
        <v>57</v>
      </c>
      <c r="B60" s="32">
        <v>-3.5527136788005009E-14</v>
      </c>
      <c r="C60" s="32">
        <v>-2.077610338479825E-16</v>
      </c>
      <c r="D60" s="37">
        <v>2</v>
      </c>
      <c r="E60" s="33">
        <v>0.33333333333333331</v>
      </c>
      <c r="F60" s="33">
        <v>0.33333333333333331</v>
      </c>
      <c r="G60" s="33">
        <v>0.29002624671916011</v>
      </c>
      <c r="H60" s="33">
        <v>0.17125984251968504</v>
      </c>
      <c r="I60" s="34">
        <v>8290.4977375565613</v>
      </c>
      <c r="J60" s="34">
        <v>-7888.5057471264372</v>
      </c>
      <c r="K60" s="33">
        <v>0.11695906432748537</v>
      </c>
      <c r="L60" s="33">
        <v>0.23818897637795275</v>
      </c>
      <c r="M60" s="33">
        <v>0.24803149606299213</v>
      </c>
      <c r="N60" s="33">
        <v>0.54545454545454541</v>
      </c>
      <c r="O60" s="33">
        <v>0.42328042328042326</v>
      </c>
      <c r="P60" s="33">
        <v>0.40723981900452488</v>
      </c>
    </row>
    <row r="61" spans="1:16" x14ac:dyDescent="0.45">
      <c r="A61" s="35">
        <v>58</v>
      </c>
      <c r="B61" s="32">
        <v>-3.5527136788005009E-14</v>
      </c>
      <c r="C61" s="32">
        <v>-2.0417894705750005E-16</v>
      </c>
      <c r="D61" s="37">
        <v>2</v>
      </c>
      <c r="E61" s="33">
        <v>0.33333333333333331</v>
      </c>
      <c r="F61" s="33">
        <v>0.33333333333333331</v>
      </c>
      <c r="G61" s="33">
        <v>0.29069767441860467</v>
      </c>
      <c r="H61" s="33">
        <v>0.17118863049095606</v>
      </c>
      <c r="I61" s="34">
        <v>8229.7777777777774</v>
      </c>
      <c r="J61" s="34">
        <v>-7834.3396226415098</v>
      </c>
      <c r="K61" s="33">
        <v>0.11494252873563218</v>
      </c>
      <c r="L61" s="33">
        <v>0.23708010335917312</v>
      </c>
      <c r="M61" s="33">
        <v>0.24935400516795866</v>
      </c>
      <c r="N61" s="33">
        <v>0.54495912806539515</v>
      </c>
      <c r="O61" s="33">
        <v>0.42746113989637308</v>
      </c>
      <c r="P61" s="33">
        <v>0.40888888888888891</v>
      </c>
    </row>
    <row r="62" spans="1:16" x14ac:dyDescent="0.45">
      <c r="A62" s="35">
        <v>59</v>
      </c>
      <c r="B62" s="32">
        <v>-4.2632564145606011E-14</v>
      </c>
      <c r="C62" s="32">
        <v>-2.4086194432545769E-16</v>
      </c>
      <c r="D62" s="37">
        <v>2</v>
      </c>
      <c r="E62" s="33">
        <v>0.33333333333333331</v>
      </c>
      <c r="F62" s="33">
        <v>0.33333333333333331</v>
      </c>
      <c r="G62" s="33">
        <v>0.29118773946360155</v>
      </c>
      <c r="H62" s="33">
        <v>0.17241379310344829</v>
      </c>
      <c r="I62" s="34">
        <v>8244.9561403508778</v>
      </c>
      <c r="J62" s="34">
        <v>-7854.8148148148148</v>
      </c>
      <c r="K62" s="33">
        <v>0.11864406779661017</v>
      </c>
      <c r="L62" s="33">
        <v>0.23690932311621968</v>
      </c>
      <c r="M62" s="33">
        <v>0.24968071519795657</v>
      </c>
      <c r="N62" s="33">
        <v>0.54716981132075471</v>
      </c>
      <c r="O62" s="33">
        <v>0.42710997442455245</v>
      </c>
      <c r="P62" s="33">
        <v>0.4057017543859649</v>
      </c>
    </row>
    <row r="63" spans="1:16" x14ac:dyDescent="0.45">
      <c r="A63" s="35">
        <v>60</v>
      </c>
      <c r="B63" s="32">
        <v>-4.2632564145606011E-14</v>
      </c>
      <c r="C63" s="32">
        <v>-2.3684757858670006E-16</v>
      </c>
      <c r="D63" s="37">
        <v>2</v>
      </c>
      <c r="E63" s="33">
        <v>0.33333333333333331</v>
      </c>
      <c r="F63" s="33">
        <v>0.33333333333333331</v>
      </c>
      <c r="G63" s="33">
        <v>0.29182389937106917</v>
      </c>
      <c r="H63" s="33">
        <v>0.17232704402515722</v>
      </c>
      <c r="I63" s="34">
        <v>8244.1810344827591</v>
      </c>
      <c r="J63" s="34">
        <v>-7844.8905109489051</v>
      </c>
      <c r="K63" s="33">
        <v>0.11666666666666667</v>
      </c>
      <c r="L63" s="33">
        <v>0.23710691823899371</v>
      </c>
      <c r="M63" s="33">
        <v>0.25094339622641509</v>
      </c>
      <c r="N63" s="33">
        <v>0.55172413793103448</v>
      </c>
      <c r="O63" s="33">
        <v>0.42606516290726815</v>
      </c>
      <c r="P63" s="33">
        <v>0.40732758620689657</v>
      </c>
    </row>
    <row r="64" spans="1:16" x14ac:dyDescent="0.45">
      <c r="A64" s="35">
        <v>61</v>
      </c>
      <c r="B64" s="32">
        <v>-4.2632564145606011E-14</v>
      </c>
      <c r="C64" s="32">
        <v>-2.3296483139675417E-16</v>
      </c>
      <c r="D64" s="37">
        <v>2</v>
      </c>
      <c r="E64" s="33">
        <v>0.33333333333333331</v>
      </c>
      <c r="F64" s="33">
        <v>0.33333333333333331</v>
      </c>
      <c r="G64" s="33">
        <v>0.29174425822470518</v>
      </c>
      <c r="H64" s="33">
        <v>0.17194289261328369</v>
      </c>
      <c r="I64" s="34">
        <v>8257.8723404255325</v>
      </c>
      <c r="J64" s="34">
        <v>-7916.2454873646211</v>
      </c>
      <c r="K64" s="33">
        <v>0.11475409836065574</v>
      </c>
      <c r="L64" s="33">
        <v>0.23711980136561142</v>
      </c>
      <c r="M64" s="33">
        <v>0.25139664804469275</v>
      </c>
      <c r="N64" s="33">
        <v>0.55759162303664922</v>
      </c>
      <c r="O64" s="33">
        <v>0.42222222222222222</v>
      </c>
      <c r="P64" s="33">
        <v>0.40851063829787232</v>
      </c>
    </row>
    <row r="65" spans="1:16" x14ac:dyDescent="0.45">
      <c r="A65" s="35">
        <v>62</v>
      </c>
      <c r="B65" s="32">
        <v>-3.5527136788005009E-14</v>
      </c>
      <c r="C65" s="32">
        <v>-1.9100611176346779E-16</v>
      </c>
      <c r="D65" s="37">
        <v>2</v>
      </c>
      <c r="E65" s="33">
        <v>0.33333333333333331</v>
      </c>
      <c r="F65" s="33">
        <v>0.33333333333333331</v>
      </c>
      <c r="G65" s="33">
        <v>0.2922794117647059</v>
      </c>
      <c r="H65" s="33">
        <v>0.17156862745098039</v>
      </c>
      <c r="I65" s="34">
        <v>8272.9559748427673</v>
      </c>
      <c r="J65" s="34">
        <v>-7906.4285714285716</v>
      </c>
      <c r="K65" s="33">
        <v>0.11290322580645161</v>
      </c>
      <c r="L65" s="33">
        <v>0.23897058823529413</v>
      </c>
      <c r="M65" s="33">
        <v>0.25</v>
      </c>
      <c r="N65" s="33">
        <v>0.55897435897435899</v>
      </c>
      <c r="O65" s="33">
        <v>0.42156862745098039</v>
      </c>
      <c r="P65" s="33">
        <v>0.41090146750524109</v>
      </c>
    </row>
    <row r="66" spans="1:16" x14ac:dyDescent="0.45">
      <c r="A66" s="35">
        <v>63</v>
      </c>
      <c r="B66" s="32">
        <v>-4.2632564145606011E-14</v>
      </c>
      <c r="C66" s="32">
        <v>-2.2556912246352386E-16</v>
      </c>
      <c r="D66" s="37">
        <v>2</v>
      </c>
      <c r="E66" s="33">
        <v>0.33333333333333331</v>
      </c>
      <c r="F66" s="33">
        <v>0.33333333333333331</v>
      </c>
      <c r="G66" s="33">
        <v>0.2922705314009662</v>
      </c>
      <c r="H66" s="33">
        <v>0.17028985507246377</v>
      </c>
      <c r="I66" s="34">
        <v>8286.5702479338852</v>
      </c>
      <c r="J66" s="34">
        <v>-7896.0992907801419</v>
      </c>
      <c r="K66" s="33">
        <v>0.1111111111111111</v>
      </c>
      <c r="L66" s="33">
        <v>0.23973429951690822</v>
      </c>
      <c r="M66" s="33">
        <v>0.24879227053140096</v>
      </c>
      <c r="N66" s="33">
        <v>0.5617128463476071</v>
      </c>
      <c r="O66" s="33">
        <v>0.4199029126213592</v>
      </c>
      <c r="P66" s="33">
        <v>0.41528925619834711</v>
      </c>
    </row>
    <row r="67" spans="1:16" x14ac:dyDescent="0.45">
      <c r="A67" s="35">
        <v>64</v>
      </c>
      <c r="B67" s="32">
        <v>-4.1910919179599659E-14</v>
      </c>
      <c r="C67" s="32">
        <v>-2.1828603739374822E-16</v>
      </c>
      <c r="D67" s="37">
        <v>2</v>
      </c>
      <c r="E67" s="33">
        <v>0.33333333333333331</v>
      </c>
      <c r="F67" s="33">
        <v>0.33333333333333331</v>
      </c>
      <c r="G67" s="33">
        <v>0.29166666666666669</v>
      </c>
      <c r="H67" s="33">
        <v>0.16964285714285715</v>
      </c>
      <c r="I67" s="34">
        <v>8231.6326530612241</v>
      </c>
      <c r="J67" s="34">
        <v>-7857.1929824561403</v>
      </c>
      <c r="K67" s="33">
        <v>0.109375</v>
      </c>
      <c r="L67" s="33">
        <v>0.24166666666666667</v>
      </c>
      <c r="M67" s="33">
        <v>0.24821428571428572</v>
      </c>
      <c r="N67" s="33">
        <v>0.55418719211822665</v>
      </c>
      <c r="O67" s="33">
        <v>0.41726618705035973</v>
      </c>
      <c r="P67" s="33">
        <v>0.41632653061224489</v>
      </c>
    </row>
    <row r="68" spans="1:16" x14ac:dyDescent="0.45">
      <c r="A68" s="35">
        <v>65</v>
      </c>
      <c r="B68" s="32">
        <v>-3.5527136788005009E-14</v>
      </c>
      <c r="C68" s="32">
        <v>-1.8219044506669235E-16</v>
      </c>
      <c r="D68" s="37">
        <v>2</v>
      </c>
      <c r="E68" s="33">
        <v>0.33333333333333331</v>
      </c>
      <c r="F68" s="33">
        <v>0.33333333333333331</v>
      </c>
      <c r="G68" s="33">
        <v>0.29246935201401053</v>
      </c>
      <c r="H68" s="33">
        <v>0.16929363689433741</v>
      </c>
      <c r="I68" s="34">
        <v>8289.2215568862284</v>
      </c>
      <c r="J68" s="34">
        <v>-7873.7931034482763</v>
      </c>
      <c r="K68" s="33">
        <v>0.11282051282051282</v>
      </c>
      <c r="L68" s="33">
        <v>0.24460011675423235</v>
      </c>
      <c r="M68" s="33">
        <v>0.24576765907764156</v>
      </c>
      <c r="N68" s="33">
        <v>0.55369928400954649</v>
      </c>
      <c r="O68" s="33">
        <v>0.42280285035629456</v>
      </c>
      <c r="P68" s="33">
        <v>0.41916167664670656</v>
      </c>
    </row>
    <row r="69" spans="1:16" x14ac:dyDescent="0.45">
      <c r="A69" s="35">
        <v>66</v>
      </c>
      <c r="B69" s="32">
        <v>-3.907985046680551E-14</v>
      </c>
      <c r="C69" s="32">
        <v>-1.9737298215558337E-16</v>
      </c>
      <c r="D69" s="37">
        <v>2</v>
      </c>
      <c r="E69" s="33">
        <v>0.33333333333333331</v>
      </c>
      <c r="F69" s="33">
        <v>0.33333333333333331</v>
      </c>
      <c r="G69" s="33">
        <v>0.29231658001155403</v>
      </c>
      <c r="H69" s="33">
        <v>0.16868861929520509</v>
      </c>
      <c r="I69" s="34">
        <v>8271.3438735177861</v>
      </c>
      <c r="J69" s="34">
        <v>-7851.0273972602736</v>
      </c>
      <c r="K69" s="33">
        <v>0.1111111111111111</v>
      </c>
      <c r="L69" s="33">
        <v>0.24610051993067592</v>
      </c>
      <c r="M69" s="33">
        <v>0.24610051993067592</v>
      </c>
      <c r="N69" s="33">
        <v>0.55164319248826288</v>
      </c>
      <c r="O69" s="33">
        <v>0.42018779342723006</v>
      </c>
      <c r="P69" s="33">
        <v>0.42094861660079053</v>
      </c>
    </row>
    <row r="70" spans="1:16" x14ac:dyDescent="0.45">
      <c r="A70" s="35">
        <v>67</v>
      </c>
      <c r="B70" s="32">
        <v>-3.907985046680551E-14</v>
      </c>
      <c r="C70" s="32">
        <v>-1.9442711675027617E-16</v>
      </c>
      <c r="D70" s="37">
        <v>2</v>
      </c>
      <c r="E70" s="33">
        <v>0.33333333333333331</v>
      </c>
      <c r="F70" s="33">
        <v>0.33333333333333331</v>
      </c>
      <c r="G70" s="33">
        <v>0.29287749287749287</v>
      </c>
      <c r="H70" s="33">
        <v>0.16923076923076924</v>
      </c>
      <c r="I70" s="34">
        <v>8226.8482490272381</v>
      </c>
      <c r="J70" s="34">
        <v>-7789.8989898989903</v>
      </c>
      <c r="K70" s="33">
        <v>0.10945273631840796</v>
      </c>
      <c r="L70" s="33">
        <v>0.249002849002849</v>
      </c>
      <c r="M70" s="33">
        <v>0.24444444444444444</v>
      </c>
      <c r="N70" s="33">
        <v>0.54919908466819223</v>
      </c>
      <c r="O70" s="33">
        <v>0.41958041958041958</v>
      </c>
      <c r="P70" s="33">
        <v>0.42023346303501946</v>
      </c>
    </row>
    <row r="71" spans="1:16" x14ac:dyDescent="0.45">
      <c r="A71" s="35">
        <v>68</v>
      </c>
      <c r="B71" s="32">
        <v>-3.907985046680551E-14</v>
      </c>
      <c r="C71" s="32">
        <v>-1.9156789444512506E-16</v>
      </c>
      <c r="D71" s="37">
        <v>2</v>
      </c>
      <c r="E71" s="33">
        <v>0.33333333333333331</v>
      </c>
      <c r="F71" s="33">
        <v>0.33333333333333331</v>
      </c>
      <c r="G71" s="33">
        <v>0.29222972972972971</v>
      </c>
      <c r="H71" s="33">
        <v>0.17004504504504506</v>
      </c>
      <c r="I71" s="34">
        <v>8188.8246628131019</v>
      </c>
      <c r="J71" s="34">
        <v>-7731.7880794701987</v>
      </c>
      <c r="K71" s="33">
        <v>0.10784313725490197</v>
      </c>
      <c r="L71" s="33">
        <v>0.25</v>
      </c>
      <c r="M71" s="33">
        <v>0.24380630630630631</v>
      </c>
      <c r="N71" s="33">
        <v>0.54504504504504503</v>
      </c>
      <c r="O71" s="33">
        <v>0.42032332563510394</v>
      </c>
      <c r="P71" s="33">
        <v>0.41618497109826591</v>
      </c>
    </row>
    <row r="72" spans="1:16" x14ac:dyDescent="0.45">
      <c r="A72" s="35">
        <v>69</v>
      </c>
      <c r="B72" s="32">
        <v>-4.2632564145606011E-14</v>
      </c>
      <c r="C72" s="32">
        <v>-2.0595441616234788E-16</v>
      </c>
      <c r="D72" s="37">
        <v>2</v>
      </c>
      <c r="E72" s="33">
        <v>0.33333333333333331</v>
      </c>
      <c r="F72" s="33">
        <v>0.33333333333333331</v>
      </c>
      <c r="G72" s="33">
        <v>0.29104062326099056</v>
      </c>
      <c r="H72" s="33">
        <v>0.16917084028937118</v>
      </c>
      <c r="I72" s="34">
        <v>8184.8948374760994</v>
      </c>
      <c r="J72" s="34">
        <v>-7712.8289473684208</v>
      </c>
      <c r="K72" s="33">
        <v>0.1111111111111111</v>
      </c>
      <c r="L72" s="33">
        <v>0.24930439621591541</v>
      </c>
      <c r="M72" s="33">
        <v>0.24429604897050641</v>
      </c>
      <c r="N72" s="33">
        <v>0.5424107142857143</v>
      </c>
      <c r="O72" s="33">
        <v>0.4191343963553531</v>
      </c>
      <c r="P72" s="33">
        <v>0.4168260038240918</v>
      </c>
    </row>
    <row r="73" spans="1:16" x14ac:dyDescent="0.45">
      <c r="A73" s="35">
        <v>70</v>
      </c>
      <c r="B73" s="32">
        <v>-4.0856207306205761E-14</v>
      </c>
      <c r="C73" s="32">
        <v>-1.9455336812478934E-16</v>
      </c>
      <c r="D73" s="37">
        <v>2</v>
      </c>
      <c r="E73" s="33">
        <v>0.33333333333333331</v>
      </c>
      <c r="F73" s="33">
        <v>0.33333333333333331</v>
      </c>
      <c r="G73" s="33">
        <v>0.29152915291529152</v>
      </c>
      <c r="H73" s="33">
        <v>0.1694169416941694</v>
      </c>
      <c r="I73" s="34">
        <v>8170.7547169811323</v>
      </c>
      <c r="J73" s="34">
        <v>-7715.5844155844152</v>
      </c>
      <c r="K73" s="33">
        <v>0.11428571428571428</v>
      </c>
      <c r="L73" s="33">
        <v>0.24972497249724973</v>
      </c>
      <c r="M73" s="33">
        <v>0.24532453245324531</v>
      </c>
      <c r="N73" s="33">
        <v>0.54185022026431717</v>
      </c>
      <c r="O73" s="33">
        <v>0.42152466367713004</v>
      </c>
      <c r="P73" s="33">
        <v>0.41509433962264153</v>
      </c>
    </row>
    <row r="74" spans="1:16" x14ac:dyDescent="0.45">
      <c r="A74" s="35">
        <v>71</v>
      </c>
      <c r="B74" s="32">
        <v>-3.907985046680551E-14</v>
      </c>
      <c r="C74" s="32">
        <v>-1.8347347636997893E-16</v>
      </c>
      <c r="D74" s="37">
        <v>2</v>
      </c>
      <c r="E74" s="33">
        <v>0.33333333333333331</v>
      </c>
      <c r="F74" s="33">
        <v>0.33333333333333331</v>
      </c>
      <c r="G74" s="33">
        <v>0.29207383279044519</v>
      </c>
      <c r="H74" s="33">
        <v>0.17046688382193267</v>
      </c>
      <c r="I74" s="34">
        <v>8153.7174721189594</v>
      </c>
      <c r="J74" s="34">
        <v>-7724.8407643312103</v>
      </c>
      <c r="K74" s="33">
        <v>0.11267605633802817</v>
      </c>
      <c r="L74" s="33">
        <v>0.24755700325732899</v>
      </c>
      <c r="M74" s="33">
        <v>0.24755700325732899</v>
      </c>
      <c r="N74" s="33">
        <v>0.54166666666666663</v>
      </c>
      <c r="O74" s="33">
        <v>0.4232456140350877</v>
      </c>
      <c r="P74" s="33">
        <v>0.41263940520446096</v>
      </c>
    </row>
    <row r="75" spans="1:16" x14ac:dyDescent="0.45">
      <c r="A75" s="35">
        <v>72</v>
      </c>
      <c r="B75" s="32">
        <v>-3.907985046680551E-14</v>
      </c>
      <c r="C75" s="32">
        <v>-1.8092523364261809E-16</v>
      </c>
      <c r="D75" s="37">
        <v>2</v>
      </c>
      <c r="E75" s="33">
        <v>0.33333333333333331</v>
      </c>
      <c r="F75" s="33">
        <v>0.33333333333333331</v>
      </c>
      <c r="G75" s="33">
        <v>0.29260450160771706</v>
      </c>
      <c r="H75" s="33">
        <v>0.17041800643086816</v>
      </c>
      <c r="I75" s="34">
        <v>8174.9084249084253</v>
      </c>
      <c r="J75" s="34">
        <v>-7755.9748427672957</v>
      </c>
      <c r="K75" s="33">
        <v>0.1111111111111111</v>
      </c>
      <c r="L75" s="33">
        <v>0.24758842443729903</v>
      </c>
      <c r="M75" s="33">
        <v>0.24866023579849947</v>
      </c>
      <c r="N75" s="33">
        <v>0.54112554112554112</v>
      </c>
      <c r="O75" s="33">
        <v>0.42672413793103448</v>
      </c>
      <c r="P75" s="33">
        <v>0.41391941391941389</v>
      </c>
    </row>
    <row r="76" spans="1:16" x14ac:dyDescent="0.45">
      <c r="A76" s="35">
        <v>73</v>
      </c>
      <c r="B76" s="32">
        <v>-3.5527136788005009E-14</v>
      </c>
      <c r="C76" s="32">
        <v>-1.6222436889500003E-16</v>
      </c>
      <c r="D76" s="37">
        <v>2</v>
      </c>
      <c r="E76" s="33">
        <v>0.33333333333333331</v>
      </c>
      <c r="F76" s="33">
        <v>0.33333333333333331</v>
      </c>
      <c r="G76" s="33">
        <v>0.29312169312169312</v>
      </c>
      <c r="H76" s="33">
        <v>0.17089947089947091</v>
      </c>
      <c r="I76" s="34">
        <v>8197.2924187725639</v>
      </c>
      <c r="J76" s="34">
        <v>-7707.1207430340555</v>
      </c>
      <c r="K76" s="33">
        <v>0.1095890410958904</v>
      </c>
      <c r="L76" s="33">
        <v>0.24656084656084656</v>
      </c>
      <c r="M76" s="33">
        <v>0.24656084656084656</v>
      </c>
      <c r="N76" s="33">
        <v>0.5429184549356223</v>
      </c>
      <c r="O76" s="33">
        <v>0.42489270386266093</v>
      </c>
      <c r="P76" s="33">
        <v>0.41335740072202165</v>
      </c>
    </row>
    <row r="77" spans="1:16" x14ac:dyDescent="0.45">
      <c r="A77" s="35">
        <v>74</v>
      </c>
      <c r="B77" s="32">
        <v>-3.6193270602780103E-14</v>
      </c>
      <c r="C77" s="32">
        <v>-1.6303275046297345E-16</v>
      </c>
      <c r="D77" s="37">
        <v>2</v>
      </c>
      <c r="E77" s="33">
        <v>0.33333333333333331</v>
      </c>
      <c r="F77" s="33">
        <v>0.33333333333333331</v>
      </c>
      <c r="G77" s="33">
        <v>0.29304029304029305</v>
      </c>
      <c r="H77" s="33">
        <v>0.1695447409733124</v>
      </c>
      <c r="I77" s="34">
        <v>8187.8571428571431</v>
      </c>
      <c r="J77" s="34">
        <v>-7691.358024691358</v>
      </c>
      <c r="K77" s="33">
        <v>0.10810810810810811</v>
      </c>
      <c r="L77" s="33">
        <v>0.24646781789638933</v>
      </c>
      <c r="M77" s="33">
        <v>0.24594453165881738</v>
      </c>
      <c r="N77" s="33">
        <v>0.54564755838641188</v>
      </c>
      <c r="O77" s="33">
        <v>0.42553191489361702</v>
      </c>
      <c r="P77" s="33">
        <v>0.41785714285714287</v>
      </c>
    </row>
    <row r="78" spans="1:16" x14ac:dyDescent="0.45">
      <c r="A78" s="35">
        <v>75</v>
      </c>
      <c r="B78" s="32">
        <v>-3.5527136788005009E-14</v>
      </c>
      <c r="C78" s="32">
        <v>-1.5789838572446671E-16</v>
      </c>
      <c r="D78" s="37">
        <v>2</v>
      </c>
      <c r="E78" s="33">
        <v>0.33333333333333331</v>
      </c>
      <c r="F78" s="33">
        <v>0.33333333333333331</v>
      </c>
      <c r="G78" s="33">
        <v>0.2930232558139535</v>
      </c>
      <c r="H78" s="33">
        <v>0.17054263565891473</v>
      </c>
      <c r="I78" s="34">
        <v>8202.4691358024684</v>
      </c>
      <c r="J78" s="34">
        <v>-7713.939393939394</v>
      </c>
      <c r="K78" s="33">
        <v>0.10666666666666667</v>
      </c>
      <c r="L78" s="33">
        <v>0.24754521963824289</v>
      </c>
      <c r="M78" s="33">
        <v>0.24702842377260981</v>
      </c>
      <c r="N78" s="33">
        <v>0.54279749478079331</v>
      </c>
      <c r="O78" s="33">
        <v>0.42468619246861927</v>
      </c>
      <c r="P78" s="33">
        <v>0.41446208112874777</v>
      </c>
    </row>
    <row r="79" spans="1:16" x14ac:dyDescent="0.45">
      <c r="A79" s="35">
        <v>76</v>
      </c>
      <c r="B79" s="32">
        <v>-3.5527136788005009E-14</v>
      </c>
      <c r="C79" s="32">
        <v>-1.5582077538598687E-16</v>
      </c>
      <c r="D79" s="37">
        <v>2</v>
      </c>
      <c r="E79" s="33">
        <v>0.33333333333333331</v>
      </c>
      <c r="F79" s="33">
        <v>0.33333333333333331</v>
      </c>
      <c r="G79" s="33">
        <v>0.2932098765432099</v>
      </c>
      <c r="H79" s="33">
        <v>0.17078189300411523</v>
      </c>
      <c r="I79" s="34">
        <v>8259.8245614035095</v>
      </c>
      <c r="J79" s="34">
        <v>-7695.4819277108436</v>
      </c>
      <c r="K79" s="33">
        <v>0.10964912280701754</v>
      </c>
      <c r="L79" s="33">
        <v>0.24639917695473251</v>
      </c>
      <c r="M79" s="33">
        <v>0.24742798353909465</v>
      </c>
      <c r="N79" s="33">
        <v>0.54279749478079331</v>
      </c>
      <c r="O79" s="33">
        <v>0.42411642411642414</v>
      </c>
      <c r="P79" s="33">
        <v>0.41403508771929826</v>
      </c>
    </row>
    <row r="80" spans="1:16" x14ac:dyDescent="0.45">
      <c r="A80" s="35">
        <v>77</v>
      </c>
      <c r="B80" s="32">
        <v>-3.3750779948604759E-14</v>
      </c>
      <c r="C80" s="32">
        <v>-1.4610727250478251E-16</v>
      </c>
      <c r="D80" s="37">
        <v>2</v>
      </c>
      <c r="E80" s="33">
        <v>0.33333333333333331</v>
      </c>
      <c r="F80" s="33">
        <v>0.33333333333333331</v>
      </c>
      <c r="G80" s="33">
        <v>0.29312977099236642</v>
      </c>
      <c r="H80" s="33">
        <v>0.16946564885496182</v>
      </c>
      <c r="I80" s="34">
        <v>8280.3819444444453</v>
      </c>
      <c r="J80" s="34">
        <v>-7678.3783783783783</v>
      </c>
      <c r="K80" s="33">
        <v>0.10822510822510822</v>
      </c>
      <c r="L80" s="33">
        <v>0.24783715012722646</v>
      </c>
      <c r="M80" s="33">
        <v>0.24580152671755726</v>
      </c>
      <c r="N80" s="33">
        <v>0.5462012320328542</v>
      </c>
      <c r="O80" s="33">
        <v>0.42236024844720499</v>
      </c>
      <c r="P80" s="33">
        <v>0.41840277777777779</v>
      </c>
    </row>
    <row r="81" spans="1:16" x14ac:dyDescent="0.45">
      <c r="A81" s="35">
        <v>78</v>
      </c>
      <c r="B81" s="32">
        <v>-3.5527136788005009E-14</v>
      </c>
      <c r="C81" s="32">
        <v>-1.518253708889103E-16</v>
      </c>
      <c r="D81" s="37">
        <v>2</v>
      </c>
      <c r="E81" s="33">
        <v>0.33333333333333331</v>
      </c>
      <c r="F81" s="33">
        <v>0.33333333333333331</v>
      </c>
      <c r="G81" s="33">
        <v>0.29343434343434344</v>
      </c>
      <c r="H81" s="33">
        <v>0.16969696969696971</v>
      </c>
      <c r="I81" s="34">
        <v>8303.4423407917384</v>
      </c>
      <c r="J81" s="34">
        <v>-7734.8214285714284</v>
      </c>
      <c r="K81" s="33">
        <v>0.1111111111111111</v>
      </c>
      <c r="L81" s="33">
        <v>0.24797979797979797</v>
      </c>
      <c r="M81" s="33">
        <v>0.24545454545454545</v>
      </c>
      <c r="N81" s="33">
        <v>0.54582484725050917</v>
      </c>
      <c r="O81" s="33">
        <v>0.42181069958847739</v>
      </c>
      <c r="P81" s="33">
        <v>0.41824440619621345</v>
      </c>
    </row>
    <row r="82" spans="1:16" x14ac:dyDescent="0.45">
      <c r="A82" s="35">
        <v>79</v>
      </c>
      <c r="B82" s="32">
        <v>-3.3750779948604759E-14</v>
      </c>
      <c r="C82" s="32">
        <v>-1.424083542135222E-16</v>
      </c>
      <c r="D82" s="37">
        <v>2</v>
      </c>
      <c r="E82" s="33">
        <v>0.33333333333333331</v>
      </c>
      <c r="F82" s="33">
        <v>0.33333333333333331</v>
      </c>
      <c r="G82" s="33">
        <v>0.29341317365269459</v>
      </c>
      <c r="H82" s="33">
        <v>0.17015968063872255</v>
      </c>
      <c r="I82" s="34">
        <v>8297.4489795918362</v>
      </c>
      <c r="J82" s="34">
        <v>-7711.1436950146626</v>
      </c>
      <c r="K82" s="33">
        <v>0.10970464135021098</v>
      </c>
      <c r="L82" s="33">
        <v>0.24800399201596807</v>
      </c>
      <c r="M82" s="33">
        <v>0.24500998003992017</v>
      </c>
      <c r="N82" s="33">
        <v>0.54325955734406439</v>
      </c>
      <c r="O82" s="33">
        <v>0.42566191446028512</v>
      </c>
      <c r="P82" s="33">
        <v>0.41666666666666669</v>
      </c>
    </row>
    <row r="83" spans="1:16" x14ac:dyDescent="0.45">
      <c r="A83" s="35">
        <v>80</v>
      </c>
      <c r="B83" s="32">
        <v>-3.5527136788005009E-14</v>
      </c>
      <c r="C83" s="32">
        <v>-1.4802973661668753E-16</v>
      </c>
      <c r="D83" s="37">
        <v>2</v>
      </c>
      <c r="E83" s="33">
        <v>0.33333333333333331</v>
      </c>
      <c r="F83" s="33">
        <v>0.33333333333333331</v>
      </c>
      <c r="G83" s="33">
        <v>0.29365079365079366</v>
      </c>
      <c r="H83" s="33">
        <v>0.17063492063492064</v>
      </c>
      <c r="I83" s="34">
        <v>8309.45945945946</v>
      </c>
      <c r="J83" s="34">
        <v>-7726.1627906976746</v>
      </c>
      <c r="K83" s="33">
        <v>0.1125</v>
      </c>
      <c r="L83" s="33">
        <v>0.24801587301587302</v>
      </c>
      <c r="M83" s="33">
        <v>0.24454365079365079</v>
      </c>
      <c r="N83" s="33">
        <v>0.54600000000000004</v>
      </c>
      <c r="O83" s="33">
        <v>0.42393509127789047</v>
      </c>
      <c r="P83" s="33">
        <v>0.41554054054054052</v>
      </c>
    </row>
    <row r="84" spans="1:16" x14ac:dyDescent="0.45">
      <c r="A84" s="35">
        <v>81</v>
      </c>
      <c r="B84" s="32">
        <v>-3.5527136788005009E-14</v>
      </c>
      <c r="C84" s="32">
        <v>-1.4620220900413584E-16</v>
      </c>
      <c r="D84" s="37">
        <v>2</v>
      </c>
      <c r="E84" s="33">
        <v>0.33333333333333331</v>
      </c>
      <c r="F84" s="33">
        <v>0.33333333333333331</v>
      </c>
      <c r="G84" s="33">
        <v>0.29380185456320157</v>
      </c>
      <c r="H84" s="33">
        <v>0.17179111761835042</v>
      </c>
      <c r="I84" s="34">
        <v>8291.5282392026584</v>
      </c>
      <c r="J84" s="34">
        <v>-7701.420454545455</v>
      </c>
      <c r="K84" s="33">
        <v>0.1111111111111111</v>
      </c>
      <c r="L84" s="33">
        <v>0.24743777452415813</v>
      </c>
      <c r="M84" s="33">
        <v>0.24597364568081992</v>
      </c>
      <c r="N84" s="33">
        <v>0.5483234714003945</v>
      </c>
      <c r="O84" s="33">
        <v>0.42261904761904762</v>
      </c>
      <c r="P84" s="33">
        <v>0.41196013289036543</v>
      </c>
    </row>
    <row r="85" spans="1:16" x14ac:dyDescent="0.45">
      <c r="A85" s="35">
        <v>82</v>
      </c>
      <c r="B85" s="32">
        <v>-2.8421709430404007E-14</v>
      </c>
      <c r="C85" s="32">
        <v>-1.1553540418863419E-16</v>
      </c>
      <c r="D85" s="37">
        <v>2</v>
      </c>
      <c r="E85" s="33">
        <v>0.33333333333333331</v>
      </c>
      <c r="F85" s="33">
        <v>0.33333333333333331</v>
      </c>
      <c r="G85" s="33">
        <v>0.29414610546686021</v>
      </c>
      <c r="H85" s="33">
        <v>0.17174649250120949</v>
      </c>
      <c r="I85" s="34">
        <v>8288.6513157894733</v>
      </c>
      <c r="J85" s="34">
        <v>-7720.5633802816901</v>
      </c>
      <c r="K85" s="33">
        <v>0.11382113821138211</v>
      </c>
      <c r="L85" s="33">
        <v>0.24818577648766327</v>
      </c>
      <c r="M85" s="33">
        <v>0.24479922593130141</v>
      </c>
      <c r="N85" s="33">
        <v>0.55165692007797273</v>
      </c>
      <c r="O85" s="33">
        <v>0.42094861660079053</v>
      </c>
      <c r="P85" s="33">
        <v>0.41282894736842107</v>
      </c>
    </row>
    <row r="86" spans="1:16" x14ac:dyDescent="0.45">
      <c r="A86" s="35">
        <v>83</v>
      </c>
      <c r="B86" s="32">
        <v>-2.1316282072803006E-14</v>
      </c>
      <c r="C86" s="32">
        <v>-8.560755852531328E-17</v>
      </c>
      <c r="D86" s="37">
        <v>2</v>
      </c>
      <c r="E86" s="33">
        <v>0.33333333333333331</v>
      </c>
      <c r="F86" s="33">
        <v>0.33333333333333331</v>
      </c>
      <c r="G86" s="33">
        <v>0.29442843419788667</v>
      </c>
      <c r="H86" s="33">
        <v>0.17195004803073968</v>
      </c>
      <c r="I86" s="34">
        <v>8317.6182707993466</v>
      </c>
      <c r="J86" s="34">
        <v>-7755.3072625698323</v>
      </c>
      <c r="K86" s="33">
        <v>0.11646586345381527</v>
      </c>
      <c r="L86" s="33">
        <v>0.24831892411143131</v>
      </c>
      <c r="M86" s="33">
        <v>0.24543707973102785</v>
      </c>
      <c r="N86" s="33">
        <v>0.55125725338491294</v>
      </c>
      <c r="O86" s="33">
        <v>0.42074363992172209</v>
      </c>
      <c r="P86" s="33">
        <v>0.41272430668841764</v>
      </c>
    </row>
    <row r="87" spans="1:16" x14ac:dyDescent="0.45">
      <c r="A87" s="35">
        <v>84</v>
      </c>
      <c r="B87" s="32">
        <v>-1.6875389974302379E-14</v>
      </c>
      <c r="C87" s="32">
        <v>-6.6965833231358645E-17</v>
      </c>
      <c r="D87" s="37">
        <v>2</v>
      </c>
      <c r="E87" s="33">
        <v>0.33333333333333331</v>
      </c>
      <c r="F87" s="33">
        <v>0.33333333333333331</v>
      </c>
      <c r="G87" s="33">
        <v>0.29392212725546057</v>
      </c>
      <c r="H87" s="33">
        <v>0.17236467236467237</v>
      </c>
      <c r="I87" s="34">
        <v>8305.3311793214871</v>
      </c>
      <c r="J87" s="34">
        <v>-7750.4132231404956</v>
      </c>
      <c r="K87" s="33">
        <v>0.11507936507936507</v>
      </c>
      <c r="L87" s="33">
        <v>0.24691358024691357</v>
      </c>
      <c r="M87" s="33">
        <v>0.24596391263057929</v>
      </c>
      <c r="N87" s="33">
        <v>0.55192307692307696</v>
      </c>
      <c r="O87" s="33">
        <v>0.41891891891891891</v>
      </c>
      <c r="P87" s="33">
        <v>0.41033925686591277</v>
      </c>
    </row>
    <row r="88" spans="1:16" x14ac:dyDescent="0.45">
      <c r="A88" s="35">
        <v>85</v>
      </c>
      <c r="B88" s="32">
        <v>-1.5987211554602254E-14</v>
      </c>
      <c r="C88" s="32">
        <v>-6.2694947272950016E-17</v>
      </c>
      <c r="D88" s="37">
        <v>2</v>
      </c>
      <c r="E88" s="33">
        <v>0.33333333333333331</v>
      </c>
      <c r="F88" s="33">
        <v>0.33333333333333331</v>
      </c>
      <c r="G88" s="33">
        <v>0.29384109073812881</v>
      </c>
      <c r="H88" s="33">
        <v>0.17207334273624825</v>
      </c>
      <c r="I88" s="34">
        <v>8259.36</v>
      </c>
      <c r="J88" s="34">
        <v>-7700.8196721311479</v>
      </c>
      <c r="K88" s="33">
        <v>0.11372549019607843</v>
      </c>
      <c r="L88" s="33">
        <v>0.24635637047484721</v>
      </c>
      <c r="M88" s="33">
        <v>0.24682651622002821</v>
      </c>
      <c r="N88" s="33">
        <v>0.55152671755725191</v>
      </c>
      <c r="O88" s="33">
        <v>0.41904761904761906</v>
      </c>
      <c r="P88" s="33">
        <v>0.41120000000000001</v>
      </c>
    </row>
    <row r="89" spans="1:16" x14ac:dyDescent="0.45">
      <c r="A89" s="35">
        <v>86</v>
      </c>
      <c r="B89" s="32">
        <v>-1.5987211554602254E-14</v>
      </c>
      <c r="C89" s="32">
        <v>-6.1965936258148271E-17</v>
      </c>
      <c r="D89" s="37">
        <v>2</v>
      </c>
      <c r="E89" s="33">
        <v>0.33333333333333331</v>
      </c>
      <c r="F89" s="33">
        <v>0.33333333333333331</v>
      </c>
      <c r="G89" s="33">
        <v>0.29381682938168296</v>
      </c>
      <c r="H89" s="33">
        <v>0.17154811715481172</v>
      </c>
      <c r="I89" s="34">
        <v>8253.6392405063289</v>
      </c>
      <c r="J89" s="34">
        <v>-7677.5067750677508</v>
      </c>
      <c r="K89" s="33">
        <v>0.11627906976744186</v>
      </c>
      <c r="L89" s="33">
        <v>0.24500232450023246</v>
      </c>
      <c r="M89" s="33">
        <v>0.24593212459321245</v>
      </c>
      <c r="N89" s="33">
        <v>0.5540796963946869</v>
      </c>
      <c r="O89" s="33">
        <v>0.42155009451795838</v>
      </c>
      <c r="P89" s="33">
        <v>0.41297468354430378</v>
      </c>
    </row>
    <row r="90" spans="1:16" x14ac:dyDescent="0.45">
      <c r="A90" s="35">
        <v>87</v>
      </c>
      <c r="B90" s="32">
        <v>-1.4210854715202004E-14</v>
      </c>
      <c r="C90" s="32">
        <v>-5.4447719215333345E-17</v>
      </c>
      <c r="D90" s="37">
        <v>2</v>
      </c>
      <c r="E90" s="33">
        <v>0.33333333333333331</v>
      </c>
      <c r="F90" s="33">
        <v>0.33333333333333331</v>
      </c>
      <c r="G90" s="33">
        <v>0.29368372521899494</v>
      </c>
      <c r="H90" s="33">
        <v>0.17104656523743661</v>
      </c>
      <c r="I90" s="34">
        <v>8264.2072213500778</v>
      </c>
      <c r="J90" s="34">
        <v>-7679.2452830188677</v>
      </c>
      <c r="K90" s="33">
        <v>0.11494252873563218</v>
      </c>
      <c r="L90" s="33">
        <v>0.24481327800829875</v>
      </c>
      <c r="M90" s="33">
        <v>0.24435223605348086</v>
      </c>
      <c r="N90" s="33">
        <v>0.55743879472693036</v>
      </c>
      <c r="O90" s="33">
        <v>0.42075471698113209</v>
      </c>
      <c r="P90" s="33">
        <v>0.41444270015698587</v>
      </c>
    </row>
    <row r="91" spans="1:16" x14ac:dyDescent="0.45">
      <c r="A91" s="35">
        <v>88</v>
      </c>
      <c r="B91" s="32">
        <v>-1.4210854715202004E-14</v>
      </c>
      <c r="C91" s="32">
        <v>-5.3828995133340925E-17</v>
      </c>
      <c r="D91" s="37">
        <v>2</v>
      </c>
      <c r="E91" s="33">
        <v>0.33333333333333331</v>
      </c>
      <c r="F91" s="33">
        <v>0.33333333333333331</v>
      </c>
      <c r="G91" s="33">
        <v>0.29417122040072857</v>
      </c>
      <c r="H91" s="33">
        <v>0.16985428051001822</v>
      </c>
      <c r="I91" s="34">
        <v>8239.0092879256972</v>
      </c>
      <c r="J91" s="34">
        <v>-7667.2922252010721</v>
      </c>
      <c r="K91" s="33">
        <v>0.11363636363636363</v>
      </c>
      <c r="L91" s="33">
        <v>0.24453551912568305</v>
      </c>
      <c r="M91" s="33">
        <v>0.24590163934426229</v>
      </c>
      <c r="N91" s="33">
        <v>0.55679702048417135</v>
      </c>
      <c r="O91" s="33">
        <v>0.42037037037037039</v>
      </c>
      <c r="P91" s="33">
        <v>0.41950464396284831</v>
      </c>
    </row>
    <row r="92" spans="1:16" x14ac:dyDescent="0.45">
      <c r="A92" s="35">
        <v>89</v>
      </c>
      <c r="B92" s="32">
        <v>-1.4210854715202004E-14</v>
      </c>
      <c r="C92" s="32">
        <v>-5.3224174963303385E-17</v>
      </c>
      <c r="D92" s="37">
        <v>2</v>
      </c>
      <c r="E92" s="33">
        <v>0.33333333333333331</v>
      </c>
      <c r="F92" s="33">
        <v>0.33333333333333331</v>
      </c>
      <c r="G92" s="33">
        <v>0.29414414414414414</v>
      </c>
      <c r="H92" s="33">
        <v>0.16981981981981981</v>
      </c>
      <c r="I92" s="34">
        <v>8256.2021439509954</v>
      </c>
      <c r="J92" s="34">
        <v>-7663.3952254641908</v>
      </c>
      <c r="K92" s="33">
        <v>0.11235955056179775</v>
      </c>
      <c r="L92" s="33">
        <v>0.24549549549549549</v>
      </c>
      <c r="M92" s="33">
        <v>0.24594594594594596</v>
      </c>
      <c r="N92" s="33">
        <v>0.55596330275229355</v>
      </c>
      <c r="O92" s="33">
        <v>0.42124542124542125</v>
      </c>
      <c r="P92" s="33">
        <v>0.41960183767228176</v>
      </c>
    </row>
    <row r="93" spans="1:16" x14ac:dyDescent="0.45">
      <c r="A93" s="35">
        <v>90</v>
      </c>
      <c r="B93" s="32">
        <v>-1.4210854715202004E-14</v>
      </c>
      <c r="C93" s="32">
        <v>-5.2632795241488905E-17</v>
      </c>
      <c r="D93" s="37">
        <v>2</v>
      </c>
      <c r="E93" s="33">
        <v>0.33333333333333331</v>
      </c>
      <c r="F93" s="33">
        <v>0.33333333333333331</v>
      </c>
      <c r="G93" s="33">
        <v>0.29417000445037828</v>
      </c>
      <c r="H93" s="33">
        <v>0.17044948820649755</v>
      </c>
      <c r="I93" s="34">
        <v>8225.7186081694399</v>
      </c>
      <c r="J93" s="34">
        <v>-7647.258485639687</v>
      </c>
      <c r="K93" s="33">
        <v>0.1111111111111111</v>
      </c>
      <c r="L93" s="33">
        <v>0.24477080551846908</v>
      </c>
      <c r="M93" s="33">
        <v>0.24699599465954605</v>
      </c>
      <c r="N93" s="33">
        <v>0.55636363636363639</v>
      </c>
      <c r="O93" s="33">
        <v>0.41981981981981981</v>
      </c>
      <c r="P93" s="33">
        <v>0.41754916792738278</v>
      </c>
    </row>
    <row r="94" spans="1:16" x14ac:dyDescent="0.45">
      <c r="A94" s="35">
        <v>91</v>
      </c>
      <c r="B94" s="32">
        <v>-1.4210854715202004E-14</v>
      </c>
      <c r="C94" s="32">
        <v>-5.2054412876197816E-17</v>
      </c>
      <c r="D94" s="37">
        <v>2</v>
      </c>
      <c r="E94" s="33">
        <v>0.33333333333333331</v>
      </c>
      <c r="F94" s="33">
        <v>0.33333333333333331</v>
      </c>
      <c r="G94" s="33">
        <v>0.29331574318381703</v>
      </c>
      <c r="H94" s="33">
        <v>0.17062445030782761</v>
      </c>
      <c r="I94" s="34">
        <v>8212.2938530734627</v>
      </c>
      <c r="J94" s="34">
        <v>-7647.1649484536083</v>
      </c>
      <c r="K94" s="33">
        <v>0.10989010989010989</v>
      </c>
      <c r="L94" s="33">
        <v>0.24450307827616535</v>
      </c>
      <c r="M94" s="33">
        <v>0.24802110817941952</v>
      </c>
      <c r="N94" s="33">
        <v>0.5539568345323741</v>
      </c>
      <c r="O94" s="33">
        <v>0.42021276595744683</v>
      </c>
      <c r="P94" s="33">
        <v>0.41529235382308843</v>
      </c>
    </row>
    <row r="95" spans="1:16" x14ac:dyDescent="0.45">
      <c r="A95" s="35">
        <v>92</v>
      </c>
      <c r="B95" s="32">
        <v>-1.4210854715202004E-14</v>
      </c>
      <c r="C95" s="32">
        <v>-5.1488604040586971E-17</v>
      </c>
      <c r="D95" s="37">
        <v>2</v>
      </c>
      <c r="E95" s="33">
        <v>0.33333333333333331</v>
      </c>
      <c r="F95" s="33">
        <v>0.33333333333333331</v>
      </c>
      <c r="G95" s="33">
        <v>0.2932461873638344</v>
      </c>
      <c r="H95" s="33">
        <v>0.16993464052287582</v>
      </c>
      <c r="I95" s="34">
        <v>8202.0802377414566</v>
      </c>
      <c r="J95" s="34">
        <v>-7631.2820512820517</v>
      </c>
      <c r="K95" s="33">
        <v>0.10869565217391304</v>
      </c>
      <c r="L95" s="33">
        <v>0.24444444444444444</v>
      </c>
      <c r="M95" s="33">
        <v>0.24749455337690632</v>
      </c>
      <c r="N95" s="33">
        <v>0.55436720142602491</v>
      </c>
      <c r="O95" s="33">
        <v>0.42077464788732394</v>
      </c>
      <c r="P95" s="33">
        <v>0.41753343239227342</v>
      </c>
    </row>
    <row r="96" spans="1:16" x14ac:dyDescent="0.45">
      <c r="A96" s="35">
        <v>93</v>
      </c>
      <c r="B96" s="32">
        <v>-1.4210854715202004E-14</v>
      </c>
      <c r="C96" s="32">
        <v>-5.0934963136924744E-17</v>
      </c>
      <c r="D96" s="37">
        <v>2</v>
      </c>
      <c r="E96" s="33">
        <v>0.33333333333333331</v>
      </c>
      <c r="F96" s="33">
        <v>0.33333333333333331</v>
      </c>
      <c r="G96" s="33">
        <v>0.2924731182795699</v>
      </c>
      <c r="H96" s="33">
        <v>0.16989247311827957</v>
      </c>
      <c r="I96" s="34">
        <v>8165.4411764705883</v>
      </c>
      <c r="J96" s="34">
        <v>-7604.5569620253164</v>
      </c>
      <c r="K96" s="33">
        <v>0.10752688172043011</v>
      </c>
      <c r="L96" s="33">
        <v>0.24387096774193548</v>
      </c>
      <c r="M96" s="33">
        <v>0.24688172043010753</v>
      </c>
      <c r="N96" s="33">
        <v>0.55026455026455023</v>
      </c>
      <c r="O96" s="33">
        <v>0.42160278745644597</v>
      </c>
      <c r="P96" s="33">
        <v>0.41617647058823531</v>
      </c>
    </row>
    <row r="97" spans="1:16" x14ac:dyDescent="0.45">
      <c r="A97" s="35">
        <v>94</v>
      </c>
      <c r="B97" s="32">
        <v>-1.4210854715202004E-14</v>
      </c>
      <c r="C97" s="32">
        <v>-5.0393101826957459E-17</v>
      </c>
      <c r="D97" s="37">
        <v>2</v>
      </c>
      <c r="E97" s="33">
        <v>0.33333333333333331</v>
      </c>
      <c r="F97" s="33">
        <v>0.33333333333333331</v>
      </c>
      <c r="G97" s="33">
        <v>0.29230769230769232</v>
      </c>
      <c r="H97" s="33">
        <v>0.16965811965811967</v>
      </c>
      <c r="I97" s="34">
        <v>8167.105263157895</v>
      </c>
      <c r="J97" s="34">
        <v>-7630.9823677581862</v>
      </c>
      <c r="K97" s="33">
        <v>0.1099290780141844</v>
      </c>
      <c r="L97" s="33">
        <v>0.24358974358974358</v>
      </c>
      <c r="M97" s="33">
        <v>0.24658119658119659</v>
      </c>
      <c r="N97" s="33">
        <v>0.5491228070175439</v>
      </c>
      <c r="O97" s="33">
        <v>0.42114384748700173</v>
      </c>
      <c r="P97" s="33">
        <v>0.41666666666666669</v>
      </c>
    </row>
    <row r="98" spans="1:16" x14ac:dyDescent="0.45">
      <c r="A98" s="35">
        <v>95</v>
      </c>
      <c r="B98" s="32">
        <v>-1.4210854715202004E-14</v>
      </c>
      <c r="C98" s="32">
        <v>-4.9862648123515803E-17</v>
      </c>
      <c r="D98" s="37">
        <v>2</v>
      </c>
      <c r="E98" s="33">
        <v>0.33333333333333331</v>
      </c>
      <c r="F98" s="33">
        <v>0.33333333333333331</v>
      </c>
      <c r="G98" s="33">
        <v>0.29245680573114202</v>
      </c>
      <c r="H98" s="33">
        <v>0.17067003792667509</v>
      </c>
      <c r="I98" s="34">
        <v>8189.9135446685877</v>
      </c>
      <c r="J98" s="34">
        <v>-7661.7283950617284</v>
      </c>
      <c r="K98" s="33">
        <v>0.10877192982456141</v>
      </c>
      <c r="L98" s="33">
        <v>0.24441635061104089</v>
      </c>
      <c r="M98" s="33">
        <v>0.24652338811630847</v>
      </c>
      <c r="N98" s="33">
        <v>0.55172413793103448</v>
      </c>
      <c r="O98" s="33">
        <v>0.41709401709401711</v>
      </c>
      <c r="P98" s="33">
        <v>0.41354466858789624</v>
      </c>
    </row>
    <row r="99" spans="1:16" x14ac:dyDescent="0.45">
      <c r="A99" s="35">
        <v>96</v>
      </c>
      <c r="B99" s="32">
        <v>-1.4210854715202004E-14</v>
      </c>
      <c r="C99" s="32">
        <v>-4.9343245538895844E-17</v>
      </c>
      <c r="D99" s="37">
        <v>2</v>
      </c>
      <c r="E99" s="33">
        <v>0.33333333333333331</v>
      </c>
      <c r="F99" s="33">
        <v>0.33333333333333331</v>
      </c>
      <c r="G99" s="33">
        <v>0.29171868497711195</v>
      </c>
      <c r="H99" s="33">
        <v>0.17103620474406991</v>
      </c>
      <c r="I99" s="34">
        <v>8201.5691868758913</v>
      </c>
      <c r="J99" s="34">
        <v>-7680.048661800487</v>
      </c>
      <c r="K99" s="33">
        <v>0.1076388888888889</v>
      </c>
      <c r="L99" s="33">
        <v>0.24427798585101956</v>
      </c>
      <c r="M99" s="33">
        <v>0.2459425717852684</v>
      </c>
      <c r="N99" s="33">
        <v>0.55025553662691651</v>
      </c>
      <c r="O99" s="33">
        <v>0.41624365482233505</v>
      </c>
      <c r="P99" s="33">
        <v>0.41084165477888729</v>
      </c>
    </row>
    <row r="100" spans="1:16" x14ac:dyDescent="0.45">
      <c r="A100" s="35">
        <v>97</v>
      </c>
      <c r="B100" s="32">
        <v>-1.4210854715202004E-14</v>
      </c>
      <c r="C100" s="32">
        <v>-4.8834552285917538E-17</v>
      </c>
      <c r="D100" s="37">
        <v>2</v>
      </c>
      <c r="E100" s="33">
        <v>0.33333333333333331</v>
      </c>
      <c r="F100" s="33">
        <v>0.33333333333333331</v>
      </c>
      <c r="G100" s="33">
        <v>0.29166666666666669</v>
      </c>
      <c r="H100" s="33">
        <v>0.17120462046204621</v>
      </c>
      <c r="I100" s="34">
        <v>8186.9872701555869</v>
      </c>
      <c r="J100" s="34">
        <v>-7658.0722891566265</v>
      </c>
      <c r="K100" s="33">
        <v>0.10652920962199312</v>
      </c>
      <c r="L100" s="33">
        <v>0.24381188118811881</v>
      </c>
      <c r="M100" s="33">
        <v>0.24628712871287128</v>
      </c>
      <c r="N100" s="33">
        <v>0.54991539763113362</v>
      </c>
      <c r="O100" s="33">
        <v>0.41708542713567837</v>
      </c>
      <c r="P100" s="33">
        <v>0.41018387553041019</v>
      </c>
    </row>
    <row r="101" spans="1:16" x14ac:dyDescent="0.45">
      <c r="A101" s="35">
        <v>98</v>
      </c>
      <c r="B101" s="32">
        <v>-1.7763568394002505E-14</v>
      </c>
      <c r="C101" s="32">
        <v>-6.042030065987247E-17</v>
      </c>
      <c r="D101" s="37">
        <v>2</v>
      </c>
      <c r="E101" s="33">
        <v>0.33333333333333331</v>
      </c>
      <c r="F101" s="33">
        <v>0.33333333333333331</v>
      </c>
      <c r="G101" s="33">
        <v>0.29161554192229039</v>
      </c>
      <c r="H101" s="33">
        <v>0.17137014314928425</v>
      </c>
      <c r="I101" s="34">
        <v>8184.1514726507712</v>
      </c>
      <c r="J101" s="34">
        <v>-7673.7470167064439</v>
      </c>
      <c r="K101" s="33">
        <v>0.10544217687074831</v>
      </c>
      <c r="L101" s="33">
        <v>0.24335378323108384</v>
      </c>
      <c r="M101" s="33">
        <v>0.24498977505112474</v>
      </c>
      <c r="N101" s="33">
        <v>0.55294117647058827</v>
      </c>
      <c r="O101" s="33">
        <v>0.41736227045075125</v>
      </c>
      <c r="P101" s="33">
        <v>0.40953716690042075</v>
      </c>
    </row>
    <row r="102" spans="1:16" x14ac:dyDescent="0.45">
      <c r="A102" s="35">
        <v>99</v>
      </c>
      <c r="B102" s="32">
        <v>-1.7763568394002505E-14</v>
      </c>
      <c r="C102" s="32">
        <v>-5.9809994592601025E-17</v>
      </c>
      <c r="D102" s="37">
        <v>2</v>
      </c>
      <c r="E102" s="33">
        <v>0.33333333333333331</v>
      </c>
      <c r="F102" s="33">
        <v>0.33333333333333331</v>
      </c>
      <c r="G102" s="33">
        <v>0.29197080291970801</v>
      </c>
      <c r="H102" s="33">
        <v>0.17193836171938362</v>
      </c>
      <c r="I102" s="34">
        <v>8160.416666666667</v>
      </c>
      <c r="J102" s="34">
        <v>-7644.8113207547167</v>
      </c>
      <c r="K102" s="33">
        <v>0.10437710437710437</v>
      </c>
      <c r="L102" s="33">
        <v>0.24371451743714517</v>
      </c>
      <c r="M102" s="33">
        <v>0.24452554744525548</v>
      </c>
      <c r="N102" s="33">
        <v>0.55574043261231276</v>
      </c>
      <c r="O102" s="33">
        <v>0.41791044776119401</v>
      </c>
      <c r="P102" s="33">
        <v>0.40833333333333333</v>
      </c>
    </row>
    <row r="103" spans="1:16" x14ac:dyDescent="0.45">
      <c r="A103" s="35">
        <v>100</v>
      </c>
      <c r="B103" s="32">
        <v>-1.7763568394002505E-14</v>
      </c>
      <c r="C103" s="32">
        <v>-5.9211894646675015E-17</v>
      </c>
      <c r="D103" s="37">
        <v>2</v>
      </c>
      <c r="E103" s="33">
        <v>0.33333333333333331</v>
      </c>
      <c r="F103" s="33">
        <v>0.33333333333333331</v>
      </c>
      <c r="G103" s="33">
        <v>0.29201764941837144</v>
      </c>
      <c r="H103" s="33">
        <v>0.1712795828319294</v>
      </c>
      <c r="I103" s="34">
        <v>8208.5164835164833</v>
      </c>
      <c r="J103" s="34">
        <v>-7697.6580796252929</v>
      </c>
      <c r="K103" s="33">
        <v>0.10333333333333333</v>
      </c>
      <c r="L103" s="33">
        <v>0.2438828720417168</v>
      </c>
      <c r="M103" s="33">
        <v>0.24428399518652227</v>
      </c>
      <c r="N103" s="33">
        <v>0.55756578947368418</v>
      </c>
      <c r="O103" s="33">
        <v>0.4154351395730706</v>
      </c>
      <c r="P103" s="33">
        <v>0.4107142857142857</v>
      </c>
    </row>
    <row r="104" spans="1:16" x14ac:dyDescent="0.45">
      <c r="A104" s="35">
        <v>101</v>
      </c>
      <c r="B104" s="32">
        <v>-1.7763568394002505E-14</v>
      </c>
      <c r="C104" s="32">
        <v>-5.8625638264034663E-17</v>
      </c>
      <c r="D104" s="37">
        <v>2</v>
      </c>
      <c r="E104" s="33">
        <v>0.33333333333333331</v>
      </c>
      <c r="F104" s="33">
        <v>0.33333333333333331</v>
      </c>
      <c r="G104" s="33">
        <v>0.29236276849642007</v>
      </c>
      <c r="H104" s="33">
        <v>0.17064439140811455</v>
      </c>
      <c r="I104" s="34">
        <v>8195.2380952380954</v>
      </c>
      <c r="J104" s="34">
        <v>-7684.1491841491843</v>
      </c>
      <c r="K104" s="33">
        <v>0.10231023102310231</v>
      </c>
      <c r="L104" s="33">
        <v>0.24502784407319014</v>
      </c>
      <c r="M104" s="33">
        <v>0.24343675417661098</v>
      </c>
      <c r="N104" s="33">
        <v>0.55681818181818177</v>
      </c>
      <c r="O104" s="33">
        <v>0.41666666666666669</v>
      </c>
      <c r="P104" s="33">
        <v>0.41360544217687073</v>
      </c>
    </row>
    <row r="105" spans="1:16" x14ac:dyDescent="0.45">
      <c r="A105" s="35">
        <v>102</v>
      </c>
      <c r="B105" s="32">
        <v>-1.7763568394002505E-14</v>
      </c>
      <c r="C105" s="32">
        <v>-5.8050877104583352E-17</v>
      </c>
      <c r="D105" s="37">
        <v>2</v>
      </c>
      <c r="E105" s="33">
        <v>0.33333333333333331</v>
      </c>
      <c r="F105" s="33">
        <v>0.33333333333333331</v>
      </c>
      <c r="G105" s="33">
        <v>0.29235618597320723</v>
      </c>
      <c r="H105" s="33">
        <v>0.17060677698975571</v>
      </c>
      <c r="I105" s="34">
        <v>8177.8975741239892</v>
      </c>
      <c r="J105" s="34">
        <v>-7651.9630484988456</v>
      </c>
      <c r="K105" s="33">
        <v>0.10130718954248366</v>
      </c>
      <c r="L105" s="33">
        <v>0.24507486209613868</v>
      </c>
      <c r="M105" s="33">
        <v>0.24310480693459416</v>
      </c>
      <c r="N105" s="33">
        <v>0.55787781350482313</v>
      </c>
      <c r="O105" s="33">
        <v>0.41653160453808752</v>
      </c>
      <c r="P105" s="33">
        <v>0.4137466307277628</v>
      </c>
    </row>
    <row r="106" spans="1:16" x14ac:dyDescent="0.45">
      <c r="A106" s="35">
        <v>103</v>
      </c>
      <c r="B106" s="32">
        <v>-1.7763568394002505E-14</v>
      </c>
      <c r="C106" s="32">
        <v>-5.7487276355995156E-17</v>
      </c>
      <c r="D106" s="37">
        <v>2</v>
      </c>
      <c r="E106" s="33">
        <v>0.33333333333333331</v>
      </c>
      <c r="F106" s="33">
        <v>0.33333333333333331</v>
      </c>
      <c r="G106" s="33">
        <v>0.29220524872698783</v>
      </c>
      <c r="H106" s="33">
        <v>0.17038777908343125</v>
      </c>
      <c r="I106" s="34">
        <v>8200.6702412868635</v>
      </c>
      <c r="J106" s="34">
        <v>-7662.0689655172409</v>
      </c>
      <c r="K106" s="33">
        <v>0.10355987055016182</v>
      </c>
      <c r="L106" s="33">
        <v>0.24598511555033295</v>
      </c>
      <c r="M106" s="33">
        <v>0.24206815511163338</v>
      </c>
      <c r="N106" s="33">
        <v>0.55891719745222934</v>
      </c>
      <c r="O106" s="33">
        <v>0.41585760517799353</v>
      </c>
      <c r="P106" s="33">
        <v>0.41420911528150134</v>
      </c>
    </row>
    <row r="107" spans="1:16" x14ac:dyDescent="0.45">
      <c r="A107" s="35">
        <v>104</v>
      </c>
      <c r="B107" s="32">
        <v>-1.4210854715202004E-14</v>
      </c>
      <c r="C107" s="32">
        <v>-4.5547611266673087E-17</v>
      </c>
      <c r="D107" s="37">
        <v>2</v>
      </c>
      <c r="E107" s="33">
        <v>0.33333333333333331</v>
      </c>
      <c r="F107" s="33">
        <v>0.33333333333333331</v>
      </c>
      <c r="G107" s="33">
        <v>0.29229578010065815</v>
      </c>
      <c r="H107" s="33">
        <v>0.17034456058846303</v>
      </c>
      <c r="I107" s="34">
        <v>8223.311258278145</v>
      </c>
      <c r="J107" s="34">
        <v>-7686.818181818182</v>
      </c>
      <c r="K107" s="33">
        <v>0.10256410256410256</v>
      </c>
      <c r="L107" s="33">
        <v>0.24622531939605111</v>
      </c>
      <c r="M107" s="33">
        <v>0.24428958575300039</v>
      </c>
      <c r="N107" s="33">
        <v>0.55817610062893086</v>
      </c>
      <c r="O107" s="33">
        <v>0.41521394611727419</v>
      </c>
      <c r="P107" s="33">
        <v>0.41456953642384103</v>
      </c>
    </row>
    <row r="108" spans="1:16" x14ac:dyDescent="0.45">
      <c r="A108" s="35">
        <v>105</v>
      </c>
      <c r="B108" s="32">
        <v>-1.4210854715202004E-14</v>
      </c>
      <c r="C108" s="32">
        <v>-4.5113824492704774E-17</v>
      </c>
      <c r="D108" s="37">
        <v>2</v>
      </c>
      <c r="E108" s="33">
        <v>0.33333333333333331</v>
      </c>
      <c r="F108" s="33">
        <v>0.33333333333333331</v>
      </c>
      <c r="G108" s="33">
        <v>0.29204892966360857</v>
      </c>
      <c r="H108" s="33">
        <v>0.16934250764525993</v>
      </c>
      <c r="I108" s="34">
        <v>8218.8481675392668</v>
      </c>
      <c r="J108" s="34">
        <v>-7675.3950338600453</v>
      </c>
      <c r="K108" s="33">
        <v>0.10158730158730159</v>
      </c>
      <c r="L108" s="33">
        <v>0.24541284403669725</v>
      </c>
      <c r="M108" s="33">
        <v>0.24273700305810397</v>
      </c>
      <c r="N108" s="33">
        <v>0.55919003115264798</v>
      </c>
      <c r="O108" s="33">
        <v>0.41574803149606299</v>
      </c>
      <c r="P108" s="33">
        <v>0.41753926701570682</v>
      </c>
    </row>
    <row r="109" spans="1:16" x14ac:dyDescent="0.45">
      <c r="A109" s="35">
        <v>106</v>
      </c>
      <c r="B109" s="32">
        <v>-7.1054273576010019E-15</v>
      </c>
      <c r="C109" s="32">
        <v>-2.2344111187424535E-17</v>
      </c>
      <c r="D109" s="37">
        <v>2</v>
      </c>
      <c r="E109" s="33">
        <v>0.33333333333333331</v>
      </c>
      <c r="F109" s="33">
        <v>0.33333333333333331</v>
      </c>
      <c r="G109" s="33">
        <v>0.29228430254656024</v>
      </c>
      <c r="H109" s="33">
        <v>0.16951729380463701</v>
      </c>
      <c r="I109" s="34">
        <v>8218.2054616384921</v>
      </c>
      <c r="J109" s="34">
        <v>-7661.8834080717488</v>
      </c>
      <c r="K109" s="33">
        <v>0.10377358490566038</v>
      </c>
      <c r="L109" s="33">
        <v>0.24553401748384646</v>
      </c>
      <c r="M109" s="33">
        <v>0.24287343215507412</v>
      </c>
      <c r="N109" s="33">
        <v>0.55727554179566563</v>
      </c>
      <c r="O109" s="33">
        <v>0.41471048513302033</v>
      </c>
      <c r="P109" s="33">
        <v>0.4174252275682705</v>
      </c>
    </row>
    <row r="110" spans="1:16" x14ac:dyDescent="0.45">
      <c r="A110" s="35">
        <v>107</v>
      </c>
      <c r="B110" s="32">
        <v>-7.1054273576010019E-15</v>
      </c>
      <c r="C110" s="32">
        <v>-2.2135287718383183E-17</v>
      </c>
      <c r="D110" s="37">
        <v>2</v>
      </c>
      <c r="E110" s="33">
        <v>0.33333333333333331</v>
      </c>
      <c r="F110" s="33">
        <v>0.33333333333333331</v>
      </c>
      <c r="G110" s="33">
        <v>0.29176029962546818</v>
      </c>
      <c r="H110" s="33">
        <v>0.16891385767790262</v>
      </c>
      <c r="I110" s="34">
        <v>8221.5661103979455</v>
      </c>
      <c r="J110" s="34">
        <v>-7642.5720620842576</v>
      </c>
      <c r="K110" s="33">
        <v>0.1059190031152648</v>
      </c>
      <c r="L110" s="33">
        <v>0.24644194756554308</v>
      </c>
      <c r="M110" s="33">
        <v>0.24044943820224718</v>
      </c>
      <c r="N110" s="33">
        <v>0.55927051671732519</v>
      </c>
      <c r="O110" s="33">
        <v>0.41277258566978192</v>
      </c>
      <c r="P110" s="33">
        <v>0.41848523748395378</v>
      </c>
    </row>
    <row r="111" spans="1:16" x14ac:dyDescent="0.45">
      <c r="A111" s="35">
        <v>108</v>
      </c>
      <c r="B111" s="32">
        <v>-7.1054273576010019E-15</v>
      </c>
      <c r="C111" s="32">
        <v>-2.1930331350620375E-17</v>
      </c>
      <c r="D111" s="37">
        <v>2</v>
      </c>
      <c r="E111" s="33">
        <v>0.33333333333333331</v>
      </c>
      <c r="F111" s="33">
        <v>0.33333333333333331</v>
      </c>
      <c r="G111" s="33">
        <v>0.29208103130755064</v>
      </c>
      <c r="H111" s="33">
        <v>0.16795580110497238</v>
      </c>
      <c r="I111" s="34">
        <v>8213.4930643127373</v>
      </c>
      <c r="J111" s="34">
        <v>-7645.6140350877195</v>
      </c>
      <c r="K111" s="33">
        <v>0.10493827160493827</v>
      </c>
      <c r="L111" s="33">
        <v>0.24567219152854511</v>
      </c>
      <c r="M111" s="33">
        <v>0.23904235727440148</v>
      </c>
      <c r="N111" s="33">
        <v>0.56071964017991005</v>
      </c>
      <c r="O111" s="33">
        <v>0.41294298921417566</v>
      </c>
      <c r="P111" s="33">
        <v>0.42118537200504413</v>
      </c>
    </row>
    <row r="112" spans="1:16" x14ac:dyDescent="0.45">
      <c r="A112" s="35">
        <v>109</v>
      </c>
      <c r="B112" s="32">
        <v>-7.1054273576010019E-15</v>
      </c>
      <c r="C112" s="32">
        <v>-2.1729135650155969E-17</v>
      </c>
      <c r="D112" s="37">
        <v>2</v>
      </c>
      <c r="E112" s="33">
        <v>0.33333333333333331</v>
      </c>
      <c r="F112" s="33">
        <v>0.33333333333333331</v>
      </c>
      <c r="G112" s="33">
        <v>0.29239766081871343</v>
      </c>
      <c r="H112" s="33">
        <v>0.16739766081871346</v>
      </c>
      <c r="I112" s="34">
        <v>8202.625</v>
      </c>
      <c r="J112" s="34">
        <v>-7647.1615720524014</v>
      </c>
      <c r="K112" s="33">
        <v>0.10397553516819572</v>
      </c>
      <c r="L112" s="33">
        <v>0.24524853801169591</v>
      </c>
      <c r="M112" s="33">
        <v>0.23940058479532164</v>
      </c>
      <c r="N112" s="33">
        <v>0.56184798807749625</v>
      </c>
      <c r="O112" s="33">
        <v>0.41068702290076337</v>
      </c>
      <c r="P112" s="33">
        <v>0.42375000000000002</v>
      </c>
    </row>
    <row r="113" spans="1:16" x14ac:dyDescent="0.45">
      <c r="A113" s="35">
        <v>110</v>
      </c>
      <c r="B113" s="32">
        <v>-7.1054273576010019E-15</v>
      </c>
      <c r="C113" s="32">
        <v>-2.1531598053336369E-17</v>
      </c>
      <c r="D113" s="37">
        <v>2</v>
      </c>
      <c r="E113" s="33">
        <v>0.33333333333333331</v>
      </c>
      <c r="F113" s="33">
        <v>0.33333333333333331</v>
      </c>
      <c r="G113" s="33">
        <v>0.29248011569052784</v>
      </c>
      <c r="H113" s="33">
        <v>0.16775126536514823</v>
      </c>
      <c r="I113" s="34">
        <v>8193.695920889988</v>
      </c>
      <c r="J113" s="34">
        <v>-7614.2241379310344</v>
      </c>
      <c r="K113" s="33">
        <v>0.10303030303030303</v>
      </c>
      <c r="L113" s="33">
        <v>0.24656543745480838</v>
      </c>
      <c r="M113" s="33">
        <v>0.23933477946493131</v>
      </c>
      <c r="N113" s="33">
        <v>0.56158357771260992</v>
      </c>
      <c r="O113" s="33">
        <v>0.41087613293051362</v>
      </c>
      <c r="P113" s="33">
        <v>0.42274412855377008</v>
      </c>
    </row>
    <row r="114" spans="1:16" x14ac:dyDescent="0.45">
      <c r="A114" s="35">
        <v>111</v>
      </c>
      <c r="B114" s="32">
        <v>-7.1054273576010019E-15</v>
      </c>
      <c r="C114" s="32">
        <v>-2.1337619692495501E-17</v>
      </c>
      <c r="D114" s="37">
        <v>2</v>
      </c>
      <c r="E114" s="33">
        <v>0.33333333333333331</v>
      </c>
      <c r="F114" s="33">
        <v>0.33333333333333331</v>
      </c>
      <c r="G114" s="33">
        <v>0.29175550817341861</v>
      </c>
      <c r="H114" s="33">
        <v>0.16666666666666666</v>
      </c>
      <c r="I114" s="34">
        <v>8196.2241169305726</v>
      </c>
      <c r="J114" s="34">
        <v>-7627.7185501066097</v>
      </c>
      <c r="K114" s="33">
        <v>0.1021021021021021</v>
      </c>
      <c r="L114" s="33">
        <v>0.24591329068941009</v>
      </c>
      <c r="M114" s="33">
        <v>0.23987206823027718</v>
      </c>
      <c r="N114" s="33">
        <v>0.55924855491329484</v>
      </c>
      <c r="O114" s="33">
        <v>0.41037037037037039</v>
      </c>
      <c r="P114" s="33">
        <v>0.42509135200974424</v>
      </c>
    </row>
    <row r="115" spans="1:16" x14ac:dyDescent="0.45">
      <c r="A115" s="35">
        <v>112</v>
      </c>
      <c r="B115" s="32">
        <v>-7.1054273576010019E-15</v>
      </c>
      <c r="C115" s="32">
        <v>-2.1147105230955362E-17</v>
      </c>
      <c r="D115" s="37">
        <v>2</v>
      </c>
      <c r="E115" s="33">
        <v>0.33333333333333331</v>
      </c>
      <c r="F115" s="33">
        <v>0.33333333333333331</v>
      </c>
      <c r="G115" s="33">
        <v>0.29228070175438597</v>
      </c>
      <c r="H115" s="33">
        <v>0.16701754385964912</v>
      </c>
      <c r="I115" s="34">
        <v>8179.3517406962783</v>
      </c>
      <c r="J115" s="34">
        <v>-7640.9663865546217</v>
      </c>
      <c r="K115" s="33">
        <v>0.10119047619047619</v>
      </c>
      <c r="L115" s="33">
        <v>0.24491228070175439</v>
      </c>
      <c r="M115" s="33">
        <v>0.24140350877192981</v>
      </c>
      <c r="N115" s="33">
        <v>0.56160458452722062</v>
      </c>
      <c r="O115" s="33">
        <v>0.40988372093023256</v>
      </c>
      <c r="P115" s="33">
        <v>0.42376950780312123</v>
      </c>
    </row>
    <row r="116" spans="1:16" x14ac:dyDescent="0.45">
      <c r="A116" s="35">
        <v>113</v>
      </c>
      <c r="B116" s="32">
        <v>-3.5527136788005009E-15</v>
      </c>
      <c r="C116" s="32">
        <v>-1.0479981353393808E-17</v>
      </c>
      <c r="D116" s="37">
        <v>2</v>
      </c>
      <c r="E116" s="33">
        <v>0.33333333333333331</v>
      </c>
      <c r="F116" s="33">
        <v>0.33333333333333331</v>
      </c>
      <c r="G116" s="33">
        <v>0.29223267154301635</v>
      </c>
      <c r="H116" s="33">
        <v>0.16649251132009751</v>
      </c>
      <c r="I116" s="34">
        <v>8198.9272943980923</v>
      </c>
      <c r="J116" s="34">
        <v>-7650.2092050209203</v>
      </c>
      <c r="K116" s="33">
        <v>0.10029498525073746</v>
      </c>
      <c r="L116" s="33">
        <v>0.24486241727621039</v>
      </c>
      <c r="M116" s="33">
        <v>0.24103099965168931</v>
      </c>
      <c r="N116" s="33">
        <v>0.56187766714082499</v>
      </c>
      <c r="O116" s="33">
        <v>0.41184971098265893</v>
      </c>
      <c r="P116" s="33">
        <v>0.42550655542312277</v>
      </c>
    </row>
    <row r="117" spans="1:16" x14ac:dyDescent="0.45">
      <c r="A117" s="35">
        <v>114</v>
      </c>
      <c r="B117" s="32">
        <v>-7.1054273576010019E-15</v>
      </c>
      <c r="C117" s="32">
        <v>-2.077610338479825E-17</v>
      </c>
      <c r="D117" s="37">
        <v>2</v>
      </c>
      <c r="E117" s="33">
        <v>0.33333333333333331</v>
      </c>
      <c r="F117" s="33">
        <v>0.33333333333333331</v>
      </c>
      <c r="G117" s="33">
        <v>0.2929188255613126</v>
      </c>
      <c r="H117" s="33">
        <v>0.16718480138169256</v>
      </c>
      <c r="I117" s="34">
        <v>8198.5849056603765</v>
      </c>
      <c r="J117" s="34">
        <v>-7678.3057851239673</v>
      </c>
      <c r="K117" s="33">
        <v>9.9415204678362568E-2</v>
      </c>
      <c r="L117" s="33">
        <v>0.24455958549222798</v>
      </c>
      <c r="M117" s="33">
        <v>0.24145077720207253</v>
      </c>
      <c r="N117" s="33">
        <v>0.56214689265536721</v>
      </c>
      <c r="O117" s="33">
        <v>0.413447782546495</v>
      </c>
      <c r="P117" s="33">
        <v>0.42334905660377359</v>
      </c>
    </row>
    <row r="118" spans="1:16" x14ac:dyDescent="0.45">
      <c r="A118" s="35">
        <v>115</v>
      </c>
      <c r="B118" s="32">
        <v>-7.1054273576010019E-15</v>
      </c>
      <c r="C118" s="32">
        <v>-2.0595441616234788E-17</v>
      </c>
      <c r="D118" s="37">
        <v>2</v>
      </c>
      <c r="E118" s="33">
        <v>0.33333333333333331</v>
      </c>
      <c r="F118" s="33">
        <v>0.33333333333333331</v>
      </c>
      <c r="G118" s="33">
        <v>0.29286694101508914</v>
      </c>
      <c r="H118" s="33">
        <v>0.16666666666666666</v>
      </c>
      <c r="I118" s="34">
        <v>8201.7564402810312</v>
      </c>
      <c r="J118" s="34">
        <v>-7671.1934156378602</v>
      </c>
      <c r="K118" s="33">
        <v>9.8550724637681164E-2</v>
      </c>
      <c r="L118" s="33">
        <v>0.2448559670781893</v>
      </c>
      <c r="M118" s="33">
        <v>0.24074074074074073</v>
      </c>
      <c r="N118" s="33">
        <v>0.56302521008403361</v>
      </c>
      <c r="O118" s="33">
        <v>0.4131054131054131</v>
      </c>
      <c r="P118" s="33">
        <v>0.42505854800936765</v>
      </c>
    </row>
    <row r="119" spans="1:16" x14ac:dyDescent="0.45">
      <c r="A119" s="35">
        <v>116</v>
      </c>
      <c r="B119" s="32">
        <v>-7.1054273576010019E-15</v>
      </c>
      <c r="C119" s="32">
        <v>-2.0417894705750005E-17</v>
      </c>
      <c r="D119" s="37">
        <v>2</v>
      </c>
      <c r="E119" s="33">
        <v>0.33333333333333331</v>
      </c>
      <c r="F119" s="33">
        <v>0.33333333333333331</v>
      </c>
      <c r="G119" s="33">
        <v>0.29285714285714287</v>
      </c>
      <c r="H119" s="33">
        <v>0.16632653061224489</v>
      </c>
      <c r="I119" s="34">
        <v>8201.0452961672472</v>
      </c>
      <c r="J119" s="34">
        <v>-7658.8957055214723</v>
      </c>
      <c r="K119" s="33">
        <v>9.7701149425287362E-2</v>
      </c>
      <c r="L119" s="33">
        <v>0.24557823129251702</v>
      </c>
      <c r="M119" s="33">
        <v>0.24047619047619048</v>
      </c>
      <c r="N119" s="33">
        <v>0.56371191135734067</v>
      </c>
      <c r="O119" s="33">
        <v>0.4115983026874116</v>
      </c>
      <c r="P119" s="33">
        <v>0.42624854819976771</v>
      </c>
    </row>
    <row r="120" spans="1:16" x14ac:dyDescent="0.45">
      <c r="A120" s="35">
        <v>117</v>
      </c>
      <c r="B120" s="32">
        <v>-7.1054273576010019E-15</v>
      </c>
      <c r="C120" s="32">
        <v>-2.024338278518804E-17</v>
      </c>
      <c r="D120" s="37">
        <v>2</v>
      </c>
      <c r="E120" s="33">
        <v>0.33333333333333331</v>
      </c>
      <c r="F120" s="33">
        <v>0.33333333333333331</v>
      </c>
      <c r="G120" s="33">
        <v>0.29318488529014847</v>
      </c>
      <c r="H120" s="33">
        <v>0.16632928475033737</v>
      </c>
      <c r="I120" s="34">
        <v>8222.6697353279633</v>
      </c>
      <c r="J120" s="34">
        <v>-7710.3448275862065</v>
      </c>
      <c r="K120" s="33">
        <v>9.686609686609686E-2</v>
      </c>
      <c r="L120" s="33">
        <v>0.24595141700404857</v>
      </c>
      <c r="M120" s="33">
        <v>0.24055330634278002</v>
      </c>
      <c r="N120" s="33">
        <v>0.56515775034293558</v>
      </c>
      <c r="O120" s="33">
        <v>0.4109396914446003</v>
      </c>
      <c r="P120" s="33">
        <v>0.42692750287686998</v>
      </c>
    </row>
    <row r="121" spans="1:16" x14ac:dyDescent="0.45">
      <c r="A121" s="35">
        <v>118</v>
      </c>
      <c r="B121" s="32">
        <v>-7.1054273576010019E-15</v>
      </c>
      <c r="C121" s="32">
        <v>-2.0071828693788141E-17</v>
      </c>
      <c r="D121" s="37">
        <v>2</v>
      </c>
      <c r="E121" s="33">
        <v>0.33333333333333331</v>
      </c>
      <c r="F121" s="33">
        <v>0.33333333333333331</v>
      </c>
      <c r="G121" s="33">
        <v>0.29354730859244399</v>
      </c>
      <c r="H121" s="33">
        <v>0.16616516215312604</v>
      </c>
      <c r="I121" s="34">
        <v>8248.0637813211852</v>
      </c>
      <c r="J121" s="34">
        <v>-7717.9074446680079</v>
      </c>
      <c r="K121" s="33">
        <v>9.6045197740112997E-2</v>
      </c>
      <c r="L121" s="33">
        <v>0.24607154797726513</v>
      </c>
      <c r="M121" s="33">
        <v>0.24105650284185892</v>
      </c>
      <c r="N121" s="33">
        <v>0.56385869565217395</v>
      </c>
      <c r="O121" s="33">
        <v>0.41192787794729541</v>
      </c>
      <c r="P121" s="33">
        <v>0.42824601366742598</v>
      </c>
    </row>
    <row r="122" spans="1:16" x14ac:dyDescent="0.45">
      <c r="A122" s="35">
        <v>119</v>
      </c>
      <c r="B122" s="32">
        <v>-7.1054273576010019E-15</v>
      </c>
      <c r="C122" s="32">
        <v>-1.9903157864428577E-17</v>
      </c>
      <c r="D122" s="37">
        <v>2</v>
      </c>
      <c r="E122" s="33">
        <v>0.33333333333333331</v>
      </c>
      <c r="F122" s="33">
        <v>0.33333333333333331</v>
      </c>
      <c r="G122" s="33">
        <v>0.29386401326699835</v>
      </c>
      <c r="H122" s="33">
        <v>0.16683250414593698</v>
      </c>
      <c r="I122" s="34">
        <v>8244.3566591422114</v>
      </c>
      <c r="J122" s="34">
        <v>-7739.9602385685885</v>
      </c>
      <c r="K122" s="33">
        <v>9.5238095238095233E-2</v>
      </c>
      <c r="L122" s="33">
        <v>0.2470978441127695</v>
      </c>
      <c r="M122" s="33">
        <v>0.24112769485903815</v>
      </c>
      <c r="N122" s="33">
        <v>0.56375838926174493</v>
      </c>
      <c r="O122" s="33">
        <v>0.41127922971114167</v>
      </c>
      <c r="P122" s="33">
        <v>0.4255079006772009</v>
      </c>
    </row>
    <row r="123" spans="1:16" x14ac:dyDescent="0.45">
      <c r="A123" s="35">
        <v>120</v>
      </c>
      <c r="B123" s="32">
        <v>-5.773159728050814E-15</v>
      </c>
      <c r="C123" s="32">
        <v>-1.6036554800141149E-17</v>
      </c>
      <c r="D123" s="37">
        <v>2</v>
      </c>
      <c r="E123" s="33">
        <v>0.33333333333333331</v>
      </c>
      <c r="F123" s="33">
        <v>0.33333333333333331</v>
      </c>
      <c r="G123" s="33">
        <v>0.29376854599406527</v>
      </c>
      <c r="H123" s="33">
        <v>0.16716122650840751</v>
      </c>
      <c r="I123" s="34">
        <v>8234.4556677890014</v>
      </c>
      <c r="J123" s="34">
        <v>-7734.9112426035499</v>
      </c>
      <c r="K123" s="33">
        <v>9.4444444444444442E-2</v>
      </c>
      <c r="L123" s="33">
        <v>0.24695021430926475</v>
      </c>
      <c r="M123" s="33">
        <v>0.24167490933069569</v>
      </c>
      <c r="N123" s="33">
        <v>0.56341789052069424</v>
      </c>
      <c r="O123" s="33">
        <v>0.40927694406548432</v>
      </c>
      <c r="P123" s="33">
        <v>0.42424242424242425</v>
      </c>
    </row>
    <row r="124" spans="1:16" x14ac:dyDescent="0.45">
      <c r="A124" s="35">
        <v>121</v>
      </c>
      <c r="B124" s="32">
        <v>-7.1054273576010019E-15</v>
      </c>
      <c r="C124" s="32">
        <v>-1.9574180048487609E-17</v>
      </c>
      <c r="D124" s="37">
        <v>2</v>
      </c>
      <c r="E124" s="33">
        <v>0.33333333333333331</v>
      </c>
      <c r="F124" s="33">
        <v>0.33333333333333331</v>
      </c>
      <c r="G124" s="33">
        <v>0.29400196656833827</v>
      </c>
      <c r="H124" s="33">
        <v>0.16715830875122911</v>
      </c>
      <c r="I124" s="34">
        <v>8242.5863991081387</v>
      </c>
      <c r="J124" s="34">
        <v>-7733.1372549019607</v>
      </c>
      <c r="K124" s="33">
        <v>9.366391184573003E-2</v>
      </c>
      <c r="L124" s="33">
        <v>0.24647656506063587</v>
      </c>
      <c r="M124" s="33">
        <v>0.24090462143559488</v>
      </c>
      <c r="N124" s="33">
        <v>0.56515957446808507</v>
      </c>
      <c r="O124" s="33">
        <v>0.40952380952380951</v>
      </c>
      <c r="P124" s="33">
        <v>0.42474916387959866</v>
      </c>
    </row>
    <row r="125" spans="1:16" x14ac:dyDescent="0.45">
      <c r="A125" s="35">
        <v>122</v>
      </c>
      <c r="B125" s="32">
        <v>-7.1054273576010019E-15</v>
      </c>
      <c r="C125" s="32">
        <v>-1.9413735949729513E-17</v>
      </c>
      <c r="D125" s="37">
        <v>2</v>
      </c>
      <c r="E125" s="33">
        <v>0.33333333333333331</v>
      </c>
      <c r="F125" s="33">
        <v>0.33333333333333331</v>
      </c>
      <c r="G125" s="33">
        <v>0.29390681003584229</v>
      </c>
      <c r="H125" s="33">
        <v>0.16715542521994134</v>
      </c>
      <c r="I125" s="34">
        <v>8238.1374722838136</v>
      </c>
      <c r="J125" s="34">
        <v>-7734.5029239766081</v>
      </c>
      <c r="K125" s="33">
        <v>9.2896174863387984E-2</v>
      </c>
      <c r="L125" s="33">
        <v>0.2469859889214728</v>
      </c>
      <c r="M125" s="33">
        <v>0.24079504724666015</v>
      </c>
      <c r="N125" s="33">
        <v>0.56464379947229548</v>
      </c>
      <c r="O125" s="33">
        <v>0.40866035182679294</v>
      </c>
      <c r="P125" s="33">
        <v>0.42461197339246121</v>
      </c>
    </row>
    <row r="126" spans="1:16" x14ac:dyDescent="0.45">
      <c r="A126" s="35">
        <v>123</v>
      </c>
      <c r="B126" s="32">
        <v>-5.3290705182007514E-15</v>
      </c>
      <c r="C126" s="32">
        <v>-1.4441925523579274E-17</v>
      </c>
      <c r="D126" s="37">
        <v>2</v>
      </c>
      <c r="E126" s="33">
        <v>0.33333333333333331</v>
      </c>
      <c r="F126" s="33">
        <v>0.33333333333333331</v>
      </c>
      <c r="G126" s="33">
        <v>0.29356611703847396</v>
      </c>
      <c r="H126" s="33">
        <v>0.16682832201745879</v>
      </c>
      <c r="I126" s="34">
        <v>8232.8193832599118</v>
      </c>
      <c r="J126" s="34">
        <v>-7717.635658914729</v>
      </c>
      <c r="K126" s="33">
        <v>9.2140921409214094E-2</v>
      </c>
      <c r="L126" s="33">
        <v>0.24636275460717749</v>
      </c>
      <c r="M126" s="33">
        <v>0.23957322987390883</v>
      </c>
      <c r="N126" s="33">
        <v>0.56561679790026242</v>
      </c>
      <c r="O126" s="33">
        <v>0.40890688259109309</v>
      </c>
      <c r="P126" s="33">
        <v>0.42511013215859028</v>
      </c>
    </row>
    <row r="127" spans="1:16" x14ac:dyDescent="0.45">
      <c r="A127" s="35">
        <v>124</v>
      </c>
      <c r="B127" s="32">
        <v>0</v>
      </c>
      <c r="C127" s="32">
        <v>0</v>
      </c>
      <c r="D127" s="37">
        <v>2</v>
      </c>
      <c r="E127" s="33">
        <v>0.33333333333333331</v>
      </c>
      <c r="F127" s="33">
        <v>0.33333333333333331</v>
      </c>
      <c r="G127" s="33">
        <v>0.29330771693884083</v>
      </c>
      <c r="H127" s="33">
        <v>0.16554594940762088</v>
      </c>
      <c r="I127" s="34">
        <v>8241.7030567685597</v>
      </c>
      <c r="J127" s="34">
        <v>-7710.251450676983</v>
      </c>
      <c r="K127" s="33">
        <v>9.1397849462365593E-2</v>
      </c>
      <c r="L127" s="33">
        <v>0.24591738712776176</v>
      </c>
      <c r="M127" s="33">
        <v>0.23983349343579891</v>
      </c>
      <c r="N127" s="33">
        <v>0.56640625</v>
      </c>
      <c r="O127" s="33">
        <v>0.40720961281708945</v>
      </c>
      <c r="P127" s="33">
        <v>0.42903930131004364</v>
      </c>
    </row>
    <row r="128" spans="1:16" x14ac:dyDescent="0.45">
      <c r="A128" s="35">
        <v>125</v>
      </c>
      <c r="B128" s="32">
        <v>0</v>
      </c>
      <c r="C128" s="32">
        <v>0</v>
      </c>
      <c r="D128" s="37">
        <v>2</v>
      </c>
      <c r="E128" s="33">
        <v>0.33333333333333331</v>
      </c>
      <c r="F128" s="33">
        <v>0.33333333333333331</v>
      </c>
      <c r="G128" s="33">
        <v>0.29349904397705545</v>
      </c>
      <c r="H128" s="33">
        <v>0.16602931803696622</v>
      </c>
      <c r="I128" s="34">
        <v>8251.0314875135718</v>
      </c>
      <c r="J128" s="34">
        <v>-7723.6084452975047</v>
      </c>
      <c r="K128" s="33">
        <v>9.3333333333333338E-2</v>
      </c>
      <c r="L128" s="33">
        <v>0.24633524537922244</v>
      </c>
      <c r="M128" s="33">
        <v>0.23900573613766729</v>
      </c>
      <c r="N128" s="33">
        <v>0.5666235446313066</v>
      </c>
      <c r="O128" s="33">
        <v>0.40799999999999997</v>
      </c>
      <c r="P128" s="33">
        <v>0.42779587404994573</v>
      </c>
    </row>
    <row r="129" spans="1:16" x14ac:dyDescent="0.45">
      <c r="A129" s="35">
        <v>126</v>
      </c>
      <c r="B129" s="32">
        <v>-1.7763568394002505E-15</v>
      </c>
      <c r="C129" s="32">
        <v>-4.6993567179900803E-18</v>
      </c>
      <c r="D129" s="37">
        <v>2</v>
      </c>
      <c r="E129" s="33">
        <v>0.33333333333333331</v>
      </c>
      <c r="F129" s="33">
        <v>0.33333333333333331</v>
      </c>
      <c r="G129" s="33">
        <v>0.2932449494949495</v>
      </c>
      <c r="H129" s="33">
        <v>0.16571969696969696</v>
      </c>
      <c r="I129" s="34">
        <v>8264.6932185145324</v>
      </c>
      <c r="J129" s="34">
        <v>-7731.6190476190477</v>
      </c>
      <c r="K129" s="33">
        <v>9.2592592592592587E-2</v>
      </c>
      <c r="L129" s="33">
        <v>0.24589646464646464</v>
      </c>
      <c r="M129" s="33">
        <v>0.23958333333333334</v>
      </c>
      <c r="N129" s="33">
        <v>0.56482670089858789</v>
      </c>
      <c r="O129" s="33">
        <v>0.40579710144927539</v>
      </c>
      <c r="P129" s="33">
        <v>0.42841765339074273</v>
      </c>
    </row>
    <row r="130" spans="1:16" x14ac:dyDescent="0.45">
      <c r="A130" s="35">
        <v>127</v>
      </c>
      <c r="B130" s="32">
        <v>-3.5527136788005009E-15</v>
      </c>
      <c r="C130" s="32">
        <v>-9.3247078183740181E-18</v>
      </c>
      <c r="D130" s="37">
        <v>2</v>
      </c>
      <c r="E130" s="33">
        <v>0.33333333333333331</v>
      </c>
      <c r="F130" s="33">
        <v>0.33333333333333331</v>
      </c>
      <c r="G130" s="33">
        <v>0.29350893697083724</v>
      </c>
      <c r="H130" s="33">
        <v>0.16556914393226718</v>
      </c>
      <c r="I130" s="34">
        <v>8294.9786324786328</v>
      </c>
      <c r="J130" s="34">
        <v>-7737.310606060606</v>
      </c>
      <c r="K130" s="33">
        <v>9.1863517060367453E-2</v>
      </c>
      <c r="L130" s="33">
        <v>0.24553151458137348</v>
      </c>
      <c r="M130" s="33">
        <v>0.24020068987143306</v>
      </c>
      <c r="N130" s="33">
        <v>0.56704980842911878</v>
      </c>
      <c r="O130" s="33">
        <v>0.40600522193211486</v>
      </c>
      <c r="P130" s="33">
        <v>0.42948717948717946</v>
      </c>
    </row>
    <row r="131" spans="1:16" x14ac:dyDescent="0.45">
      <c r="A131" s="35">
        <v>128</v>
      </c>
      <c r="B131" s="32">
        <v>-7.9936057773011271E-15</v>
      </c>
      <c r="C131" s="32">
        <v>-2.0816681711721685E-17</v>
      </c>
      <c r="D131" s="37">
        <v>2</v>
      </c>
      <c r="E131" s="33">
        <v>0.33333333333333331</v>
      </c>
      <c r="F131" s="33">
        <v>0.33333333333333331</v>
      </c>
      <c r="G131" s="33">
        <v>0.29349517584811702</v>
      </c>
      <c r="H131" s="33">
        <v>0.16526610644257703</v>
      </c>
      <c r="I131" s="34">
        <v>8291.9406150583236</v>
      </c>
      <c r="J131" s="34">
        <v>-7734.463276836158</v>
      </c>
      <c r="K131" s="33">
        <v>9.1145833333333329E-2</v>
      </c>
      <c r="L131" s="33">
        <v>0.24556489262371614</v>
      </c>
      <c r="M131" s="33">
        <v>0.23996265172735762</v>
      </c>
      <c r="N131" s="33">
        <v>0.56780735107731306</v>
      </c>
      <c r="O131" s="33">
        <v>0.40466926070038911</v>
      </c>
      <c r="P131" s="33">
        <v>0.43054082714740188</v>
      </c>
    </row>
    <row r="132" spans="1:16" x14ac:dyDescent="0.45">
      <c r="A132" s="35">
        <v>129</v>
      </c>
      <c r="B132" s="32">
        <v>-7.1054273576010019E-15</v>
      </c>
      <c r="C132" s="32">
        <v>-1.8360277409821711E-17</v>
      </c>
      <c r="D132" s="37">
        <v>2</v>
      </c>
      <c r="E132" s="33">
        <v>0.33333333333333331</v>
      </c>
      <c r="F132" s="33">
        <v>0.33333333333333331</v>
      </c>
      <c r="G132" s="33">
        <v>0.2928637627432808</v>
      </c>
      <c r="H132" s="33">
        <v>0.1646586345381526</v>
      </c>
      <c r="I132" s="34">
        <v>8304.6413502109699</v>
      </c>
      <c r="J132" s="34">
        <v>-7715.7598499061914</v>
      </c>
      <c r="K132" s="33">
        <v>9.0439276485788117E-2</v>
      </c>
      <c r="L132" s="33">
        <v>0.24590670373802903</v>
      </c>
      <c r="M132" s="33">
        <v>0.23972814334260117</v>
      </c>
      <c r="N132" s="33">
        <v>0.5653266331658291</v>
      </c>
      <c r="O132" s="33">
        <v>0.40463917525773196</v>
      </c>
      <c r="P132" s="33">
        <v>0.43143459915611815</v>
      </c>
    </row>
    <row r="133" spans="1:16" x14ac:dyDescent="0.45">
      <c r="A133" s="35">
        <v>130</v>
      </c>
      <c r="B133" s="32">
        <v>-7.1054273576010019E-15</v>
      </c>
      <c r="C133" s="32">
        <v>-1.8219044506669236E-17</v>
      </c>
      <c r="D133" s="37">
        <v>2</v>
      </c>
      <c r="E133" s="33">
        <v>0.33333333333333331</v>
      </c>
      <c r="F133" s="33">
        <v>0.33333333333333331</v>
      </c>
      <c r="G133" s="33">
        <v>0.29296636085626909</v>
      </c>
      <c r="H133" s="33">
        <v>0.16422018348623854</v>
      </c>
      <c r="I133" s="34">
        <v>8321.0855949895613</v>
      </c>
      <c r="J133" s="34">
        <v>-7732.774674115456</v>
      </c>
      <c r="K133" s="33">
        <v>8.9743589743589744E-2</v>
      </c>
      <c r="L133" s="33">
        <v>0.24648318042813455</v>
      </c>
      <c r="M133" s="33">
        <v>0.2400611620795107</v>
      </c>
      <c r="N133" s="33">
        <v>0.56451612903225812</v>
      </c>
      <c r="O133" s="33">
        <v>0.40509554140127391</v>
      </c>
      <c r="P133" s="33">
        <v>0.43319415448851772</v>
      </c>
    </row>
    <row r="134" spans="1:16" x14ac:dyDescent="0.45">
      <c r="A134" s="35">
        <v>131</v>
      </c>
      <c r="B134" s="32">
        <v>-1.4210854715202004E-14</v>
      </c>
      <c r="C134" s="32">
        <v>-3.6159935662091615E-17</v>
      </c>
      <c r="D134" s="37">
        <v>2</v>
      </c>
      <c r="E134" s="33">
        <v>0.33333333333333331</v>
      </c>
      <c r="F134" s="33">
        <v>0.33333333333333331</v>
      </c>
      <c r="G134" s="33">
        <v>0.29303030303030303</v>
      </c>
      <c r="H134" s="33">
        <v>0.16424242424242425</v>
      </c>
      <c r="I134" s="34">
        <v>8328.5418821096173</v>
      </c>
      <c r="J134" s="34">
        <v>-7721.9557195571952</v>
      </c>
      <c r="K134" s="33">
        <v>9.1603053435114504E-2</v>
      </c>
      <c r="L134" s="33">
        <v>0.24696969696969698</v>
      </c>
      <c r="M134" s="33">
        <v>0.23969696969696969</v>
      </c>
      <c r="N134" s="33">
        <v>0.56564417177914106</v>
      </c>
      <c r="O134" s="33">
        <v>0.40455120101137798</v>
      </c>
      <c r="P134" s="33">
        <v>0.43329886246122029</v>
      </c>
    </row>
    <row r="135" spans="1:16" x14ac:dyDescent="0.45">
      <c r="A135" s="35">
        <v>132</v>
      </c>
      <c r="B135" s="32">
        <v>-1.4210854715202004E-14</v>
      </c>
      <c r="C135" s="32">
        <v>-3.5885996755560618E-17</v>
      </c>
      <c r="D135" s="37">
        <v>2</v>
      </c>
      <c r="E135" s="33">
        <v>0.33333333333333331</v>
      </c>
      <c r="F135" s="33">
        <v>0.33333333333333331</v>
      </c>
      <c r="G135" s="33">
        <v>0.29294755877034356</v>
      </c>
      <c r="H135" s="33">
        <v>0.16395418927064498</v>
      </c>
      <c r="I135" s="34">
        <v>8323.4567901234568</v>
      </c>
      <c r="J135" s="34">
        <v>-7713.0514705882351</v>
      </c>
      <c r="K135" s="33">
        <v>9.0909090909090912E-2</v>
      </c>
      <c r="L135" s="33">
        <v>0.24743821579264616</v>
      </c>
      <c r="M135" s="33">
        <v>0.23899939722724534</v>
      </c>
      <c r="N135" s="33">
        <v>0.5663824604141291</v>
      </c>
      <c r="O135" s="33">
        <v>0.4047919293820933</v>
      </c>
      <c r="P135" s="33">
        <v>0.43415637860082307</v>
      </c>
    </row>
    <row r="136" spans="1:16" x14ac:dyDescent="0.45">
      <c r="A136" s="35">
        <v>133</v>
      </c>
      <c r="B136" s="32">
        <v>-1.4210854715202004E-14</v>
      </c>
      <c r="C136" s="32">
        <v>-3.5616177231082714E-17</v>
      </c>
      <c r="D136" s="37">
        <v>2</v>
      </c>
      <c r="E136" s="33">
        <v>0.33333333333333331</v>
      </c>
      <c r="F136" s="33">
        <v>0.33333333333333331</v>
      </c>
      <c r="G136" s="33">
        <v>0.29309309309309312</v>
      </c>
      <c r="H136" s="33">
        <v>0.16456456456456456</v>
      </c>
      <c r="I136" s="34">
        <v>8330.8401639344265</v>
      </c>
      <c r="J136" s="34">
        <v>-7730.6569343065694</v>
      </c>
      <c r="K136" s="33">
        <v>9.2731829573934832E-2</v>
      </c>
      <c r="L136" s="33">
        <v>0.24714714714714714</v>
      </c>
      <c r="M136" s="33">
        <v>0.23873873873873874</v>
      </c>
      <c r="N136" s="33">
        <v>0.56622114216281894</v>
      </c>
      <c r="O136" s="33">
        <v>0.40628930817610065</v>
      </c>
      <c r="P136" s="33">
        <v>0.43237704918032788</v>
      </c>
    </row>
    <row r="137" spans="1:16" x14ac:dyDescent="0.45">
      <c r="A137" s="35">
        <v>134</v>
      </c>
      <c r="B137" s="32">
        <v>-1.4210854715202004E-14</v>
      </c>
      <c r="C137" s="32">
        <v>-3.5350384863686576E-17</v>
      </c>
      <c r="D137" s="37">
        <v>2</v>
      </c>
      <c r="E137" s="33">
        <v>0.33333333333333331</v>
      </c>
      <c r="F137" s="33">
        <v>0.33333333333333331</v>
      </c>
      <c r="G137" s="33">
        <v>0.29266844761056693</v>
      </c>
      <c r="H137" s="33">
        <v>0.16444048679133275</v>
      </c>
      <c r="I137" s="34">
        <v>8319.7768762677479</v>
      </c>
      <c r="J137" s="34">
        <v>-7718.7725631768953</v>
      </c>
      <c r="K137" s="33">
        <v>9.2039800995024873E-2</v>
      </c>
      <c r="L137" s="33">
        <v>0.24784802612051055</v>
      </c>
      <c r="M137" s="33">
        <v>0.2377560106856634</v>
      </c>
      <c r="N137" s="33">
        <v>0.56526946107784426</v>
      </c>
      <c r="O137" s="33">
        <v>0.40574282147315854</v>
      </c>
      <c r="P137" s="33">
        <v>0.43204868154158216</v>
      </c>
    </row>
    <row r="138" spans="1:16" x14ac:dyDescent="0.45">
      <c r="A138" s="35">
        <v>135</v>
      </c>
      <c r="B138" s="32">
        <v>-1.3322676295501878E-14</v>
      </c>
      <c r="C138" s="32">
        <v>-3.2895497025930562E-17</v>
      </c>
      <c r="D138" s="37">
        <v>2</v>
      </c>
      <c r="E138" s="33">
        <v>0.33333333333333331</v>
      </c>
      <c r="F138" s="33">
        <v>0.33333333333333331</v>
      </c>
      <c r="G138" s="33">
        <v>0.29302736098852605</v>
      </c>
      <c r="H138" s="33">
        <v>0.16534274786701972</v>
      </c>
      <c r="I138" s="34">
        <v>8323.2931726907627</v>
      </c>
      <c r="J138" s="34">
        <v>-7729.3594306049818</v>
      </c>
      <c r="K138" s="33">
        <v>9.1358024691358022E-2</v>
      </c>
      <c r="L138" s="33">
        <v>0.24801412180052956</v>
      </c>
      <c r="M138" s="33">
        <v>0.23771697558105326</v>
      </c>
      <c r="N138" s="33">
        <v>0.5658362989323843</v>
      </c>
      <c r="O138" s="33">
        <v>0.40841584158415839</v>
      </c>
      <c r="P138" s="33">
        <v>0.42971887550200805</v>
      </c>
    </row>
    <row r="139" spans="1:16" x14ac:dyDescent="0.45">
      <c r="A139" s="35">
        <v>136</v>
      </c>
      <c r="B139" s="32">
        <v>-1.2434497875801753E-14</v>
      </c>
      <c r="C139" s="32">
        <v>-3.0476710479906261E-17</v>
      </c>
      <c r="D139" s="37">
        <v>2</v>
      </c>
      <c r="E139" s="33">
        <v>0.33333333333333331</v>
      </c>
      <c r="F139" s="33">
        <v>0.33333333333333331</v>
      </c>
      <c r="G139" s="33">
        <v>0.29308836395450566</v>
      </c>
      <c r="H139" s="33">
        <v>0.16506270049577138</v>
      </c>
      <c r="I139" s="34">
        <v>8315.7213930348262</v>
      </c>
      <c r="J139" s="34">
        <v>-7710.0706713780919</v>
      </c>
      <c r="K139" s="33">
        <v>9.0686274509803919E-2</v>
      </c>
      <c r="L139" s="33">
        <v>0.24671916010498687</v>
      </c>
      <c r="M139" s="33">
        <v>0.23826188393117528</v>
      </c>
      <c r="N139" s="33">
        <v>0.56619385342789597</v>
      </c>
      <c r="O139" s="33">
        <v>0.41003671970624234</v>
      </c>
      <c r="P139" s="33">
        <v>0.43084577114427863</v>
      </c>
    </row>
    <row r="140" spans="1:16" x14ac:dyDescent="0.45">
      <c r="A140" s="35">
        <v>137</v>
      </c>
      <c r="B140" s="32">
        <v>-1.4210854715202004E-14</v>
      </c>
      <c r="C140" s="32">
        <v>-3.4576288844773733E-17</v>
      </c>
      <c r="D140" s="37">
        <v>2</v>
      </c>
      <c r="E140" s="33">
        <v>0.33333333333333331</v>
      </c>
      <c r="F140" s="33">
        <v>0.33333333333333331</v>
      </c>
      <c r="G140" s="33">
        <v>0.29304347826086957</v>
      </c>
      <c r="H140" s="33">
        <v>0.16434782608695653</v>
      </c>
      <c r="I140" s="34">
        <v>8300</v>
      </c>
      <c r="J140" s="34">
        <v>-7701.0582010582011</v>
      </c>
      <c r="K140" s="33">
        <v>9.002433090024331E-2</v>
      </c>
      <c r="L140" s="33">
        <v>0.24637681159420291</v>
      </c>
      <c r="M140" s="33">
        <v>0.23826086956521739</v>
      </c>
      <c r="N140" s="33">
        <v>0.5658823529411765</v>
      </c>
      <c r="O140" s="33">
        <v>0.40997566909975669</v>
      </c>
      <c r="P140" s="33">
        <v>0.43323442136498519</v>
      </c>
    </row>
    <row r="141" spans="1:16" x14ac:dyDescent="0.45">
      <c r="A141" s="35">
        <v>138</v>
      </c>
      <c r="B141" s="32">
        <v>-1.4210854715202004E-14</v>
      </c>
      <c r="C141" s="32">
        <v>-3.4325736027057978E-17</v>
      </c>
      <c r="D141" s="37">
        <v>2</v>
      </c>
      <c r="E141" s="33">
        <v>0.33333333333333331</v>
      </c>
      <c r="F141" s="33">
        <v>0.33333333333333331</v>
      </c>
      <c r="G141" s="33">
        <v>0.29317269076305219</v>
      </c>
      <c r="H141" s="33">
        <v>0.16494549627079746</v>
      </c>
      <c r="I141" s="34">
        <v>8322.2113502935426</v>
      </c>
      <c r="J141" s="34">
        <v>-7715.652173913043</v>
      </c>
      <c r="K141" s="33">
        <v>9.1787439613526575E-2</v>
      </c>
      <c r="L141" s="33">
        <v>0.24584050487664946</v>
      </c>
      <c r="M141" s="33">
        <v>0.23866896156052783</v>
      </c>
      <c r="N141" s="33">
        <v>0.56359393232205368</v>
      </c>
      <c r="O141" s="33">
        <v>0.40985576923076922</v>
      </c>
      <c r="P141" s="33">
        <v>0.4315068493150685</v>
      </c>
    </row>
    <row r="142" spans="1:16" x14ac:dyDescent="0.45">
      <c r="A142" s="35">
        <v>139</v>
      </c>
      <c r="B142" s="32">
        <v>-1.4210854715202004E-14</v>
      </c>
      <c r="C142" s="32">
        <v>-3.4078788285856122E-17</v>
      </c>
      <c r="D142" s="37">
        <v>2</v>
      </c>
      <c r="E142" s="33">
        <v>0.33333333333333331</v>
      </c>
      <c r="F142" s="33">
        <v>0.33333333333333331</v>
      </c>
      <c r="G142" s="33">
        <v>0.29319669797893538</v>
      </c>
      <c r="H142" s="33">
        <v>0.16510105323085683</v>
      </c>
      <c r="I142" s="34">
        <v>8307.6699029126212</v>
      </c>
      <c r="J142" s="34">
        <v>-7705.3448275862065</v>
      </c>
      <c r="K142" s="33">
        <v>9.1127098321342928E-2</v>
      </c>
      <c r="L142" s="33">
        <v>0.24565898092798177</v>
      </c>
      <c r="M142" s="33">
        <v>0.23939652718474239</v>
      </c>
      <c r="N142" s="33">
        <v>0.56431054461181929</v>
      </c>
      <c r="O142" s="33">
        <v>0.40665873959571935</v>
      </c>
      <c r="P142" s="33">
        <v>0.43106796116504853</v>
      </c>
    </row>
    <row r="143" spans="1:16" x14ac:dyDescent="0.45">
      <c r="A143" s="35">
        <v>140</v>
      </c>
      <c r="B143" s="32">
        <v>-1.354472090042691E-14</v>
      </c>
      <c r="C143" s="32">
        <v>-3.2249335477206931E-17</v>
      </c>
      <c r="D143" s="37">
        <v>2</v>
      </c>
      <c r="E143" s="33">
        <v>0.33333333333333331</v>
      </c>
      <c r="F143" s="33">
        <v>0.33333333333333331</v>
      </c>
      <c r="G143" s="33">
        <v>0.29318631608707946</v>
      </c>
      <c r="H143" s="33">
        <v>0.1645462256149279</v>
      </c>
      <c r="I143" s="34">
        <v>8306.7502410800389</v>
      </c>
      <c r="J143" s="34">
        <v>-7723.5395189003439</v>
      </c>
      <c r="K143" s="33">
        <v>9.0476190476190474E-2</v>
      </c>
      <c r="L143" s="33">
        <v>0.24597116200169636</v>
      </c>
      <c r="M143" s="33">
        <v>0.23918575063613232</v>
      </c>
      <c r="N143" s="33">
        <v>0.56551724137931036</v>
      </c>
      <c r="O143" s="33">
        <v>0.40661938534278957</v>
      </c>
      <c r="P143" s="33">
        <v>0.43297974927675986</v>
      </c>
    </row>
    <row r="144" spans="1:16" x14ac:dyDescent="0.45">
      <c r="A144" s="35">
        <v>141</v>
      </c>
      <c r="B144" s="32">
        <v>-1.4210854715202004E-14</v>
      </c>
      <c r="C144" s="32">
        <v>-3.3595401217971639E-17</v>
      </c>
      <c r="D144" s="37">
        <v>2</v>
      </c>
      <c r="E144" s="33">
        <v>0.33333333333333331</v>
      </c>
      <c r="F144" s="33">
        <v>0.33333333333333331</v>
      </c>
      <c r="G144" s="33">
        <v>0.29332206255283177</v>
      </c>
      <c r="H144" s="33">
        <v>0.16455339532262608</v>
      </c>
      <c r="I144" s="34">
        <v>8326.032660902978</v>
      </c>
      <c r="J144" s="34">
        <v>-7741.0958904109593</v>
      </c>
      <c r="K144" s="33">
        <v>9.2198581560283682E-2</v>
      </c>
      <c r="L144" s="33">
        <v>0.24598478444632291</v>
      </c>
      <c r="M144" s="33">
        <v>0.23865877712031558</v>
      </c>
      <c r="N144" s="33">
        <v>0.5670103092783505</v>
      </c>
      <c r="O144" s="33">
        <v>0.40731995277449823</v>
      </c>
      <c r="P144" s="33">
        <v>0.43323727185398653</v>
      </c>
    </row>
    <row r="145" spans="1:16" x14ac:dyDescent="0.45">
      <c r="A145" s="35">
        <v>142</v>
      </c>
      <c r="B145" s="32">
        <v>-1.4210854715202004E-14</v>
      </c>
      <c r="C145" s="32">
        <v>-3.3358813885450714E-17</v>
      </c>
      <c r="D145" s="37">
        <v>2</v>
      </c>
      <c r="E145" s="33">
        <v>0.33333333333333331</v>
      </c>
      <c r="F145" s="33">
        <v>0.33333333333333331</v>
      </c>
      <c r="G145" s="33">
        <v>0.29352396972245587</v>
      </c>
      <c r="H145" s="33">
        <v>0.16456405943369778</v>
      </c>
      <c r="I145" s="34">
        <v>8340.5921680993306</v>
      </c>
      <c r="J145" s="34">
        <v>-7764.9063032367976</v>
      </c>
      <c r="K145" s="33">
        <v>9.154929577464789E-2</v>
      </c>
      <c r="L145" s="33">
        <v>0.24670591533501543</v>
      </c>
      <c r="M145" s="33">
        <v>0.23857583403420241</v>
      </c>
      <c r="N145" s="33">
        <v>0.56704545454545452</v>
      </c>
      <c r="O145" s="33">
        <v>0.40658049353701525</v>
      </c>
      <c r="P145" s="33">
        <v>0.43361986628462273</v>
      </c>
    </row>
    <row r="146" spans="1:16" x14ac:dyDescent="0.45">
      <c r="A146" s="35">
        <v>143</v>
      </c>
      <c r="B146" s="32">
        <v>-1.4210854715202004E-14</v>
      </c>
      <c r="C146" s="32">
        <v>-3.3125535466671337E-17</v>
      </c>
      <c r="D146" s="37">
        <v>2</v>
      </c>
      <c r="E146" s="33">
        <v>0.33333333333333331</v>
      </c>
      <c r="F146" s="33">
        <v>0.33333333333333331</v>
      </c>
      <c r="G146" s="33">
        <v>0.29326655537006119</v>
      </c>
      <c r="H146" s="33">
        <v>0.16416249304396216</v>
      </c>
      <c r="I146" s="34">
        <v>8332.5426944971532</v>
      </c>
      <c r="J146" s="34">
        <v>-7753.2203389830511</v>
      </c>
      <c r="K146" s="33">
        <v>9.0909090909090912E-2</v>
      </c>
      <c r="L146" s="33">
        <v>0.24707846410684475</v>
      </c>
      <c r="M146" s="33">
        <v>0.23817473567056205</v>
      </c>
      <c r="N146" s="33">
        <v>0.56644144144144148</v>
      </c>
      <c r="O146" s="33">
        <v>0.40771028037383178</v>
      </c>
      <c r="P146" s="33">
        <v>0.43453510436432635</v>
      </c>
    </row>
    <row r="147" spans="1:16" x14ac:dyDescent="0.45">
      <c r="A147" s="35">
        <v>144</v>
      </c>
      <c r="B147" s="32">
        <v>-1.4210854715202004E-14</v>
      </c>
      <c r="C147" s="32">
        <v>-3.2895497025930562E-17</v>
      </c>
      <c r="D147" s="37">
        <v>2</v>
      </c>
      <c r="E147" s="33">
        <v>0.33333333333333331</v>
      </c>
      <c r="F147" s="33">
        <v>0.33333333333333331</v>
      </c>
      <c r="G147" s="33">
        <v>0.29346622369878184</v>
      </c>
      <c r="H147" s="33">
        <v>0.16362126245847175</v>
      </c>
      <c r="I147" s="34">
        <v>8327.8301886792451</v>
      </c>
      <c r="J147" s="34">
        <v>-7760.406091370558</v>
      </c>
      <c r="K147" s="33">
        <v>9.0277777777777776E-2</v>
      </c>
      <c r="L147" s="33">
        <v>0.24695459579180509</v>
      </c>
      <c r="M147" s="33">
        <v>0.23781838316722037</v>
      </c>
      <c r="N147" s="33">
        <v>0.56838565022421528</v>
      </c>
      <c r="O147" s="33">
        <v>0.40745052386495928</v>
      </c>
      <c r="P147" s="33">
        <v>0.43679245283018869</v>
      </c>
    </row>
    <row r="148" spans="1:16" x14ac:dyDescent="0.45">
      <c r="A148" s="35">
        <v>145</v>
      </c>
      <c r="B148" s="32">
        <v>-1.4543921622589551E-14</v>
      </c>
      <c r="C148" s="32">
        <v>-3.3434302580665635E-17</v>
      </c>
      <c r="D148" s="37">
        <v>2</v>
      </c>
      <c r="E148" s="33">
        <v>0.33333333333333331</v>
      </c>
      <c r="F148" s="33">
        <v>0.33333333333333331</v>
      </c>
      <c r="G148" s="33">
        <v>0.29314616019818329</v>
      </c>
      <c r="H148" s="33">
        <v>0.16377649325626203</v>
      </c>
      <c r="I148" s="34">
        <v>8312.7699530516438</v>
      </c>
      <c r="J148" s="34">
        <v>-7742.3529411764703</v>
      </c>
      <c r="K148" s="33">
        <v>8.9655172413793102E-2</v>
      </c>
      <c r="L148" s="33">
        <v>0.24690338563170933</v>
      </c>
      <c r="M148" s="33">
        <v>0.23809523809523808</v>
      </c>
      <c r="N148" s="33">
        <v>0.56744704570791527</v>
      </c>
      <c r="O148" s="33">
        <v>0.40578034682080927</v>
      </c>
      <c r="P148" s="33">
        <v>0.43568075117370891</v>
      </c>
    </row>
    <row r="149" spans="1:16" x14ac:dyDescent="0.45">
      <c r="A149" s="35">
        <v>146</v>
      </c>
      <c r="B149" s="32">
        <v>-1.4210854715202004E-14</v>
      </c>
      <c r="C149" s="32">
        <v>-3.2444873779000007E-17</v>
      </c>
      <c r="D149" s="37">
        <v>2</v>
      </c>
      <c r="E149" s="33">
        <v>0.33333333333333331</v>
      </c>
      <c r="F149" s="33">
        <v>0.33333333333333331</v>
      </c>
      <c r="G149" s="33">
        <v>0.29340989882417284</v>
      </c>
      <c r="H149" s="33">
        <v>0.16324856439704677</v>
      </c>
      <c r="I149" s="34">
        <v>8321.1556383970183</v>
      </c>
      <c r="J149" s="34">
        <v>-7756.6164154103853</v>
      </c>
      <c r="K149" s="33">
        <v>8.9041095890410954E-2</v>
      </c>
      <c r="L149" s="33">
        <v>0.24883784522832922</v>
      </c>
      <c r="M149" s="33">
        <v>0.23735302160240634</v>
      </c>
      <c r="N149" s="33">
        <v>0.56593406593406592</v>
      </c>
      <c r="O149" s="33">
        <v>0.40552995391705071</v>
      </c>
      <c r="P149" s="33">
        <v>0.43802423112767941</v>
      </c>
    </row>
    <row r="150" spans="1:16" x14ac:dyDescent="0.45">
      <c r="A150" s="35">
        <v>147</v>
      </c>
      <c r="B150" s="32">
        <v>-2.1316282072803006E-14</v>
      </c>
      <c r="C150" s="32">
        <v>-4.833624052789797E-17</v>
      </c>
      <c r="D150" s="37">
        <v>2</v>
      </c>
      <c r="E150" s="33">
        <v>0.33333333333333331</v>
      </c>
      <c r="F150" s="33">
        <v>0.33333333333333331</v>
      </c>
      <c r="G150" s="33">
        <v>0.29363784665579118</v>
      </c>
      <c r="H150" s="33">
        <v>0.16313213703099511</v>
      </c>
      <c r="I150" s="34">
        <v>8343.7037037037044</v>
      </c>
      <c r="J150" s="34">
        <v>-7793.833333333333</v>
      </c>
      <c r="K150" s="33">
        <v>9.0702947845804988E-2</v>
      </c>
      <c r="L150" s="33">
        <v>0.24932028276237087</v>
      </c>
      <c r="M150" s="33">
        <v>0.23708537248504621</v>
      </c>
      <c r="N150" s="33">
        <v>0.56597600872410037</v>
      </c>
      <c r="O150" s="33">
        <v>0.40481651376146788</v>
      </c>
      <c r="P150" s="33">
        <v>0.43888888888888888</v>
      </c>
    </row>
    <row r="151" spans="1:16" x14ac:dyDescent="0.45">
      <c r="A151" s="35">
        <v>148</v>
      </c>
      <c r="B151" s="32">
        <v>-2.1316282072803006E-14</v>
      </c>
      <c r="C151" s="32">
        <v>-4.800964430811488E-17</v>
      </c>
      <c r="D151" s="37">
        <v>2</v>
      </c>
      <c r="E151" s="33">
        <v>0.33333333333333331</v>
      </c>
      <c r="F151" s="33">
        <v>0.33333333333333331</v>
      </c>
      <c r="G151" s="33">
        <v>0.29359286293592862</v>
      </c>
      <c r="H151" s="33">
        <v>0.16355771830224386</v>
      </c>
      <c r="I151" s="34">
        <v>8338.674033149171</v>
      </c>
      <c r="J151" s="34">
        <v>-7789.9173553719011</v>
      </c>
      <c r="K151" s="33">
        <v>9.0090090090090086E-2</v>
      </c>
      <c r="L151" s="33">
        <v>0.2492565558258989</v>
      </c>
      <c r="M151" s="33">
        <v>0.23655041903217086</v>
      </c>
      <c r="N151" s="33">
        <v>0.56616052060737532</v>
      </c>
      <c r="O151" s="33">
        <v>0.40571428571428569</v>
      </c>
      <c r="P151" s="33">
        <v>0.43738489871086556</v>
      </c>
    </row>
    <row r="152" spans="1:16" x14ac:dyDescent="0.45">
      <c r="A152" s="35">
        <v>149</v>
      </c>
      <c r="B152" s="32">
        <v>-2.1316282072803006E-14</v>
      </c>
      <c r="C152" s="32">
        <v>-4.7687431930208065E-17</v>
      </c>
      <c r="D152" s="37">
        <v>2</v>
      </c>
      <c r="E152" s="33">
        <v>0.33333333333333331</v>
      </c>
      <c r="F152" s="33">
        <v>0.33333333333333331</v>
      </c>
      <c r="G152" s="33">
        <v>0.29348411416262787</v>
      </c>
      <c r="H152" s="33">
        <v>0.16289714593430263</v>
      </c>
      <c r="I152" s="34">
        <v>8384.9541284403676</v>
      </c>
      <c r="J152" s="34">
        <v>-7789.9173553719011</v>
      </c>
      <c r="K152" s="33">
        <v>9.1722595078299773E-2</v>
      </c>
      <c r="L152" s="33">
        <v>0.24986537425955843</v>
      </c>
      <c r="M152" s="33">
        <v>0.23586429725363489</v>
      </c>
      <c r="N152" s="33">
        <v>0.56573275862068961</v>
      </c>
      <c r="O152" s="33">
        <v>0.40639269406392692</v>
      </c>
      <c r="P152" s="33">
        <v>0.43944954128440367</v>
      </c>
    </row>
    <row r="153" spans="1:16" x14ac:dyDescent="0.45">
      <c r="A153" s="35">
        <v>150</v>
      </c>
      <c r="B153" s="32">
        <v>-2.4868995751603507E-14</v>
      </c>
      <c r="C153" s="32">
        <v>-5.5264435003563346E-17</v>
      </c>
      <c r="D153" s="37">
        <v>2</v>
      </c>
      <c r="E153" s="33">
        <v>0.33333333333333331</v>
      </c>
      <c r="F153" s="33">
        <v>0.33333333333333331</v>
      </c>
      <c r="G153" s="33">
        <v>0.29370816599732263</v>
      </c>
      <c r="H153" s="33">
        <v>0.16305220883534136</v>
      </c>
      <c r="I153" s="34">
        <v>8364.3573381950773</v>
      </c>
      <c r="J153" s="34">
        <v>-7762.5615763546803</v>
      </c>
      <c r="K153" s="33">
        <v>9.1111111111111115E-2</v>
      </c>
      <c r="L153" s="33">
        <v>0.24953145917001338</v>
      </c>
      <c r="M153" s="33">
        <v>0.23480589022757697</v>
      </c>
      <c r="N153" s="33">
        <v>0.56545064377682408</v>
      </c>
      <c r="O153" s="33">
        <v>0.40706955530216649</v>
      </c>
      <c r="P153" s="33">
        <v>0.43938012762078393</v>
      </c>
    </row>
    <row r="154" spans="1:16" x14ac:dyDescent="0.45">
      <c r="A154" s="35">
        <v>151</v>
      </c>
      <c r="B154" s="32">
        <v>-2.1316282072803006E-14</v>
      </c>
      <c r="C154" s="32">
        <v>-4.7055810315238423E-17</v>
      </c>
      <c r="D154" s="37">
        <v>2</v>
      </c>
      <c r="E154" s="33">
        <v>0.33333333333333331</v>
      </c>
      <c r="F154" s="33">
        <v>0.33333333333333331</v>
      </c>
      <c r="G154" s="33">
        <v>0.29396115988294758</v>
      </c>
      <c r="H154" s="33">
        <v>0.16227720138334664</v>
      </c>
      <c r="I154" s="34">
        <v>8344.8868778280539</v>
      </c>
      <c r="J154" s="34">
        <v>-7762.9508196721308</v>
      </c>
      <c r="K154" s="33">
        <v>9.0507726269315678E-2</v>
      </c>
      <c r="L154" s="33">
        <v>0.25006650704974726</v>
      </c>
      <c r="M154" s="33">
        <v>0.23357275871242353</v>
      </c>
      <c r="N154" s="33">
        <v>0.56595744680851068</v>
      </c>
      <c r="O154" s="33">
        <v>0.40774487471526194</v>
      </c>
      <c r="P154" s="33">
        <v>0.44253393665158369</v>
      </c>
    </row>
    <row r="155" spans="1:16" x14ac:dyDescent="0.45">
      <c r="A155" s="35">
        <v>152</v>
      </c>
      <c r="B155" s="32">
        <v>-2.1316282072803006E-14</v>
      </c>
      <c r="C155" s="32">
        <v>-4.6746232615796062E-17</v>
      </c>
      <c r="D155" s="37">
        <v>2</v>
      </c>
      <c r="E155" s="33">
        <v>0.33333333333333331</v>
      </c>
      <c r="F155" s="33">
        <v>0.33333333333333331</v>
      </c>
      <c r="G155" s="33">
        <v>0.2941487953402171</v>
      </c>
      <c r="H155" s="33">
        <v>0.16176859941752714</v>
      </c>
      <c r="I155" s="34">
        <v>8339.8739873987397</v>
      </c>
      <c r="J155" s="34">
        <v>-7753.5188216039278</v>
      </c>
      <c r="K155" s="33">
        <v>8.9912280701754388E-2</v>
      </c>
      <c r="L155" s="33">
        <v>0.25019857029388404</v>
      </c>
      <c r="M155" s="33">
        <v>0.23325390521577971</v>
      </c>
      <c r="N155" s="33">
        <v>0.56613756613756616</v>
      </c>
      <c r="O155" s="33">
        <v>0.40749148694665155</v>
      </c>
      <c r="P155" s="33">
        <v>0.44464446444644462</v>
      </c>
    </row>
    <row r="156" spans="1:16" x14ac:dyDescent="0.45">
      <c r="A156" s="35">
        <v>153</v>
      </c>
      <c r="B156" s="32">
        <v>-2.1316282072803006E-14</v>
      </c>
      <c r="C156" s="32">
        <v>-4.644070168366668E-17</v>
      </c>
      <c r="D156" s="37">
        <v>2</v>
      </c>
      <c r="E156" s="33">
        <v>0.33333333333333331</v>
      </c>
      <c r="F156" s="33">
        <v>0.33333333333333331</v>
      </c>
      <c r="G156" s="33">
        <v>0.29439621152328332</v>
      </c>
      <c r="H156" s="33">
        <v>0.16232570376216784</v>
      </c>
      <c r="I156" s="34">
        <v>8329.3118856121546</v>
      </c>
      <c r="J156" s="34">
        <v>-7747.0016207455428</v>
      </c>
      <c r="K156" s="33">
        <v>8.9324618736383449E-2</v>
      </c>
      <c r="L156" s="33">
        <v>0.2496711391739016</v>
      </c>
      <c r="M156" s="33">
        <v>0.23204419889502761</v>
      </c>
      <c r="N156" s="33">
        <v>0.5669125395152792</v>
      </c>
      <c r="O156" s="33">
        <v>0.40702947845804988</v>
      </c>
      <c r="P156" s="33">
        <v>0.44325290437890974</v>
      </c>
    </row>
    <row r="157" spans="1:16" x14ac:dyDescent="0.45">
      <c r="A157" s="35">
        <v>154</v>
      </c>
      <c r="B157" s="32">
        <v>-2.1316282072803006E-14</v>
      </c>
      <c r="C157" s="32">
        <v>-4.6139138685720794E-17</v>
      </c>
      <c r="D157" s="37">
        <v>2</v>
      </c>
      <c r="E157" s="33">
        <v>0.33333333333333331</v>
      </c>
      <c r="F157" s="33">
        <v>0.33333333333333331</v>
      </c>
      <c r="G157" s="33">
        <v>0.29414838035527691</v>
      </c>
      <c r="H157" s="33">
        <v>0.16222570532915362</v>
      </c>
      <c r="I157" s="34">
        <v>8316.2522202486671</v>
      </c>
      <c r="J157" s="34">
        <v>-7747.9871175523349</v>
      </c>
      <c r="K157" s="33">
        <v>8.8744588744588751E-2</v>
      </c>
      <c r="L157" s="33">
        <v>0.2497387669801463</v>
      </c>
      <c r="M157" s="33">
        <v>0.23171368861024033</v>
      </c>
      <c r="N157" s="33">
        <v>0.56589958158995812</v>
      </c>
      <c r="O157" s="33">
        <v>0.40698985343855693</v>
      </c>
      <c r="P157" s="33">
        <v>0.44227353463587921</v>
      </c>
    </row>
    <row r="158" spans="1:16" x14ac:dyDescent="0.45">
      <c r="A158" s="35">
        <v>155</v>
      </c>
      <c r="B158" s="32">
        <v>-2.1316282072803006E-14</v>
      </c>
      <c r="C158" s="32">
        <v>-4.584146682323227E-17</v>
      </c>
      <c r="D158" s="37">
        <v>2</v>
      </c>
      <c r="E158" s="33">
        <v>0.33333333333333331</v>
      </c>
      <c r="F158" s="33">
        <v>0.33333333333333331</v>
      </c>
      <c r="G158" s="33">
        <v>0.29436217199272541</v>
      </c>
      <c r="H158" s="33">
        <v>0.16263964666147052</v>
      </c>
      <c r="I158" s="34">
        <v>8306.4430714916143</v>
      </c>
      <c r="J158" s="34">
        <v>-7745.207667731629</v>
      </c>
      <c r="K158" s="33">
        <v>8.8172043010752682E-2</v>
      </c>
      <c r="L158" s="33">
        <v>0.25045466354897378</v>
      </c>
      <c r="M158" s="33">
        <v>0.23174850610548195</v>
      </c>
      <c r="N158" s="33">
        <v>0.56535269709543567</v>
      </c>
      <c r="O158" s="33">
        <v>0.40582959641255606</v>
      </c>
      <c r="P158" s="33">
        <v>0.44130626654898497</v>
      </c>
    </row>
    <row r="159" spans="1:16" x14ac:dyDescent="0.45">
      <c r="A159" s="35">
        <v>156</v>
      </c>
      <c r="B159" s="32">
        <v>-2.8421709430404007E-14</v>
      </c>
      <c r="C159" s="32">
        <v>-6.0730148355564125E-17</v>
      </c>
      <c r="D159" s="37">
        <v>2</v>
      </c>
      <c r="E159" s="33">
        <v>0.33333333333333331</v>
      </c>
      <c r="F159" s="33">
        <v>0.33333333333333331</v>
      </c>
      <c r="G159" s="33">
        <v>0.2942849754331523</v>
      </c>
      <c r="H159" s="33">
        <v>0.16291698991466252</v>
      </c>
      <c r="I159" s="34">
        <v>8306.9420035149378</v>
      </c>
      <c r="J159" s="34">
        <v>-7750.1587301587306</v>
      </c>
      <c r="K159" s="33">
        <v>8.9743589743589744E-2</v>
      </c>
      <c r="L159" s="33">
        <v>0.25084044478924233</v>
      </c>
      <c r="M159" s="33">
        <v>0.23196276183087663</v>
      </c>
      <c r="N159" s="33">
        <v>0.56494845360824741</v>
      </c>
      <c r="O159" s="33">
        <v>0.40579710144927539</v>
      </c>
      <c r="P159" s="33">
        <v>0.44024604569420034</v>
      </c>
    </row>
    <row r="160" spans="1:16" x14ac:dyDescent="0.45">
      <c r="A160" s="35">
        <v>157</v>
      </c>
      <c r="B160" s="32">
        <v>-3.5527136788005009E-14</v>
      </c>
      <c r="C160" s="32">
        <v>-7.5429165155000015E-17</v>
      </c>
      <c r="D160" s="37">
        <v>2</v>
      </c>
      <c r="E160" s="33">
        <v>0.33333333333333331</v>
      </c>
      <c r="F160" s="33">
        <v>0.33333333333333331</v>
      </c>
      <c r="G160" s="33">
        <v>0.29410256410256408</v>
      </c>
      <c r="H160" s="33">
        <v>0.1635897435897436</v>
      </c>
      <c r="I160" s="34">
        <v>8322.7550130775944</v>
      </c>
      <c r="J160" s="34">
        <v>-7794.2006269592475</v>
      </c>
      <c r="K160" s="33">
        <v>9.1295116772823773E-2</v>
      </c>
      <c r="L160" s="33">
        <v>0.25102564102564101</v>
      </c>
      <c r="M160" s="33">
        <v>0.23179487179487179</v>
      </c>
      <c r="N160" s="33">
        <v>0.56486210418794691</v>
      </c>
      <c r="O160" s="33">
        <v>0.40707964601769914</v>
      </c>
      <c r="P160" s="33">
        <v>0.43766346992153443</v>
      </c>
    </row>
    <row r="161" spans="1:16" x14ac:dyDescent="0.45">
      <c r="A161" s="35">
        <v>158</v>
      </c>
      <c r="B161" s="32">
        <v>-3.5527136788005009E-14</v>
      </c>
      <c r="C161" s="32">
        <v>-7.4951765375537991E-17</v>
      </c>
      <c r="D161" s="37">
        <v>2</v>
      </c>
      <c r="E161" s="33">
        <v>0.33333333333333331</v>
      </c>
      <c r="F161" s="33">
        <v>0.33333333333333331</v>
      </c>
      <c r="G161" s="33">
        <v>0.29408766564729866</v>
      </c>
      <c r="H161" s="33">
        <v>0.1636085626911315</v>
      </c>
      <c r="I161" s="34">
        <v>8319.0641247833628</v>
      </c>
      <c r="J161" s="34">
        <v>-7770.5607476635514</v>
      </c>
      <c r="K161" s="33">
        <v>9.0717299578059074E-2</v>
      </c>
      <c r="L161" s="33">
        <v>0.25127420998980632</v>
      </c>
      <c r="M161" s="33">
        <v>0.23088685015290519</v>
      </c>
      <c r="N161" s="33">
        <v>0.56490872210953347</v>
      </c>
      <c r="O161" s="33">
        <v>0.40728476821192056</v>
      </c>
      <c r="P161" s="33">
        <v>0.43760831889081458</v>
      </c>
    </row>
    <row r="162" spans="1:16" x14ac:dyDescent="0.45">
      <c r="A162" s="35">
        <v>159</v>
      </c>
      <c r="B162" s="32">
        <v>-3.5527136788005009E-14</v>
      </c>
      <c r="C162" s="32">
        <v>-7.4480370624748451E-17</v>
      </c>
      <c r="D162" s="37">
        <v>2</v>
      </c>
      <c r="E162" s="33">
        <v>0.33333333333333331</v>
      </c>
      <c r="F162" s="33">
        <v>0.33333333333333331</v>
      </c>
      <c r="G162" s="33">
        <v>0.29407294832826747</v>
      </c>
      <c r="H162" s="33">
        <v>0.16362715298885511</v>
      </c>
      <c r="I162" s="34">
        <v>8300</v>
      </c>
      <c r="J162" s="34">
        <v>-7760.5263157894733</v>
      </c>
      <c r="K162" s="33">
        <v>9.0146750524109018E-2</v>
      </c>
      <c r="L162" s="33">
        <v>0.25177304964539005</v>
      </c>
      <c r="M162" s="33">
        <v>0.2307497467071935</v>
      </c>
      <c r="N162" s="33">
        <v>0.56338028169014087</v>
      </c>
      <c r="O162" s="33">
        <v>0.40724478594950603</v>
      </c>
      <c r="P162" s="33">
        <v>0.43755383290267014</v>
      </c>
    </row>
    <row r="163" spans="1:16" x14ac:dyDescent="0.45">
      <c r="A163" s="35">
        <v>160</v>
      </c>
      <c r="B163" s="32">
        <v>-3.6859404417555197E-14</v>
      </c>
      <c r="C163" s="32">
        <v>-7.6790425869906659E-17</v>
      </c>
      <c r="D163" s="37">
        <v>2</v>
      </c>
      <c r="E163" s="33">
        <v>0.33333333333333331</v>
      </c>
      <c r="F163" s="33">
        <v>0.33333333333333331</v>
      </c>
      <c r="G163" s="33">
        <v>0.29425113464447805</v>
      </c>
      <c r="H163" s="33">
        <v>0.16389309127584467</v>
      </c>
      <c r="I163" s="34">
        <v>8305.2270779777209</v>
      </c>
      <c r="J163" s="34">
        <v>-7761.8461538461543</v>
      </c>
      <c r="K163" s="33">
        <v>9.166666666666666E-2</v>
      </c>
      <c r="L163" s="33">
        <v>0.2508825012607161</v>
      </c>
      <c r="M163" s="33">
        <v>0.23096318709026728</v>
      </c>
      <c r="N163" s="33">
        <v>0.56381909547738696</v>
      </c>
      <c r="O163" s="33">
        <v>0.40938864628820959</v>
      </c>
      <c r="P163" s="33">
        <v>0.43701799485861181</v>
      </c>
    </row>
    <row r="164" spans="1:16" x14ac:dyDescent="0.45">
      <c r="A164" s="35">
        <v>161</v>
      </c>
      <c r="B164" s="32">
        <v>-3.907985046680551E-14</v>
      </c>
      <c r="C164" s="32">
        <v>-8.0910663492350949E-17</v>
      </c>
      <c r="D164" s="37">
        <v>2</v>
      </c>
      <c r="E164" s="33">
        <v>0.33333333333333331</v>
      </c>
      <c r="F164" s="33">
        <v>0.33333333333333331</v>
      </c>
      <c r="G164" s="33">
        <v>0.29441117764471059</v>
      </c>
      <c r="H164" s="33">
        <v>0.16392215568862276</v>
      </c>
      <c r="I164" s="34">
        <v>8324.5762711864409</v>
      </c>
      <c r="J164" s="34">
        <v>-7790.5631659056316</v>
      </c>
      <c r="K164" s="33">
        <v>9.1097308488612833E-2</v>
      </c>
      <c r="L164" s="33">
        <v>0.250499001996008</v>
      </c>
      <c r="M164" s="33">
        <v>0.23203592814371257</v>
      </c>
      <c r="N164" s="33">
        <v>0.5627490039840638</v>
      </c>
      <c r="O164" s="33">
        <v>0.41182795698924729</v>
      </c>
      <c r="P164" s="33">
        <v>0.43728813559322033</v>
      </c>
    </row>
    <row r="165" spans="1:16" x14ac:dyDescent="0.45">
      <c r="A165" s="35">
        <v>162</v>
      </c>
      <c r="B165" s="32">
        <v>-3.5527136788005009E-14</v>
      </c>
      <c r="C165" s="32">
        <v>-7.310110450206792E-17</v>
      </c>
      <c r="D165" s="37">
        <v>2</v>
      </c>
      <c r="E165" s="33">
        <v>0.33333333333333331</v>
      </c>
      <c r="F165" s="33">
        <v>0.33333333333333331</v>
      </c>
      <c r="G165" s="33">
        <v>0.29458519622454049</v>
      </c>
      <c r="H165" s="33">
        <v>0.16368604073522106</v>
      </c>
      <c r="I165" s="34">
        <v>8318.465430016864</v>
      </c>
      <c r="J165" s="34">
        <v>-7783.4597875569043</v>
      </c>
      <c r="K165" s="33">
        <v>9.2592592592592587E-2</v>
      </c>
      <c r="L165" s="33">
        <v>0.25062096373571785</v>
      </c>
      <c r="M165" s="33">
        <v>0.23174366616989567</v>
      </c>
      <c r="N165" s="33">
        <v>0.56293359762140738</v>
      </c>
      <c r="O165" s="33">
        <v>0.41264737406216506</v>
      </c>
      <c r="P165" s="33">
        <v>0.43844856661045534</v>
      </c>
    </row>
    <row r="166" spans="1:16" x14ac:dyDescent="0.45">
      <c r="A166" s="35">
        <v>163</v>
      </c>
      <c r="B166" s="32">
        <v>-3.907985046680551E-14</v>
      </c>
      <c r="C166" s="32">
        <v>-7.9917894615144196E-17</v>
      </c>
      <c r="D166" s="37">
        <v>2</v>
      </c>
      <c r="E166" s="33">
        <v>0.33333333333333331</v>
      </c>
      <c r="F166" s="33">
        <v>0.33333333333333331</v>
      </c>
      <c r="G166" s="33">
        <v>0.2944649446494465</v>
      </c>
      <c r="H166" s="33">
        <v>0.16334563345633457</v>
      </c>
      <c r="I166" s="34">
        <v>8305.1796157059307</v>
      </c>
      <c r="J166" s="34">
        <v>-7753.1626506024095</v>
      </c>
      <c r="K166" s="33">
        <v>9.202453987730061E-2</v>
      </c>
      <c r="L166" s="33">
        <v>0.25116851168511684</v>
      </c>
      <c r="M166" s="33">
        <v>0.23345633456334564</v>
      </c>
      <c r="N166" s="33">
        <v>0.56023506366307541</v>
      </c>
      <c r="O166" s="33">
        <v>0.41095890410958902</v>
      </c>
      <c r="P166" s="33">
        <v>0.43943191311612362</v>
      </c>
    </row>
    <row r="167" spans="1:16" x14ac:dyDescent="0.45">
      <c r="A167" s="35">
        <v>164</v>
      </c>
      <c r="B167" s="32">
        <v>-3.5527136788005009E-14</v>
      </c>
      <c r="C167" s="32">
        <v>-7.2209627617896359E-17</v>
      </c>
      <c r="D167" s="37">
        <v>2</v>
      </c>
      <c r="E167" s="33">
        <v>0.33333333333333331</v>
      </c>
      <c r="F167" s="33">
        <v>0.33333333333333331</v>
      </c>
      <c r="G167" s="33">
        <v>0.29453391898487069</v>
      </c>
      <c r="H167" s="33">
        <v>0.16325036603221083</v>
      </c>
      <c r="I167" s="34">
        <v>8292.9577464788727</v>
      </c>
      <c r="J167" s="34">
        <v>-7742.6008968609867</v>
      </c>
      <c r="K167" s="33">
        <v>9.1463414634146339E-2</v>
      </c>
      <c r="L167" s="33">
        <v>0.25085407515861396</v>
      </c>
      <c r="M167" s="33">
        <v>0.23352855051244509</v>
      </c>
      <c r="N167" s="33">
        <v>0.55933852140077822</v>
      </c>
      <c r="O167" s="33">
        <v>0.41065830721003133</v>
      </c>
      <c r="P167" s="33">
        <v>0.43993371996685998</v>
      </c>
    </row>
    <row r="168" spans="1:16" x14ac:dyDescent="0.45">
      <c r="A168" s="35">
        <v>165</v>
      </c>
      <c r="B168" s="32">
        <v>-3.5527136788005009E-14</v>
      </c>
      <c r="C168" s="32">
        <v>-7.1771993511121237E-17</v>
      </c>
      <c r="D168" s="37">
        <v>2</v>
      </c>
      <c r="E168" s="33">
        <v>0.33333333333333331</v>
      </c>
      <c r="F168" s="33">
        <v>0.33333333333333331</v>
      </c>
      <c r="G168" s="33">
        <v>0.2946754194018964</v>
      </c>
      <c r="H168" s="33">
        <v>0.16338439095550694</v>
      </c>
      <c r="I168" s="34">
        <v>8297.4422442244231</v>
      </c>
      <c r="J168" s="34">
        <v>-7747.916666666667</v>
      </c>
      <c r="K168" s="33">
        <v>9.2929292929292931E-2</v>
      </c>
      <c r="L168" s="33">
        <v>0.25066861171893995</v>
      </c>
      <c r="M168" s="33">
        <v>0.23340627279358134</v>
      </c>
      <c r="N168" s="33">
        <v>0.56062075654704169</v>
      </c>
      <c r="O168" s="33">
        <v>0.41041666666666665</v>
      </c>
      <c r="P168" s="33">
        <v>0.43976897689768979</v>
      </c>
    </row>
    <row r="169" spans="1:16" x14ac:dyDescent="0.45">
      <c r="A169" s="35">
        <v>166</v>
      </c>
      <c r="B169" s="32">
        <v>-4.2632564145606011E-14</v>
      </c>
      <c r="C169" s="32">
        <v>-8.560755852531328E-17</v>
      </c>
      <c r="D169" s="37">
        <v>2</v>
      </c>
      <c r="E169" s="33">
        <v>0.33333333333333331</v>
      </c>
      <c r="F169" s="33">
        <v>0.33333333333333331</v>
      </c>
      <c r="G169" s="33">
        <v>0.29487179487179488</v>
      </c>
      <c r="H169" s="33">
        <v>0.16376390904692792</v>
      </c>
      <c r="I169" s="34">
        <v>8297.4569319114034</v>
      </c>
      <c r="J169" s="34">
        <v>-7741.0635155096015</v>
      </c>
      <c r="K169" s="33">
        <v>9.2369477911646583E-2</v>
      </c>
      <c r="L169" s="33">
        <v>0.25108853410740201</v>
      </c>
      <c r="M169" s="33">
        <v>0.2331881954523464</v>
      </c>
      <c r="N169" s="33">
        <v>0.56165703275529866</v>
      </c>
      <c r="O169" s="33">
        <v>0.40975103734439833</v>
      </c>
      <c r="P169" s="33">
        <v>0.43888433141919608</v>
      </c>
    </row>
    <row r="170" spans="1:16" x14ac:dyDescent="0.45">
      <c r="A170" s="35">
        <v>167</v>
      </c>
      <c r="B170" s="32">
        <v>-4.2632564145606011E-14</v>
      </c>
      <c r="C170" s="32">
        <v>-8.5094938414383261E-17</v>
      </c>
      <c r="D170" s="37">
        <v>2</v>
      </c>
      <c r="E170" s="33">
        <v>0.33333333333333331</v>
      </c>
      <c r="F170" s="33">
        <v>0.33333333333333331</v>
      </c>
      <c r="G170" s="33">
        <v>0.29485329485329487</v>
      </c>
      <c r="H170" s="33">
        <v>0.16354016354016354</v>
      </c>
      <c r="I170" s="34">
        <v>8301.8760195758568</v>
      </c>
      <c r="J170" s="34">
        <v>-7753.5294117647063</v>
      </c>
      <c r="K170" s="33">
        <v>9.3812375249500993E-2</v>
      </c>
      <c r="L170" s="33">
        <v>0.25156325156325154</v>
      </c>
      <c r="M170" s="33">
        <v>0.23328523328523329</v>
      </c>
      <c r="N170" s="33">
        <v>0.56118546845124284</v>
      </c>
      <c r="O170" s="33">
        <v>0.41030927835051545</v>
      </c>
      <c r="P170" s="33">
        <v>0.43964110929853178</v>
      </c>
    </row>
    <row r="171" spans="1:16" x14ac:dyDescent="0.45">
      <c r="A171" s="35">
        <v>168</v>
      </c>
      <c r="B171" s="32">
        <v>-4.2632564145606011E-14</v>
      </c>
      <c r="C171" s="32">
        <v>-8.4588420923821446E-17</v>
      </c>
      <c r="D171" s="37">
        <v>2</v>
      </c>
      <c r="E171" s="33">
        <v>0.33333333333333331</v>
      </c>
      <c r="F171" s="33">
        <v>0.33333333333333331</v>
      </c>
      <c r="G171" s="33">
        <v>0.29480737018425462</v>
      </c>
      <c r="H171" s="33">
        <v>0.16391481215601819</v>
      </c>
      <c r="I171" s="34">
        <v>8299.2694805194806</v>
      </c>
      <c r="J171" s="34">
        <v>-7753.2846715328469</v>
      </c>
      <c r="K171" s="33">
        <v>9.3253968253968256E-2</v>
      </c>
      <c r="L171" s="33">
        <v>0.25269203158650394</v>
      </c>
      <c r="M171" s="33">
        <v>0.23211294568078489</v>
      </c>
      <c r="N171" s="33">
        <v>0.56060606060606055</v>
      </c>
      <c r="O171" s="33">
        <v>0.41030927835051545</v>
      </c>
      <c r="P171" s="33">
        <v>0.43831168831168832</v>
      </c>
    </row>
    <row r="172" spans="1:16" x14ac:dyDescent="0.45">
      <c r="A172" s="35">
        <v>169</v>
      </c>
      <c r="B172" s="32">
        <v>-5.6843418860808015E-14</v>
      </c>
      <c r="C172" s="32">
        <v>-1.1211719696411838E-16</v>
      </c>
      <c r="D172" s="37">
        <v>2</v>
      </c>
      <c r="E172" s="33">
        <v>0.33333333333333331</v>
      </c>
      <c r="F172" s="33">
        <v>0.33333333333333331</v>
      </c>
      <c r="G172" s="33">
        <v>0.2947343340481296</v>
      </c>
      <c r="H172" s="33">
        <v>0.16416487967595902</v>
      </c>
      <c r="I172" s="34">
        <v>8362.0856911883584</v>
      </c>
      <c r="J172" s="34">
        <v>-7878.2293178519594</v>
      </c>
      <c r="K172" s="33">
        <v>9.4674556213017749E-2</v>
      </c>
      <c r="L172" s="33">
        <v>0.2527996187753157</v>
      </c>
      <c r="M172" s="33">
        <v>0.2315939957112223</v>
      </c>
      <c r="N172" s="33">
        <v>0.56079170593779448</v>
      </c>
      <c r="O172" s="33">
        <v>0.40946502057613171</v>
      </c>
      <c r="P172" s="33">
        <v>0.43734842360549719</v>
      </c>
    </row>
    <row r="173" spans="1:16" x14ac:dyDescent="0.45">
      <c r="A173" s="35">
        <v>170</v>
      </c>
      <c r="B173" s="32">
        <v>-5.6843418860808015E-14</v>
      </c>
      <c r="C173" s="32">
        <v>-1.1145768404080003E-16</v>
      </c>
      <c r="D173" s="37">
        <v>2</v>
      </c>
      <c r="E173" s="33">
        <v>0.33333333333333331</v>
      </c>
      <c r="F173" s="33">
        <v>0.33333333333333331</v>
      </c>
      <c r="G173" s="33">
        <v>0.29468942626837363</v>
      </c>
      <c r="H173" s="33">
        <v>0.16382171645329541</v>
      </c>
      <c r="I173" s="34">
        <v>8372.8881737731299</v>
      </c>
      <c r="J173" s="34">
        <v>-7875.1085383502168</v>
      </c>
      <c r="K173" s="33">
        <v>9.4117647058823528E-2</v>
      </c>
      <c r="L173" s="33">
        <v>0.25248933143669988</v>
      </c>
      <c r="M173" s="33">
        <v>0.23138928402086298</v>
      </c>
      <c r="N173" s="33">
        <v>0.56056338028169017</v>
      </c>
      <c r="O173" s="33">
        <v>0.4098360655737705</v>
      </c>
      <c r="P173" s="33">
        <v>0.43845534995977475</v>
      </c>
    </row>
    <row r="174" spans="1:16" x14ac:dyDescent="0.45">
      <c r="A174" s="35">
        <v>171</v>
      </c>
      <c r="B174" s="32">
        <v>-5.6843418860808015E-14</v>
      </c>
      <c r="C174" s="32">
        <v>-1.10805884718924E-16</v>
      </c>
      <c r="D174" s="37">
        <v>2</v>
      </c>
      <c r="E174" s="33">
        <v>0.33333333333333331</v>
      </c>
      <c r="F174" s="33">
        <v>0.33333333333333331</v>
      </c>
      <c r="G174" s="33">
        <v>0.29446407538280328</v>
      </c>
      <c r="H174" s="33">
        <v>0.16348645465253239</v>
      </c>
      <c r="I174" s="34">
        <v>8374</v>
      </c>
      <c r="J174" s="34">
        <v>-7864.6974063400576</v>
      </c>
      <c r="K174" s="33">
        <v>9.3567251461988299E-2</v>
      </c>
      <c r="L174" s="33">
        <v>0.25276796230859833</v>
      </c>
      <c r="M174" s="33">
        <v>0.23180212014134274</v>
      </c>
      <c r="N174" s="33">
        <v>0.5601118359739049</v>
      </c>
      <c r="O174" s="33">
        <v>0.40955284552845528</v>
      </c>
      <c r="P174" s="33">
        <v>0.43919999999999998</v>
      </c>
    </row>
    <row r="175" spans="1:16" x14ac:dyDescent="0.45">
      <c r="A175" s="35">
        <v>172</v>
      </c>
      <c r="B175" s="32">
        <v>-5.6843418860808015E-14</v>
      </c>
      <c r="C175" s="32">
        <v>-1.1016166445893026E-16</v>
      </c>
      <c r="D175" s="37">
        <v>2</v>
      </c>
      <c r="E175" s="33">
        <v>0.33333333333333331</v>
      </c>
      <c r="F175" s="33">
        <v>0.33333333333333331</v>
      </c>
      <c r="G175" s="33">
        <v>0.29454630935590032</v>
      </c>
      <c r="H175" s="33">
        <v>0.16337564645039962</v>
      </c>
      <c r="I175" s="34">
        <v>8398.324022346369</v>
      </c>
      <c r="J175" s="34">
        <v>-7857.5539568345321</v>
      </c>
      <c r="K175" s="33">
        <v>9.4961240310077522E-2</v>
      </c>
      <c r="L175" s="33">
        <v>0.25246826516220028</v>
      </c>
      <c r="M175" s="33">
        <v>0.23178185237423601</v>
      </c>
      <c r="N175" s="33">
        <v>0.55959031657355685</v>
      </c>
      <c r="O175" s="33">
        <v>0.41075050709939148</v>
      </c>
      <c r="P175" s="33">
        <v>0.43974461292897049</v>
      </c>
    </row>
    <row r="176" spans="1:16" x14ac:dyDescent="0.45">
      <c r="A176" s="35">
        <v>173</v>
      </c>
      <c r="B176" s="32">
        <v>-5.6843418860808015E-14</v>
      </c>
      <c r="C176" s="32">
        <v>-1.0952489183200003E-16</v>
      </c>
      <c r="D176" s="37">
        <v>2</v>
      </c>
      <c r="E176" s="33">
        <v>0.33333333333333331</v>
      </c>
      <c r="F176" s="33">
        <v>0.33333333333333331</v>
      </c>
      <c r="G176" s="33">
        <v>0.29432375613174494</v>
      </c>
      <c r="H176" s="33">
        <v>0.16327960756832516</v>
      </c>
      <c r="I176" s="34">
        <v>8413.5714285714294</v>
      </c>
      <c r="J176" s="34">
        <v>-7878.3977110157366</v>
      </c>
      <c r="K176" s="33">
        <v>9.4412331406551059E-2</v>
      </c>
      <c r="L176" s="33">
        <v>0.25367904695164684</v>
      </c>
      <c r="M176" s="33">
        <v>0.23125437981779959</v>
      </c>
      <c r="N176" s="33">
        <v>0.55801104972375692</v>
      </c>
      <c r="O176" s="33">
        <v>0.40909090909090912</v>
      </c>
      <c r="P176" s="33">
        <v>0.43968253968253967</v>
      </c>
    </row>
    <row r="177" spans="1:16" x14ac:dyDescent="0.45">
      <c r="A177" s="35">
        <v>174</v>
      </c>
      <c r="B177" s="32">
        <v>-5.8619775700208265E-14</v>
      </c>
      <c r="C177" s="32">
        <v>-1.1229842088162504E-16</v>
      </c>
      <c r="D177" s="37">
        <v>2</v>
      </c>
      <c r="E177" s="33">
        <v>0.33333333333333331</v>
      </c>
      <c r="F177" s="33">
        <v>0.33333333333333331</v>
      </c>
      <c r="G177" s="33">
        <v>0.2943089430894309</v>
      </c>
      <c r="H177" s="33">
        <v>0.16353077816492451</v>
      </c>
      <c r="I177" s="34">
        <v>8419.4948697711134</v>
      </c>
      <c r="J177" s="34">
        <v>-7854.829545454545</v>
      </c>
      <c r="K177" s="33">
        <v>9.3869731800766285E-2</v>
      </c>
      <c r="L177" s="33">
        <v>0.25342624854819978</v>
      </c>
      <c r="M177" s="33">
        <v>0.23135888501742161</v>
      </c>
      <c r="N177" s="33">
        <v>0.55728689275893672</v>
      </c>
      <c r="O177" s="33">
        <v>0.40963855421686746</v>
      </c>
      <c r="P177" s="33">
        <v>0.43883188634569847</v>
      </c>
    </row>
    <row r="178" spans="1:16" x14ac:dyDescent="0.45">
      <c r="A178" s="35">
        <v>175</v>
      </c>
      <c r="B178" s="32">
        <v>-6.0396132539608516E-14</v>
      </c>
      <c r="C178" s="32">
        <v>-1.1504025245639716E-16</v>
      </c>
      <c r="D178" s="37">
        <v>2</v>
      </c>
      <c r="E178" s="33">
        <v>0.33333333333333331</v>
      </c>
      <c r="F178" s="33">
        <v>0.33333333333333331</v>
      </c>
      <c r="G178" s="33">
        <v>0.29426722145168749</v>
      </c>
      <c r="H178" s="33">
        <v>0.1636615811373093</v>
      </c>
      <c r="I178" s="34">
        <v>8410.1335428122547</v>
      </c>
      <c r="J178" s="34">
        <v>-7842.9378531073444</v>
      </c>
      <c r="K178" s="33">
        <v>9.3333333333333338E-2</v>
      </c>
      <c r="L178" s="33">
        <v>0.25358298659269535</v>
      </c>
      <c r="M178" s="33">
        <v>0.23116042533518261</v>
      </c>
      <c r="N178" s="33">
        <v>0.55788514129443934</v>
      </c>
      <c r="O178" s="33">
        <v>0.40899999999999997</v>
      </c>
      <c r="P178" s="33">
        <v>0.43833464257659072</v>
      </c>
    </row>
    <row r="179" spans="1:16" x14ac:dyDescent="0.45">
      <c r="A179" s="35">
        <v>176</v>
      </c>
      <c r="B179" s="32">
        <v>-5.6843418860808015E-14</v>
      </c>
      <c r="C179" s="32">
        <v>-1.0765799026668185E-16</v>
      </c>
      <c r="D179" s="37">
        <v>2</v>
      </c>
      <c r="E179" s="33">
        <v>0.33333333333333331</v>
      </c>
      <c r="F179" s="33">
        <v>0.33333333333333331</v>
      </c>
      <c r="G179" s="33">
        <v>0.29421185083504919</v>
      </c>
      <c r="H179" s="33">
        <v>0.16380690917410204</v>
      </c>
      <c r="I179" s="34">
        <v>8409.4090202177285</v>
      </c>
      <c r="J179" s="34">
        <v>-7835.7541899441339</v>
      </c>
      <c r="K179" s="33">
        <v>9.4696969696969696E-2</v>
      </c>
      <c r="L179" s="33">
        <v>0.25371768474033402</v>
      </c>
      <c r="M179" s="33">
        <v>0.23038206360100663</v>
      </c>
      <c r="N179" s="33">
        <v>0.55816050495942293</v>
      </c>
      <c r="O179" s="33">
        <v>0.40615690168818275</v>
      </c>
      <c r="P179" s="33">
        <v>0.43779160186625193</v>
      </c>
    </row>
    <row r="180" spans="1:16" x14ac:dyDescent="0.45">
      <c r="A180" s="35">
        <v>177</v>
      </c>
      <c r="B180" s="32">
        <v>-5.6843418860808015E-14</v>
      </c>
      <c r="C180" s="32">
        <v>-1.0704975303353675E-16</v>
      </c>
      <c r="D180" s="37">
        <v>2</v>
      </c>
      <c r="E180" s="33">
        <v>0.33333333333333331</v>
      </c>
      <c r="F180" s="33">
        <v>0.33333333333333331</v>
      </c>
      <c r="G180" s="33">
        <v>0.2943722943722944</v>
      </c>
      <c r="H180" s="33">
        <v>0.16359079516974254</v>
      </c>
      <c r="I180" s="34">
        <v>8418.8080495356044</v>
      </c>
      <c r="J180" s="34">
        <v>-7826.4623955431753</v>
      </c>
      <c r="K180" s="33">
        <v>9.6045197740112997E-2</v>
      </c>
      <c r="L180" s="33">
        <v>0.25313283208020049</v>
      </c>
      <c r="M180" s="33">
        <v>0.23034859876965141</v>
      </c>
      <c r="N180" s="33">
        <v>0.55895589558955894</v>
      </c>
      <c r="O180" s="33">
        <v>0.40652818991097922</v>
      </c>
      <c r="P180" s="33">
        <v>0.4388544891640867</v>
      </c>
    </row>
    <row r="181" spans="1:16" x14ac:dyDescent="0.45">
      <c r="A181" s="35">
        <v>178</v>
      </c>
      <c r="B181" s="32">
        <v>-5.6843418860808015E-14</v>
      </c>
      <c r="C181" s="32">
        <v>-1.0644834992660677E-16</v>
      </c>
      <c r="D181" s="37">
        <v>2</v>
      </c>
      <c r="E181" s="33">
        <v>0.33333333333333331</v>
      </c>
      <c r="F181" s="33">
        <v>0.33333333333333331</v>
      </c>
      <c r="G181" s="33">
        <v>0.29458418309539997</v>
      </c>
      <c r="H181" s="33">
        <v>0.16360752322682981</v>
      </c>
      <c r="I181" s="34">
        <v>8416.2307692307695</v>
      </c>
      <c r="J181" s="34">
        <v>-7813.9889196675904</v>
      </c>
      <c r="K181" s="33">
        <v>9.5505617977528087E-2</v>
      </c>
      <c r="L181" s="33">
        <v>0.25334239746204396</v>
      </c>
      <c r="M181" s="33">
        <v>0.23068207568547475</v>
      </c>
      <c r="N181" s="33">
        <v>0.55992844364937389</v>
      </c>
      <c r="O181" s="33">
        <v>0.40667976424361491</v>
      </c>
      <c r="P181" s="33">
        <v>0.43923076923076926</v>
      </c>
    </row>
    <row r="182" spans="1:16" x14ac:dyDescent="0.45">
      <c r="A182" s="35">
        <v>179</v>
      </c>
      <c r="B182" s="32">
        <v>-5.9507954119908391E-14</v>
      </c>
      <c r="C182" s="32">
        <v>-1.1081555702031357E-16</v>
      </c>
      <c r="D182" s="37">
        <v>2</v>
      </c>
      <c r="E182" s="33">
        <v>0.33333333333333331</v>
      </c>
      <c r="F182" s="33">
        <v>0.33333333333333331</v>
      </c>
      <c r="G182" s="33">
        <v>0.29469901168014373</v>
      </c>
      <c r="H182" s="33">
        <v>0.1637466307277628</v>
      </c>
      <c r="I182" s="34">
        <v>8413.414634146342</v>
      </c>
      <c r="J182" s="34">
        <v>-7813.7174211248284</v>
      </c>
      <c r="K182" s="33">
        <v>9.4972067039106142E-2</v>
      </c>
      <c r="L182" s="33">
        <v>0.25359389038634322</v>
      </c>
      <c r="M182" s="33">
        <v>0.2302336028751123</v>
      </c>
      <c r="N182" s="33">
        <v>0.55978742249778568</v>
      </c>
      <c r="O182" s="33">
        <v>0.40780487804878046</v>
      </c>
      <c r="P182" s="33">
        <v>0.43902439024390244</v>
      </c>
    </row>
    <row r="183" spans="1:16" x14ac:dyDescent="0.45">
      <c r="A183" s="35">
        <v>180</v>
      </c>
      <c r="B183" s="32">
        <v>-5.5067062021407764E-14</v>
      </c>
      <c r="C183" s="32">
        <v>-1.0197604078038475E-16</v>
      </c>
      <c r="D183" s="37">
        <v>2</v>
      </c>
      <c r="E183" s="33">
        <v>0.33333333333333331</v>
      </c>
      <c r="F183" s="33">
        <v>0.33333333333333331</v>
      </c>
      <c r="G183" s="33">
        <v>0.29503451347138721</v>
      </c>
      <c r="H183" s="33">
        <v>0.16410598975729238</v>
      </c>
      <c r="I183" s="34">
        <v>8447.7735849056608</v>
      </c>
      <c r="J183" s="34">
        <v>-7863.7720488466757</v>
      </c>
      <c r="K183" s="33">
        <v>9.6296296296296297E-2</v>
      </c>
      <c r="L183" s="33">
        <v>0.25517702070808285</v>
      </c>
      <c r="M183" s="33">
        <v>0.2293475840570029</v>
      </c>
      <c r="N183" s="33">
        <v>0.56020942408376961</v>
      </c>
      <c r="O183" s="33">
        <v>0.40679611650485437</v>
      </c>
      <c r="P183" s="33">
        <v>0.43849056603773584</v>
      </c>
    </row>
    <row r="184" spans="1:16" x14ac:dyDescent="0.45">
      <c r="A184" s="35">
        <v>181</v>
      </c>
      <c r="B184" s="32">
        <v>-4.9737991503207013E-14</v>
      </c>
      <c r="C184" s="32">
        <v>-9.1598511055629859E-17</v>
      </c>
      <c r="D184" s="37">
        <v>2</v>
      </c>
      <c r="E184" s="33">
        <v>0.33333333333333331</v>
      </c>
      <c r="F184" s="33">
        <v>0.33333333333333331</v>
      </c>
      <c r="G184" s="33">
        <v>0.29472755349658064</v>
      </c>
      <c r="H184" s="33">
        <v>0.16412971542025148</v>
      </c>
      <c r="I184" s="34">
        <v>8442.4401197604784</v>
      </c>
      <c r="J184" s="34">
        <v>-7853.8978494623652</v>
      </c>
      <c r="K184" s="33">
        <v>9.5764272559852676E-2</v>
      </c>
      <c r="L184" s="33">
        <v>0.25413633355393778</v>
      </c>
      <c r="M184" s="33">
        <v>0.22964923891462607</v>
      </c>
      <c r="N184" s="33">
        <v>0.55902777777777779</v>
      </c>
      <c r="O184" s="33">
        <v>0.40922190201729108</v>
      </c>
      <c r="P184" s="33">
        <v>0.43787425149700598</v>
      </c>
    </row>
    <row r="185" spans="1:16" x14ac:dyDescent="0.45">
      <c r="A185" s="35">
        <v>182</v>
      </c>
      <c r="B185" s="32">
        <v>-4.9737991503207013E-14</v>
      </c>
      <c r="C185" s="32">
        <v>-9.1095222533346175E-17</v>
      </c>
      <c r="D185" s="37">
        <v>2</v>
      </c>
      <c r="E185" s="33">
        <v>0.33333333333333331</v>
      </c>
      <c r="F185" s="33">
        <v>0.33333333333333331</v>
      </c>
      <c r="G185" s="33">
        <v>0.29471143296028091</v>
      </c>
      <c r="H185" s="33">
        <v>0.16414307658547289</v>
      </c>
      <c r="I185" s="34">
        <v>8439.6872673119888</v>
      </c>
      <c r="J185" s="34">
        <v>-7849.0641711229946</v>
      </c>
      <c r="K185" s="33">
        <v>9.5238095238095233E-2</v>
      </c>
      <c r="L185" s="33">
        <v>0.25455343427693661</v>
      </c>
      <c r="M185" s="33">
        <v>0.22953697608075488</v>
      </c>
      <c r="N185" s="33">
        <v>0.55862068965517242</v>
      </c>
      <c r="O185" s="33">
        <v>0.40822179732313574</v>
      </c>
      <c r="P185" s="33">
        <v>0.4378257632166791</v>
      </c>
    </row>
    <row r="186" spans="1:16" x14ac:dyDescent="0.45">
      <c r="A186" s="35">
        <v>183</v>
      </c>
      <c r="B186" s="32">
        <v>-4.9737991503207013E-14</v>
      </c>
      <c r="C186" s="32">
        <v>-9.0597434432071068E-17</v>
      </c>
      <c r="D186" s="37">
        <v>2</v>
      </c>
      <c r="E186" s="33">
        <v>0.33333333333333331</v>
      </c>
      <c r="F186" s="33">
        <v>0.33333333333333331</v>
      </c>
      <c r="G186" s="33">
        <v>0.29457870672762898</v>
      </c>
      <c r="H186" s="33">
        <v>0.16438057914217288</v>
      </c>
      <c r="I186" s="34">
        <v>8442.867701404286</v>
      </c>
      <c r="J186" s="34">
        <v>-7855.7615894039736</v>
      </c>
      <c r="K186" s="33">
        <v>9.4717668488160295E-2</v>
      </c>
      <c r="L186" s="33">
        <v>0.25364685390812103</v>
      </c>
      <c r="M186" s="33">
        <v>0.22969736555628129</v>
      </c>
      <c r="N186" s="33">
        <v>0.55879828326180259</v>
      </c>
      <c r="O186" s="33">
        <v>0.40853080568720379</v>
      </c>
      <c r="P186" s="33">
        <v>0.43680709534368073</v>
      </c>
    </row>
    <row r="187" spans="1:16" x14ac:dyDescent="0.45">
      <c r="A187" s="35">
        <v>184</v>
      </c>
      <c r="B187" s="32">
        <v>-4.9737991503207013E-14</v>
      </c>
      <c r="C187" s="32">
        <v>-9.0105057071027203E-17</v>
      </c>
      <c r="D187" s="37">
        <v>2</v>
      </c>
      <c r="E187" s="33">
        <v>0.33333333333333331</v>
      </c>
      <c r="F187" s="33">
        <v>0.33333333333333331</v>
      </c>
      <c r="G187" s="33">
        <v>0.29463899697362733</v>
      </c>
      <c r="H187" s="33">
        <v>0.16428880242109814</v>
      </c>
      <c r="I187" s="34">
        <v>8438.4446074834923</v>
      </c>
      <c r="J187" s="34">
        <v>-7850.1315789473683</v>
      </c>
      <c r="K187" s="33">
        <v>9.420289855072464E-2</v>
      </c>
      <c r="L187" s="33">
        <v>0.25270211846087332</v>
      </c>
      <c r="M187" s="33">
        <v>0.22978815391266752</v>
      </c>
      <c r="N187" s="33">
        <v>0.55859709153122328</v>
      </c>
      <c r="O187" s="33">
        <v>0.4101599247412982</v>
      </c>
      <c r="P187" s="33">
        <v>0.43727072633895819</v>
      </c>
    </row>
    <row r="188" spans="1:16" x14ac:dyDescent="0.45">
      <c r="A188" s="35">
        <v>185</v>
      </c>
      <c r="B188" s="32">
        <v>-4.9737991503207013E-14</v>
      </c>
      <c r="C188" s="32">
        <v>-8.9618002708481101E-17</v>
      </c>
      <c r="D188" s="37">
        <v>2</v>
      </c>
      <c r="E188" s="33">
        <v>0.33333333333333331</v>
      </c>
      <c r="F188" s="33">
        <v>0.33333333333333331</v>
      </c>
      <c r="G188" s="33">
        <v>0.29457364341085274</v>
      </c>
      <c r="H188" s="33">
        <v>0.16386735572782085</v>
      </c>
      <c r="I188" s="34">
        <v>8450.2923976608181</v>
      </c>
      <c r="J188" s="34">
        <v>-7850.3285151116952</v>
      </c>
      <c r="K188" s="33">
        <v>9.5495495495495492E-2</v>
      </c>
      <c r="L188" s="33">
        <v>0.25279931093884583</v>
      </c>
      <c r="M188" s="33">
        <v>0.22889750215331611</v>
      </c>
      <c r="N188" s="33">
        <v>0.55962521294718914</v>
      </c>
      <c r="O188" s="33">
        <v>0.4101599247412982</v>
      </c>
      <c r="P188" s="33">
        <v>0.43859649122807015</v>
      </c>
    </row>
    <row r="189" spans="1:16" x14ac:dyDescent="0.45">
      <c r="A189" s="35">
        <v>186</v>
      </c>
      <c r="B189" s="32">
        <v>-4.9737991503207013E-14</v>
      </c>
      <c r="C189" s="32">
        <v>-8.9136185489618306E-17</v>
      </c>
      <c r="D189" s="37">
        <v>2</v>
      </c>
      <c r="E189" s="33">
        <v>0.33333333333333331</v>
      </c>
      <c r="F189" s="33">
        <v>0.33333333333333331</v>
      </c>
      <c r="G189" s="33">
        <v>0.29429429429429427</v>
      </c>
      <c r="H189" s="33">
        <v>0.16366366366366367</v>
      </c>
      <c r="I189" s="34">
        <v>8444.7521865889212</v>
      </c>
      <c r="J189" s="34">
        <v>-7837.8768020969856</v>
      </c>
      <c r="K189" s="33">
        <v>9.4982078853046589E-2</v>
      </c>
      <c r="L189" s="33">
        <v>0.25268125268125269</v>
      </c>
      <c r="M189" s="33">
        <v>0.22844272844272845</v>
      </c>
      <c r="N189" s="33">
        <v>0.56027164685908315</v>
      </c>
      <c r="O189" s="33">
        <v>0.41032863849765261</v>
      </c>
      <c r="P189" s="33">
        <v>0.43877551020408162</v>
      </c>
    </row>
    <row r="190" spans="1:16" x14ac:dyDescent="0.45">
      <c r="A190" s="35">
        <v>187</v>
      </c>
      <c r="B190" s="32">
        <v>-5.2402526762307389E-14</v>
      </c>
      <c r="C190" s="32">
        <v>-9.3409138613738656E-17</v>
      </c>
      <c r="D190" s="37">
        <v>2</v>
      </c>
      <c r="E190" s="33">
        <v>0.33333333333333331</v>
      </c>
      <c r="F190" s="33">
        <v>0.33333333333333331</v>
      </c>
      <c r="G190" s="33">
        <v>0.29425581891949604</v>
      </c>
      <c r="H190" s="33">
        <v>0.16335682254964767</v>
      </c>
      <c r="I190" s="34">
        <v>8451.1611030478962</v>
      </c>
      <c r="J190" s="34">
        <v>-7852.1568627450979</v>
      </c>
      <c r="K190" s="33">
        <v>9.6256684491978606E-2</v>
      </c>
      <c r="L190" s="33">
        <v>0.25304292120435617</v>
      </c>
      <c r="M190" s="33">
        <v>0.22805893657911594</v>
      </c>
      <c r="N190" s="33">
        <v>0.56033755274261599</v>
      </c>
      <c r="O190" s="33">
        <v>0.4101123595505618</v>
      </c>
      <c r="P190" s="33">
        <v>0.43976777939042089</v>
      </c>
    </row>
    <row r="191" spans="1:16" x14ac:dyDescent="0.45">
      <c r="A191" s="35">
        <v>188</v>
      </c>
      <c r="B191" s="32">
        <v>-4.2632564145606011E-14</v>
      </c>
      <c r="C191" s="32">
        <v>-7.5589652740436188E-17</v>
      </c>
      <c r="D191" s="37">
        <v>2</v>
      </c>
      <c r="E191" s="33">
        <v>0.33333333333333331</v>
      </c>
      <c r="F191" s="33">
        <v>0.33333333333333331</v>
      </c>
      <c r="G191" s="33">
        <v>0.29424261737837265</v>
      </c>
      <c r="H191" s="33">
        <v>0.16316124920331421</v>
      </c>
      <c r="I191" s="34">
        <v>8450.1083032490969</v>
      </c>
      <c r="J191" s="34">
        <v>-7855.338541666667</v>
      </c>
      <c r="K191" s="33">
        <v>9.5744680851063829E-2</v>
      </c>
      <c r="L191" s="33">
        <v>0.25281495644784363</v>
      </c>
      <c r="M191" s="33">
        <v>0.22817080943275972</v>
      </c>
      <c r="N191" s="33">
        <v>0.56050420168067228</v>
      </c>
      <c r="O191" s="33">
        <v>0.41061452513966479</v>
      </c>
      <c r="P191" s="33">
        <v>0.44043321299638988</v>
      </c>
    </row>
    <row r="192" spans="1:16" x14ac:dyDescent="0.45">
      <c r="A192" s="35">
        <v>189</v>
      </c>
      <c r="B192" s="32">
        <v>-3.5527136788005009E-14</v>
      </c>
      <c r="C192" s="32">
        <v>-6.2658089573201071E-17</v>
      </c>
      <c r="D192" s="37">
        <v>2</v>
      </c>
      <c r="E192" s="33">
        <v>0.33333333333333331</v>
      </c>
      <c r="F192" s="33">
        <v>0.33333333333333331</v>
      </c>
      <c r="G192" s="33">
        <v>0.29446556822982678</v>
      </c>
      <c r="H192" s="33">
        <v>0.16307562315166879</v>
      </c>
      <c r="I192" s="34">
        <v>8447.4892395982788</v>
      </c>
      <c r="J192" s="34">
        <v>-7855.1813471502592</v>
      </c>
      <c r="K192" s="33">
        <v>9.5238095238095233E-2</v>
      </c>
      <c r="L192" s="33">
        <v>0.25327418673426277</v>
      </c>
      <c r="M192" s="33">
        <v>0.22813688212927757</v>
      </c>
      <c r="N192" s="33">
        <v>0.56130108423686409</v>
      </c>
      <c r="O192" s="33">
        <v>0.40925925925925927</v>
      </c>
      <c r="P192" s="33">
        <v>0.44117647058823528</v>
      </c>
    </row>
    <row r="193" spans="1:16" x14ac:dyDescent="0.45">
      <c r="A193" s="35">
        <v>190</v>
      </c>
      <c r="B193" s="32">
        <v>-3.5527136788005009E-14</v>
      </c>
      <c r="C193" s="32">
        <v>-6.232831015439475E-17</v>
      </c>
      <c r="D193" s="37">
        <v>2</v>
      </c>
      <c r="E193" s="33">
        <v>0.33333333333333331</v>
      </c>
      <c r="F193" s="33">
        <v>0.33333333333333331</v>
      </c>
      <c r="G193" s="33">
        <v>0.2945004198152813</v>
      </c>
      <c r="H193" s="33">
        <v>0.16309823677581864</v>
      </c>
      <c r="I193" s="34">
        <v>8427.7975766215259</v>
      </c>
      <c r="J193" s="34">
        <v>-7836.8082368082369</v>
      </c>
      <c r="K193" s="33">
        <v>9.4736842105263161E-2</v>
      </c>
      <c r="L193" s="33">
        <v>0.25293870696893367</v>
      </c>
      <c r="M193" s="33">
        <v>0.22816960537363559</v>
      </c>
      <c r="N193" s="33">
        <v>0.56182572614107884</v>
      </c>
      <c r="O193" s="33">
        <v>0.40938362465501382</v>
      </c>
      <c r="P193" s="33">
        <v>0.44119743406985035</v>
      </c>
    </row>
    <row r="194" spans="1:16" x14ac:dyDescent="0.45">
      <c r="A194" s="35">
        <v>191</v>
      </c>
      <c r="B194" s="32">
        <v>-4.2632564145606011E-14</v>
      </c>
      <c r="C194" s="32">
        <v>-7.4402380707863898E-17</v>
      </c>
      <c r="D194" s="37">
        <v>2</v>
      </c>
      <c r="E194" s="33">
        <v>0.33333333333333331</v>
      </c>
      <c r="F194" s="33">
        <v>0.33333333333333331</v>
      </c>
      <c r="G194" s="33">
        <v>0.29458333333333331</v>
      </c>
      <c r="H194" s="33">
        <v>0.16312499999999999</v>
      </c>
      <c r="I194" s="34">
        <v>8441.0891089108918</v>
      </c>
      <c r="J194" s="34">
        <v>-7850.1915708812257</v>
      </c>
      <c r="K194" s="33">
        <v>9.4240837696335081E-2</v>
      </c>
      <c r="L194" s="33">
        <v>0.25333333333333335</v>
      </c>
      <c r="M194" s="33">
        <v>0.22812499999999999</v>
      </c>
      <c r="N194" s="33">
        <v>0.56085526315789469</v>
      </c>
      <c r="O194" s="33">
        <v>0.41004566210045662</v>
      </c>
      <c r="P194" s="33">
        <v>0.44130127298444133</v>
      </c>
    </row>
    <row r="195" spans="1:16" x14ac:dyDescent="0.45">
      <c r="A195" s="35">
        <v>192</v>
      </c>
      <c r="B195" s="32">
        <v>-4.2632564145606011E-14</v>
      </c>
      <c r="C195" s="32">
        <v>-7.4014868308343765E-17</v>
      </c>
      <c r="D195" s="37">
        <v>2</v>
      </c>
      <c r="E195" s="33">
        <v>0.33333333333333331</v>
      </c>
      <c r="F195" s="33">
        <v>0.33333333333333331</v>
      </c>
      <c r="G195" s="33">
        <v>0.29456882255389716</v>
      </c>
      <c r="H195" s="33">
        <v>0.16272802653399668</v>
      </c>
      <c r="I195" s="34">
        <v>8421.2526389866289</v>
      </c>
      <c r="J195" s="34">
        <v>-7835.9235668789806</v>
      </c>
      <c r="K195" s="33">
        <v>9.375E-2</v>
      </c>
      <c r="L195" s="33">
        <v>0.25290215588723053</v>
      </c>
      <c r="M195" s="33">
        <v>0.22864842454394693</v>
      </c>
      <c r="N195" s="33">
        <v>0.55901639344262299</v>
      </c>
      <c r="O195" s="33">
        <v>0.41160471441523117</v>
      </c>
      <c r="P195" s="33">
        <v>0.44264602392681213</v>
      </c>
    </row>
    <row r="196" spans="1:16" x14ac:dyDescent="0.45">
      <c r="A196" s="35">
        <v>193</v>
      </c>
      <c r="B196" s="32">
        <v>-5.3290705182007514E-14</v>
      </c>
      <c r="C196" s="32">
        <v>-9.2039214476696909E-17</v>
      </c>
      <c r="D196" s="37">
        <v>2</v>
      </c>
      <c r="E196" s="33">
        <v>0.33333333333333331</v>
      </c>
      <c r="F196" s="33">
        <v>0.33333333333333331</v>
      </c>
      <c r="G196" s="33">
        <v>0.29494324045407638</v>
      </c>
      <c r="H196" s="33">
        <v>0.16264189886480909</v>
      </c>
      <c r="I196" s="34">
        <v>8443.5969209237228</v>
      </c>
      <c r="J196" s="34">
        <v>-7882.3604060913704</v>
      </c>
      <c r="K196" s="33">
        <v>9.499136442141623E-2</v>
      </c>
      <c r="L196" s="33">
        <v>0.25263157894736843</v>
      </c>
      <c r="M196" s="33">
        <v>0.22951496388028897</v>
      </c>
      <c r="N196" s="33">
        <v>0.55882352941176472</v>
      </c>
      <c r="O196" s="33">
        <v>0.41187050359712229</v>
      </c>
      <c r="P196" s="33">
        <v>0.44296710986703991</v>
      </c>
    </row>
    <row r="197" spans="1:16" x14ac:dyDescent="0.45">
      <c r="A197" s="35">
        <v>194</v>
      </c>
      <c r="B197" s="32">
        <v>-5.595524044110789E-14</v>
      </c>
      <c r="C197" s="32">
        <v>-9.6143024812900158E-17</v>
      </c>
      <c r="D197" s="37">
        <v>2</v>
      </c>
      <c r="E197" s="33">
        <v>0.33333333333333331</v>
      </c>
      <c r="F197" s="33">
        <v>0.33333333333333331</v>
      </c>
      <c r="G197" s="33">
        <v>0.29492708975148901</v>
      </c>
      <c r="H197" s="33">
        <v>0.16245635654138427</v>
      </c>
      <c r="I197" s="34">
        <v>8435.6545961002794</v>
      </c>
      <c r="J197" s="34">
        <v>-7865.6131479140331</v>
      </c>
      <c r="K197" s="33">
        <v>9.4501718213058417E-2</v>
      </c>
      <c r="L197" s="33">
        <v>0.25302936948038612</v>
      </c>
      <c r="M197" s="33">
        <v>0.22879441363729719</v>
      </c>
      <c r="N197" s="33">
        <v>0.55925324675324672</v>
      </c>
      <c r="O197" s="33">
        <v>0.41292639138240572</v>
      </c>
      <c r="P197" s="33">
        <v>0.44359331476323122</v>
      </c>
    </row>
    <row r="198" spans="1:16" x14ac:dyDescent="0.45">
      <c r="A198" s="35">
        <v>195</v>
      </c>
      <c r="B198" s="32">
        <v>-4.9737991503207013E-14</v>
      </c>
      <c r="C198" s="32">
        <v>-8.5022207697789772E-17</v>
      </c>
      <c r="D198" s="37">
        <v>2</v>
      </c>
      <c r="E198" s="33">
        <v>0.33333333333333331</v>
      </c>
      <c r="F198" s="33">
        <v>0.33333333333333331</v>
      </c>
      <c r="G198" s="33">
        <v>0.29491109748620481</v>
      </c>
      <c r="H198" s="33">
        <v>0.16247700797057021</v>
      </c>
      <c r="I198" s="34">
        <v>8433.6105336105338</v>
      </c>
      <c r="J198" s="34">
        <v>-7868.8050314465409</v>
      </c>
      <c r="K198" s="33">
        <v>9.4017094017094016E-2</v>
      </c>
      <c r="L198" s="33">
        <v>0.25281013693030863</v>
      </c>
      <c r="M198" s="33">
        <v>0.22930717351318208</v>
      </c>
      <c r="N198" s="33">
        <v>0.56022635408245758</v>
      </c>
      <c r="O198" s="33">
        <v>0.41176470588235292</v>
      </c>
      <c r="P198" s="33">
        <v>0.44352044352044351</v>
      </c>
    </row>
    <row r="199" spans="1:16" x14ac:dyDescent="0.45">
      <c r="A199" s="35">
        <v>196</v>
      </c>
      <c r="B199" s="32">
        <v>-4.6185277824406512E-14</v>
      </c>
      <c r="C199" s="32">
        <v>-7.8546390857834205E-17</v>
      </c>
      <c r="D199" s="37">
        <v>2</v>
      </c>
      <c r="E199" s="33">
        <v>0.33333333333333331</v>
      </c>
      <c r="F199" s="33">
        <v>0.33333333333333331</v>
      </c>
      <c r="G199" s="33">
        <v>0.29498164014687883</v>
      </c>
      <c r="H199" s="33">
        <v>0.16279069767441862</v>
      </c>
      <c r="I199" s="34">
        <v>8448.7551867219918</v>
      </c>
      <c r="J199" s="34">
        <v>-7898.3709273182958</v>
      </c>
      <c r="K199" s="33">
        <v>9.5238095238095233E-2</v>
      </c>
      <c r="L199" s="33">
        <v>0.25356997144022847</v>
      </c>
      <c r="M199" s="33">
        <v>0.22888616891064872</v>
      </c>
      <c r="N199" s="33">
        <v>0.55993563958165726</v>
      </c>
      <c r="O199" s="33">
        <v>0.41176470588235292</v>
      </c>
      <c r="P199" s="33">
        <v>0.44260027662517287</v>
      </c>
    </row>
    <row r="200" spans="1:16" x14ac:dyDescent="0.45">
      <c r="A200" s="35">
        <v>197</v>
      </c>
      <c r="B200" s="32">
        <v>-4.9737991503207013E-14</v>
      </c>
      <c r="C200" s="32">
        <v>-8.4159038076492409E-17</v>
      </c>
      <c r="D200" s="37">
        <v>2</v>
      </c>
      <c r="E200" s="33">
        <v>0.33333333333333331</v>
      </c>
      <c r="F200" s="33">
        <v>0.33333333333333331</v>
      </c>
      <c r="G200" s="33">
        <v>0.29514523664432257</v>
      </c>
      <c r="H200" s="33">
        <v>0.16311192362380661</v>
      </c>
      <c r="I200" s="34">
        <v>8462.766689607708</v>
      </c>
      <c r="J200" s="34">
        <v>-7898.3810709838108</v>
      </c>
      <c r="K200" s="33">
        <v>9.6446700507614211E-2</v>
      </c>
      <c r="L200" s="33">
        <v>0.25431647369490146</v>
      </c>
      <c r="M200" s="33">
        <v>0.22831606743855373</v>
      </c>
      <c r="N200" s="33">
        <v>0.55990415335463262</v>
      </c>
      <c r="O200" s="33">
        <v>0.41192170818505336</v>
      </c>
      <c r="P200" s="33">
        <v>0.44184445973847214</v>
      </c>
    </row>
    <row r="201" spans="1:16" x14ac:dyDescent="0.45">
      <c r="A201" s="35">
        <v>198</v>
      </c>
      <c r="B201" s="32">
        <v>-4.6906922790412864E-14</v>
      </c>
      <c r="C201" s="32">
        <v>-7.8967883485543543E-17</v>
      </c>
      <c r="D201" s="37">
        <v>2</v>
      </c>
      <c r="E201" s="33">
        <v>0.33333333333333331</v>
      </c>
      <c r="F201" s="33">
        <v>0.33333333333333331</v>
      </c>
      <c r="G201" s="33">
        <v>0.29519172245891662</v>
      </c>
      <c r="H201" s="33">
        <v>0.16331913166970988</v>
      </c>
      <c r="I201" s="34">
        <v>8485.0171821305848</v>
      </c>
      <c r="J201" s="34">
        <v>-7940</v>
      </c>
      <c r="K201" s="33">
        <v>9.7643097643097643E-2</v>
      </c>
      <c r="L201" s="33">
        <v>0.25441265976871574</v>
      </c>
      <c r="M201" s="33">
        <v>0.22844390342868737</v>
      </c>
      <c r="N201" s="33">
        <v>0.55901116427432218</v>
      </c>
      <c r="O201" s="33">
        <v>0.41207815275310833</v>
      </c>
      <c r="P201" s="33">
        <v>0.44123711340206184</v>
      </c>
    </row>
    <row r="202" spans="1:16" x14ac:dyDescent="0.45">
      <c r="A202" s="35">
        <v>199</v>
      </c>
      <c r="B202" s="32">
        <v>-4.7961634663806763E-14</v>
      </c>
      <c r="C202" s="32">
        <v>-8.0337746505538968E-17</v>
      </c>
      <c r="D202" s="37">
        <v>2</v>
      </c>
      <c r="E202" s="33">
        <v>0.33333333333333331</v>
      </c>
      <c r="F202" s="33">
        <v>0.33333333333333331</v>
      </c>
      <c r="G202" s="33">
        <v>0.29494949494949496</v>
      </c>
      <c r="H202" s="33">
        <v>0.16323232323232323</v>
      </c>
      <c r="I202" s="34">
        <v>8480.2739726027394</v>
      </c>
      <c r="J202" s="34">
        <v>-7932.1782178217818</v>
      </c>
      <c r="K202" s="33">
        <v>9.8827470686767172E-2</v>
      </c>
      <c r="L202" s="33">
        <v>0.25414141414141417</v>
      </c>
      <c r="M202" s="33">
        <v>0.22868686868686869</v>
      </c>
      <c r="N202" s="33">
        <v>0.55802861685214622</v>
      </c>
      <c r="O202" s="33">
        <v>0.41254416961130741</v>
      </c>
      <c r="P202" s="33">
        <v>0.44109589041095892</v>
      </c>
    </row>
    <row r="203" spans="1:16" x14ac:dyDescent="0.45">
      <c r="A203" s="35">
        <v>200</v>
      </c>
      <c r="B203" s="32">
        <v>-4.9737991503207013E-14</v>
      </c>
      <c r="C203" s="32">
        <v>-8.2896652505345025E-17</v>
      </c>
      <c r="D203" s="37">
        <v>2</v>
      </c>
      <c r="E203" s="33">
        <v>0.33333333333333331</v>
      </c>
      <c r="F203" s="33">
        <v>0.33333333333333331</v>
      </c>
      <c r="G203" s="33">
        <v>0.29480232791491068</v>
      </c>
      <c r="H203" s="33">
        <v>0.16295404374874572</v>
      </c>
      <c r="I203" s="34">
        <v>8496.8686181075554</v>
      </c>
      <c r="J203" s="34">
        <v>-7929.9261083743841</v>
      </c>
      <c r="K203" s="33">
        <v>9.8333333333333328E-2</v>
      </c>
      <c r="L203" s="33">
        <v>0.25406381697772429</v>
      </c>
      <c r="M203" s="33">
        <v>0.22897852699177201</v>
      </c>
      <c r="N203" s="33">
        <v>0.55766192733017372</v>
      </c>
      <c r="O203" s="33">
        <v>0.41279579316389131</v>
      </c>
      <c r="P203" s="33">
        <v>0.44179714091218514</v>
      </c>
    </row>
    <row r="204" spans="1:16" x14ac:dyDescent="0.45">
      <c r="A204" s="35">
        <v>201</v>
      </c>
      <c r="B204" s="32">
        <v>-4.9737991503207013E-14</v>
      </c>
      <c r="C204" s="32">
        <v>-8.2484231348602006E-17</v>
      </c>
      <c r="D204" s="37">
        <v>2</v>
      </c>
      <c r="E204" s="33">
        <v>0.33333333333333331</v>
      </c>
      <c r="F204" s="33">
        <v>0.33333333333333331</v>
      </c>
      <c r="G204" s="33">
        <v>0.29478729778310364</v>
      </c>
      <c r="H204" s="33">
        <v>0.16317155981625725</v>
      </c>
      <c r="I204" s="34">
        <v>8488.2791327913274</v>
      </c>
      <c r="J204" s="34">
        <v>-7923.2558139534885</v>
      </c>
      <c r="K204" s="33">
        <v>9.7844112769485903E-2</v>
      </c>
      <c r="L204" s="33">
        <v>0.2536448971439984</v>
      </c>
      <c r="M204" s="33">
        <v>0.22927900938685838</v>
      </c>
      <c r="N204" s="33">
        <v>0.55826771653543306</v>
      </c>
      <c r="O204" s="33">
        <v>0.41202090592334495</v>
      </c>
      <c r="P204" s="33">
        <v>0.44105691056910568</v>
      </c>
    </row>
    <row r="205" spans="1:16" x14ac:dyDescent="0.45">
      <c r="A205" s="35">
        <v>202</v>
      </c>
      <c r="B205" s="32">
        <v>-4.6851411639181606E-14</v>
      </c>
      <c r="C205" s="32">
        <v>-7.7312560460695718E-17</v>
      </c>
      <c r="D205" s="37">
        <v>2</v>
      </c>
      <c r="E205" s="33">
        <v>0.33333333333333331</v>
      </c>
      <c r="F205" s="33">
        <v>0.33333333333333331</v>
      </c>
      <c r="G205" s="33">
        <v>0.29492537313432837</v>
      </c>
      <c r="H205" s="33">
        <v>0.16338308457711442</v>
      </c>
      <c r="I205" s="34">
        <v>8483.5357624831304</v>
      </c>
      <c r="J205" s="34">
        <v>-7925.8221680876977</v>
      </c>
      <c r="K205" s="33">
        <v>9.7359735973597358E-2</v>
      </c>
      <c r="L205" s="33">
        <v>0.2537313432835821</v>
      </c>
      <c r="M205" s="33">
        <v>0.23024875621890548</v>
      </c>
      <c r="N205" s="33">
        <v>0.55764705882352938</v>
      </c>
      <c r="O205" s="33">
        <v>0.41140881590319794</v>
      </c>
      <c r="P205" s="33">
        <v>0.44062078272604588</v>
      </c>
    </row>
    <row r="206" spans="1:16" x14ac:dyDescent="0.45">
      <c r="A206" s="35">
        <v>203</v>
      </c>
      <c r="B206" s="32">
        <v>-4.2632564145606011E-14</v>
      </c>
      <c r="C206" s="32">
        <v>-7.0004210419714305E-17</v>
      </c>
      <c r="D206" s="37">
        <v>2</v>
      </c>
      <c r="E206" s="33">
        <v>0.33333333333333331</v>
      </c>
      <c r="F206" s="33">
        <v>0.33333333333333331</v>
      </c>
      <c r="G206" s="33">
        <v>0.29495548961424334</v>
      </c>
      <c r="H206" s="33">
        <v>0.16379821958456972</v>
      </c>
      <c r="I206" s="34">
        <v>8470.6237424547289</v>
      </c>
      <c r="J206" s="34">
        <v>-7915.8212560386473</v>
      </c>
      <c r="K206" s="33">
        <v>9.688013136288999E-2</v>
      </c>
      <c r="L206" s="33">
        <v>0.25380811078140453</v>
      </c>
      <c r="M206" s="33">
        <v>0.2304648862512364</v>
      </c>
      <c r="N206" s="33">
        <v>0.55650818394388157</v>
      </c>
      <c r="O206" s="33">
        <v>0.41201716738197425</v>
      </c>
      <c r="P206" s="33">
        <v>0.43930248155600266</v>
      </c>
    </row>
    <row r="207" spans="1:16" x14ac:dyDescent="0.45">
      <c r="A207" s="35">
        <v>204</v>
      </c>
      <c r="B207" s="32">
        <v>-4.6185277824406512E-14</v>
      </c>
      <c r="C207" s="32">
        <v>-7.5466140235958356E-17</v>
      </c>
      <c r="D207" s="37">
        <v>2</v>
      </c>
      <c r="E207" s="33">
        <v>0.33333333333333331</v>
      </c>
      <c r="F207" s="33">
        <v>0.33333333333333331</v>
      </c>
      <c r="G207" s="33">
        <v>0.29518190757128809</v>
      </c>
      <c r="H207" s="33">
        <v>0.1640117994100295</v>
      </c>
      <c r="I207" s="34">
        <v>8462.0919387075282</v>
      </c>
      <c r="J207" s="34">
        <v>-7899.8800959232613</v>
      </c>
      <c r="K207" s="33">
        <v>9.6405228758169939E-2</v>
      </c>
      <c r="L207" s="33">
        <v>0.25329400196656832</v>
      </c>
      <c r="M207" s="33">
        <v>0.23126843657817109</v>
      </c>
      <c r="N207" s="33">
        <v>0.55667701863354035</v>
      </c>
      <c r="O207" s="33">
        <v>0.41326530612244899</v>
      </c>
      <c r="P207" s="33">
        <v>0.43904063957361761</v>
      </c>
    </row>
    <row r="208" spans="1:16" x14ac:dyDescent="0.45">
      <c r="A208" s="35">
        <v>205</v>
      </c>
      <c r="B208" s="32">
        <v>-4.7073456244106637E-14</v>
      </c>
      <c r="C208" s="32">
        <v>-7.6542205274970144E-17</v>
      </c>
      <c r="D208" s="37">
        <v>2</v>
      </c>
      <c r="E208" s="33">
        <v>0.33333333333333331</v>
      </c>
      <c r="F208" s="33">
        <v>0.33333333333333331</v>
      </c>
      <c r="G208" s="33">
        <v>0.29523251270027356</v>
      </c>
      <c r="H208" s="33">
        <v>0.16412661195779601</v>
      </c>
      <c r="I208" s="34">
        <v>8433.1568497683656</v>
      </c>
      <c r="J208" s="34">
        <v>-7863.8095238095239</v>
      </c>
      <c r="K208" s="33">
        <v>9.5934959349593493E-2</v>
      </c>
      <c r="L208" s="33">
        <v>0.25322391559202811</v>
      </c>
      <c r="M208" s="33">
        <v>0.23192653380226652</v>
      </c>
      <c r="N208" s="33">
        <v>0.55478395061728392</v>
      </c>
      <c r="O208" s="33">
        <v>0.41449031171019379</v>
      </c>
      <c r="P208" s="33">
        <v>0.43878226340172072</v>
      </c>
    </row>
    <row r="209" spans="1:16" x14ac:dyDescent="0.45">
      <c r="A209" s="35">
        <v>206</v>
      </c>
      <c r="B209" s="32">
        <v>-4.6185277824406512E-14</v>
      </c>
      <c r="C209" s="32">
        <v>-7.4733459262793709E-17</v>
      </c>
      <c r="D209" s="37">
        <v>2</v>
      </c>
      <c r="E209" s="33">
        <v>0.33333333333333331</v>
      </c>
      <c r="F209" s="33">
        <v>0.33333333333333331</v>
      </c>
      <c r="G209" s="33">
        <v>0.2954324586977648</v>
      </c>
      <c r="H209" s="33">
        <v>0.16384839650145772</v>
      </c>
      <c r="I209" s="34">
        <v>8433.4210526315783</v>
      </c>
      <c r="J209" s="34">
        <v>-7848.8730723606168</v>
      </c>
      <c r="K209" s="33">
        <v>9.5469255663430425E-2</v>
      </c>
      <c r="L209" s="33">
        <v>0.2530612244897959</v>
      </c>
      <c r="M209" s="33">
        <v>0.23206997084548106</v>
      </c>
      <c r="N209" s="33">
        <v>0.55453149001536095</v>
      </c>
      <c r="O209" s="33">
        <v>0.41541038525963148</v>
      </c>
      <c r="P209" s="33">
        <v>0.44013157894736843</v>
      </c>
    </row>
    <row r="210" spans="1:16" x14ac:dyDescent="0.45">
      <c r="A210" s="35">
        <v>207</v>
      </c>
      <c r="B210" s="32">
        <v>-4.6185277824406512E-14</v>
      </c>
      <c r="C210" s="32">
        <v>-7.4372428058625621E-17</v>
      </c>
      <c r="D210" s="37">
        <v>2</v>
      </c>
      <c r="E210" s="33">
        <v>0.33333333333333331</v>
      </c>
      <c r="F210" s="33">
        <v>0.33333333333333331</v>
      </c>
      <c r="G210" s="33">
        <v>0.29528775589030515</v>
      </c>
      <c r="H210" s="33">
        <v>0.16357667052916183</v>
      </c>
      <c r="I210" s="34">
        <v>8432.7011118378032</v>
      </c>
      <c r="J210" s="34">
        <v>-7839.5513577331758</v>
      </c>
      <c r="K210" s="33">
        <v>9.5008051529790666E-2</v>
      </c>
      <c r="L210" s="33">
        <v>0.25376593279258403</v>
      </c>
      <c r="M210" s="33">
        <v>0.23155658555426806</v>
      </c>
      <c r="N210" s="33">
        <v>0.55403348554033482</v>
      </c>
      <c r="O210" s="33">
        <v>0.41534612176814012</v>
      </c>
      <c r="P210" s="33">
        <v>0.44081098757357751</v>
      </c>
    </row>
    <row r="211" spans="1:16" x14ac:dyDescent="0.45">
      <c r="A211" s="35">
        <v>208</v>
      </c>
      <c r="B211" s="32">
        <v>-4.2632564145606011E-14</v>
      </c>
      <c r="C211" s="32">
        <v>-6.8321416900009637E-17</v>
      </c>
      <c r="D211" s="37">
        <v>2</v>
      </c>
      <c r="E211" s="33">
        <v>0.33333333333333331</v>
      </c>
      <c r="F211" s="33">
        <v>0.33333333333333331</v>
      </c>
      <c r="G211" s="33">
        <v>0.29541955350269439</v>
      </c>
      <c r="H211" s="33">
        <v>0.16339491916859122</v>
      </c>
      <c r="I211" s="34">
        <v>8447.4267100977195</v>
      </c>
      <c r="J211" s="34">
        <v>-7856.4193168433449</v>
      </c>
      <c r="K211" s="33">
        <v>9.6153846153846159E-2</v>
      </c>
      <c r="L211" s="33">
        <v>0.2540415704387991</v>
      </c>
      <c r="M211" s="33">
        <v>0.23152424942263281</v>
      </c>
      <c r="N211" s="33">
        <v>0.55454545454545456</v>
      </c>
      <c r="O211" s="33">
        <v>0.41479634247714048</v>
      </c>
      <c r="P211" s="33">
        <v>0.44169381107491856</v>
      </c>
    </row>
    <row r="212" spans="1:16" x14ac:dyDescent="0.45">
      <c r="A212" s="35">
        <v>209</v>
      </c>
      <c r="B212" s="32">
        <v>-4.4741987892393809E-14</v>
      </c>
      <c r="C212" s="32">
        <v>-7.1358832364264442E-17</v>
      </c>
      <c r="D212" s="37">
        <v>2</v>
      </c>
      <c r="E212" s="33">
        <v>0.33333333333333331</v>
      </c>
      <c r="F212" s="33">
        <v>0.33333333333333331</v>
      </c>
      <c r="G212" s="33">
        <v>0.29540229885057473</v>
      </c>
      <c r="H212" s="33">
        <v>0.16379310344827586</v>
      </c>
      <c r="I212" s="34">
        <v>8445.1361867704272</v>
      </c>
      <c r="J212" s="34">
        <v>-7856.9590643274851</v>
      </c>
      <c r="K212" s="33">
        <v>9.569377990430622E-2</v>
      </c>
      <c r="L212" s="33">
        <v>0.25440613026819925</v>
      </c>
      <c r="M212" s="33">
        <v>0.23122605363984675</v>
      </c>
      <c r="N212" s="33">
        <v>0.55421686746987953</v>
      </c>
      <c r="O212" s="33">
        <v>0.41507870753935378</v>
      </c>
      <c r="P212" s="33">
        <v>0.44033722438391698</v>
      </c>
    </row>
    <row r="213" spans="1:16" x14ac:dyDescent="0.45">
      <c r="A213" s="35">
        <v>210</v>
      </c>
      <c r="B213" s="32">
        <v>-4.9737991503207013E-14</v>
      </c>
      <c r="C213" s="32">
        <v>-7.8949192862233357E-17</v>
      </c>
      <c r="D213" s="37">
        <v>2</v>
      </c>
      <c r="E213" s="33">
        <v>0.33333333333333331</v>
      </c>
      <c r="F213" s="33">
        <v>0.33333333333333331</v>
      </c>
      <c r="G213" s="33">
        <v>0.29540689918048407</v>
      </c>
      <c r="H213" s="33">
        <v>0.16352201257861634</v>
      </c>
      <c r="I213" s="34">
        <v>8440.9032258064508</v>
      </c>
      <c r="J213" s="34">
        <v>-7843.939393939394</v>
      </c>
      <c r="K213" s="33">
        <v>9.6825396825396828E-2</v>
      </c>
      <c r="L213" s="33">
        <v>0.25462168858395273</v>
      </c>
      <c r="M213" s="33">
        <v>0.23098913664951401</v>
      </c>
      <c r="N213" s="33">
        <v>0.55464071856287422</v>
      </c>
      <c r="O213" s="33">
        <v>0.41501650165016502</v>
      </c>
      <c r="P213" s="33">
        <v>0.44129032258064516</v>
      </c>
    </row>
    <row r="214" spans="1:16" x14ac:dyDescent="0.45">
      <c r="A214" s="35">
        <v>211</v>
      </c>
      <c r="B214" s="32">
        <v>-4.2632564145606011E-14</v>
      </c>
      <c r="C214" s="32">
        <v>-6.7350022346928933E-17</v>
      </c>
      <c r="D214" s="37">
        <v>2</v>
      </c>
      <c r="E214" s="33">
        <v>0.33333333333333331</v>
      </c>
      <c r="F214" s="33">
        <v>0.33333333333333331</v>
      </c>
      <c r="G214" s="33">
        <v>0.29560106181266593</v>
      </c>
      <c r="H214" s="33">
        <v>0.16382252559726962</v>
      </c>
      <c r="I214" s="34">
        <v>8453.3033996151371</v>
      </c>
      <c r="J214" s="34">
        <v>-7848.8425925925922</v>
      </c>
      <c r="K214" s="33">
        <v>9.7946287519747238E-2</v>
      </c>
      <c r="L214" s="33">
        <v>0.25445582100872205</v>
      </c>
      <c r="M214" s="33">
        <v>0.23113386423966628</v>
      </c>
      <c r="N214" s="33">
        <v>0.55439642324888228</v>
      </c>
      <c r="O214" s="33">
        <v>0.41509433962264153</v>
      </c>
      <c r="P214" s="33">
        <v>0.44066709429121231</v>
      </c>
    </row>
    <row r="215" spans="1:16" x14ac:dyDescent="0.45">
      <c r="A215" s="35">
        <v>212</v>
      </c>
      <c r="B215" s="32">
        <v>-4.2632564145606011E-14</v>
      </c>
      <c r="C215" s="32">
        <v>-6.70323335622736E-17</v>
      </c>
      <c r="D215" s="37">
        <v>2</v>
      </c>
      <c r="E215" s="33">
        <v>0.33333333333333331</v>
      </c>
      <c r="F215" s="33">
        <v>0.33333333333333331</v>
      </c>
      <c r="G215" s="33">
        <v>0.29558323895809741</v>
      </c>
      <c r="H215" s="33">
        <v>0.1636466591166478</v>
      </c>
      <c r="I215" s="34">
        <v>8459.7062579821195</v>
      </c>
      <c r="J215" s="34">
        <v>-7850.749711649366</v>
      </c>
      <c r="K215" s="33">
        <v>9.9056603773584911E-2</v>
      </c>
      <c r="L215" s="33">
        <v>0.2544356360890902</v>
      </c>
      <c r="M215" s="33">
        <v>0.23084182710456777</v>
      </c>
      <c r="N215" s="33">
        <v>0.5556379821958457</v>
      </c>
      <c r="O215" s="33">
        <v>0.4145543744889616</v>
      </c>
      <c r="P215" s="33">
        <v>0.44125159642401024</v>
      </c>
    </row>
    <row r="216" spans="1:16" x14ac:dyDescent="0.45">
      <c r="A216" s="35">
        <v>213</v>
      </c>
      <c r="B216" s="32">
        <v>-4.2632564145606011E-14</v>
      </c>
      <c r="C216" s="32">
        <v>-6.6717627770901427E-17</v>
      </c>
      <c r="D216" s="37">
        <v>2</v>
      </c>
      <c r="E216" s="33">
        <v>0.33333333333333331</v>
      </c>
      <c r="F216" s="33">
        <v>0.33333333333333331</v>
      </c>
      <c r="G216" s="33">
        <v>0.29560810810810811</v>
      </c>
      <c r="H216" s="33">
        <v>0.16347597597597596</v>
      </c>
      <c r="I216" s="34">
        <v>8447.6825396825388</v>
      </c>
      <c r="J216" s="34">
        <v>-7832.8358208955224</v>
      </c>
      <c r="K216" s="33">
        <v>9.8591549295774641E-2</v>
      </c>
      <c r="L216" s="33">
        <v>0.25450450450450451</v>
      </c>
      <c r="M216" s="33">
        <v>0.23104354354354353</v>
      </c>
      <c r="N216" s="33">
        <v>0.55530973451327437</v>
      </c>
      <c r="O216" s="33">
        <v>0.41348497156783104</v>
      </c>
      <c r="P216" s="33">
        <v>0.44190476190476191</v>
      </c>
    </row>
    <row r="217" spans="1:16" x14ac:dyDescent="0.45">
      <c r="A217" s="35">
        <v>214</v>
      </c>
      <c r="B217" s="32">
        <v>-4.4408920985006262E-14</v>
      </c>
      <c r="C217" s="32">
        <v>-6.9172774119947443E-17</v>
      </c>
      <c r="D217" s="37">
        <v>2</v>
      </c>
      <c r="E217" s="33">
        <v>0.33333333333333331</v>
      </c>
      <c r="F217" s="33">
        <v>0.33333333333333331</v>
      </c>
      <c r="G217" s="33">
        <v>0.2958403282969595</v>
      </c>
      <c r="H217" s="33">
        <v>0.16358888267114344</v>
      </c>
      <c r="I217" s="34">
        <v>8435.2459016393441</v>
      </c>
      <c r="J217" s="34">
        <v>-7826.5678449258839</v>
      </c>
      <c r="K217" s="33">
        <v>9.8130841121495324E-2</v>
      </c>
      <c r="L217" s="33">
        <v>0.25424361126655476</v>
      </c>
      <c r="M217" s="33">
        <v>0.23130013057265436</v>
      </c>
      <c r="N217" s="33">
        <v>0.55392516507703593</v>
      </c>
      <c r="O217" s="33">
        <v>0.41532258064516131</v>
      </c>
      <c r="P217" s="33">
        <v>0.44199243379571246</v>
      </c>
    </row>
    <row r="218" spans="1:16" x14ac:dyDescent="0.45">
      <c r="A218" s="35">
        <v>215</v>
      </c>
      <c r="B218" s="32">
        <v>-4.9737991503207013E-14</v>
      </c>
      <c r="C218" s="32">
        <v>-7.7113165121251182E-17</v>
      </c>
      <c r="D218" s="37">
        <v>2</v>
      </c>
      <c r="E218" s="33">
        <v>0.33333333333333331</v>
      </c>
      <c r="F218" s="33">
        <v>0.33333333333333331</v>
      </c>
      <c r="G218" s="33">
        <v>0.29584261321455085</v>
      </c>
      <c r="H218" s="33">
        <v>0.16369710467706014</v>
      </c>
      <c r="I218" s="34">
        <v>8463.8017565872015</v>
      </c>
      <c r="J218" s="34">
        <v>-7863.0385487528347</v>
      </c>
      <c r="K218" s="33">
        <v>9.9224806201550386E-2</v>
      </c>
      <c r="L218" s="33">
        <v>0.25445434298440978</v>
      </c>
      <c r="M218" s="33">
        <v>0.23051224944320714</v>
      </c>
      <c r="N218" s="33">
        <v>0.55433989788475568</v>
      </c>
      <c r="O218" s="33">
        <v>0.41626409017713367</v>
      </c>
      <c r="P218" s="33">
        <v>0.44165621079046424</v>
      </c>
    </row>
    <row r="219" spans="1:16" x14ac:dyDescent="0.45">
      <c r="A219" s="35">
        <v>216</v>
      </c>
      <c r="B219" s="32">
        <v>-4.9737991503207013E-14</v>
      </c>
      <c r="C219" s="32">
        <v>-7.6756159727171312E-17</v>
      </c>
      <c r="D219" s="37">
        <v>2</v>
      </c>
      <c r="E219" s="33">
        <v>0.33333333333333331</v>
      </c>
      <c r="F219" s="33">
        <v>0.33333333333333331</v>
      </c>
      <c r="G219" s="33">
        <v>0.29598816786836751</v>
      </c>
      <c r="H219" s="33">
        <v>0.16343131817341469</v>
      </c>
      <c r="I219" s="34">
        <v>8462.4609618988125</v>
      </c>
      <c r="J219" s="34">
        <v>-7862.1040723981896</v>
      </c>
      <c r="K219" s="33">
        <v>9.8765432098765427E-2</v>
      </c>
      <c r="L219" s="33">
        <v>0.25457570715474209</v>
      </c>
      <c r="M219" s="33">
        <v>0.23017193566278424</v>
      </c>
      <c r="N219" s="33">
        <v>0.55482933914306465</v>
      </c>
      <c r="O219" s="33">
        <v>0.41686746987951806</v>
      </c>
      <c r="P219" s="33">
        <v>0.44284821986258588</v>
      </c>
    </row>
    <row r="220" spans="1:16" x14ac:dyDescent="0.45">
      <c r="A220" s="35">
        <v>217</v>
      </c>
      <c r="B220" s="32">
        <v>-4.75175454539567E-14</v>
      </c>
      <c r="C220" s="32">
        <v>-7.2991621281039478E-17</v>
      </c>
      <c r="D220" s="37">
        <v>2</v>
      </c>
      <c r="E220" s="33">
        <v>0.33333333333333331</v>
      </c>
      <c r="F220" s="33">
        <v>0.33333333333333331</v>
      </c>
      <c r="G220" s="33">
        <v>0.29605142332415058</v>
      </c>
      <c r="H220" s="33">
        <v>0.16400367309458219</v>
      </c>
      <c r="I220" s="34">
        <v>8475.4342431761779</v>
      </c>
      <c r="J220" s="34">
        <v>-7870.2127659574471</v>
      </c>
      <c r="K220" s="33">
        <v>9.8310291858678955E-2</v>
      </c>
      <c r="L220" s="33">
        <v>0.25417814508723602</v>
      </c>
      <c r="M220" s="33">
        <v>0.22975206611570248</v>
      </c>
      <c r="N220" s="33">
        <v>0.55563583815028905</v>
      </c>
      <c r="O220" s="33">
        <v>0.41806554756195041</v>
      </c>
      <c r="P220" s="33">
        <v>0.44106699751861045</v>
      </c>
    </row>
    <row r="221" spans="1:16" x14ac:dyDescent="0.45">
      <c r="A221" s="35">
        <v>218</v>
      </c>
      <c r="B221" s="32">
        <v>-4.2632564145606011E-14</v>
      </c>
      <c r="C221" s="32">
        <v>-6.5187406950467911E-17</v>
      </c>
      <c r="D221" s="37">
        <v>2</v>
      </c>
      <c r="E221" s="33">
        <v>0.33333333333333331</v>
      </c>
      <c r="F221" s="33">
        <v>0.33333333333333331</v>
      </c>
      <c r="G221" s="33">
        <v>0.29619465788510796</v>
      </c>
      <c r="H221" s="33">
        <v>0.16392242956458106</v>
      </c>
      <c r="I221" s="34">
        <v>8486.4113650401487</v>
      </c>
      <c r="J221" s="34">
        <v>-7862.9464285714284</v>
      </c>
      <c r="K221" s="33">
        <v>9.9388379204892963E-2</v>
      </c>
      <c r="L221" s="33">
        <v>0.25466520307354557</v>
      </c>
      <c r="M221" s="33">
        <v>0.2292352725942188</v>
      </c>
      <c r="N221" s="33">
        <v>0.55675287356321834</v>
      </c>
      <c r="O221" s="33">
        <v>0.41819632881085395</v>
      </c>
      <c r="P221" s="33">
        <v>0.44163063619518222</v>
      </c>
    </row>
    <row r="222" spans="1:16" x14ac:dyDescent="0.45">
      <c r="A222" s="35">
        <v>219</v>
      </c>
      <c r="B222" s="32">
        <v>-4.4075854077618715E-14</v>
      </c>
      <c r="C222" s="32">
        <v>-6.7086535886786478E-17</v>
      </c>
      <c r="D222" s="37">
        <v>2</v>
      </c>
      <c r="E222" s="33">
        <v>0.33333333333333331</v>
      </c>
      <c r="F222" s="33">
        <v>0.33333333333333331</v>
      </c>
      <c r="G222" s="33">
        <v>0.29603347889374088</v>
      </c>
      <c r="H222" s="33">
        <v>0.16375545851528384</v>
      </c>
      <c r="I222" s="34">
        <v>8502.4585125998765</v>
      </c>
      <c r="J222" s="34">
        <v>-7859.8888888888887</v>
      </c>
      <c r="K222" s="33">
        <v>9.8934550989345504E-2</v>
      </c>
      <c r="L222" s="33">
        <v>0.25400291120815138</v>
      </c>
      <c r="M222" s="33">
        <v>0.22907569141193596</v>
      </c>
      <c r="N222" s="33">
        <v>0.55659025787965621</v>
      </c>
      <c r="O222" s="33">
        <v>0.41858617950754567</v>
      </c>
      <c r="P222" s="33">
        <v>0.44191763982790411</v>
      </c>
    </row>
    <row r="223" spans="1:16" x14ac:dyDescent="0.45">
      <c r="A223" s="35">
        <v>220</v>
      </c>
      <c r="B223" s="32">
        <v>-4.2632564145606011E-14</v>
      </c>
      <c r="C223" s="32">
        <v>-6.4594794160009105E-17</v>
      </c>
      <c r="D223" s="37">
        <v>2</v>
      </c>
      <c r="E223" s="33">
        <v>0.33333333333333331</v>
      </c>
      <c r="F223" s="33">
        <v>0.33333333333333331</v>
      </c>
      <c r="G223" s="33">
        <v>0.29599419974623892</v>
      </c>
      <c r="H223" s="33">
        <v>0.16331339496102953</v>
      </c>
      <c r="I223" s="34">
        <v>8483.2210655235758</v>
      </c>
      <c r="J223" s="34">
        <v>-7855.4938956714759</v>
      </c>
      <c r="K223" s="33">
        <v>9.8484848484848481E-2</v>
      </c>
      <c r="L223" s="33">
        <v>0.25339858618814576</v>
      </c>
      <c r="M223" s="33">
        <v>0.23001631321370311</v>
      </c>
      <c r="N223" s="33">
        <v>0.55579399141630903</v>
      </c>
      <c r="O223" s="33">
        <v>0.42001576044129235</v>
      </c>
      <c r="P223" s="33">
        <v>0.44335578689528476</v>
      </c>
    </row>
    <row r="224" spans="1:16" x14ac:dyDescent="0.45">
      <c r="A224" s="35">
        <v>221</v>
      </c>
      <c r="B224" s="32">
        <v>-4.2632564145606011E-14</v>
      </c>
      <c r="C224" s="32">
        <v>-6.4302510023538484E-17</v>
      </c>
      <c r="D224" s="37">
        <v>2</v>
      </c>
      <c r="E224" s="33">
        <v>0.33333333333333331</v>
      </c>
      <c r="F224" s="33">
        <v>0.33333333333333331</v>
      </c>
      <c r="G224" s="33">
        <v>0.29599567099567098</v>
      </c>
      <c r="H224" s="33">
        <v>0.16360028860028861</v>
      </c>
      <c r="I224" s="34">
        <v>8473.2480195003045</v>
      </c>
      <c r="J224" s="34">
        <v>-7843.7706725468579</v>
      </c>
      <c r="K224" s="33">
        <v>9.9547511312217188E-2</v>
      </c>
      <c r="L224" s="33">
        <v>0.25342712842712845</v>
      </c>
      <c r="M224" s="33">
        <v>0.22997835497835498</v>
      </c>
      <c r="N224" s="33">
        <v>0.55729537366548043</v>
      </c>
      <c r="O224" s="33">
        <v>0.41882352941176471</v>
      </c>
      <c r="P224" s="33">
        <v>0.44241316270566727</v>
      </c>
    </row>
    <row r="225" spans="1:16" x14ac:dyDescent="0.45">
      <c r="A225" s="35">
        <v>222</v>
      </c>
      <c r="B225" s="32">
        <v>-4.2632564145606011E-14</v>
      </c>
      <c r="C225" s="32">
        <v>-6.4012859077486503E-17</v>
      </c>
      <c r="D225" s="37">
        <v>2</v>
      </c>
      <c r="E225" s="33">
        <v>0.33333333333333331</v>
      </c>
      <c r="F225" s="33">
        <v>0.33333333333333331</v>
      </c>
      <c r="G225" s="33">
        <v>0.29597701149425287</v>
      </c>
      <c r="H225" s="33">
        <v>0.16361350574712644</v>
      </c>
      <c r="I225" s="34">
        <v>8505.9466019417468</v>
      </c>
      <c r="J225" s="34">
        <v>-7883.0954994511521</v>
      </c>
      <c r="K225" s="33">
        <v>0.1006006006006006</v>
      </c>
      <c r="L225" s="33">
        <v>0.25305316091954022</v>
      </c>
      <c r="M225" s="33">
        <v>0.22934626436781611</v>
      </c>
      <c r="N225" s="33">
        <v>0.55713271823988642</v>
      </c>
      <c r="O225" s="33">
        <v>0.41973375097885668</v>
      </c>
      <c r="P225" s="33">
        <v>0.44235436893203883</v>
      </c>
    </row>
    <row r="226" spans="1:16" x14ac:dyDescent="0.45">
      <c r="A226" s="35">
        <v>223</v>
      </c>
      <c r="B226" s="32">
        <v>-4.2632564145606011E-14</v>
      </c>
      <c r="C226" s="32">
        <v>-6.3725805897766832E-17</v>
      </c>
      <c r="D226" s="37">
        <v>2</v>
      </c>
      <c r="E226" s="33">
        <v>0.33333333333333331</v>
      </c>
      <c r="F226" s="33">
        <v>0.33333333333333331</v>
      </c>
      <c r="G226" s="33">
        <v>0.29593845052782253</v>
      </c>
      <c r="H226" s="33">
        <v>0.16371443907675792</v>
      </c>
      <c r="I226" s="34">
        <v>8493.4703748488519</v>
      </c>
      <c r="J226" s="34">
        <v>-7870.8196721311479</v>
      </c>
      <c r="K226" s="33">
        <v>0.10014947683109118</v>
      </c>
      <c r="L226" s="33">
        <v>0.25299695831096797</v>
      </c>
      <c r="M226" s="33">
        <v>0.22937913759169798</v>
      </c>
      <c r="N226" s="33">
        <v>0.55657708628005653</v>
      </c>
      <c r="O226" s="33">
        <v>0.4204368174726989</v>
      </c>
      <c r="P226" s="33">
        <v>0.44195888754534463</v>
      </c>
    </row>
    <row r="227" spans="1:16" x14ac:dyDescent="0.45">
      <c r="A227" s="35">
        <v>224</v>
      </c>
      <c r="B227" s="32">
        <v>-4.2632564145606011E-14</v>
      </c>
      <c r="C227" s="32">
        <v>-6.3441315692866085E-17</v>
      </c>
      <c r="D227" s="37">
        <v>2</v>
      </c>
      <c r="E227" s="33">
        <v>0.33333333333333331</v>
      </c>
      <c r="F227" s="33">
        <v>0.33333333333333331</v>
      </c>
      <c r="G227" s="33">
        <v>0.29594017094017094</v>
      </c>
      <c r="H227" s="33">
        <v>0.16363960113960113</v>
      </c>
      <c r="I227" s="34">
        <v>8475.0300842358611</v>
      </c>
      <c r="J227" s="34">
        <v>-7857.9978237214364</v>
      </c>
      <c r="K227" s="33">
        <v>9.9702380952380959E-2</v>
      </c>
      <c r="L227" s="33">
        <v>0.25267094017094016</v>
      </c>
      <c r="M227" s="33">
        <v>0.22934472934472935</v>
      </c>
      <c r="N227" s="33">
        <v>0.55673009161381259</v>
      </c>
      <c r="O227" s="33">
        <v>0.42080745341614906</v>
      </c>
      <c r="P227" s="33">
        <v>0.44223826714801445</v>
      </c>
    </row>
    <row r="228" spans="1:16" x14ac:dyDescent="0.45">
      <c r="A228" s="35">
        <v>225</v>
      </c>
      <c r="B228" s="32">
        <v>-4.2632564145606011E-14</v>
      </c>
      <c r="C228" s="32">
        <v>-6.3159354289786683E-17</v>
      </c>
      <c r="D228" s="37">
        <v>2</v>
      </c>
      <c r="E228" s="33">
        <v>0.33333333333333331</v>
      </c>
      <c r="F228" s="33">
        <v>0.33333333333333331</v>
      </c>
      <c r="G228" s="33">
        <v>0.29590207557211284</v>
      </c>
      <c r="H228" s="33">
        <v>0.16373957778960441</v>
      </c>
      <c r="I228" s="34">
        <v>8479.556354916067</v>
      </c>
      <c r="J228" s="34">
        <v>-7854.7128927410622</v>
      </c>
      <c r="K228" s="33">
        <v>0.10074074074074074</v>
      </c>
      <c r="L228" s="33">
        <v>0.25243924073088519</v>
      </c>
      <c r="M228" s="33">
        <v>0.22990952634379988</v>
      </c>
      <c r="N228" s="33">
        <v>0.55657062543921298</v>
      </c>
      <c r="O228" s="33">
        <v>0.41975308641975306</v>
      </c>
      <c r="P228" s="33">
        <v>0.44184652278177455</v>
      </c>
    </row>
    <row r="229" spans="1:16" x14ac:dyDescent="0.45">
      <c r="A229" s="35">
        <v>226</v>
      </c>
      <c r="B229" s="32">
        <v>-4.2632564145606011E-14</v>
      </c>
      <c r="C229" s="32">
        <v>-6.2879888120362847E-17</v>
      </c>
      <c r="D229" s="37">
        <v>2</v>
      </c>
      <c r="E229" s="33">
        <v>0.33333333333333331</v>
      </c>
      <c r="F229" s="33">
        <v>0.33333333333333331</v>
      </c>
      <c r="G229" s="33">
        <v>0.29541446208112876</v>
      </c>
      <c r="H229" s="33">
        <v>0.16366843033509701</v>
      </c>
      <c r="I229" s="34">
        <v>8467.940298507463</v>
      </c>
      <c r="J229" s="34">
        <v>-7834.5905172413795</v>
      </c>
      <c r="K229" s="33">
        <v>0.10029498525073746</v>
      </c>
      <c r="L229" s="33">
        <v>0.25220458553791886</v>
      </c>
      <c r="M229" s="33">
        <v>0.23051146384479718</v>
      </c>
      <c r="N229" s="33">
        <v>0.55594405594405594</v>
      </c>
      <c r="O229" s="33">
        <v>0.4185156847742923</v>
      </c>
      <c r="P229" s="33">
        <v>0.44119402985074629</v>
      </c>
    </row>
    <row r="230" spans="1:16" x14ac:dyDescent="0.45">
      <c r="A230" s="35">
        <v>227</v>
      </c>
      <c r="B230" s="32">
        <v>-4.2632564145606011E-14</v>
      </c>
      <c r="C230" s="32">
        <v>-6.2602884207938348E-17</v>
      </c>
      <c r="D230" s="37">
        <v>2</v>
      </c>
      <c r="E230" s="33">
        <v>0.33333333333333331</v>
      </c>
      <c r="F230" s="33">
        <v>0.33333333333333331</v>
      </c>
      <c r="G230" s="33">
        <v>0.29555438411526974</v>
      </c>
      <c r="H230" s="33">
        <v>0.16359163591635917</v>
      </c>
      <c r="I230" s="34">
        <v>8469.3816884661119</v>
      </c>
      <c r="J230" s="34">
        <v>-7836.1976369495169</v>
      </c>
      <c r="K230" s="33">
        <v>9.9853157121879588E-2</v>
      </c>
      <c r="L230" s="33">
        <v>0.25250395361096467</v>
      </c>
      <c r="M230" s="33">
        <v>0.23071516429450009</v>
      </c>
      <c r="N230" s="33">
        <v>0.55671537926235215</v>
      </c>
      <c r="O230" s="33">
        <v>0.41812642802741812</v>
      </c>
      <c r="P230" s="33">
        <v>0.44173602853745542</v>
      </c>
    </row>
    <row r="231" spans="1:16" x14ac:dyDescent="0.45">
      <c r="A231" s="35">
        <v>228</v>
      </c>
      <c r="B231" s="32">
        <v>-4.2632564145606011E-14</v>
      </c>
      <c r="C231" s="32">
        <v>-6.232831015439475E-17</v>
      </c>
      <c r="D231" s="37">
        <v>2</v>
      </c>
      <c r="E231" s="33">
        <v>0.33333333333333331</v>
      </c>
      <c r="F231" s="33">
        <v>0.33333333333333331</v>
      </c>
      <c r="G231" s="33">
        <v>0.29520811472542846</v>
      </c>
      <c r="H231" s="33">
        <v>0.16316894018887723</v>
      </c>
      <c r="I231" s="34">
        <v>8471.2677725118483</v>
      </c>
      <c r="J231" s="34">
        <v>-7830.1178992497316</v>
      </c>
      <c r="K231" s="33">
        <v>9.9415204678362568E-2</v>
      </c>
      <c r="L231" s="33">
        <v>0.25288562434417627</v>
      </c>
      <c r="M231" s="33">
        <v>0.23050017488632388</v>
      </c>
      <c r="N231" s="33">
        <v>0.5567081604426003</v>
      </c>
      <c r="O231" s="33">
        <v>0.41654021244309558</v>
      </c>
      <c r="P231" s="33">
        <v>0.44253554502369669</v>
      </c>
    </row>
    <row r="232" spans="1:16" x14ac:dyDescent="0.45">
      <c r="A232" s="35">
        <v>229</v>
      </c>
      <c r="B232" s="32">
        <v>-4.2632564145606011E-14</v>
      </c>
      <c r="C232" s="32">
        <v>-6.2056134127519664E-17</v>
      </c>
      <c r="D232" s="37">
        <v>2</v>
      </c>
      <c r="E232" s="33">
        <v>0.33333333333333331</v>
      </c>
      <c r="F232" s="33">
        <v>0.33333333333333331</v>
      </c>
      <c r="G232" s="33">
        <v>0.29513343799058084</v>
      </c>
      <c r="H232" s="33">
        <v>0.16309087737659167</v>
      </c>
      <c r="I232" s="34">
        <v>8476.0638297872338</v>
      </c>
      <c r="J232" s="34">
        <v>-7841.1764705882351</v>
      </c>
      <c r="K232" s="33">
        <v>0.10043668122270742</v>
      </c>
      <c r="L232" s="33">
        <v>0.25309611023896739</v>
      </c>
      <c r="M232" s="33">
        <v>0.23007151578580151</v>
      </c>
      <c r="N232" s="33">
        <v>0.55616815988973123</v>
      </c>
      <c r="O232" s="33">
        <v>0.41622441243366187</v>
      </c>
      <c r="P232" s="33">
        <v>0.44267139479905437</v>
      </c>
    </row>
    <row r="233" spans="1:16" x14ac:dyDescent="0.45">
      <c r="A233" s="35">
        <v>230</v>
      </c>
      <c r="B233" s="32">
        <v>-4.2632564145606011E-14</v>
      </c>
      <c r="C233" s="32">
        <v>-6.1786324848704365E-17</v>
      </c>
      <c r="D233" s="37">
        <v>2</v>
      </c>
      <c r="E233" s="33">
        <v>0.33333333333333331</v>
      </c>
      <c r="F233" s="33">
        <v>0.33333333333333331</v>
      </c>
      <c r="G233" s="33">
        <v>0.29527285366701422</v>
      </c>
      <c r="H233" s="33">
        <v>0.16301703163017031</v>
      </c>
      <c r="I233" s="34">
        <v>8470.8063566803994</v>
      </c>
      <c r="J233" s="34">
        <v>-7831.7697228144989</v>
      </c>
      <c r="K233" s="33">
        <v>0.1</v>
      </c>
      <c r="L233" s="33">
        <v>0.25356273896419884</v>
      </c>
      <c r="M233" s="33">
        <v>0.23010079944386513</v>
      </c>
      <c r="N233" s="33">
        <v>0.55586017820424949</v>
      </c>
      <c r="O233" s="33">
        <v>0.41616314199395771</v>
      </c>
      <c r="P233" s="33">
        <v>0.44320188346085931</v>
      </c>
    </row>
    <row r="234" spans="1:16" x14ac:dyDescent="0.45">
      <c r="A234" s="35">
        <v>231</v>
      </c>
      <c r="B234" s="32">
        <v>-3.9968028886505635E-14</v>
      </c>
      <c r="C234" s="32">
        <v>-5.7673923357150984E-17</v>
      </c>
      <c r="D234" s="37">
        <v>2</v>
      </c>
      <c r="E234" s="33">
        <v>0.33333333333333331</v>
      </c>
      <c r="F234" s="33">
        <v>0.33333333333333331</v>
      </c>
      <c r="G234" s="33">
        <v>0.29521829521829523</v>
      </c>
      <c r="H234" s="33">
        <v>0.16320166320166321</v>
      </c>
      <c r="I234" s="34">
        <v>8472.4765258215957</v>
      </c>
      <c r="J234" s="34">
        <v>-7833.7579617834399</v>
      </c>
      <c r="K234" s="33">
        <v>0.10101010101010101</v>
      </c>
      <c r="L234" s="33">
        <v>0.25363825363825365</v>
      </c>
      <c r="M234" s="33">
        <v>0.22972972972972974</v>
      </c>
      <c r="N234" s="33">
        <v>0.55669398907103829</v>
      </c>
      <c r="O234" s="33">
        <v>0.41553544494720968</v>
      </c>
      <c r="P234" s="33">
        <v>0.44248826291079812</v>
      </c>
    </row>
    <row r="235" spans="1:16" x14ac:dyDescent="0.45">
      <c r="A235" s="35">
        <v>232</v>
      </c>
      <c r="B235" s="32">
        <v>-3.907985046680551E-14</v>
      </c>
      <c r="C235" s="32">
        <v>-5.614921044081252E-17</v>
      </c>
      <c r="D235" s="37">
        <v>2</v>
      </c>
      <c r="E235" s="33">
        <v>0.33333333333333331</v>
      </c>
      <c r="F235" s="33">
        <v>0.33333333333333331</v>
      </c>
      <c r="G235" s="33">
        <v>0.29533678756476683</v>
      </c>
      <c r="H235" s="33">
        <v>0.16355785837651124</v>
      </c>
      <c r="I235" s="34">
        <v>8463.5672514619891</v>
      </c>
      <c r="J235" s="34">
        <v>-7825.765575501584</v>
      </c>
      <c r="K235" s="33">
        <v>0.10057471264367816</v>
      </c>
      <c r="L235" s="33">
        <v>0.253713298791019</v>
      </c>
      <c r="M235" s="33">
        <v>0.22918825561312609</v>
      </c>
      <c r="N235" s="33">
        <v>0.55820285908781486</v>
      </c>
      <c r="O235" s="33">
        <v>0.41597588545591557</v>
      </c>
      <c r="P235" s="33">
        <v>0.44152046783625731</v>
      </c>
    </row>
    <row r="236" spans="1:16" x14ac:dyDescent="0.45">
      <c r="A236" s="35">
        <v>233</v>
      </c>
      <c r="B236" s="32">
        <v>-4.2632564145606011E-14</v>
      </c>
      <c r="C236" s="32">
        <v>-6.0990792769107312E-17</v>
      </c>
      <c r="D236" s="37">
        <v>2</v>
      </c>
      <c r="E236" s="33">
        <v>0.33333333333333331</v>
      </c>
      <c r="F236" s="33">
        <v>0.33333333333333331</v>
      </c>
      <c r="G236" s="33">
        <v>0.29516933127041428</v>
      </c>
      <c r="H236" s="33">
        <v>0.16331442324222106</v>
      </c>
      <c r="I236" s="34">
        <v>8463.8905066977277</v>
      </c>
      <c r="J236" s="34">
        <v>-7823.4736842105267</v>
      </c>
      <c r="K236" s="33">
        <v>0.10014306151645208</v>
      </c>
      <c r="L236" s="33">
        <v>0.25356713082344851</v>
      </c>
      <c r="M236" s="33">
        <v>0.22846828261990718</v>
      </c>
      <c r="N236" s="33">
        <v>0.55932203389830504</v>
      </c>
      <c r="O236" s="33">
        <v>0.41610233258088791</v>
      </c>
      <c r="P236" s="33">
        <v>0.44205008736167734</v>
      </c>
    </row>
    <row r="237" spans="1:16" x14ac:dyDescent="0.45">
      <c r="A237" s="35">
        <v>234</v>
      </c>
      <c r="B237" s="32">
        <v>-4.2632564145606011E-14</v>
      </c>
      <c r="C237" s="32">
        <v>-6.0730148355564125E-17</v>
      </c>
      <c r="D237" s="37">
        <v>2</v>
      </c>
      <c r="E237" s="33">
        <v>0.33333333333333331</v>
      </c>
      <c r="F237" s="33">
        <v>0.33333333333333331</v>
      </c>
      <c r="G237" s="33">
        <v>0.29496402877697842</v>
      </c>
      <c r="H237" s="33">
        <v>0.16341212744090441</v>
      </c>
      <c r="I237" s="34">
        <v>8462.1370499419281</v>
      </c>
      <c r="J237" s="34">
        <v>-7819.287211740042</v>
      </c>
      <c r="K237" s="33">
        <v>9.9715099715099717E-2</v>
      </c>
      <c r="L237" s="33">
        <v>0.25385405960945528</v>
      </c>
      <c r="M237" s="33">
        <v>0.22850291195614936</v>
      </c>
      <c r="N237" s="33">
        <v>0.55802968960863697</v>
      </c>
      <c r="O237" s="33">
        <v>0.41604197901049478</v>
      </c>
      <c r="P237" s="33">
        <v>0.44134727061556328</v>
      </c>
    </row>
    <row r="238" spans="1:16" x14ac:dyDescent="0.45">
      <c r="A238" s="35">
        <v>235</v>
      </c>
      <c r="B238" s="32">
        <v>-4.2632564145606011E-14</v>
      </c>
      <c r="C238" s="32">
        <v>-6.0471722192348953E-17</v>
      </c>
      <c r="D238" s="37">
        <v>2</v>
      </c>
      <c r="E238" s="33">
        <v>0.33333333333333331</v>
      </c>
      <c r="F238" s="33">
        <v>0.33333333333333331</v>
      </c>
      <c r="G238" s="33">
        <v>0.29498977505112473</v>
      </c>
      <c r="H238" s="33">
        <v>0.16342876618950239</v>
      </c>
      <c r="I238" s="34">
        <v>8452.8018486424025</v>
      </c>
      <c r="J238" s="34">
        <v>-7806.2565172054219</v>
      </c>
      <c r="K238" s="33">
        <v>9.9290780141843976E-2</v>
      </c>
      <c r="L238" s="33">
        <v>0.25340831629175187</v>
      </c>
      <c r="M238" s="33">
        <v>0.22886843899113837</v>
      </c>
      <c r="N238" s="33">
        <v>0.5595158036314728</v>
      </c>
      <c r="O238" s="33">
        <v>0.41623231571109459</v>
      </c>
      <c r="P238" s="33">
        <v>0.44136337377238588</v>
      </c>
    </row>
    <row r="239" spans="1:16" x14ac:dyDescent="0.45">
      <c r="A239" s="35">
        <v>236</v>
      </c>
      <c r="B239" s="32">
        <v>-4.2632564145606011E-14</v>
      </c>
      <c r="C239" s="32">
        <v>-6.0215486081364422E-17</v>
      </c>
      <c r="D239" s="37">
        <v>2</v>
      </c>
      <c r="E239" s="33">
        <v>0.33333333333333331</v>
      </c>
      <c r="F239" s="33">
        <v>0.33333333333333331</v>
      </c>
      <c r="G239" s="33">
        <v>0.29495669893020887</v>
      </c>
      <c r="H239" s="33">
        <v>0.16335540838852097</v>
      </c>
      <c r="I239" s="34">
        <v>8460.6217616580307</v>
      </c>
      <c r="J239" s="34">
        <v>-7812.9937629937631</v>
      </c>
      <c r="K239" s="33">
        <v>9.8870056497175146E-2</v>
      </c>
      <c r="L239" s="33">
        <v>0.25386313465783666</v>
      </c>
      <c r="M239" s="33">
        <v>0.22856172525046697</v>
      </c>
      <c r="N239" s="33">
        <v>0.5591973244147157</v>
      </c>
      <c r="O239" s="33">
        <v>0.4160475482912333</v>
      </c>
      <c r="P239" s="33">
        <v>0.44156591824985608</v>
      </c>
    </row>
    <row r="240" spans="1:16" x14ac:dyDescent="0.45">
      <c r="A240" s="35">
        <v>237</v>
      </c>
      <c r="B240" s="32">
        <v>-4.0856207306205761E-14</v>
      </c>
      <c r="C240" s="32">
        <v>-5.7463020121245801E-17</v>
      </c>
      <c r="D240" s="37">
        <v>2</v>
      </c>
      <c r="E240" s="33">
        <v>0.33333333333333331</v>
      </c>
      <c r="F240" s="33">
        <v>0.33333333333333331</v>
      </c>
      <c r="G240" s="33">
        <v>0.29507364144235654</v>
      </c>
      <c r="H240" s="33">
        <v>0.16353478923311326</v>
      </c>
      <c r="I240" s="34">
        <v>8452.954675846242</v>
      </c>
      <c r="J240" s="34">
        <v>-7798.6542443064181</v>
      </c>
      <c r="K240" s="33">
        <v>9.8452883263009841E-2</v>
      </c>
      <c r="L240" s="33">
        <v>0.25308955476553241</v>
      </c>
      <c r="M240" s="33">
        <v>0.22854240731335704</v>
      </c>
      <c r="N240" s="33">
        <v>0.5591973244147157</v>
      </c>
      <c r="O240" s="33">
        <v>0.41703703703703704</v>
      </c>
      <c r="P240" s="33">
        <v>0.44119334480780265</v>
      </c>
    </row>
    <row r="241" spans="1:16" x14ac:dyDescent="0.45">
      <c r="A241" s="35">
        <v>238</v>
      </c>
      <c r="B241" s="32">
        <v>-4.0856207306205761E-14</v>
      </c>
      <c r="C241" s="32">
        <v>-5.7221578860232152E-17</v>
      </c>
      <c r="D241" s="37">
        <v>2</v>
      </c>
      <c r="E241" s="33">
        <v>0.33333333333333331</v>
      </c>
      <c r="F241" s="33">
        <v>0.33333333333333331</v>
      </c>
      <c r="G241" s="33">
        <v>0.29489124936772887</v>
      </c>
      <c r="H241" s="33">
        <v>0.16371606811667511</v>
      </c>
      <c r="I241" s="34">
        <v>8448.6563750714686</v>
      </c>
      <c r="J241" s="34">
        <v>-7798.8671472708547</v>
      </c>
      <c r="K241" s="33">
        <v>9.8039215686274508E-2</v>
      </c>
      <c r="L241" s="33">
        <v>0.25358286966784693</v>
      </c>
      <c r="M241" s="33">
        <v>0.22812341932220537</v>
      </c>
      <c r="N241" s="33">
        <v>0.55917553191489366</v>
      </c>
      <c r="O241" s="33">
        <v>0.41611234294161126</v>
      </c>
      <c r="P241" s="33">
        <v>0.44025157232704404</v>
      </c>
    </row>
    <row r="242" spans="1:16" x14ac:dyDescent="0.45">
      <c r="A242" s="35">
        <v>239</v>
      </c>
      <c r="B242" s="32">
        <v>-4.2632564145606011E-14</v>
      </c>
      <c r="C242" s="32">
        <v>-5.9459643159841015E-17</v>
      </c>
      <c r="D242" s="37">
        <v>2</v>
      </c>
      <c r="E242" s="33">
        <v>0.33333333333333331</v>
      </c>
      <c r="F242" s="33">
        <v>0.33333333333333331</v>
      </c>
      <c r="G242" s="33">
        <v>0.29506545820745217</v>
      </c>
      <c r="H242" s="33">
        <v>0.16364551863041288</v>
      </c>
      <c r="I242" s="34">
        <v>8436.6325369738333</v>
      </c>
      <c r="J242" s="34">
        <v>-7787.6923076923076</v>
      </c>
      <c r="K242" s="33">
        <v>9.7629009762900981E-2</v>
      </c>
      <c r="L242" s="33">
        <v>0.25327291037260824</v>
      </c>
      <c r="M242" s="33">
        <v>0.22843235985229943</v>
      </c>
      <c r="N242" s="33">
        <v>0.5593108018555335</v>
      </c>
      <c r="O242" s="33">
        <v>0.4180749448934607</v>
      </c>
      <c r="P242" s="33">
        <v>0.44084186575654155</v>
      </c>
    </row>
    <row r="243" spans="1:16" x14ac:dyDescent="0.45">
      <c r="A243" s="35">
        <v>240</v>
      </c>
      <c r="B243" s="32">
        <v>-4.2632564145606011E-14</v>
      </c>
      <c r="C243" s="32">
        <v>-5.9211894646675015E-17</v>
      </c>
      <c r="D243" s="37">
        <v>2</v>
      </c>
      <c r="E243" s="33">
        <v>0.33333333333333331</v>
      </c>
      <c r="F243" s="33">
        <v>0.33333333333333331</v>
      </c>
      <c r="G243" s="33">
        <v>0.29477549657820062</v>
      </c>
      <c r="H243" s="33">
        <v>0.16341178434318143</v>
      </c>
      <c r="I243" s="34">
        <v>8435.050962627407</v>
      </c>
      <c r="J243" s="34">
        <v>-7785.4954034729317</v>
      </c>
      <c r="K243" s="33">
        <v>9.8611111111111108E-2</v>
      </c>
      <c r="L243" s="33">
        <v>0.25338007010515773</v>
      </c>
      <c r="M243" s="33">
        <v>0.22834251377065598</v>
      </c>
      <c r="N243" s="33">
        <v>0.55928853754940711</v>
      </c>
      <c r="O243" s="33">
        <v>0.41812865497076024</v>
      </c>
      <c r="P243" s="33">
        <v>0.44110985277463194</v>
      </c>
    </row>
    <row r="244" spans="1:16" x14ac:dyDescent="0.45">
      <c r="A244" s="35">
        <v>241</v>
      </c>
      <c r="B244" s="32">
        <v>-4.2632564145606011E-14</v>
      </c>
      <c r="C244" s="32">
        <v>-5.896620213776765E-17</v>
      </c>
      <c r="D244" s="37">
        <v>2</v>
      </c>
      <c r="E244" s="33">
        <v>0.33333333333333331</v>
      </c>
      <c r="F244" s="33">
        <v>0.33333333333333331</v>
      </c>
      <c r="G244" s="33">
        <v>0.29489099683807624</v>
      </c>
      <c r="H244" s="33">
        <v>0.16358795140622401</v>
      </c>
      <c r="I244" s="34">
        <v>8428.2731376975171</v>
      </c>
      <c r="J244" s="34">
        <v>-7781.1800610376395</v>
      </c>
      <c r="K244" s="33">
        <v>9.8201936376210233E-2</v>
      </c>
      <c r="L244" s="33">
        <v>0.25328673656182393</v>
      </c>
      <c r="M244" s="33">
        <v>0.22865701447828257</v>
      </c>
      <c r="N244" s="33">
        <v>0.55847568988173457</v>
      </c>
      <c r="O244" s="33">
        <v>0.41848617176128095</v>
      </c>
      <c r="P244" s="33">
        <v>0.44074492099322798</v>
      </c>
    </row>
    <row r="245" spans="1:16" x14ac:dyDescent="0.45">
      <c r="A245" s="35">
        <v>242</v>
      </c>
      <c r="B245" s="32">
        <v>-4.2632564145606011E-14</v>
      </c>
      <c r="C245" s="32">
        <v>-5.8722540145462827E-17</v>
      </c>
      <c r="D245" s="37">
        <v>2</v>
      </c>
      <c r="E245" s="33">
        <v>0.33333333333333331</v>
      </c>
      <c r="F245" s="33">
        <v>0.33333333333333331</v>
      </c>
      <c r="G245" s="33">
        <v>0.29495450785773364</v>
      </c>
      <c r="H245" s="33">
        <v>0.16327543424317617</v>
      </c>
      <c r="I245" s="34">
        <v>8434.2120022434101</v>
      </c>
      <c r="J245" s="34">
        <v>-7769.5035460992904</v>
      </c>
      <c r="K245" s="33">
        <v>9.9173553719008267E-2</v>
      </c>
      <c r="L245" s="33">
        <v>0.25359801488833744</v>
      </c>
      <c r="M245" s="33">
        <v>0.22795698924731184</v>
      </c>
      <c r="N245" s="33">
        <v>0.55772994129158515</v>
      </c>
      <c r="O245" s="33">
        <v>0.41872278664731494</v>
      </c>
      <c r="P245" s="33">
        <v>0.44195176668536174</v>
      </c>
    </row>
    <row r="246" spans="1:16" x14ac:dyDescent="0.45">
      <c r="A246" s="35">
        <v>243</v>
      </c>
      <c r="B246" s="32">
        <v>-3.5527136788005009E-14</v>
      </c>
      <c r="C246" s="32">
        <v>-4.8734069668045278E-17</v>
      </c>
      <c r="D246" s="37">
        <v>2</v>
      </c>
      <c r="E246" s="33">
        <v>0.33333333333333331</v>
      </c>
      <c r="F246" s="33">
        <v>0.33333333333333331</v>
      </c>
      <c r="G246" s="33">
        <v>0.29496047430830041</v>
      </c>
      <c r="H246" s="33">
        <v>0.16320816864295126</v>
      </c>
      <c r="I246" s="34">
        <v>8429.0340591848126</v>
      </c>
      <c r="J246" s="34">
        <v>-7752.2704339051461</v>
      </c>
      <c r="K246" s="33">
        <v>9.8765432098765427E-2</v>
      </c>
      <c r="L246" s="33">
        <v>0.25296442687747034</v>
      </c>
      <c r="M246" s="33">
        <v>0.22859025032938077</v>
      </c>
      <c r="N246" s="33">
        <v>0.55794270833333337</v>
      </c>
      <c r="O246" s="33">
        <v>0.42002881844380402</v>
      </c>
      <c r="P246" s="33">
        <v>0.44221105527638194</v>
      </c>
    </row>
    <row r="247" spans="1:16" x14ac:dyDescent="0.45">
      <c r="A247" s="35">
        <v>244</v>
      </c>
      <c r="B247" s="32">
        <v>-3.2640556923979602E-14</v>
      </c>
      <c r="C247" s="32">
        <v>-4.4590924759534976E-17</v>
      </c>
      <c r="D247" s="37">
        <v>2</v>
      </c>
      <c r="E247" s="33">
        <v>0.33333333333333331</v>
      </c>
      <c r="F247" s="33">
        <v>0.33333333333333331</v>
      </c>
      <c r="G247" s="33">
        <v>0.29509272936156244</v>
      </c>
      <c r="H247" s="33">
        <v>0.16330215000820614</v>
      </c>
      <c r="I247" s="34">
        <v>8427.0856507230255</v>
      </c>
      <c r="J247" s="34">
        <v>-7744.723618090452</v>
      </c>
      <c r="K247" s="33">
        <v>9.8360655737704916E-2</v>
      </c>
      <c r="L247" s="33">
        <v>0.25406203840472674</v>
      </c>
      <c r="M247" s="33">
        <v>0.22845888724766125</v>
      </c>
      <c r="N247" s="33">
        <v>0.5568475452196382</v>
      </c>
      <c r="O247" s="33">
        <v>0.42025862068965519</v>
      </c>
      <c r="P247" s="33">
        <v>0.44215795328142382</v>
      </c>
    </row>
    <row r="248" spans="1:16" x14ac:dyDescent="0.45">
      <c r="A248" s="35">
        <v>245</v>
      </c>
      <c r="B248" s="32">
        <v>-3.3750779948604759E-14</v>
      </c>
      <c r="C248" s="32">
        <v>-4.5919428501503071E-17</v>
      </c>
      <c r="D248" s="37">
        <v>2</v>
      </c>
      <c r="E248" s="33">
        <v>0.33333333333333331</v>
      </c>
      <c r="F248" s="33">
        <v>0.33333333333333331</v>
      </c>
      <c r="G248" s="33">
        <v>0.29520536737031583</v>
      </c>
      <c r="H248" s="33">
        <v>0.16347569955817379</v>
      </c>
      <c r="I248" s="34">
        <v>8425</v>
      </c>
      <c r="J248" s="34">
        <v>-7750.9509509509508</v>
      </c>
      <c r="K248" s="33">
        <v>9.7959183673469383E-2</v>
      </c>
      <c r="L248" s="33">
        <v>0.25445917198494516</v>
      </c>
      <c r="M248" s="33">
        <v>0.22827687776141384</v>
      </c>
      <c r="N248" s="33">
        <v>0.55755627009646302</v>
      </c>
      <c r="O248" s="33">
        <v>0.42007168458781363</v>
      </c>
      <c r="P248" s="33">
        <v>0.44179600886917958</v>
      </c>
    </row>
    <row r="249" spans="1:16" x14ac:dyDescent="0.45">
      <c r="A249" s="35">
        <v>246</v>
      </c>
      <c r="B249" s="32">
        <v>-3.5527136788005009E-14</v>
      </c>
      <c r="C249" s="32">
        <v>-4.8139751745264243E-17</v>
      </c>
      <c r="D249" s="37">
        <v>2</v>
      </c>
      <c r="E249" s="33">
        <v>0.33333333333333331</v>
      </c>
      <c r="F249" s="33">
        <v>0.33333333333333331</v>
      </c>
      <c r="G249" s="33">
        <v>0.29541015625</v>
      </c>
      <c r="H249" s="33">
        <v>0.16357421875</v>
      </c>
      <c r="I249" s="34">
        <v>8419.5592286501378</v>
      </c>
      <c r="J249" s="34">
        <v>-7746.2686567164183</v>
      </c>
      <c r="K249" s="33">
        <v>9.7560975609756101E-2</v>
      </c>
      <c r="L249" s="33">
        <v>0.25423177083333331</v>
      </c>
      <c r="M249" s="33">
        <v>0.22884114583333334</v>
      </c>
      <c r="N249" s="33">
        <v>0.55825864276568504</v>
      </c>
      <c r="O249" s="33">
        <v>0.42105263157894735</v>
      </c>
      <c r="P249" s="33">
        <v>0.44187327823691458</v>
      </c>
    </row>
    <row r="250" spans="1:16" x14ac:dyDescent="0.45">
      <c r="A250" s="35">
        <v>247</v>
      </c>
      <c r="B250" s="32">
        <v>-3.5527136788005009E-14</v>
      </c>
      <c r="C250" s="32">
        <v>-4.7944853964919043E-17</v>
      </c>
      <c r="D250" s="37">
        <v>2</v>
      </c>
      <c r="E250" s="33">
        <v>0.33333333333333331</v>
      </c>
      <c r="F250" s="33">
        <v>0.33333333333333331</v>
      </c>
      <c r="G250" s="33">
        <v>0.29535864978902954</v>
      </c>
      <c r="H250" s="33">
        <v>0.16358325219084713</v>
      </c>
      <c r="I250" s="34">
        <v>8426.2637362637361</v>
      </c>
      <c r="J250" s="34">
        <v>-7757.2420634920636</v>
      </c>
      <c r="K250" s="33">
        <v>9.8515519568151147E-2</v>
      </c>
      <c r="L250" s="33">
        <v>0.25478740668614086</v>
      </c>
      <c r="M250" s="33">
        <v>0.22849724115546902</v>
      </c>
      <c r="N250" s="33">
        <v>0.55796178343949043</v>
      </c>
      <c r="O250" s="33">
        <v>0.42116477272727271</v>
      </c>
      <c r="P250" s="33">
        <v>0.44175824175824174</v>
      </c>
    </row>
    <row r="251" spans="1:16" x14ac:dyDescent="0.45">
      <c r="A251" s="35">
        <v>248</v>
      </c>
      <c r="B251" s="32">
        <v>-3.5527136788005009E-14</v>
      </c>
      <c r="C251" s="32">
        <v>-4.7751527940866949E-17</v>
      </c>
      <c r="D251" s="37">
        <v>2</v>
      </c>
      <c r="E251" s="33">
        <v>0.33333333333333331</v>
      </c>
      <c r="F251" s="33">
        <v>0.33333333333333331</v>
      </c>
      <c r="G251" s="33">
        <v>0.2953811369509044</v>
      </c>
      <c r="H251" s="33">
        <v>0.16343669250645995</v>
      </c>
      <c r="I251" s="34">
        <v>8421.2684527063975</v>
      </c>
      <c r="J251" s="34">
        <v>-7758.300395256917</v>
      </c>
      <c r="K251" s="33">
        <v>9.9462365591397844E-2</v>
      </c>
      <c r="L251" s="33">
        <v>0.25500645994832044</v>
      </c>
      <c r="M251" s="33">
        <v>0.22819767441860464</v>
      </c>
      <c r="N251" s="33">
        <v>0.55794806839772004</v>
      </c>
      <c r="O251" s="33">
        <v>0.42179759377211606</v>
      </c>
      <c r="P251" s="33">
        <v>0.44231820667031163</v>
      </c>
    </row>
    <row r="252" spans="1:16" x14ac:dyDescent="0.45">
      <c r="A252" s="35">
        <v>249</v>
      </c>
      <c r="B252" s="32">
        <v>-3.5527136788005009E-14</v>
      </c>
      <c r="C252" s="32">
        <v>-4.7559754736285153E-17</v>
      </c>
      <c r="D252" s="37">
        <v>2</v>
      </c>
      <c r="E252" s="33">
        <v>0.33333333333333331</v>
      </c>
      <c r="F252" s="33">
        <v>0.33333333333333331</v>
      </c>
      <c r="G252" s="33">
        <v>0.29550941574118783</v>
      </c>
      <c r="H252" s="33">
        <v>0.1632061805890874</v>
      </c>
      <c r="I252" s="34">
        <v>8408.660130718954</v>
      </c>
      <c r="J252" s="34">
        <v>-7765.5818540433929</v>
      </c>
      <c r="K252" s="33">
        <v>9.906291834002677E-2</v>
      </c>
      <c r="L252" s="33">
        <v>0.25462739417350716</v>
      </c>
      <c r="M252" s="33">
        <v>0.22839208112023177</v>
      </c>
      <c r="N252" s="33">
        <v>0.55815423514538554</v>
      </c>
      <c r="O252" s="33">
        <v>0.42212825933756165</v>
      </c>
      <c r="P252" s="33">
        <v>0.44281045751633985</v>
      </c>
    </row>
    <row r="253" spans="1:16" x14ac:dyDescent="0.45">
      <c r="A253" s="35">
        <v>250</v>
      </c>
      <c r="B253" s="32">
        <v>-3.4194869158454821E-14</v>
      </c>
      <c r="C253" s="32">
        <v>-4.5593158877939763E-17</v>
      </c>
      <c r="D253" s="37">
        <v>2</v>
      </c>
      <c r="E253" s="33">
        <v>0.33333333333333331</v>
      </c>
      <c r="F253" s="33">
        <v>0.33333333333333331</v>
      </c>
      <c r="G253" s="33">
        <v>0.29565496232162897</v>
      </c>
      <c r="H253" s="33">
        <v>0.16289882956549623</v>
      </c>
      <c r="I253" s="34">
        <v>8403.1995661605215</v>
      </c>
      <c r="J253" s="34">
        <v>-7774.8031496062995</v>
      </c>
      <c r="K253" s="33">
        <v>0.1</v>
      </c>
      <c r="L253" s="33">
        <v>0.25444925444925443</v>
      </c>
      <c r="M253" s="33">
        <v>0.22911656244989578</v>
      </c>
      <c r="N253" s="33">
        <v>0.55765595463137996</v>
      </c>
      <c r="O253" s="33">
        <v>0.42267319804058784</v>
      </c>
      <c r="P253" s="33">
        <v>0.44360086767895879</v>
      </c>
    </row>
    <row r="254" spans="1:16" x14ac:dyDescent="0.45">
      <c r="A254" s="35">
        <v>251</v>
      </c>
      <c r="B254" s="32">
        <v>-3.4861002973229915E-14</v>
      </c>
      <c r="C254" s="32">
        <v>-4.629615268689232E-17</v>
      </c>
      <c r="D254" s="37">
        <v>2</v>
      </c>
      <c r="E254" s="33">
        <v>0.33333333333333331</v>
      </c>
      <c r="F254" s="33">
        <v>0.33333333333333331</v>
      </c>
      <c r="G254" s="33">
        <v>0.295603517186251</v>
      </c>
      <c r="H254" s="33">
        <v>0.16290967226219025</v>
      </c>
      <c r="I254" s="34">
        <v>8404.1103299080587</v>
      </c>
      <c r="J254" s="34">
        <v>-7779.0971540726205</v>
      </c>
      <c r="K254" s="33">
        <v>9.9601593625498003E-2</v>
      </c>
      <c r="L254" s="33">
        <v>0.25483613109512387</v>
      </c>
      <c r="M254" s="33">
        <v>0.22925659472422064</v>
      </c>
      <c r="N254" s="33">
        <v>0.55771643663739023</v>
      </c>
      <c r="O254" s="33">
        <v>0.42189679218967924</v>
      </c>
      <c r="P254" s="33">
        <v>0.44348296376419688</v>
      </c>
    </row>
    <row r="255" spans="1:16" x14ac:dyDescent="0.45">
      <c r="A255" s="35">
        <v>252</v>
      </c>
      <c r="B255" s="32">
        <v>-3.5527136788005009E-14</v>
      </c>
      <c r="C255" s="32">
        <v>-4.6993567179900803E-17</v>
      </c>
      <c r="D255" s="37">
        <v>2</v>
      </c>
      <c r="E255" s="33">
        <v>0.33333333333333331</v>
      </c>
      <c r="F255" s="33">
        <v>0.33333333333333331</v>
      </c>
      <c r="G255" s="33">
        <v>0.29562450278440733</v>
      </c>
      <c r="H255" s="33">
        <v>0.16292760540970566</v>
      </c>
      <c r="I255" s="34">
        <v>8403.2831001076429</v>
      </c>
      <c r="J255" s="34">
        <v>-7776.3671875</v>
      </c>
      <c r="K255" s="33">
        <v>9.9206349206349201E-2</v>
      </c>
      <c r="L255" s="33">
        <v>0.25489260143198089</v>
      </c>
      <c r="M255" s="33">
        <v>0.22943516308671441</v>
      </c>
      <c r="N255" s="33">
        <v>0.55867665418227219</v>
      </c>
      <c r="O255" s="33">
        <v>0.42163661581137307</v>
      </c>
      <c r="P255" s="33">
        <v>0.44348762109795481</v>
      </c>
    </row>
    <row r="256" spans="1:16" x14ac:dyDescent="0.45">
      <c r="A256" s="35">
        <v>253</v>
      </c>
      <c r="B256" s="32">
        <v>-3.730349362740526E-14</v>
      </c>
      <c r="C256" s="32">
        <v>-4.9148212947833017E-17</v>
      </c>
      <c r="D256" s="37">
        <v>2</v>
      </c>
      <c r="E256" s="33">
        <v>0.33333333333333331</v>
      </c>
      <c r="F256" s="33">
        <v>0.33333333333333331</v>
      </c>
      <c r="G256" s="33">
        <v>0.29538266919671097</v>
      </c>
      <c r="H256" s="33">
        <v>0.16271347248576851</v>
      </c>
      <c r="I256" s="34">
        <v>8408.8329764453956</v>
      </c>
      <c r="J256" s="34">
        <v>-7800.2915451895042</v>
      </c>
      <c r="K256" s="33">
        <v>9.8814229249011856E-2</v>
      </c>
      <c r="L256" s="33">
        <v>0.25506008855154966</v>
      </c>
      <c r="M256" s="33">
        <v>0.22912713472485768</v>
      </c>
      <c r="N256" s="33">
        <v>0.5573465592064476</v>
      </c>
      <c r="O256" s="33">
        <v>0.42305037957211872</v>
      </c>
      <c r="P256" s="33">
        <v>0.44379014989293364</v>
      </c>
    </row>
    <row r="257" spans="1:16" x14ac:dyDescent="0.45">
      <c r="A257" s="35">
        <v>254</v>
      </c>
      <c r="B257" s="32">
        <v>-3.5527136788005009E-14</v>
      </c>
      <c r="C257" s="32">
        <v>-4.662353909187009E-17</v>
      </c>
      <c r="D257" s="37">
        <v>2</v>
      </c>
      <c r="E257" s="33">
        <v>0.33333333333333331</v>
      </c>
      <c r="F257" s="33">
        <v>0.33333333333333331</v>
      </c>
      <c r="G257" s="33">
        <v>0.29535066981875491</v>
      </c>
      <c r="H257" s="33">
        <v>0.16280535855003941</v>
      </c>
      <c r="I257" s="34">
        <v>8414.9946638207039</v>
      </c>
      <c r="J257" s="34">
        <v>-7805.2274927395938</v>
      </c>
      <c r="K257" s="33">
        <v>9.8425196850393706E-2</v>
      </c>
      <c r="L257" s="33">
        <v>0.25516154452324663</v>
      </c>
      <c r="M257" s="33">
        <v>0.22884160756501182</v>
      </c>
      <c r="N257" s="33">
        <v>0.55836936380481783</v>
      </c>
      <c r="O257" s="33">
        <v>0.42286501377410468</v>
      </c>
      <c r="P257" s="33">
        <v>0.44343649946638208</v>
      </c>
    </row>
    <row r="258" spans="1:16" x14ac:dyDescent="0.45">
      <c r="A258" s="35">
        <v>255</v>
      </c>
      <c r="B258" s="32">
        <v>-3.5527136788005009E-14</v>
      </c>
      <c r="C258" s="32">
        <v>-4.644070168366668E-17</v>
      </c>
      <c r="D258" s="37">
        <v>2</v>
      </c>
      <c r="E258" s="33">
        <v>0.33333333333333331</v>
      </c>
      <c r="F258" s="33">
        <v>0.33333333333333331</v>
      </c>
      <c r="G258" s="33">
        <v>0.29521568627450978</v>
      </c>
      <c r="H258" s="33">
        <v>0.16266666666666665</v>
      </c>
      <c r="I258" s="34">
        <v>8408.129649309245</v>
      </c>
      <c r="J258" s="34">
        <v>-7790.0675024108004</v>
      </c>
      <c r="K258" s="33">
        <v>9.8039215686274508E-2</v>
      </c>
      <c r="L258" s="33">
        <v>0.2552156862745098</v>
      </c>
      <c r="M258" s="33">
        <v>0.22933333333333333</v>
      </c>
      <c r="N258" s="33">
        <v>0.55685310387215736</v>
      </c>
      <c r="O258" s="33">
        <v>0.42339261285909713</v>
      </c>
      <c r="P258" s="33">
        <v>0.44367693942614239</v>
      </c>
    </row>
    <row r="259" spans="1:16" x14ac:dyDescent="0.45">
      <c r="A259" s="35">
        <v>256</v>
      </c>
      <c r="B259" s="32">
        <v>-3.5527136788005009E-14</v>
      </c>
      <c r="C259" s="32">
        <v>-4.6259292692714858E-17</v>
      </c>
      <c r="D259" s="37">
        <v>2</v>
      </c>
      <c r="E259" s="33">
        <v>0.33333333333333331</v>
      </c>
      <c r="F259" s="33">
        <v>0.33333333333333331</v>
      </c>
      <c r="G259" s="33">
        <v>0.29523809523809524</v>
      </c>
      <c r="H259" s="33">
        <v>0.16268540202966433</v>
      </c>
      <c r="I259" s="34">
        <v>8396.2453728186138</v>
      </c>
      <c r="J259" s="34">
        <v>-7773.2245681381955</v>
      </c>
      <c r="K259" s="33">
        <v>9.765625E-2</v>
      </c>
      <c r="L259" s="33">
        <v>0.25542544886807184</v>
      </c>
      <c r="M259" s="33">
        <v>0.22935206869633099</v>
      </c>
      <c r="N259" s="33">
        <v>0.5568459657701712</v>
      </c>
      <c r="O259" s="33">
        <v>0.42341729067392786</v>
      </c>
      <c r="P259" s="33">
        <v>0.44368059227921736</v>
      </c>
    </row>
    <row r="260" spans="1:16" x14ac:dyDescent="0.45">
      <c r="A260" s="35">
        <v>257</v>
      </c>
      <c r="B260" s="32">
        <v>-4.2632564145606011E-14</v>
      </c>
      <c r="C260" s="32">
        <v>-5.5295154533859937E-17</v>
      </c>
      <c r="D260" s="37">
        <v>2</v>
      </c>
      <c r="E260" s="33">
        <v>0.33333333333333331</v>
      </c>
      <c r="F260" s="33">
        <v>0.33333333333333331</v>
      </c>
      <c r="G260" s="33">
        <v>0.29538030797946802</v>
      </c>
      <c r="H260" s="33">
        <v>0.16270026442681598</v>
      </c>
      <c r="I260" s="34">
        <v>8406.2137967351246</v>
      </c>
      <c r="J260" s="34">
        <v>-7782.8871892925426</v>
      </c>
      <c r="K260" s="33">
        <v>9.727626459143969E-2</v>
      </c>
      <c r="L260" s="33">
        <v>0.25540519520920829</v>
      </c>
      <c r="M260" s="33">
        <v>0.22911805879608027</v>
      </c>
      <c r="N260" s="33">
        <v>0.55724725943970765</v>
      </c>
      <c r="O260" s="33">
        <v>0.42362525458248473</v>
      </c>
      <c r="P260" s="33">
        <v>0.44391785150078988</v>
      </c>
    </row>
    <row r="261" spans="1:16" x14ac:dyDescent="0.45">
      <c r="A261" s="35">
        <v>258</v>
      </c>
      <c r="B261" s="32">
        <v>-4.2632564145606011E-14</v>
      </c>
      <c r="C261" s="32">
        <v>-5.508083222946513E-17</v>
      </c>
      <c r="D261" s="37">
        <v>2</v>
      </c>
      <c r="E261" s="33">
        <v>0.33333333333333331</v>
      </c>
      <c r="F261" s="33">
        <v>0.33333333333333331</v>
      </c>
      <c r="G261" s="33">
        <v>0.29565891472868217</v>
      </c>
      <c r="H261" s="33">
        <v>0.16294573643410853</v>
      </c>
      <c r="I261" s="34">
        <v>8401.1012060828525</v>
      </c>
      <c r="J261" s="34">
        <v>-7786.2987630827784</v>
      </c>
      <c r="K261" s="33">
        <v>9.6899224806201556E-2</v>
      </c>
      <c r="L261" s="33">
        <v>0.25627906976744186</v>
      </c>
      <c r="M261" s="33">
        <v>0.22868217054263565</v>
      </c>
      <c r="N261" s="33">
        <v>0.55837870538415002</v>
      </c>
      <c r="O261" s="33">
        <v>0.42305084745762711</v>
      </c>
      <c r="P261" s="33">
        <v>0.44310435238594653</v>
      </c>
    </row>
    <row r="262" spans="1:16" x14ac:dyDescent="0.45">
      <c r="A262" s="35">
        <v>259</v>
      </c>
      <c r="B262" s="32">
        <v>-4.2632564145606011E-14</v>
      </c>
      <c r="C262" s="32">
        <v>-5.4868164923559861E-17</v>
      </c>
      <c r="D262" s="37">
        <v>2</v>
      </c>
      <c r="E262" s="33">
        <v>0.33333333333333331</v>
      </c>
      <c r="F262" s="33">
        <v>0.33333333333333331</v>
      </c>
      <c r="G262" s="33">
        <v>0.29552469135802467</v>
      </c>
      <c r="H262" s="33">
        <v>0.16296296296296298</v>
      </c>
      <c r="I262" s="34">
        <v>8402.558746736293</v>
      </c>
      <c r="J262" s="34">
        <v>-7798.674242424242</v>
      </c>
      <c r="K262" s="33">
        <v>9.6525096525096526E-2</v>
      </c>
      <c r="L262" s="33">
        <v>0.25601851851851853</v>
      </c>
      <c r="M262" s="33">
        <v>0.22824074074074074</v>
      </c>
      <c r="N262" s="33">
        <v>0.55877034358047017</v>
      </c>
      <c r="O262" s="33">
        <v>0.42258282623394183</v>
      </c>
      <c r="P262" s="33">
        <v>0.44281984334203656</v>
      </c>
    </row>
    <row r="263" spans="1:16" x14ac:dyDescent="0.45">
      <c r="A263" s="35">
        <v>260</v>
      </c>
      <c r="B263" s="32">
        <v>-4.6185277824406512E-14</v>
      </c>
      <c r="C263" s="32">
        <v>-5.9211894646675015E-17</v>
      </c>
      <c r="D263" s="37">
        <v>2</v>
      </c>
      <c r="E263" s="33">
        <v>0.33333333333333331</v>
      </c>
      <c r="F263" s="33">
        <v>0.33333333333333331</v>
      </c>
      <c r="G263" s="33">
        <v>0.29551045510455104</v>
      </c>
      <c r="H263" s="33">
        <v>0.16297662976629768</v>
      </c>
      <c r="I263" s="34">
        <v>8403.8501560874083</v>
      </c>
      <c r="J263" s="34">
        <v>-7800.6603773584902</v>
      </c>
      <c r="K263" s="33">
        <v>9.6153846153846159E-2</v>
      </c>
      <c r="L263" s="33">
        <v>0.25615006150061503</v>
      </c>
      <c r="M263" s="33">
        <v>0.22816728167281672</v>
      </c>
      <c r="N263" s="33">
        <v>0.55882352941176472</v>
      </c>
      <c r="O263" s="33">
        <v>0.4225067385444744</v>
      </c>
      <c r="P263" s="33">
        <v>0.44276795005202912</v>
      </c>
    </row>
    <row r="264" spans="1:16" x14ac:dyDescent="0.45">
      <c r="A264" s="35">
        <v>261</v>
      </c>
      <c r="B264" s="32">
        <v>-5.262457136723242E-14</v>
      </c>
      <c r="C264" s="32">
        <v>-6.7208903406427101E-17</v>
      </c>
      <c r="D264" s="37">
        <v>2</v>
      </c>
      <c r="E264" s="33">
        <v>0.33333333333333331</v>
      </c>
      <c r="F264" s="33">
        <v>0.33333333333333331</v>
      </c>
      <c r="G264" s="33">
        <v>0.29539544133394524</v>
      </c>
      <c r="H264" s="33">
        <v>0.16276579470705216</v>
      </c>
      <c r="I264" s="34">
        <v>8386.2247540134649</v>
      </c>
      <c r="J264" s="34">
        <v>-7796.2406015037595</v>
      </c>
      <c r="K264" s="33">
        <v>9.5785440613026823E-2</v>
      </c>
      <c r="L264" s="33">
        <v>0.25623374636683494</v>
      </c>
      <c r="M264" s="33">
        <v>0.22747437662536332</v>
      </c>
      <c r="N264" s="33">
        <v>0.55820895522388059</v>
      </c>
      <c r="O264" s="33">
        <v>0.42165433759246806</v>
      </c>
      <c r="P264" s="33">
        <v>0.44329363024339719</v>
      </c>
    </row>
    <row r="265" spans="1:16" x14ac:dyDescent="0.45">
      <c r="A265" s="35">
        <v>262</v>
      </c>
      <c r="B265" s="32">
        <v>-4.9737991503207013E-14</v>
      </c>
      <c r="C265" s="32">
        <v>-6.327988740866032E-17</v>
      </c>
      <c r="D265" s="37">
        <v>2</v>
      </c>
      <c r="E265" s="33">
        <v>0.33333333333333331</v>
      </c>
      <c r="F265" s="33">
        <v>0.33333333333333331</v>
      </c>
      <c r="G265" s="33">
        <v>0.29528158295281581</v>
      </c>
      <c r="H265" s="33">
        <v>0.16286149162861491</v>
      </c>
      <c r="I265" s="34">
        <v>8378.6597938144332</v>
      </c>
      <c r="J265" s="34">
        <v>-7791.4953271028035</v>
      </c>
      <c r="K265" s="33">
        <v>9.5419847328244281E-2</v>
      </c>
      <c r="L265" s="33">
        <v>0.25677321156773214</v>
      </c>
      <c r="M265" s="33">
        <v>0.22739726027397261</v>
      </c>
      <c r="N265" s="33">
        <v>0.55779490219324246</v>
      </c>
      <c r="O265" s="33">
        <v>0.42168674698795183</v>
      </c>
      <c r="P265" s="33">
        <v>0.44278350515463916</v>
      </c>
    </row>
    <row r="266" spans="1:16" x14ac:dyDescent="0.45">
      <c r="A266" s="35">
        <v>263</v>
      </c>
      <c r="B266" s="32">
        <v>-4.7961634663806763E-14</v>
      </c>
      <c r="C266" s="32">
        <v>-6.0787876633468649E-17</v>
      </c>
      <c r="D266" s="37">
        <v>2</v>
      </c>
      <c r="E266" s="33">
        <v>0.33333333333333331</v>
      </c>
      <c r="F266" s="33">
        <v>0.33333333333333331</v>
      </c>
      <c r="G266" s="33">
        <v>0.2949825678338639</v>
      </c>
      <c r="H266" s="33">
        <v>0.1626496892526906</v>
      </c>
      <c r="I266" s="34">
        <v>8372.4563206577586</v>
      </c>
      <c r="J266" s="34">
        <v>-7788.1640260950608</v>
      </c>
      <c r="K266" s="33">
        <v>9.5057034220532313E-2</v>
      </c>
      <c r="L266" s="33">
        <v>0.25648021828103684</v>
      </c>
      <c r="M266" s="33">
        <v>0.22722449598302258</v>
      </c>
      <c r="N266" s="33">
        <v>0.55614657210401897</v>
      </c>
      <c r="O266" s="33">
        <v>0.42228152101400934</v>
      </c>
      <c r="P266" s="33">
        <v>0.44295991778006166</v>
      </c>
    </row>
    <row r="267" spans="1:16" x14ac:dyDescent="0.45">
      <c r="A267" s="35">
        <v>264</v>
      </c>
      <c r="B267" s="32">
        <v>-4.9737991503207013E-14</v>
      </c>
      <c r="C267" s="32">
        <v>-6.2800494322231075E-17</v>
      </c>
      <c r="D267" s="37">
        <v>2</v>
      </c>
      <c r="E267" s="33">
        <v>0.33333333333333331</v>
      </c>
      <c r="F267" s="33">
        <v>0.33333333333333331</v>
      </c>
      <c r="G267" s="33">
        <v>0.29485438358231475</v>
      </c>
      <c r="H267" s="33">
        <v>0.1625169760072431</v>
      </c>
      <c r="I267" s="34">
        <v>8368.5261003070627</v>
      </c>
      <c r="J267" s="34">
        <v>-7787.6508820798517</v>
      </c>
      <c r="K267" s="33">
        <v>9.4696969696969696E-2</v>
      </c>
      <c r="L267" s="33">
        <v>0.25652633167345706</v>
      </c>
      <c r="M267" s="33">
        <v>0.22695035460992907</v>
      </c>
      <c r="N267" s="33">
        <v>0.55588235294117649</v>
      </c>
      <c r="O267" s="33">
        <v>0.42220744680851063</v>
      </c>
      <c r="P267" s="33">
        <v>0.44319344933469806</v>
      </c>
    </row>
    <row r="268" spans="1:16" x14ac:dyDescent="0.45">
      <c r="A268" s="35">
        <v>265</v>
      </c>
      <c r="B268" s="32">
        <v>-4.9737991503207013E-14</v>
      </c>
      <c r="C268" s="32">
        <v>-6.2563511324788694E-17</v>
      </c>
      <c r="D268" s="37">
        <v>2</v>
      </c>
      <c r="E268" s="33">
        <v>0.33333333333333331</v>
      </c>
      <c r="F268" s="33">
        <v>0.33333333333333331</v>
      </c>
      <c r="G268" s="33">
        <v>0.29482551143200963</v>
      </c>
      <c r="H268" s="33">
        <v>0.16245487364620939</v>
      </c>
      <c r="I268" s="34">
        <v>8373.8775510204086</v>
      </c>
      <c r="J268" s="34">
        <v>-7781.8518518518522</v>
      </c>
      <c r="K268" s="33">
        <v>9.4339622641509441E-2</v>
      </c>
      <c r="L268" s="33">
        <v>0.25706979542719616</v>
      </c>
      <c r="M268" s="33">
        <v>0.2272864019253911</v>
      </c>
      <c r="N268" s="33">
        <v>0.5558806319485079</v>
      </c>
      <c r="O268" s="33">
        <v>0.42091330244870945</v>
      </c>
      <c r="P268" s="33">
        <v>0.4433673469387755</v>
      </c>
    </row>
    <row r="269" spans="1:16" x14ac:dyDescent="0.45">
      <c r="A269" s="35">
        <v>266</v>
      </c>
      <c r="B269" s="32">
        <v>-4.9737991503207013E-14</v>
      </c>
      <c r="C269" s="32">
        <v>-6.232831015439475E-17</v>
      </c>
      <c r="D269" s="37">
        <v>2</v>
      </c>
      <c r="E269" s="33">
        <v>0.33333333333333331</v>
      </c>
      <c r="F269" s="33">
        <v>0.33333333333333331</v>
      </c>
      <c r="G269" s="33">
        <v>0.29454926624737948</v>
      </c>
      <c r="H269" s="33">
        <v>0.16247379454926625</v>
      </c>
      <c r="I269" s="34">
        <v>8374.6314184036601</v>
      </c>
      <c r="J269" s="34">
        <v>-7779.2626728110599</v>
      </c>
      <c r="K269" s="33">
        <v>9.3984962406015032E-2</v>
      </c>
      <c r="L269" s="33">
        <v>0.25786163522012578</v>
      </c>
      <c r="M269" s="33">
        <v>0.22731356693620844</v>
      </c>
      <c r="N269" s="33">
        <v>0.55458768873403019</v>
      </c>
      <c r="O269" s="33">
        <v>0.41963109354413702</v>
      </c>
      <c r="P269" s="33">
        <v>0.44280630401626841</v>
      </c>
    </row>
    <row r="270" spans="1:16" x14ac:dyDescent="0.45">
      <c r="A270" s="35">
        <v>267</v>
      </c>
      <c r="B270" s="32">
        <v>-4.2632564145606011E-14</v>
      </c>
      <c r="C270" s="32">
        <v>-5.3224174963303385E-17</v>
      </c>
      <c r="D270" s="37">
        <v>2</v>
      </c>
      <c r="E270" s="33">
        <v>0.33333333333333331</v>
      </c>
      <c r="F270" s="33">
        <v>0.33333333333333331</v>
      </c>
      <c r="G270" s="33">
        <v>0.29442456768038161</v>
      </c>
      <c r="H270" s="33">
        <v>0.16219439475253428</v>
      </c>
      <c r="I270" s="34">
        <v>8374.9367088607596</v>
      </c>
      <c r="J270" s="34">
        <v>-7771.1397058823532</v>
      </c>
      <c r="K270" s="33">
        <v>9.3632958801498134E-2</v>
      </c>
      <c r="L270" s="33">
        <v>0.25760286225402507</v>
      </c>
      <c r="M270" s="33">
        <v>0.22659511031604054</v>
      </c>
      <c r="N270" s="33">
        <v>0.55381944444444442</v>
      </c>
      <c r="O270" s="33">
        <v>0.42039473684210527</v>
      </c>
      <c r="P270" s="33">
        <v>0.44354430379746834</v>
      </c>
    </row>
    <row r="271" spans="1:16" x14ac:dyDescent="0.45">
      <c r="A271" s="35">
        <v>268</v>
      </c>
      <c r="B271" s="32">
        <v>-4.2632564145606011E-14</v>
      </c>
      <c r="C271" s="32">
        <v>-5.3025577295529864E-17</v>
      </c>
      <c r="D271" s="37">
        <v>2</v>
      </c>
      <c r="E271" s="33">
        <v>0.33333333333333331</v>
      </c>
      <c r="F271" s="33">
        <v>0.33333333333333331</v>
      </c>
      <c r="G271" s="33">
        <v>0.29451851851851851</v>
      </c>
      <c r="H271" s="33">
        <v>0.16222222222222221</v>
      </c>
      <c r="I271" s="34">
        <v>8371.3782696177059</v>
      </c>
      <c r="J271" s="34">
        <v>-7769.8630136986303</v>
      </c>
      <c r="K271" s="33">
        <v>9.3283582089552244E-2</v>
      </c>
      <c r="L271" s="33">
        <v>0.25703703703703706</v>
      </c>
      <c r="M271" s="33">
        <v>0.22696296296296295</v>
      </c>
      <c r="N271" s="33">
        <v>0.55389048991354461</v>
      </c>
      <c r="O271" s="33">
        <v>0.42232375979112269</v>
      </c>
      <c r="P271" s="33">
        <v>0.44366197183098594</v>
      </c>
    </row>
    <row r="272" spans="1:16" x14ac:dyDescent="0.45">
      <c r="A272" s="35">
        <v>269</v>
      </c>
      <c r="B272" s="32">
        <v>-4.2632564145606011E-14</v>
      </c>
      <c r="C272" s="32">
        <v>-5.2828456190342019E-17</v>
      </c>
      <c r="D272" s="37">
        <v>2</v>
      </c>
      <c r="E272" s="33">
        <v>0.33333333333333331</v>
      </c>
      <c r="F272" s="33">
        <v>0.33333333333333331</v>
      </c>
      <c r="G272" s="33">
        <v>0.2945084145261293</v>
      </c>
      <c r="H272" s="33">
        <v>0.16223796870386772</v>
      </c>
      <c r="I272" s="34">
        <v>8371.2280701754389</v>
      </c>
      <c r="J272" s="34">
        <v>-7769.0627843494085</v>
      </c>
      <c r="K272" s="33">
        <v>9.2936802973977689E-2</v>
      </c>
      <c r="L272" s="33">
        <v>0.25686448184233834</v>
      </c>
      <c r="M272" s="33">
        <v>0.22733982875701211</v>
      </c>
      <c r="N272" s="33">
        <v>0.55344827586206902</v>
      </c>
      <c r="O272" s="33">
        <v>0.42207792207792205</v>
      </c>
      <c r="P272" s="33">
        <v>0.44360902255639095</v>
      </c>
    </row>
    <row r="273" spans="1:16" x14ac:dyDescent="0.45">
      <c r="A273" s="35">
        <v>270</v>
      </c>
      <c r="B273" s="32">
        <v>-4.2632564145606011E-14</v>
      </c>
      <c r="C273" s="32">
        <v>-5.2632795241488905E-17</v>
      </c>
      <c r="D273" s="37">
        <v>2</v>
      </c>
      <c r="E273" s="33">
        <v>0.33333333333333331</v>
      </c>
      <c r="F273" s="33">
        <v>0.33333333333333331</v>
      </c>
      <c r="G273" s="33">
        <v>0.29416961130742048</v>
      </c>
      <c r="H273" s="33">
        <v>0.16210247349823323</v>
      </c>
      <c r="I273" s="34">
        <v>8367.9679679679684</v>
      </c>
      <c r="J273" s="34">
        <v>-7764.5776566757495</v>
      </c>
      <c r="K273" s="33">
        <v>9.2592592592592587E-2</v>
      </c>
      <c r="L273" s="33">
        <v>0.25662544169611307</v>
      </c>
      <c r="M273" s="33">
        <v>0.22776796230859836</v>
      </c>
      <c r="N273" s="33">
        <v>0.55249569707401036</v>
      </c>
      <c r="O273" s="33">
        <v>0.42146089204912734</v>
      </c>
      <c r="P273" s="33">
        <v>0.44344344344344344</v>
      </c>
    </row>
    <row r="274" spans="1:16" x14ac:dyDescent="0.45">
      <c r="A274" s="35">
        <v>271</v>
      </c>
      <c r="B274" s="32">
        <v>-4.2632564145606011E-14</v>
      </c>
      <c r="C274" s="32">
        <v>-5.2438578284878241E-17</v>
      </c>
      <c r="D274" s="37">
        <v>2</v>
      </c>
      <c r="E274" s="33">
        <v>0.33333333333333331</v>
      </c>
      <c r="F274" s="33">
        <v>0.33333333333333331</v>
      </c>
      <c r="G274" s="33">
        <v>0.29437609841827767</v>
      </c>
      <c r="H274" s="33">
        <v>0.16241944932630345</v>
      </c>
      <c r="I274" s="34">
        <v>8365.8706467661686</v>
      </c>
      <c r="J274" s="34">
        <v>-7756.357078449053</v>
      </c>
      <c r="K274" s="33">
        <v>9.348093480934809E-2</v>
      </c>
      <c r="L274" s="33">
        <v>0.25600468658465142</v>
      </c>
      <c r="M274" s="33">
        <v>0.22832454598711188</v>
      </c>
      <c r="N274" s="33">
        <v>0.55263157894736847</v>
      </c>
      <c r="O274" s="33">
        <v>0.42270686337395769</v>
      </c>
      <c r="P274" s="33">
        <v>0.44278606965174128</v>
      </c>
    </row>
    <row r="275" spans="1:16" x14ac:dyDescent="0.45">
      <c r="A275" s="35">
        <v>272</v>
      </c>
      <c r="B275" s="32">
        <v>-4.2632564145606011E-14</v>
      </c>
      <c r="C275" s="32">
        <v>-5.2245789394125013E-17</v>
      </c>
      <c r="D275" s="37">
        <v>2</v>
      </c>
      <c r="E275" s="33">
        <v>0.33333333333333331</v>
      </c>
      <c r="F275" s="33">
        <v>0.33333333333333331</v>
      </c>
      <c r="G275" s="33">
        <v>0.29451255107997665</v>
      </c>
      <c r="H275" s="33">
        <v>0.16243432574430824</v>
      </c>
      <c r="I275" s="34">
        <v>8369.9207135777997</v>
      </c>
      <c r="J275" s="34">
        <v>-7762.1743036837379</v>
      </c>
      <c r="K275" s="33">
        <v>9.3137254901960786E-2</v>
      </c>
      <c r="L275" s="33">
        <v>0.25598365440747228</v>
      </c>
      <c r="M275" s="33">
        <v>0.22825452422650322</v>
      </c>
      <c r="N275" s="33">
        <v>0.55188141391106038</v>
      </c>
      <c r="O275" s="33">
        <v>0.42327365728900257</v>
      </c>
      <c r="P275" s="33">
        <v>0.44301288404360756</v>
      </c>
    </row>
    <row r="276" spans="1:16" x14ac:dyDescent="0.45">
      <c r="A276" s="35">
        <v>273</v>
      </c>
      <c r="B276" s="32">
        <v>-4.2632564145606011E-14</v>
      </c>
      <c r="C276" s="32">
        <v>-5.2054412876197816E-17</v>
      </c>
      <c r="D276" s="37">
        <v>2</v>
      </c>
      <c r="E276" s="33">
        <v>0.33333333333333331</v>
      </c>
      <c r="F276" s="33">
        <v>0.33333333333333331</v>
      </c>
      <c r="G276" s="33">
        <v>0.29451955226050297</v>
      </c>
      <c r="H276" s="33">
        <v>0.1623782526530019</v>
      </c>
      <c r="I276" s="34">
        <v>8375.7156959526164</v>
      </c>
      <c r="J276" s="34">
        <v>-7766.5174574753801</v>
      </c>
      <c r="K276" s="33">
        <v>9.4017094017094016E-2</v>
      </c>
      <c r="L276" s="33">
        <v>0.25570577118767263</v>
      </c>
      <c r="M276" s="33">
        <v>0.22866695740659979</v>
      </c>
      <c r="N276" s="33">
        <v>0.55201819215463332</v>
      </c>
      <c r="O276" s="33">
        <v>0.42275905912269551</v>
      </c>
      <c r="P276" s="33">
        <v>0.44323790720631789</v>
      </c>
    </row>
    <row r="277" spans="1:16" x14ac:dyDescent="0.45">
      <c r="A277" s="35">
        <v>274</v>
      </c>
      <c r="B277" s="32">
        <v>-4.2632564145606011E-14</v>
      </c>
      <c r="C277" s="32">
        <v>-5.1864433267160596E-17</v>
      </c>
      <c r="D277" s="37">
        <v>2</v>
      </c>
      <c r="E277" s="33">
        <v>0.33333333333333331</v>
      </c>
      <c r="F277" s="33">
        <v>0.33333333333333331</v>
      </c>
      <c r="G277" s="33">
        <v>0.29467130031856359</v>
      </c>
      <c r="H277" s="33">
        <v>0.16275702287865623</v>
      </c>
      <c r="I277" s="34">
        <v>8362.2604422604418</v>
      </c>
      <c r="J277" s="34">
        <v>-7753.0249110320283</v>
      </c>
      <c r="K277" s="33">
        <v>9.4890510948905105E-2</v>
      </c>
      <c r="L277" s="33">
        <v>0.25586446568201565</v>
      </c>
      <c r="M277" s="33">
        <v>0.22878656240949899</v>
      </c>
      <c r="N277" s="33">
        <v>0.55178268251273344</v>
      </c>
      <c r="O277" s="33">
        <v>0.42341772151898732</v>
      </c>
      <c r="P277" s="33">
        <v>0.44226044226044225</v>
      </c>
    </row>
    <row r="278" spans="1:16" x14ac:dyDescent="0.45">
      <c r="A278" s="35">
        <v>275</v>
      </c>
      <c r="B278" s="32">
        <v>-4.2632564145606011E-14</v>
      </c>
      <c r="C278" s="32">
        <v>-5.1675835328007286E-17</v>
      </c>
      <c r="D278" s="37">
        <v>2</v>
      </c>
      <c r="E278" s="33">
        <v>0.33333333333333331</v>
      </c>
      <c r="F278" s="33">
        <v>0.33333333333333331</v>
      </c>
      <c r="G278" s="33">
        <v>0.29477180820335064</v>
      </c>
      <c r="H278" s="33">
        <v>0.16291161178509533</v>
      </c>
      <c r="I278" s="34">
        <v>8354.4341009309155</v>
      </c>
      <c r="J278" s="34">
        <v>-7746.8971631205677</v>
      </c>
      <c r="K278" s="33">
        <v>9.4545454545454544E-2</v>
      </c>
      <c r="L278" s="33">
        <v>0.25577700751010979</v>
      </c>
      <c r="M278" s="33">
        <v>0.22862507221259387</v>
      </c>
      <c r="N278" s="33">
        <v>0.55279503105590067</v>
      </c>
      <c r="O278" s="33">
        <v>0.42324699936828808</v>
      </c>
      <c r="P278" s="33">
        <v>0.44194022537971583</v>
      </c>
    </row>
    <row r="279" spans="1:16" x14ac:dyDescent="0.45">
      <c r="A279" s="35">
        <v>276</v>
      </c>
      <c r="B279" s="32">
        <v>-4.2632564145606011E-14</v>
      </c>
      <c r="C279" s="32">
        <v>-5.1488604040586971E-17</v>
      </c>
      <c r="D279" s="37">
        <v>2</v>
      </c>
      <c r="E279" s="33">
        <v>0.33333333333333331</v>
      </c>
      <c r="F279" s="33">
        <v>0.33333333333333331</v>
      </c>
      <c r="G279" s="33">
        <v>0.29488840892728579</v>
      </c>
      <c r="H279" s="33">
        <v>0.16285097192224621</v>
      </c>
      <c r="I279" s="34">
        <v>8362.98828125</v>
      </c>
      <c r="J279" s="34">
        <v>-7754.6419098143233</v>
      </c>
      <c r="K279" s="33">
        <v>9.420289855072464E-2</v>
      </c>
      <c r="L279" s="33">
        <v>0.25615550755939526</v>
      </c>
      <c r="M279" s="33">
        <v>0.22850971922246222</v>
      </c>
      <c r="N279" s="33">
        <v>0.55255761663856096</v>
      </c>
      <c r="O279" s="33">
        <v>0.42344045368620037</v>
      </c>
      <c r="P279" s="33">
        <v>0.4423828125</v>
      </c>
    </row>
    <row r="280" spans="1:16" x14ac:dyDescent="0.45">
      <c r="A280" s="35">
        <v>277</v>
      </c>
      <c r="B280" s="32">
        <v>-4.2632564145606011E-14</v>
      </c>
      <c r="C280" s="32">
        <v>-5.1302724603617344E-17</v>
      </c>
      <c r="D280" s="37">
        <v>2</v>
      </c>
      <c r="E280" s="33">
        <v>0.33333333333333331</v>
      </c>
      <c r="F280" s="33">
        <v>0.33333333333333331</v>
      </c>
      <c r="G280" s="33">
        <v>0.29482758620689653</v>
      </c>
      <c r="H280" s="33">
        <v>0.16264367816091954</v>
      </c>
      <c r="I280" s="34">
        <v>8375.9259259259252</v>
      </c>
      <c r="J280" s="34">
        <v>-7768.9929328621911</v>
      </c>
      <c r="K280" s="33">
        <v>9.5066185318892896E-2</v>
      </c>
      <c r="L280" s="33">
        <v>0.25603448275862067</v>
      </c>
      <c r="M280" s="33">
        <v>0.22816091954022988</v>
      </c>
      <c r="N280" s="33">
        <v>0.55274971941638606</v>
      </c>
      <c r="O280" s="33">
        <v>0.42380352644836272</v>
      </c>
      <c r="P280" s="33">
        <v>0.44298245614035087</v>
      </c>
    </row>
    <row r="281" spans="1:16" x14ac:dyDescent="0.45">
      <c r="A281" s="35">
        <v>278</v>
      </c>
      <c r="B281" s="32">
        <v>-4.2632564145606011E-14</v>
      </c>
      <c r="C281" s="32">
        <v>-5.1118182428784189E-17</v>
      </c>
      <c r="D281" s="37">
        <v>2</v>
      </c>
      <c r="E281" s="33">
        <v>0.33333333333333331</v>
      </c>
      <c r="F281" s="33">
        <v>0.33333333333333331</v>
      </c>
      <c r="G281" s="33">
        <v>0.2947398513436249</v>
      </c>
      <c r="H281" s="33">
        <v>0.1622355631789594</v>
      </c>
      <c r="I281" s="34">
        <v>8361.3482056256071</v>
      </c>
      <c r="J281" s="34">
        <v>-7758.2378854625549</v>
      </c>
      <c r="K281" s="33">
        <v>9.4724220623501193E-2</v>
      </c>
      <c r="L281" s="33">
        <v>0.2557175528873642</v>
      </c>
      <c r="M281" s="33">
        <v>0.22770154373927959</v>
      </c>
      <c r="N281" s="33">
        <v>0.55282280603689216</v>
      </c>
      <c r="O281" s="33">
        <v>0.42372881355932202</v>
      </c>
      <c r="P281" s="33">
        <v>0.44422890397672166</v>
      </c>
    </row>
    <row r="282" spans="1:16" x14ac:dyDescent="0.45">
      <c r="A282" s="35">
        <v>279</v>
      </c>
      <c r="B282" s="32">
        <v>-4.9737991503207013E-14</v>
      </c>
      <c r="C282" s="32">
        <v>-5.9424123659745533E-17</v>
      </c>
      <c r="D282" s="37">
        <v>2</v>
      </c>
      <c r="E282" s="33">
        <v>0.33333333333333331</v>
      </c>
      <c r="F282" s="33">
        <v>0.33333333333333331</v>
      </c>
      <c r="G282" s="33">
        <v>0.29472934472934476</v>
      </c>
      <c r="H282" s="33">
        <v>0.16225071225071225</v>
      </c>
      <c r="I282" s="34">
        <v>8350.8458192363469</v>
      </c>
      <c r="J282" s="34">
        <v>-7752.6777875329235</v>
      </c>
      <c r="K282" s="33">
        <v>9.55794504181601E-2</v>
      </c>
      <c r="L282" s="33">
        <v>0.25484330484330486</v>
      </c>
      <c r="M282" s="33">
        <v>0.22792022792022792</v>
      </c>
      <c r="N282" s="33">
        <v>0.55282280603689216</v>
      </c>
      <c r="O282" s="33">
        <v>0.42312499999999997</v>
      </c>
      <c r="P282" s="33">
        <v>0.44417593040115999</v>
      </c>
    </row>
    <row r="283" spans="1:16" x14ac:dyDescent="0.45">
      <c r="A283" s="35">
        <v>280</v>
      </c>
      <c r="B283" s="32">
        <v>-4.9737991503207013E-14</v>
      </c>
      <c r="C283" s="32">
        <v>-5.9211894646675015E-17</v>
      </c>
      <c r="D283" s="37">
        <v>2</v>
      </c>
      <c r="E283" s="33">
        <v>0.33333333333333331</v>
      </c>
      <c r="F283" s="33">
        <v>0.33333333333333331</v>
      </c>
      <c r="G283" s="33">
        <v>0.29482807615799944</v>
      </c>
      <c r="H283" s="33">
        <v>0.16197783461210571</v>
      </c>
      <c r="I283" s="34">
        <v>8352</v>
      </c>
      <c r="J283" s="34">
        <v>-7756.4035087719294</v>
      </c>
      <c r="K283" s="33">
        <v>9.5238095238095233E-2</v>
      </c>
      <c r="L283" s="33">
        <v>0.25461778914464339</v>
      </c>
      <c r="M283" s="33">
        <v>0.22861608411480533</v>
      </c>
      <c r="N283" s="33">
        <v>0.5530133928571429</v>
      </c>
      <c r="O283" s="33">
        <v>0.42324425108763208</v>
      </c>
      <c r="P283" s="33">
        <v>0.4453012048192771</v>
      </c>
    </row>
    <row r="284" spans="1:16" x14ac:dyDescent="0.45">
      <c r="A284" s="35">
        <v>281</v>
      </c>
      <c r="B284" s="32">
        <v>-4.9737991503207013E-14</v>
      </c>
      <c r="C284" s="32">
        <v>-5.9001176160387911E-17</v>
      </c>
      <c r="D284" s="37">
        <v>2</v>
      </c>
      <c r="E284" s="33">
        <v>0.33333333333333331</v>
      </c>
      <c r="F284" s="33">
        <v>0.33333333333333331</v>
      </c>
      <c r="G284" s="33">
        <v>0.29497523000707715</v>
      </c>
      <c r="H284" s="33">
        <v>0.16178343949044585</v>
      </c>
      <c r="I284" s="34">
        <v>8353.0230326295587</v>
      </c>
      <c r="J284" s="34">
        <v>-7751.3560804899389</v>
      </c>
      <c r="K284" s="33">
        <v>9.4899169632265717E-2</v>
      </c>
      <c r="L284" s="33">
        <v>0.25520169851380042</v>
      </c>
      <c r="M284" s="33">
        <v>0.22830856334041047</v>
      </c>
      <c r="N284" s="33">
        <v>0.55352190793122569</v>
      </c>
      <c r="O284" s="33">
        <v>0.42281463112213269</v>
      </c>
      <c r="P284" s="33">
        <v>0.44577735124760076</v>
      </c>
    </row>
    <row r="285" spans="1:16" x14ac:dyDescent="0.45">
      <c r="A285" s="35">
        <v>282</v>
      </c>
      <c r="B285" s="32">
        <v>-4.9737991503207013E-14</v>
      </c>
      <c r="C285" s="32">
        <v>-5.8791952131450369E-17</v>
      </c>
      <c r="D285" s="37">
        <v>2</v>
      </c>
      <c r="E285" s="33">
        <v>0.33333333333333331</v>
      </c>
      <c r="F285" s="33">
        <v>0.33333333333333331</v>
      </c>
      <c r="G285" s="33">
        <v>0.29474721870159132</v>
      </c>
      <c r="H285" s="33">
        <v>0.16166737079284607</v>
      </c>
      <c r="I285" s="34">
        <v>8344.2904921165791</v>
      </c>
      <c r="J285" s="34">
        <v>-7731.4459930313587</v>
      </c>
      <c r="K285" s="33">
        <v>9.4562647754137114E-2</v>
      </c>
      <c r="L285" s="33">
        <v>0.25517532741867344</v>
      </c>
      <c r="M285" s="33">
        <v>0.22884100830868892</v>
      </c>
      <c r="N285" s="33">
        <v>0.55353200883002207</v>
      </c>
      <c r="O285" s="33">
        <v>0.42153846153846153</v>
      </c>
      <c r="P285" s="33">
        <v>0.44577161968466317</v>
      </c>
    </row>
    <row r="286" spans="1:16" x14ac:dyDescent="0.45">
      <c r="A286" s="35">
        <v>283</v>
      </c>
      <c r="B286" s="32">
        <v>-4.9737991503207013E-14</v>
      </c>
      <c r="C286" s="32">
        <v>-5.8584206717558316E-17</v>
      </c>
      <c r="D286" s="37">
        <v>2</v>
      </c>
      <c r="E286" s="33">
        <v>0.33333333333333331</v>
      </c>
      <c r="F286" s="33">
        <v>0.33333333333333331</v>
      </c>
      <c r="G286" s="33">
        <v>0.29473684210526313</v>
      </c>
      <c r="H286" s="33">
        <v>0.16168421052631579</v>
      </c>
      <c r="I286" s="34">
        <v>8343.4761904761908</v>
      </c>
      <c r="J286" s="34">
        <v>-7734.635416666667</v>
      </c>
      <c r="K286" s="33">
        <v>9.4228504122497059E-2</v>
      </c>
      <c r="L286" s="33">
        <v>0.25445614035087721</v>
      </c>
      <c r="M286" s="33">
        <v>0.22919298245614034</v>
      </c>
      <c r="N286" s="33">
        <v>0.55377826806398234</v>
      </c>
      <c r="O286" s="33">
        <v>0.421310471524801</v>
      </c>
      <c r="P286" s="33">
        <v>0.44571428571428573</v>
      </c>
    </row>
    <row r="287" spans="1:16" x14ac:dyDescent="0.45">
      <c r="A287" s="35">
        <v>284</v>
      </c>
      <c r="B287" s="32">
        <v>-5.6843418860808015E-14</v>
      </c>
      <c r="C287" s="32">
        <v>-6.6717627770901427E-17</v>
      </c>
      <c r="D287" s="37">
        <v>2</v>
      </c>
      <c r="E287" s="33">
        <v>0.33333333333333331</v>
      </c>
      <c r="F287" s="33">
        <v>0.33333333333333331</v>
      </c>
      <c r="G287" s="33">
        <v>0.29444677577283535</v>
      </c>
      <c r="H287" s="33">
        <v>0.16156105749055813</v>
      </c>
      <c r="I287" s="34">
        <v>8353.8717339667455</v>
      </c>
      <c r="J287" s="34">
        <v>-7747.4458874458878</v>
      </c>
      <c r="K287" s="33">
        <v>9.5070422535211266E-2</v>
      </c>
      <c r="L287" s="33">
        <v>0.25402154147433209</v>
      </c>
      <c r="M287" s="33">
        <v>0.22912295425933696</v>
      </c>
      <c r="N287" s="33">
        <v>0.55396475770925113</v>
      </c>
      <c r="O287" s="33">
        <v>0.42185592185592186</v>
      </c>
      <c r="P287" s="33">
        <v>0.44560570071258909</v>
      </c>
    </row>
    <row r="288" spans="1:16" x14ac:dyDescent="0.45">
      <c r="A288" s="35">
        <v>285</v>
      </c>
      <c r="B288" s="32">
        <v>-5.6843418860808015E-14</v>
      </c>
      <c r="C288" s="32">
        <v>-6.6483530831354405E-17</v>
      </c>
      <c r="D288" s="37">
        <v>2</v>
      </c>
      <c r="E288" s="33">
        <v>0.33333333333333331</v>
      </c>
      <c r="F288" s="33">
        <v>0.33333333333333331</v>
      </c>
      <c r="G288" s="33">
        <v>0.29459308807134893</v>
      </c>
      <c r="H288" s="33">
        <v>0.16137123745819398</v>
      </c>
      <c r="I288" s="34">
        <v>8357.8524124881733</v>
      </c>
      <c r="J288" s="34">
        <v>-7747.1502590673572</v>
      </c>
      <c r="K288" s="33">
        <v>9.4736842105263161E-2</v>
      </c>
      <c r="L288" s="33">
        <v>0.25348383500557414</v>
      </c>
      <c r="M288" s="33">
        <v>0.22937569676700112</v>
      </c>
      <c r="N288" s="33">
        <v>0.55415063221550298</v>
      </c>
      <c r="O288" s="33">
        <v>0.42223572296476308</v>
      </c>
      <c r="P288" s="33">
        <v>0.44654683065279094</v>
      </c>
    </row>
    <row r="289" spans="1:16" x14ac:dyDescent="0.45">
      <c r="A289" s="35">
        <v>286</v>
      </c>
      <c r="B289" s="32">
        <v>-5.6843418860808015E-14</v>
      </c>
      <c r="C289" s="32">
        <v>-6.6251070933342675E-17</v>
      </c>
      <c r="D289" s="37">
        <v>2</v>
      </c>
      <c r="E289" s="33">
        <v>0.33333333333333331</v>
      </c>
      <c r="F289" s="33">
        <v>0.33333333333333331</v>
      </c>
      <c r="G289" s="33">
        <v>0.29452529452529452</v>
      </c>
      <c r="H289" s="33">
        <v>0.16119196119196119</v>
      </c>
      <c r="I289" s="34">
        <v>8366.2588235294115</v>
      </c>
      <c r="J289" s="34">
        <v>-7758.2115219260531</v>
      </c>
      <c r="K289" s="33">
        <v>9.5571095571095568E-2</v>
      </c>
      <c r="L289" s="33">
        <v>0.25336105336105336</v>
      </c>
      <c r="M289" s="33">
        <v>0.22952182952182953</v>
      </c>
      <c r="N289" s="33">
        <v>0.55196936542669583</v>
      </c>
      <c r="O289" s="33">
        <v>0.42330917874396135</v>
      </c>
      <c r="P289" s="33">
        <v>0.44705882352941179</v>
      </c>
    </row>
    <row r="290" spans="1:16" x14ac:dyDescent="0.45">
      <c r="A290" s="35">
        <v>287</v>
      </c>
      <c r="B290" s="32">
        <v>-5.3290705182007514E-14</v>
      </c>
      <c r="C290" s="32">
        <v>-6.1893966529625449E-17</v>
      </c>
      <c r="D290" s="37">
        <v>2</v>
      </c>
      <c r="E290" s="33">
        <v>0.33333333333333331</v>
      </c>
      <c r="F290" s="33">
        <v>0.33333333333333331</v>
      </c>
      <c r="G290" s="33">
        <v>0.29462187197566708</v>
      </c>
      <c r="H290" s="33">
        <v>0.16120558551085304</v>
      </c>
      <c r="I290" s="34">
        <v>8364.9929610511499</v>
      </c>
      <c r="J290" s="34">
        <v>-7754.1166380789018</v>
      </c>
      <c r="K290" s="33">
        <v>9.5238095238095233E-2</v>
      </c>
      <c r="L290" s="33">
        <v>0.25342181667357944</v>
      </c>
      <c r="M290" s="33">
        <v>0.22936540854417253</v>
      </c>
      <c r="N290" s="33">
        <v>0.55264593562465902</v>
      </c>
      <c r="O290" s="33">
        <v>0.42314647377938519</v>
      </c>
      <c r="P290" s="33">
        <v>0.44720788362271235</v>
      </c>
    </row>
    <row r="291" spans="1:16" x14ac:dyDescent="0.45">
      <c r="A291" s="35">
        <v>288</v>
      </c>
      <c r="B291" s="32">
        <v>-4.9737991503207013E-14</v>
      </c>
      <c r="C291" s="32">
        <v>-5.7567119795378484E-17</v>
      </c>
      <c r="D291" s="37">
        <v>2</v>
      </c>
      <c r="E291" s="33">
        <v>0.33333333333333331</v>
      </c>
      <c r="F291" s="33">
        <v>0.33333333333333331</v>
      </c>
      <c r="G291" s="33">
        <v>0.29473393989523022</v>
      </c>
      <c r="H291" s="33">
        <v>0.16142817755720981</v>
      </c>
      <c r="I291" s="34">
        <v>8362.4883068288127</v>
      </c>
      <c r="J291" s="34">
        <v>-7747.6515798462851</v>
      </c>
      <c r="K291" s="33">
        <v>9.6064814814814811E-2</v>
      </c>
      <c r="L291" s="33">
        <v>0.25323959194926937</v>
      </c>
      <c r="M291" s="33">
        <v>0.22952853598014888</v>
      </c>
      <c r="N291" s="33">
        <v>0.55198693522046816</v>
      </c>
      <c r="O291" s="33">
        <v>0.42342342342342343</v>
      </c>
      <c r="P291" s="33">
        <v>0.44667913938260057</v>
      </c>
    </row>
    <row r="292" spans="1:16" x14ac:dyDescent="0.45">
      <c r="A292" s="35">
        <v>289</v>
      </c>
      <c r="B292" s="32">
        <v>-4.9737991503207013E-14</v>
      </c>
      <c r="C292" s="32">
        <v>-5.7367925609235305E-17</v>
      </c>
      <c r="D292" s="37">
        <v>2</v>
      </c>
      <c r="E292" s="33">
        <v>0.33333333333333331</v>
      </c>
      <c r="F292" s="33">
        <v>0.33333333333333331</v>
      </c>
      <c r="G292" s="33">
        <v>0.29484536082474228</v>
      </c>
      <c r="H292" s="33">
        <v>0.16151202749140894</v>
      </c>
      <c r="I292" s="34">
        <v>8372.1678321678319</v>
      </c>
      <c r="J292" s="34">
        <v>-7758.7234042553191</v>
      </c>
      <c r="K292" s="33">
        <v>9.5732410611303345E-2</v>
      </c>
      <c r="L292" s="33">
        <v>0.2531958762886598</v>
      </c>
      <c r="M292" s="33">
        <v>0.22969072164948454</v>
      </c>
      <c r="N292" s="33">
        <v>0.55211726384364823</v>
      </c>
      <c r="O292" s="33">
        <v>0.42309994015559543</v>
      </c>
      <c r="P292" s="33">
        <v>0.44662004662004662</v>
      </c>
    </row>
    <row r="293" spans="1:16" x14ac:dyDescent="0.45">
      <c r="A293" s="35">
        <v>290</v>
      </c>
      <c r="B293" s="32">
        <v>-5.3290705182007514E-14</v>
      </c>
      <c r="C293" s="32">
        <v>-6.1253684117250015E-17</v>
      </c>
      <c r="D293" s="37">
        <v>2</v>
      </c>
      <c r="E293" s="33">
        <v>0.33333333333333331</v>
      </c>
      <c r="F293" s="33">
        <v>0.33333333333333331</v>
      </c>
      <c r="G293" s="33">
        <v>0.29468201754385964</v>
      </c>
      <c r="H293" s="33">
        <v>0.16132127192982457</v>
      </c>
      <c r="I293" s="34">
        <v>8372.3720930232557</v>
      </c>
      <c r="J293" s="34">
        <v>-7753.7807986406115</v>
      </c>
      <c r="K293" s="33">
        <v>9.6551724137931033E-2</v>
      </c>
      <c r="L293" s="33">
        <v>0.25356359649122806</v>
      </c>
      <c r="M293" s="33">
        <v>0.22930372807017543</v>
      </c>
      <c r="N293" s="33">
        <v>0.55135135135135138</v>
      </c>
      <c r="O293" s="33">
        <v>0.42319187089061566</v>
      </c>
      <c r="P293" s="33">
        <v>0.44697674418604649</v>
      </c>
    </row>
    <row r="294" spans="1:16" x14ac:dyDescent="0.45">
      <c r="A294" s="35">
        <v>291</v>
      </c>
      <c r="B294" s="32">
        <v>-5.8175686490358203E-14</v>
      </c>
      <c r="C294" s="32">
        <v>-6.6638816140158305E-17</v>
      </c>
      <c r="D294" s="37">
        <v>2</v>
      </c>
      <c r="E294" s="33">
        <v>0.33333333333333331</v>
      </c>
      <c r="F294" s="33">
        <v>0.33333333333333331</v>
      </c>
      <c r="G294" s="33">
        <v>0.2947771397320208</v>
      </c>
      <c r="H294" s="33">
        <v>0.16147115121684441</v>
      </c>
      <c r="I294" s="34">
        <v>8365.2597402597403</v>
      </c>
      <c r="J294" s="34">
        <v>-7743.5224386113459</v>
      </c>
      <c r="K294" s="33">
        <v>9.6219931271477668E-2</v>
      </c>
      <c r="L294" s="33">
        <v>0.25334974022422752</v>
      </c>
      <c r="M294" s="33">
        <v>0.22969647251845776</v>
      </c>
      <c r="N294" s="33">
        <v>0.55153804641122506</v>
      </c>
      <c r="O294" s="33">
        <v>0.4238095238095238</v>
      </c>
      <c r="P294" s="33">
        <v>0.44666048237476808</v>
      </c>
    </row>
    <row r="295" spans="1:16" x14ac:dyDescent="0.45">
      <c r="A295" s="35">
        <v>292</v>
      </c>
      <c r="B295" s="32">
        <v>-5.6843418860808015E-14</v>
      </c>
      <c r="C295" s="32">
        <v>-6.4889747558000013E-17</v>
      </c>
      <c r="D295" s="37">
        <v>2</v>
      </c>
      <c r="E295" s="33">
        <v>0.33333333333333331</v>
      </c>
      <c r="F295" s="33">
        <v>0.33333333333333331</v>
      </c>
      <c r="G295" s="33">
        <v>0.29435813573180702</v>
      </c>
      <c r="H295" s="33">
        <v>0.16107931316434995</v>
      </c>
      <c r="I295" s="34">
        <v>8381.8518518518522</v>
      </c>
      <c r="J295" s="34">
        <v>-7777.5803722504234</v>
      </c>
      <c r="K295" s="33">
        <v>9.5890410958904104E-2</v>
      </c>
      <c r="L295" s="33">
        <v>0.25374761515399291</v>
      </c>
      <c r="M295" s="33">
        <v>0.22962660125374762</v>
      </c>
      <c r="N295" s="33">
        <v>0.55048335123523096</v>
      </c>
      <c r="O295" s="33">
        <v>0.42255192878338277</v>
      </c>
      <c r="P295" s="33">
        <v>0.44722222222222224</v>
      </c>
    </row>
    <row r="296" spans="1:16" x14ac:dyDescent="0.45">
      <c r="A296" s="35">
        <v>293</v>
      </c>
      <c r="B296" s="32">
        <v>-5.6843418860808015E-14</v>
      </c>
      <c r="C296" s="32">
        <v>-6.4668280842784996E-17</v>
      </c>
      <c r="D296" s="37">
        <v>2</v>
      </c>
      <c r="E296" s="33">
        <v>0.33333333333333331</v>
      </c>
      <c r="F296" s="33">
        <v>0.33333333333333331</v>
      </c>
      <c r="G296" s="33">
        <v>0.29448519424069547</v>
      </c>
      <c r="H296" s="33">
        <v>0.16109752784569412</v>
      </c>
      <c r="I296" s="34">
        <v>8378.7822878228781</v>
      </c>
      <c r="J296" s="34">
        <v>-7781.6188870151773</v>
      </c>
      <c r="K296" s="33">
        <v>9.556313993174062E-2</v>
      </c>
      <c r="L296" s="33">
        <v>0.25332790002716654</v>
      </c>
      <c r="M296" s="33">
        <v>0.2306438467807661</v>
      </c>
      <c r="N296" s="33">
        <v>0.55013404825737267</v>
      </c>
      <c r="O296" s="33">
        <v>0.42285041224970554</v>
      </c>
      <c r="P296" s="33">
        <v>0.44741697416974169</v>
      </c>
    </row>
    <row r="297" spans="1:16" x14ac:dyDescent="0.45">
      <c r="A297" s="35">
        <v>294</v>
      </c>
      <c r="B297" s="32">
        <v>-5.6843418860808015E-14</v>
      </c>
      <c r="C297" s="32">
        <v>-6.4448320703863964E-17</v>
      </c>
      <c r="D297" s="37">
        <v>2</v>
      </c>
      <c r="E297" s="33">
        <v>0.33333333333333331</v>
      </c>
      <c r="F297" s="33">
        <v>0.33333333333333331</v>
      </c>
      <c r="G297" s="33">
        <v>0.29459569280780168</v>
      </c>
      <c r="H297" s="33">
        <v>0.16131653799268589</v>
      </c>
      <c r="I297" s="34">
        <v>8375.2183908045972</v>
      </c>
      <c r="J297" s="34">
        <v>-7779.0931989924429</v>
      </c>
      <c r="K297" s="33">
        <v>9.5238095238095233E-2</v>
      </c>
      <c r="L297" s="33">
        <v>0.25369091155356899</v>
      </c>
      <c r="M297" s="33">
        <v>0.23052959501557632</v>
      </c>
      <c r="N297" s="33">
        <v>0.54991991457554723</v>
      </c>
      <c r="O297" s="33">
        <v>0.42303172737955347</v>
      </c>
      <c r="P297" s="33">
        <v>0.44689655172413795</v>
      </c>
    </row>
    <row r="298" spans="1:16" x14ac:dyDescent="0.45">
      <c r="A298" s="35">
        <v>295</v>
      </c>
      <c r="B298" s="32">
        <v>-5.3290705182007514E-14</v>
      </c>
      <c r="C298" s="32">
        <v>-6.0215486081364422E-17</v>
      </c>
      <c r="D298" s="37">
        <v>2</v>
      </c>
      <c r="E298" s="33">
        <v>0.33333333333333331</v>
      </c>
      <c r="F298" s="33">
        <v>0.33333333333333331</v>
      </c>
      <c r="G298" s="33">
        <v>0.29458620224112325</v>
      </c>
      <c r="H298" s="33">
        <v>0.16106385851221816</v>
      </c>
      <c r="I298" s="34">
        <v>8375.1604032997257</v>
      </c>
      <c r="J298" s="34">
        <v>-7780.469404861693</v>
      </c>
      <c r="K298" s="33">
        <v>9.4915254237288138E-2</v>
      </c>
      <c r="L298" s="33">
        <v>0.25367895234237881</v>
      </c>
      <c r="M298" s="33">
        <v>0.23059268259754287</v>
      </c>
      <c r="N298" s="33">
        <v>0.54976051091005851</v>
      </c>
      <c r="O298" s="33">
        <v>0.42271662763466045</v>
      </c>
      <c r="P298" s="33">
        <v>0.4477543538038497</v>
      </c>
    </row>
    <row r="299" spans="1:16" x14ac:dyDescent="0.45">
      <c r="A299" s="35">
        <v>296</v>
      </c>
      <c r="B299" s="32">
        <v>-5.3290705182007514E-14</v>
      </c>
      <c r="C299" s="32">
        <v>-6.00120553851436E-17</v>
      </c>
      <c r="D299" s="37">
        <v>2</v>
      </c>
      <c r="E299" s="33">
        <v>0.33333333333333331</v>
      </c>
      <c r="F299" s="33">
        <v>0.33333333333333331</v>
      </c>
      <c r="G299" s="33">
        <v>0.29457677297806484</v>
      </c>
      <c r="H299" s="33">
        <v>0.16108195397658459</v>
      </c>
      <c r="I299" s="34">
        <v>8372.86432160804</v>
      </c>
      <c r="J299" s="34">
        <v>-7776.1069340016711</v>
      </c>
      <c r="K299" s="33">
        <v>9.45945945945946E-2</v>
      </c>
      <c r="L299" s="33">
        <v>0.25366707038083702</v>
      </c>
      <c r="M299" s="33">
        <v>0.23078993406001885</v>
      </c>
      <c r="N299" s="33">
        <v>0.54960212201591507</v>
      </c>
      <c r="O299" s="33">
        <v>0.42215743440233239</v>
      </c>
      <c r="P299" s="33">
        <v>0.44769301050708088</v>
      </c>
    </row>
    <row r="300" spans="1:16" x14ac:dyDescent="0.45">
      <c r="A300" s="35">
        <v>297</v>
      </c>
      <c r="B300" s="32">
        <v>-5.6843418860808015E-14</v>
      </c>
      <c r="C300" s="32">
        <v>-6.37973275654411E-17</v>
      </c>
      <c r="D300" s="37">
        <v>2</v>
      </c>
      <c r="E300" s="33">
        <v>0.33333333333333331</v>
      </c>
      <c r="F300" s="33">
        <v>0.33333333333333331</v>
      </c>
      <c r="G300" s="33">
        <v>0.29460804087669762</v>
      </c>
      <c r="H300" s="33">
        <v>0.16108645959392229</v>
      </c>
      <c r="I300" s="34">
        <v>8392.6061159288001</v>
      </c>
      <c r="J300" s="34">
        <v>-7809.6828046744577</v>
      </c>
      <c r="K300" s="33">
        <v>9.5398428731762061E-2</v>
      </c>
      <c r="L300" s="33">
        <v>0.25359688046255208</v>
      </c>
      <c r="M300" s="33">
        <v>0.23060373806642465</v>
      </c>
      <c r="N300" s="33">
        <v>0.54984093319194061</v>
      </c>
      <c r="O300" s="33">
        <v>0.42215743440233239</v>
      </c>
      <c r="P300" s="33">
        <v>0.447740757644911</v>
      </c>
    </row>
    <row r="301" spans="1:16" x14ac:dyDescent="0.45">
      <c r="A301" s="35">
        <v>298</v>
      </c>
      <c r="B301" s="32">
        <v>-5.6843418860808015E-14</v>
      </c>
      <c r="C301" s="32">
        <v>-6.3583242573610754E-17</v>
      </c>
      <c r="D301" s="37">
        <v>2</v>
      </c>
      <c r="E301" s="33">
        <v>0.33333333333333331</v>
      </c>
      <c r="F301" s="33">
        <v>0.33333333333333331</v>
      </c>
      <c r="G301" s="33">
        <v>0.29471708232770177</v>
      </c>
      <c r="H301" s="33">
        <v>0.16103513006167874</v>
      </c>
      <c r="I301" s="34">
        <v>8391.5832575068252</v>
      </c>
      <c r="J301" s="34">
        <v>-7811.1573688592844</v>
      </c>
      <c r="K301" s="33">
        <v>9.507829977628636E-2</v>
      </c>
      <c r="L301" s="33">
        <v>0.25368731563421831</v>
      </c>
      <c r="M301" s="33">
        <v>0.23075891659962455</v>
      </c>
      <c r="N301" s="33">
        <v>0.55021141649048622</v>
      </c>
      <c r="O301" s="33">
        <v>0.42126670540383498</v>
      </c>
      <c r="P301" s="33">
        <v>0.44813466787989081</v>
      </c>
    </row>
    <row r="302" spans="1:16" x14ac:dyDescent="0.45">
      <c r="A302" s="35">
        <v>299</v>
      </c>
      <c r="B302" s="32">
        <v>-5.6843418860808015E-14</v>
      </c>
      <c r="C302" s="32">
        <v>-6.3370589588414731E-17</v>
      </c>
      <c r="D302" s="37">
        <v>2</v>
      </c>
      <c r="E302" s="33">
        <v>0.33333333333333331</v>
      </c>
      <c r="F302" s="33">
        <v>0.33333333333333331</v>
      </c>
      <c r="G302" s="33">
        <v>0.29476914865225512</v>
      </c>
      <c r="H302" s="33">
        <v>0.16092874299439552</v>
      </c>
      <c r="I302" s="34">
        <v>8399.0040742417386</v>
      </c>
      <c r="J302" s="34">
        <v>-7799.9170812603652</v>
      </c>
      <c r="K302" s="33">
        <v>9.4760312151616496E-2</v>
      </c>
      <c r="L302" s="33">
        <v>0.25353616226314385</v>
      </c>
      <c r="M302" s="33">
        <v>0.23138510808646917</v>
      </c>
      <c r="N302" s="33">
        <v>0.55052631578947364</v>
      </c>
      <c r="O302" s="33">
        <v>0.42099192618223757</v>
      </c>
      <c r="P302" s="33">
        <v>0.44861928474422813</v>
      </c>
    </row>
    <row r="303" spans="1:16" x14ac:dyDescent="0.45">
      <c r="A303" s="35">
        <v>300</v>
      </c>
      <c r="B303" s="32">
        <v>-5.8619775700208265E-14</v>
      </c>
      <c r="C303" s="32">
        <v>-6.5133084111342517E-17</v>
      </c>
      <c r="D303" s="37">
        <v>2</v>
      </c>
      <c r="E303" s="33">
        <v>0.33333333333333331</v>
      </c>
      <c r="F303" s="33">
        <v>0.33333333333333331</v>
      </c>
      <c r="G303" s="33">
        <v>0.29492291334396598</v>
      </c>
      <c r="H303" s="33">
        <v>0.16095162147793726</v>
      </c>
      <c r="I303" s="34">
        <v>8402.2532672374946</v>
      </c>
      <c r="J303" s="34">
        <v>-7805.4500412881916</v>
      </c>
      <c r="K303" s="33">
        <v>9.4444444444444442E-2</v>
      </c>
      <c r="L303" s="33">
        <v>0.2534556087187666</v>
      </c>
      <c r="M303" s="33">
        <v>0.23152578415736311</v>
      </c>
      <c r="N303" s="33">
        <v>0.55112742527530156</v>
      </c>
      <c r="O303" s="33">
        <v>0.42078071182548793</v>
      </c>
      <c r="P303" s="33">
        <v>0.44885083370887785</v>
      </c>
    </row>
    <row r="304" spans="1:16" x14ac:dyDescent="0.45">
      <c r="A304" s="35">
        <v>301</v>
      </c>
      <c r="B304" s="32">
        <v>-5.6843418860808015E-14</v>
      </c>
      <c r="C304" s="32">
        <v>-6.2949522547960147E-17</v>
      </c>
      <c r="D304" s="37">
        <v>2</v>
      </c>
      <c r="E304" s="33">
        <v>0.33333333333333331</v>
      </c>
      <c r="F304" s="33">
        <v>0.33333333333333331</v>
      </c>
      <c r="G304" s="33">
        <v>0.29501458499071864</v>
      </c>
      <c r="H304" s="33">
        <v>0.16083267037920976</v>
      </c>
      <c r="I304" s="34">
        <v>8403.7752808988771</v>
      </c>
      <c r="J304" s="34">
        <v>-7805.2761747732893</v>
      </c>
      <c r="K304" s="33">
        <v>9.413067552602436E-2</v>
      </c>
      <c r="L304" s="33">
        <v>0.25351365685494565</v>
      </c>
      <c r="M304" s="33">
        <v>0.23150357995226731</v>
      </c>
      <c r="N304" s="33">
        <v>0.55177824267782427</v>
      </c>
      <c r="O304" s="33">
        <v>0.42096219931271478</v>
      </c>
      <c r="P304" s="33">
        <v>0.449438202247191</v>
      </c>
    </row>
    <row r="305" spans="1:16" x14ac:dyDescent="0.45">
      <c r="A305" s="35">
        <v>302</v>
      </c>
      <c r="B305" s="32">
        <v>-5.6843418860808015E-14</v>
      </c>
      <c r="C305" s="32">
        <v>-6.2741080420317897E-17</v>
      </c>
      <c r="D305" s="37">
        <v>2</v>
      </c>
      <c r="E305" s="33">
        <v>0.33333333333333331</v>
      </c>
      <c r="F305" s="33">
        <v>0.33333333333333331</v>
      </c>
      <c r="G305" s="33">
        <v>0.29513613534232092</v>
      </c>
      <c r="H305" s="33">
        <v>0.16098334655035687</v>
      </c>
      <c r="I305" s="34">
        <v>8387.8190774742507</v>
      </c>
      <c r="J305" s="34">
        <v>-7788.5878489326769</v>
      </c>
      <c r="K305" s="33">
        <v>9.3818984547461362E-2</v>
      </c>
      <c r="L305" s="33">
        <v>0.25350251123446998</v>
      </c>
      <c r="M305" s="33">
        <v>0.23156225218080889</v>
      </c>
      <c r="N305" s="33">
        <v>0.55161626694473409</v>
      </c>
      <c r="O305" s="33">
        <v>0.42123287671232879</v>
      </c>
      <c r="P305" s="33">
        <v>0.44917151813703537</v>
      </c>
    </row>
    <row r="306" spans="1:16" x14ac:dyDescent="0.45">
      <c r="A306" s="35">
        <v>303</v>
      </c>
      <c r="B306" s="32">
        <v>-5.3290705182007514E-14</v>
      </c>
      <c r="C306" s="32">
        <v>-5.8625638264034663E-17</v>
      </c>
      <c r="D306" s="37">
        <v>2</v>
      </c>
      <c r="E306" s="33">
        <v>0.33333333333333331</v>
      </c>
      <c r="F306" s="33">
        <v>0.33333333333333331</v>
      </c>
      <c r="G306" s="33">
        <v>0.29483642096964918</v>
      </c>
      <c r="H306" s="33">
        <v>0.1610826435422415</v>
      </c>
      <c r="I306" s="34">
        <v>8379.7682709447417</v>
      </c>
      <c r="J306" s="34">
        <v>-7786.0522022838495</v>
      </c>
      <c r="K306" s="33">
        <v>9.3509350935093508E-2</v>
      </c>
      <c r="L306" s="33">
        <v>0.25331756667980554</v>
      </c>
      <c r="M306" s="33">
        <v>0.2317698068584943</v>
      </c>
      <c r="N306" s="33">
        <v>0.55186721991701249</v>
      </c>
      <c r="O306" s="33">
        <v>0.42006802721088438</v>
      </c>
      <c r="P306" s="33">
        <v>0.44830659536541889</v>
      </c>
    </row>
    <row r="307" spans="1:16" x14ac:dyDescent="0.45">
      <c r="A307" s="35">
        <v>304</v>
      </c>
      <c r="B307" s="32">
        <v>-5.3290705182007514E-14</v>
      </c>
      <c r="C307" s="32">
        <v>-5.8432790769745078E-17</v>
      </c>
      <c r="D307" s="37">
        <v>2</v>
      </c>
      <c r="E307" s="33">
        <v>0.33333333333333331</v>
      </c>
      <c r="F307" s="33">
        <v>0.33333333333333331</v>
      </c>
      <c r="G307" s="33">
        <v>0.2945797329143755</v>
      </c>
      <c r="H307" s="33">
        <v>0.16090599633411887</v>
      </c>
      <c r="I307" s="34">
        <v>8381.8666666666668</v>
      </c>
      <c r="J307" s="34">
        <v>-7789.5036615134259</v>
      </c>
      <c r="K307" s="33">
        <v>9.3201754385964911E-2</v>
      </c>
      <c r="L307" s="33">
        <v>0.25320764598062317</v>
      </c>
      <c r="M307" s="33">
        <v>0.23173605655930871</v>
      </c>
      <c r="N307" s="33">
        <v>0.55170630816959665</v>
      </c>
      <c r="O307" s="33">
        <v>0.41977401129943503</v>
      </c>
      <c r="P307" s="33">
        <v>0.44844444444444442</v>
      </c>
    </row>
    <row r="308" spans="1:16" x14ac:dyDescent="0.45">
      <c r="A308" s="35">
        <v>305</v>
      </c>
      <c r="B308" s="32">
        <v>-5.9729998724833422E-14</v>
      </c>
      <c r="C308" s="32">
        <v>-6.5278687130965494E-17</v>
      </c>
      <c r="D308" s="37">
        <v>2</v>
      </c>
      <c r="E308" s="33">
        <v>0.33333333333333331</v>
      </c>
      <c r="F308" s="33">
        <v>0.33333333333333331</v>
      </c>
      <c r="G308" s="33">
        <v>0.29468599033816423</v>
      </c>
      <c r="H308" s="33">
        <v>0.16085650868259563</v>
      </c>
      <c r="I308" s="34">
        <v>8384.9800620292426</v>
      </c>
      <c r="J308" s="34">
        <v>-7799.431818181818</v>
      </c>
      <c r="K308" s="33">
        <v>9.2896174863387984E-2</v>
      </c>
      <c r="L308" s="33">
        <v>0.25316620968794884</v>
      </c>
      <c r="M308" s="33">
        <v>0.23214518866692779</v>
      </c>
      <c r="N308" s="33">
        <v>0.55183084063950494</v>
      </c>
      <c r="O308" s="33">
        <v>0.41957255343082117</v>
      </c>
      <c r="P308" s="33">
        <v>0.44882587505538324</v>
      </c>
    </row>
    <row r="309" spans="1:16" x14ac:dyDescent="0.45">
      <c r="A309" s="35">
        <v>306</v>
      </c>
      <c r="B309" s="32">
        <v>-6.3948846218409017E-14</v>
      </c>
      <c r="C309" s="32">
        <v>-6.9661052525500017E-17</v>
      </c>
      <c r="D309" s="37">
        <v>2</v>
      </c>
      <c r="E309" s="33">
        <v>0.33333333333333331</v>
      </c>
      <c r="F309" s="33">
        <v>0.33333333333333331</v>
      </c>
      <c r="G309" s="33">
        <v>0.29477660544483525</v>
      </c>
      <c r="H309" s="33">
        <v>0.16087013156180799</v>
      </c>
      <c r="I309" s="34">
        <v>8389.3946089262045</v>
      </c>
      <c r="J309" s="34">
        <v>-7797.894736842105</v>
      </c>
      <c r="K309" s="33">
        <v>9.2592592592592587E-2</v>
      </c>
      <c r="L309" s="33">
        <v>0.25283313794450957</v>
      </c>
      <c r="M309" s="33">
        <v>0.23238244105770484</v>
      </c>
      <c r="N309" s="33">
        <v>0.55229263266357542</v>
      </c>
      <c r="O309" s="33">
        <v>0.41984304932735428</v>
      </c>
      <c r="P309" s="33">
        <v>0.4489615554573575</v>
      </c>
    </row>
    <row r="310" spans="1:16" x14ac:dyDescent="0.45">
      <c r="A310" s="35">
        <v>307</v>
      </c>
      <c r="B310" s="32">
        <v>-6.3948846218409017E-14</v>
      </c>
      <c r="C310" s="32">
        <v>-6.9434143559618905E-17</v>
      </c>
      <c r="D310" s="37">
        <v>2</v>
      </c>
      <c r="E310" s="33">
        <v>0.33333333333333331</v>
      </c>
      <c r="F310" s="33">
        <v>0.33333333333333331</v>
      </c>
      <c r="G310" s="33">
        <v>0.2947669133878717</v>
      </c>
      <c r="H310" s="33">
        <v>0.16114790286975716</v>
      </c>
      <c r="I310" s="34">
        <v>8377.444933920704</v>
      </c>
      <c r="J310" s="34">
        <v>-7784.4480257856567</v>
      </c>
      <c r="K310" s="33">
        <v>9.2290988056460369E-2</v>
      </c>
      <c r="L310" s="33">
        <v>0.25230489546812102</v>
      </c>
      <c r="M310" s="33">
        <v>0.23243734579924685</v>
      </c>
      <c r="N310" s="33">
        <v>0.55172413793103448</v>
      </c>
      <c r="O310" s="33">
        <v>0.41899441340782123</v>
      </c>
      <c r="P310" s="33">
        <v>0.44801762114537447</v>
      </c>
    </row>
    <row r="311" spans="1:16" x14ac:dyDescent="0.45">
      <c r="A311" s="35">
        <v>308</v>
      </c>
      <c r="B311" s="32">
        <v>-6.3948846218409017E-14</v>
      </c>
      <c r="C311" s="32">
        <v>-6.9208708028581185E-17</v>
      </c>
      <c r="D311" s="37">
        <v>2</v>
      </c>
      <c r="E311" s="33">
        <v>0.33333333333333331</v>
      </c>
      <c r="F311" s="33">
        <v>0.33333333333333331</v>
      </c>
      <c r="G311" s="33">
        <v>0.29474229474229474</v>
      </c>
      <c r="H311" s="33">
        <v>0.16109816109816111</v>
      </c>
      <c r="I311" s="34">
        <v>8371.0456942003511</v>
      </c>
      <c r="J311" s="34">
        <v>-7779.2604501607721</v>
      </c>
      <c r="K311" s="33">
        <v>9.3073593073593072E-2</v>
      </c>
      <c r="L311" s="33">
        <v>0.25161875161875163</v>
      </c>
      <c r="M311" s="33">
        <v>0.23271173271173271</v>
      </c>
      <c r="N311" s="33">
        <v>0.55172413793103448</v>
      </c>
      <c r="O311" s="33">
        <v>0.42014468558708962</v>
      </c>
      <c r="P311" s="33">
        <v>0.44815465729349735</v>
      </c>
    </row>
    <row r="312" spans="1:16" x14ac:dyDescent="0.45">
      <c r="A312" s="35">
        <v>309</v>
      </c>
      <c r="B312" s="32">
        <v>-6.3948846218409017E-14</v>
      </c>
      <c r="C312" s="32">
        <v>-6.8984731627194187E-17</v>
      </c>
      <c r="D312" s="37">
        <v>2</v>
      </c>
      <c r="E312" s="33">
        <v>0.33333333333333331</v>
      </c>
      <c r="F312" s="33">
        <v>0.33333333333333331</v>
      </c>
      <c r="G312" s="33">
        <v>0.29463364293085653</v>
      </c>
      <c r="H312" s="33">
        <v>0.1609907120743034</v>
      </c>
      <c r="I312" s="34">
        <v>8369.7460595446591</v>
      </c>
      <c r="J312" s="34">
        <v>-7782.8525641025644</v>
      </c>
      <c r="K312" s="33">
        <v>9.2772384034519956E-2</v>
      </c>
      <c r="L312" s="33">
        <v>0.25154798761609909</v>
      </c>
      <c r="M312" s="33">
        <v>0.23271413828689372</v>
      </c>
      <c r="N312" s="33">
        <v>0.55179487179487174</v>
      </c>
      <c r="O312" s="33">
        <v>0.42017738359201773</v>
      </c>
      <c r="P312" s="33">
        <v>0.44833625218914186</v>
      </c>
    </row>
    <row r="313" spans="1:16" x14ac:dyDescent="0.45">
      <c r="A313" s="35">
        <v>310</v>
      </c>
      <c r="B313" s="32">
        <v>-6.3948846218409017E-14</v>
      </c>
      <c r="C313" s="32">
        <v>-6.8762200234848408E-17</v>
      </c>
      <c r="D313" s="37">
        <v>2</v>
      </c>
      <c r="E313" s="33">
        <v>0.33333333333333331</v>
      </c>
      <c r="F313" s="33">
        <v>0.33333333333333331</v>
      </c>
      <c r="G313" s="33">
        <v>0.29475308641975306</v>
      </c>
      <c r="H313" s="33">
        <v>0.1610082304526749</v>
      </c>
      <c r="I313" s="34">
        <v>8385.6020942408377</v>
      </c>
      <c r="J313" s="34">
        <v>-7795.766773162939</v>
      </c>
      <c r="K313" s="33">
        <v>9.2473118279569888E-2</v>
      </c>
      <c r="L313" s="33">
        <v>0.25141460905349794</v>
      </c>
      <c r="M313" s="33">
        <v>0.23251028806584362</v>
      </c>
      <c r="N313" s="33">
        <v>0.55242966751918154</v>
      </c>
      <c r="O313" s="33">
        <v>0.41980088495575218</v>
      </c>
      <c r="P313" s="33">
        <v>0.44851657940663175</v>
      </c>
    </row>
    <row r="314" spans="1:16" x14ac:dyDescent="0.45">
      <c r="A314" s="35">
        <v>311</v>
      </c>
      <c r="B314" s="32">
        <v>-6.4837024638109142E-14</v>
      </c>
      <c r="C314" s="32">
        <v>-6.9493059633557494E-17</v>
      </c>
      <c r="D314" s="37">
        <v>2</v>
      </c>
      <c r="E314" s="33">
        <v>0.33333333333333331</v>
      </c>
      <c r="F314" s="33">
        <v>0.33333333333333331</v>
      </c>
      <c r="G314" s="33">
        <v>0.29466000768344219</v>
      </c>
      <c r="H314" s="33">
        <v>0.16122422845434756</v>
      </c>
      <c r="I314" s="34">
        <v>8388.8309430682311</v>
      </c>
      <c r="J314" s="34">
        <v>-7800.7942811755365</v>
      </c>
      <c r="K314" s="33">
        <v>9.2175777063236874E-2</v>
      </c>
      <c r="L314" s="33">
        <v>0.25150467409399413</v>
      </c>
      <c r="M314" s="33">
        <v>0.2320399538993469</v>
      </c>
      <c r="N314" s="33">
        <v>0.55193482688391038</v>
      </c>
      <c r="O314" s="33">
        <v>0.41997792494481234</v>
      </c>
      <c r="P314" s="33">
        <v>0.44763146458061714</v>
      </c>
    </row>
    <row r="315" spans="1:16" x14ac:dyDescent="0.45">
      <c r="A315" s="35">
        <v>312</v>
      </c>
      <c r="B315" s="32">
        <v>-6.3948846218409017E-14</v>
      </c>
      <c r="C315" s="32">
        <v>-6.8321416900009637E-17</v>
      </c>
      <c r="D315" s="37">
        <v>2</v>
      </c>
      <c r="E315" s="33">
        <v>0.33333333333333331</v>
      </c>
      <c r="F315" s="33">
        <v>0.33333333333333331</v>
      </c>
      <c r="G315" s="33">
        <v>0.29468044393417525</v>
      </c>
      <c r="H315" s="33">
        <v>0.16150019135093763</v>
      </c>
      <c r="I315" s="34">
        <v>8383.4632034632032</v>
      </c>
      <c r="J315" s="34">
        <v>-7791.7061611374411</v>
      </c>
      <c r="K315" s="33">
        <v>9.2948717948717952E-2</v>
      </c>
      <c r="L315" s="33">
        <v>0.25143513203214696</v>
      </c>
      <c r="M315" s="33">
        <v>0.23204490368669473</v>
      </c>
      <c r="N315" s="33">
        <v>0.55149670218163371</v>
      </c>
      <c r="O315" s="33">
        <v>0.4194612424409016</v>
      </c>
      <c r="P315" s="33">
        <v>0.44675324675324674</v>
      </c>
    </row>
    <row r="316" spans="1:16" x14ac:dyDescent="0.45">
      <c r="A316" s="35">
        <v>313</v>
      </c>
      <c r="B316" s="32">
        <v>-6.3948846218409017E-14</v>
      </c>
      <c r="C316" s="32">
        <v>-6.8103137612789152E-17</v>
      </c>
      <c r="D316" s="37">
        <v>2</v>
      </c>
      <c r="E316" s="33">
        <v>0.33333333333333331</v>
      </c>
      <c r="F316" s="33">
        <v>0.33333333333333331</v>
      </c>
      <c r="G316" s="33">
        <v>0.29476899579992366</v>
      </c>
      <c r="H316" s="33">
        <v>0.16138475245004455</v>
      </c>
      <c r="I316" s="34">
        <v>8387.5647668393776</v>
      </c>
      <c r="J316" s="34">
        <v>-7800.6309148264982</v>
      </c>
      <c r="K316" s="33">
        <v>9.2651757188498399E-2</v>
      </c>
      <c r="L316" s="33">
        <v>0.25111365661193841</v>
      </c>
      <c r="M316" s="33">
        <v>0.23189512536591575</v>
      </c>
      <c r="N316" s="33">
        <v>0.55144450076026352</v>
      </c>
      <c r="O316" s="33">
        <v>0.41931942919868276</v>
      </c>
      <c r="P316" s="33">
        <v>0.44732297063903281</v>
      </c>
    </row>
    <row r="317" spans="1:16" x14ac:dyDescent="0.45">
      <c r="A317" s="35">
        <v>314</v>
      </c>
      <c r="B317" s="32">
        <v>-5.6843418860808015E-14</v>
      </c>
      <c r="C317" s="32">
        <v>-6.0343332124000015E-17</v>
      </c>
      <c r="D317" s="37">
        <v>2</v>
      </c>
      <c r="E317" s="33">
        <v>0.33333333333333331</v>
      </c>
      <c r="F317" s="33">
        <v>0.33333333333333331</v>
      </c>
      <c r="G317" s="33">
        <v>0.29478889311525297</v>
      </c>
      <c r="H317" s="33">
        <v>0.16140484341321162</v>
      </c>
      <c r="I317" s="34">
        <v>8389.1182795698933</v>
      </c>
      <c r="J317" s="34">
        <v>-7801.0212097407702</v>
      </c>
      <c r="K317" s="33">
        <v>9.3418259023354558E-2</v>
      </c>
      <c r="L317" s="33">
        <v>0.25091923418283252</v>
      </c>
      <c r="M317" s="33">
        <v>0.23177380499556233</v>
      </c>
      <c r="N317" s="33">
        <v>0.55179383527033854</v>
      </c>
      <c r="O317" s="33">
        <v>0.41958424507658643</v>
      </c>
      <c r="P317" s="33">
        <v>0.44731182795698926</v>
      </c>
    </row>
    <row r="318" spans="1:16" x14ac:dyDescent="0.45">
      <c r="A318" s="35">
        <v>315</v>
      </c>
      <c r="B318" s="32">
        <v>-5.773159728050814E-14</v>
      </c>
      <c r="C318" s="32">
        <v>-6.1091637333871044E-17</v>
      </c>
      <c r="D318" s="37">
        <v>2</v>
      </c>
      <c r="E318" s="33">
        <v>0.33333333333333331</v>
      </c>
      <c r="F318" s="33">
        <v>0.33333333333333331</v>
      </c>
      <c r="G318" s="33">
        <v>0.29477942105928456</v>
      </c>
      <c r="H318" s="33">
        <v>0.16154721274175199</v>
      </c>
      <c r="I318" s="34">
        <v>8380.102915951973</v>
      </c>
      <c r="J318" s="34">
        <v>-7784.2723004694835</v>
      </c>
      <c r="K318" s="33">
        <v>9.3121693121693119E-2</v>
      </c>
      <c r="L318" s="33">
        <v>0.25079003918594361</v>
      </c>
      <c r="M318" s="33">
        <v>0.23208191126279865</v>
      </c>
      <c r="N318" s="33">
        <v>0.55241935483870963</v>
      </c>
      <c r="O318" s="33">
        <v>0.41884531590413943</v>
      </c>
      <c r="P318" s="33">
        <v>0.44682675814751288</v>
      </c>
    </row>
    <row r="319" spans="1:16" x14ac:dyDescent="0.45">
      <c r="A319" s="35">
        <v>316</v>
      </c>
      <c r="B319" s="32">
        <v>-6.0396132539608516E-14</v>
      </c>
      <c r="C319" s="32">
        <v>-6.3709000569207294E-17</v>
      </c>
      <c r="D319" s="37">
        <v>2</v>
      </c>
      <c r="E319" s="33">
        <v>0.33333333333333331</v>
      </c>
      <c r="F319" s="33">
        <v>0.33333333333333331</v>
      </c>
      <c r="G319" s="33">
        <v>0.29488149268784669</v>
      </c>
      <c r="H319" s="33">
        <v>0.1616238023197176</v>
      </c>
      <c r="I319" s="34">
        <v>8370.6284737067126</v>
      </c>
      <c r="J319" s="34">
        <v>-7774.9609984399376</v>
      </c>
      <c r="K319" s="33">
        <v>9.2827004219409287E-2</v>
      </c>
      <c r="L319" s="33">
        <v>0.25037821482602118</v>
      </c>
      <c r="M319" s="33">
        <v>0.23234997478567826</v>
      </c>
      <c r="N319" s="33">
        <v>0.55287009063444104</v>
      </c>
      <c r="O319" s="33">
        <v>0.41888225718936517</v>
      </c>
      <c r="P319" s="33">
        <v>0.4467721248396751</v>
      </c>
    </row>
    <row r="320" spans="1:16" x14ac:dyDescent="0.45">
      <c r="A320" s="35">
        <v>317</v>
      </c>
      <c r="B320" s="32">
        <v>-6.3948846218409017E-14</v>
      </c>
      <c r="C320" s="32">
        <v>-6.7243792027769735E-17</v>
      </c>
      <c r="D320" s="37">
        <v>2</v>
      </c>
      <c r="E320" s="33">
        <v>0.33333333333333331</v>
      </c>
      <c r="F320" s="33">
        <v>0.33333333333333331</v>
      </c>
      <c r="G320" s="33">
        <v>0.29498302527348169</v>
      </c>
      <c r="H320" s="33">
        <v>0.16144850999622784</v>
      </c>
      <c r="I320" s="34">
        <v>8369.0537084398984</v>
      </c>
      <c r="J320" s="34">
        <v>-7769.3925233644859</v>
      </c>
      <c r="K320" s="33">
        <v>9.2534174553101992E-2</v>
      </c>
      <c r="L320" s="33">
        <v>0.25022004275116311</v>
      </c>
      <c r="M320" s="33">
        <v>0.23261662265811645</v>
      </c>
      <c r="N320" s="33">
        <v>0.55276381909547734</v>
      </c>
      <c r="O320" s="33">
        <v>0.41837837837837838</v>
      </c>
      <c r="P320" s="33">
        <v>0.4475703324808184</v>
      </c>
    </row>
    <row r="321" spans="1:16" x14ac:dyDescent="0.45">
      <c r="A321" s="35">
        <v>318</v>
      </c>
      <c r="B321" s="32">
        <v>-6.7501559897209518E-14</v>
      </c>
      <c r="C321" s="32">
        <v>-7.0756352093511026E-17</v>
      </c>
      <c r="D321" s="37">
        <v>2</v>
      </c>
      <c r="E321" s="33">
        <v>0.33333333333333331</v>
      </c>
      <c r="F321" s="33">
        <v>0.33333333333333331</v>
      </c>
      <c r="G321" s="33">
        <v>0.29509840792277797</v>
      </c>
      <c r="H321" s="33">
        <v>0.16121348878024319</v>
      </c>
      <c r="I321" s="34">
        <v>8366.3551401869154</v>
      </c>
      <c r="J321" s="34">
        <v>-7764.5412130637633</v>
      </c>
      <c r="K321" s="33">
        <v>9.2243186582809222E-2</v>
      </c>
      <c r="L321" s="33">
        <v>0.25047010154193305</v>
      </c>
      <c r="M321" s="33">
        <v>0.23229284192052149</v>
      </c>
      <c r="N321" s="33">
        <v>0.55355355355355351</v>
      </c>
      <c r="O321" s="33">
        <v>0.41878035617916892</v>
      </c>
      <c r="P321" s="33">
        <v>0.44859813084112149</v>
      </c>
    </row>
    <row r="322" spans="1:16" x14ac:dyDescent="0.45">
      <c r="A322" s="35">
        <v>319</v>
      </c>
      <c r="B322" s="32">
        <v>-6.3948846218409017E-14</v>
      </c>
      <c r="C322" s="32">
        <v>-6.6822200855181839E-17</v>
      </c>
      <c r="D322" s="37">
        <v>2</v>
      </c>
      <c r="E322" s="33">
        <v>0.33333333333333331</v>
      </c>
      <c r="F322" s="33">
        <v>0.33333333333333331</v>
      </c>
      <c r="G322" s="33">
        <v>0.2951024487756122</v>
      </c>
      <c r="H322" s="33">
        <v>0.1612943528235882</v>
      </c>
      <c r="I322" s="34">
        <v>8356.1812023708717</v>
      </c>
      <c r="J322" s="34">
        <v>-7760.2633617350893</v>
      </c>
      <c r="K322" s="33">
        <v>9.1954022988505746E-2</v>
      </c>
      <c r="L322" s="33">
        <v>0.25037481259370314</v>
      </c>
      <c r="M322" s="33">
        <v>0.23213393303348326</v>
      </c>
      <c r="N322" s="33">
        <v>0.55289421157684626</v>
      </c>
      <c r="O322" s="33">
        <v>0.41980624327233584</v>
      </c>
      <c r="P322" s="33">
        <v>0.4483488569009314</v>
      </c>
    </row>
    <row r="323" spans="1:16" x14ac:dyDescent="0.45">
      <c r="A323" s="35">
        <v>320</v>
      </c>
      <c r="B323" s="32">
        <v>-6.3948846218409017E-14</v>
      </c>
      <c r="C323" s="32">
        <v>-6.661338147750939E-17</v>
      </c>
      <c r="D323" s="37">
        <v>2</v>
      </c>
      <c r="E323" s="33">
        <v>0.33333333333333331</v>
      </c>
      <c r="F323" s="33">
        <v>0.33333333333333331</v>
      </c>
      <c r="G323" s="33">
        <v>0.29509217737917287</v>
      </c>
      <c r="H323" s="33">
        <v>0.16118584952665671</v>
      </c>
      <c r="I323" s="34">
        <v>8357.7036724356276</v>
      </c>
      <c r="J323" s="34">
        <v>-7770.788253477589</v>
      </c>
      <c r="K323" s="33">
        <v>9.166666666666666E-2</v>
      </c>
      <c r="L323" s="33">
        <v>0.25062282012954656</v>
      </c>
      <c r="M323" s="33">
        <v>0.23231190832087692</v>
      </c>
      <c r="N323" s="33">
        <v>0.55218687872763417</v>
      </c>
      <c r="O323" s="33">
        <v>0.41983914209115281</v>
      </c>
      <c r="P323" s="33">
        <v>0.4487125369354158</v>
      </c>
    </row>
    <row r="324" spans="1:16" x14ac:dyDescent="0.45">
      <c r="A324" s="35">
        <v>321</v>
      </c>
      <c r="B324" s="32">
        <v>-6.3948846218409017E-14</v>
      </c>
      <c r="C324" s="32">
        <v>-6.6405863155149545E-17</v>
      </c>
      <c r="D324" s="37">
        <v>2</v>
      </c>
      <c r="E324" s="33">
        <v>0.33333333333333331</v>
      </c>
      <c r="F324" s="33">
        <v>0.33333333333333331</v>
      </c>
      <c r="G324" s="33">
        <v>0.29483358171882762</v>
      </c>
      <c r="H324" s="33">
        <v>0.16082960755091902</v>
      </c>
      <c r="I324" s="34">
        <v>8375.4844144903109</v>
      </c>
      <c r="J324" s="34">
        <v>-7774.0540540540542</v>
      </c>
      <c r="K324" s="33">
        <v>9.138110072689512E-2</v>
      </c>
      <c r="L324" s="33">
        <v>0.25074515648286139</v>
      </c>
      <c r="M324" s="33">
        <v>0.23224043715846995</v>
      </c>
      <c r="N324" s="33">
        <v>0.55175829618623085</v>
      </c>
      <c r="O324" s="33">
        <v>0.41925133689839572</v>
      </c>
      <c r="P324" s="33">
        <v>0.44945240101095196</v>
      </c>
    </row>
    <row r="325" spans="1:16" x14ac:dyDescent="0.45">
      <c r="A325" s="35">
        <v>322</v>
      </c>
      <c r="B325" s="32">
        <v>-6.3948846218409017E-14</v>
      </c>
      <c r="C325" s="32">
        <v>-6.6199633766468963E-17</v>
      </c>
      <c r="D325" s="37">
        <v>2</v>
      </c>
      <c r="E325" s="33">
        <v>0.33333333333333331</v>
      </c>
      <c r="F325" s="33">
        <v>0.33333333333333331</v>
      </c>
      <c r="G325" s="33">
        <v>0.29489087301587302</v>
      </c>
      <c r="H325" s="33">
        <v>0.16083829365079366</v>
      </c>
      <c r="I325" s="34">
        <v>8380.3195962994105</v>
      </c>
      <c r="J325" s="34">
        <v>-7785.1966075558985</v>
      </c>
      <c r="K325" s="33">
        <v>9.213250517598344E-2</v>
      </c>
      <c r="L325" s="33">
        <v>0.25074404761904762</v>
      </c>
      <c r="M325" s="33">
        <v>0.23214285714285715</v>
      </c>
      <c r="N325" s="33">
        <v>0.55192878338278928</v>
      </c>
      <c r="O325" s="33">
        <v>0.41933760683760685</v>
      </c>
      <c r="P325" s="33">
        <v>0.44953742640874683</v>
      </c>
    </row>
    <row r="326" spans="1:16" x14ac:dyDescent="0.45">
      <c r="A326" s="35">
        <v>323</v>
      </c>
      <c r="B326" s="32">
        <v>-6.3948846218409017E-14</v>
      </c>
      <c r="C326" s="32">
        <v>-6.5994681339947383E-17</v>
      </c>
      <c r="D326" s="37">
        <v>2</v>
      </c>
      <c r="E326" s="33">
        <v>0.33333333333333331</v>
      </c>
      <c r="F326" s="33">
        <v>0.33333333333333331</v>
      </c>
      <c r="G326" s="33">
        <v>0.29489556297120256</v>
      </c>
      <c r="H326" s="33">
        <v>0.16104313434680509</v>
      </c>
      <c r="I326" s="34">
        <v>8399.4132439228833</v>
      </c>
      <c r="J326" s="34">
        <v>-7808.1350729086726</v>
      </c>
      <c r="K326" s="33">
        <v>9.2879256965944276E-2</v>
      </c>
      <c r="L326" s="33">
        <v>0.25052527499691013</v>
      </c>
      <c r="M326" s="33">
        <v>0.23198615745890497</v>
      </c>
      <c r="N326" s="33">
        <v>0.55155402072027626</v>
      </c>
      <c r="O326" s="33">
        <v>0.41981885988279166</v>
      </c>
      <c r="P326" s="33">
        <v>0.44886839899413244</v>
      </c>
    </row>
    <row r="327" spans="1:16" x14ac:dyDescent="0.45">
      <c r="A327" s="35">
        <v>324</v>
      </c>
      <c r="B327" s="32">
        <v>-6.3948846218409017E-14</v>
      </c>
      <c r="C327" s="32">
        <v>-6.5790994051861125E-17</v>
      </c>
      <c r="D327" s="37">
        <v>2</v>
      </c>
      <c r="E327" s="33">
        <v>0.33333333333333331</v>
      </c>
      <c r="F327" s="33">
        <v>0.33333333333333331</v>
      </c>
      <c r="G327" s="33">
        <v>0.29499506903353057</v>
      </c>
      <c r="H327" s="33">
        <v>0.16074950690335305</v>
      </c>
      <c r="I327" s="34">
        <v>8404.1788549937319</v>
      </c>
      <c r="J327" s="34">
        <v>-7811.3496932515336</v>
      </c>
      <c r="K327" s="33">
        <v>9.2592592592592587E-2</v>
      </c>
      <c r="L327" s="33">
        <v>0.25098619329388561</v>
      </c>
      <c r="M327" s="33">
        <v>0.23187869822485208</v>
      </c>
      <c r="N327" s="33">
        <v>0.55108055009823187</v>
      </c>
      <c r="O327" s="33">
        <v>0.41998936735778841</v>
      </c>
      <c r="P327" s="33">
        <v>0.45006268282490597</v>
      </c>
    </row>
    <row r="328" spans="1:16" x14ac:dyDescent="0.45">
      <c r="A328" s="35">
        <v>325</v>
      </c>
      <c r="B328" s="32">
        <v>-6.3948846218409017E-14</v>
      </c>
      <c r="C328" s="32">
        <v>-6.5588560224009254E-17</v>
      </c>
      <c r="D328" s="37">
        <v>2</v>
      </c>
      <c r="E328" s="33">
        <v>0.33333333333333331</v>
      </c>
      <c r="F328" s="33">
        <v>0.33333333333333331</v>
      </c>
      <c r="G328" s="33">
        <v>0.29497110537317101</v>
      </c>
      <c r="H328" s="33">
        <v>0.16082626337144965</v>
      </c>
      <c r="I328" s="34">
        <v>8422.4260108378494</v>
      </c>
      <c r="J328" s="34">
        <v>-7844.1896024464831</v>
      </c>
      <c r="K328" s="33">
        <v>9.3333333333333338E-2</v>
      </c>
      <c r="L328" s="33">
        <v>0.25070699618836839</v>
      </c>
      <c r="M328" s="33">
        <v>0.23189474978482724</v>
      </c>
      <c r="N328" s="33">
        <v>0.55076017655713583</v>
      </c>
      <c r="O328" s="33">
        <v>0.41993637327677624</v>
      </c>
      <c r="P328" s="33">
        <v>0.44977073780741977</v>
      </c>
    </row>
    <row r="329" spans="1:16" x14ac:dyDescent="0.45">
      <c r="A329" s="35">
        <v>326</v>
      </c>
      <c r="B329" s="32">
        <v>-6.3948846218409017E-14</v>
      </c>
      <c r="C329" s="32">
        <v>-6.5387368321481617E-17</v>
      </c>
      <c r="D329" s="37">
        <v>2</v>
      </c>
      <c r="E329" s="33">
        <v>0.33333333333333331</v>
      </c>
      <c r="F329" s="33">
        <v>0.33333333333333331</v>
      </c>
      <c r="G329" s="33">
        <v>0.29452809401395519</v>
      </c>
      <c r="H329" s="33">
        <v>0.16023993144815768</v>
      </c>
      <c r="I329" s="34">
        <v>8422.6932668329173</v>
      </c>
      <c r="J329" s="34">
        <v>-7839.1902215431628</v>
      </c>
      <c r="K329" s="33">
        <v>9.3047034764826175E-2</v>
      </c>
      <c r="L329" s="33">
        <v>0.25058146651976987</v>
      </c>
      <c r="M329" s="33">
        <v>0.23197453788713429</v>
      </c>
      <c r="N329" s="33">
        <v>0.54958475818270636</v>
      </c>
      <c r="O329" s="33">
        <v>0.41899736147757255</v>
      </c>
      <c r="P329" s="33">
        <v>0.45095594347464674</v>
      </c>
    </row>
    <row r="330" spans="1:16" x14ac:dyDescent="0.45">
      <c r="A330" s="35">
        <v>327</v>
      </c>
      <c r="B330" s="32">
        <v>-7.1054273576010019E-14</v>
      </c>
      <c r="C330" s="32">
        <v>-7.2430452167186566E-17</v>
      </c>
      <c r="D330" s="37">
        <v>2</v>
      </c>
      <c r="E330" s="33">
        <v>0.33333333333333331</v>
      </c>
      <c r="F330" s="33">
        <v>0.33333333333333331</v>
      </c>
      <c r="G330" s="33">
        <v>0.29410331384015592</v>
      </c>
      <c r="H330" s="33">
        <v>0.15984405458089668</v>
      </c>
      <c r="I330" s="34">
        <v>8423.487986743994</v>
      </c>
      <c r="J330" s="34">
        <v>-7840.7774390243903</v>
      </c>
      <c r="K330" s="33">
        <v>9.3781855249745152E-2</v>
      </c>
      <c r="L330" s="33">
        <v>0.2503654970760234</v>
      </c>
      <c r="M330" s="33">
        <v>0.23172514619883042</v>
      </c>
      <c r="N330" s="33">
        <v>0.54890510948905114</v>
      </c>
      <c r="O330" s="33">
        <v>0.41798107255520506</v>
      </c>
      <c r="P330" s="33">
        <v>0.45153272576636289</v>
      </c>
    </row>
    <row r="331" spans="1:16" x14ac:dyDescent="0.45">
      <c r="A331" s="35">
        <v>328</v>
      </c>
      <c r="B331" s="32">
        <v>-7.1054273576010019E-14</v>
      </c>
      <c r="C331" s="32">
        <v>-7.2209627617896359E-17</v>
      </c>
      <c r="D331" s="37">
        <v>2</v>
      </c>
      <c r="E331" s="33">
        <v>0.33333333333333331</v>
      </c>
      <c r="F331" s="33">
        <v>0.33333333333333331</v>
      </c>
      <c r="G331" s="33">
        <v>0.29411050394656951</v>
      </c>
      <c r="H331" s="33">
        <v>0.15992714025500912</v>
      </c>
      <c r="I331" s="34">
        <v>8422.8323699421962</v>
      </c>
      <c r="J331" s="34">
        <v>-7833.9407744874716</v>
      </c>
      <c r="K331" s="33">
        <v>9.451219512195122E-2</v>
      </c>
      <c r="L331" s="33">
        <v>0.24990892531876138</v>
      </c>
      <c r="M331" s="33">
        <v>0.2315725561627201</v>
      </c>
      <c r="N331" s="33">
        <v>0.5485908649173955</v>
      </c>
      <c r="O331" s="33">
        <v>0.41898269533298377</v>
      </c>
      <c r="P331" s="33">
        <v>0.45127993393889348</v>
      </c>
    </row>
    <row r="332" spans="1:16" x14ac:dyDescent="0.45">
      <c r="A332" s="35">
        <v>329</v>
      </c>
      <c r="B332" s="32">
        <v>-7.1054273576010019E-14</v>
      </c>
      <c r="C332" s="32">
        <v>-7.1990145467082087E-17</v>
      </c>
      <c r="D332" s="37">
        <v>2</v>
      </c>
      <c r="E332" s="33">
        <v>0.33333333333333331</v>
      </c>
      <c r="F332" s="33">
        <v>0.33333333333333331</v>
      </c>
      <c r="G332" s="33">
        <v>0.29408914728682173</v>
      </c>
      <c r="H332" s="33">
        <v>0.16024709302325582</v>
      </c>
      <c r="I332" s="34">
        <v>8426.6886326194399</v>
      </c>
      <c r="J332" s="34">
        <v>-7843.6885865457298</v>
      </c>
      <c r="K332" s="33">
        <v>9.5238095238095233E-2</v>
      </c>
      <c r="L332" s="33">
        <v>0.2502422480620155</v>
      </c>
      <c r="M332" s="33">
        <v>0.23146802325581395</v>
      </c>
      <c r="N332" s="33">
        <v>0.54791868344627304</v>
      </c>
      <c r="O332" s="33">
        <v>0.41967556253270538</v>
      </c>
      <c r="P332" s="33">
        <v>0.45016474464579903</v>
      </c>
    </row>
    <row r="333" spans="1:16" x14ac:dyDescent="0.45">
      <c r="A333" s="35">
        <v>330</v>
      </c>
      <c r="B333" s="32">
        <v>-7.1054273576010019E-14</v>
      </c>
      <c r="C333" s="32">
        <v>-7.1771993511121237E-17</v>
      </c>
      <c r="D333" s="37">
        <v>2</v>
      </c>
      <c r="E333" s="33">
        <v>0.33333333333333331</v>
      </c>
      <c r="F333" s="33">
        <v>0.33333333333333331</v>
      </c>
      <c r="G333" s="33">
        <v>0.29414610546686021</v>
      </c>
      <c r="H333" s="33">
        <v>0.16025641025641027</v>
      </c>
      <c r="I333" s="34">
        <v>8431.4967105263149</v>
      </c>
      <c r="J333" s="34">
        <v>-7858.9433962264147</v>
      </c>
      <c r="K333" s="33">
        <v>9.5959595959595953E-2</v>
      </c>
      <c r="L333" s="33">
        <v>0.25024189646831158</v>
      </c>
      <c r="M333" s="33">
        <v>0.23113207547169812</v>
      </c>
      <c r="N333" s="33">
        <v>0.54809086515224748</v>
      </c>
      <c r="O333" s="33">
        <v>0.41967556253270538</v>
      </c>
      <c r="P333" s="33">
        <v>0.45024671052631576</v>
      </c>
    </row>
    <row r="334" spans="1:16" x14ac:dyDescent="0.45">
      <c r="A334" s="35">
        <v>331</v>
      </c>
      <c r="B334" s="32">
        <v>-7.1054273576010019E-14</v>
      </c>
      <c r="C334" s="32">
        <v>-7.1555159693867088E-17</v>
      </c>
      <c r="D334" s="37">
        <v>2</v>
      </c>
      <c r="E334" s="33">
        <v>0.33333333333333331</v>
      </c>
      <c r="F334" s="33">
        <v>0.33333333333333331</v>
      </c>
      <c r="G334" s="33">
        <v>0.29415310427968655</v>
      </c>
      <c r="H334" s="33">
        <v>0.16009644364074743</v>
      </c>
      <c r="I334" s="34">
        <v>8415.7786885245896</v>
      </c>
      <c r="J334" s="34">
        <v>-7846.7620481927706</v>
      </c>
      <c r="K334" s="33">
        <v>9.5669687814702919E-2</v>
      </c>
      <c r="L334" s="33">
        <v>0.25051235684147077</v>
      </c>
      <c r="M334" s="33">
        <v>0.23122362869198312</v>
      </c>
      <c r="N334" s="33">
        <v>0.54716073147256983</v>
      </c>
      <c r="O334" s="33">
        <v>0.42022940563086547</v>
      </c>
      <c r="P334" s="33">
        <v>0.45081967213114754</v>
      </c>
    </row>
    <row r="335" spans="1:16" x14ac:dyDescent="0.45">
      <c r="A335" s="35">
        <v>332</v>
      </c>
      <c r="B335" s="32">
        <v>-7.815970093361102E-14</v>
      </c>
      <c r="C335" s="32">
        <v>-7.8473595314870504E-17</v>
      </c>
      <c r="D335" s="37">
        <v>2</v>
      </c>
      <c r="E335" s="33">
        <v>0.33333333333333331</v>
      </c>
      <c r="F335" s="33">
        <v>0.33333333333333331</v>
      </c>
      <c r="G335" s="33">
        <v>0.29422382671480146</v>
      </c>
      <c r="H335" s="33">
        <v>0.15980746089049339</v>
      </c>
      <c r="I335" s="34">
        <v>8423.7218813905929</v>
      </c>
      <c r="J335" s="34">
        <v>-7846.7620481927706</v>
      </c>
      <c r="K335" s="33">
        <v>9.6385542168674704E-2</v>
      </c>
      <c r="L335" s="33">
        <v>0.25054151624548737</v>
      </c>
      <c r="M335" s="33">
        <v>0.23092659446450059</v>
      </c>
      <c r="N335" s="33">
        <v>0.54707012487992313</v>
      </c>
      <c r="O335" s="33">
        <v>0.42053152683689421</v>
      </c>
      <c r="P335" s="33">
        <v>0.45194274028629855</v>
      </c>
    </row>
    <row r="336" spans="1:16" x14ac:dyDescent="0.45">
      <c r="A336" s="35">
        <v>333</v>
      </c>
      <c r="B336" s="32">
        <v>-7.815970093361102E-14</v>
      </c>
      <c r="C336" s="32">
        <v>-7.8237938872483503E-17</v>
      </c>
      <c r="D336" s="37">
        <v>2</v>
      </c>
      <c r="E336" s="33">
        <v>0.33333333333333331</v>
      </c>
      <c r="F336" s="33">
        <v>0.33333333333333331</v>
      </c>
      <c r="G336" s="33">
        <v>0.29426613775694194</v>
      </c>
      <c r="H336" s="33">
        <v>0.15987498497415556</v>
      </c>
      <c r="I336" s="34">
        <v>8432.8431372549021</v>
      </c>
      <c r="J336" s="34">
        <v>-7857.2180451127815</v>
      </c>
      <c r="K336" s="33">
        <v>9.7097097097097101E-2</v>
      </c>
      <c r="L336" s="33">
        <v>0.25063108546700325</v>
      </c>
      <c r="M336" s="33">
        <v>0.23103738430099771</v>
      </c>
      <c r="N336" s="33">
        <v>0.5467625899280576</v>
      </c>
      <c r="O336" s="33">
        <v>0.42091571279916751</v>
      </c>
      <c r="P336" s="33">
        <v>0.45179738562091504</v>
      </c>
    </row>
    <row r="337" spans="1:16" x14ac:dyDescent="0.45">
      <c r="A337" s="35">
        <v>334</v>
      </c>
      <c r="B337" s="32">
        <v>-7.815970093361102E-14</v>
      </c>
      <c r="C337" s="32">
        <v>-7.8003693546517987E-17</v>
      </c>
      <c r="D337" s="37">
        <v>2</v>
      </c>
      <c r="E337" s="33">
        <v>0.33333333333333331</v>
      </c>
      <c r="F337" s="33">
        <v>0.33333333333333331</v>
      </c>
      <c r="G337" s="33">
        <v>0.29418828049951967</v>
      </c>
      <c r="H337" s="33">
        <v>0.15982228626320846</v>
      </c>
      <c r="I337" s="34">
        <v>8443.9183673469379</v>
      </c>
      <c r="J337" s="34">
        <v>-7875.3568745304283</v>
      </c>
      <c r="K337" s="33">
        <v>9.7804391217564873E-2</v>
      </c>
      <c r="L337" s="33">
        <v>0.25072046109510088</v>
      </c>
      <c r="M337" s="33">
        <v>0.23090778097982709</v>
      </c>
      <c r="N337" s="33">
        <v>0.54645593869731801</v>
      </c>
      <c r="O337" s="33">
        <v>0.42069682787311491</v>
      </c>
      <c r="P337" s="33">
        <v>0.45183673469387753</v>
      </c>
    </row>
    <row r="338" spans="1:16" x14ac:dyDescent="0.45">
      <c r="A338" s="35">
        <v>335</v>
      </c>
      <c r="B338" s="32">
        <v>-8.1712414612411521E-14</v>
      </c>
      <c r="C338" s="32">
        <v>-8.1305885186479123E-17</v>
      </c>
      <c r="D338" s="37">
        <v>2</v>
      </c>
      <c r="E338" s="33">
        <v>0.33333333333333331</v>
      </c>
      <c r="F338" s="33">
        <v>0.33333333333333331</v>
      </c>
      <c r="G338" s="33">
        <v>0.29415288761083153</v>
      </c>
      <c r="H338" s="33">
        <v>0.15995686556434219</v>
      </c>
      <c r="I338" s="34">
        <v>8455.7230142566186</v>
      </c>
      <c r="J338" s="34">
        <v>-7896.1048689138579</v>
      </c>
      <c r="K338" s="33">
        <v>9.8507462686567168E-2</v>
      </c>
      <c r="L338" s="33">
        <v>0.25077881619937692</v>
      </c>
      <c r="M338" s="33">
        <v>0.23076923076923078</v>
      </c>
      <c r="N338" s="33">
        <v>0.54610606784519833</v>
      </c>
      <c r="O338" s="33">
        <v>0.42107995846313601</v>
      </c>
      <c r="P338" s="33">
        <v>0.45132382892057027</v>
      </c>
    </row>
    <row r="339" spans="1:16" x14ac:dyDescent="0.45">
      <c r="A339" s="35">
        <v>336</v>
      </c>
      <c r="B339" s="32">
        <v>-7.815970093361102E-14</v>
      </c>
      <c r="C339" s="32">
        <v>-7.7539385846836326E-17</v>
      </c>
      <c r="D339" s="37">
        <v>2</v>
      </c>
      <c r="E339" s="33">
        <v>0.33333333333333331</v>
      </c>
      <c r="F339" s="33">
        <v>0.33333333333333331</v>
      </c>
      <c r="G339" s="33">
        <v>0.29415979935506986</v>
      </c>
      <c r="H339" s="33">
        <v>0.15979935506986742</v>
      </c>
      <c r="I339" s="34">
        <v>8456.9224522939512</v>
      </c>
      <c r="J339" s="34">
        <v>-7895.2167414050818</v>
      </c>
      <c r="K339" s="33">
        <v>9.8214285714285712E-2</v>
      </c>
      <c r="L339" s="33">
        <v>0.25128388868983637</v>
      </c>
      <c r="M339" s="33">
        <v>0.2308611011584856</v>
      </c>
      <c r="N339" s="33">
        <v>0.54610266159695819</v>
      </c>
      <c r="O339" s="33">
        <v>0.42007242628039315</v>
      </c>
      <c r="P339" s="33">
        <v>0.45188794153471379</v>
      </c>
    </row>
    <row r="340" spans="1:16" x14ac:dyDescent="0.45">
      <c r="A340" s="35">
        <v>337</v>
      </c>
      <c r="B340" s="32">
        <v>-7.815970093361102E-14</v>
      </c>
      <c r="C340" s="32">
        <v>-7.7309298648477764E-17</v>
      </c>
      <c r="D340" s="37">
        <v>2</v>
      </c>
      <c r="E340" s="33">
        <v>0.33333333333333331</v>
      </c>
      <c r="F340" s="33">
        <v>0.33333333333333331</v>
      </c>
      <c r="G340" s="33">
        <v>0.29431358553414227</v>
      </c>
      <c r="H340" s="33">
        <v>0.1601237211515584</v>
      </c>
      <c r="I340" s="34">
        <v>8452.9911075181899</v>
      </c>
      <c r="J340" s="34">
        <v>-7883.4323922734029</v>
      </c>
      <c r="K340" s="33">
        <v>9.7922848664688422E-2</v>
      </c>
      <c r="L340" s="33">
        <v>0.25124910778015702</v>
      </c>
      <c r="M340" s="33">
        <v>0.23114442065191529</v>
      </c>
      <c r="N340" s="33">
        <v>0.54640151515151514</v>
      </c>
      <c r="O340" s="33">
        <v>0.41996911991765312</v>
      </c>
      <c r="P340" s="33">
        <v>0.45109135004042039</v>
      </c>
    </row>
    <row r="341" spans="1:16" x14ac:dyDescent="0.45">
      <c r="A341" s="35">
        <v>338</v>
      </c>
      <c r="B341" s="32">
        <v>-7.5495165674510645E-14</v>
      </c>
      <c r="C341" s="32">
        <v>-7.4452826108984855E-17</v>
      </c>
      <c r="D341" s="37">
        <v>2</v>
      </c>
      <c r="E341" s="33">
        <v>0.33333333333333331</v>
      </c>
      <c r="F341" s="33">
        <v>0.33333333333333331</v>
      </c>
      <c r="G341" s="33">
        <v>0.29427083333333331</v>
      </c>
      <c r="H341" s="33">
        <v>0.16039299242424243</v>
      </c>
      <c r="I341" s="34">
        <v>8446.1786001609016</v>
      </c>
      <c r="J341" s="34">
        <v>-7870.0369003690039</v>
      </c>
      <c r="K341" s="33">
        <v>9.7633136094674555E-2</v>
      </c>
      <c r="L341" s="33">
        <v>0.25082859848484851</v>
      </c>
      <c r="M341" s="33">
        <v>0.23153409090909091</v>
      </c>
      <c r="N341" s="33">
        <v>0.54601226993865026</v>
      </c>
      <c r="O341" s="33">
        <v>0.41973415132924335</v>
      </c>
      <c r="P341" s="33">
        <v>0.45012067578439258</v>
      </c>
    </row>
    <row r="342" spans="1:16" x14ac:dyDescent="0.45">
      <c r="A342" s="35">
        <v>339</v>
      </c>
      <c r="B342" s="32">
        <v>-7.460698725481052E-14</v>
      </c>
      <c r="C342" s="32">
        <v>-7.3359869473756655E-17</v>
      </c>
      <c r="D342" s="37">
        <v>2</v>
      </c>
      <c r="E342" s="33">
        <v>0.33333333333333331</v>
      </c>
      <c r="F342" s="33">
        <v>0.33333333333333331</v>
      </c>
      <c r="G342" s="33">
        <v>0.29413153855236746</v>
      </c>
      <c r="H342" s="33">
        <v>0.16023143228244185</v>
      </c>
      <c r="I342" s="34">
        <v>8445.1224407868322</v>
      </c>
      <c r="J342" s="34">
        <v>-7866.985998526161</v>
      </c>
      <c r="K342" s="33">
        <v>9.7345132743362831E-2</v>
      </c>
      <c r="L342" s="33">
        <v>0.25138741291769984</v>
      </c>
      <c r="M342" s="33">
        <v>0.23155036013697011</v>
      </c>
      <c r="N342" s="33">
        <v>0.54532644434006572</v>
      </c>
      <c r="O342" s="33">
        <v>0.41917389087200407</v>
      </c>
      <c r="P342" s="33">
        <v>0.45042151746286629</v>
      </c>
    </row>
    <row r="343" spans="1:16" x14ac:dyDescent="0.45">
      <c r="A343" s="35">
        <v>340</v>
      </c>
      <c r="B343" s="32">
        <v>-7.1054273576010019E-14</v>
      </c>
      <c r="C343" s="32">
        <v>-6.9661052525500017E-17</v>
      </c>
      <c r="D343" s="37">
        <v>2</v>
      </c>
      <c r="E343" s="33">
        <v>0.33333333333333331</v>
      </c>
      <c r="F343" s="33">
        <v>0.33333333333333331</v>
      </c>
      <c r="G343" s="33">
        <v>0.29393083980239942</v>
      </c>
      <c r="H343" s="33">
        <v>0.15984474241354976</v>
      </c>
      <c r="I343" s="34">
        <v>8444.017607042817</v>
      </c>
      <c r="J343" s="34">
        <v>-7867.1081677704196</v>
      </c>
      <c r="K343" s="33">
        <v>9.7058823529411767E-2</v>
      </c>
      <c r="L343" s="33">
        <v>0.25158786167960479</v>
      </c>
      <c r="M343" s="33">
        <v>0.23135732768760292</v>
      </c>
      <c r="N343" s="33">
        <v>0.54464703132304815</v>
      </c>
      <c r="O343" s="33">
        <v>0.41840366039654298</v>
      </c>
      <c r="P343" s="33">
        <v>0.45138055222088835</v>
      </c>
    </row>
    <row r="344" spans="1:16" x14ac:dyDescent="0.45">
      <c r="A344" s="35">
        <v>341</v>
      </c>
      <c r="B344" s="32">
        <v>-6.7501559897209518E-14</v>
      </c>
      <c r="C344" s="32">
        <v>-6.5983929518288877E-17</v>
      </c>
      <c r="D344" s="37">
        <v>2</v>
      </c>
      <c r="E344" s="33">
        <v>0.33333333333333331</v>
      </c>
      <c r="F344" s="33">
        <v>0.33333333333333331</v>
      </c>
      <c r="G344" s="33">
        <v>0.29406938584153774</v>
      </c>
      <c r="H344" s="33">
        <v>0.1597515236755743</v>
      </c>
      <c r="I344" s="34">
        <v>8442.8058987644472</v>
      </c>
      <c r="J344" s="34">
        <v>-7872.1203228173144</v>
      </c>
      <c r="K344" s="33">
        <v>9.7751710654936458E-2</v>
      </c>
      <c r="L344" s="33">
        <v>0.25164088138771684</v>
      </c>
      <c r="M344" s="33">
        <v>0.2318330989217065</v>
      </c>
      <c r="N344" s="33">
        <v>0.54494643688868183</v>
      </c>
      <c r="O344" s="33">
        <v>0.41860465116279072</v>
      </c>
      <c r="P344" s="33">
        <v>0.45197289756875247</v>
      </c>
    </row>
    <row r="345" spans="1:16" x14ac:dyDescent="0.45">
      <c r="A345" s="35">
        <v>342</v>
      </c>
      <c r="B345" s="32">
        <v>-7.1054273576010019E-14</v>
      </c>
      <c r="C345" s="32">
        <v>-6.92536779493275E-17</v>
      </c>
      <c r="D345" s="37">
        <v>2</v>
      </c>
      <c r="E345" s="33">
        <v>0.33333333333333331</v>
      </c>
      <c r="F345" s="33">
        <v>0.33333333333333331</v>
      </c>
      <c r="G345" s="33">
        <v>0.29385657556645645</v>
      </c>
      <c r="H345" s="33">
        <v>0.15965895818733941</v>
      </c>
      <c r="I345" s="34">
        <v>8445.8267090620029</v>
      </c>
      <c r="J345" s="34">
        <v>-7863.0577907827355</v>
      </c>
      <c r="K345" s="33">
        <v>9.8440545808966856E-2</v>
      </c>
      <c r="L345" s="33">
        <v>0.25145993926652649</v>
      </c>
      <c r="M345" s="33">
        <v>0.23148797010044384</v>
      </c>
      <c r="N345" s="33">
        <v>0.54528564793311662</v>
      </c>
      <c r="O345" s="33">
        <v>0.41876892028254287</v>
      </c>
      <c r="P345" s="33">
        <v>0.45190779014308424</v>
      </c>
    </row>
    <row r="346" spans="1:16" x14ac:dyDescent="0.45">
      <c r="A346" s="35">
        <v>343</v>
      </c>
      <c r="B346" s="32">
        <v>-7.3718808835110394E-14</v>
      </c>
      <c r="C346" s="32">
        <v>-7.1641213639563067E-17</v>
      </c>
      <c r="D346" s="37">
        <v>2</v>
      </c>
      <c r="E346" s="33">
        <v>0.33333333333333331</v>
      </c>
      <c r="F346" s="33">
        <v>0.33333333333333331</v>
      </c>
      <c r="G346" s="33">
        <v>0.29393939393939394</v>
      </c>
      <c r="H346" s="33">
        <v>0.1597902097902098</v>
      </c>
      <c r="I346" s="34">
        <v>8453.1720856463126</v>
      </c>
      <c r="J346" s="34">
        <v>-7873.3041575492343</v>
      </c>
      <c r="K346" s="33">
        <v>9.9125364431486881E-2</v>
      </c>
      <c r="L346" s="33">
        <v>0.25139860139860137</v>
      </c>
      <c r="M346" s="33">
        <v>0.23135198135198135</v>
      </c>
      <c r="N346" s="33">
        <v>0.54520166898470102</v>
      </c>
      <c r="O346" s="33">
        <v>0.41914357682619646</v>
      </c>
      <c r="P346" s="33">
        <v>0.45162569389373514</v>
      </c>
    </row>
    <row r="347" spans="1:16" x14ac:dyDescent="0.45">
      <c r="A347" s="35">
        <v>344</v>
      </c>
      <c r="B347" s="32">
        <v>-7.460698725481052E-14</v>
      </c>
      <c r="C347" s="32">
        <v>-7.2293592301172989E-17</v>
      </c>
      <c r="D347" s="37">
        <v>2</v>
      </c>
      <c r="E347" s="33">
        <v>0.33333333333333331</v>
      </c>
      <c r="F347" s="33">
        <v>0.33333333333333331</v>
      </c>
      <c r="G347" s="33">
        <v>0.29388560157790927</v>
      </c>
      <c r="H347" s="33">
        <v>0.15976331360946747</v>
      </c>
      <c r="I347" s="34">
        <v>8463.2056849585479</v>
      </c>
      <c r="J347" s="34">
        <v>-7866.8845315904136</v>
      </c>
      <c r="K347" s="33">
        <v>9.8837209302325577E-2</v>
      </c>
      <c r="L347" s="33">
        <v>0.2511892330896856</v>
      </c>
      <c r="M347" s="33">
        <v>0.23169741269288779</v>
      </c>
      <c r="N347" s="33">
        <v>0.54595842956120089</v>
      </c>
      <c r="O347" s="33">
        <v>0.41862794191286928</v>
      </c>
      <c r="P347" s="33">
        <v>0.45163837347019342</v>
      </c>
    </row>
    <row r="348" spans="1:16" x14ac:dyDescent="0.45">
      <c r="A348" s="35">
        <v>345</v>
      </c>
      <c r="B348" s="32">
        <v>-7.460698725481052E-14</v>
      </c>
      <c r="C348" s="32">
        <v>-7.2084045656821753E-17</v>
      </c>
      <c r="D348" s="37">
        <v>2</v>
      </c>
      <c r="E348" s="33">
        <v>0.33333333333333331</v>
      </c>
      <c r="F348" s="33">
        <v>0.33333333333333331</v>
      </c>
      <c r="G348" s="33">
        <v>0.2936755694299919</v>
      </c>
      <c r="H348" s="33">
        <v>0.15967163833969245</v>
      </c>
      <c r="I348" s="34">
        <v>8464.9606299212592</v>
      </c>
      <c r="J348" s="34">
        <v>-7875.1629254163654</v>
      </c>
      <c r="K348" s="33">
        <v>9.9516908212560387E-2</v>
      </c>
      <c r="L348" s="33">
        <v>0.25112729795352062</v>
      </c>
      <c r="M348" s="33">
        <v>0.23181870736501331</v>
      </c>
      <c r="N348" s="33">
        <v>0.54604051565377532</v>
      </c>
      <c r="O348" s="33">
        <v>0.41845386533665835</v>
      </c>
      <c r="P348" s="33">
        <v>0.4515748031496063</v>
      </c>
    </row>
    <row r="349" spans="1:16" x14ac:dyDescent="0.45">
      <c r="A349" s="35">
        <v>346</v>
      </c>
      <c r="B349" s="32">
        <v>-7.5495165674510645E-14</v>
      </c>
      <c r="C349" s="32">
        <v>-7.2731373482187516E-17</v>
      </c>
      <c r="D349" s="37">
        <v>2</v>
      </c>
      <c r="E349" s="33">
        <v>0.33333333333333331</v>
      </c>
      <c r="F349" s="33">
        <v>0.33333333333333331</v>
      </c>
      <c r="G349" s="33">
        <v>0.29378531073446329</v>
      </c>
      <c r="H349" s="33">
        <v>0.15957569468465352</v>
      </c>
      <c r="I349" s="34">
        <v>8462.2448979591845</v>
      </c>
      <c r="J349" s="34">
        <v>-7875.4335260115604</v>
      </c>
      <c r="K349" s="33">
        <v>9.9229287090558768E-2</v>
      </c>
      <c r="L349" s="33">
        <v>0.25089357777009108</v>
      </c>
      <c r="M349" s="33">
        <v>0.23163841807909605</v>
      </c>
      <c r="N349" s="33">
        <v>0.546875</v>
      </c>
      <c r="O349" s="33">
        <v>0.41762070681931307</v>
      </c>
      <c r="P349" s="33">
        <v>0.45211930926216642</v>
      </c>
    </row>
    <row r="350" spans="1:16" x14ac:dyDescent="0.45">
      <c r="A350" s="35">
        <v>347</v>
      </c>
      <c r="B350" s="32">
        <v>-7.815970093361102E-14</v>
      </c>
      <c r="C350" s="32">
        <v>-7.5081364969847276E-17</v>
      </c>
      <c r="D350" s="37">
        <v>2</v>
      </c>
      <c r="E350" s="33">
        <v>0.33333333333333331</v>
      </c>
      <c r="F350" s="33">
        <v>0.33333333333333331</v>
      </c>
      <c r="G350" s="33">
        <v>0.2938808373590982</v>
      </c>
      <c r="H350" s="33">
        <v>0.15953531170922475</v>
      </c>
      <c r="I350" s="34">
        <v>8464.5792563600789</v>
      </c>
      <c r="J350" s="34">
        <v>-7878.3705839942322</v>
      </c>
      <c r="K350" s="33">
        <v>9.9903938520653213E-2</v>
      </c>
      <c r="L350" s="33">
        <v>0.25086266390614215</v>
      </c>
      <c r="M350" s="33">
        <v>0.2318840579710145</v>
      </c>
      <c r="N350" s="33">
        <v>0.54653828519027969</v>
      </c>
      <c r="O350" s="33">
        <v>0.41865079365079366</v>
      </c>
      <c r="P350" s="33">
        <v>0.45205479452054792</v>
      </c>
    </row>
    <row r="351" spans="1:16" x14ac:dyDescent="0.45">
      <c r="A351" s="35">
        <v>348</v>
      </c>
      <c r="B351" s="32">
        <v>-7.815970093361102E-14</v>
      </c>
      <c r="C351" s="32">
        <v>-7.4865613921083356E-17</v>
      </c>
      <c r="D351" s="37">
        <v>2</v>
      </c>
      <c r="E351" s="33">
        <v>0.33333333333333331</v>
      </c>
      <c r="F351" s="33">
        <v>0.33333333333333331</v>
      </c>
      <c r="G351" s="33">
        <v>0.29396956173475225</v>
      </c>
      <c r="H351" s="33">
        <v>0.15928595949193272</v>
      </c>
      <c r="I351" s="34">
        <v>8451.5375632541836</v>
      </c>
      <c r="J351" s="34">
        <v>-7876.2212643678158</v>
      </c>
      <c r="K351" s="33">
        <v>9.9616858237547887E-2</v>
      </c>
      <c r="L351" s="33">
        <v>0.25071518480375327</v>
      </c>
      <c r="M351" s="33">
        <v>0.23240645382766906</v>
      </c>
      <c r="N351" s="33">
        <v>0.54632587859424919</v>
      </c>
      <c r="O351" s="33">
        <v>0.41900541605120628</v>
      </c>
      <c r="P351" s="33">
        <v>0.45270533281432462</v>
      </c>
    </row>
    <row r="352" spans="1:16" x14ac:dyDescent="0.45">
      <c r="A352" s="35">
        <v>349</v>
      </c>
      <c r="B352" s="32">
        <v>-7.638334409421077E-14</v>
      </c>
      <c r="C352" s="32">
        <v>-7.2954483375559469E-17</v>
      </c>
      <c r="D352" s="37">
        <v>2</v>
      </c>
      <c r="E352" s="33">
        <v>0.33333333333333331</v>
      </c>
      <c r="F352" s="33">
        <v>0.33333333333333331</v>
      </c>
      <c r="G352" s="33">
        <v>0.2939767282683094</v>
      </c>
      <c r="H352" s="33">
        <v>0.15970796258270592</v>
      </c>
      <c r="I352" s="34">
        <v>8446.7209934031816</v>
      </c>
      <c r="J352" s="34">
        <v>-7870.6428571428569</v>
      </c>
      <c r="K352" s="33">
        <v>9.9331423113658071E-2</v>
      </c>
      <c r="L352" s="33">
        <v>0.25051334702258726</v>
      </c>
      <c r="M352" s="33">
        <v>0.23237508555783709</v>
      </c>
      <c r="N352" s="33">
        <v>0.54644808743169404</v>
      </c>
      <c r="O352" s="33">
        <v>0.41777123220422191</v>
      </c>
      <c r="P352" s="33">
        <v>0.45129996119518823</v>
      </c>
    </row>
    <row r="353" spans="1:16" x14ac:dyDescent="0.45">
      <c r="A353" s="35">
        <v>350</v>
      </c>
      <c r="B353" s="32">
        <v>-7.815970093361102E-14</v>
      </c>
      <c r="C353" s="32">
        <v>-7.4437810412962873E-17</v>
      </c>
      <c r="D353" s="37">
        <v>2</v>
      </c>
      <c r="E353" s="33">
        <v>0.33333333333333331</v>
      </c>
      <c r="F353" s="33">
        <v>0.33333333333333331</v>
      </c>
      <c r="G353" s="33">
        <v>0.2936291240045506</v>
      </c>
      <c r="H353" s="33">
        <v>0.15961319681456201</v>
      </c>
      <c r="I353" s="34">
        <v>8453.5063928709806</v>
      </c>
      <c r="J353" s="34">
        <v>-7884.6756949394157</v>
      </c>
      <c r="K353" s="33">
        <v>9.9047619047619051E-2</v>
      </c>
      <c r="L353" s="33">
        <v>0.25028441410693969</v>
      </c>
      <c r="M353" s="33">
        <v>0.2323094425483504</v>
      </c>
      <c r="N353" s="33">
        <v>0.54545454545454541</v>
      </c>
      <c r="O353" s="33">
        <v>0.41821743388834476</v>
      </c>
      <c r="P353" s="33">
        <v>0.45098798915149169</v>
      </c>
    </row>
    <row r="354" spans="1:16" x14ac:dyDescent="0.45">
      <c r="A354" s="35">
        <v>351</v>
      </c>
      <c r="B354" s="32">
        <v>-7.815970093361102E-14</v>
      </c>
      <c r="C354" s="32">
        <v>-7.4225736879022812E-17</v>
      </c>
      <c r="D354" s="37">
        <v>2</v>
      </c>
      <c r="E354" s="33">
        <v>0.33333333333333331</v>
      </c>
      <c r="F354" s="33">
        <v>0.33333333333333331</v>
      </c>
      <c r="G354" s="33">
        <v>0.29361025990239475</v>
      </c>
      <c r="H354" s="33">
        <v>0.15968675519237316</v>
      </c>
      <c r="I354" s="34">
        <v>8450.5604947816009</v>
      </c>
      <c r="J354" s="34">
        <v>-7878.6780383795312</v>
      </c>
      <c r="K354" s="33">
        <v>9.8765432098765427E-2</v>
      </c>
      <c r="L354" s="33">
        <v>0.25059584610146407</v>
      </c>
      <c r="M354" s="33">
        <v>0.2324367268187493</v>
      </c>
      <c r="N354" s="33">
        <v>0.54528985507246375</v>
      </c>
      <c r="O354" s="33">
        <v>0.41796875</v>
      </c>
      <c r="P354" s="33">
        <v>0.45071511403169695</v>
      </c>
    </row>
    <row r="355" spans="1:16" x14ac:dyDescent="0.45">
      <c r="A355" s="35">
        <v>352</v>
      </c>
      <c r="B355" s="32">
        <v>-7.815970093361102E-14</v>
      </c>
      <c r="C355" s="32">
        <v>-7.4014868308343765E-17</v>
      </c>
      <c r="D355" s="37">
        <v>2</v>
      </c>
      <c r="E355" s="33">
        <v>0.33333333333333331</v>
      </c>
      <c r="F355" s="33">
        <v>0.33333333333333331</v>
      </c>
      <c r="G355" s="33">
        <v>0.2935914855072464</v>
      </c>
      <c r="H355" s="33">
        <v>0.15964673913043478</v>
      </c>
      <c r="I355" s="34">
        <v>8471.0759737755488</v>
      </c>
      <c r="J355" s="34">
        <v>-7883.1205673758868</v>
      </c>
      <c r="K355" s="33">
        <v>9.9431818181818177E-2</v>
      </c>
      <c r="L355" s="33">
        <v>0.25056612318840582</v>
      </c>
      <c r="M355" s="33">
        <v>0.23233695652173914</v>
      </c>
      <c r="N355" s="33">
        <v>0.54541346588341622</v>
      </c>
      <c r="O355" s="33">
        <v>0.41764132553606237</v>
      </c>
      <c r="P355" s="33">
        <v>0.45082915541843427</v>
      </c>
    </row>
    <row r="356" spans="1:16" x14ac:dyDescent="0.45">
      <c r="A356" s="35">
        <v>353</v>
      </c>
      <c r="B356" s="32">
        <v>-8.7041485130612273E-14</v>
      </c>
      <c r="C356" s="32">
        <v>-8.2192148376404417E-17</v>
      </c>
      <c r="D356" s="37">
        <v>2</v>
      </c>
      <c r="E356" s="33">
        <v>0.33333333333333331</v>
      </c>
      <c r="F356" s="33">
        <v>0.33333333333333331</v>
      </c>
      <c r="G356" s="33">
        <v>0.29362662154540325</v>
      </c>
      <c r="H356" s="33">
        <v>0.15984207557811619</v>
      </c>
      <c r="I356" s="34">
        <v>8459.9308490203603</v>
      </c>
      <c r="J356" s="34">
        <v>-7867.2547635850387</v>
      </c>
      <c r="K356" s="33">
        <v>0.10009442870632672</v>
      </c>
      <c r="L356" s="33">
        <v>0.25042301184433163</v>
      </c>
      <c r="M356" s="33">
        <v>0.23248730964467004</v>
      </c>
      <c r="N356" s="33">
        <v>0.54594594594594592</v>
      </c>
      <c r="O356" s="33">
        <v>0.41775836972343522</v>
      </c>
      <c r="P356" s="33">
        <v>0.45024971187091817</v>
      </c>
    </row>
    <row r="357" spans="1:16" x14ac:dyDescent="0.45">
      <c r="A357" s="35">
        <v>354</v>
      </c>
      <c r="B357" s="32">
        <v>-8.8817841970012523E-14</v>
      </c>
      <c r="C357" s="32">
        <v>-8.3632619557450585E-17</v>
      </c>
      <c r="D357" s="37">
        <v>2</v>
      </c>
      <c r="E357" s="33">
        <v>0.33333333333333331</v>
      </c>
      <c r="F357" s="33">
        <v>0.33333333333333331</v>
      </c>
      <c r="G357" s="33">
        <v>0.29360792257483681</v>
      </c>
      <c r="H357" s="33">
        <v>0.15980193562907946</v>
      </c>
      <c r="I357" s="34">
        <v>8464.8907627443459</v>
      </c>
      <c r="J357" s="34">
        <v>-7870.140845070423</v>
      </c>
      <c r="K357" s="33">
        <v>0.1007532956685499</v>
      </c>
      <c r="L357" s="33">
        <v>0.2502813414359667</v>
      </c>
      <c r="M357" s="33">
        <v>0.23261309925725862</v>
      </c>
      <c r="N357" s="33">
        <v>0.5467625899280576</v>
      </c>
      <c r="O357" s="33">
        <v>0.41702951136913402</v>
      </c>
      <c r="P357" s="33">
        <v>0.45036412418551169</v>
      </c>
    </row>
    <row r="358" spans="1:16" x14ac:dyDescent="0.45">
      <c r="A358" s="35">
        <v>355</v>
      </c>
      <c r="B358" s="32">
        <v>-9.2370555648813024E-14</v>
      </c>
      <c r="C358" s="32">
        <v>-8.6732916102171853E-17</v>
      </c>
      <c r="D358" s="37">
        <v>2</v>
      </c>
      <c r="E358" s="33">
        <v>0.33333333333333331</v>
      </c>
      <c r="F358" s="33">
        <v>0.33333333333333331</v>
      </c>
      <c r="G358" s="33">
        <v>0.29360269360269359</v>
      </c>
      <c r="H358" s="33">
        <v>0.15970819304152636</v>
      </c>
      <c r="I358" s="34">
        <v>8462.0030581039755</v>
      </c>
      <c r="J358" s="34">
        <v>-7865.3548840477861</v>
      </c>
      <c r="K358" s="33">
        <v>0.10046948356807511</v>
      </c>
      <c r="L358" s="33">
        <v>0.25028058361391697</v>
      </c>
      <c r="M358" s="33">
        <v>0.23277216610549945</v>
      </c>
      <c r="N358" s="33">
        <v>0.54663677130044841</v>
      </c>
      <c r="O358" s="33">
        <v>0.41658630665380908</v>
      </c>
      <c r="P358" s="33">
        <v>0.4506880733944954</v>
      </c>
    </row>
    <row r="359" spans="1:16" x14ac:dyDescent="0.45">
      <c r="A359" s="35">
        <v>356</v>
      </c>
      <c r="B359" s="32">
        <v>-9.2370555648813024E-14</v>
      </c>
      <c r="C359" s="32">
        <v>-8.6489284315368002E-17</v>
      </c>
      <c r="D359" s="37">
        <v>2</v>
      </c>
      <c r="E359" s="33">
        <v>0.33333333333333331</v>
      </c>
      <c r="F359" s="33">
        <v>0.33333333333333331</v>
      </c>
      <c r="G359" s="33">
        <v>0.29361083137518185</v>
      </c>
      <c r="H359" s="33">
        <v>0.15967326843459773</v>
      </c>
      <c r="I359" s="34">
        <v>8462.2713414634145</v>
      </c>
      <c r="J359" s="34">
        <v>-7863.4197617379114</v>
      </c>
      <c r="K359" s="33">
        <v>0.10018726591760299</v>
      </c>
      <c r="L359" s="33">
        <v>0.24997202640707172</v>
      </c>
      <c r="M359" s="33">
        <v>0.2327402931632539</v>
      </c>
      <c r="N359" s="33">
        <v>0.54700089525514772</v>
      </c>
      <c r="O359" s="33">
        <v>0.41634615384615387</v>
      </c>
      <c r="P359" s="33">
        <v>0.45083841463414637</v>
      </c>
    </row>
    <row r="360" spans="1:16" x14ac:dyDescent="0.45">
      <c r="A360" s="35">
        <v>357</v>
      </c>
      <c r="B360" s="32">
        <v>-9.50350909079134E-14</v>
      </c>
      <c r="C360" s="32">
        <v>-8.8734912145577409E-17</v>
      </c>
      <c r="D360" s="37">
        <v>2</v>
      </c>
      <c r="E360" s="33">
        <v>0.33333333333333331</v>
      </c>
      <c r="F360" s="33">
        <v>0.33333333333333331</v>
      </c>
      <c r="G360" s="33">
        <v>0.29373047746541725</v>
      </c>
      <c r="H360" s="33">
        <v>0.15963855421686746</v>
      </c>
      <c r="I360" s="34">
        <v>8457.6908469426508</v>
      </c>
      <c r="J360" s="34">
        <v>-7863.3123689727463</v>
      </c>
      <c r="K360" s="33">
        <v>9.990662931839403E-2</v>
      </c>
      <c r="L360" s="33">
        <v>0.24977688531905398</v>
      </c>
      <c r="M360" s="33">
        <v>0.23293172690763053</v>
      </c>
      <c r="N360" s="33">
        <v>0.54801250558284953</v>
      </c>
      <c r="O360" s="33">
        <v>0.41666666666666669</v>
      </c>
      <c r="P360" s="33">
        <v>0.45119635396885682</v>
      </c>
    </row>
    <row r="361" spans="1:16" x14ac:dyDescent="0.45">
      <c r="A361" s="35">
        <v>358</v>
      </c>
      <c r="B361" s="32">
        <v>-9.2370555648813024E-14</v>
      </c>
      <c r="C361" s="32">
        <v>-8.6006103956064264E-17</v>
      </c>
      <c r="D361" s="37">
        <v>2</v>
      </c>
      <c r="E361" s="33">
        <v>0.33333333333333331</v>
      </c>
      <c r="F361" s="33">
        <v>0.33333333333333331</v>
      </c>
      <c r="G361" s="33">
        <v>0.29352901934623082</v>
      </c>
      <c r="H361" s="33">
        <v>0.15966199688681343</v>
      </c>
      <c r="I361" s="34">
        <v>8450.9090909090901</v>
      </c>
      <c r="J361" s="34">
        <v>-7858.4261838440116</v>
      </c>
      <c r="K361" s="33">
        <v>0.1005586592178771</v>
      </c>
      <c r="L361" s="33">
        <v>0.24961085167889704</v>
      </c>
      <c r="M361" s="33">
        <v>0.23315543695797197</v>
      </c>
      <c r="N361" s="33">
        <v>0.54743875278396437</v>
      </c>
      <c r="O361" s="33">
        <v>0.41678588459704341</v>
      </c>
      <c r="P361" s="33">
        <v>0.45075757575757575</v>
      </c>
    </row>
    <row r="362" spans="1:16" x14ac:dyDescent="0.45">
      <c r="A362" s="35">
        <v>359</v>
      </c>
      <c r="B362" s="32">
        <v>-9.2370555648813024E-14</v>
      </c>
      <c r="C362" s="32">
        <v>-8.5766532635852393E-17</v>
      </c>
      <c r="D362" s="37">
        <v>2</v>
      </c>
      <c r="E362" s="33">
        <v>0.33333333333333331</v>
      </c>
      <c r="F362" s="33">
        <v>0.33333333333333331</v>
      </c>
      <c r="G362" s="33">
        <v>0.29325805380272335</v>
      </c>
      <c r="H362" s="33">
        <v>0.15952618177792538</v>
      </c>
      <c r="I362" s="34">
        <v>8449.4148735371837</v>
      </c>
      <c r="J362" s="34">
        <v>-7855.1006245662738</v>
      </c>
      <c r="K362" s="33">
        <v>0.10027855153203342</v>
      </c>
      <c r="L362" s="33">
        <v>0.24997232370198164</v>
      </c>
      <c r="M362" s="33">
        <v>0.23325583969888189</v>
      </c>
      <c r="N362" s="33">
        <v>0.54694419840566877</v>
      </c>
      <c r="O362" s="33">
        <v>0.41528239202657807</v>
      </c>
      <c r="P362" s="33">
        <v>0.45073612684031711</v>
      </c>
    </row>
    <row r="363" spans="1:16" x14ac:dyDescent="0.45">
      <c r="A363" s="35">
        <v>360</v>
      </c>
      <c r="B363" s="32">
        <v>-9.5923269327613525E-14</v>
      </c>
      <c r="C363" s="32">
        <v>-8.8817841970012528E-17</v>
      </c>
      <c r="D363" s="37">
        <v>2</v>
      </c>
      <c r="E363" s="33">
        <v>0.33333333333333331</v>
      </c>
      <c r="F363" s="33">
        <v>0.33333333333333331</v>
      </c>
      <c r="G363" s="33">
        <v>0.29330686955562907</v>
      </c>
      <c r="H363" s="33">
        <v>0.15966479214907928</v>
      </c>
      <c r="I363" s="34">
        <v>8442.2932330827061</v>
      </c>
      <c r="J363" s="34">
        <v>-7850.4143646408838</v>
      </c>
      <c r="K363" s="33">
        <v>0.1</v>
      </c>
      <c r="L363" s="33">
        <v>0.25019296504576027</v>
      </c>
      <c r="M363" s="33">
        <v>0.23277097805711766</v>
      </c>
      <c r="N363" s="33">
        <v>0.54693697664169239</v>
      </c>
      <c r="O363" s="33">
        <v>0.41544291804831834</v>
      </c>
      <c r="P363" s="33">
        <v>0.45</v>
      </c>
    </row>
    <row r="364" spans="1:16" x14ac:dyDescent="0.45">
      <c r="A364" s="35">
        <v>361</v>
      </c>
      <c r="B364" s="32">
        <v>-9.2370555648813024E-14</v>
      </c>
      <c r="C364" s="32">
        <v>-8.5291371790224398E-17</v>
      </c>
      <c r="D364" s="37">
        <v>2</v>
      </c>
      <c r="E364" s="33">
        <v>0.33333333333333331</v>
      </c>
      <c r="F364" s="33">
        <v>0.33333333333333331</v>
      </c>
      <c r="G364" s="33">
        <v>0.29339933993399342</v>
      </c>
      <c r="H364" s="33">
        <v>0.15951595159515952</v>
      </c>
      <c r="I364" s="34">
        <v>8439.520059992501</v>
      </c>
      <c r="J364" s="34">
        <v>-7860.2758620689656</v>
      </c>
      <c r="K364" s="33">
        <v>9.9722991689750698E-2</v>
      </c>
      <c r="L364" s="33">
        <v>0.24972497249724973</v>
      </c>
      <c r="M364" s="33">
        <v>0.23333333333333334</v>
      </c>
      <c r="N364" s="33">
        <v>0.54669603524229071</v>
      </c>
      <c r="O364" s="33">
        <v>0.41631305987741629</v>
      </c>
      <c r="P364" s="33">
        <v>0.45069366329208849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930</vt:i4>
      </vt:variant>
    </vt:vector>
  </HeadingPairs>
  <TitlesOfParts>
    <vt:vector size="978" baseType="lpstr">
      <vt:lpstr>Cache</vt:lpstr>
      <vt:lpstr>Template2</vt:lpstr>
      <vt:lpstr>Players</vt:lpstr>
      <vt:lpstr>Template1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Template1!アガリ率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Template1!ダマアガリ数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Template1!ダマアガリ率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Template1!チョンボ数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Template1!チョンボ率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Template1!ツモ数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Template1!ツモ率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Template1!トップ数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Template1!トップ率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Template1!ふっとび率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Template1!ラス数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Template1!ラス率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Template1!リーチアガリ数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Template1!リーチ成功数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Template1!リーチ成功率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Template1!リーチ率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Template1!ロン数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Template1!ロン率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Template1!最大ドラ数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Template1!最大点数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Template1!対戦数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Template1!通算アガリ点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Template1!通算スコア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Template1!通算副露アガリ点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Template1!通算門前アガリ点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Template1!副露アガリ数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Template1!副露アガリ点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Template1!副露アガリ率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Template1!副露数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Template1!副露成功数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Template1!副露成功率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Template1!副露率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Template1!平均アガリ点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Template1!平均スコア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Template1!平均順位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Template1!平均放銃点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Template1!放銃数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Template1!放銃率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Template1!名前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Template1!門前アガリ点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Template1!連続アガリ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Template1!連続無放銃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2020-02-18T16:02:45Z</dcterms:modified>
</cp:coreProperties>
</file>