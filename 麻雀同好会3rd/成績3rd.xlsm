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FFA147B-B5C8-4DE4-B4DA-C676F6AB3E09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19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20" i="6345"/>
  <c r="O21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19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8" i="6347"/>
  <c r="H8" i="6347"/>
  <c r="H29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3" i="6347"/>
  <c r="H22" i="6347"/>
  <c r="C17" i="6347"/>
  <c r="H19" i="6347"/>
  <c r="H25" i="6347"/>
  <c r="H27" i="6347"/>
  <c r="H39" i="6347"/>
  <c r="C42" i="6347"/>
  <c r="H16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8" i="6347"/>
  <c r="H31" i="6347"/>
  <c r="H32" i="6347"/>
  <c r="H33" i="6347"/>
  <c r="H13" i="6347"/>
  <c r="H9" i="6347"/>
  <c r="H26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0" i="6345"/>
  <c r="H9" i="6345"/>
  <c r="H30" i="6345"/>
  <c r="C20" i="6345"/>
  <c r="H37" i="6345"/>
  <c r="C40" i="6345"/>
  <c r="H48" i="6345"/>
  <c r="H33" i="6345"/>
  <c r="C32" i="6345"/>
  <c r="H42" i="6345"/>
  <c r="H5" i="6345"/>
  <c r="H22" i="6345"/>
  <c r="C18" i="6345"/>
  <c r="H14" i="6345"/>
  <c r="H35" i="6345"/>
  <c r="H39" i="6345"/>
  <c r="H44" i="6345"/>
  <c r="H7" i="6345"/>
  <c r="H23" i="6345"/>
  <c r="C21" i="6345"/>
  <c r="H28" i="6345"/>
  <c r="H49" i="6345"/>
  <c r="C15" i="6345"/>
  <c r="H25" i="6345"/>
  <c r="H4" i="6345"/>
  <c r="H2" i="6345"/>
  <c r="H11" i="6345"/>
  <c r="H3" i="6345"/>
  <c r="H26" i="6345"/>
  <c r="C19" i="6345"/>
  <c r="H21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34" i="6345"/>
  <c r="H27" i="6345"/>
  <c r="C34" i="6345"/>
  <c r="H38" i="6345"/>
  <c r="H41" i="6345"/>
  <c r="C42" i="6345"/>
  <c r="H46" i="6345"/>
  <c r="H12" i="6345"/>
  <c r="B23" i="6345"/>
  <c r="H17" i="6345"/>
  <c r="H31" i="6345"/>
  <c r="H32" i="6345"/>
  <c r="H24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1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20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<sst xmlns="http://schemas.openxmlformats.org/spreadsheetml/2006/main" count="3850" uniqueCount="301">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</sst>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全体!$K$2:$K$908</c:f>
              <c:numCache>
                <c:formatCode>General</c:formatCode>
                <c:ptCount val="9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</c:numCache>
            </c:numRef>
          </c:xVal>
          <c:yVal>
            <c:numRef>
              <c:f>全体!$L$2:$L$908</c:f>
              <c:numCache>
                <c:formatCode>\+0.0;\-0.0;\±0</c:formatCode>
                <c:ptCount val="90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-29.900332225913623</c:v>
                </c:pt>
                <c:pt idx="1">
                  <c:v>8.978675645342312</c:v>
                </c:pt>
                <c:pt idx="2">
                  <c:v>-2.3894862604540026</c:v>
                </c:pt>
                <c:pt idx="3">
                  <c:v>8.8719898605830156</c:v>
                </c:pt>
                <c:pt idx="4">
                  <c:v>4.1322314049586772</c:v>
                </c:pt>
                <c:pt idx="5">
                  <c:v>14.851485148514852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175</c:v>
                </c:pt>
                <c:pt idx="1">
                  <c:v>379</c:v>
                </c:pt>
                <c:pt idx="2">
                  <c:v>434</c:v>
                </c:pt>
                <c:pt idx="3">
                  <c:v>395</c:v>
                </c:pt>
                <c:pt idx="4">
                  <c:v>352</c:v>
                </c:pt>
                <c:pt idx="5">
                  <c:v>244</c:v>
                </c:pt>
                <c:pt idx="6">
                  <c:v>116</c:v>
                </c:pt>
                <c:pt idx="7">
                  <c:v>63</c:v>
                </c:pt>
                <c:pt idx="8">
                  <c:v>28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たかの!$L$2:$L$83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2034.5679012345679</c:v>
                </c:pt>
                <c:pt idx="1">
                  <c:v>-2061.25</c:v>
                </c:pt>
                <c:pt idx="2">
                  <c:v>-1572.7272727272727</c:v>
                </c:pt>
                <c:pt idx="3">
                  <c:v>-919.44444444444446</c:v>
                </c:pt>
                <c:pt idx="4">
                  <c:v>-11.428571428571429</c:v>
                </c:pt>
                <c:pt idx="5">
                  <c:v>-1923.3333333333333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40</c:v>
                </c:pt>
                <c:pt idx="2">
                  <c:v>43</c:v>
                </c:pt>
                <c:pt idx="3">
                  <c:v>34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だいち!$L$2:$L$179</c:f>
              <c:numCache>
                <c:formatCode>\+0.0;\-0.0;\±0</c:formatCode>
                <c:ptCount val="17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1117.6136363636363</c:v>
                </c:pt>
                <c:pt idx="1">
                  <c:v>1230.057803468208</c:v>
                </c:pt>
                <c:pt idx="2">
                  <c:v>1093.9759036144578</c:v>
                </c:pt>
                <c:pt idx="3">
                  <c:v>338.06451612903226</c:v>
                </c:pt>
                <c:pt idx="4">
                  <c:v>1503.4722222222222</c:v>
                </c:pt>
                <c:pt idx="5">
                  <c:v>2219.3277310924368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47</c:v>
                </c:pt>
                <c:pt idx="1">
                  <c:v>92</c:v>
                </c:pt>
                <c:pt idx="2">
                  <c:v>97</c:v>
                </c:pt>
                <c:pt idx="3">
                  <c:v>90</c:v>
                </c:pt>
                <c:pt idx="4">
                  <c:v>70</c:v>
                </c:pt>
                <c:pt idx="5">
                  <c:v>49</c:v>
                </c:pt>
                <c:pt idx="6">
                  <c:v>24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ただ!$L$2:$L$159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-1066.6666666666667</c:v>
                </c:pt>
                <c:pt idx="1">
                  <c:v>1353.8961038961038</c:v>
                </c:pt>
                <c:pt idx="2">
                  <c:v>-338.73239436619718</c:v>
                </c:pt>
                <c:pt idx="3">
                  <c:v>282.22222222222223</c:v>
                </c:pt>
                <c:pt idx="4">
                  <c:v>-1149.5934959349593</c:v>
                </c:pt>
                <c:pt idx="5">
                  <c:v>1134.9514563106795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30</c:v>
                </c:pt>
                <c:pt idx="1">
                  <c:v>69</c:v>
                </c:pt>
                <c:pt idx="2">
                  <c:v>85</c:v>
                </c:pt>
                <c:pt idx="3">
                  <c:v>80</c:v>
                </c:pt>
                <c:pt idx="4">
                  <c:v>59</c:v>
                </c:pt>
                <c:pt idx="5">
                  <c:v>42</c:v>
                </c:pt>
                <c:pt idx="6">
                  <c:v>13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りくと!$L$2:$L$99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-453.125</c:v>
                </c:pt>
                <c:pt idx="1">
                  <c:v>-558.33333333333337</c:v>
                </c:pt>
                <c:pt idx="2">
                  <c:v>418.88888888888891</c:v>
                </c:pt>
                <c:pt idx="3">
                  <c:v>-651.13636363636363</c:v>
                </c:pt>
                <c:pt idx="4">
                  <c:v>-2996.3855421686749</c:v>
                </c:pt>
                <c:pt idx="5">
                  <c:v>-2010.958904109589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51</c:v>
                </c:pt>
                <c:pt idx="3">
                  <c:v>34</c:v>
                </c:pt>
                <c:pt idx="4">
                  <c:v>38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1456.9230769230769</c:v>
                </c:pt>
                <c:pt idx="1">
                  <c:v>-1936.71875</c:v>
                </c:pt>
                <c:pt idx="2">
                  <c:v>-139.65517241379311</c:v>
                </c:pt>
                <c:pt idx="3">
                  <c:v>2018.1818181818182</c:v>
                </c:pt>
                <c:pt idx="4">
                  <c:v>1395.9183673469388</c:v>
                </c:pt>
                <c:pt idx="5">
                  <c:v>255.26315789473685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39</c:v>
                </c:pt>
                <c:pt idx="3">
                  <c:v>55</c:v>
                </c:pt>
                <c:pt idx="4">
                  <c:v>65</c:v>
                </c:pt>
                <c:pt idx="5">
                  <c:v>42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-380.28169014084506</c:v>
                </c:pt>
                <c:pt idx="1">
                  <c:v>189.92805755395685</c:v>
                </c:pt>
                <c:pt idx="2">
                  <c:v>150.38167938931298</c:v>
                </c:pt>
                <c:pt idx="3">
                  <c:v>170.83333333333334</c:v>
                </c:pt>
                <c:pt idx="4">
                  <c:v>171.55963302752295</c:v>
                </c:pt>
                <c:pt idx="5">
                  <c:v>-1058.0645161290322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19</c:v>
                </c:pt>
                <c:pt idx="1">
                  <c:v>61</c:v>
                </c:pt>
                <c:pt idx="2">
                  <c:v>66</c:v>
                </c:pt>
                <c:pt idx="3">
                  <c:v>59</c:v>
                </c:pt>
                <c:pt idx="4">
                  <c:v>47</c:v>
                </c:pt>
                <c:pt idx="5">
                  <c:v>37</c:v>
                </c:pt>
                <c:pt idx="6">
                  <c:v>15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れんたろう2!$B$3:$B$133</c:f>
              <c:numCache>
                <c:formatCode>\+0.0;\-0.0;\±0</c:formatCode>
                <c:ptCount val="1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れんたろう2!$C$3:$C$133</c:f>
              <c:numCache>
                <c:formatCode>\+0.0;\-0.0;\±0</c:formatCode>
                <c:ptCount val="131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74108042031789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れんたろう2!$D$3:$D$133</c:f>
              <c:numCache>
                <c:formatCode>0.00\ "位"</c:formatCode>
                <c:ptCount val="131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れんたろう2!$E$3:$E$133</c:f>
              <c:numCache>
                <c:formatCode>0.0%</c:formatCode>
                <c:ptCount val="13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れんたろう2!$F$3:$F$133</c:f>
              <c:numCache>
                <c:formatCode>0.0%</c:formatCode>
                <c:ptCount val="13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れんたろう2!$G$3:$G$133</c:f>
              <c:numCache>
                <c:formatCode>0.0%</c:formatCode>
                <c:ptCount val="131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13613534232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れんたろう2!$H$3:$H$133</c:f>
              <c:numCache>
                <c:formatCode>0.0%</c:formatCode>
                <c:ptCount val="131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98334655035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れんたろう2!$I$3:$I$133</c:f>
              <c:numCache>
                <c:formatCode>0</c:formatCode>
                <c:ptCount val="131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7.81907747425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れんたろう2!$J$3:$J$133</c:f>
              <c:numCache>
                <c:formatCode>0</c:formatCode>
                <c:ptCount val="131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8.58784893267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れんたろう2!$K$3:$K$133</c:f>
              <c:numCache>
                <c:formatCode>0.0%</c:formatCode>
                <c:ptCount val="13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81898454746136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れんたろう2!$L$3:$L$133</c:f>
              <c:numCache>
                <c:formatCode>0.0%</c:formatCode>
                <c:ptCount val="131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02511234469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れんたろう2!$M$3:$M$133</c:f>
              <c:numCache>
                <c:formatCode>0.0%</c:formatCode>
                <c:ptCount val="131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56225218080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れんたろう2!$N$3:$N$133</c:f>
              <c:numCache>
                <c:formatCode>0.0%</c:formatCode>
                <c:ptCount val="131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61626694473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れんたろう2!$O$3:$O$133</c:f>
              <c:numCache>
                <c:formatCode>0.0%</c:formatCode>
                <c:ptCount val="131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23287671232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れんたろう2!$A$3:$A$133</c:f>
              <c:numCache>
                <c:formatCode>0\ "回"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れんたろう2!$P$3:$P$133</c:f>
              <c:numCache>
                <c:formatCode>0.0%</c:formatCode>
                <c:ptCount val="131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9171518137035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4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906</v>
      </c>
    </row>
    <row r="2" spans="1:2" x14ac:dyDescent="0.45">
      <c r="A2" t="s">
        <v>161</v>
      </c>
      <c r="B2">
        <v>81</v>
      </c>
    </row>
    <row r="3" spans="1:2" x14ac:dyDescent="0.45">
      <c r="A3" t="s">
        <v>126</v>
      </c>
      <c r="B3">
        <v>177</v>
      </c>
    </row>
    <row r="4" spans="1:2" x14ac:dyDescent="0.45">
      <c r="A4" t="s">
        <v>127</v>
      </c>
      <c r="B4">
        <v>157</v>
      </c>
    </row>
    <row r="5" spans="1:2" x14ac:dyDescent="0.45">
      <c r="A5" t="s">
        <v>172</v>
      </c>
      <c r="B5">
        <v>97</v>
      </c>
    </row>
    <row r="6" spans="1:2" x14ac:dyDescent="0.45">
      <c r="A6" t="s">
        <v>170</v>
      </c>
      <c r="B6">
        <v>130</v>
      </c>
    </row>
    <row r="7" spans="1:2" x14ac:dyDescent="0.45">
      <c r="A7" t="s">
        <v>171</v>
      </c>
      <c r="B7">
        <v>142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0.96861296310511602</v>
      </c>
      <c r="G2" s="163"/>
      <c r="H2" s="162">
        <v>0.84997940555527407</v>
      </c>
      <c r="I2" s="163"/>
      <c r="J2" s="162">
        <v>0.88971142047965679</v>
      </c>
      <c r="K2" s="163"/>
      <c r="L2" s="162">
        <v>0.48474529722024967</v>
      </c>
      <c r="M2" s="163"/>
      <c r="N2" s="162">
        <v>0.56359117820172766</v>
      </c>
      <c r="O2" s="163"/>
      <c r="P2" s="162">
        <v>0.45612191656854645</v>
      </c>
      <c r="Q2" s="163"/>
      <c r="R2" s="162">
        <v>0.21513705241224543</v>
      </c>
      <c r="S2" s="163"/>
      <c r="T2" s="162">
        <v>0.39175118230201744</v>
      </c>
      <c r="U2" s="163"/>
      <c r="V2" s="162">
        <v>0.39734205307406573</v>
      </c>
      <c r="W2" s="163"/>
      <c r="X2" s="162">
        <v>8.9715132626172603E-2</v>
      </c>
      <c r="Y2" s="163"/>
      <c r="Z2" s="162">
        <v>0.35354954657013637</v>
      </c>
      <c r="AA2" s="163"/>
      <c r="AB2" s="162">
        <v>-3.5701209379660197E-2</v>
      </c>
      <c r="AC2" s="163"/>
      <c r="AD2" s="162">
        <v>-4.5965436798881758E-2</v>
      </c>
      <c r="AE2" s="163"/>
      <c r="AF2" s="162">
        <v>0.8531307659570958</v>
      </c>
      <c r="AG2" s="163"/>
    </row>
    <row r="3" spans="1:33" x14ac:dyDescent="0.45">
      <c r="A3" s="70">
        <v>1</v>
      </c>
      <c r="B3" s="71" t="s">
        <v>126</v>
      </c>
      <c r="C3" s="72">
        <v>1537.1999999999996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10798.630136986301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512.20000000000039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0.25423728813559321</v>
      </c>
      <c r="L4" s="81" t="s">
        <v>281</v>
      </c>
      <c r="M4" s="84">
        <v>0.37681159420289856</v>
      </c>
      <c r="N4" s="81" t="s">
        <v>126</v>
      </c>
      <c r="O4" s="84">
        <v>0.13079584775086506</v>
      </c>
      <c r="P4" s="81" t="s">
        <v>281</v>
      </c>
      <c r="Q4" s="85">
        <v>9534.6153846153848</v>
      </c>
      <c r="R4" s="81" t="s">
        <v>171</v>
      </c>
      <c r="S4" s="85">
        <v>-7051.875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0.51369863013698636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8.6847457627118629</v>
      </c>
      <c r="F5" s="81" t="s">
        <v>126</v>
      </c>
      <c r="G5" s="82">
        <v>1.7909604519774012</v>
      </c>
      <c r="H5" s="81" t="s">
        <v>126</v>
      </c>
      <c r="I5" s="83">
        <v>0.4632768361581921</v>
      </c>
      <c r="J5" s="81" t="s">
        <v>171</v>
      </c>
      <c r="K5" s="83">
        <v>0.30281690140845069</v>
      </c>
      <c r="L5" s="81" t="s">
        <v>274</v>
      </c>
      <c r="M5" s="84">
        <v>0.3559322033898305</v>
      </c>
      <c r="N5" s="81" t="s">
        <v>171</v>
      </c>
      <c r="O5" s="84">
        <v>0.1388888888888889</v>
      </c>
      <c r="P5" s="81" t="s">
        <v>280</v>
      </c>
      <c r="Q5" s="85">
        <v>8512.5</v>
      </c>
      <c r="R5" s="81" t="s">
        <v>126</v>
      </c>
      <c r="S5" s="85">
        <v>-7753.9682539682535</v>
      </c>
      <c r="T5" s="81" t="s">
        <v>126</v>
      </c>
      <c r="U5" s="83">
        <v>4.519774011299435E-2</v>
      </c>
      <c r="V5" s="81" t="s">
        <v>274</v>
      </c>
      <c r="W5" s="84">
        <v>0.30508474576271188</v>
      </c>
      <c r="X5" s="81" t="s">
        <v>127</v>
      </c>
      <c r="Y5" s="84">
        <v>0.29877112135176653</v>
      </c>
      <c r="Z5" s="81" t="s">
        <v>196</v>
      </c>
      <c r="AA5" s="84">
        <v>0.59677419354838712</v>
      </c>
      <c r="AB5" s="81" t="s">
        <v>126</v>
      </c>
      <c r="AC5" s="84">
        <v>0.48973607038123168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3.9400000000000031</v>
      </c>
      <c r="F6" s="81" t="s">
        <v>170</v>
      </c>
      <c r="G6" s="82">
        <v>1.9230769230769231</v>
      </c>
      <c r="H6" s="81" t="s">
        <v>228</v>
      </c>
      <c r="I6" s="83">
        <v>0.42857142857142855</v>
      </c>
      <c r="J6" s="81" t="s">
        <v>127</v>
      </c>
      <c r="K6" s="83">
        <v>0.31210191082802546</v>
      </c>
      <c r="L6" s="81" t="s">
        <v>126</v>
      </c>
      <c r="M6" s="84">
        <v>0.34394463667820069</v>
      </c>
      <c r="N6" s="81" t="s">
        <v>161</v>
      </c>
      <c r="O6" s="84">
        <v>0.1553398058252427</v>
      </c>
      <c r="P6" s="81" t="s">
        <v>141</v>
      </c>
      <c r="Q6" s="85">
        <v>8387.8190774742507</v>
      </c>
      <c r="R6" s="81" t="s">
        <v>161</v>
      </c>
      <c r="S6" s="85">
        <v>-7780.3571428571431</v>
      </c>
      <c r="T6" s="81" t="s">
        <v>171</v>
      </c>
      <c r="U6" s="83">
        <v>7.0422535211267609E-2</v>
      </c>
      <c r="V6" s="81" t="s">
        <v>170</v>
      </c>
      <c r="W6" s="84">
        <v>0.30434782608695654</v>
      </c>
      <c r="X6" s="81" t="s">
        <v>161</v>
      </c>
      <c r="Y6" s="84">
        <v>0.2579750346740638</v>
      </c>
      <c r="Z6" s="81" t="s">
        <v>126</v>
      </c>
      <c r="AA6" s="84">
        <v>0.59007832898172319</v>
      </c>
      <c r="AB6" s="81" t="s">
        <v>281</v>
      </c>
      <c r="AC6" s="84">
        <v>0.45454545454545453</v>
      </c>
      <c r="AD6" s="81" t="s">
        <v>172</v>
      </c>
      <c r="AE6" s="84">
        <v>0.4732142857142857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8.8999999999998138</v>
      </c>
      <c r="D7" s="81" t="s">
        <v>127</v>
      </c>
      <c r="E7" s="93">
        <v>5.6687898089170789E-2</v>
      </c>
      <c r="F7" s="81" t="s">
        <v>127</v>
      </c>
      <c r="G7" s="82">
        <v>1.9745222929936306</v>
      </c>
      <c r="H7" s="81" t="s">
        <v>170</v>
      </c>
      <c r="I7" s="83">
        <v>0.4</v>
      </c>
      <c r="J7" s="81" t="s">
        <v>170</v>
      </c>
      <c r="K7" s="83">
        <v>0.32307692307692309</v>
      </c>
      <c r="L7" s="81" t="s">
        <v>127</v>
      </c>
      <c r="M7" s="84">
        <v>0.30721966205837176</v>
      </c>
      <c r="N7" s="81" t="s">
        <v>141</v>
      </c>
      <c r="O7" s="84">
        <v>0.16098334655035687</v>
      </c>
      <c r="P7" s="81" t="s">
        <v>196</v>
      </c>
      <c r="Q7" s="85">
        <v>8385.7142857142862</v>
      </c>
      <c r="R7" s="81" t="s">
        <v>141</v>
      </c>
      <c r="S7" s="85">
        <v>-7788.5878489326769</v>
      </c>
      <c r="T7" s="81" t="s">
        <v>172</v>
      </c>
      <c r="U7" s="83">
        <v>7.2164948453608241E-2</v>
      </c>
      <c r="V7" s="81" t="s">
        <v>172</v>
      </c>
      <c r="W7" s="84">
        <v>0.279322853688029</v>
      </c>
      <c r="X7" s="81" t="s">
        <v>126</v>
      </c>
      <c r="Y7" s="84">
        <v>0.23598615916955018</v>
      </c>
      <c r="Z7" s="81" t="s">
        <v>171</v>
      </c>
      <c r="AA7" s="84">
        <v>0.55333333333333334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-5.6843418860808015E-14</v>
      </c>
      <c r="D8" s="81" t="s">
        <v>141</v>
      </c>
      <c r="E8" s="93">
        <v>-6.2741080420317897E-17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0.29513613534232092</v>
      </c>
      <c r="N8" s="81" t="s">
        <v>274</v>
      </c>
      <c r="O8" s="84">
        <v>0.16949152542372881</v>
      </c>
      <c r="P8" s="81" t="s">
        <v>171</v>
      </c>
      <c r="Q8" s="85">
        <v>8240.9937888198765</v>
      </c>
      <c r="R8" s="81" t="s">
        <v>127</v>
      </c>
      <c r="S8" s="85">
        <v>-7837.1308016877638</v>
      </c>
      <c r="T8" s="81" t="s">
        <v>161</v>
      </c>
      <c r="U8" s="83">
        <v>7.407407407407407E-2</v>
      </c>
      <c r="V8" s="81" t="s">
        <v>203</v>
      </c>
      <c r="W8" s="84">
        <v>0.26666666666666666</v>
      </c>
      <c r="X8" s="81" t="s">
        <v>171</v>
      </c>
      <c r="Y8" s="84">
        <v>0.23177083333333334</v>
      </c>
      <c r="Z8" s="81" t="s">
        <v>141</v>
      </c>
      <c r="AA8" s="84">
        <v>0.55161626694473409</v>
      </c>
      <c r="AB8" s="81" t="s">
        <v>171</v>
      </c>
      <c r="AC8" s="84">
        <v>0.42322097378277151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-1.0021126760563379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161</v>
      </c>
      <c r="M9" s="84">
        <v>0.28155339805825241</v>
      </c>
      <c r="N9" s="81" t="s">
        <v>170</v>
      </c>
      <c r="O9" s="84">
        <v>0.17013232514177692</v>
      </c>
      <c r="P9" s="81" t="s">
        <v>126</v>
      </c>
      <c r="Q9" s="85">
        <v>8213.6820925553311</v>
      </c>
      <c r="R9" s="81" t="s">
        <v>172</v>
      </c>
      <c r="S9" s="85">
        <v>-7855.0335570469797</v>
      </c>
      <c r="T9" s="81" t="s">
        <v>141</v>
      </c>
      <c r="U9" s="83">
        <v>9.3818984547461362E-2</v>
      </c>
      <c r="V9" s="81" t="s">
        <v>126</v>
      </c>
      <c r="W9" s="84">
        <v>0.26505190311418686</v>
      </c>
      <c r="X9" s="81" t="s">
        <v>141</v>
      </c>
      <c r="Y9" s="84">
        <v>0.23156225218080889</v>
      </c>
      <c r="Z9" s="81" t="s">
        <v>170</v>
      </c>
      <c r="AA9" s="84">
        <v>0.5496894409937888</v>
      </c>
      <c r="AB9" s="81" t="s">
        <v>141</v>
      </c>
      <c r="AC9" s="84">
        <v>0.42123287671232879</v>
      </c>
      <c r="AD9" s="81" t="s">
        <v>141</v>
      </c>
      <c r="AE9" s="84">
        <v>0.44917151813703537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0.33757961783439489</v>
      </c>
      <c r="J10" s="81" t="s">
        <v>274</v>
      </c>
      <c r="K10" s="83">
        <v>0.38461538461538464</v>
      </c>
      <c r="L10" s="81" t="s">
        <v>171</v>
      </c>
      <c r="M10" s="84">
        <v>0.2795138888888889</v>
      </c>
      <c r="N10" s="81" t="s">
        <v>196</v>
      </c>
      <c r="O10" s="84">
        <v>0.17499999999999999</v>
      </c>
      <c r="P10" s="81" t="s">
        <v>127</v>
      </c>
      <c r="Q10" s="85">
        <v>8179.25</v>
      </c>
      <c r="R10" s="81" t="s">
        <v>280</v>
      </c>
      <c r="S10" s="85">
        <v>-7987.5</v>
      </c>
      <c r="T10" s="81" t="s">
        <v>127</v>
      </c>
      <c r="U10" s="83">
        <v>0.11464968152866242</v>
      </c>
      <c r="V10" s="81" t="s">
        <v>171</v>
      </c>
      <c r="W10" s="84">
        <v>0.26041666666666669</v>
      </c>
      <c r="X10" s="81" t="s">
        <v>197</v>
      </c>
      <c r="Y10" s="84">
        <v>0.22823984526112184</v>
      </c>
      <c r="Z10" s="81" t="s">
        <v>161</v>
      </c>
      <c r="AA10" s="84">
        <v>0.54285714285714282</v>
      </c>
      <c r="AB10" s="81" t="s">
        <v>161</v>
      </c>
      <c r="AC10" s="84">
        <v>0.41935483870967744</v>
      </c>
      <c r="AD10" s="81" t="s">
        <v>171</v>
      </c>
      <c r="AE10" s="84">
        <v>0.44409937888198758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2.056338028169014</v>
      </c>
      <c r="H11" s="81" t="s">
        <v>141</v>
      </c>
      <c r="I11" s="83">
        <v>0.33333333333333331</v>
      </c>
      <c r="J11" s="81" t="s">
        <v>172</v>
      </c>
      <c r="K11" s="83">
        <v>0.39175257731958762</v>
      </c>
      <c r="L11" s="81" t="s">
        <v>170</v>
      </c>
      <c r="M11" s="84">
        <v>0.27599243856332706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203</v>
      </c>
      <c r="S11" s="85">
        <v>-8000</v>
      </c>
      <c r="T11" s="81" t="s">
        <v>170</v>
      </c>
      <c r="U11" s="83">
        <v>0.11538461538461539</v>
      </c>
      <c r="V11" s="81" t="s">
        <v>196</v>
      </c>
      <c r="W11" s="84">
        <v>0.25833333333333336</v>
      </c>
      <c r="X11" s="81" t="s">
        <v>172</v>
      </c>
      <c r="Y11" s="84">
        <v>0.19347037484885127</v>
      </c>
      <c r="Z11" s="81" t="s">
        <v>172</v>
      </c>
      <c r="AA11" s="84">
        <v>0.53679653679653683</v>
      </c>
      <c r="AB11" s="81" t="s">
        <v>172</v>
      </c>
      <c r="AC11" s="84">
        <v>0.41249999999999998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-5.3197530864197562</v>
      </c>
      <c r="F12" s="81" t="s">
        <v>161</v>
      </c>
      <c r="G12" s="82">
        <v>2.1111111111111112</v>
      </c>
      <c r="H12" s="81" t="s">
        <v>161</v>
      </c>
      <c r="I12" s="83">
        <v>0.30864197530864196</v>
      </c>
      <c r="J12" s="81" t="s">
        <v>196</v>
      </c>
      <c r="K12" s="83">
        <v>0.4</v>
      </c>
      <c r="L12" s="81" t="s">
        <v>172</v>
      </c>
      <c r="M12" s="84">
        <v>0.27085852478839179</v>
      </c>
      <c r="N12" s="81" t="s">
        <v>172</v>
      </c>
      <c r="O12" s="84">
        <v>0.18016928657799275</v>
      </c>
      <c r="P12" s="81" t="s">
        <v>172</v>
      </c>
      <c r="Q12" s="85">
        <v>7832.1428571428569</v>
      </c>
      <c r="R12" s="81" t="s">
        <v>170</v>
      </c>
      <c r="S12" s="85">
        <v>-8105.5555555555557</v>
      </c>
      <c r="T12" s="81" t="s">
        <v>196</v>
      </c>
      <c r="U12" s="83">
        <v>0.12</v>
      </c>
      <c r="V12" s="81" t="s">
        <v>141</v>
      </c>
      <c r="W12" s="84">
        <v>0.25350251123446998</v>
      </c>
      <c r="X12" s="81" t="s">
        <v>170</v>
      </c>
      <c r="Y12" s="84">
        <v>0.18525519848771266</v>
      </c>
      <c r="Z12" s="81" t="s">
        <v>228</v>
      </c>
      <c r="AA12" s="84">
        <v>0.53333333333333333</v>
      </c>
      <c r="AB12" s="81" t="s">
        <v>170</v>
      </c>
      <c r="AC12" s="84">
        <v>0.38265306122448978</v>
      </c>
      <c r="AD12" s="81" t="s">
        <v>126</v>
      </c>
      <c r="AE12" s="84">
        <v>0.42857142857142855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-142.29999999999998</v>
      </c>
      <c r="D13" s="81" t="s">
        <v>172</v>
      </c>
      <c r="E13" s="93">
        <v>-6.9432989690721634</v>
      </c>
      <c r="F13" s="81" t="s">
        <v>228</v>
      </c>
      <c r="G13" s="82">
        <v>2.1428571428571428</v>
      </c>
      <c r="H13" s="81" t="s">
        <v>171</v>
      </c>
      <c r="I13" s="83">
        <v>0.24647887323943662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0.18202764976958524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0.52293577981651373</v>
      </c>
      <c r="AB13" s="81" t="s">
        <v>127</v>
      </c>
      <c r="AC13" s="84">
        <v>0.37789203084832906</v>
      </c>
      <c r="AD13" s="81" t="s">
        <v>127</v>
      </c>
      <c r="AE13" s="84">
        <v>0.41249999999999998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-430.90000000000026</v>
      </c>
      <c r="D14" s="81" t="s">
        <v>197</v>
      </c>
      <c r="E14" s="93">
        <v>-10.732258064516131</v>
      </c>
      <c r="F14" s="81" t="s">
        <v>172</v>
      </c>
      <c r="G14" s="82">
        <v>2.1752577319587627</v>
      </c>
      <c r="H14" s="81" t="s">
        <v>172</v>
      </c>
      <c r="I14" s="83">
        <v>0.21649484536082475</v>
      </c>
      <c r="J14" s="81" t="s">
        <v>161</v>
      </c>
      <c r="K14" s="83">
        <v>0.41975308641975306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0.23655913978494625</v>
      </c>
      <c r="X14" s="81" t="s">
        <v>196</v>
      </c>
      <c r="Y14" s="84">
        <v>0.15</v>
      </c>
      <c r="Z14" s="81" t="s">
        <v>127</v>
      </c>
      <c r="AA14" s="84">
        <v>0.50974025974025972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0.43548387096774194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7173.8916256157636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-673.49999999999989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0.14563106796116504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0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906</v>
      </c>
      <c r="C2" s="155"/>
      <c r="E2" s="58" t="s">
        <v>66</v>
      </c>
      <c r="F2" s="55" t="s">
        <v>22</v>
      </c>
      <c r="G2" s="43">
        <v>1688</v>
      </c>
      <c r="H2" s="128">
        <f>IF(B$15=0,0,G2/B$15)</f>
        <v>0.75593372145096283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-29.900332225913623</v>
      </c>
      <c r="P2" s="114">
        <v>903</v>
      </c>
      <c r="Q2" s="98">
        <v>-27000</v>
      </c>
    </row>
    <row r="3" spans="1:17" x14ac:dyDescent="0.45">
      <c r="A3" s="51" t="s">
        <v>8</v>
      </c>
      <c r="B3" s="156">
        <v>7566</v>
      </c>
      <c r="C3" s="157"/>
      <c r="E3" s="59" t="s">
        <v>72</v>
      </c>
      <c r="F3" s="56" t="s">
        <v>27</v>
      </c>
      <c r="G3" s="44">
        <v>1199</v>
      </c>
      <c r="H3" s="129">
        <f>IF(B$15=0,0,G3/B$15)</f>
        <v>0.53694581280788178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8.978675645342312</v>
      </c>
      <c r="P3" s="115">
        <v>891</v>
      </c>
      <c r="Q3" s="99">
        <v>8000</v>
      </c>
    </row>
    <row r="4" spans="1:17" x14ac:dyDescent="0.45">
      <c r="A4" s="51" t="s">
        <v>6</v>
      </c>
      <c r="B4" s="158">
        <v>-5.6843418860808015E-14</v>
      </c>
      <c r="C4" s="159"/>
      <c r="E4" s="59" t="s">
        <v>64</v>
      </c>
      <c r="F4" s="56" t="s">
        <v>20</v>
      </c>
      <c r="G4" s="44">
        <v>1021</v>
      </c>
      <c r="H4" s="129">
        <f>IF(B$15=0,0,G4/B$15)</f>
        <v>0.45723242274966414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-2.3894862604540026</v>
      </c>
      <c r="P4" s="115">
        <v>837</v>
      </c>
      <c r="Q4" s="99">
        <v>-2000</v>
      </c>
    </row>
    <row r="5" spans="1:17" x14ac:dyDescent="0.45">
      <c r="A5" s="51" t="s">
        <v>7</v>
      </c>
      <c r="B5" s="160">
        <f>IF(B$2=0,0,B$4/B$2)</f>
        <v>-6.2741080420317897E-17</v>
      </c>
      <c r="C5" s="161"/>
      <c r="E5" s="59" t="s">
        <v>166</v>
      </c>
      <c r="F5" s="56" t="s">
        <v>167</v>
      </c>
      <c r="G5" s="44">
        <v>864</v>
      </c>
      <c r="H5" s="129">
        <f>IF(B$15=0,0,G5/B$15)</f>
        <v>0.38692342140618002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8.8719898605830156</v>
      </c>
      <c r="P5" s="115">
        <v>789</v>
      </c>
      <c r="Q5" s="99">
        <v>7000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698</v>
      </c>
      <c r="H6" s="129">
        <f>IF(B$15=0,0,G6/B$15)</f>
        <v>0.31258396775638153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4.1322314049586772</v>
      </c>
      <c r="P6" s="115">
        <v>726</v>
      </c>
      <c r="Q6" s="99">
        <v>3000</v>
      </c>
    </row>
    <row r="7" spans="1:17" x14ac:dyDescent="0.45">
      <c r="A7" s="51" t="s">
        <v>2</v>
      </c>
      <c r="B7" s="44">
        <v>302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626</v>
      </c>
      <c r="H7" s="129">
        <f>IF(B$15=0,0,G7/B$15)</f>
        <v>0.28034034930586654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14.851485148514852</v>
      </c>
      <c r="P7" s="116">
        <v>606</v>
      </c>
      <c r="Q7" s="100">
        <v>9000</v>
      </c>
    </row>
    <row r="8" spans="1:17" x14ac:dyDescent="0.45">
      <c r="A8" s="51" t="s">
        <v>3</v>
      </c>
      <c r="B8" s="44">
        <v>302</v>
      </c>
      <c r="C8" s="37">
        <f t="shared" si="1"/>
        <v>0.33333333333333331</v>
      </c>
      <c r="E8" s="59" t="s">
        <v>69</v>
      </c>
      <c r="F8" s="56" t="s">
        <v>24</v>
      </c>
      <c r="G8" s="44">
        <v>321</v>
      </c>
      <c r="H8" s="129">
        <f>IF(B$15=0,0,G8/B$15)</f>
        <v>0.14375279892521273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302</v>
      </c>
      <c r="C9" s="38">
        <f t="shared" si="1"/>
        <v>0.33333333333333331</v>
      </c>
      <c r="E9" s="59" t="s">
        <v>89</v>
      </c>
      <c r="F9" s="56" t="s">
        <v>44</v>
      </c>
      <c r="G9" s="44">
        <v>310</v>
      </c>
      <c r="H9" s="129">
        <f>IF(B$15=0,0,G9/B$15)</f>
        <v>0.13882669055082847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85</v>
      </c>
      <c r="C10" s="40">
        <f t="shared" si="1"/>
        <v>9.3818984547461362E-2</v>
      </c>
      <c r="E10" s="59" t="s">
        <v>65</v>
      </c>
      <c r="F10" s="56" t="s">
        <v>21</v>
      </c>
      <c r="G10" s="44">
        <v>233</v>
      </c>
      <c r="H10" s="129">
        <f>IF(B$15=0,0,G10/B$15)</f>
        <v>0.10434393193013883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-3.2913907284768209</v>
      </c>
      <c r="P10" s="114">
        <v>302</v>
      </c>
      <c r="Q10" s="102">
        <v>-993.99999999999989</v>
      </c>
    </row>
    <row r="11" spans="1:17" x14ac:dyDescent="0.45">
      <c r="A11" s="54" t="s">
        <v>121</v>
      </c>
      <c r="B11" s="47">
        <v>1918</v>
      </c>
      <c r="C11" s="42">
        <f>IF(B$3=0,0,B11/B$3)</f>
        <v>0.25350251123446998</v>
      </c>
      <c r="E11" s="59" t="s">
        <v>70</v>
      </c>
      <c r="F11" s="56" t="s">
        <v>25</v>
      </c>
      <c r="G11" s="44">
        <v>204</v>
      </c>
      <c r="H11" s="129">
        <f>IF(B$15=0,0,G11/B$15)</f>
        <v>9.1356918943125837E-2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0.71821192052980143</v>
      </c>
      <c r="P11" s="115">
        <v>302</v>
      </c>
      <c r="Q11" s="103">
        <v>216.90000000000003</v>
      </c>
    </row>
    <row r="12" spans="1:17" x14ac:dyDescent="0.45">
      <c r="A12" s="51" t="s">
        <v>118</v>
      </c>
      <c r="B12" s="44">
        <v>1752</v>
      </c>
      <c r="C12" s="37">
        <f>IF(B$3=0,0,B12/B$3)</f>
        <v>0.23156225218080889</v>
      </c>
      <c r="E12" s="59" t="s">
        <v>71</v>
      </c>
      <c r="F12" s="56" t="s">
        <v>26</v>
      </c>
      <c r="G12" s="44">
        <v>177</v>
      </c>
      <c r="H12" s="129">
        <f>IF(B$15=0,0,G12/B$15)</f>
        <v>7.9265562024182709E-2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2.573178807947019</v>
      </c>
      <c r="P12" s="116">
        <v>302</v>
      </c>
      <c r="Q12" s="104">
        <v>777.09999999999968</v>
      </c>
    </row>
    <row r="13" spans="1:17" x14ac:dyDescent="0.45">
      <c r="A13" s="50" t="s">
        <v>123</v>
      </c>
      <c r="B13" s="43">
        <f>B19</f>
        <v>1058</v>
      </c>
      <c r="C13" s="35">
        <f>IF(B$11=0,0,B13/B$11)</f>
        <v>0.55161626694473409</v>
      </c>
      <c r="E13" s="59" t="s">
        <v>83</v>
      </c>
      <c r="F13" s="56" t="s">
        <v>38</v>
      </c>
      <c r="G13" s="44">
        <v>113</v>
      </c>
      <c r="H13" s="129">
        <f>IF(B$15=0,0,G13/B$15)</f>
        <v>5.0604567845947156E-2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738</v>
      </c>
      <c r="C14" s="35">
        <f>IF(B$12=0,0,B14/B$12)</f>
        <v>0.42123287671232879</v>
      </c>
      <c r="E14" s="59" t="s">
        <v>86</v>
      </c>
      <c r="F14" s="56" t="s">
        <v>41</v>
      </c>
      <c r="G14" s="44">
        <v>111</v>
      </c>
      <c r="H14" s="129">
        <f>IF(B$15=0,0,G14/B$15)</f>
        <v>4.9708911777877292E-2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2233</v>
      </c>
      <c r="C15" s="35">
        <f>IF(B$3=0,0,B15/B$3)</f>
        <v>0.29513613534232092</v>
      </c>
      <c r="E15" s="59" t="s">
        <v>78</v>
      </c>
      <c r="F15" s="56" t="s">
        <v>33</v>
      </c>
      <c r="G15" s="44">
        <v>63</v>
      </c>
      <c r="H15" s="129">
        <f>IF(B$15=0,0,G15/B$15)</f>
        <v>2.8213166144200628E-2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1218</v>
      </c>
      <c r="C16" s="37">
        <f>IF(B$3=0,0,B16/B$3)</f>
        <v>0.16098334655035687</v>
      </c>
      <c r="E16" s="59" t="s">
        <v>162</v>
      </c>
      <c r="F16" s="56" t="s">
        <v>163</v>
      </c>
      <c r="G16" s="44">
        <v>48</v>
      </c>
      <c r="H16" s="129">
        <f>IF(B$15=0,0,G16/B$15)</f>
        <v>2.1495745633676667E-2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1003</v>
      </c>
      <c r="C17" s="37">
        <f>IF(B$15=0,0,B17/B$15)</f>
        <v>0.44917151813703537</v>
      </c>
      <c r="E17" s="59" t="s">
        <v>81</v>
      </c>
      <c r="F17" s="56" t="s">
        <v>36</v>
      </c>
      <c r="G17" s="44">
        <v>47</v>
      </c>
      <c r="H17" s="129">
        <f>IF(B$15=0,0,G17/B$15)</f>
        <v>2.1047917599641738E-2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1230</v>
      </c>
      <c r="C18" s="37">
        <f>IF(B$15=0,0,B18/B$15)</f>
        <v>0.55082848186296463</v>
      </c>
      <c r="E18" s="59" t="s">
        <v>91</v>
      </c>
      <c r="F18" s="56" t="s">
        <v>46</v>
      </c>
      <c r="G18" s="44">
        <v>35</v>
      </c>
      <c r="H18" s="129">
        <f>IF(B$15=0,0,G18/B$15)</f>
        <v>1.5673981191222569E-2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10.414948453608243</v>
      </c>
      <c r="P18" s="115">
        <v>194</v>
      </c>
      <c r="Q18" s="103">
        <v>2020.4999999999991</v>
      </c>
    </row>
    <row r="19" spans="1:17" x14ac:dyDescent="0.45">
      <c r="A19" s="51" t="s">
        <v>195</v>
      </c>
      <c r="B19" s="44">
        <v>1058</v>
      </c>
      <c r="C19" s="37">
        <f>IF(B$15=0,0,B19/B$15)</f>
        <v>0.47380206000895658</v>
      </c>
      <c r="E19" s="59" t="s">
        <v>79</v>
      </c>
      <c r="F19" s="56" t="s">
        <v>34</v>
      </c>
      <c r="G19" s="44">
        <v>32</v>
      </c>
      <c r="H19" s="129">
        <f>IF(B$15=0,0,G19/B$15)</f>
        <v>1.4330497089117778E-2</v>
      </c>
      <c r="I19" s="90">
        <v>7</v>
      </c>
      <c r="K19" s="36">
        <v>17</v>
      </c>
      <c r="L19" s="95">
        <v>-20.5</v>
      </c>
      <c r="N19" s="111" t="s">
        <v>274</v>
      </c>
      <c r="O19" s="121">
        <f>IF(P19=0,0,Q19/P19)</f>
        <v>5.4923076923076897</v>
      </c>
      <c r="P19" s="115">
        <v>26</v>
      </c>
      <c r="Q19" s="103">
        <v>142.79999999999993</v>
      </c>
    </row>
    <row r="20" spans="1:17" x14ac:dyDescent="0.45">
      <c r="A20" s="51" t="s">
        <v>193</v>
      </c>
      <c r="B20" s="44">
        <v>738</v>
      </c>
      <c r="C20" s="37">
        <f>IF(B$15=0,0,B20/B$15)</f>
        <v>0.33049708911777875</v>
      </c>
      <c r="E20" s="59" t="s">
        <v>75</v>
      </c>
      <c r="F20" s="56" t="s">
        <v>30</v>
      </c>
      <c r="G20" s="44">
        <v>18</v>
      </c>
      <c r="H20" s="129">
        <f>IF(B$15=0,0,G20/B$15)</f>
        <v>8.0609046126287505E-3</v>
      </c>
      <c r="I20" s="90">
        <v>6</v>
      </c>
      <c r="K20" s="36">
        <v>18</v>
      </c>
      <c r="L20" s="95">
        <v>0</v>
      </c>
      <c r="N20" s="111" t="s">
        <v>161</v>
      </c>
      <c r="O20" s="121">
        <f>IF(P20=0,0,Q20/P20)</f>
        <v>5.4674157303370707</v>
      </c>
      <c r="P20" s="115">
        <v>178</v>
      </c>
      <c r="Q20" s="103">
        <v>973.19999999999857</v>
      </c>
    </row>
    <row r="21" spans="1:17" x14ac:dyDescent="0.45">
      <c r="A21" s="51" t="s">
        <v>194</v>
      </c>
      <c r="B21" s="44">
        <v>437</v>
      </c>
      <c r="C21" s="37">
        <f>IF(B$15=0,0,B21/B$15)</f>
        <v>0.19570085087326466</v>
      </c>
      <c r="E21" s="59" t="s">
        <v>85</v>
      </c>
      <c r="F21" s="56" t="s">
        <v>40</v>
      </c>
      <c r="G21" s="44">
        <v>13</v>
      </c>
      <c r="H21" s="129">
        <f>IF(B$15=0,0,G21/B$15)</f>
        <v>5.8217644424540978E-3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8387.8190774742507</v>
      </c>
      <c r="C22" s="39">
        <v>18730000</v>
      </c>
      <c r="E22" s="59" t="s">
        <v>92</v>
      </c>
      <c r="F22" s="56" t="s">
        <v>47</v>
      </c>
      <c r="G22" s="44">
        <v>13</v>
      </c>
      <c r="H22" s="129">
        <f>IF(B$15=0,0,G22/B$15)</f>
        <v>5.8217644424540978E-3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1.5031690140845073</v>
      </c>
      <c r="P22" s="115">
        <v>284</v>
      </c>
      <c r="Q22" s="103">
        <v>426.90000000000009</v>
      </c>
    </row>
    <row r="23" spans="1:17" x14ac:dyDescent="0.45">
      <c r="A23" s="52" t="s">
        <v>177</v>
      </c>
      <c r="B23" s="136">
        <f>IF($B$15-B$14=0,0,C23/($B$15-B$14))</f>
        <v>9037.9264214046816</v>
      </c>
      <c r="C23" s="137">
        <v>13511700</v>
      </c>
      <c r="E23" s="59" t="s">
        <v>73</v>
      </c>
      <c r="F23" s="56" t="s">
        <v>28</v>
      </c>
      <c r="G23" s="44">
        <v>8</v>
      </c>
      <c r="H23" s="129">
        <f>IF(B$15=0,0,G23/B$15)</f>
        <v>3.5826242722794446E-3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-8.5031847133761773E-2</v>
      </c>
      <c r="P23" s="115">
        <v>314</v>
      </c>
      <c r="Q23" s="103">
        <v>-26.700000000001197</v>
      </c>
    </row>
    <row r="24" spans="1:17" x14ac:dyDescent="0.45">
      <c r="A24" s="52" t="s">
        <v>178</v>
      </c>
      <c r="B24" s="136">
        <f>IF(B$14=0,0,C24/B$14)</f>
        <v>7070.8672086720871</v>
      </c>
      <c r="C24" s="137">
        <v>5218300</v>
      </c>
      <c r="E24" s="59" t="s">
        <v>74</v>
      </c>
      <c r="F24" s="56" t="s">
        <v>29</v>
      </c>
      <c r="G24" s="44">
        <v>8</v>
      </c>
      <c r="H24" s="129">
        <f>IF(B$15=0,0,G24/B$15)</f>
        <v>3.5826242722794446E-3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-5.909999999999993</v>
      </c>
      <c r="P24" s="115">
        <v>260</v>
      </c>
      <c r="Q24" s="103">
        <v>-1536.5999999999981</v>
      </c>
    </row>
    <row r="25" spans="1:17" x14ac:dyDescent="0.45">
      <c r="A25" s="52" t="s">
        <v>176</v>
      </c>
      <c r="B25" s="136">
        <f>IF(B$16=0,0,C25/B$16)</f>
        <v>-7788.5878489326769</v>
      </c>
      <c r="C25" s="137">
        <v>-9486500</v>
      </c>
      <c r="E25" s="59" t="s">
        <v>84</v>
      </c>
      <c r="F25" s="56" t="s">
        <v>39</v>
      </c>
      <c r="G25" s="44">
        <v>7</v>
      </c>
      <c r="H25" s="129">
        <f>IF(B$15=0,0,G25/B$15)</f>
        <v>3.134796238244514E-3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-13.027118644067805</v>
      </c>
      <c r="P25" s="115">
        <v>354</v>
      </c>
      <c r="Q25" s="103">
        <v>-4611.6000000000031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2.6869682042095834E-3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5</v>
      </c>
      <c r="H27" s="129">
        <f>IF(B$15=0,0,G27/B$15)</f>
        <v>2.2391401701746527E-3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1.7913121361397223E-3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1.7913121361397223E-3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21</v>
      </c>
      <c r="C30" s="40">
        <f>IF(B$3=0,0,B30/B$3)</f>
        <v>2.7755749405233942E-3</v>
      </c>
      <c r="E30" s="59" t="s">
        <v>93</v>
      </c>
      <c r="F30" s="56" t="s">
        <v>48</v>
      </c>
      <c r="G30" s="44">
        <v>4</v>
      </c>
      <c r="H30" s="129">
        <f>IF(B$15=0,0,G30/B$15)</f>
        <v>1.7913121361397223E-3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1.7913121361397223E-3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175</v>
      </c>
      <c r="C32" s="141">
        <f>IF(B$15=0,0,B32/B$15)</f>
        <v>7.8369905956112859E-2</v>
      </c>
      <c r="E32" s="59" t="s">
        <v>97</v>
      </c>
      <c r="F32" s="56" t="s">
        <v>52</v>
      </c>
      <c r="G32" s="44">
        <v>1</v>
      </c>
      <c r="H32" s="129">
        <f>IF(B$15=0,0,G32/B$15)</f>
        <v>4.4782803403493058E-4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379</v>
      </c>
      <c r="C33" s="37">
        <f t="shared" ref="C33:C44" si="2">IF(B$15=0,0,B33/B$15)</f>
        <v>0.16972682489923868</v>
      </c>
      <c r="E33" s="59" t="s">
        <v>101</v>
      </c>
      <c r="F33" s="56" t="s">
        <v>56</v>
      </c>
      <c r="G33" s="44">
        <v>1</v>
      </c>
      <c r="H33" s="129">
        <f>IF(B$15=0,0,G33/B$15)</f>
        <v>4.4782803403493058E-4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434</v>
      </c>
      <c r="C34" s="37">
        <f>IF(B$15=0,0,B34/B$15)</f>
        <v>0.19435736677115986</v>
      </c>
      <c r="E34" s="59" t="s">
        <v>106</v>
      </c>
      <c r="F34" s="56" t="s">
        <v>113</v>
      </c>
      <c r="G34" s="44">
        <v>1</v>
      </c>
      <c r="H34" s="129">
        <f>IF(B$15=0,0,G34/B$15)</f>
        <v>4.4782803403493058E-4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395</v>
      </c>
      <c r="C35" s="37">
        <f t="shared" si="2"/>
        <v>0.17689207344379759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352</v>
      </c>
      <c r="C36" s="37">
        <f t="shared" si="2"/>
        <v>0.15763546798029557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244</v>
      </c>
      <c r="C37" s="37">
        <f t="shared" si="2"/>
        <v>0.10927004030452306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116</v>
      </c>
      <c r="C38" s="37">
        <f t="shared" si="2"/>
        <v>5.1948051948051951E-2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63</v>
      </c>
      <c r="C39" s="37">
        <f t="shared" si="2"/>
        <v>2.8213166144200628E-2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1.2539184952978056E-2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4.4782803403493054E-3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2.6869682042095834E-3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2.6869682042095834E-3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25</v>
      </c>
      <c r="C44" s="40">
        <f t="shared" si="2"/>
        <v>1.1195700850873265E-2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81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0.70935960591133007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2034.5679012345679</v>
      </c>
      <c r="P2" s="114">
        <v>81</v>
      </c>
      <c r="Q2" s="98">
        <v>164800</v>
      </c>
    </row>
    <row r="3" spans="1:17" x14ac:dyDescent="0.45">
      <c r="A3" s="51" t="s">
        <v>8</v>
      </c>
      <c r="B3" s="156">
        <v>721</v>
      </c>
      <c r="C3" s="157"/>
      <c r="E3" s="59" t="s">
        <v>72</v>
      </c>
      <c r="F3" s="56" t="s">
        <v>27</v>
      </c>
      <c r="G3" s="44">
        <v>115</v>
      </c>
      <c r="H3" s="129">
        <f>IF(B$15=0,0,G3/B$15)</f>
        <v>0.56650246305418717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-2061.25</v>
      </c>
      <c r="P3" s="115">
        <v>80</v>
      </c>
      <c r="Q3" s="99">
        <v>-164900</v>
      </c>
    </row>
    <row r="4" spans="1:17" x14ac:dyDescent="0.45">
      <c r="A4" s="51" t="s">
        <v>6</v>
      </c>
      <c r="B4" s="158">
        <v>-430.90000000000026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0.35467980295566504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-1572.7272727272727</v>
      </c>
      <c r="P4" s="115">
        <v>77</v>
      </c>
      <c r="Q4" s="99">
        <v>-121100</v>
      </c>
    </row>
    <row r="5" spans="1:17" x14ac:dyDescent="0.45">
      <c r="A5" s="51" t="s">
        <v>7</v>
      </c>
      <c r="B5" s="160">
        <f>IF(B$2=0,0,B$4/B$2)</f>
        <v>-5.3197530864197562</v>
      </c>
      <c r="C5" s="161"/>
      <c r="E5" s="59" t="s">
        <v>64</v>
      </c>
      <c r="F5" s="56" t="s">
        <v>20</v>
      </c>
      <c r="G5" s="44">
        <v>56</v>
      </c>
      <c r="H5" s="129">
        <f>IF(B$15=0,0,G5/B$15)</f>
        <v>0.27586206896551724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-919.44444444444446</v>
      </c>
      <c r="P5" s="115">
        <v>72</v>
      </c>
      <c r="Q5" s="99">
        <v>-66200</v>
      </c>
    </row>
    <row r="6" spans="1:17" x14ac:dyDescent="0.45">
      <c r="A6" s="51" t="s">
        <v>1</v>
      </c>
      <c r="B6" s="150">
        <f>IF(B$2=0,0,(B$7*1+B$8*2+B$9*3)/B$2)</f>
        <v>2.1111111111111112</v>
      </c>
      <c r="C6" s="151"/>
      <c r="E6" s="59" t="s">
        <v>68</v>
      </c>
      <c r="F6" s="56" t="s">
        <v>12</v>
      </c>
      <c r="G6" s="44">
        <v>54</v>
      </c>
      <c r="H6" s="129">
        <f>IF(B$15=0,0,G6/B$15)</f>
        <v>0.26600985221674878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-11.428571428571429</v>
      </c>
      <c r="P6" s="115">
        <v>70</v>
      </c>
      <c r="Q6" s="99">
        <v>-800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0.30864197530864196</v>
      </c>
      <c r="E7" s="59" t="s">
        <v>67</v>
      </c>
      <c r="F7" s="56" t="s">
        <v>23</v>
      </c>
      <c r="G7" s="44">
        <v>36</v>
      </c>
      <c r="H7" s="129">
        <f>IF(B$15=0,0,G7/B$15)</f>
        <v>0.17733990147783252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-1923.3333333333333</v>
      </c>
      <c r="P7" s="116">
        <v>60</v>
      </c>
      <c r="Q7" s="100">
        <v>-115400</v>
      </c>
    </row>
    <row r="8" spans="1:17" x14ac:dyDescent="0.45">
      <c r="A8" s="51" t="s">
        <v>3</v>
      </c>
      <c r="B8" s="44">
        <v>22</v>
      </c>
      <c r="C8" s="37">
        <f t="shared" si="1"/>
        <v>0.27160493827160492</v>
      </c>
      <c r="E8" s="59" t="s">
        <v>69</v>
      </c>
      <c r="F8" s="56" t="s">
        <v>24</v>
      </c>
      <c r="G8" s="44">
        <v>33</v>
      </c>
      <c r="H8" s="129">
        <f>IF(B$15=0,0,G8/B$15)</f>
        <v>0.1625615763546798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0.41975308641975306</v>
      </c>
      <c r="E9" s="59" t="s">
        <v>71</v>
      </c>
      <c r="F9" s="56" t="s">
        <v>26</v>
      </c>
      <c r="G9" s="44">
        <v>24</v>
      </c>
      <c r="H9" s="129">
        <f>IF(B$15=0,0,G9/B$15)</f>
        <v>0.11822660098522167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7.407407407407407E-2</v>
      </c>
      <c r="E10" s="59" t="s">
        <v>70</v>
      </c>
      <c r="F10" s="56" t="s">
        <v>25</v>
      </c>
      <c r="G10" s="44">
        <v>23</v>
      </c>
      <c r="H10" s="129">
        <f>IF(B$15=0,0,G10/B$15)</f>
        <v>0.11330049261083744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-11.299999999999999</v>
      </c>
      <c r="P10" s="114">
        <v>28</v>
      </c>
      <c r="Q10" s="102">
        <v>-316.39999999999998</v>
      </c>
    </row>
    <row r="11" spans="1:17" x14ac:dyDescent="0.45">
      <c r="A11" s="54" t="s">
        <v>121</v>
      </c>
      <c r="B11" s="47">
        <v>105</v>
      </c>
      <c r="C11" s="42">
        <f>IF(B$3=0,0,B11/B$3)</f>
        <v>0.14563106796116504</v>
      </c>
      <c r="E11" s="59" t="s">
        <v>83</v>
      </c>
      <c r="F11" s="56" t="s">
        <v>38</v>
      </c>
      <c r="G11" s="44">
        <v>18</v>
      </c>
      <c r="H11" s="129">
        <f>IF(B$15=0,0,G11/B$15)</f>
        <v>8.8669950738916259E-2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-5.3439999999999994</v>
      </c>
      <c r="P11" s="115">
        <v>25</v>
      </c>
      <c r="Q11" s="103">
        <v>-133.6</v>
      </c>
    </row>
    <row r="12" spans="1:17" x14ac:dyDescent="0.45">
      <c r="A12" s="51" t="s">
        <v>118</v>
      </c>
      <c r="B12" s="44">
        <v>186</v>
      </c>
      <c r="C12" s="37">
        <f>IF(B$3=0,0,B12/B$3)</f>
        <v>0.2579750346740638</v>
      </c>
      <c r="E12" s="59" t="s">
        <v>89</v>
      </c>
      <c r="F12" s="56" t="s">
        <v>44</v>
      </c>
      <c r="G12" s="44">
        <v>14</v>
      </c>
      <c r="H12" s="129">
        <f>IF(B$15=0,0,G12/B$15)</f>
        <v>6.8965517241379309E-2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0.68214285714285749</v>
      </c>
      <c r="P12" s="116">
        <v>28</v>
      </c>
      <c r="Q12" s="104">
        <v>19.100000000000009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0.54285714285714282</v>
      </c>
      <c r="E13" s="59" t="s">
        <v>65</v>
      </c>
      <c r="F13" s="56" t="s">
        <v>21</v>
      </c>
      <c r="G13" s="44">
        <v>13</v>
      </c>
      <c r="H13" s="129">
        <f>IF(B$15=0,0,G13/B$15)</f>
        <v>6.4039408866995079E-2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</v>
      </c>
      <c r="C14" s="35">
        <f>IF(B$12=0,0,B14/B$12)</f>
        <v>0.41935483870967744</v>
      </c>
      <c r="E14" s="59" t="s">
        <v>81</v>
      </c>
      <c r="F14" s="56" t="s">
        <v>36</v>
      </c>
      <c r="G14" s="44">
        <v>9</v>
      </c>
      <c r="H14" s="129">
        <f>IF(B$15=0,0,G14/B$15)</f>
        <v>4.4334975369458129E-2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203</v>
      </c>
      <c r="C15" s="35">
        <f>IF(B$3=0,0,B15/B$3)</f>
        <v>0.28155339805825241</v>
      </c>
      <c r="E15" s="59" t="s">
        <v>86</v>
      </c>
      <c r="F15" s="56" t="s">
        <v>41</v>
      </c>
      <c r="G15" s="44">
        <v>7</v>
      </c>
      <c r="H15" s="129">
        <f>IF(B$15=0,0,G15/B$15)</f>
        <v>3.4482758620689655E-2</v>
      </c>
      <c r="I15" s="90">
        <v>9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112</v>
      </c>
      <c r="C16" s="37">
        <f>IF(B$3=0,0,B16/B$3)</f>
        <v>0.1553398058252427</v>
      </c>
      <c r="E16" s="59" t="s">
        <v>79</v>
      </c>
      <c r="F16" s="56" t="s">
        <v>34</v>
      </c>
      <c r="G16" s="44">
        <v>5</v>
      </c>
      <c r="H16" s="129">
        <f>IF(B$15=0,0,G16/B$15)</f>
        <v>2.4630541871921183E-2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87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1.9704433497536946E-2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116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9.852216748768473E-3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57</v>
      </c>
      <c r="C19" s="37">
        <f>IF(B$15=0,0,B19/B$15)</f>
        <v>0.28078817733990147</v>
      </c>
      <c r="E19" s="59" t="s">
        <v>75</v>
      </c>
      <c r="F19" s="56" t="s">
        <v>30</v>
      </c>
      <c r="G19" s="44">
        <v>2</v>
      </c>
      <c r="H19" s="129">
        <f>IF(B$15=0,0,G19/B$15)</f>
        <v>9.852216748768473E-3</v>
      </c>
      <c r="I19" s="90">
        <v>5</v>
      </c>
      <c r="K19" s="36">
        <v>17</v>
      </c>
      <c r="L19" s="95">
        <v>-65.2</v>
      </c>
      <c r="N19" s="111" t="s">
        <v>127</v>
      </c>
      <c r="O19" s="121">
        <f>IF(P19=0,0,Q19/P19)</f>
        <v>-6.1387096774193557</v>
      </c>
      <c r="P19" s="115">
        <v>31</v>
      </c>
      <c r="Q19" s="103">
        <v>-190.30000000000004</v>
      </c>
    </row>
    <row r="20" spans="1:17" x14ac:dyDescent="0.45">
      <c r="A20" s="51" t="s">
        <v>193</v>
      </c>
      <c r="B20" s="44">
        <v>78</v>
      </c>
      <c r="C20" s="37">
        <f>IF(B$15=0,0,B20/B$15)</f>
        <v>0.38423645320197042</v>
      </c>
      <c r="E20" s="59" t="s">
        <v>78</v>
      </c>
      <c r="F20" s="56" t="s">
        <v>33</v>
      </c>
      <c r="G20" s="44">
        <v>2</v>
      </c>
      <c r="H20" s="129">
        <f>IF(B$15=0,0,G20/B$15)</f>
        <v>9.852216748768473E-3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>IF(P20=0,0,Q20/P20)</f>
        <v>-11.944736842105266</v>
      </c>
      <c r="P20" s="115">
        <v>38</v>
      </c>
      <c r="Q20" s="103">
        <v>-453.90000000000015</v>
      </c>
    </row>
    <row r="21" spans="1:17" x14ac:dyDescent="0.45">
      <c r="A21" s="51" t="s">
        <v>194</v>
      </c>
      <c r="B21" s="44">
        <v>68</v>
      </c>
      <c r="C21" s="37">
        <f>IF(B$15=0,0,B21/B$15)</f>
        <v>0.33497536945812806</v>
      </c>
      <c r="E21" s="59" t="s">
        <v>88</v>
      </c>
      <c r="F21" s="56" t="s">
        <v>43</v>
      </c>
      <c r="G21" s="44">
        <v>2</v>
      </c>
      <c r="H21" s="129">
        <f>IF(B$15=0,0,G21/B$15)</f>
        <v>9.852216748768473E-3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7173.8916256157636</v>
      </c>
      <c r="C22" s="39">
        <v>1456300</v>
      </c>
      <c r="E22" s="59" t="s">
        <v>93</v>
      </c>
      <c r="F22" s="56" t="s">
        <v>48</v>
      </c>
      <c r="G22" s="44">
        <v>2</v>
      </c>
      <c r="H22" s="129">
        <f>IF(B$15=0,0,G22/B$15)</f>
        <v>9.852216748768473E-3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-26.930769230769229</v>
      </c>
      <c r="P22" s="115">
        <v>26</v>
      </c>
      <c r="Q22" s="103">
        <v>-700.19999999999993</v>
      </c>
    </row>
    <row r="23" spans="1:17" x14ac:dyDescent="0.45">
      <c r="A23" s="52" t="s">
        <v>177</v>
      </c>
      <c r="B23" s="136">
        <f>IF($B$15-B$14=0,0,C23/($B$15-B$14))</f>
        <v>7704.8</v>
      </c>
      <c r="C23" s="137">
        <v>963100</v>
      </c>
      <c r="E23" s="59" t="s">
        <v>77</v>
      </c>
      <c r="F23" s="56" t="s">
        <v>32</v>
      </c>
      <c r="G23" s="44">
        <v>1</v>
      </c>
      <c r="H23" s="129">
        <f>IF(B$15=0,0,G23/B$15)</f>
        <v>4.9261083743842365E-3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6323.0769230769229</v>
      </c>
      <c r="C24" s="137">
        <v>493200</v>
      </c>
      <c r="E24" s="59" t="s">
        <v>84</v>
      </c>
      <c r="F24" s="56" t="s">
        <v>39</v>
      </c>
      <c r="G24" s="44">
        <v>1</v>
      </c>
      <c r="H24" s="129">
        <f>IF(B$15=0,0,G24/B$15)</f>
        <v>4.9261083743842365E-3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-7780.3571428571431</v>
      </c>
      <c r="C25" s="137">
        <v>-871400</v>
      </c>
      <c r="E25" s="59" t="s">
        <v>87</v>
      </c>
      <c r="F25" s="56" t="s">
        <v>42</v>
      </c>
      <c r="G25" s="44">
        <v>1</v>
      </c>
      <c r="H25" s="129">
        <f>IF(B$15=0,0,G25/B$15)</f>
        <v>4.9261083743842365E-3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2.7739251040221915E-3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0.13300492610837439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40</v>
      </c>
      <c r="C33" s="37">
        <f t="shared" ref="C33:C44" si="2">IF(B$15=0,0,B33/B$15)</f>
        <v>0.19704433497536947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0.21182266009852216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34</v>
      </c>
      <c r="C35" s="37">
        <f t="shared" si="2"/>
        <v>0.16748768472906403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2"/>
        <v>0.10837438423645321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2"/>
        <v>8.3743842364532015E-2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5.4187192118226604E-2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2.9556650246305417E-2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4.9261083743842365E-3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9.852216748768473E-3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7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177</v>
      </c>
      <c r="C2" s="155"/>
      <c r="E2" s="58" t="s">
        <v>66</v>
      </c>
      <c r="F2" s="55" t="s">
        <v>22</v>
      </c>
      <c r="G2" s="43">
        <v>335</v>
      </c>
      <c r="H2" s="128">
        <f>IF(B$15=0,0,G2/B$15)</f>
        <v>0.67404426559356134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1117.6136363636363</v>
      </c>
      <c r="P2" s="114">
        <v>176</v>
      </c>
      <c r="Q2" s="98">
        <v>196700</v>
      </c>
    </row>
    <row r="3" spans="1:17" x14ac:dyDescent="0.45">
      <c r="A3" s="51" t="s">
        <v>8</v>
      </c>
      <c r="B3" s="156">
        <v>1445</v>
      </c>
      <c r="C3" s="157"/>
      <c r="E3" s="59" t="s">
        <v>72</v>
      </c>
      <c r="F3" s="56" t="s">
        <v>27</v>
      </c>
      <c r="G3" s="44">
        <v>261</v>
      </c>
      <c r="H3" s="129">
        <f>IF(B$15=0,0,G3/B$15)</f>
        <v>0.52515090543259557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1230.057803468208</v>
      </c>
      <c r="P3" s="115">
        <v>173</v>
      </c>
      <c r="Q3" s="99">
        <v>212800</v>
      </c>
    </row>
    <row r="4" spans="1:17" x14ac:dyDescent="0.45">
      <c r="A4" s="51" t="s">
        <v>6</v>
      </c>
      <c r="B4" s="158">
        <v>1537.1999999999996</v>
      </c>
      <c r="C4" s="159"/>
      <c r="E4" s="59" t="s">
        <v>64</v>
      </c>
      <c r="F4" s="56" t="s">
        <v>20</v>
      </c>
      <c r="G4" s="44">
        <v>214</v>
      </c>
      <c r="H4" s="129">
        <f>IF(B$15=0,0,G4/B$15)</f>
        <v>0.43058350100603621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1093.9759036144578</v>
      </c>
      <c r="P4" s="115">
        <v>166</v>
      </c>
      <c r="Q4" s="99">
        <v>181600</v>
      </c>
    </row>
    <row r="5" spans="1:17" x14ac:dyDescent="0.45">
      <c r="A5" s="51" t="s">
        <v>7</v>
      </c>
      <c r="B5" s="160">
        <f>IF(B$2=0,0,B$4/B$2)</f>
        <v>8.6847457627118629</v>
      </c>
      <c r="C5" s="161"/>
      <c r="E5" s="59" t="s">
        <v>166</v>
      </c>
      <c r="F5" s="56" t="s">
        <v>167</v>
      </c>
      <c r="G5" s="44">
        <v>192</v>
      </c>
      <c r="H5" s="129">
        <f>IF(B$15=0,0,G5/B$15)</f>
        <v>0.38631790744466799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338.06451612903226</v>
      </c>
      <c r="P5" s="115">
        <v>155</v>
      </c>
      <c r="Q5" s="99">
        <v>52400</v>
      </c>
    </row>
    <row r="6" spans="1:17" x14ac:dyDescent="0.45">
      <c r="A6" s="51" t="s">
        <v>1</v>
      </c>
      <c r="B6" s="150">
        <f>IF(B$2=0,0,(B$7*1+B$8*2+B$9*3)/B$2)</f>
        <v>1.7909604519774012</v>
      </c>
      <c r="C6" s="151"/>
      <c r="E6" s="59" t="s">
        <v>68</v>
      </c>
      <c r="F6" s="56" t="s">
        <v>12</v>
      </c>
      <c r="G6" s="44">
        <v>139</v>
      </c>
      <c r="H6" s="129">
        <f>IF(B$15=0,0,G6/B$15)</f>
        <v>0.27967806841046278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1503.4722222222222</v>
      </c>
      <c r="P6" s="115">
        <v>144</v>
      </c>
      <c r="Q6" s="99">
        <v>216500</v>
      </c>
    </row>
    <row r="7" spans="1:17" x14ac:dyDescent="0.45">
      <c r="A7" s="51" t="s">
        <v>2</v>
      </c>
      <c r="B7" s="44">
        <v>82</v>
      </c>
      <c r="C7" s="37">
        <f t="shared" ref="C7:C10" si="1">IF(B$2=0,0,B7/B$2)</f>
        <v>0.4632768361581921</v>
      </c>
      <c r="E7" s="59" t="s">
        <v>67</v>
      </c>
      <c r="F7" s="56" t="s">
        <v>23</v>
      </c>
      <c r="G7" s="44">
        <v>119</v>
      </c>
      <c r="H7" s="129">
        <f>IF(B$15=0,0,G7/B$15)</f>
        <v>0.23943661971830985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2219.3277310924368</v>
      </c>
      <c r="P7" s="116">
        <v>119</v>
      </c>
      <c r="Q7" s="100">
        <v>264100</v>
      </c>
    </row>
    <row r="8" spans="1:17" x14ac:dyDescent="0.45">
      <c r="A8" s="51" t="s">
        <v>3</v>
      </c>
      <c r="B8" s="44">
        <v>50</v>
      </c>
      <c r="C8" s="37">
        <f t="shared" si="1"/>
        <v>0.2824858757062147</v>
      </c>
      <c r="E8" s="59" t="s">
        <v>89</v>
      </c>
      <c r="F8" s="56" t="s">
        <v>44</v>
      </c>
      <c r="G8" s="44">
        <v>74</v>
      </c>
      <c r="H8" s="129">
        <f>IF(B$15=0,0,G8/B$15)</f>
        <v>0.1488933601609658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0.25423728813559321</v>
      </c>
      <c r="E9" s="59" t="s">
        <v>69</v>
      </c>
      <c r="F9" s="56" t="s">
        <v>24</v>
      </c>
      <c r="G9" s="44">
        <v>62</v>
      </c>
      <c r="H9" s="129">
        <f>IF(B$15=0,0,G9/B$15)</f>
        <v>0.12474849094567404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4.519774011299435E-2</v>
      </c>
      <c r="E10" s="59" t="s">
        <v>65</v>
      </c>
      <c r="F10" s="56" t="s">
        <v>21</v>
      </c>
      <c r="G10" s="44">
        <v>54</v>
      </c>
      <c r="H10" s="129">
        <f>IF(B$15=0,0,G10/B$15)</f>
        <v>0.10865191146881288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12.642307692307689</v>
      </c>
      <c r="P10" s="114">
        <v>52</v>
      </c>
      <c r="Q10" s="102">
        <v>657.39999999999986</v>
      </c>
    </row>
    <row r="11" spans="1:17" x14ac:dyDescent="0.45">
      <c r="A11" s="54" t="s">
        <v>121</v>
      </c>
      <c r="B11" s="47">
        <v>383</v>
      </c>
      <c r="C11" s="42">
        <f>IF(B$3=0,0,B11/B$3)</f>
        <v>0.26505190311418686</v>
      </c>
      <c r="E11" s="59" t="s">
        <v>71</v>
      </c>
      <c r="F11" s="56" t="s">
        <v>26</v>
      </c>
      <c r="G11" s="44">
        <v>36</v>
      </c>
      <c r="H11" s="129">
        <f>IF(B$15=0,0,G11/B$15)</f>
        <v>7.2434607645875254E-2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3.5533333333333332</v>
      </c>
      <c r="P11" s="115">
        <v>60</v>
      </c>
      <c r="Q11" s="103">
        <v>213.2</v>
      </c>
    </row>
    <row r="12" spans="1:17" x14ac:dyDescent="0.45">
      <c r="A12" s="51" t="s">
        <v>118</v>
      </c>
      <c r="B12" s="44">
        <v>341</v>
      </c>
      <c r="C12" s="37">
        <f>IF(B$3=0,0,B12/B$3)</f>
        <v>0.23598615916955018</v>
      </c>
      <c r="E12" s="59" t="s">
        <v>86</v>
      </c>
      <c r="F12" s="56" t="s">
        <v>41</v>
      </c>
      <c r="G12" s="44">
        <v>32</v>
      </c>
      <c r="H12" s="129">
        <f>IF(B$15=0,0,G12/B$15)</f>
        <v>6.4386317907444673E-2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10.255384615384612</v>
      </c>
      <c r="P12" s="116">
        <v>65</v>
      </c>
      <c r="Q12" s="104">
        <v>666.5999999999998</v>
      </c>
    </row>
    <row r="13" spans="1:17" x14ac:dyDescent="0.45">
      <c r="A13" s="50" t="s">
        <v>123</v>
      </c>
      <c r="B13" s="43">
        <f>B19</f>
        <v>226</v>
      </c>
      <c r="C13" s="35">
        <f>IF(B$11=0,0,B13/B$11)</f>
        <v>0.59007832898172319</v>
      </c>
      <c r="E13" s="59" t="s">
        <v>70</v>
      </c>
      <c r="F13" s="56" t="s">
        <v>25</v>
      </c>
      <c r="G13" s="44">
        <v>30</v>
      </c>
      <c r="H13" s="129">
        <f>IF(B$15=0,0,G13/B$15)</f>
        <v>6.0362173038229376E-2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167</v>
      </c>
      <c r="C14" s="35">
        <f>IF(B$12=0,0,B14/B$12)</f>
        <v>0.48973607038123168</v>
      </c>
      <c r="E14" s="59" t="s">
        <v>83</v>
      </c>
      <c r="F14" s="56" t="s">
        <v>38</v>
      </c>
      <c r="G14" s="44">
        <v>24</v>
      </c>
      <c r="H14" s="129">
        <f>IF(B$15=0,0,G14/B$15)</f>
        <v>4.8289738430583498E-2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497</v>
      </c>
      <c r="C15" s="35">
        <f>IF(B$3=0,0,B15/B$3)</f>
        <v>0.34394463667820069</v>
      </c>
      <c r="E15" s="59" t="s">
        <v>78</v>
      </c>
      <c r="F15" s="56" t="s">
        <v>33</v>
      </c>
      <c r="G15" s="44">
        <v>21</v>
      </c>
      <c r="H15" s="129">
        <f>IF(B$15=0,0,G15/B$15)</f>
        <v>4.2253521126760563E-2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189</v>
      </c>
      <c r="C16" s="37">
        <f>IF(B$3=0,0,B16/B$3)</f>
        <v>0.13079584775086506</v>
      </c>
      <c r="E16" s="59" t="s">
        <v>162</v>
      </c>
      <c r="F16" s="56" t="s">
        <v>163</v>
      </c>
      <c r="G16" s="44">
        <v>14</v>
      </c>
      <c r="H16" s="129">
        <f>IF(B$15=0,0,G16/B$15)</f>
        <v>2.8169014084507043E-2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213</v>
      </c>
      <c r="C17" s="37">
        <f>IF(B$15=0,0,B17/B$15)</f>
        <v>0.42857142857142855</v>
      </c>
      <c r="E17" s="59" t="s">
        <v>81</v>
      </c>
      <c r="F17" s="56" t="s">
        <v>36</v>
      </c>
      <c r="G17" s="44">
        <v>7</v>
      </c>
      <c r="H17" s="129">
        <f>IF(B$15=0,0,G17/B$15)</f>
        <v>1.4084507042253521E-2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284</v>
      </c>
      <c r="C18" s="37">
        <f>IF(B$15=0,0,B18/B$15)</f>
        <v>0.5714285714285714</v>
      </c>
      <c r="E18" s="59" t="s">
        <v>91</v>
      </c>
      <c r="F18" s="56" t="s">
        <v>46</v>
      </c>
      <c r="G18" s="44">
        <v>6</v>
      </c>
      <c r="H18" s="129">
        <f>IF(B$15=0,0,G18/B$15)</f>
        <v>1.2072434607645875E-2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15.152459016393442</v>
      </c>
      <c r="P18" s="115">
        <v>61</v>
      </c>
      <c r="Q18" s="103">
        <v>924.3</v>
      </c>
    </row>
    <row r="19" spans="1:17" x14ac:dyDescent="0.45">
      <c r="A19" s="51" t="s">
        <v>195</v>
      </c>
      <c r="B19" s="44">
        <v>226</v>
      </c>
      <c r="C19" s="37">
        <f>IF(B$15=0,0,B19/B$15)</f>
        <v>0.45472837022132795</v>
      </c>
      <c r="E19" s="59" t="s">
        <v>75</v>
      </c>
      <c r="F19" s="56" t="s">
        <v>30</v>
      </c>
      <c r="G19" s="44">
        <v>5</v>
      </c>
      <c r="H19" s="129">
        <f>IF(B$15=0,0,G19/B$15)</f>
        <v>1.0060362173038229E-2</v>
      </c>
      <c r="I19" s="90">
        <v>4</v>
      </c>
      <c r="K19" s="36">
        <v>17</v>
      </c>
      <c r="L19" s="95">
        <v>359.09999999999991</v>
      </c>
      <c r="N19" s="111" t="s">
        <v>171</v>
      </c>
      <c r="O19" s="121">
        <f>IF(P19=0,0,Q19/P19)</f>
        <v>12.623880597014924</v>
      </c>
      <c r="P19" s="115">
        <v>67</v>
      </c>
      <c r="Q19" s="103">
        <v>845.8</v>
      </c>
    </row>
    <row r="20" spans="1:17" x14ac:dyDescent="0.45">
      <c r="A20" s="51" t="s">
        <v>193</v>
      </c>
      <c r="B20" s="44">
        <v>167</v>
      </c>
      <c r="C20" s="37">
        <f>IF(B$15=0,0,B20/B$15)</f>
        <v>0.33601609657947684</v>
      </c>
      <c r="E20" s="59" t="s">
        <v>79</v>
      </c>
      <c r="F20" s="56" t="s">
        <v>34</v>
      </c>
      <c r="G20" s="44">
        <v>4</v>
      </c>
      <c r="H20" s="129">
        <f>IF(B$15=0,0,G20/B$15)</f>
        <v>8.0482897384305842E-3</v>
      </c>
      <c r="I20" s="90">
        <v>9</v>
      </c>
      <c r="K20" s="36">
        <v>18</v>
      </c>
      <c r="L20" s="95">
        <v>352.39999999999992</v>
      </c>
      <c r="N20" s="111" t="s">
        <v>127</v>
      </c>
      <c r="O20" s="121">
        <f>IF(P20=0,0,Q20/P20)</f>
        <v>12.54903846153846</v>
      </c>
      <c r="P20" s="115">
        <v>104</v>
      </c>
      <c r="Q20" s="103">
        <v>1305.0999999999999</v>
      </c>
    </row>
    <row r="21" spans="1:17" x14ac:dyDescent="0.45">
      <c r="A21" s="51" t="s">
        <v>194</v>
      </c>
      <c r="B21" s="44">
        <v>104</v>
      </c>
      <c r="C21" s="37">
        <f>IF(B$15=0,0,B21/B$15)</f>
        <v>0.20925553319919518</v>
      </c>
      <c r="E21" s="59" t="s">
        <v>85</v>
      </c>
      <c r="F21" s="56" t="s">
        <v>40</v>
      </c>
      <c r="G21" s="44">
        <v>4</v>
      </c>
      <c r="H21" s="129">
        <f>IF(B$15=0,0,G21/B$15)</f>
        <v>8.0482897384305842E-3</v>
      </c>
      <c r="I21" s="90">
        <v>5</v>
      </c>
      <c r="K21" s="36">
        <v>19</v>
      </c>
      <c r="L21" s="95">
        <v>383.19999999999993</v>
      </c>
      <c r="N21" s="111" t="s">
        <v>161</v>
      </c>
      <c r="O21" s="121">
        <f>IF(P21=0,0,Q21/P21)</f>
        <v>12.43846153846154</v>
      </c>
      <c r="P21" s="115">
        <v>39</v>
      </c>
      <c r="Q21" s="103">
        <v>485.10000000000008</v>
      </c>
    </row>
    <row r="22" spans="1:17" x14ac:dyDescent="0.45">
      <c r="A22" s="51" t="s">
        <v>5</v>
      </c>
      <c r="B22" s="48">
        <f>IF(B$15=0,0,C22/B$15)</f>
        <v>8213.6820925553311</v>
      </c>
      <c r="C22" s="39">
        <v>4082200</v>
      </c>
      <c r="E22" s="59" t="s">
        <v>92</v>
      </c>
      <c r="F22" s="56" t="s">
        <v>47</v>
      </c>
      <c r="G22" s="44">
        <v>4</v>
      </c>
      <c r="H22" s="129">
        <f>IF(B$15=0,0,G22/B$15)</f>
        <v>8.0482897384305842E-3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2.8653846153846154</v>
      </c>
      <c r="P22" s="115">
        <v>52</v>
      </c>
      <c r="Q22" s="103">
        <v>149</v>
      </c>
    </row>
    <row r="23" spans="1:17" x14ac:dyDescent="0.45">
      <c r="A23" s="52" t="s">
        <v>177</v>
      </c>
      <c r="B23" s="136">
        <f>IF($B$15-B$14=0,0,C23/($B$15-B$14))</f>
        <v>8692.424242424242</v>
      </c>
      <c r="C23" s="137">
        <v>2868500</v>
      </c>
      <c r="E23" s="59" t="s">
        <v>77</v>
      </c>
      <c r="F23" s="56" t="s">
        <v>32</v>
      </c>
      <c r="G23" s="44">
        <v>3</v>
      </c>
      <c r="H23" s="129">
        <f>IF(B$15=0,0,G23/B$15)</f>
        <v>6.0362173038229373E-3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7267.6646706586826</v>
      </c>
      <c r="C24" s="137">
        <v>1213700</v>
      </c>
      <c r="E24" s="59" t="s">
        <v>84</v>
      </c>
      <c r="F24" s="56" t="s">
        <v>39</v>
      </c>
      <c r="G24" s="44">
        <v>3</v>
      </c>
      <c r="H24" s="129">
        <f>IF(B$15=0,0,G24/B$15)</f>
        <v>6.0362173038229373E-3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-7753.9682539682535</v>
      </c>
      <c r="C25" s="137">
        <v>-1465500</v>
      </c>
      <c r="E25" s="59" t="s">
        <v>74</v>
      </c>
      <c r="F25" s="56" t="s">
        <v>29</v>
      </c>
      <c r="G25" s="44">
        <v>2</v>
      </c>
      <c r="H25" s="129">
        <f>IF(B$15=0,0,G25/B$15)</f>
        <v>4.0241448692152921E-3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4.0241448692152921E-3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5</v>
      </c>
      <c r="E27" s="59" t="s">
        <v>95</v>
      </c>
      <c r="F27" s="56" t="s">
        <v>50</v>
      </c>
      <c r="G27" s="44">
        <v>2</v>
      </c>
      <c r="H27" s="129">
        <f>IF(B$15=0,0,G27/B$15)</f>
        <v>4.0241448692152921E-3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2.012072434607646E-3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2.012072434607646E-3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6.9204152249134946E-4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47</v>
      </c>
      <c r="C32" s="141">
        <f>IF(B$15=0,0,B32/B$15)</f>
        <v>9.4567404426559351E-2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92</v>
      </c>
      <c r="C33" s="37">
        <f t="shared" ref="C33:C44" si="2">IF(B$15=0,0,B33/B$15)</f>
        <v>0.18511066398390341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97</v>
      </c>
      <c r="C34" s="37">
        <f>IF(B$15=0,0,B34/B$15)</f>
        <v>0.19517102615694165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90</v>
      </c>
      <c r="C35" s="37">
        <f t="shared" si="2"/>
        <v>0.18108651911468812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70</v>
      </c>
      <c r="C36" s="37">
        <f t="shared" si="2"/>
        <v>0.14084507042253522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49</v>
      </c>
      <c r="C37" s="37">
        <f t="shared" si="2"/>
        <v>9.8591549295774641E-2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4.8289738430583498E-2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8</v>
      </c>
      <c r="C39" s="37">
        <f t="shared" si="2"/>
        <v>1.6096579476861168E-2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2.0120724346076459E-2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4.0241448692152921E-3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2.012072434607646E-3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1.4084507042253521E-2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5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157</v>
      </c>
      <c r="C2" s="155"/>
      <c r="E2" s="58" t="s">
        <v>66</v>
      </c>
      <c r="F2" s="55" t="s">
        <v>22</v>
      </c>
      <c r="G2" s="43">
        <v>313</v>
      </c>
      <c r="H2" s="128">
        <f>IF(B$15=0,0,G2/B$15)</f>
        <v>0.78249999999999997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-1066.6666666666667</v>
      </c>
      <c r="P2" s="114">
        <v>156</v>
      </c>
      <c r="Q2" s="98">
        <v>-166400</v>
      </c>
    </row>
    <row r="3" spans="1:17" x14ac:dyDescent="0.45">
      <c r="A3" s="51" t="s">
        <v>8</v>
      </c>
      <c r="B3" s="156">
        <v>1302</v>
      </c>
      <c r="C3" s="157"/>
      <c r="E3" s="59" t="s">
        <v>72</v>
      </c>
      <c r="F3" s="56" t="s">
        <v>27</v>
      </c>
      <c r="G3" s="44">
        <v>218</v>
      </c>
      <c r="H3" s="129">
        <f>IF(B$15=0,0,G3/B$15)</f>
        <v>0.54500000000000004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1353.8961038961038</v>
      </c>
      <c r="P3" s="115">
        <v>154</v>
      </c>
      <c r="Q3" s="99">
        <v>208500</v>
      </c>
    </row>
    <row r="4" spans="1:17" x14ac:dyDescent="0.45">
      <c r="A4" s="51" t="s">
        <v>6</v>
      </c>
      <c r="B4" s="158">
        <v>8.8999999999998138</v>
      </c>
      <c r="C4" s="159"/>
      <c r="E4" s="59" t="s">
        <v>166</v>
      </c>
      <c r="F4" s="56" t="s">
        <v>167</v>
      </c>
      <c r="G4" s="44">
        <v>159</v>
      </c>
      <c r="H4" s="129">
        <f>IF(B$15=0,0,G4/B$15)</f>
        <v>0.39750000000000002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-338.73239436619718</v>
      </c>
      <c r="P4" s="115">
        <v>142</v>
      </c>
      <c r="Q4" s="99">
        <v>-48100</v>
      </c>
    </row>
    <row r="5" spans="1:17" x14ac:dyDescent="0.45">
      <c r="A5" s="51" t="s">
        <v>7</v>
      </c>
      <c r="B5" s="160">
        <f>IF(B$2=0,0,B$4/B$2)</f>
        <v>5.6687898089170789E-2</v>
      </c>
      <c r="C5" s="161"/>
      <c r="E5" s="59" t="s">
        <v>64</v>
      </c>
      <c r="F5" s="56" t="s">
        <v>20</v>
      </c>
      <c r="G5" s="44">
        <v>157</v>
      </c>
      <c r="H5" s="129">
        <f>IF(B$15=0,0,G5/B$15)</f>
        <v>0.39250000000000002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282.22222222222223</v>
      </c>
      <c r="P5" s="115">
        <v>135</v>
      </c>
      <c r="Q5" s="99">
        <v>38100</v>
      </c>
    </row>
    <row r="6" spans="1:17" x14ac:dyDescent="0.45">
      <c r="A6" s="51" t="s">
        <v>1</v>
      </c>
      <c r="B6" s="150">
        <f>IF(B$2=0,0,(B$7*1+B$8*2+B$9*3)/B$2)</f>
        <v>1.9745222929936306</v>
      </c>
      <c r="C6" s="151"/>
      <c r="E6" s="59" t="s">
        <v>68</v>
      </c>
      <c r="F6" s="56" t="s">
        <v>12</v>
      </c>
      <c r="G6" s="44">
        <v>113</v>
      </c>
      <c r="H6" s="129">
        <f>IF(B$15=0,0,G6/B$15)</f>
        <v>0.28249999999999997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-1149.5934959349593</v>
      </c>
      <c r="P6" s="115">
        <v>123</v>
      </c>
      <c r="Q6" s="99">
        <v>-141400</v>
      </c>
    </row>
    <row r="7" spans="1:17" x14ac:dyDescent="0.45">
      <c r="A7" s="51" t="s">
        <v>2</v>
      </c>
      <c r="B7" s="44">
        <v>53</v>
      </c>
      <c r="C7" s="37">
        <f t="shared" ref="C7:C10" si="1">IF(B$2=0,0,B7/B$2)</f>
        <v>0.33757961783439489</v>
      </c>
      <c r="E7" s="59" t="s">
        <v>67</v>
      </c>
      <c r="F7" s="56" t="s">
        <v>23</v>
      </c>
      <c r="G7" s="44">
        <v>86</v>
      </c>
      <c r="H7" s="129">
        <f>IF(B$15=0,0,G7/B$15)</f>
        <v>0.215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1134.9514563106795</v>
      </c>
      <c r="P7" s="116">
        <v>103</v>
      </c>
      <c r="Q7" s="100">
        <v>116900</v>
      </c>
    </row>
    <row r="8" spans="1:17" x14ac:dyDescent="0.45">
      <c r="A8" s="51" t="s">
        <v>3</v>
      </c>
      <c r="B8" s="44">
        <v>55</v>
      </c>
      <c r="C8" s="37">
        <f t="shared" si="1"/>
        <v>0.3503184713375796</v>
      </c>
      <c r="E8" s="59" t="s">
        <v>69</v>
      </c>
      <c r="F8" s="56" t="s">
        <v>24</v>
      </c>
      <c r="G8" s="44">
        <v>48</v>
      </c>
      <c r="H8" s="129">
        <f>IF(B$15=0,0,G8/B$15)</f>
        <v>0.12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0.31210191082802546</v>
      </c>
      <c r="E9" s="59" t="s">
        <v>89</v>
      </c>
      <c r="F9" s="56" t="s">
        <v>44</v>
      </c>
      <c r="G9" s="44">
        <v>44</v>
      </c>
      <c r="H9" s="129">
        <f>IF(B$15=0,0,G9/B$15)</f>
        <v>0.11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0.11464968152866242</v>
      </c>
      <c r="E10" s="59" t="s">
        <v>70</v>
      </c>
      <c r="F10" s="56" t="s">
        <v>25</v>
      </c>
      <c r="G10" s="44">
        <v>39</v>
      </c>
      <c r="H10" s="129">
        <f>IF(B$15=0,0,G10/B$15)</f>
        <v>9.7500000000000003E-2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1.7304347826086961</v>
      </c>
      <c r="P10" s="114">
        <v>46</v>
      </c>
      <c r="Q10" s="102">
        <v>79.600000000000023</v>
      </c>
    </row>
    <row r="11" spans="1:17" x14ac:dyDescent="0.45">
      <c r="A11" s="54" t="s">
        <v>121</v>
      </c>
      <c r="B11" s="47">
        <v>308</v>
      </c>
      <c r="C11" s="42">
        <f>IF(B$3=0,0,B11/B$3)</f>
        <v>0.23655913978494625</v>
      </c>
      <c r="E11" s="59" t="s">
        <v>71</v>
      </c>
      <c r="F11" s="56" t="s">
        <v>26</v>
      </c>
      <c r="G11" s="44">
        <v>37</v>
      </c>
      <c r="H11" s="129">
        <f>IF(B$15=0,0,G11/B$15)</f>
        <v>9.2499999999999999E-2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3.2235294117647073</v>
      </c>
      <c r="P11" s="115">
        <v>51</v>
      </c>
      <c r="Q11" s="103">
        <v>164.40000000000006</v>
      </c>
    </row>
    <row r="12" spans="1:17" x14ac:dyDescent="0.45">
      <c r="A12" s="51" t="s">
        <v>118</v>
      </c>
      <c r="B12" s="44">
        <v>389</v>
      </c>
      <c r="C12" s="37">
        <f>IF(B$3=0,0,B12/B$3)</f>
        <v>0.29877112135176653</v>
      </c>
      <c r="E12" s="59" t="s">
        <v>65</v>
      </c>
      <c r="F12" s="56" t="s">
        <v>21</v>
      </c>
      <c r="G12" s="44">
        <v>32</v>
      </c>
      <c r="H12" s="129">
        <f>IF(B$15=0,0,G12/B$15)</f>
        <v>0.08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-3.9183333333333339</v>
      </c>
      <c r="P12" s="116">
        <v>60</v>
      </c>
      <c r="Q12" s="104">
        <v>-235.10000000000002</v>
      </c>
    </row>
    <row r="13" spans="1:17" x14ac:dyDescent="0.45">
      <c r="A13" s="50" t="s">
        <v>123</v>
      </c>
      <c r="B13" s="43">
        <f>B19</f>
        <v>157</v>
      </c>
      <c r="C13" s="35">
        <f>IF(B$11=0,0,B13/B$11)</f>
        <v>0.50974025974025972</v>
      </c>
      <c r="E13" s="59" t="s">
        <v>86</v>
      </c>
      <c r="F13" s="56" t="s">
        <v>41</v>
      </c>
      <c r="G13" s="44">
        <v>24</v>
      </c>
      <c r="H13" s="129">
        <f>IF(B$15=0,0,G13/B$15)</f>
        <v>0.06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147</v>
      </c>
      <c r="C14" s="35">
        <f>IF(B$12=0,0,B14/B$12)</f>
        <v>0.37789203084832906</v>
      </c>
      <c r="E14" s="59" t="s">
        <v>83</v>
      </c>
      <c r="F14" s="56" t="s">
        <v>38</v>
      </c>
      <c r="G14" s="44">
        <v>20</v>
      </c>
      <c r="H14" s="129">
        <f>IF(B$15=0,0,G14/B$15)</f>
        <v>0.05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400</v>
      </c>
      <c r="C15" s="35">
        <f>IF(B$3=0,0,B15/B$3)</f>
        <v>0.30721966205837176</v>
      </c>
      <c r="E15" s="59" t="s">
        <v>78</v>
      </c>
      <c r="F15" s="56" t="s">
        <v>33</v>
      </c>
      <c r="G15" s="44">
        <v>16</v>
      </c>
      <c r="H15" s="129">
        <f>IF(B$15=0,0,G15/B$15)</f>
        <v>0.04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237</v>
      </c>
      <c r="C16" s="37">
        <f>IF(B$3=0,0,B16/B$3)</f>
        <v>0.18202764976958524</v>
      </c>
      <c r="E16" s="59" t="s">
        <v>91</v>
      </c>
      <c r="F16" s="56" t="s">
        <v>46</v>
      </c>
      <c r="G16" s="44">
        <v>13</v>
      </c>
      <c r="H16" s="129">
        <f>IF(B$15=0,0,G16/B$15)</f>
        <v>3.2500000000000001E-2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165</v>
      </c>
      <c r="C17" s="37">
        <f>IF(B$15=0,0,B17/B$15)</f>
        <v>0.41249999999999998</v>
      </c>
      <c r="E17" s="59" t="s">
        <v>81</v>
      </c>
      <c r="F17" s="56" t="s">
        <v>36</v>
      </c>
      <c r="G17" s="44">
        <v>8</v>
      </c>
      <c r="H17" s="129">
        <f>IF(B$15=0,0,G17/B$15)</f>
        <v>0.02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235</v>
      </c>
      <c r="C18" s="37">
        <f>IF(B$15=0,0,B18/B$15)</f>
        <v>0.58750000000000002</v>
      </c>
      <c r="E18" s="59" t="s">
        <v>79</v>
      </c>
      <c r="F18" s="56" t="s">
        <v>34</v>
      </c>
      <c r="G18" s="44">
        <v>7</v>
      </c>
      <c r="H18" s="129">
        <f>IF(B$15=0,0,G18/B$15)</f>
        <v>1.7500000000000002E-2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157</v>
      </c>
      <c r="C19" s="37">
        <f>IF(B$15=0,0,B19/B$15)</f>
        <v>0.39250000000000002</v>
      </c>
      <c r="E19" s="59" t="s">
        <v>162</v>
      </c>
      <c r="F19" s="56" t="s">
        <v>163</v>
      </c>
      <c r="G19" s="44">
        <v>5</v>
      </c>
      <c r="H19" s="129">
        <f>IF(B$15=0,0,G19/B$15)</f>
        <v>1.2500000000000001E-2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6.1387096774193539</v>
      </c>
      <c r="P19" s="115">
        <v>31</v>
      </c>
      <c r="Q19" s="103">
        <v>190.29999999999998</v>
      </c>
    </row>
    <row r="20" spans="1:17" x14ac:dyDescent="0.45">
      <c r="A20" s="51" t="s">
        <v>193</v>
      </c>
      <c r="B20" s="44">
        <v>147</v>
      </c>
      <c r="C20" s="37">
        <f>IF(B$15=0,0,B20/B$15)</f>
        <v>0.36749999999999999</v>
      </c>
      <c r="E20" s="59" t="s">
        <v>92</v>
      </c>
      <c r="F20" s="56" t="s">
        <v>47</v>
      </c>
      <c r="G20" s="44">
        <v>3</v>
      </c>
      <c r="H20" s="129">
        <f>IF(B$15=0,0,G20/B$15)</f>
        <v>7.4999999999999997E-3</v>
      </c>
      <c r="I20" s="90">
        <v>3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96</v>
      </c>
      <c r="C21" s="37">
        <f>IF(B$15=0,0,B21/B$15)</f>
        <v>0.24</v>
      </c>
      <c r="E21" s="59" t="s">
        <v>74</v>
      </c>
      <c r="F21" s="56" t="s">
        <v>29</v>
      </c>
      <c r="G21" s="44">
        <v>2</v>
      </c>
      <c r="H21" s="129">
        <f>IF(B$15=0,0,G21/B$15)</f>
        <v>5.0000000000000001E-3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-0.12545454545454426</v>
      </c>
      <c r="P21" s="115">
        <v>55</v>
      </c>
      <c r="Q21" s="103">
        <v>-6.8999999999999346</v>
      </c>
    </row>
    <row r="22" spans="1:17" x14ac:dyDescent="0.45">
      <c r="A22" s="51" t="s">
        <v>5</v>
      </c>
      <c r="B22" s="48">
        <f>IF(B$15=0,0,C22/B$15)</f>
        <v>8179.25</v>
      </c>
      <c r="C22" s="39">
        <v>3271700</v>
      </c>
      <c r="E22" s="59" t="s">
        <v>75</v>
      </c>
      <c r="F22" s="56" t="s">
        <v>30</v>
      </c>
      <c r="G22" s="44">
        <v>2</v>
      </c>
      <c r="H22" s="129">
        <f>IF(B$15=0,0,G22/B$15)</f>
        <v>5.0000000000000001E-3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-2.784313725490192</v>
      </c>
      <c r="P22" s="115">
        <v>51</v>
      </c>
      <c r="Q22" s="103">
        <v>-141.9999999999998</v>
      </c>
    </row>
    <row r="23" spans="1:17" x14ac:dyDescent="0.45">
      <c r="A23" s="52" t="s">
        <v>177</v>
      </c>
      <c r="B23" s="136">
        <f>IF($B$15-B$14=0,0,C23/($B$15-B$14))</f>
        <v>8806.7193675889321</v>
      </c>
      <c r="C23" s="137">
        <v>2228100</v>
      </c>
      <c r="E23" s="59" t="s">
        <v>73</v>
      </c>
      <c r="F23" s="56" t="s">
        <v>28</v>
      </c>
      <c r="G23" s="44">
        <v>1</v>
      </c>
      <c r="H23" s="129">
        <f>IF(B$15=0,0,G23/B$15)</f>
        <v>2.5000000000000001E-3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-12.54903846153846</v>
      </c>
      <c r="P23" s="115">
        <v>104</v>
      </c>
      <c r="Q23" s="103">
        <v>-1305.0999999999999</v>
      </c>
    </row>
    <row r="24" spans="1:17" x14ac:dyDescent="0.45">
      <c r="A24" s="52" t="s">
        <v>178</v>
      </c>
      <c r="B24" s="136">
        <f>IF(B$14=0,0,C24/B$14)</f>
        <v>7099.3197278911566</v>
      </c>
      <c r="C24" s="137">
        <v>1043600</v>
      </c>
      <c r="E24" s="59" t="s">
        <v>77</v>
      </c>
      <c r="F24" s="56" t="s">
        <v>32</v>
      </c>
      <c r="G24" s="44">
        <v>1</v>
      </c>
      <c r="H24" s="129">
        <f>IF(B$15=0,0,G24/B$15)</f>
        <v>2.5000000000000001E-3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-7837.1308016877638</v>
      </c>
      <c r="C25" s="137">
        <v>-1857400</v>
      </c>
      <c r="E25" s="59" t="s">
        <v>84</v>
      </c>
      <c r="F25" s="56" t="s">
        <v>39</v>
      </c>
      <c r="G25" s="44">
        <v>1</v>
      </c>
      <c r="H25" s="129">
        <f>IF(B$15=0,0,G25/B$15)</f>
        <v>2.5000000000000001E-3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2.5000000000000001E-3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7</v>
      </c>
      <c r="E27" s="59" t="s">
        <v>95</v>
      </c>
      <c r="F27" s="56" t="s">
        <v>50</v>
      </c>
      <c r="G27" s="44">
        <v>1</v>
      </c>
      <c r="H27" s="129">
        <f>IF(B$15=0,0,G27/B$15)</f>
        <v>2.5000000000000001E-3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3.8402457757296467E-3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30</v>
      </c>
      <c r="C32" s="141">
        <f>IF(B$15=0,0,B32/B$15)</f>
        <v>7.4999999999999997E-2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69</v>
      </c>
      <c r="C33" s="37">
        <f t="shared" ref="C33:C44" si="2">IF(B$15=0,0,B33/B$15)</f>
        <v>0.17249999999999999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85</v>
      </c>
      <c r="C34" s="37">
        <f>IF(B$15=0,0,B34/B$15)</f>
        <v>0.21249999999999999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80</v>
      </c>
      <c r="C35" s="37">
        <f t="shared" si="2"/>
        <v>0.2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59</v>
      </c>
      <c r="C36" s="37">
        <f t="shared" si="2"/>
        <v>0.14749999999999999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0.105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13</v>
      </c>
      <c r="C38" s="37">
        <f t="shared" si="2"/>
        <v>3.2500000000000001E-2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2.2499999999999999E-2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1.4999999999999999E-2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2.5000000000000001E-3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5.0000000000000001E-3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0.01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97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0.78125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-453.125</v>
      </c>
      <c r="P2" s="114">
        <v>96</v>
      </c>
      <c r="Q2" s="98">
        <v>-43500</v>
      </c>
    </row>
    <row r="3" spans="1:17" x14ac:dyDescent="0.45">
      <c r="A3" s="51" t="s">
        <v>8</v>
      </c>
      <c r="B3" s="156">
        <v>827</v>
      </c>
      <c r="C3" s="157"/>
      <c r="E3" s="59" t="s">
        <v>64</v>
      </c>
      <c r="F3" s="56" t="s">
        <v>20</v>
      </c>
      <c r="G3" s="44">
        <v>124</v>
      </c>
      <c r="H3" s="129">
        <f>IF(B$15=0,0,G3/B$15)</f>
        <v>0.5535714285714286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-558.33333333333337</v>
      </c>
      <c r="P3" s="115">
        <v>96</v>
      </c>
      <c r="Q3" s="99">
        <v>-53600</v>
      </c>
    </row>
    <row r="4" spans="1:17" x14ac:dyDescent="0.45">
      <c r="A4" s="51" t="s">
        <v>6</v>
      </c>
      <c r="B4" s="158">
        <v>-673.49999999999989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418.88888888888891</v>
      </c>
      <c r="P4" s="115">
        <v>90</v>
      </c>
      <c r="Q4" s="99">
        <v>37700</v>
      </c>
    </row>
    <row r="5" spans="1:17" x14ac:dyDescent="0.45">
      <c r="A5" s="51" t="s">
        <v>7</v>
      </c>
      <c r="B5" s="160">
        <f>IF(B$2=0,0,B$4/B$2)</f>
        <v>-6.9432989690721634</v>
      </c>
      <c r="C5" s="161"/>
      <c r="E5" s="59" t="s">
        <v>166</v>
      </c>
      <c r="F5" s="56" t="s">
        <v>167</v>
      </c>
      <c r="G5" s="44">
        <v>95</v>
      </c>
      <c r="H5" s="129">
        <f>IF(B$15=0,0,G5/B$15)</f>
        <v>0.42410714285714285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-651.13636363636363</v>
      </c>
      <c r="P5" s="115">
        <v>88</v>
      </c>
      <c r="Q5" s="99">
        <v>-57300</v>
      </c>
    </row>
    <row r="6" spans="1:17" x14ac:dyDescent="0.45">
      <c r="A6" s="51" t="s">
        <v>1</v>
      </c>
      <c r="B6" s="150">
        <f>IF(B$2=0,0,(B$7*1+B$8*2+B$9*3)/B$2)</f>
        <v>2.1752577319587627</v>
      </c>
      <c r="C6" s="151"/>
      <c r="E6" s="59" t="s">
        <v>68</v>
      </c>
      <c r="F6" s="56" t="s">
        <v>12</v>
      </c>
      <c r="G6" s="44">
        <v>79</v>
      </c>
      <c r="H6" s="129">
        <f>IF(B$15=0,0,G6/B$15)</f>
        <v>0.35267857142857145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-2996.3855421686749</v>
      </c>
      <c r="P6" s="115">
        <v>83</v>
      </c>
      <c r="Q6" s="99">
        <v>-248700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0.21649484536082475</v>
      </c>
      <c r="E7" s="59" t="s">
        <v>67</v>
      </c>
      <c r="F7" s="56" t="s">
        <v>23</v>
      </c>
      <c r="G7" s="44">
        <v>68</v>
      </c>
      <c r="H7" s="129">
        <f>IF(B$15=0,0,G7/B$15)</f>
        <v>0.30357142857142855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-2010.958904109589</v>
      </c>
      <c r="P7" s="116">
        <v>73</v>
      </c>
      <c r="Q7" s="100">
        <v>-146800</v>
      </c>
    </row>
    <row r="8" spans="1:17" x14ac:dyDescent="0.45">
      <c r="A8" s="51" t="s">
        <v>3</v>
      </c>
      <c r="B8" s="44">
        <v>38</v>
      </c>
      <c r="C8" s="37">
        <f t="shared" si="1"/>
        <v>0.39175257731958762</v>
      </c>
      <c r="E8" s="59" t="s">
        <v>69</v>
      </c>
      <c r="F8" s="56" t="s">
        <v>24</v>
      </c>
      <c r="G8" s="44">
        <v>32</v>
      </c>
      <c r="H8" s="129">
        <f>IF(B$15=0,0,G8/B$15)</f>
        <v>0.14285714285714285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0.39175257731958762</v>
      </c>
      <c r="E9" s="59" t="s">
        <v>70</v>
      </c>
      <c r="F9" s="56" t="s">
        <v>25</v>
      </c>
      <c r="G9" s="44">
        <v>27</v>
      </c>
      <c r="H9" s="129">
        <f>IF(B$15=0,0,G9/B$15)</f>
        <v>0.12053571428571429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7.2164948453608241E-2</v>
      </c>
      <c r="E10" s="59" t="s">
        <v>65</v>
      </c>
      <c r="F10" s="56" t="s">
        <v>21</v>
      </c>
      <c r="G10" s="44">
        <v>26</v>
      </c>
      <c r="H10" s="129">
        <f>IF(B$15=0,0,G10/B$15)</f>
        <v>0.11607142857142858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5">
      <c r="A11" s="54" t="s">
        <v>121</v>
      </c>
      <c r="B11" s="47">
        <v>231</v>
      </c>
      <c r="C11" s="42">
        <f>IF(B$3=0,0,B11/B$3)</f>
        <v>0.279322853688029</v>
      </c>
      <c r="E11" s="59" t="s">
        <v>89</v>
      </c>
      <c r="F11" s="56" t="s">
        <v>44</v>
      </c>
      <c r="G11" s="44">
        <v>25</v>
      </c>
      <c r="H11" s="129">
        <f>IF(B$15=0,0,G11/B$15)</f>
        <v>0.11160714285714286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160</v>
      </c>
      <c r="C12" s="37">
        <f>IF(B$3=0,0,B12/B$3)</f>
        <v>0.19347037484885127</v>
      </c>
      <c r="E12" s="59" t="s">
        <v>83</v>
      </c>
      <c r="F12" s="56" t="s">
        <v>38</v>
      </c>
      <c r="G12" s="44">
        <v>13</v>
      </c>
      <c r="H12" s="129">
        <f>IF(B$15=0,0,G12/B$15)</f>
        <v>5.8035714285714288E-2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124</v>
      </c>
      <c r="C13" s="35">
        <f>IF(B$11=0,0,B13/B$11)</f>
        <v>0.53679653679653683</v>
      </c>
      <c r="E13" s="59" t="s">
        <v>86</v>
      </c>
      <c r="F13" s="56" t="s">
        <v>41</v>
      </c>
      <c r="G13" s="44">
        <v>10</v>
      </c>
      <c r="H13" s="129">
        <f>IF(B$15=0,0,G13/B$15)</f>
        <v>4.4642857142857144E-2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0.41249999999999998</v>
      </c>
      <c r="E14" s="59" t="s">
        <v>71</v>
      </c>
      <c r="F14" s="56" t="s">
        <v>26</v>
      </c>
      <c r="G14" s="44">
        <v>9</v>
      </c>
      <c r="H14" s="129">
        <f>IF(B$15=0,0,G14/B$15)</f>
        <v>4.0178571428571432E-2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224</v>
      </c>
      <c r="C15" s="35">
        <f>IF(B$3=0,0,B15/B$3)</f>
        <v>0.27085852478839179</v>
      </c>
      <c r="E15" s="59" t="s">
        <v>78</v>
      </c>
      <c r="F15" s="56" t="s">
        <v>33</v>
      </c>
      <c r="G15" s="44">
        <v>8</v>
      </c>
      <c r="H15" s="129">
        <f>IF(B$15=0,0,G15/B$15)</f>
        <v>3.5714285714285712E-2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149</v>
      </c>
      <c r="C16" s="37">
        <f>IF(B$3=0,0,B16/B$3)</f>
        <v>0.18016928657799275</v>
      </c>
      <c r="E16" s="59" t="s">
        <v>79</v>
      </c>
      <c r="F16" s="56" t="s">
        <v>34</v>
      </c>
      <c r="G16" s="44">
        <v>4</v>
      </c>
      <c r="H16" s="129">
        <f>IF(B$15=0,0,G16/B$15)</f>
        <v>1.7857142857142856E-2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106</v>
      </c>
      <c r="C17" s="37">
        <f>IF(B$15=0,0,B17/B$15)</f>
        <v>0.4732142857142857</v>
      </c>
      <c r="E17" s="59" t="s">
        <v>81</v>
      </c>
      <c r="F17" s="56" t="s">
        <v>36</v>
      </c>
      <c r="G17" s="44">
        <v>4</v>
      </c>
      <c r="H17" s="129">
        <f>IF(B$15=0,0,G17/B$15)</f>
        <v>1.7857142857142856E-2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118</v>
      </c>
      <c r="C18" s="37">
        <f>IF(B$15=0,0,B18/B$15)</f>
        <v>0.5267857142857143</v>
      </c>
      <c r="E18" s="59" t="s">
        <v>162</v>
      </c>
      <c r="F18" s="56" t="s">
        <v>163</v>
      </c>
      <c r="G18" s="44">
        <v>4</v>
      </c>
      <c r="H18" s="129">
        <f>IF(B$15=0,0,G18/B$15)</f>
        <v>1.7857142857142856E-2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124</v>
      </c>
      <c r="C19" s="37">
        <f>IF(B$15=0,0,B19/B$15)</f>
        <v>0.5535714285714286</v>
      </c>
      <c r="E19" s="59" t="s">
        <v>75</v>
      </c>
      <c r="F19" s="56" t="s">
        <v>30</v>
      </c>
      <c r="G19" s="44">
        <v>3</v>
      </c>
      <c r="H19" s="129">
        <f>IF(B$15=0,0,G19/B$15)</f>
        <v>1.3392857142857142E-2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 t="shared" si="2"/>
        <v>-15.152459016393443</v>
      </c>
      <c r="P19" s="115">
        <v>61</v>
      </c>
      <c r="Q19" s="103">
        <v>-924.30000000000007</v>
      </c>
    </row>
    <row r="20" spans="1:17" x14ac:dyDescent="0.45">
      <c r="A20" s="51" t="s">
        <v>193</v>
      </c>
      <c r="B20" s="44">
        <v>66</v>
      </c>
      <c r="C20" s="37">
        <f>IF(B$15=0,0,B20/B$15)</f>
        <v>0.29464285714285715</v>
      </c>
      <c r="E20" s="59" t="s">
        <v>91</v>
      </c>
      <c r="F20" s="56" t="s">
        <v>46</v>
      </c>
      <c r="G20" s="44">
        <v>1</v>
      </c>
      <c r="H20" s="129">
        <f>IF(B$15=0,0,G20/B$15)</f>
        <v>4.464285714285714E-3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-15.669230769230769</v>
      </c>
      <c r="P20" s="115">
        <v>26</v>
      </c>
      <c r="Q20" s="103">
        <v>-407.4</v>
      </c>
    </row>
    <row r="21" spans="1:17" x14ac:dyDescent="0.45">
      <c r="A21" s="51" t="s">
        <v>194</v>
      </c>
      <c r="B21" s="44">
        <v>34</v>
      </c>
      <c r="C21" s="37">
        <f>IF(B$15=0,0,B21/B$15)</f>
        <v>0.15178571428571427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7832.1428571428569</v>
      </c>
      <c r="C22" s="39">
        <v>1754400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8484.8101265822788</v>
      </c>
      <c r="C23" s="137">
        <v>1340600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-7855.0335570469797</v>
      </c>
      <c r="C25" s="137">
        <v>-1170400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3.6275695284159614E-3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0.17410714285714285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51</v>
      </c>
      <c r="C34" s="37">
        <f>IF(B$15=0,0,B34/B$15)</f>
        <v>0.22767857142857142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0.15178571428571427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38</v>
      </c>
      <c r="C36" s="37">
        <f t="shared" si="3"/>
        <v>0.16964285714285715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0.10267857142857142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5.8035714285714288E-2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2.6785714285714284E-2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4.464285714285714E-3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4.464285714285714E-3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8.9285714285714281E-3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</sheetData>
  <sortState xmlns:xlrd2="http://schemas.microsoft.com/office/spreadsheetml/2017/richdata2" ref="E2:I10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3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130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0.90410958904109584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1456.9230769230769</v>
      </c>
      <c r="P2" s="114">
        <v>130</v>
      </c>
      <c r="Q2" s="98">
        <v>189400</v>
      </c>
    </row>
    <row r="3" spans="1:17" x14ac:dyDescent="0.45">
      <c r="A3" s="51" t="s">
        <v>8</v>
      </c>
      <c r="B3" s="156">
        <v>1058</v>
      </c>
      <c r="C3" s="157"/>
      <c r="E3" s="59" t="s">
        <v>72</v>
      </c>
      <c r="F3" s="56" t="s">
        <v>27</v>
      </c>
      <c r="G3" s="44">
        <v>163</v>
      </c>
      <c r="H3" s="129">
        <f>IF(B$15=0,0,G3/B$15)</f>
        <v>0.55821917808219179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-1936.71875</v>
      </c>
      <c r="P3" s="115">
        <v>128</v>
      </c>
      <c r="Q3" s="99">
        <v>-247900</v>
      </c>
    </row>
    <row r="4" spans="1:17" x14ac:dyDescent="0.45">
      <c r="A4" s="51" t="s">
        <v>6</v>
      </c>
      <c r="B4" s="158">
        <v>512.20000000000039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0.54794520547945202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-139.65517241379311</v>
      </c>
      <c r="P4" s="115">
        <v>116</v>
      </c>
      <c r="Q4" s="99">
        <v>-16200</v>
      </c>
    </row>
    <row r="5" spans="1:17" x14ac:dyDescent="0.45">
      <c r="A5" s="51" t="s">
        <v>7</v>
      </c>
      <c r="B5" s="160">
        <f>IF(B$2=0,0,B$4/B$2)</f>
        <v>3.9400000000000031</v>
      </c>
      <c r="C5" s="161"/>
      <c r="E5" s="59" t="s">
        <v>67</v>
      </c>
      <c r="F5" s="56" t="s">
        <v>23</v>
      </c>
      <c r="G5" s="44">
        <v>121</v>
      </c>
      <c r="H5" s="129">
        <f>IF(B$15=0,0,G5/B$15)</f>
        <v>0.41438356164383561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2018.1818181818182</v>
      </c>
      <c r="P5" s="115">
        <v>110</v>
      </c>
      <c r="Q5" s="99">
        <v>222000</v>
      </c>
    </row>
    <row r="6" spans="1:17" x14ac:dyDescent="0.45">
      <c r="A6" s="51" t="s">
        <v>1</v>
      </c>
      <c r="B6" s="150">
        <f>IF(B$2=0,0,(B$7*1+B$8*2+B$9*3)/B$2)</f>
        <v>1.9230769230769231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0.40068493150684931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1395.9183673469388</v>
      </c>
      <c r="P6" s="115">
        <v>98</v>
      </c>
      <c r="Q6" s="99">
        <v>136800</v>
      </c>
    </row>
    <row r="7" spans="1:17" x14ac:dyDescent="0.45">
      <c r="A7" s="51" t="s">
        <v>2</v>
      </c>
      <c r="B7" s="44">
        <v>52</v>
      </c>
      <c r="C7" s="37">
        <f t="shared" ref="C7:C10" si="1">IF(B$2=0,0,B7/B$2)</f>
        <v>0.4</v>
      </c>
      <c r="E7" s="59" t="s">
        <v>166</v>
      </c>
      <c r="F7" s="56" t="s">
        <v>167</v>
      </c>
      <c r="G7" s="44">
        <v>106</v>
      </c>
      <c r="H7" s="129">
        <f>IF(B$15=0,0,G7/B$15)</f>
        <v>0.36301369863013699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255.26315789473685</v>
      </c>
      <c r="P7" s="116">
        <v>76</v>
      </c>
      <c r="Q7" s="100">
        <v>19400</v>
      </c>
    </row>
    <row r="8" spans="1:17" x14ac:dyDescent="0.45">
      <c r="A8" s="51" t="s">
        <v>3</v>
      </c>
      <c r="B8" s="44">
        <v>36</v>
      </c>
      <c r="C8" s="37">
        <f t="shared" si="1"/>
        <v>0.27692307692307694</v>
      </c>
      <c r="E8" s="59" t="s">
        <v>89</v>
      </c>
      <c r="F8" s="56" t="s">
        <v>44</v>
      </c>
      <c r="G8" s="44">
        <v>73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0.32307692307692309</v>
      </c>
      <c r="E9" s="59" t="s">
        <v>69</v>
      </c>
      <c r="F9" s="56" t="s">
        <v>24</v>
      </c>
      <c r="G9" s="44">
        <v>64</v>
      </c>
      <c r="H9" s="129">
        <f>IF(B$15=0,0,G9/B$15)</f>
        <v>0.21917808219178081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15</v>
      </c>
      <c r="C10" s="40">
        <f t="shared" si="1"/>
        <v>0.11538461538461539</v>
      </c>
      <c r="E10" s="59" t="s">
        <v>65</v>
      </c>
      <c r="F10" s="56" t="s">
        <v>21</v>
      </c>
      <c r="G10" s="44">
        <v>42</v>
      </c>
      <c r="H10" s="129">
        <f>IF(B$15=0,0,G10/B$15)</f>
        <v>0.14383561643835616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-7.7085714285714291</v>
      </c>
      <c r="P10" s="114">
        <v>35</v>
      </c>
      <c r="Q10" s="102">
        <v>-269.8</v>
      </c>
    </row>
    <row r="11" spans="1:17" x14ac:dyDescent="0.45">
      <c r="A11" s="54" t="s">
        <v>121</v>
      </c>
      <c r="B11" s="47">
        <v>322</v>
      </c>
      <c r="C11" s="42">
        <f>IF(B$3=0,0,B11/B$3)</f>
        <v>0.30434782608695654</v>
      </c>
      <c r="E11" s="59" t="s">
        <v>70</v>
      </c>
      <c r="F11" s="56" t="s">
        <v>25</v>
      </c>
      <c r="G11" s="44">
        <v>33</v>
      </c>
      <c r="H11" s="129">
        <f>IF(B$15=0,0,G11/B$15)</f>
        <v>0.11301369863013698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6.9439999999999991</v>
      </c>
      <c r="P11" s="115">
        <v>50</v>
      </c>
      <c r="Q11" s="103">
        <v>347.19999999999993</v>
      </c>
    </row>
    <row r="12" spans="1:17" x14ac:dyDescent="0.45">
      <c r="A12" s="51" t="s">
        <v>118</v>
      </c>
      <c r="B12" s="44">
        <v>196</v>
      </c>
      <c r="C12" s="37">
        <f>IF(B$3=0,0,B12/B$3)</f>
        <v>0.18525519848771266</v>
      </c>
      <c r="E12" s="59" t="s">
        <v>162</v>
      </c>
      <c r="F12" s="56" t="s">
        <v>163</v>
      </c>
      <c r="G12" s="44">
        <v>17</v>
      </c>
      <c r="H12" s="129">
        <f>IF(B$15=0,0,G12/B$15)</f>
        <v>5.8219178082191778E-2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9.6622222222222227</v>
      </c>
      <c r="P12" s="116">
        <v>45</v>
      </c>
      <c r="Q12" s="104">
        <v>434.8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0.5496894409937888</v>
      </c>
      <c r="E13" s="59" t="s">
        <v>71</v>
      </c>
      <c r="F13" s="56" t="s">
        <v>26</v>
      </c>
      <c r="G13" s="44">
        <v>15</v>
      </c>
      <c r="H13" s="129">
        <f>IF(B$15=0,0,G13/B$15)</f>
        <v>5.1369863013698627E-2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</v>
      </c>
      <c r="C14" s="35">
        <f>IF(B$12=0,0,B14/B$12)</f>
        <v>0.38265306122448978</v>
      </c>
      <c r="E14" s="59" t="s">
        <v>83</v>
      </c>
      <c r="F14" s="56" t="s">
        <v>38</v>
      </c>
      <c r="G14" s="44">
        <v>10</v>
      </c>
      <c r="H14" s="129">
        <f>IF(B$15=0,0,G14/B$15)</f>
        <v>3.4246575342465752E-2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292</v>
      </c>
      <c r="C15" s="35">
        <f>IF(B$3=0,0,B15/B$3)</f>
        <v>0.27599243856332706</v>
      </c>
      <c r="E15" s="59" t="s">
        <v>86</v>
      </c>
      <c r="F15" s="56" t="s">
        <v>41</v>
      </c>
      <c r="G15" s="44">
        <v>10</v>
      </c>
      <c r="H15" s="129">
        <f>IF(B$15=0,0,G15/B$15)</f>
        <v>3.4246575342465752E-2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180</v>
      </c>
      <c r="C16" s="37">
        <f>IF(B$3=0,0,B16/B$3)</f>
        <v>0.17013232514177692</v>
      </c>
      <c r="E16" s="59" t="s">
        <v>91</v>
      </c>
      <c r="F16" s="56" t="s">
        <v>46</v>
      </c>
      <c r="G16" s="44">
        <v>5</v>
      </c>
      <c r="H16" s="129">
        <f>IF(B$15=0,0,G16/B$15)</f>
        <v>1.7123287671232876E-2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26.930769230769229</v>
      </c>
      <c r="P16" s="115">
        <v>26</v>
      </c>
      <c r="Q16" s="103">
        <v>700.19999999999993</v>
      </c>
    </row>
    <row r="17" spans="1:17" x14ac:dyDescent="0.45">
      <c r="A17" s="51" t="s">
        <v>12</v>
      </c>
      <c r="B17" s="44">
        <v>150</v>
      </c>
      <c r="C17" s="37">
        <f>IF(B$15=0,0,B17/B$15)</f>
        <v>0.51369863013698636</v>
      </c>
      <c r="E17" s="59" t="s">
        <v>78</v>
      </c>
      <c r="F17" s="56" t="s">
        <v>33</v>
      </c>
      <c r="G17" s="44">
        <v>4</v>
      </c>
      <c r="H17" s="129">
        <f>IF(B$15=0,0,G17/B$15)</f>
        <v>1.3698630136986301E-2</v>
      </c>
      <c r="I17" s="90">
        <v>8</v>
      </c>
      <c r="K17" s="36">
        <v>15</v>
      </c>
      <c r="L17" s="95">
        <v>-101.79999999999997</v>
      </c>
      <c r="N17" s="111" t="s">
        <v>197</v>
      </c>
      <c r="O17" s="121">
        <f>IF(P17=0,0,Q17/P17)</f>
        <v>11.178571428571431</v>
      </c>
      <c r="P17" s="115">
        <v>28</v>
      </c>
      <c r="Q17" s="103">
        <v>313.00000000000006</v>
      </c>
    </row>
    <row r="18" spans="1:17" x14ac:dyDescent="0.45">
      <c r="A18" s="51" t="s">
        <v>11</v>
      </c>
      <c r="B18" s="44">
        <v>142</v>
      </c>
      <c r="C18" s="37">
        <f>IF(B$15=0,0,B18/B$15)</f>
        <v>0.4863013698630137</v>
      </c>
      <c r="E18" s="59" t="s">
        <v>81</v>
      </c>
      <c r="F18" s="56" t="s">
        <v>36</v>
      </c>
      <c r="G18" s="44">
        <v>4</v>
      </c>
      <c r="H18" s="129">
        <f>IF(B$15=0,0,G18/B$15)</f>
        <v>1.3698630136986301E-2</v>
      </c>
      <c r="I18" s="90">
        <v>10</v>
      </c>
      <c r="K18" s="36">
        <v>16</v>
      </c>
      <c r="L18" s="95">
        <v>-63.099999999999966</v>
      </c>
      <c r="N18" s="111" t="s">
        <v>171</v>
      </c>
      <c r="O18" s="121">
        <f>IF(P18=0,0,Q18/P18)</f>
        <v>10.093650793650792</v>
      </c>
      <c r="P18" s="115">
        <v>63</v>
      </c>
      <c r="Q18" s="103">
        <v>635.89999999999986</v>
      </c>
    </row>
    <row r="19" spans="1:17" x14ac:dyDescent="0.45">
      <c r="A19" s="51" t="s">
        <v>195</v>
      </c>
      <c r="B19" s="44">
        <v>177</v>
      </c>
      <c r="C19" s="37">
        <f>IF(B$15=0,0,B19/B$15)</f>
        <v>0.60616438356164382</v>
      </c>
      <c r="E19" s="59" t="s">
        <v>92</v>
      </c>
      <c r="F19" s="56" t="s">
        <v>47</v>
      </c>
      <c r="G19" s="44">
        <v>4</v>
      </c>
      <c r="H19" s="129">
        <f>IF(B$15=0,0,G19/B$15)</f>
        <v>1.3698630136986301E-2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75</v>
      </c>
      <c r="C20" s="37">
        <f>IF(B$15=0,0,B20/B$15)</f>
        <v>0.25684931506849318</v>
      </c>
      <c r="E20" s="59" t="s">
        <v>79</v>
      </c>
      <c r="F20" s="56" t="s">
        <v>34</v>
      </c>
      <c r="G20" s="44">
        <v>3</v>
      </c>
      <c r="H20" s="129">
        <f>IF(B$15=0,0,G20/B$15)</f>
        <v>1.0273972602739725E-2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2.7843137254901946</v>
      </c>
      <c r="P20" s="115">
        <v>51</v>
      </c>
      <c r="Q20" s="103">
        <v>141.99999999999991</v>
      </c>
    </row>
    <row r="21" spans="1:17" x14ac:dyDescent="0.45">
      <c r="A21" s="51" t="s">
        <v>194</v>
      </c>
      <c r="B21" s="44">
        <v>40</v>
      </c>
      <c r="C21" s="37">
        <f>IF(B$15=0,0,B21/B$15)</f>
        <v>0.13698630136986301</v>
      </c>
      <c r="E21" s="59" t="s">
        <v>85</v>
      </c>
      <c r="F21" s="56" t="s">
        <v>40</v>
      </c>
      <c r="G21" s="44">
        <v>3</v>
      </c>
      <c r="H21" s="129">
        <f>IF(B$15=0,0,G21/B$15)</f>
        <v>1.0273972602739725E-2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>IF(P21=0,0,Q21/P21)</f>
        <v>-2.8653846153846181</v>
      </c>
      <c r="P21" s="115">
        <v>52</v>
      </c>
      <c r="Q21" s="103">
        <v>-149.00000000000014</v>
      </c>
    </row>
    <row r="22" spans="1:17" x14ac:dyDescent="0.45">
      <c r="A22" s="51" t="s">
        <v>5</v>
      </c>
      <c r="B22" s="48">
        <f>IF(B$15=0,0,C22/B$15)</f>
        <v>10798.630136986301</v>
      </c>
      <c r="C22" s="39">
        <v>3153200</v>
      </c>
      <c r="E22" s="59" t="s">
        <v>73</v>
      </c>
      <c r="F22" s="56" t="s">
        <v>28</v>
      </c>
      <c r="G22" s="44">
        <v>2</v>
      </c>
      <c r="H22" s="129">
        <f>IF(B$15=0,0,G22/B$15)</f>
        <v>6.8493150684931503E-3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11387.096774193549</v>
      </c>
      <c r="C23" s="137">
        <v>2471000</v>
      </c>
      <c r="E23" s="59" t="s">
        <v>75</v>
      </c>
      <c r="F23" s="56" t="s">
        <v>30</v>
      </c>
      <c r="G23" s="44">
        <v>2</v>
      </c>
      <c r="H23" s="129">
        <f>IF(B$15=0,0,G23/B$15)</f>
        <v>6.8493150684931503E-3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6.8493150684931503E-3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-8105.5555555555557</v>
      </c>
      <c r="C25" s="137">
        <v>-1459000</v>
      </c>
      <c r="E25" s="59" t="s">
        <v>90</v>
      </c>
      <c r="F25" s="56" t="s">
        <v>45</v>
      </c>
      <c r="G25" s="44">
        <v>2</v>
      </c>
      <c r="H25" s="129">
        <f>IF(B$15=0,0,G25/B$15)</f>
        <v>6.8493150684931503E-3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3.4246575342465752E-3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3.4246575342465752E-3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3.4246575342465752E-3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1.890359168241966E-3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2.7397260273972601E-2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23</v>
      </c>
      <c r="C33" s="37">
        <f t="shared" ref="C33:C44" si="2">IF(B$15=0,0,B33/B$15)</f>
        <v>7.8767123287671229E-2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0.13356164383561644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55</v>
      </c>
      <c r="C35" s="37">
        <f t="shared" si="2"/>
        <v>0.18835616438356165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65</v>
      </c>
      <c r="C36" s="37">
        <f t="shared" si="2"/>
        <v>0.2226027397260274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42</v>
      </c>
      <c r="C37" s="37">
        <f t="shared" si="2"/>
        <v>0.14383561643835616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2"/>
        <v>7.5342465753424653E-2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2"/>
        <v>6.5068493150684928E-2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2.0547945205479451E-2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1.0273972602739725E-2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6.8493150684931503E-3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3.4246575342465752E-3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7</v>
      </c>
      <c r="C44" s="40">
        <f t="shared" si="2"/>
        <v>2.3972602739726026E-2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142</v>
      </c>
      <c r="C2" s="155"/>
      <c r="E2" s="58" t="s">
        <v>66</v>
      </c>
      <c r="F2" s="55" t="s">
        <v>22</v>
      </c>
      <c r="G2" s="43">
        <v>234</v>
      </c>
      <c r="H2" s="128">
        <f>IF(B$15=0,0,G2/B$15)</f>
        <v>0.72670807453416153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-380.28169014084506</v>
      </c>
      <c r="P2" s="114">
        <v>142</v>
      </c>
      <c r="Q2" s="98">
        <v>-54000</v>
      </c>
    </row>
    <row r="3" spans="1:17" x14ac:dyDescent="0.45">
      <c r="A3" s="51" t="s">
        <v>8</v>
      </c>
      <c r="B3" s="156">
        <v>1152</v>
      </c>
      <c r="C3" s="157"/>
      <c r="E3" s="59" t="s">
        <v>72</v>
      </c>
      <c r="F3" s="56" t="s">
        <v>27</v>
      </c>
      <c r="G3" s="44">
        <v>181</v>
      </c>
      <c r="H3" s="129">
        <f>IF(B$15=0,0,G3/B$15)</f>
        <v>0.56211180124223603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189.92805755395685</v>
      </c>
      <c r="P3" s="115">
        <v>139</v>
      </c>
      <c r="Q3" s="99">
        <v>26400</v>
      </c>
    </row>
    <row r="4" spans="1:17" x14ac:dyDescent="0.45">
      <c r="A4" s="51" t="s">
        <v>6</v>
      </c>
      <c r="B4" s="158">
        <v>-142.29999999999998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0.49689440993788819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150.38167938931298</v>
      </c>
      <c r="P4" s="115">
        <v>131</v>
      </c>
      <c r="Q4" s="99">
        <v>19700</v>
      </c>
    </row>
    <row r="5" spans="1:17" x14ac:dyDescent="0.45">
      <c r="A5" s="51" t="s">
        <v>7</v>
      </c>
      <c r="B5" s="160">
        <f>IF(B$2=0,0,B$4/B$2)</f>
        <v>-1.0021126760563379</v>
      </c>
      <c r="C5" s="161"/>
      <c r="E5" s="59" t="s">
        <v>166</v>
      </c>
      <c r="F5" s="56" t="s">
        <v>167</v>
      </c>
      <c r="G5" s="44">
        <v>136</v>
      </c>
      <c r="H5" s="129">
        <f>IF(B$15=0,0,G5/B$15)</f>
        <v>0.42236024844720499</v>
      </c>
      <c r="I5" s="90">
        <v>4</v>
      </c>
      <c r="K5" s="36">
        <v>3</v>
      </c>
      <c r="L5" s="95">
        <v>25.8</v>
      </c>
      <c r="N5" s="111" t="s">
        <v>133</v>
      </c>
      <c r="O5" s="118">
        <f t="shared" si="0"/>
        <v>170.83333333333334</v>
      </c>
      <c r="P5" s="115">
        <v>120</v>
      </c>
      <c r="Q5" s="99">
        <v>20500</v>
      </c>
    </row>
    <row r="6" spans="1:17" x14ac:dyDescent="0.45">
      <c r="A6" s="51" t="s">
        <v>1</v>
      </c>
      <c r="B6" s="150">
        <f>IF(B$2=0,0,(B$7*1+B$8*2+B$9*3)/B$2)</f>
        <v>2.056338028169014</v>
      </c>
      <c r="C6" s="151"/>
      <c r="E6" s="59" t="s">
        <v>67</v>
      </c>
      <c r="F6" s="56" t="s">
        <v>23</v>
      </c>
      <c r="G6" s="44">
        <v>109</v>
      </c>
      <c r="H6" s="129">
        <f>IF(B$15=0,0,G6/B$15)</f>
        <v>0.33850931677018631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171.55963302752295</v>
      </c>
      <c r="P6" s="115">
        <v>109</v>
      </c>
      <c r="Q6" s="99">
        <v>18700</v>
      </c>
    </row>
    <row r="7" spans="1:17" x14ac:dyDescent="0.45">
      <c r="A7" s="51" t="s">
        <v>2</v>
      </c>
      <c r="B7" s="44">
        <v>35</v>
      </c>
      <c r="C7" s="37">
        <f t="shared" ref="C7:C10" si="1">IF(B$2=0,0,B7/B$2)</f>
        <v>0.24647887323943662</v>
      </c>
      <c r="E7" s="59" t="s">
        <v>68</v>
      </c>
      <c r="F7" s="56" t="s">
        <v>12</v>
      </c>
      <c r="G7" s="44">
        <v>101</v>
      </c>
      <c r="H7" s="129">
        <f>IF(B$15=0,0,G7/B$15)</f>
        <v>0.31366459627329191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-1058.0645161290322</v>
      </c>
      <c r="P7" s="116">
        <v>93</v>
      </c>
      <c r="Q7" s="100">
        <v>-98400</v>
      </c>
    </row>
    <row r="8" spans="1:17" x14ac:dyDescent="0.45">
      <c r="A8" s="51" t="s">
        <v>3</v>
      </c>
      <c r="B8" s="44">
        <v>64</v>
      </c>
      <c r="C8" s="37">
        <f t="shared" si="1"/>
        <v>0.45070422535211269</v>
      </c>
      <c r="E8" s="59" t="s">
        <v>69</v>
      </c>
      <c r="F8" s="56" t="s">
        <v>24</v>
      </c>
      <c r="G8" s="44">
        <v>44</v>
      </c>
      <c r="H8" s="129">
        <f>IF(B$15=0,0,G8/B$15)</f>
        <v>0.13664596273291926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0.30281690140845069</v>
      </c>
      <c r="E9" s="59" t="s">
        <v>89</v>
      </c>
      <c r="F9" s="56" t="s">
        <v>44</v>
      </c>
      <c r="G9" s="44">
        <v>44</v>
      </c>
      <c r="H9" s="129">
        <f>IF(B$15=0,0,G9/B$15)</f>
        <v>0.13664596273291926</v>
      </c>
      <c r="I9" s="90">
        <v>7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7.0422535211267609E-2</v>
      </c>
      <c r="E10" s="59" t="s">
        <v>71</v>
      </c>
      <c r="F10" s="56" t="s">
        <v>26</v>
      </c>
      <c r="G10" s="44">
        <v>31</v>
      </c>
      <c r="H10" s="129">
        <f>IF(B$15=0,0,G10/B$15)</f>
        <v>9.627329192546584E-2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-2.854237288135594</v>
      </c>
      <c r="P10" s="114">
        <v>59</v>
      </c>
      <c r="Q10" s="102">
        <v>-168.40000000000003</v>
      </c>
    </row>
    <row r="11" spans="1:17" x14ac:dyDescent="0.45">
      <c r="A11" s="54" t="s">
        <v>121</v>
      </c>
      <c r="B11" s="47">
        <v>300</v>
      </c>
      <c r="C11" s="42">
        <f>IF(B$3=0,0,B11/B$3)</f>
        <v>0.26041666666666669</v>
      </c>
      <c r="E11" s="59" t="s">
        <v>65</v>
      </c>
      <c r="F11" s="56" t="s">
        <v>21</v>
      </c>
      <c r="G11" s="44">
        <v>26</v>
      </c>
      <c r="H11" s="129">
        <f>IF(B$15=0,0,G11/B$15)</f>
        <v>8.0745341614906832E-2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0.67954545454545512</v>
      </c>
      <c r="P11" s="115">
        <v>44</v>
      </c>
      <c r="Q11" s="103">
        <v>29.900000000000027</v>
      </c>
    </row>
    <row r="12" spans="1:17" x14ac:dyDescent="0.45">
      <c r="A12" s="51" t="s">
        <v>118</v>
      </c>
      <c r="B12" s="44">
        <v>267</v>
      </c>
      <c r="C12" s="37">
        <f>IF(B$3=0,0,B12/B$3)</f>
        <v>0.23177083333333334</v>
      </c>
      <c r="E12" s="59" t="s">
        <v>70</v>
      </c>
      <c r="F12" s="56" t="s">
        <v>25</v>
      </c>
      <c r="G12" s="44">
        <v>23</v>
      </c>
      <c r="H12" s="129">
        <f>IF(B$15=0,0,G12/B$15)</f>
        <v>7.1428571428571425E-2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-9.7435897435897728E-2</v>
      </c>
      <c r="P12" s="116">
        <v>39</v>
      </c>
      <c r="Q12" s="104">
        <v>-3.8000000000000114</v>
      </c>
    </row>
    <row r="13" spans="1:17" x14ac:dyDescent="0.45">
      <c r="A13" s="50" t="s">
        <v>123</v>
      </c>
      <c r="B13" s="43">
        <f>B19</f>
        <v>166</v>
      </c>
      <c r="C13" s="35">
        <f>IF(B$11=0,0,B13/B$11)</f>
        <v>0.55333333333333334</v>
      </c>
      <c r="E13" s="59" t="s">
        <v>86</v>
      </c>
      <c r="F13" s="56" t="s">
        <v>41</v>
      </c>
      <c r="G13" s="44">
        <v>15</v>
      </c>
      <c r="H13" s="129">
        <f>IF(B$15=0,0,G13/B$15)</f>
        <v>4.6583850931677016E-2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113</v>
      </c>
      <c r="C14" s="35">
        <f>IF(B$12=0,0,B14/B$12)</f>
        <v>0.42322097378277151</v>
      </c>
      <c r="E14" s="59" t="s">
        <v>83</v>
      </c>
      <c r="F14" s="56" t="s">
        <v>38</v>
      </c>
      <c r="G14" s="44">
        <v>13</v>
      </c>
      <c r="H14" s="129">
        <f>IF(B$15=0,0,G14/B$15)</f>
        <v>4.0372670807453416E-2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322</v>
      </c>
      <c r="C15" s="35">
        <f>IF(B$3=0,0,B15/B$3)</f>
        <v>0.2795138888888889</v>
      </c>
      <c r="E15" s="59" t="s">
        <v>79</v>
      </c>
      <c r="F15" s="56" t="s">
        <v>34</v>
      </c>
      <c r="G15" s="44">
        <v>7</v>
      </c>
      <c r="H15" s="129">
        <f>IF(B$15=0,0,G15/B$15)</f>
        <v>2.1739130434782608E-2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160</v>
      </c>
      <c r="C16" s="37">
        <f>IF(B$3=0,0,B16/B$3)</f>
        <v>0.1388888888888889</v>
      </c>
      <c r="E16" s="59" t="s">
        <v>162</v>
      </c>
      <c r="F16" s="56" t="s">
        <v>163</v>
      </c>
      <c r="G16" s="44">
        <v>6</v>
      </c>
      <c r="H16" s="129">
        <f>IF(B$15=0,0,G16/B$15)</f>
        <v>1.8633540372670808E-2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143</v>
      </c>
      <c r="C17" s="37">
        <f>IF(B$15=0,0,B17/B$15)</f>
        <v>0.44409937888198758</v>
      </c>
      <c r="E17" s="59" t="s">
        <v>73</v>
      </c>
      <c r="F17" s="56" t="s">
        <v>28</v>
      </c>
      <c r="G17" s="44">
        <v>5</v>
      </c>
      <c r="H17" s="129">
        <f>IF(B$15=0,0,G17/B$15)</f>
        <v>1.5527950310559006E-2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179</v>
      </c>
      <c r="C18" s="37">
        <f>IF(B$15=0,0,B18/B$15)</f>
        <v>0.55590062111801242</v>
      </c>
      <c r="E18" s="59" t="s">
        <v>78</v>
      </c>
      <c r="F18" s="56" t="s">
        <v>33</v>
      </c>
      <c r="G18" s="44">
        <v>5</v>
      </c>
      <c r="H18" s="129">
        <f>IF(B$15=0,0,G18/B$15)</f>
        <v>1.5527950310559006E-2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166</v>
      </c>
      <c r="C19" s="37">
        <f>IF(B$15=0,0,B19/B$15)</f>
        <v>0.51552795031055898</v>
      </c>
      <c r="E19" s="59" t="s">
        <v>81</v>
      </c>
      <c r="F19" s="56" t="s">
        <v>36</v>
      </c>
      <c r="G19" s="44">
        <v>5</v>
      </c>
      <c r="H19" s="129">
        <f>IF(B$15=0,0,G19/B$15)</f>
        <v>1.5527950310559006E-2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113</v>
      </c>
      <c r="C20" s="37">
        <f>IF(B$15=0,0,B20/B$15)</f>
        <v>0.35093167701863354</v>
      </c>
      <c r="E20" s="59" t="s">
        <v>85</v>
      </c>
      <c r="F20" s="56" t="s">
        <v>40</v>
      </c>
      <c r="G20" s="44">
        <v>3</v>
      </c>
      <c r="H20" s="129">
        <f>IF(B$15=0,0,G20/B$15)</f>
        <v>9.316770186335404E-3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43</v>
      </c>
      <c r="C21" s="37">
        <f>IF(B$15=0,0,B21/B$15)</f>
        <v>0.13354037267080746</v>
      </c>
      <c r="E21" s="59" t="s">
        <v>91</v>
      </c>
      <c r="F21" s="56" t="s">
        <v>46</v>
      </c>
      <c r="G21" s="44">
        <v>3</v>
      </c>
      <c r="H21" s="129">
        <f>IF(B$15=0,0,G21/B$15)</f>
        <v>9.316770186335404E-3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0.12545454545454529</v>
      </c>
      <c r="P21" s="115">
        <v>55</v>
      </c>
      <c r="Q21" s="103">
        <v>6.8999999999999915</v>
      </c>
    </row>
    <row r="22" spans="1:17" x14ac:dyDescent="0.45">
      <c r="A22" s="51" t="s">
        <v>5</v>
      </c>
      <c r="B22" s="48">
        <f>IF(B$15=0,0,C22/B$15)</f>
        <v>8240.9937888198765</v>
      </c>
      <c r="C22" s="39">
        <v>2653600</v>
      </c>
      <c r="E22" s="59" t="s">
        <v>75</v>
      </c>
      <c r="F22" s="56" t="s">
        <v>30</v>
      </c>
      <c r="G22" s="44">
        <v>2</v>
      </c>
      <c r="H22" s="129">
        <f>IF(B$15=0,0,G22/B$15)</f>
        <v>6.2111801242236021E-3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9184.6889952153106</v>
      </c>
      <c r="C23" s="137">
        <v>1919600</v>
      </c>
      <c r="E23" s="59" t="s">
        <v>74</v>
      </c>
      <c r="F23" s="56" t="s">
        <v>29</v>
      </c>
      <c r="G23" s="44">
        <v>1</v>
      </c>
      <c r="H23" s="129">
        <f>IF(B$15=0,0,G23/B$15)</f>
        <v>3.105590062111801E-3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-10.093650793650792</v>
      </c>
      <c r="P23" s="115">
        <v>63</v>
      </c>
      <c r="Q23" s="103">
        <v>-635.89999999999986</v>
      </c>
    </row>
    <row r="24" spans="1:17" x14ac:dyDescent="0.45">
      <c r="A24" s="52" t="s">
        <v>178</v>
      </c>
      <c r="B24" s="136">
        <f>IF(B$14=0,0,C24/B$14)</f>
        <v>6495.575221238938</v>
      </c>
      <c r="C24" s="137">
        <v>734000</v>
      </c>
      <c r="E24" s="59" t="s">
        <v>87</v>
      </c>
      <c r="F24" s="56" t="s">
        <v>42</v>
      </c>
      <c r="G24" s="44">
        <v>1</v>
      </c>
      <c r="H24" s="129">
        <f>IF(B$15=0,0,G24/B$15)</f>
        <v>3.105590062111801E-3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-12.623880597014924</v>
      </c>
      <c r="P24" s="115">
        <v>67</v>
      </c>
      <c r="Q24" s="103">
        <v>-845.8</v>
      </c>
    </row>
    <row r="25" spans="1:17" x14ac:dyDescent="0.45">
      <c r="A25" s="52" t="s">
        <v>176</v>
      </c>
      <c r="B25" s="136">
        <f>IF(B$16=0,0,C25/B$16)</f>
        <v>-7051.875</v>
      </c>
      <c r="C25" s="137">
        <v>-1128300</v>
      </c>
      <c r="E25" s="59" t="s">
        <v>88</v>
      </c>
      <c r="F25" s="56" t="s">
        <v>43</v>
      </c>
      <c r="G25" s="44">
        <v>1</v>
      </c>
      <c r="H25" s="129">
        <f>IF(B$15=0,0,G25/B$15)</f>
        <v>3.105590062111801E-3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92</v>
      </c>
      <c r="F26" s="56" t="s">
        <v>47</v>
      </c>
      <c r="G26" s="44">
        <v>1</v>
      </c>
      <c r="H26" s="129">
        <f>IF(B$15=0,0,G26/B$15)</f>
        <v>3.105590062111801E-3</v>
      </c>
      <c r="I26" s="90">
        <v>6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3.105590062111801E-3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3.105590062111801E-3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1.736111111111111E-3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19</v>
      </c>
      <c r="C32" s="141">
        <f>IF(B$15=0,0,B32/B$15)</f>
        <v>5.9006211180124224E-2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61</v>
      </c>
      <c r="C33" s="37">
        <f t="shared" ref="C33:C44" si="3">IF(B$15=0,0,B33/B$15)</f>
        <v>0.18944099378881987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66</v>
      </c>
      <c r="C34" s="37">
        <f>IF(B$15=0,0,B34/B$15)</f>
        <v>0.20496894409937888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59</v>
      </c>
      <c r="C35" s="37">
        <f t="shared" si="3"/>
        <v>0.18322981366459629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47</v>
      </c>
      <c r="C36" s="37">
        <f t="shared" si="3"/>
        <v>0.14596273291925466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37</v>
      </c>
      <c r="C37" s="37">
        <f t="shared" si="3"/>
        <v>0.11490683229813664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15</v>
      </c>
      <c r="C38" s="37">
        <f t="shared" si="3"/>
        <v>4.6583850931677016E-2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2.1739130434782608E-2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9.316770186335404E-3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6.2111801242236021E-3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3.105590062111801E-3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6.2111801242236021E-3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3</v>
      </c>
      <c r="C44" s="40">
        <f t="shared" si="3"/>
        <v>9.316770186335404E-3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</sheetData>
  <sortState xmlns:xlrd2="http://schemas.microsoft.com/office/spreadsheetml/2017/richdata2" ref="E2:I14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6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8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2020-01-14T15:51:53Z</dcterms:modified>
</cp:coreProperties>
</file>