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3F8E2BD-80C0-4F65-9A58-20F2FBA983F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7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8" i="5859" l="1"/>
  <c r="O21" i="5863"/>
  <c r="O17" i="5859" l="1"/>
  <c r="O20" i="5867"/>
  <c r="O22" i="5867"/>
  <c r="O17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0" i="5869"/>
  <c r="H39" i="5869"/>
  <c r="B23" i="5869"/>
  <c r="H43" i="5869"/>
  <c r="H47" i="5869"/>
  <c r="H21" i="5869"/>
  <c r="H6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5" i="5869"/>
  <c r="H12" i="5869"/>
  <c r="H20" i="5869"/>
  <c r="H22" i="5869"/>
  <c r="C19" i="5869"/>
  <c r="H13" i="5869"/>
  <c r="B24" i="5869"/>
  <c r="H34" i="5869"/>
  <c r="H37" i="5869"/>
  <c r="H41" i="5869"/>
  <c r="H45" i="5869"/>
  <c r="H49" i="5869"/>
  <c r="H52" i="5869"/>
  <c r="H9" i="5869"/>
  <c r="H7" i="5869"/>
  <c r="H11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0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<sst xmlns="http://schemas.openxmlformats.org/spreadsheetml/2006/main" count="2844" uniqueCount="245">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</sst>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全体!$K$2:$K$548</c:f>
              <c:numCache>
                <c:formatCode>General</c:formatCode>
                <c:ptCount val="5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</c:numCache>
            </c:numRef>
          </c:xVal>
          <c:yVal>
            <c:numRef>
              <c:f>全体!$L$2:$L$548</c:f>
              <c:numCache>
                <c:formatCode>\+0.0;\-0.0;\±0</c:formatCode>
                <c:ptCount val="54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-20.257826887661142</c:v>
                </c:pt>
                <c:pt idx="1">
                  <c:v>5.6497175141242941</c:v>
                </c:pt>
                <c:pt idx="2">
                  <c:v>-13.888888888888889</c:v>
                </c:pt>
                <c:pt idx="3">
                  <c:v>10.482180293501049</c:v>
                </c:pt>
                <c:pt idx="4">
                  <c:v>11.337868480725623</c:v>
                </c:pt>
                <c:pt idx="5">
                  <c:v>13.550135501355014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たかの!$L$2:$L$51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1120.408163265306</c:v>
                </c:pt>
                <c:pt idx="1">
                  <c:v>-912.5</c:v>
                </c:pt>
                <c:pt idx="2">
                  <c:v>-1284.7826086956522</c:v>
                </c:pt>
                <c:pt idx="3">
                  <c:v>-1151.1111111111111</c:v>
                </c:pt>
                <c:pt idx="4">
                  <c:v>-353.33333333333331</c:v>
                </c:pt>
                <c:pt idx="5">
                  <c:v>-2125.6410256410259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だいち!$L$2:$L$117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1445.6140350877192</c:v>
                </c:pt>
                <c:pt idx="1">
                  <c:v>615.31531531531527</c:v>
                </c:pt>
                <c:pt idx="2">
                  <c:v>975.70093457943926</c:v>
                </c:pt>
                <c:pt idx="3">
                  <c:v>410.20408163265307</c:v>
                </c:pt>
                <c:pt idx="4">
                  <c:v>1913.1868131868132</c:v>
                </c:pt>
                <c:pt idx="5">
                  <c:v>2960.8108108108108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-1833.3333333333333</c:v>
                </c:pt>
                <c:pt idx="1">
                  <c:v>1167</c:v>
                </c:pt>
                <c:pt idx="2">
                  <c:v>289.36170212765956</c:v>
                </c:pt>
                <c:pt idx="3">
                  <c:v>618.18181818181813</c:v>
                </c:pt>
                <c:pt idx="4">
                  <c:v>-1153.0864197530864</c:v>
                </c:pt>
                <c:pt idx="5">
                  <c:v>1288.4057971014493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-115.87301587301587</c:v>
                </c:pt>
                <c:pt idx="1">
                  <c:v>-988.88888888888891</c:v>
                </c:pt>
                <c:pt idx="2">
                  <c:v>947.45762711864404</c:v>
                </c:pt>
                <c:pt idx="3">
                  <c:v>-1389.655172413793</c:v>
                </c:pt>
                <c:pt idx="4">
                  <c:v>-3281.818181818182</c:v>
                </c:pt>
                <c:pt idx="5">
                  <c:v>-1214.2857142857142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れんたろう!$L$2:$L$62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1948.3333333333333</c:v>
                </c:pt>
                <c:pt idx="1">
                  <c:v>-2243.1034482758619</c:v>
                </c:pt>
                <c:pt idx="2">
                  <c:v>1046.2962962962963</c:v>
                </c:pt>
                <c:pt idx="3">
                  <c:v>3751.9230769230771</c:v>
                </c:pt>
                <c:pt idx="4">
                  <c:v>1241.6666666666667</c:v>
                </c:pt>
                <c:pt idx="5">
                  <c:v>-313.15789473684208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まっつん!$L$2:$L$91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538.20224719101122</c:v>
                </c:pt>
                <c:pt idx="1">
                  <c:v>738.37209302325584</c:v>
                </c:pt>
                <c:pt idx="2">
                  <c:v>-1130</c:v>
                </c:pt>
                <c:pt idx="3">
                  <c:v>-208.1081081081081</c:v>
                </c:pt>
                <c:pt idx="4">
                  <c:v>-760</c:v>
                </c:pt>
                <c:pt idx="5">
                  <c:v>-828.57142857142856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-2729.4117647058824</c:v>
                </c:pt>
                <c:pt idx="1">
                  <c:v>220.58823529411765</c:v>
                </c:pt>
                <c:pt idx="2">
                  <c:v>-2411.7647058823532</c:v>
                </c:pt>
                <c:pt idx="3">
                  <c:v>-2556.25</c:v>
                </c:pt>
                <c:pt idx="4">
                  <c:v>-1103.2258064516129</c:v>
                </c:pt>
                <c:pt idx="5">
                  <c:v>-3744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ただ2!$B$3:$B$106</c:f>
              <c:numCache>
                <c:formatCode>\+0.0;\-0.0;\±0</c:formatCode>
                <c:ptCount val="10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ただ2!$C$3:$C$106</c:f>
              <c:numCache>
                <c:formatCode>\+0.0;\-0.0;\±0</c:formatCode>
                <c:ptCount val="104"/>
                <c:pt idx="1">
                  <c:v>-45.6</c:v>
                </c:pt>
                <c:pt idx="2">
                  <c:v>-17.149999999999999</c:v>
                </c:pt>
                <c:pt idx="3">
                  <c:v>-19.533333333333331</c:v>
                </c:pt>
                <c:pt idx="4">
                  <c:v>-9.5249999999999986</c:v>
                </c:pt>
                <c:pt idx="5">
                  <c:v>-2.2599999999999989</c:v>
                </c:pt>
                <c:pt idx="6">
                  <c:v>-1.9833333333333323</c:v>
                </c:pt>
                <c:pt idx="7">
                  <c:v>-1.3571428571428561</c:v>
                </c:pt>
                <c:pt idx="8">
                  <c:v>-7.0999999999999988</c:v>
                </c:pt>
                <c:pt idx="9">
                  <c:v>-9.2999999999999989</c:v>
                </c:pt>
                <c:pt idx="10">
                  <c:v>-7.839999999999999</c:v>
                </c:pt>
                <c:pt idx="11">
                  <c:v>-6.1909090909090905</c:v>
                </c:pt>
                <c:pt idx="12">
                  <c:v>-7.416666666666667</c:v>
                </c:pt>
                <c:pt idx="13">
                  <c:v>-6.6769230769230763</c:v>
                </c:pt>
                <c:pt idx="14">
                  <c:v>-9.8857142857142861</c:v>
                </c:pt>
                <c:pt idx="15">
                  <c:v>-9.620000000000001</c:v>
                </c:pt>
                <c:pt idx="16">
                  <c:v>-11.706250000000001</c:v>
                </c:pt>
                <c:pt idx="17">
                  <c:v>-10.570588235294119</c:v>
                </c:pt>
                <c:pt idx="18">
                  <c:v>-6.272222222222223</c:v>
                </c:pt>
                <c:pt idx="19">
                  <c:v>-8.5473684210526333</c:v>
                </c:pt>
                <c:pt idx="20">
                  <c:v>-4.8000000000000016</c:v>
                </c:pt>
                <c:pt idx="21">
                  <c:v>-3.2000000000000015</c:v>
                </c:pt>
                <c:pt idx="22">
                  <c:v>-1.7454545454545469</c:v>
                </c:pt>
                <c:pt idx="23">
                  <c:v>-1.6347826086956538</c:v>
                </c:pt>
                <c:pt idx="24">
                  <c:v>-1.5666666666666682</c:v>
                </c:pt>
                <c:pt idx="25">
                  <c:v>-0.42800000000000155</c:v>
                </c:pt>
                <c:pt idx="26">
                  <c:v>-0.10000000000000149</c:v>
                </c:pt>
                <c:pt idx="27">
                  <c:v>-1.2629629629629644</c:v>
                </c:pt>
                <c:pt idx="28">
                  <c:v>-0.57500000000000129</c:v>
                </c:pt>
                <c:pt idx="29">
                  <c:v>1.4068965517241365</c:v>
                </c:pt>
                <c:pt idx="30">
                  <c:v>2.1166666666666654</c:v>
                </c:pt>
                <c:pt idx="31">
                  <c:v>3.0419354838709665</c:v>
                </c:pt>
                <c:pt idx="32">
                  <c:v>4.5249999999999986</c:v>
                </c:pt>
                <c:pt idx="33">
                  <c:v>4.6484848484848467</c:v>
                </c:pt>
                <c:pt idx="34">
                  <c:v>5.2382352941176453</c:v>
                </c:pt>
                <c:pt idx="35">
                  <c:v>4.9114285714285701</c:v>
                </c:pt>
                <c:pt idx="36">
                  <c:v>4.5722222222222202</c:v>
                </c:pt>
                <c:pt idx="37">
                  <c:v>4.2324324324324305</c:v>
                </c:pt>
                <c:pt idx="38">
                  <c:v>2.9184210526315773</c:v>
                </c:pt>
                <c:pt idx="39">
                  <c:v>4.0717948717948698</c:v>
                </c:pt>
                <c:pt idx="40">
                  <c:v>2.739999999999998</c:v>
                </c:pt>
                <c:pt idx="41">
                  <c:v>3.2097560975609736</c:v>
                </c:pt>
                <c:pt idx="42">
                  <c:v>4.3738095238095216</c:v>
                </c:pt>
                <c:pt idx="43">
                  <c:v>4.9279069767441834</c:v>
                </c:pt>
                <c:pt idx="44">
                  <c:v>5.2909090909090883</c:v>
                </c:pt>
                <c:pt idx="45">
                  <c:v>4.7644444444444423</c:v>
                </c:pt>
                <c:pt idx="46">
                  <c:v>4.6826086956521715</c:v>
                </c:pt>
                <c:pt idx="47">
                  <c:v>5.5148936170212739</c:v>
                </c:pt>
                <c:pt idx="48">
                  <c:v>5.6687499999999966</c:v>
                </c:pt>
                <c:pt idx="49">
                  <c:v>4.5469387755102009</c:v>
                </c:pt>
                <c:pt idx="50">
                  <c:v>4.9779999999999971</c:v>
                </c:pt>
                <c:pt idx="51">
                  <c:v>5.2941176470588198</c:v>
                </c:pt>
                <c:pt idx="52">
                  <c:v>5.7326923076923046</c:v>
                </c:pt>
                <c:pt idx="53">
                  <c:v>6.1188679245282991</c:v>
                </c:pt>
                <c:pt idx="54">
                  <c:v>6.4185185185185158</c:v>
                </c:pt>
                <c:pt idx="55">
                  <c:v>5.3654545454545426</c:v>
                </c:pt>
                <c:pt idx="56">
                  <c:v>5.7124999999999977</c:v>
                </c:pt>
                <c:pt idx="57">
                  <c:v>5.1070175438596461</c:v>
                </c:pt>
                <c:pt idx="58">
                  <c:v>4.7310344827586182</c:v>
                </c:pt>
                <c:pt idx="59">
                  <c:v>4.4305084745762686</c:v>
                </c:pt>
                <c:pt idx="60">
                  <c:v>3.4783333333333313</c:v>
                </c:pt>
                <c:pt idx="61">
                  <c:v>4.0311475409836044</c:v>
                </c:pt>
                <c:pt idx="62">
                  <c:v>3.1145161290322556</c:v>
                </c:pt>
                <c:pt idx="63">
                  <c:v>3.9396825396825372</c:v>
                </c:pt>
                <c:pt idx="64">
                  <c:v>3.7343749999999978</c:v>
                </c:pt>
                <c:pt idx="65">
                  <c:v>4.2230769230769214</c:v>
                </c:pt>
                <c:pt idx="66">
                  <c:v>4.3499999999999988</c:v>
                </c:pt>
                <c:pt idx="67">
                  <c:v>4.7134328358208943</c:v>
                </c:pt>
                <c:pt idx="68">
                  <c:v>5.1514705882352922</c:v>
                </c:pt>
                <c:pt idx="69">
                  <c:v>5.5666666666666655</c:v>
                </c:pt>
                <c:pt idx="70">
                  <c:v>5.5799999999999983</c:v>
                </c:pt>
                <c:pt idx="71">
                  <c:v>5.4577464788732382</c:v>
                </c:pt>
                <c:pt idx="72">
                  <c:v>5.0194444444444422</c:v>
                </c:pt>
                <c:pt idx="73">
                  <c:v>5.2164383561643817</c:v>
                </c:pt>
                <c:pt idx="74">
                  <c:v>4.4243243243243224</c:v>
                </c:pt>
                <c:pt idx="75">
                  <c:v>4.4906666666666641</c:v>
                </c:pt>
                <c:pt idx="76">
                  <c:v>4.5276315789473669</c:v>
                </c:pt>
                <c:pt idx="77">
                  <c:v>4.8779220779220758</c:v>
                </c:pt>
                <c:pt idx="78">
                  <c:v>4.8358974358974347</c:v>
                </c:pt>
                <c:pt idx="79">
                  <c:v>4.9430379746835431</c:v>
                </c:pt>
                <c:pt idx="80">
                  <c:v>4.6149999999999984</c:v>
                </c:pt>
                <c:pt idx="81">
                  <c:v>4.6209876543209862</c:v>
                </c:pt>
                <c:pt idx="82">
                  <c:v>4.2036585365853645</c:v>
                </c:pt>
                <c:pt idx="83">
                  <c:v>3.9614457831325289</c:v>
                </c:pt>
                <c:pt idx="84">
                  <c:v>3.3761904761904753</c:v>
                </c:pt>
                <c:pt idx="85">
                  <c:v>3.7764705882352927</c:v>
                </c:pt>
                <c:pt idx="86">
                  <c:v>3.6918604651162776</c:v>
                </c:pt>
                <c:pt idx="87">
                  <c:v>4.2459770114942517</c:v>
                </c:pt>
                <c:pt idx="88">
                  <c:v>4.0034090909090887</c:v>
                </c:pt>
                <c:pt idx="89">
                  <c:v>4.0056179775280878</c:v>
                </c:pt>
                <c:pt idx="90">
                  <c:v>3.6244444444444426</c:v>
                </c:pt>
                <c:pt idx="91">
                  <c:v>3.479120879120877</c:v>
                </c:pt>
                <c:pt idx="92">
                  <c:v>2.9108695652173888</c:v>
                </c:pt>
                <c:pt idx="93">
                  <c:v>2.5172043010752665</c:v>
                </c:pt>
                <c:pt idx="94">
                  <c:v>1.0765957446808487</c:v>
                </c:pt>
                <c:pt idx="95">
                  <c:v>0.75578947368420824</c:v>
                </c:pt>
                <c:pt idx="96">
                  <c:v>0.75312499999999771</c:v>
                </c:pt>
                <c:pt idx="97">
                  <c:v>0.51443298969071949</c:v>
                </c:pt>
                <c:pt idx="98">
                  <c:v>0.37142857142856922</c:v>
                </c:pt>
                <c:pt idx="99">
                  <c:v>0.4343434343434322</c:v>
                </c:pt>
                <c:pt idx="100">
                  <c:v>0.13399999999999784</c:v>
                </c:pt>
                <c:pt idx="101">
                  <c:v>-0.34059405940594267</c:v>
                </c:pt>
                <c:pt idx="102">
                  <c:v>-0.55392156862745312</c:v>
                </c:pt>
                <c:pt idx="103">
                  <c:v>-0.30582524271844869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10952225333461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ただ2!$D$3:$D$106</c:f>
              <c:numCache>
                <c:formatCode>0.00\ "位"</c:formatCode>
                <c:ptCount val="104"/>
                <c:pt idx="1">
                  <c:v>3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2.1818181818181817</c:v>
                </c:pt>
                <c:pt idx="12">
                  <c:v>2.25</c:v>
                </c:pt>
                <c:pt idx="13">
                  <c:v>2.2307692307692308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2.2941176470588234</c:v>
                </c:pt>
                <c:pt idx="18">
                  <c:v>2.2222222222222223</c:v>
                </c:pt>
                <c:pt idx="19">
                  <c:v>2.263157894736842</c:v>
                </c:pt>
                <c:pt idx="20">
                  <c:v>2.2000000000000002</c:v>
                </c:pt>
                <c:pt idx="21">
                  <c:v>2.1428571428571428</c:v>
                </c:pt>
                <c:pt idx="22">
                  <c:v>2.0909090909090908</c:v>
                </c:pt>
                <c:pt idx="23">
                  <c:v>2.0869565217391304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2.074074074074074</c:v>
                </c:pt>
                <c:pt idx="28">
                  <c:v>2.0714285714285716</c:v>
                </c:pt>
                <c:pt idx="29">
                  <c:v>2.0344827586206895</c:v>
                </c:pt>
                <c:pt idx="30">
                  <c:v>2</c:v>
                </c:pt>
                <c:pt idx="31">
                  <c:v>1.967741935483871</c:v>
                </c:pt>
                <c:pt idx="32">
                  <c:v>1.9375</c:v>
                </c:pt>
                <c:pt idx="33">
                  <c:v>1.9393939393939394</c:v>
                </c:pt>
                <c:pt idx="34">
                  <c:v>1.911764705882353</c:v>
                </c:pt>
                <c:pt idx="35">
                  <c:v>1.9142857142857144</c:v>
                </c:pt>
                <c:pt idx="36">
                  <c:v>1.9166666666666667</c:v>
                </c:pt>
                <c:pt idx="37">
                  <c:v>1.9189189189189189</c:v>
                </c:pt>
                <c:pt idx="38">
                  <c:v>1.9473684210526316</c:v>
                </c:pt>
                <c:pt idx="39">
                  <c:v>1.9230769230769231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1.8837209302325582</c:v>
                </c:pt>
                <c:pt idx="44">
                  <c:v>1.8636363636363635</c:v>
                </c:pt>
                <c:pt idx="45">
                  <c:v>1.8888888888888888</c:v>
                </c:pt>
                <c:pt idx="46">
                  <c:v>1.8913043478260869</c:v>
                </c:pt>
                <c:pt idx="47">
                  <c:v>1.8723404255319149</c:v>
                </c:pt>
                <c:pt idx="48">
                  <c:v>1.8541666666666667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1.8431372549019607</c:v>
                </c:pt>
                <c:pt idx="52">
                  <c:v>1.8269230769230769</c:v>
                </c:pt>
                <c:pt idx="53">
                  <c:v>1.8113207547169812</c:v>
                </c:pt>
                <c:pt idx="54">
                  <c:v>1.7962962962962963</c:v>
                </c:pt>
                <c:pt idx="55">
                  <c:v>1.8181818181818181</c:v>
                </c:pt>
                <c:pt idx="56">
                  <c:v>1.8035714285714286</c:v>
                </c:pt>
                <c:pt idx="57">
                  <c:v>1.8245614035087718</c:v>
                </c:pt>
                <c:pt idx="58">
                  <c:v>1.8448275862068966</c:v>
                </c:pt>
                <c:pt idx="59">
                  <c:v>1.8644067796610169</c:v>
                </c:pt>
                <c:pt idx="60">
                  <c:v>1.8833333333333333</c:v>
                </c:pt>
                <c:pt idx="61">
                  <c:v>1.8688524590163935</c:v>
                </c:pt>
                <c:pt idx="62">
                  <c:v>1.8870967741935485</c:v>
                </c:pt>
                <c:pt idx="63">
                  <c:v>1.873015873015873</c:v>
                </c:pt>
                <c:pt idx="64">
                  <c:v>1.875</c:v>
                </c:pt>
                <c:pt idx="65">
                  <c:v>1.8615384615384616</c:v>
                </c:pt>
                <c:pt idx="66">
                  <c:v>1.8636363636363635</c:v>
                </c:pt>
                <c:pt idx="67">
                  <c:v>1.8507462686567164</c:v>
                </c:pt>
                <c:pt idx="68">
                  <c:v>1.838235294117647</c:v>
                </c:pt>
                <c:pt idx="69">
                  <c:v>1.826086956521739</c:v>
                </c:pt>
                <c:pt idx="70">
                  <c:v>1.8285714285714285</c:v>
                </c:pt>
                <c:pt idx="71">
                  <c:v>1.8309859154929577</c:v>
                </c:pt>
                <c:pt idx="72">
                  <c:v>1.8472222222222223</c:v>
                </c:pt>
                <c:pt idx="73">
                  <c:v>1.8356164383561644</c:v>
                </c:pt>
                <c:pt idx="74">
                  <c:v>1.8513513513513513</c:v>
                </c:pt>
                <c:pt idx="75">
                  <c:v>1.8533333333333333</c:v>
                </c:pt>
                <c:pt idx="76">
                  <c:v>1.8552631578947369</c:v>
                </c:pt>
                <c:pt idx="77">
                  <c:v>1.8441558441558441</c:v>
                </c:pt>
                <c:pt idx="78">
                  <c:v>1.8461538461538463</c:v>
                </c:pt>
                <c:pt idx="79">
                  <c:v>1.8481012658227849</c:v>
                </c:pt>
                <c:pt idx="80">
                  <c:v>1.8625</c:v>
                </c:pt>
                <c:pt idx="81">
                  <c:v>1.8641975308641976</c:v>
                </c:pt>
                <c:pt idx="82">
                  <c:v>1.8780487804878048</c:v>
                </c:pt>
                <c:pt idx="83">
                  <c:v>1.8915662650602409</c:v>
                </c:pt>
                <c:pt idx="84">
                  <c:v>1.9047619047619047</c:v>
                </c:pt>
                <c:pt idx="85">
                  <c:v>1.8941176470588235</c:v>
                </c:pt>
                <c:pt idx="86">
                  <c:v>1.8953488372093024</c:v>
                </c:pt>
                <c:pt idx="87">
                  <c:v>1.8850574712643677</c:v>
                </c:pt>
                <c:pt idx="88">
                  <c:v>1.8977272727272727</c:v>
                </c:pt>
                <c:pt idx="89">
                  <c:v>1.898876404494382</c:v>
                </c:pt>
                <c:pt idx="90">
                  <c:v>1.9111111111111112</c:v>
                </c:pt>
                <c:pt idx="91">
                  <c:v>1.9120879120879122</c:v>
                </c:pt>
                <c:pt idx="92">
                  <c:v>1.923913043478261</c:v>
                </c:pt>
                <c:pt idx="93">
                  <c:v>1.935483870967742</c:v>
                </c:pt>
                <c:pt idx="94">
                  <c:v>1.946808510638298</c:v>
                </c:pt>
                <c:pt idx="95">
                  <c:v>1.9578947368421054</c:v>
                </c:pt>
                <c:pt idx="96">
                  <c:v>1.9583333333333333</c:v>
                </c:pt>
                <c:pt idx="97">
                  <c:v>1.9587628865979381</c:v>
                </c:pt>
                <c:pt idx="98">
                  <c:v>1.9591836734693877</c:v>
                </c:pt>
                <c:pt idx="99">
                  <c:v>1.9595959595959596</c:v>
                </c:pt>
                <c:pt idx="100">
                  <c:v>1.97</c:v>
                </c:pt>
                <c:pt idx="101">
                  <c:v>1.9801980198019802</c:v>
                </c:pt>
                <c:pt idx="102">
                  <c:v>1.9901960784313726</c:v>
                </c:pt>
                <c:pt idx="103">
                  <c:v>1.9805825242718447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ただ2!$E$3:$E$106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0.2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0.32432432432432434</c:v>
                </c:pt>
                <c:pt idx="38">
                  <c:v>0.31578947368421051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0.34146341463414637</c:v>
                </c:pt>
                <c:pt idx="42">
                  <c:v>0.35714285714285715</c:v>
                </c:pt>
                <c:pt idx="43">
                  <c:v>0.37209302325581395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0.39583333333333331</c:v>
                </c:pt>
                <c:pt idx="49">
                  <c:v>0.38775510204081631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0.42307692307692307</c:v>
                </c:pt>
                <c:pt idx="53">
                  <c:v>0.43396226415094341</c:v>
                </c:pt>
                <c:pt idx="54">
                  <c:v>0.44444444444444442</c:v>
                </c:pt>
                <c:pt idx="55">
                  <c:v>0.43636363636363634</c:v>
                </c:pt>
                <c:pt idx="56">
                  <c:v>0.44642857142857145</c:v>
                </c:pt>
                <c:pt idx="57">
                  <c:v>0.43859649122807015</c:v>
                </c:pt>
                <c:pt idx="58">
                  <c:v>0.43103448275862066</c:v>
                </c:pt>
                <c:pt idx="59">
                  <c:v>0.42372881355932202</c:v>
                </c:pt>
                <c:pt idx="60">
                  <c:v>0.41666666666666669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0.42857142857142855</c:v>
                </c:pt>
                <c:pt idx="64">
                  <c:v>0.421875</c:v>
                </c:pt>
                <c:pt idx="65">
                  <c:v>0.43076923076923079</c:v>
                </c:pt>
                <c:pt idx="66">
                  <c:v>0.42424242424242425</c:v>
                </c:pt>
                <c:pt idx="67">
                  <c:v>0.43283582089552236</c:v>
                </c:pt>
                <c:pt idx="68">
                  <c:v>0.44117647058823528</c:v>
                </c:pt>
                <c:pt idx="69">
                  <c:v>0.44927536231884058</c:v>
                </c:pt>
                <c:pt idx="70">
                  <c:v>0.44285714285714284</c:v>
                </c:pt>
                <c:pt idx="71">
                  <c:v>0.43661971830985913</c:v>
                </c:pt>
                <c:pt idx="72">
                  <c:v>0.43055555555555558</c:v>
                </c:pt>
                <c:pt idx="73">
                  <c:v>0.43835616438356162</c:v>
                </c:pt>
                <c:pt idx="74">
                  <c:v>0.43243243243243246</c:v>
                </c:pt>
                <c:pt idx="75">
                  <c:v>0.42666666666666669</c:v>
                </c:pt>
                <c:pt idx="76">
                  <c:v>0.42105263157894735</c:v>
                </c:pt>
                <c:pt idx="77">
                  <c:v>0.42857142857142855</c:v>
                </c:pt>
                <c:pt idx="78">
                  <c:v>0.42307692307692307</c:v>
                </c:pt>
                <c:pt idx="79">
                  <c:v>0.41772151898734178</c:v>
                </c:pt>
                <c:pt idx="80">
                  <c:v>0.41249999999999998</c:v>
                </c:pt>
                <c:pt idx="81">
                  <c:v>0.40740740740740738</c:v>
                </c:pt>
                <c:pt idx="82">
                  <c:v>0.40243902439024393</c:v>
                </c:pt>
                <c:pt idx="83">
                  <c:v>0.39759036144578314</c:v>
                </c:pt>
                <c:pt idx="84">
                  <c:v>0.39285714285714285</c:v>
                </c:pt>
                <c:pt idx="85">
                  <c:v>0.4</c:v>
                </c:pt>
                <c:pt idx="86">
                  <c:v>0.39534883720930231</c:v>
                </c:pt>
                <c:pt idx="87">
                  <c:v>0.40229885057471265</c:v>
                </c:pt>
                <c:pt idx="88">
                  <c:v>0.39772727272727271</c:v>
                </c:pt>
                <c:pt idx="89">
                  <c:v>0.39325842696629215</c:v>
                </c:pt>
                <c:pt idx="90">
                  <c:v>0.3888888888888889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0.37234042553191488</c:v>
                </c:pt>
                <c:pt idx="95">
                  <c:v>0.36842105263157893</c:v>
                </c:pt>
                <c:pt idx="96">
                  <c:v>0.36458333333333331</c:v>
                </c:pt>
                <c:pt idx="97">
                  <c:v>0.36082474226804123</c:v>
                </c:pt>
                <c:pt idx="98">
                  <c:v>0.35714285714285715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0.34951456310679613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ただ2!$F$3:$F$106</c:f>
              <c:numCache>
                <c:formatCode>0.0%</c:formatCode>
                <c:ptCount val="104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0.24324324324324326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0.25</c:v>
                </c:pt>
                <c:pt idx="45">
                  <c:v>0.26666666666666666</c:v>
                </c:pt>
                <c:pt idx="46">
                  <c:v>0.2608695652173913</c:v>
                </c:pt>
                <c:pt idx="47">
                  <c:v>0.25531914893617019</c:v>
                </c:pt>
                <c:pt idx="48">
                  <c:v>0.25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  <c:pt idx="56">
                  <c:v>0.25</c:v>
                </c:pt>
                <c:pt idx="57">
                  <c:v>0.26315789473684209</c:v>
                </c:pt>
                <c:pt idx="58">
                  <c:v>0.27586206896551724</c:v>
                </c:pt>
                <c:pt idx="59">
                  <c:v>0.28813559322033899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0.30645161290322581</c:v>
                </c:pt>
                <c:pt idx="63">
                  <c:v>0.30158730158730157</c:v>
                </c:pt>
                <c:pt idx="64">
                  <c:v>0.296875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0.26760563380281688</c:v>
                </c:pt>
                <c:pt idx="72">
                  <c:v>0.27777777777777779</c:v>
                </c:pt>
                <c:pt idx="73">
                  <c:v>0.27397260273972601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0.27272727272727271</c:v>
                </c:pt>
                <c:pt idx="78">
                  <c:v>0.26923076923076922</c:v>
                </c:pt>
                <c:pt idx="79">
                  <c:v>0.26582278481012656</c:v>
                </c:pt>
                <c:pt idx="80">
                  <c:v>0.27500000000000002</c:v>
                </c:pt>
                <c:pt idx="81">
                  <c:v>0.27160493827160492</c:v>
                </c:pt>
                <c:pt idx="82">
                  <c:v>0.28048780487804881</c:v>
                </c:pt>
                <c:pt idx="83">
                  <c:v>0.28915662650602408</c:v>
                </c:pt>
                <c:pt idx="84">
                  <c:v>0.29761904761904762</c:v>
                </c:pt>
                <c:pt idx="85">
                  <c:v>0.29411764705882354</c:v>
                </c:pt>
                <c:pt idx="86">
                  <c:v>0.29069767441860467</c:v>
                </c:pt>
                <c:pt idx="87">
                  <c:v>0.28735632183908044</c:v>
                </c:pt>
                <c:pt idx="88">
                  <c:v>0.29545454545454547</c:v>
                </c:pt>
                <c:pt idx="89">
                  <c:v>0.29213483146067415</c:v>
                </c:pt>
                <c:pt idx="90">
                  <c:v>0.3</c:v>
                </c:pt>
                <c:pt idx="91">
                  <c:v>0.2967032967032967</c:v>
                </c:pt>
                <c:pt idx="92">
                  <c:v>0.30434782608695654</c:v>
                </c:pt>
                <c:pt idx="93">
                  <c:v>0.31182795698924731</c:v>
                </c:pt>
                <c:pt idx="94">
                  <c:v>0.31914893617021278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0.32673267326732675</c:v>
                </c:pt>
                <c:pt idx="102">
                  <c:v>0.33333333333333331</c:v>
                </c:pt>
                <c:pt idx="103">
                  <c:v>0.3300970873786408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ただ2!$G$3:$G$106</c:f>
              <c:numCache>
                <c:formatCode>0.0%</c:formatCode>
                <c:ptCount val="104"/>
                <c:pt idx="1">
                  <c:v>0.2</c:v>
                </c:pt>
                <c:pt idx="2">
                  <c:v>0.26315789473684209</c:v>
                </c:pt>
                <c:pt idx="3">
                  <c:v>0.19230769230769232</c:v>
                </c:pt>
                <c:pt idx="4">
                  <c:v>0.26470588235294118</c:v>
                </c:pt>
                <c:pt idx="5">
                  <c:v>0.29268292682926828</c:v>
                </c:pt>
                <c:pt idx="6">
                  <c:v>0.34</c:v>
                </c:pt>
                <c:pt idx="7">
                  <c:v>0.3125</c:v>
                </c:pt>
                <c:pt idx="8">
                  <c:v>0.32</c:v>
                </c:pt>
                <c:pt idx="9">
                  <c:v>0.29411764705882354</c:v>
                </c:pt>
                <c:pt idx="10">
                  <c:v>0.30851063829787234</c:v>
                </c:pt>
                <c:pt idx="11">
                  <c:v>0.29126213592233008</c:v>
                </c:pt>
                <c:pt idx="12">
                  <c:v>0.30088495575221241</c:v>
                </c:pt>
                <c:pt idx="13">
                  <c:v>0.2975206611570248</c:v>
                </c:pt>
                <c:pt idx="14">
                  <c:v>0.28244274809160308</c:v>
                </c:pt>
                <c:pt idx="15">
                  <c:v>0.2857142857142857</c:v>
                </c:pt>
                <c:pt idx="16">
                  <c:v>0.27516778523489932</c:v>
                </c:pt>
                <c:pt idx="17">
                  <c:v>0.28125</c:v>
                </c:pt>
                <c:pt idx="18">
                  <c:v>0.29878048780487804</c:v>
                </c:pt>
                <c:pt idx="19">
                  <c:v>0.29310344827586204</c:v>
                </c:pt>
                <c:pt idx="20">
                  <c:v>0.30601092896174864</c:v>
                </c:pt>
                <c:pt idx="21">
                  <c:v>0.30927835051546393</c:v>
                </c:pt>
                <c:pt idx="22">
                  <c:v>0.31219512195121951</c:v>
                </c:pt>
                <c:pt idx="23">
                  <c:v>0.30373831775700932</c:v>
                </c:pt>
                <c:pt idx="24">
                  <c:v>0.30232558139534882</c:v>
                </c:pt>
                <c:pt idx="25">
                  <c:v>0.30630630630630629</c:v>
                </c:pt>
                <c:pt idx="26">
                  <c:v>0.30869565217391304</c:v>
                </c:pt>
                <c:pt idx="27">
                  <c:v>0.30379746835443039</c:v>
                </c:pt>
                <c:pt idx="28">
                  <c:v>0.31020408163265306</c:v>
                </c:pt>
                <c:pt idx="29">
                  <c:v>0.31872509960159362</c:v>
                </c:pt>
                <c:pt idx="30">
                  <c:v>0.32307692307692309</c:v>
                </c:pt>
                <c:pt idx="31">
                  <c:v>0.33210332103321033</c:v>
                </c:pt>
                <c:pt idx="32">
                  <c:v>0.33333333333333331</c:v>
                </c:pt>
                <c:pt idx="33">
                  <c:v>0.3298611111111111</c:v>
                </c:pt>
                <c:pt idx="34">
                  <c:v>0.33333333333333331</c:v>
                </c:pt>
                <c:pt idx="35">
                  <c:v>0.32580645161290323</c:v>
                </c:pt>
                <c:pt idx="36">
                  <c:v>0.32075471698113206</c:v>
                </c:pt>
                <c:pt idx="37">
                  <c:v>0.31804281345565749</c:v>
                </c:pt>
                <c:pt idx="38">
                  <c:v>0.31736526946107785</c:v>
                </c:pt>
                <c:pt idx="39">
                  <c:v>0.31428571428571428</c:v>
                </c:pt>
                <c:pt idx="40">
                  <c:v>0.31179775280898875</c:v>
                </c:pt>
                <c:pt idx="41">
                  <c:v>0.31129476584022037</c:v>
                </c:pt>
                <c:pt idx="42">
                  <c:v>0.31818181818181818</c:v>
                </c:pt>
                <c:pt idx="43">
                  <c:v>0.32105263157894737</c:v>
                </c:pt>
                <c:pt idx="44">
                  <c:v>0.32474226804123713</c:v>
                </c:pt>
                <c:pt idx="45">
                  <c:v>0.32151898734177214</c:v>
                </c:pt>
                <c:pt idx="46">
                  <c:v>0.31761786600496278</c:v>
                </c:pt>
                <c:pt idx="47">
                  <c:v>0.3235294117647059</c:v>
                </c:pt>
                <c:pt idx="48">
                  <c:v>0.32451923076923078</c:v>
                </c:pt>
                <c:pt idx="49">
                  <c:v>0.32142857142857145</c:v>
                </c:pt>
                <c:pt idx="50">
                  <c:v>0.32400932400932403</c:v>
                </c:pt>
                <c:pt idx="51">
                  <c:v>0.32648401826484019</c:v>
                </c:pt>
                <c:pt idx="52">
                  <c:v>0.32885906040268459</c:v>
                </c:pt>
                <c:pt idx="53">
                  <c:v>0.33039647577092512</c:v>
                </c:pt>
                <c:pt idx="54">
                  <c:v>0.33189655172413796</c:v>
                </c:pt>
                <c:pt idx="55">
                  <c:v>0.32835820895522388</c:v>
                </c:pt>
                <c:pt idx="56">
                  <c:v>0.3277661795407098</c:v>
                </c:pt>
                <c:pt idx="57">
                  <c:v>0.3271604938271605</c:v>
                </c:pt>
                <c:pt idx="58">
                  <c:v>0.32323232323232326</c:v>
                </c:pt>
                <c:pt idx="59">
                  <c:v>0.32007952286282304</c:v>
                </c:pt>
                <c:pt idx="60">
                  <c:v>0.31692913385826771</c:v>
                </c:pt>
                <c:pt idx="61">
                  <c:v>0.31853281853281851</c:v>
                </c:pt>
                <c:pt idx="62">
                  <c:v>0.31548757170172081</c:v>
                </c:pt>
                <c:pt idx="63">
                  <c:v>0.31970260223048325</c:v>
                </c:pt>
                <c:pt idx="64">
                  <c:v>0.31926605504587158</c:v>
                </c:pt>
                <c:pt idx="65">
                  <c:v>0.31907308377896615</c:v>
                </c:pt>
                <c:pt idx="66">
                  <c:v>0.3193717277486911</c:v>
                </c:pt>
                <c:pt idx="67">
                  <c:v>0.31896551724137934</c:v>
                </c:pt>
                <c:pt idx="68">
                  <c:v>0.31972789115646261</c:v>
                </c:pt>
                <c:pt idx="69">
                  <c:v>0.32328308207705192</c:v>
                </c:pt>
                <c:pt idx="70">
                  <c:v>0.32396694214876032</c:v>
                </c:pt>
                <c:pt idx="71">
                  <c:v>0.32242225859247137</c:v>
                </c:pt>
                <c:pt idx="72">
                  <c:v>0.32090761750405189</c:v>
                </c:pt>
                <c:pt idx="73">
                  <c:v>0.32102728731942215</c:v>
                </c:pt>
                <c:pt idx="74">
                  <c:v>0.31847133757961782</c:v>
                </c:pt>
                <c:pt idx="75">
                  <c:v>0.31818181818181818</c:v>
                </c:pt>
                <c:pt idx="76">
                  <c:v>0.31888544891640869</c:v>
                </c:pt>
                <c:pt idx="77">
                  <c:v>0.3165137614678899</c:v>
                </c:pt>
                <c:pt idx="78">
                  <c:v>0.3161094224924012</c:v>
                </c:pt>
                <c:pt idx="79">
                  <c:v>0.31445603576751119</c:v>
                </c:pt>
                <c:pt idx="80">
                  <c:v>0.31424375917767988</c:v>
                </c:pt>
                <c:pt idx="81">
                  <c:v>0.31403762662807527</c:v>
                </c:pt>
                <c:pt idx="82">
                  <c:v>0.31428571428571428</c:v>
                </c:pt>
                <c:pt idx="83">
                  <c:v>0.31400282885431402</c:v>
                </c:pt>
                <c:pt idx="84">
                  <c:v>0.31136044880785413</c:v>
                </c:pt>
                <c:pt idx="85">
                  <c:v>0.31215469613259667</c:v>
                </c:pt>
                <c:pt idx="86">
                  <c:v>0.31284153005464482</c:v>
                </c:pt>
                <c:pt idx="87">
                  <c:v>0.31571815718157181</c:v>
                </c:pt>
                <c:pt idx="88">
                  <c:v>0.31515957446808512</c:v>
                </c:pt>
                <c:pt idx="89">
                  <c:v>0.31530343007915568</c:v>
                </c:pt>
                <c:pt idx="90">
                  <c:v>0.31517509727626458</c:v>
                </c:pt>
                <c:pt idx="91">
                  <c:v>0.31362467866323906</c:v>
                </c:pt>
                <c:pt idx="92">
                  <c:v>0.31170483460559795</c:v>
                </c:pt>
                <c:pt idx="93">
                  <c:v>0.31021437578814626</c:v>
                </c:pt>
                <c:pt idx="94">
                  <c:v>0.30788485607008759</c:v>
                </c:pt>
                <c:pt idx="95">
                  <c:v>0.30645161290322581</c:v>
                </c:pt>
                <c:pt idx="96">
                  <c:v>0.30552147239263805</c:v>
                </c:pt>
                <c:pt idx="97">
                  <c:v>0.30440097799511001</c:v>
                </c:pt>
                <c:pt idx="98">
                  <c:v>0.30350665054413545</c:v>
                </c:pt>
                <c:pt idx="99">
                  <c:v>0.30299401197604792</c:v>
                </c:pt>
                <c:pt idx="100">
                  <c:v>0.30166270783847982</c:v>
                </c:pt>
                <c:pt idx="101">
                  <c:v>0.29952830188679247</c:v>
                </c:pt>
                <c:pt idx="102">
                  <c:v>0.29906542056074764</c:v>
                </c:pt>
                <c:pt idx="103">
                  <c:v>0.29976851851851855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11432960280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ただ2!$H$3:$H$106</c:f>
              <c:numCache>
                <c:formatCode>0.0%</c:formatCode>
                <c:ptCount val="104"/>
                <c:pt idx="1">
                  <c:v>0.4</c:v>
                </c:pt>
                <c:pt idx="2">
                  <c:v>0.31578947368421051</c:v>
                </c:pt>
                <c:pt idx="3">
                  <c:v>0.30769230769230771</c:v>
                </c:pt>
                <c:pt idx="4">
                  <c:v>0.29411764705882354</c:v>
                </c:pt>
                <c:pt idx="5">
                  <c:v>0.29268292682926828</c:v>
                </c:pt>
                <c:pt idx="6">
                  <c:v>0.26</c:v>
                </c:pt>
                <c:pt idx="7">
                  <c:v>0.234375</c:v>
                </c:pt>
                <c:pt idx="8">
                  <c:v>0.25333333333333335</c:v>
                </c:pt>
                <c:pt idx="9">
                  <c:v>0.22352941176470589</c:v>
                </c:pt>
                <c:pt idx="10">
                  <c:v>0.20212765957446807</c:v>
                </c:pt>
                <c:pt idx="11">
                  <c:v>0.1941747572815534</c:v>
                </c:pt>
                <c:pt idx="12">
                  <c:v>0.18584070796460178</c:v>
                </c:pt>
                <c:pt idx="13">
                  <c:v>0.19834710743801653</c:v>
                </c:pt>
                <c:pt idx="14">
                  <c:v>0.19083969465648856</c:v>
                </c:pt>
                <c:pt idx="15">
                  <c:v>0.18571428571428572</c:v>
                </c:pt>
                <c:pt idx="16">
                  <c:v>0.18791946308724833</c:v>
                </c:pt>
                <c:pt idx="17">
                  <c:v>0.19375000000000001</c:v>
                </c:pt>
                <c:pt idx="18">
                  <c:v>0.18902439024390244</c:v>
                </c:pt>
                <c:pt idx="19">
                  <c:v>0.20689655172413793</c:v>
                </c:pt>
                <c:pt idx="20">
                  <c:v>0.19672131147540983</c:v>
                </c:pt>
                <c:pt idx="21">
                  <c:v>0.19072164948453607</c:v>
                </c:pt>
                <c:pt idx="22">
                  <c:v>0.18536585365853658</c:v>
                </c:pt>
                <c:pt idx="23">
                  <c:v>0.1822429906542056</c:v>
                </c:pt>
                <c:pt idx="24">
                  <c:v>0.18139534883720931</c:v>
                </c:pt>
                <c:pt idx="25">
                  <c:v>0.18018018018018017</c:v>
                </c:pt>
                <c:pt idx="26">
                  <c:v>0.18260869565217391</c:v>
                </c:pt>
                <c:pt idx="27">
                  <c:v>0.18565400843881857</c:v>
                </c:pt>
                <c:pt idx="28">
                  <c:v>0.18775510204081633</c:v>
                </c:pt>
                <c:pt idx="29">
                  <c:v>0.18326693227091634</c:v>
                </c:pt>
                <c:pt idx="30">
                  <c:v>0.18846153846153846</c:v>
                </c:pt>
                <c:pt idx="31">
                  <c:v>0.18819188191881919</c:v>
                </c:pt>
                <c:pt idx="32">
                  <c:v>0.18478260869565216</c:v>
                </c:pt>
                <c:pt idx="33">
                  <c:v>0.18402777777777779</c:v>
                </c:pt>
                <c:pt idx="34">
                  <c:v>0.19</c:v>
                </c:pt>
                <c:pt idx="35">
                  <c:v>0.19354838709677419</c:v>
                </c:pt>
                <c:pt idx="36">
                  <c:v>0.1918238993710692</c:v>
                </c:pt>
                <c:pt idx="37">
                  <c:v>0.19266055045871561</c:v>
                </c:pt>
                <c:pt idx="38">
                  <c:v>0.19461077844311378</c:v>
                </c:pt>
                <c:pt idx="39">
                  <c:v>0.19142857142857142</c:v>
                </c:pt>
                <c:pt idx="40">
                  <c:v>0.199438202247191</c:v>
                </c:pt>
                <c:pt idx="41">
                  <c:v>0.20110192837465565</c:v>
                </c:pt>
                <c:pt idx="42">
                  <c:v>0.19786096256684493</c:v>
                </c:pt>
                <c:pt idx="43">
                  <c:v>0.2</c:v>
                </c:pt>
                <c:pt idx="44">
                  <c:v>0.19587628865979381</c:v>
                </c:pt>
                <c:pt idx="45">
                  <c:v>0.20253164556962025</c:v>
                </c:pt>
                <c:pt idx="46">
                  <c:v>0.20099255583126552</c:v>
                </c:pt>
                <c:pt idx="47">
                  <c:v>0.20098039215686275</c:v>
                </c:pt>
                <c:pt idx="48">
                  <c:v>0.19951923076923078</c:v>
                </c:pt>
                <c:pt idx="49">
                  <c:v>0.20476190476190476</c:v>
                </c:pt>
                <c:pt idx="50">
                  <c:v>0.20046620046620048</c:v>
                </c:pt>
                <c:pt idx="51">
                  <c:v>0.20091324200913241</c:v>
                </c:pt>
                <c:pt idx="52">
                  <c:v>0.19910514541387025</c:v>
                </c:pt>
                <c:pt idx="53">
                  <c:v>0.19823788546255505</c:v>
                </c:pt>
                <c:pt idx="54">
                  <c:v>0.1961206896551724</c:v>
                </c:pt>
                <c:pt idx="55">
                  <c:v>0.19829424307036247</c:v>
                </c:pt>
                <c:pt idx="56">
                  <c:v>0.19624217118997914</c:v>
                </c:pt>
                <c:pt idx="57">
                  <c:v>0.19753086419753085</c:v>
                </c:pt>
                <c:pt idx="58">
                  <c:v>0.19797979797979798</c:v>
                </c:pt>
                <c:pt idx="59">
                  <c:v>0.19483101391650098</c:v>
                </c:pt>
                <c:pt idx="60">
                  <c:v>0.19685039370078741</c:v>
                </c:pt>
                <c:pt idx="61">
                  <c:v>0.19498069498069498</c:v>
                </c:pt>
                <c:pt idx="62">
                  <c:v>0.19885277246653921</c:v>
                </c:pt>
                <c:pt idx="63">
                  <c:v>0.19330855018587362</c:v>
                </c:pt>
                <c:pt idx="64">
                  <c:v>0.19266055045871561</c:v>
                </c:pt>
                <c:pt idx="65">
                  <c:v>0.18894830659536541</c:v>
                </c:pt>
                <c:pt idx="66">
                  <c:v>0.19022687609075042</c:v>
                </c:pt>
                <c:pt idx="67">
                  <c:v>0.18965517241379309</c:v>
                </c:pt>
                <c:pt idx="68">
                  <c:v>0.18877551020408162</c:v>
                </c:pt>
                <c:pt idx="69">
                  <c:v>0.18592964824120603</c:v>
                </c:pt>
                <c:pt idx="70">
                  <c:v>0.18512396694214875</c:v>
                </c:pt>
                <c:pt idx="71">
                  <c:v>0.18657937806873978</c:v>
                </c:pt>
                <c:pt idx="72">
                  <c:v>0.18638573743922204</c:v>
                </c:pt>
                <c:pt idx="73">
                  <c:v>0.18619582664526485</c:v>
                </c:pt>
                <c:pt idx="74">
                  <c:v>0.18949044585987262</c:v>
                </c:pt>
                <c:pt idx="75">
                  <c:v>0.18965517241379309</c:v>
                </c:pt>
                <c:pt idx="76">
                  <c:v>0.18885448916408668</c:v>
                </c:pt>
                <c:pt idx="77">
                  <c:v>0.18654434250764526</c:v>
                </c:pt>
                <c:pt idx="78">
                  <c:v>0.18541033434650456</c:v>
                </c:pt>
                <c:pt idx="79">
                  <c:v>0.18479880774962743</c:v>
                </c:pt>
                <c:pt idx="80">
                  <c:v>0.19089574155653452</c:v>
                </c:pt>
                <c:pt idx="81">
                  <c:v>0.19102749638205499</c:v>
                </c:pt>
                <c:pt idx="82">
                  <c:v>0.19428571428571428</c:v>
                </c:pt>
                <c:pt idx="83">
                  <c:v>0.19519094766619519</c:v>
                </c:pt>
                <c:pt idx="84">
                  <c:v>0.19635343618513323</c:v>
                </c:pt>
                <c:pt idx="85">
                  <c:v>0.19613259668508287</c:v>
                </c:pt>
                <c:pt idx="86">
                  <c:v>0.19398907103825136</c:v>
                </c:pt>
                <c:pt idx="87">
                  <c:v>0.19241192411924118</c:v>
                </c:pt>
                <c:pt idx="88">
                  <c:v>0.1901595744680851</c:v>
                </c:pt>
                <c:pt idx="89">
                  <c:v>0.18865435356200527</c:v>
                </c:pt>
                <c:pt idx="90">
                  <c:v>0.18936446173800259</c:v>
                </c:pt>
                <c:pt idx="91">
                  <c:v>0.19151670951156813</c:v>
                </c:pt>
                <c:pt idx="92">
                  <c:v>0.19338422391857507</c:v>
                </c:pt>
                <c:pt idx="93">
                  <c:v>0.19546027742749053</c:v>
                </c:pt>
                <c:pt idx="94">
                  <c:v>0.19899874843554444</c:v>
                </c:pt>
                <c:pt idx="95">
                  <c:v>0.19727047146401985</c:v>
                </c:pt>
                <c:pt idx="96">
                  <c:v>0.19631901840490798</c:v>
                </c:pt>
                <c:pt idx="97">
                  <c:v>0.19559902200488999</c:v>
                </c:pt>
                <c:pt idx="98">
                  <c:v>0.19588875453446192</c:v>
                </c:pt>
                <c:pt idx="99">
                  <c:v>0.19640718562874251</c:v>
                </c:pt>
                <c:pt idx="100">
                  <c:v>0.19833729216152018</c:v>
                </c:pt>
                <c:pt idx="101">
                  <c:v>0.19811320754716982</c:v>
                </c:pt>
                <c:pt idx="102">
                  <c:v>0.19859813084112149</c:v>
                </c:pt>
                <c:pt idx="103">
                  <c:v>0.19907407407407407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14307658547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ただ2!$I$3:$I$106</c:f>
              <c:numCache>
                <c:formatCode>0</c:formatCode>
                <c:ptCount val="104"/>
                <c:pt idx="1">
                  <c:v>7300</c:v>
                </c:pt>
                <c:pt idx="2">
                  <c:v>9320</c:v>
                </c:pt>
                <c:pt idx="3">
                  <c:v>9320</c:v>
                </c:pt>
                <c:pt idx="4">
                  <c:v>7788.8888888888887</c:v>
                </c:pt>
                <c:pt idx="5">
                  <c:v>8275</c:v>
                </c:pt>
                <c:pt idx="6">
                  <c:v>6964.7058823529414</c:v>
                </c:pt>
                <c:pt idx="7">
                  <c:v>7900</c:v>
                </c:pt>
                <c:pt idx="8">
                  <c:v>7566.666666666667</c:v>
                </c:pt>
                <c:pt idx="9">
                  <c:v>7584</c:v>
                </c:pt>
                <c:pt idx="10">
                  <c:v>7389.6551724137935</c:v>
                </c:pt>
                <c:pt idx="11">
                  <c:v>7743.333333333333</c:v>
                </c:pt>
                <c:pt idx="12">
                  <c:v>7385.2941176470586</c:v>
                </c:pt>
                <c:pt idx="13">
                  <c:v>7641.666666666667</c:v>
                </c:pt>
                <c:pt idx="14">
                  <c:v>7651.3513513513517</c:v>
                </c:pt>
                <c:pt idx="15">
                  <c:v>7475</c:v>
                </c:pt>
                <c:pt idx="16">
                  <c:v>7585.3658536585363</c:v>
                </c:pt>
                <c:pt idx="17">
                  <c:v>7584.4444444444443</c:v>
                </c:pt>
                <c:pt idx="18">
                  <c:v>8063.2653061224491</c:v>
                </c:pt>
                <c:pt idx="19">
                  <c:v>8021.5686274509808</c:v>
                </c:pt>
                <c:pt idx="20">
                  <c:v>8237.5</c:v>
                </c:pt>
                <c:pt idx="21">
                  <c:v>8355</c:v>
                </c:pt>
                <c:pt idx="22">
                  <c:v>8457.8125</c:v>
                </c:pt>
                <c:pt idx="23">
                  <c:v>8450.7692307692305</c:v>
                </c:pt>
                <c:pt idx="24">
                  <c:v>8450.7692307692305</c:v>
                </c:pt>
                <c:pt idx="25">
                  <c:v>8664.7058823529405</c:v>
                </c:pt>
                <c:pt idx="26">
                  <c:v>8577.4647887323936</c:v>
                </c:pt>
                <c:pt idx="27">
                  <c:v>8513.8888888888887</c:v>
                </c:pt>
                <c:pt idx="28">
                  <c:v>8447.3684210526317</c:v>
                </c:pt>
                <c:pt idx="29">
                  <c:v>8617.5</c:v>
                </c:pt>
                <c:pt idx="30">
                  <c:v>8714.2857142857138</c:v>
                </c:pt>
                <c:pt idx="31">
                  <c:v>8625.5555555555547</c:v>
                </c:pt>
                <c:pt idx="32">
                  <c:v>8829.347826086956</c:v>
                </c:pt>
                <c:pt idx="33">
                  <c:v>8754.7368421052633</c:v>
                </c:pt>
                <c:pt idx="34">
                  <c:v>8783</c:v>
                </c:pt>
                <c:pt idx="35">
                  <c:v>8775.2475247524744</c:v>
                </c:pt>
                <c:pt idx="36">
                  <c:v>8727.4509803921574</c:v>
                </c:pt>
                <c:pt idx="37">
                  <c:v>8625.961538461539</c:v>
                </c:pt>
                <c:pt idx="38">
                  <c:v>8576.4150943396235</c:v>
                </c:pt>
                <c:pt idx="39">
                  <c:v>8688.181818181818</c:v>
                </c:pt>
                <c:pt idx="40">
                  <c:v>8645.0450450450444</c:v>
                </c:pt>
                <c:pt idx="41">
                  <c:v>8772.5663716814161</c:v>
                </c:pt>
                <c:pt idx="42">
                  <c:v>8828.5714285714294</c:v>
                </c:pt>
                <c:pt idx="43">
                  <c:v>8802.4590163934427</c:v>
                </c:pt>
                <c:pt idx="44">
                  <c:v>8659.5238095238092</c:v>
                </c:pt>
                <c:pt idx="45">
                  <c:v>8654.3307086614168</c:v>
                </c:pt>
                <c:pt idx="46">
                  <c:v>8727.34375</c:v>
                </c:pt>
                <c:pt idx="47">
                  <c:v>8787.121212121212</c:v>
                </c:pt>
                <c:pt idx="48">
                  <c:v>8746.6666666666661</c:v>
                </c:pt>
                <c:pt idx="49">
                  <c:v>8746.6666666666661</c:v>
                </c:pt>
                <c:pt idx="50">
                  <c:v>8680.5755395683445</c:v>
                </c:pt>
                <c:pt idx="51">
                  <c:v>8604.1958041958042</c:v>
                </c:pt>
                <c:pt idx="52">
                  <c:v>8548.299319727892</c:v>
                </c:pt>
                <c:pt idx="53">
                  <c:v>8543.3333333333339</c:v>
                </c:pt>
                <c:pt idx="54">
                  <c:v>8450</c:v>
                </c:pt>
                <c:pt idx="55">
                  <c:v>8450</c:v>
                </c:pt>
                <c:pt idx="56">
                  <c:v>8468.7898089171977</c:v>
                </c:pt>
                <c:pt idx="57">
                  <c:v>8425.7861635220124</c:v>
                </c:pt>
                <c:pt idx="58">
                  <c:v>8573.125</c:v>
                </c:pt>
                <c:pt idx="59">
                  <c:v>8544.0993788819869</c:v>
                </c:pt>
                <c:pt idx="60">
                  <c:v>8544.0993788819869</c:v>
                </c:pt>
                <c:pt idx="61">
                  <c:v>8613.939393939394</c:v>
                </c:pt>
                <c:pt idx="62">
                  <c:v>8613.939393939394</c:v>
                </c:pt>
                <c:pt idx="63">
                  <c:v>8547.0930232558148</c:v>
                </c:pt>
                <c:pt idx="64">
                  <c:v>8517.8160919540223</c:v>
                </c:pt>
                <c:pt idx="65">
                  <c:v>8533.5195530726251</c:v>
                </c:pt>
                <c:pt idx="66">
                  <c:v>8550.8196721311469</c:v>
                </c:pt>
                <c:pt idx="67">
                  <c:v>8629.72972972973</c:v>
                </c:pt>
                <c:pt idx="68">
                  <c:v>8719.6808510638293</c:v>
                </c:pt>
                <c:pt idx="69">
                  <c:v>8712.953367875647</c:v>
                </c:pt>
                <c:pt idx="70">
                  <c:v>8686.224489795919</c:v>
                </c:pt>
                <c:pt idx="71">
                  <c:v>8674.6192893401021</c:v>
                </c:pt>
                <c:pt idx="72">
                  <c:v>8663.1313131313127</c:v>
                </c:pt>
                <c:pt idx="73">
                  <c:v>8663</c:v>
                </c:pt>
                <c:pt idx="74">
                  <c:v>8663</c:v>
                </c:pt>
                <c:pt idx="75">
                  <c:v>8712.3152709359601</c:v>
                </c:pt>
                <c:pt idx="76">
                  <c:v>8689.8058252427181</c:v>
                </c:pt>
                <c:pt idx="77">
                  <c:v>8763.7681159420281</c:v>
                </c:pt>
                <c:pt idx="78">
                  <c:v>8734.1346153846152</c:v>
                </c:pt>
                <c:pt idx="79">
                  <c:v>8750.2369668246447</c:v>
                </c:pt>
                <c:pt idx="80">
                  <c:v>8801.401869158879</c:v>
                </c:pt>
                <c:pt idx="81">
                  <c:v>8802.3041474654383</c:v>
                </c:pt>
                <c:pt idx="82">
                  <c:v>8750.454545454546</c:v>
                </c:pt>
                <c:pt idx="83">
                  <c:v>8703.6036036036039</c:v>
                </c:pt>
                <c:pt idx="84">
                  <c:v>8703.6036036036039</c:v>
                </c:pt>
                <c:pt idx="85">
                  <c:v>8729.2035398230091</c:v>
                </c:pt>
                <c:pt idx="86">
                  <c:v>8675.9825327510916</c:v>
                </c:pt>
                <c:pt idx="87">
                  <c:v>8681.1158798283268</c:v>
                </c:pt>
                <c:pt idx="88">
                  <c:v>8657.8059071729949</c:v>
                </c:pt>
                <c:pt idx="89">
                  <c:v>8645.606694560669</c:v>
                </c:pt>
                <c:pt idx="90">
                  <c:v>8601.6460905349795</c:v>
                </c:pt>
                <c:pt idx="91">
                  <c:v>8599.1803278688531</c:v>
                </c:pt>
                <c:pt idx="92">
                  <c:v>8595.5102040816328</c:v>
                </c:pt>
                <c:pt idx="93">
                  <c:v>8593.0894308943098</c:v>
                </c:pt>
                <c:pt idx="94">
                  <c:v>8593.0894308943098</c:v>
                </c:pt>
                <c:pt idx="95">
                  <c:v>8564.7773279352223</c:v>
                </c:pt>
                <c:pt idx="96">
                  <c:v>8574.6987951807223</c:v>
                </c:pt>
                <c:pt idx="97">
                  <c:v>8574.6987951807223</c:v>
                </c:pt>
                <c:pt idx="98">
                  <c:v>8601.9920318725108</c:v>
                </c:pt>
                <c:pt idx="99">
                  <c:v>8602.766798418972</c:v>
                </c:pt>
                <c:pt idx="100">
                  <c:v>8584.645669291338</c:v>
                </c:pt>
                <c:pt idx="101">
                  <c:v>8584.645669291338</c:v>
                </c:pt>
                <c:pt idx="102">
                  <c:v>8584.765625</c:v>
                </c:pt>
                <c:pt idx="103">
                  <c:v>8591.8918918918916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9.6872673119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ただ2!$J$3:$J$106</c:f>
              <c:numCache>
                <c:formatCode>0</c:formatCode>
                <c:ptCount val="104"/>
                <c:pt idx="1">
                  <c:v>-9925</c:v>
                </c:pt>
                <c:pt idx="2">
                  <c:v>-7266.666666666667</c:v>
                </c:pt>
                <c:pt idx="3">
                  <c:v>-5775</c:v>
                </c:pt>
                <c:pt idx="4">
                  <c:v>-6020</c:v>
                </c:pt>
                <c:pt idx="5">
                  <c:v>-6008.333333333333</c:v>
                </c:pt>
                <c:pt idx="6">
                  <c:v>-6138.4615384615381</c:v>
                </c:pt>
                <c:pt idx="7">
                  <c:v>-6866.666666666667</c:v>
                </c:pt>
                <c:pt idx="8">
                  <c:v>-8363.1578947368416</c:v>
                </c:pt>
                <c:pt idx="9">
                  <c:v>-8363.1578947368416</c:v>
                </c:pt>
                <c:pt idx="10">
                  <c:v>-8363.1578947368416</c:v>
                </c:pt>
                <c:pt idx="11">
                  <c:v>-8105</c:v>
                </c:pt>
                <c:pt idx="12">
                  <c:v>-8100</c:v>
                </c:pt>
                <c:pt idx="13">
                  <c:v>-7850</c:v>
                </c:pt>
                <c:pt idx="14">
                  <c:v>-8016</c:v>
                </c:pt>
                <c:pt idx="15">
                  <c:v>-7930.7692307692305</c:v>
                </c:pt>
                <c:pt idx="16">
                  <c:v>-8207.1428571428569</c:v>
                </c:pt>
                <c:pt idx="17">
                  <c:v>-8070.9677419354839</c:v>
                </c:pt>
                <c:pt idx="18">
                  <c:v>-8070.9677419354839</c:v>
                </c:pt>
                <c:pt idx="19">
                  <c:v>-7880.5555555555557</c:v>
                </c:pt>
                <c:pt idx="20">
                  <c:v>-7880.5555555555557</c:v>
                </c:pt>
                <c:pt idx="21">
                  <c:v>-7875.6756756756758</c:v>
                </c:pt>
                <c:pt idx="22">
                  <c:v>-7871.0526315789475</c:v>
                </c:pt>
                <c:pt idx="23">
                  <c:v>-7720.5128205128203</c:v>
                </c:pt>
                <c:pt idx="24">
                  <c:v>-7720.5128205128203</c:v>
                </c:pt>
                <c:pt idx="25">
                  <c:v>-7552.5</c:v>
                </c:pt>
                <c:pt idx="26">
                  <c:v>-7352.3809523809523</c:v>
                </c:pt>
                <c:pt idx="27">
                  <c:v>-7222.727272727273</c:v>
                </c:pt>
                <c:pt idx="28">
                  <c:v>-7245.652173913043</c:v>
                </c:pt>
                <c:pt idx="29">
                  <c:v>-7245.652173913043</c:v>
                </c:pt>
                <c:pt idx="30">
                  <c:v>-7412.2448979591836</c:v>
                </c:pt>
                <c:pt idx="31">
                  <c:v>-7592.1568627450979</c:v>
                </c:pt>
                <c:pt idx="32">
                  <c:v>-7592.1568627450979</c:v>
                </c:pt>
                <c:pt idx="33">
                  <c:v>-7392.4528301886794</c:v>
                </c:pt>
                <c:pt idx="34">
                  <c:v>-7270.1754385964914</c:v>
                </c:pt>
                <c:pt idx="35">
                  <c:v>-7221.666666666667</c:v>
                </c:pt>
                <c:pt idx="36">
                  <c:v>-7229.5081967213118</c:v>
                </c:pt>
                <c:pt idx="37">
                  <c:v>-7252.3809523809523</c:v>
                </c:pt>
                <c:pt idx="38">
                  <c:v>-7552.3076923076924</c:v>
                </c:pt>
                <c:pt idx="39">
                  <c:v>-7482.0895522388064</c:v>
                </c:pt>
                <c:pt idx="40">
                  <c:v>-7635.211267605634</c:v>
                </c:pt>
                <c:pt idx="41">
                  <c:v>-7690.41095890411</c:v>
                </c:pt>
                <c:pt idx="42">
                  <c:v>-7629.72972972973</c:v>
                </c:pt>
                <c:pt idx="43">
                  <c:v>-7548.6842105263158</c:v>
                </c:pt>
                <c:pt idx="44">
                  <c:v>-7548.6842105263158</c:v>
                </c:pt>
                <c:pt idx="45">
                  <c:v>-7338.75</c:v>
                </c:pt>
                <c:pt idx="46">
                  <c:v>-7396.2962962962965</c:v>
                </c:pt>
                <c:pt idx="47">
                  <c:v>-7452.4390243902435</c:v>
                </c:pt>
                <c:pt idx="48">
                  <c:v>-7555.4216867469877</c:v>
                </c:pt>
                <c:pt idx="49">
                  <c:v>-7620.9302325581393</c:v>
                </c:pt>
                <c:pt idx="50">
                  <c:v>-7620.9302325581393</c:v>
                </c:pt>
                <c:pt idx="51">
                  <c:v>-7609.090909090909</c:v>
                </c:pt>
                <c:pt idx="52">
                  <c:v>-7658.4269662921351</c:v>
                </c:pt>
                <c:pt idx="53">
                  <c:v>-7616.666666666667</c:v>
                </c:pt>
                <c:pt idx="54">
                  <c:v>-7617.5824175824173</c:v>
                </c:pt>
                <c:pt idx="55">
                  <c:v>-7730.1075268817203</c:v>
                </c:pt>
                <c:pt idx="56">
                  <c:v>-7775.5319148936169</c:v>
                </c:pt>
                <c:pt idx="57">
                  <c:v>-7863.541666666667</c:v>
                </c:pt>
                <c:pt idx="58">
                  <c:v>-7840.8163265306121</c:v>
                </c:pt>
                <c:pt idx="59">
                  <c:v>-7840.8163265306121</c:v>
                </c:pt>
                <c:pt idx="60">
                  <c:v>-7881</c:v>
                </c:pt>
                <c:pt idx="61">
                  <c:v>-7921.7821782178216</c:v>
                </c:pt>
                <c:pt idx="62">
                  <c:v>-7856.7307692307695</c:v>
                </c:pt>
                <c:pt idx="63">
                  <c:v>-7856.7307692307695</c:v>
                </c:pt>
                <c:pt idx="64">
                  <c:v>-7858.0952380952385</c:v>
                </c:pt>
                <c:pt idx="65">
                  <c:v>-7798.1132075471696</c:v>
                </c:pt>
                <c:pt idx="66">
                  <c:v>-7733.9449541284403</c:v>
                </c:pt>
                <c:pt idx="67">
                  <c:v>-7733.636363636364</c:v>
                </c:pt>
                <c:pt idx="68">
                  <c:v>-7736.0360360360364</c:v>
                </c:pt>
                <c:pt idx="69">
                  <c:v>-7736.0360360360364</c:v>
                </c:pt>
                <c:pt idx="70">
                  <c:v>-7770.5357142857147</c:v>
                </c:pt>
                <c:pt idx="71">
                  <c:v>-7721.9298245614036</c:v>
                </c:pt>
                <c:pt idx="72">
                  <c:v>-7759.130434782609</c:v>
                </c:pt>
                <c:pt idx="73">
                  <c:v>-7725.8620689655172</c:v>
                </c:pt>
                <c:pt idx="74">
                  <c:v>-7815.9663865546217</c:v>
                </c:pt>
                <c:pt idx="75">
                  <c:v>-7829.7520661157023</c:v>
                </c:pt>
                <c:pt idx="76">
                  <c:v>-7828.688524590164</c:v>
                </c:pt>
                <c:pt idx="77">
                  <c:v>-7828.688524590164</c:v>
                </c:pt>
                <c:pt idx="78">
                  <c:v>-7828.688524590164</c:v>
                </c:pt>
                <c:pt idx="79">
                  <c:v>-7805.6451612903229</c:v>
                </c:pt>
                <c:pt idx="80">
                  <c:v>-7803.0769230769229</c:v>
                </c:pt>
                <c:pt idx="81">
                  <c:v>-7725.757575757576</c:v>
                </c:pt>
                <c:pt idx="82">
                  <c:v>-7723.5294117647063</c:v>
                </c:pt>
                <c:pt idx="83">
                  <c:v>-7707.246376811594</c:v>
                </c:pt>
                <c:pt idx="84">
                  <c:v>-7780.7142857142853</c:v>
                </c:pt>
                <c:pt idx="85">
                  <c:v>-7766.1971830985913</c:v>
                </c:pt>
                <c:pt idx="86">
                  <c:v>-7766.1971830985913</c:v>
                </c:pt>
                <c:pt idx="87">
                  <c:v>-7766.1971830985913</c:v>
                </c:pt>
                <c:pt idx="88">
                  <c:v>-7837.7622377622374</c:v>
                </c:pt>
                <c:pt idx="89">
                  <c:v>-7837.7622377622374</c:v>
                </c:pt>
                <c:pt idx="90">
                  <c:v>-7765.0684931506848</c:v>
                </c:pt>
                <c:pt idx="91">
                  <c:v>-7663.0872483221474</c:v>
                </c:pt>
                <c:pt idx="92">
                  <c:v>-7720.394736842105</c:v>
                </c:pt>
                <c:pt idx="93">
                  <c:v>-7749.677419354839</c:v>
                </c:pt>
                <c:pt idx="94">
                  <c:v>-8291.1949685534582</c:v>
                </c:pt>
                <c:pt idx="95">
                  <c:v>-8291.1949685534582</c:v>
                </c:pt>
                <c:pt idx="96">
                  <c:v>-8255.625</c:v>
                </c:pt>
                <c:pt idx="97">
                  <c:v>-8255.625</c:v>
                </c:pt>
                <c:pt idx="98">
                  <c:v>-8314.1975308641977</c:v>
                </c:pt>
                <c:pt idx="99">
                  <c:v>-8248.1707317073178</c:v>
                </c:pt>
                <c:pt idx="100">
                  <c:v>-8206.5868263473058</c:v>
                </c:pt>
                <c:pt idx="101">
                  <c:v>-8205.3571428571431</c:v>
                </c:pt>
                <c:pt idx="102">
                  <c:v>-8178.8235294117649</c:v>
                </c:pt>
                <c:pt idx="103">
                  <c:v>-8168.604651162791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9.06417112299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ただ2!$K$3:$K$106</c:f>
              <c:numCache>
                <c:formatCode>0.0%</c:formatCode>
                <c:ptCount val="10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0.14285714285714285</c:v>
                </c:pt>
                <c:pt idx="43">
                  <c:v>0.13953488372093023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0.14285714285714285</c:v>
                </c:pt>
                <c:pt idx="50">
                  <c:v>0.14000000000000001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0.14545454545454545</c:v>
                </c:pt>
                <c:pt idx="56">
                  <c:v>0.14285714285714285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0.16129032258064516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0.14864864864864866</c:v>
                </c:pt>
                <c:pt idx="75">
                  <c:v>0.14666666666666667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0.13636363636363635</c:v>
                </c:pt>
                <c:pt idx="89">
                  <c:v>0.1348314606741573</c:v>
                </c:pt>
                <c:pt idx="90">
                  <c:v>0.13333333333333333</c:v>
                </c:pt>
                <c:pt idx="91">
                  <c:v>0.13186813186813187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0.14893617021276595</c:v>
                </c:pt>
                <c:pt idx="95">
                  <c:v>0.14736842105263157</c:v>
                </c:pt>
                <c:pt idx="96">
                  <c:v>0.14583333333333334</c:v>
                </c:pt>
                <c:pt idx="97">
                  <c:v>0.14432989690721648</c:v>
                </c:pt>
                <c:pt idx="98">
                  <c:v>0.14285714285714285</c:v>
                </c:pt>
                <c:pt idx="99">
                  <c:v>0.14141414141414141</c:v>
                </c:pt>
                <c:pt idx="100">
                  <c:v>0.14000000000000001</c:v>
                </c:pt>
                <c:pt idx="101">
                  <c:v>0.14851485148514851</c:v>
                </c:pt>
                <c:pt idx="102">
                  <c:v>0.14705882352941177</c:v>
                </c:pt>
                <c:pt idx="103">
                  <c:v>0.14563106796116504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ただ2!$L$3:$L$106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0.1</c:v>
                </c:pt>
                <c:pt idx="21">
                  <c:v>0.14285714285714285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0.15789473684210525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0.15555555555555556</c:v>
                </c:pt>
                <c:pt idx="46">
                  <c:v>0.15217391304347827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0.16</c:v>
                </c:pt>
                <c:pt idx="51">
                  <c:v>0.15686274509803921</c:v>
                </c:pt>
                <c:pt idx="52">
                  <c:v>0.15384615384615385</c:v>
                </c:pt>
                <c:pt idx="53">
                  <c:v>0.15094339622641509</c:v>
                </c:pt>
                <c:pt idx="54">
                  <c:v>0.14814814814814814</c:v>
                </c:pt>
                <c:pt idx="55">
                  <c:v>0.14545454545454545</c:v>
                </c:pt>
                <c:pt idx="56">
                  <c:v>0.14285714285714285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0.13333333333333333</c:v>
                </c:pt>
                <c:pt idx="61">
                  <c:v>0.13114754098360656</c:v>
                </c:pt>
                <c:pt idx="62">
                  <c:v>0.12903225806451613</c:v>
                </c:pt>
                <c:pt idx="63">
                  <c:v>0.12698412698412698</c:v>
                </c:pt>
                <c:pt idx="64">
                  <c:v>0.125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0.11940298507462686</c:v>
                </c:pt>
                <c:pt idx="68">
                  <c:v>0.11764705882352941</c:v>
                </c:pt>
                <c:pt idx="69">
                  <c:v>0.11594202898550725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0.1111111111111111</c:v>
                </c:pt>
                <c:pt idx="73">
                  <c:v>0.1095890410958904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0.10256410256410256</c:v>
                </c:pt>
                <c:pt idx="79">
                  <c:v>0.10126582278481013</c:v>
                </c:pt>
                <c:pt idx="80">
                  <c:v>0.1</c:v>
                </c:pt>
                <c:pt idx="81">
                  <c:v>9.8765432098765427E-2</c:v>
                </c:pt>
                <c:pt idx="82">
                  <c:v>9.7560975609756101E-2</c:v>
                </c:pt>
                <c:pt idx="83">
                  <c:v>9.6385542168674704E-2</c:v>
                </c:pt>
                <c:pt idx="84">
                  <c:v>9.5238095238095233E-2</c:v>
                </c:pt>
                <c:pt idx="85">
                  <c:v>0.10588235294117647</c:v>
                </c:pt>
                <c:pt idx="86">
                  <c:v>0.10465116279069768</c:v>
                </c:pt>
                <c:pt idx="87">
                  <c:v>0.11494252873563218</c:v>
                </c:pt>
                <c:pt idx="88">
                  <c:v>0.11363636363636363</c:v>
                </c:pt>
                <c:pt idx="89">
                  <c:v>0.11235955056179775</c:v>
                </c:pt>
                <c:pt idx="90">
                  <c:v>0.1111111111111111</c:v>
                </c:pt>
                <c:pt idx="91">
                  <c:v>0.10989010989010989</c:v>
                </c:pt>
                <c:pt idx="92">
                  <c:v>0.10869565217391304</c:v>
                </c:pt>
                <c:pt idx="93">
                  <c:v>0.10752688172043011</c:v>
                </c:pt>
                <c:pt idx="94">
                  <c:v>0.10638297872340426</c:v>
                </c:pt>
                <c:pt idx="95">
                  <c:v>0.10526315789473684</c:v>
                </c:pt>
                <c:pt idx="96">
                  <c:v>0.10416666666666667</c:v>
                </c:pt>
                <c:pt idx="97">
                  <c:v>0.10309278350515463</c:v>
                </c:pt>
                <c:pt idx="98">
                  <c:v>0.10204081632653061</c:v>
                </c:pt>
                <c:pt idx="99">
                  <c:v>0.10101010101010101</c:v>
                </c:pt>
                <c:pt idx="100">
                  <c:v>0.1</c:v>
                </c:pt>
                <c:pt idx="101">
                  <c:v>9.9009900990099015E-2</c:v>
                </c:pt>
                <c:pt idx="102">
                  <c:v>9.8039215686274508E-2</c:v>
                </c:pt>
                <c:pt idx="103">
                  <c:v>9.7087378640776698E-2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ただ2!$M$3:$M$106</c:f>
              <c:numCache>
                <c:formatCode>0.0%</c:formatCode>
                <c:ptCount val="104"/>
                <c:pt idx="1">
                  <c:v>0.4</c:v>
                </c:pt>
                <c:pt idx="2">
                  <c:v>0.47368421052631576</c:v>
                </c:pt>
                <c:pt idx="3">
                  <c:v>0.34615384615384615</c:v>
                </c:pt>
                <c:pt idx="4">
                  <c:v>0.35294117647058826</c:v>
                </c:pt>
                <c:pt idx="5">
                  <c:v>0.31707317073170732</c:v>
                </c:pt>
                <c:pt idx="6">
                  <c:v>0.26</c:v>
                </c:pt>
                <c:pt idx="7">
                  <c:v>0.25</c:v>
                </c:pt>
                <c:pt idx="8">
                  <c:v>0.24</c:v>
                </c:pt>
                <c:pt idx="9">
                  <c:v>0.23529411764705882</c:v>
                </c:pt>
                <c:pt idx="10">
                  <c:v>0.24468085106382978</c:v>
                </c:pt>
                <c:pt idx="11">
                  <c:v>0.25242718446601942</c:v>
                </c:pt>
                <c:pt idx="12">
                  <c:v>0.25663716814159293</c:v>
                </c:pt>
                <c:pt idx="13">
                  <c:v>0.24793388429752067</c:v>
                </c:pt>
                <c:pt idx="14">
                  <c:v>0.24427480916030533</c:v>
                </c:pt>
                <c:pt idx="15">
                  <c:v>0.23571428571428571</c:v>
                </c:pt>
                <c:pt idx="16">
                  <c:v>0.22818791946308725</c:v>
                </c:pt>
                <c:pt idx="17">
                  <c:v>0.21249999999999999</c:v>
                </c:pt>
                <c:pt idx="18">
                  <c:v>0.2073170731707317</c:v>
                </c:pt>
                <c:pt idx="19">
                  <c:v>0.20689655172413793</c:v>
                </c:pt>
                <c:pt idx="20">
                  <c:v>0.20765027322404372</c:v>
                </c:pt>
                <c:pt idx="21">
                  <c:v>0.20103092783505155</c:v>
                </c:pt>
                <c:pt idx="22">
                  <c:v>0.1951219512195122</c:v>
                </c:pt>
                <c:pt idx="23">
                  <c:v>0.19158878504672897</c:v>
                </c:pt>
                <c:pt idx="24">
                  <c:v>0.19069767441860466</c:v>
                </c:pt>
                <c:pt idx="25">
                  <c:v>0.19369369369369369</c:v>
                </c:pt>
                <c:pt idx="26">
                  <c:v>0.19130434782608696</c:v>
                </c:pt>
                <c:pt idx="27">
                  <c:v>0.189873417721519</c:v>
                </c:pt>
                <c:pt idx="28">
                  <c:v>0.19591836734693877</c:v>
                </c:pt>
                <c:pt idx="29">
                  <c:v>0.19920318725099601</c:v>
                </c:pt>
                <c:pt idx="30">
                  <c:v>0.2</c:v>
                </c:pt>
                <c:pt idx="31">
                  <c:v>0.21033210332103322</c:v>
                </c:pt>
                <c:pt idx="32">
                  <c:v>0.21014492753623187</c:v>
                </c:pt>
                <c:pt idx="33">
                  <c:v>0.21527777777777779</c:v>
                </c:pt>
                <c:pt idx="34">
                  <c:v>0.21333333333333335</c:v>
                </c:pt>
                <c:pt idx="35">
                  <c:v>0.21612903225806451</c:v>
                </c:pt>
                <c:pt idx="36">
                  <c:v>0.21698113207547171</c:v>
                </c:pt>
                <c:pt idx="37">
                  <c:v>0.21100917431192662</c:v>
                </c:pt>
                <c:pt idx="38">
                  <c:v>0.21257485029940121</c:v>
                </c:pt>
                <c:pt idx="39">
                  <c:v>0.22</c:v>
                </c:pt>
                <c:pt idx="40">
                  <c:v>0.21629213483146068</c:v>
                </c:pt>
                <c:pt idx="41">
                  <c:v>0.21487603305785125</c:v>
                </c:pt>
                <c:pt idx="42">
                  <c:v>0.22192513368983957</c:v>
                </c:pt>
                <c:pt idx="43">
                  <c:v>0.22894736842105262</c:v>
                </c:pt>
                <c:pt idx="44">
                  <c:v>0.23195876288659795</c:v>
                </c:pt>
                <c:pt idx="45">
                  <c:v>0.23291139240506328</c:v>
                </c:pt>
                <c:pt idx="46">
                  <c:v>0.23325062034739455</c:v>
                </c:pt>
                <c:pt idx="47">
                  <c:v>0.23774509803921567</c:v>
                </c:pt>
                <c:pt idx="48">
                  <c:v>0.23798076923076922</c:v>
                </c:pt>
                <c:pt idx="49">
                  <c:v>0.23571428571428571</c:v>
                </c:pt>
                <c:pt idx="50">
                  <c:v>0.23543123543123542</c:v>
                </c:pt>
                <c:pt idx="51">
                  <c:v>0.23744292237442921</c:v>
                </c:pt>
                <c:pt idx="52">
                  <c:v>0.24161073825503357</c:v>
                </c:pt>
                <c:pt idx="53">
                  <c:v>0.24449339207048459</c:v>
                </c:pt>
                <c:pt idx="54">
                  <c:v>0.23922413793103448</c:v>
                </c:pt>
                <c:pt idx="55">
                  <c:v>0.23880597014925373</c:v>
                </c:pt>
                <c:pt idx="56">
                  <c:v>0.23590814196242171</c:v>
                </c:pt>
                <c:pt idx="57">
                  <c:v>0.23456790123456789</c:v>
                </c:pt>
                <c:pt idx="58">
                  <c:v>0.23232323232323232</c:v>
                </c:pt>
                <c:pt idx="59">
                  <c:v>0.23061630218687873</c:v>
                </c:pt>
                <c:pt idx="60">
                  <c:v>0.23228346456692914</c:v>
                </c:pt>
                <c:pt idx="61">
                  <c:v>0.2335907335907336</c:v>
                </c:pt>
                <c:pt idx="62">
                  <c:v>0.23709369024856597</c:v>
                </c:pt>
                <c:pt idx="63">
                  <c:v>0.2342007434944238</c:v>
                </c:pt>
                <c:pt idx="64">
                  <c:v>0.23302752293577983</c:v>
                </c:pt>
                <c:pt idx="65">
                  <c:v>0.22816399286987521</c:v>
                </c:pt>
                <c:pt idx="66">
                  <c:v>0.2268760907504363</c:v>
                </c:pt>
                <c:pt idx="67">
                  <c:v>0.22758620689655173</c:v>
                </c:pt>
                <c:pt idx="68">
                  <c:v>0.22789115646258504</c:v>
                </c:pt>
                <c:pt idx="69">
                  <c:v>0.22613065326633167</c:v>
                </c:pt>
                <c:pt idx="70">
                  <c:v>0.22644628099173553</c:v>
                </c:pt>
                <c:pt idx="71">
                  <c:v>0.22585924713584288</c:v>
                </c:pt>
                <c:pt idx="72">
                  <c:v>0.22528363047001621</c:v>
                </c:pt>
                <c:pt idx="73">
                  <c:v>0.22792937399678972</c:v>
                </c:pt>
                <c:pt idx="74">
                  <c:v>0.22770700636942676</c:v>
                </c:pt>
                <c:pt idx="75">
                  <c:v>0.2304075235109718</c:v>
                </c:pt>
                <c:pt idx="76">
                  <c:v>0.22910216718266255</c:v>
                </c:pt>
                <c:pt idx="77">
                  <c:v>0.23088685015290519</c:v>
                </c:pt>
                <c:pt idx="78">
                  <c:v>0.23100303951367782</c:v>
                </c:pt>
                <c:pt idx="79">
                  <c:v>0.22950819672131148</c:v>
                </c:pt>
                <c:pt idx="80">
                  <c:v>0.23201174743024963</c:v>
                </c:pt>
                <c:pt idx="81">
                  <c:v>0.23010130246020261</c:v>
                </c:pt>
                <c:pt idx="82">
                  <c:v>0.22857142857142856</c:v>
                </c:pt>
                <c:pt idx="83">
                  <c:v>0.22913719943422914</c:v>
                </c:pt>
                <c:pt idx="84">
                  <c:v>0.23001402524544179</c:v>
                </c:pt>
                <c:pt idx="85">
                  <c:v>0.23204419889502761</c:v>
                </c:pt>
                <c:pt idx="86">
                  <c:v>0.23087431693989072</c:v>
                </c:pt>
                <c:pt idx="87">
                  <c:v>0.22899728997289973</c:v>
                </c:pt>
                <c:pt idx="88">
                  <c:v>0.22739361702127658</c:v>
                </c:pt>
                <c:pt idx="89">
                  <c:v>0.22823218997361477</c:v>
                </c:pt>
                <c:pt idx="90">
                  <c:v>0.23216601815823606</c:v>
                </c:pt>
                <c:pt idx="91">
                  <c:v>0.2326478149100257</c:v>
                </c:pt>
                <c:pt idx="92">
                  <c:v>0.2340966921119593</c:v>
                </c:pt>
                <c:pt idx="93">
                  <c:v>0.23707440100882723</c:v>
                </c:pt>
                <c:pt idx="94">
                  <c:v>0.23654568210262827</c:v>
                </c:pt>
                <c:pt idx="95">
                  <c:v>0.23449131513647642</c:v>
                </c:pt>
                <c:pt idx="96">
                  <c:v>0.2343558282208589</c:v>
                </c:pt>
                <c:pt idx="97">
                  <c:v>0.2334963325183374</c:v>
                </c:pt>
                <c:pt idx="98">
                  <c:v>0.23458282950423218</c:v>
                </c:pt>
                <c:pt idx="99">
                  <c:v>0.2347305389221557</c:v>
                </c:pt>
                <c:pt idx="100">
                  <c:v>0.23515439429928742</c:v>
                </c:pt>
                <c:pt idx="101">
                  <c:v>0.23349056603773585</c:v>
                </c:pt>
                <c:pt idx="102">
                  <c:v>0.23481308411214954</c:v>
                </c:pt>
                <c:pt idx="103">
                  <c:v>0.23495370370370369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55343427693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ただ2!$N$3:$N$106</c:f>
              <c:numCache>
                <c:formatCode>0.0%</c:formatCode>
                <c:ptCount val="104"/>
                <c:pt idx="1">
                  <c:v>0.3</c:v>
                </c:pt>
                <c:pt idx="2">
                  <c:v>0.21052631578947367</c:v>
                </c:pt>
                <c:pt idx="3">
                  <c:v>0.15384615384615385</c:v>
                </c:pt>
                <c:pt idx="4">
                  <c:v>0.17647058823529413</c:v>
                </c:pt>
                <c:pt idx="5">
                  <c:v>0.1951219512195122</c:v>
                </c:pt>
                <c:pt idx="6">
                  <c:v>0.22</c:v>
                </c:pt>
                <c:pt idx="7">
                  <c:v>0.21875</c:v>
                </c:pt>
                <c:pt idx="8">
                  <c:v>0.22666666666666666</c:v>
                </c:pt>
                <c:pt idx="9">
                  <c:v>0.23529411764705882</c:v>
                </c:pt>
                <c:pt idx="10">
                  <c:v>0.25531914893617019</c:v>
                </c:pt>
                <c:pt idx="11">
                  <c:v>0.25242718446601942</c:v>
                </c:pt>
                <c:pt idx="12">
                  <c:v>0.24778761061946902</c:v>
                </c:pt>
                <c:pt idx="13">
                  <c:v>0.23966942148760331</c:v>
                </c:pt>
                <c:pt idx="14">
                  <c:v>0.24427480916030533</c:v>
                </c:pt>
                <c:pt idx="15">
                  <c:v>0.25</c:v>
                </c:pt>
                <c:pt idx="16">
                  <c:v>0.25503355704697989</c:v>
                </c:pt>
                <c:pt idx="17">
                  <c:v>0.25624999999999998</c:v>
                </c:pt>
                <c:pt idx="18">
                  <c:v>0.27439024390243905</c:v>
                </c:pt>
                <c:pt idx="19">
                  <c:v>0.27586206896551724</c:v>
                </c:pt>
                <c:pt idx="20">
                  <c:v>0.27868852459016391</c:v>
                </c:pt>
                <c:pt idx="21">
                  <c:v>0.29381443298969073</c:v>
                </c:pt>
                <c:pt idx="22">
                  <c:v>0.3073170731707317</c:v>
                </c:pt>
                <c:pt idx="23">
                  <c:v>0.29906542056074764</c:v>
                </c:pt>
                <c:pt idx="24">
                  <c:v>0.29767441860465116</c:v>
                </c:pt>
                <c:pt idx="25">
                  <c:v>0.29729729729729731</c:v>
                </c:pt>
                <c:pt idx="26">
                  <c:v>0.29565217391304349</c:v>
                </c:pt>
                <c:pt idx="27">
                  <c:v>0.29535864978902954</c:v>
                </c:pt>
                <c:pt idx="28">
                  <c:v>0.29387755102040819</c:v>
                </c:pt>
                <c:pt idx="29">
                  <c:v>0.29482071713147412</c:v>
                </c:pt>
                <c:pt idx="30">
                  <c:v>0.30384615384615382</c:v>
                </c:pt>
                <c:pt idx="31">
                  <c:v>0.30627306273062732</c:v>
                </c:pt>
                <c:pt idx="32">
                  <c:v>0.30434782608695654</c:v>
                </c:pt>
                <c:pt idx="33">
                  <c:v>0.30902777777777779</c:v>
                </c:pt>
                <c:pt idx="34">
                  <c:v>0.32333333333333331</c:v>
                </c:pt>
                <c:pt idx="35">
                  <c:v>0.32258064516129031</c:v>
                </c:pt>
                <c:pt idx="36">
                  <c:v>0.330188679245283</c:v>
                </c:pt>
                <c:pt idx="37">
                  <c:v>0.3363914373088685</c:v>
                </c:pt>
                <c:pt idx="38">
                  <c:v>0.33532934131736525</c:v>
                </c:pt>
                <c:pt idx="39">
                  <c:v>0.3342857142857143</c:v>
                </c:pt>
                <c:pt idx="40">
                  <c:v>0.3342696629213483</c:v>
                </c:pt>
                <c:pt idx="41">
                  <c:v>0.33608815426997246</c:v>
                </c:pt>
                <c:pt idx="42">
                  <c:v>0.33155080213903743</c:v>
                </c:pt>
                <c:pt idx="43">
                  <c:v>0.32894736842105265</c:v>
                </c:pt>
                <c:pt idx="44">
                  <c:v>0.32731958762886598</c:v>
                </c:pt>
                <c:pt idx="45">
                  <c:v>0.32658227848101268</c:v>
                </c:pt>
                <c:pt idx="46">
                  <c:v>0.32754342431761785</c:v>
                </c:pt>
                <c:pt idx="47">
                  <c:v>0.3235294117647059</c:v>
                </c:pt>
                <c:pt idx="48">
                  <c:v>0.31971153846153844</c:v>
                </c:pt>
                <c:pt idx="49">
                  <c:v>0.31904761904761902</c:v>
                </c:pt>
                <c:pt idx="50">
                  <c:v>0.32167832167832167</c:v>
                </c:pt>
                <c:pt idx="51">
                  <c:v>0.32420091324200911</c:v>
                </c:pt>
                <c:pt idx="52">
                  <c:v>0.32214765100671139</c:v>
                </c:pt>
                <c:pt idx="53">
                  <c:v>0.32158590308370044</c:v>
                </c:pt>
                <c:pt idx="54">
                  <c:v>0.32112068965517243</c:v>
                </c:pt>
                <c:pt idx="55">
                  <c:v>0.31982942430703626</c:v>
                </c:pt>
                <c:pt idx="56">
                  <c:v>0.32150313152400833</c:v>
                </c:pt>
                <c:pt idx="57">
                  <c:v>0.31893004115226337</c:v>
                </c:pt>
                <c:pt idx="58">
                  <c:v>0.31919191919191919</c:v>
                </c:pt>
                <c:pt idx="59">
                  <c:v>0.31610337972166996</c:v>
                </c:pt>
                <c:pt idx="60">
                  <c:v>0.31496062992125984</c:v>
                </c:pt>
                <c:pt idx="61">
                  <c:v>0.31853281853281851</c:v>
                </c:pt>
                <c:pt idx="62">
                  <c:v>0.31739961759082219</c:v>
                </c:pt>
                <c:pt idx="63">
                  <c:v>0.31412639405204462</c:v>
                </c:pt>
                <c:pt idx="64">
                  <c:v>0.31559633027522938</c:v>
                </c:pt>
                <c:pt idx="65">
                  <c:v>0.3172905525846702</c:v>
                </c:pt>
                <c:pt idx="66">
                  <c:v>0.32286212914485168</c:v>
                </c:pt>
                <c:pt idx="67">
                  <c:v>0.32241379310344825</c:v>
                </c:pt>
                <c:pt idx="68">
                  <c:v>0.32142857142857145</c:v>
                </c:pt>
                <c:pt idx="69">
                  <c:v>0.32160804020100503</c:v>
                </c:pt>
                <c:pt idx="70">
                  <c:v>0.31900826446280994</c:v>
                </c:pt>
                <c:pt idx="71">
                  <c:v>0.31914893617021278</c:v>
                </c:pt>
                <c:pt idx="72">
                  <c:v>0.31604538087520262</c:v>
                </c:pt>
                <c:pt idx="73">
                  <c:v>0.3146067415730337</c:v>
                </c:pt>
                <c:pt idx="74">
                  <c:v>0.31210191082802546</c:v>
                </c:pt>
                <c:pt idx="75">
                  <c:v>0.30877742946708464</c:v>
                </c:pt>
                <c:pt idx="76">
                  <c:v>0.30804953560371517</c:v>
                </c:pt>
                <c:pt idx="77">
                  <c:v>0.3058103975535168</c:v>
                </c:pt>
                <c:pt idx="78">
                  <c:v>0.303951367781155</c:v>
                </c:pt>
                <c:pt idx="79">
                  <c:v>0.30253353204172878</c:v>
                </c:pt>
                <c:pt idx="80">
                  <c:v>0.30102790014684289</c:v>
                </c:pt>
                <c:pt idx="81">
                  <c:v>0.29956584659913171</c:v>
                </c:pt>
                <c:pt idx="82">
                  <c:v>0.30285714285714288</c:v>
                </c:pt>
                <c:pt idx="83">
                  <c:v>0.30410183875530411</c:v>
                </c:pt>
                <c:pt idx="84">
                  <c:v>0.30575035063113604</c:v>
                </c:pt>
                <c:pt idx="85">
                  <c:v>0.30524861878453041</c:v>
                </c:pt>
                <c:pt idx="86">
                  <c:v>0.3046448087431694</c:v>
                </c:pt>
                <c:pt idx="87">
                  <c:v>0.30623306233062331</c:v>
                </c:pt>
                <c:pt idx="88">
                  <c:v>0.30718085106382981</c:v>
                </c:pt>
                <c:pt idx="89">
                  <c:v>0.30606860158311344</c:v>
                </c:pt>
                <c:pt idx="90">
                  <c:v>0.30998702983138782</c:v>
                </c:pt>
                <c:pt idx="91">
                  <c:v>0.30976863753213368</c:v>
                </c:pt>
                <c:pt idx="92">
                  <c:v>0.30916030534351147</c:v>
                </c:pt>
                <c:pt idx="93">
                  <c:v>0.30643127364438838</c:v>
                </c:pt>
                <c:pt idx="94">
                  <c:v>0.30663329161451813</c:v>
                </c:pt>
                <c:pt idx="95">
                  <c:v>0.30645161290322581</c:v>
                </c:pt>
                <c:pt idx="96">
                  <c:v>0.30674846625766872</c:v>
                </c:pt>
                <c:pt idx="97">
                  <c:v>0.30562347188264061</c:v>
                </c:pt>
                <c:pt idx="98">
                  <c:v>0.30350665054413545</c:v>
                </c:pt>
                <c:pt idx="99">
                  <c:v>0.30419161676646705</c:v>
                </c:pt>
                <c:pt idx="100">
                  <c:v>0.30403800475059384</c:v>
                </c:pt>
                <c:pt idx="101">
                  <c:v>0.30306603773584906</c:v>
                </c:pt>
                <c:pt idx="102">
                  <c:v>0.30373831775700932</c:v>
                </c:pt>
                <c:pt idx="103">
                  <c:v>0.30324074074074076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536976080754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ただ2!$O$3:$O$106</c:f>
              <c:numCache>
                <c:formatCode>0.0%</c:formatCode>
                <c:ptCount val="104"/>
                <c:pt idx="1">
                  <c:v>0.25</c:v>
                </c:pt>
                <c:pt idx="2">
                  <c:v>0.44444444444444442</c:v>
                </c:pt>
                <c:pt idx="3">
                  <c:v>0.44444444444444442</c:v>
                </c:pt>
                <c:pt idx="4">
                  <c:v>0.58333333333333337</c:v>
                </c:pt>
                <c:pt idx="5">
                  <c:v>0.61538461538461542</c:v>
                </c:pt>
                <c:pt idx="6">
                  <c:v>0.61538461538461542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0.56521739130434778</c:v>
                </c:pt>
                <c:pt idx="11">
                  <c:v>0.53846153846153844</c:v>
                </c:pt>
                <c:pt idx="12">
                  <c:v>0.51724137931034486</c:v>
                </c:pt>
                <c:pt idx="13">
                  <c:v>0.53333333333333333</c:v>
                </c:pt>
                <c:pt idx="14">
                  <c:v>0.5</c:v>
                </c:pt>
                <c:pt idx="15">
                  <c:v>0.51515151515151514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0.52631578947368418</c:v>
                </c:pt>
                <c:pt idx="21">
                  <c:v>0.51282051282051277</c:v>
                </c:pt>
                <c:pt idx="22">
                  <c:v>0.5</c:v>
                </c:pt>
                <c:pt idx="23">
                  <c:v>0.51219512195121952</c:v>
                </c:pt>
                <c:pt idx="24">
                  <c:v>0.51219512195121952</c:v>
                </c:pt>
                <c:pt idx="25">
                  <c:v>0.53488372093023251</c:v>
                </c:pt>
                <c:pt idx="26">
                  <c:v>0.54545454545454541</c:v>
                </c:pt>
                <c:pt idx="27">
                  <c:v>0.55555555555555558</c:v>
                </c:pt>
                <c:pt idx="28">
                  <c:v>0.5625</c:v>
                </c:pt>
                <c:pt idx="29">
                  <c:v>0.57999999999999996</c:v>
                </c:pt>
                <c:pt idx="30">
                  <c:v>0.57692307692307687</c:v>
                </c:pt>
                <c:pt idx="31">
                  <c:v>0.59649122807017541</c:v>
                </c:pt>
                <c:pt idx="32">
                  <c:v>0.58620689655172409</c:v>
                </c:pt>
                <c:pt idx="33">
                  <c:v>0.58064516129032262</c:v>
                </c:pt>
                <c:pt idx="34">
                  <c:v>0.578125</c:v>
                </c:pt>
                <c:pt idx="35">
                  <c:v>0.56716417910447758</c:v>
                </c:pt>
                <c:pt idx="36">
                  <c:v>0.56521739130434778</c:v>
                </c:pt>
                <c:pt idx="37">
                  <c:v>0.56521739130434778</c:v>
                </c:pt>
                <c:pt idx="38">
                  <c:v>0.56338028169014087</c:v>
                </c:pt>
                <c:pt idx="39">
                  <c:v>0.55844155844155841</c:v>
                </c:pt>
                <c:pt idx="40">
                  <c:v>0.55844155844155841</c:v>
                </c:pt>
                <c:pt idx="41">
                  <c:v>0.5641025641025641</c:v>
                </c:pt>
                <c:pt idx="42">
                  <c:v>0.57831325301204817</c:v>
                </c:pt>
                <c:pt idx="43">
                  <c:v>0.57471264367816088</c:v>
                </c:pt>
                <c:pt idx="44">
                  <c:v>0.57777777777777772</c:v>
                </c:pt>
                <c:pt idx="45">
                  <c:v>0.56521739130434778</c:v>
                </c:pt>
                <c:pt idx="46">
                  <c:v>0.55319148936170215</c:v>
                </c:pt>
                <c:pt idx="47">
                  <c:v>0.55670103092783507</c:v>
                </c:pt>
                <c:pt idx="48">
                  <c:v>0.55555555555555558</c:v>
                </c:pt>
                <c:pt idx="49">
                  <c:v>0.55555555555555558</c:v>
                </c:pt>
                <c:pt idx="50">
                  <c:v>0.5643564356435643</c:v>
                </c:pt>
                <c:pt idx="51">
                  <c:v>0.56730769230769229</c:v>
                </c:pt>
                <c:pt idx="52">
                  <c:v>0.56481481481481477</c:v>
                </c:pt>
                <c:pt idx="53">
                  <c:v>0.56756756756756754</c:v>
                </c:pt>
                <c:pt idx="54">
                  <c:v>0.56756756756756754</c:v>
                </c:pt>
                <c:pt idx="55">
                  <c:v>0.5625</c:v>
                </c:pt>
                <c:pt idx="56">
                  <c:v>0.5663716814159292</c:v>
                </c:pt>
                <c:pt idx="57">
                  <c:v>0.57017543859649122</c:v>
                </c:pt>
                <c:pt idx="58">
                  <c:v>0.56521739130434778</c:v>
                </c:pt>
                <c:pt idx="59">
                  <c:v>0.56896551724137934</c:v>
                </c:pt>
                <c:pt idx="60">
                  <c:v>0.55932203389830504</c:v>
                </c:pt>
                <c:pt idx="61">
                  <c:v>0.55371900826446285</c:v>
                </c:pt>
                <c:pt idx="62">
                  <c:v>0.54032258064516125</c:v>
                </c:pt>
                <c:pt idx="63">
                  <c:v>0.54761904761904767</c:v>
                </c:pt>
                <c:pt idx="64">
                  <c:v>0.55118110236220474</c:v>
                </c:pt>
                <c:pt idx="65">
                  <c:v>0.5546875</c:v>
                </c:pt>
                <c:pt idx="66">
                  <c:v>0.55384615384615388</c:v>
                </c:pt>
                <c:pt idx="67">
                  <c:v>0.55303030303030298</c:v>
                </c:pt>
                <c:pt idx="68">
                  <c:v>0.55223880597014929</c:v>
                </c:pt>
                <c:pt idx="69">
                  <c:v>0.54814814814814816</c:v>
                </c:pt>
                <c:pt idx="70">
                  <c:v>0.55474452554744524</c:v>
                </c:pt>
                <c:pt idx="71">
                  <c:v>0.55072463768115942</c:v>
                </c:pt>
                <c:pt idx="72">
                  <c:v>0.5539568345323741</c:v>
                </c:pt>
                <c:pt idx="73">
                  <c:v>0.54929577464788737</c:v>
                </c:pt>
                <c:pt idx="74">
                  <c:v>0.54545454545454541</c:v>
                </c:pt>
                <c:pt idx="75">
                  <c:v>0.5374149659863946</c:v>
                </c:pt>
                <c:pt idx="76">
                  <c:v>0.54054054054054057</c:v>
                </c:pt>
                <c:pt idx="77">
                  <c:v>0.53642384105960261</c:v>
                </c:pt>
                <c:pt idx="78">
                  <c:v>0.53289473684210531</c:v>
                </c:pt>
                <c:pt idx="79">
                  <c:v>0.53246753246753242</c:v>
                </c:pt>
                <c:pt idx="80">
                  <c:v>0.53797468354430378</c:v>
                </c:pt>
                <c:pt idx="81">
                  <c:v>0.54088050314465408</c:v>
                </c:pt>
                <c:pt idx="82">
                  <c:v>0.54374999999999996</c:v>
                </c:pt>
                <c:pt idx="83">
                  <c:v>0.53703703703703709</c:v>
                </c:pt>
                <c:pt idx="84">
                  <c:v>0.53048780487804881</c:v>
                </c:pt>
                <c:pt idx="85">
                  <c:v>0.5357142857142857</c:v>
                </c:pt>
                <c:pt idx="86">
                  <c:v>0.53846153846153844</c:v>
                </c:pt>
                <c:pt idx="87">
                  <c:v>0.53846153846153844</c:v>
                </c:pt>
                <c:pt idx="88">
                  <c:v>0.53216374269005851</c:v>
                </c:pt>
                <c:pt idx="89">
                  <c:v>0.53179190751445082</c:v>
                </c:pt>
                <c:pt idx="90">
                  <c:v>0.51955307262569828</c:v>
                </c:pt>
                <c:pt idx="91">
                  <c:v>0.51933701657458564</c:v>
                </c:pt>
                <c:pt idx="92">
                  <c:v>0.51630434782608692</c:v>
                </c:pt>
                <c:pt idx="93">
                  <c:v>0.51063829787234039</c:v>
                </c:pt>
                <c:pt idx="94">
                  <c:v>0.50793650793650791</c:v>
                </c:pt>
                <c:pt idx="95">
                  <c:v>0.50793650793650791</c:v>
                </c:pt>
                <c:pt idx="96">
                  <c:v>0.50785340314136129</c:v>
                </c:pt>
                <c:pt idx="97">
                  <c:v>0.50785340314136129</c:v>
                </c:pt>
                <c:pt idx="98">
                  <c:v>0.51030927835051543</c:v>
                </c:pt>
                <c:pt idx="99">
                  <c:v>0.51020408163265307</c:v>
                </c:pt>
                <c:pt idx="100">
                  <c:v>0.51010101010101006</c:v>
                </c:pt>
                <c:pt idx="101">
                  <c:v>0.51010101010101006</c:v>
                </c:pt>
                <c:pt idx="102">
                  <c:v>0.5074626865671642</c:v>
                </c:pt>
                <c:pt idx="103">
                  <c:v>0.5073891625615764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620689655172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ただ2!$P$3:$P$106</c:f>
              <c:numCache>
                <c:formatCode>0.0%</c:formatCode>
                <c:ptCount val="104"/>
                <c:pt idx="1">
                  <c:v>0.33333333333333331</c:v>
                </c:pt>
                <c:pt idx="2">
                  <c:v>0.25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0.54545454545454541</c:v>
                </c:pt>
                <c:pt idx="7">
                  <c:v>0.42857142857142855</c:v>
                </c:pt>
                <c:pt idx="8">
                  <c:v>0.47058823529411764</c:v>
                </c:pt>
                <c:pt idx="9">
                  <c:v>0.45</c:v>
                </c:pt>
                <c:pt idx="10">
                  <c:v>0.41666666666666669</c:v>
                </c:pt>
                <c:pt idx="11">
                  <c:v>0.38461538461538464</c:v>
                </c:pt>
                <c:pt idx="12">
                  <c:v>0.39285714285714285</c:v>
                </c:pt>
                <c:pt idx="13">
                  <c:v>0.41379310344827586</c:v>
                </c:pt>
                <c:pt idx="14">
                  <c:v>0.40625</c:v>
                </c:pt>
                <c:pt idx="15">
                  <c:v>0.42857142857142855</c:v>
                </c:pt>
                <c:pt idx="16">
                  <c:v>0.42105263157894735</c:v>
                </c:pt>
                <c:pt idx="17">
                  <c:v>0.43902439024390244</c:v>
                </c:pt>
                <c:pt idx="18">
                  <c:v>0.48888888888888887</c:v>
                </c:pt>
                <c:pt idx="19">
                  <c:v>0.47916666666666669</c:v>
                </c:pt>
                <c:pt idx="20">
                  <c:v>0.49019607843137253</c:v>
                </c:pt>
                <c:pt idx="21">
                  <c:v>0.47368421052631576</c:v>
                </c:pt>
                <c:pt idx="22">
                  <c:v>0.46031746031746029</c:v>
                </c:pt>
                <c:pt idx="23">
                  <c:v>0.453125</c:v>
                </c:pt>
                <c:pt idx="24">
                  <c:v>0.453125</c:v>
                </c:pt>
                <c:pt idx="25">
                  <c:v>0.45454545454545453</c:v>
                </c:pt>
                <c:pt idx="26">
                  <c:v>0.44117647058823528</c:v>
                </c:pt>
                <c:pt idx="27">
                  <c:v>0.42857142857142855</c:v>
                </c:pt>
                <c:pt idx="28">
                  <c:v>0.44444444444444442</c:v>
                </c:pt>
                <c:pt idx="29">
                  <c:v>0.44594594594594594</c:v>
                </c:pt>
                <c:pt idx="30">
                  <c:v>0.45569620253164556</c:v>
                </c:pt>
                <c:pt idx="31">
                  <c:v>0.45783132530120479</c:v>
                </c:pt>
                <c:pt idx="32">
                  <c:v>0.4642857142857143</c:v>
                </c:pt>
                <c:pt idx="33">
                  <c:v>0.449438202247191</c:v>
                </c:pt>
                <c:pt idx="34">
                  <c:v>0.44329896907216493</c:v>
                </c:pt>
                <c:pt idx="35">
                  <c:v>0.43</c:v>
                </c:pt>
                <c:pt idx="36">
                  <c:v>0.40952380952380951</c:v>
                </c:pt>
                <c:pt idx="37">
                  <c:v>0.40909090909090912</c:v>
                </c:pt>
                <c:pt idx="38">
                  <c:v>0.4107142857142857</c:v>
                </c:pt>
                <c:pt idx="39">
                  <c:v>0.40170940170940173</c:v>
                </c:pt>
                <c:pt idx="40">
                  <c:v>0.3949579831932773</c:v>
                </c:pt>
                <c:pt idx="41">
                  <c:v>0.39344262295081966</c:v>
                </c:pt>
                <c:pt idx="42">
                  <c:v>0.40322580645161288</c:v>
                </c:pt>
                <c:pt idx="43">
                  <c:v>0.4</c:v>
                </c:pt>
                <c:pt idx="44">
                  <c:v>0.40157480314960631</c:v>
                </c:pt>
                <c:pt idx="45">
                  <c:v>0.40310077519379844</c:v>
                </c:pt>
                <c:pt idx="46">
                  <c:v>0.40151515151515149</c:v>
                </c:pt>
                <c:pt idx="47">
                  <c:v>0.40151515151515149</c:v>
                </c:pt>
                <c:pt idx="48">
                  <c:v>0.40601503759398494</c:v>
                </c:pt>
                <c:pt idx="49">
                  <c:v>0.40298507462686567</c:v>
                </c:pt>
                <c:pt idx="50">
                  <c:v>0.40579710144927539</c:v>
                </c:pt>
                <c:pt idx="51">
                  <c:v>0.40140845070422537</c:v>
                </c:pt>
                <c:pt idx="52">
                  <c:v>0.40972222222222221</c:v>
                </c:pt>
                <c:pt idx="53">
                  <c:v>0.41095890410958902</c:v>
                </c:pt>
                <c:pt idx="54">
                  <c:v>0.41610738255033558</c:v>
                </c:pt>
                <c:pt idx="55">
                  <c:v>0.41333333333333333</c:v>
                </c:pt>
                <c:pt idx="56">
                  <c:v>0.40909090909090912</c:v>
                </c:pt>
                <c:pt idx="57">
                  <c:v>0.41290322580645161</c:v>
                </c:pt>
                <c:pt idx="58">
                  <c:v>0.4050632911392405</c:v>
                </c:pt>
                <c:pt idx="59">
                  <c:v>0.40251572327044027</c:v>
                </c:pt>
                <c:pt idx="60">
                  <c:v>0.4</c:v>
                </c:pt>
                <c:pt idx="61">
                  <c:v>0.40606060606060607</c:v>
                </c:pt>
                <c:pt idx="62">
                  <c:v>0.40361445783132532</c:v>
                </c:pt>
                <c:pt idx="63">
                  <c:v>0.40236686390532544</c:v>
                </c:pt>
                <c:pt idx="64">
                  <c:v>0.39534883720930231</c:v>
                </c:pt>
                <c:pt idx="65">
                  <c:v>0.39325842696629215</c:v>
                </c:pt>
                <c:pt idx="66">
                  <c:v>0.39459459459459462</c:v>
                </c:pt>
                <c:pt idx="67">
                  <c:v>0.39572192513368987</c:v>
                </c:pt>
                <c:pt idx="68">
                  <c:v>0.3968253968253968</c:v>
                </c:pt>
                <c:pt idx="69">
                  <c:v>0.40625</c:v>
                </c:pt>
                <c:pt idx="70">
                  <c:v>0.40414507772020725</c:v>
                </c:pt>
                <c:pt idx="71">
                  <c:v>0.4</c:v>
                </c:pt>
                <c:pt idx="72">
                  <c:v>0.4</c:v>
                </c:pt>
                <c:pt idx="73">
                  <c:v>0.39795918367346939</c:v>
                </c:pt>
                <c:pt idx="74">
                  <c:v>0.39795918367346939</c:v>
                </c:pt>
                <c:pt idx="75">
                  <c:v>0.39593908629441626</c:v>
                </c:pt>
                <c:pt idx="76">
                  <c:v>0.39698492462311558</c:v>
                </c:pt>
                <c:pt idx="77">
                  <c:v>0.39500000000000002</c:v>
                </c:pt>
                <c:pt idx="78">
                  <c:v>0.39500000000000002</c:v>
                </c:pt>
                <c:pt idx="79">
                  <c:v>0.39408866995073893</c:v>
                </c:pt>
                <c:pt idx="80">
                  <c:v>0.3902439024390244</c:v>
                </c:pt>
                <c:pt idx="81">
                  <c:v>0.38647342995169082</c:v>
                </c:pt>
                <c:pt idx="82">
                  <c:v>0.37735849056603776</c:v>
                </c:pt>
                <c:pt idx="83">
                  <c:v>0.37674418604651161</c:v>
                </c:pt>
                <c:pt idx="84">
                  <c:v>0.37155963302752293</c:v>
                </c:pt>
                <c:pt idx="85">
                  <c:v>0.37104072398190047</c:v>
                </c:pt>
                <c:pt idx="86">
                  <c:v>0.37219730941704038</c:v>
                </c:pt>
                <c:pt idx="87">
                  <c:v>0.38053097345132741</c:v>
                </c:pt>
                <c:pt idx="88">
                  <c:v>0.38528138528138528</c:v>
                </c:pt>
                <c:pt idx="89">
                  <c:v>0.38362068965517243</c:v>
                </c:pt>
                <c:pt idx="90">
                  <c:v>0.38493723849372385</c:v>
                </c:pt>
                <c:pt idx="91">
                  <c:v>0.38174273858921159</c:v>
                </c:pt>
                <c:pt idx="92">
                  <c:v>0.37860082304526749</c:v>
                </c:pt>
                <c:pt idx="93">
                  <c:v>0.37860082304526749</c:v>
                </c:pt>
                <c:pt idx="94">
                  <c:v>0.37551020408163266</c:v>
                </c:pt>
                <c:pt idx="95">
                  <c:v>0.37651821862348178</c:v>
                </c:pt>
                <c:pt idx="96">
                  <c:v>0.376</c:v>
                </c:pt>
                <c:pt idx="97">
                  <c:v>0.376</c:v>
                </c:pt>
                <c:pt idx="98">
                  <c:v>0.37450199203187251</c:v>
                </c:pt>
                <c:pt idx="99">
                  <c:v>0.37401574803149606</c:v>
                </c:pt>
                <c:pt idx="100">
                  <c:v>0.37109375</c:v>
                </c:pt>
                <c:pt idx="101">
                  <c:v>0.36964980544747084</c:v>
                </c:pt>
                <c:pt idx="102">
                  <c:v>0.36923076923076925</c:v>
                </c:pt>
                <c:pt idx="103">
                  <c:v>0.36641221374045801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221797323135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ただ2!$Q$3:$Q$106</c:f>
              <c:numCache>
                <c:formatCode>0.0%</c:formatCode>
                <c:ptCount val="104"/>
                <c:pt idx="1">
                  <c:v>0.5</c:v>
                </c:pt>
                <c:pt idx="2">
                  <c:v>0.4</c:v>
                </c:pt>
                <c:pt idx="3">
                  <c:v>0.4</c:v>
                </c:pt>
                <c:pt idx="4">
                  <c:v>0.44444444444444442</c:v>
                </c:pt>
                <c:pt idx="5">
                  <c:v>0.41666666666666669</c:v>
                </c:pt>
                <c:pt idx="6">
                  <c:v>0.35294117647058826</c:v>
                </c:pt>
                <c:pt idx="7">
                  <c:v>0.35</c:v>
                </c:pt>
                <c:pt idx="8">
                  <c:v>0.29166666666666669</c:v>
                </c:pt>
                <c:pt idx="9">
                  <c:v>0.28000000000000003</c:v>
                </c:pt>
                <c:pt idx="10">
                  <c:v>0.31034482758620691</c:v>
                </c:pt>
                <c:pt idx="11">
                  <c:v>0.33333333333333331</c:v>
                </c:pt>
                <c:pt idx="12">
                  <c:v>0.3235294117647059</c:v>
                </c:pt>
                <c:pt idx="13">
                  <c:v>0.33333333333333331</c:v>
                </c:pt>
                <c:pt idx="14">
                  <c:v>0.35135135135135137</c:v>
                </c:pt>
                <c:pt idx="15">
                  <c:v>0.35</c:v>
                </c:pt>
                <c:pt idx="16">
                  <c:v>0.34146341463414637</c:v>
                </c:pt>
                <c:pt idx="17">
                  <c:v>0.31111111111111112</c:v>
                </c:pt>
                <c:pt idx="18">
                  <c:v>0.30612244897959184</c:v>
                </c:pt>
                <c:pt idx="19">
                  <c:v>0.29411764705882354</c:v>
                </c:pt>
                <c:pt idx="20">
                  <c:v>0.2857142857142857</c:v>
                </c:pt>
                <c:pt idx="21">
                  <c:v>0.28333333333333333</c:v>
                </c:pt>
                <c:pt idx="22">
                  <c:v>0.28125</c:v>
                </c:pt>
                <c:pt idx="23">
                  <c:v>0.27692307692307694</c:v>
                </c:pt>
                <c:pt idx="24">
                  <c:v>0.27692307692307694</c:v>
                </c:pt>
                <c:pt idx="25">
                  <c:v>0.29411764705882354</c:v>
                </c:pt>
                <c:pt idx="26">
                  <c:v>0.28169014084507044</c:v>
                </c:pt>
                <c:pt idx="27">
                  <c:v>0.29166666666666669</c:v>
                </c:pt>
                <c:pt idx="28">
                  <c:v>0.30263157894736842</c:v>
                </c:pt>
                <c:pt idx="29">
                  <c:v>0.32500000000000001</c:v>
                </c:pt>
                <c:pt idx="30">
                  <c:v>0.33333333333333331</c:v>
                </c:pt>
                <c:pt idx="31">
                  <c:v>0.34444444444444444</c:v>
                </c:pt>
                <c:pt idx="32">
                  <c:v>0.34782608695652173</c:v>
                </c:pt>
                <c:pt idx="33">
                  <c:v>0.35789473684210527</c:v>
                </c:pt>
                <c:pt idx="34">
                  <c:v>0.37</c:v>
                </c:pt>
                <c:pt idx="35">
                  <c:v>0.36633663366336633</c:v>
                </c:pt>
                <c:pt idx="36">
                  <c:v>0.36274509803921567</c:v>
                </c:pt>
                <c:pt idx="37">
                  <c:v>0.36538461538461536</c:v>
                </c:pt>
                <c:pt idx="38">
                  <c:v>0.36792452830188677</c:v>
                </c:pt>
                <c:pt idx="39">
                  <c:v>0.36363636363636365</c:v>
                </c:pt>
                <c:pt idx="40">
                  <c:v>0.36036036036036034</c:v>
                </c:pt>
                <c:pt idx="41">
                  <c:v>0.36283185840707965</c:v>
                </c:pt>
                <c:pt idx="42">
                  <c:v>0.37815126050420167</c:v>
                </c:pt>
                <c:pt idx="43">
                  <c:v>0.39344262295081966</c:v>
                </c:pt>
                <c:pt idx="44">
                  <c:v>0.38095238095238093</c:v>
                </c:pt>
                <c:pt idx="45">
                  <c:v>0.37795275590551181</c:v>
                </c:pt>
                <c:pt idx="46">
                  <c:v>0.375</c:v>
                </c:pt>
                <c:pt idx="47">
                  <c:v>0.37878787878787878</c:v>
                </c:pt>
                <c:pt idx="48">
                  <c:v>0.37777777777777777</c:v>
                </c:pt>
                <c:pt idx="49">
                  <c:v>0.37777777777777777</c:v>
                </c:pt>
                <c:pt idx="50">
                  <c:v>0.38848920863309355</c:v>
                </c:pt>
                <c:pt idx="51">
                  <c:v>0.38461538461538464</c:v>
                </c:pt>
                <c:pt idx="52">
                  <c:v>0.37414965986394561</c:v>
                </c:pt>
                <c:pt idx="53">
                  <c:v>0.38</c:v>
                </c:pt>
                <c:pt idx="54">
                  <c:v>0.37662337662337664</c:v>
                </c:pt>
                <c:pt idx="55">
                  <c:v>0.37662337662337664</c:v>
                </c:pt>
                <c:pt idx="56">
                  <c:v>0.36942675159235666</c:v>
                </c:pt>
                <c:pt idx="57">
                  <c:v>0.37106918238993708</c:v>
                </c:pt>
                <c:pt idx="58">
                  <c:v>0.36875000000000002</c:v>
                </c:pt>
                <c:pt idx="59">
                  <c:v>0.36645962732919257</c:v>
                </c:pt>
                <c:pt idx="60">
                  <c:v>0.36645962732919257</c:v>
                </c:pt>
                <c:pt idx="61">
                  <c:v>0.36969696969696969</c:v>
                </c:pt>
                <c:pt idx="62">
                  <c:v>0.36969696969696969</c:v>
                </c:pt>
                <c:pt idx="63">
                  <c:v>0.37790697674418605</c:v>
                </c:pt>
                <c:pt idx="64">
                  <c:v>0.37931034482758619</c:v>
                </c:pt>
                <c:pt idx="65">
                  <c:v>0.37988826815642457</c:v>
                </c:pt>
                <c:pt idx="66">
                  <c:v>0.37704918032786883</c:v>
                </c:pt>
                <c:pt idx="67">
                  <c:v>0.38378378378378381</c:v>
                </c:pt>
                <c:pt idx="68">
                  <c:v>0.38297872340425532</c:v>
                </c:pt>
                <c:pt idx="69">
                  <c:v>0.38341968911917096</c:v>
                </c:pt>
                <c:pt idx="70">
                  <c:v>0.37755102040816324</c:v>
                </c:pt>
                <c:pt idx="71">
                  <c:v>0.37563451776649748</c:v>
                </c:pt>
                <c:pt idx="72">
                  <c:v>0.37878787878787878</c:v>
                </c:pt>
                <c:pt idx="73">
                  <c:v>0.38</c:v>
                </c:pt>
                <c:pt idx="74">
                  <c:v>0.38</c:v>
                </c:pt>
                <c:pt idx="75">
                  <c:v>0.38423645320197042</c:v>
                </c:pt>
                <c:pt idx="76">
                  <c:v>0.39320388349514562</c:v>
                </c:pt>
                <c:pt idx="77">
                  <c:v>0.39613526570048307</c:v>
                </c:pt>
                <c:pt idx="78">
                  <c:v>0.39423076923076922</c:v>
                </c:pt>
                <c:pt idx="79">
                  <c:v>0.39336492890995262</c:v>
                </c:pt>
                <c:pt idx="80">
                  <c:v>0.3925233644859813</c:v>
                </c:pt>
                <c:pt idx="81">
                  <c:v>0.39170506912442399</c:v>
                </c:pt>
                <c:pt idx="82">
                  <c:v>0.39545454545454545</c:v>
                </c:pt>
                <c:pt idx="83">
                  <c:v>0.39189189189189189</c:v>
                </c:pt>
                <c:pt idx="84">
                  <c:v>0.39189189189189189</c:v>
                </c:pt>
                <c:pt idx="85">
                  <c:v>0.38495575221238937</c:v>
                </c:pt>
                <c:pt idx="86">
                  <c:v>0.37991266375545851</c:v>
                </c:pt>
                <c:pt idx="87">
                  <c:v>0.38197424892703863</c:v>
                </c:pt>
                <c:pt idx="88">
                  <c:v>0.38396624472573837</c:v>
                </c:pt>
                <c:pt idx="89">
                  <c:v>0.38493723849372385</c:v>
                </c:pt>
                <c:pt idx="90">
                  <c:v>0.38683127572016462</c:v>
                </c:pt>
                <c:pt idx="91">
                  <c:v>0.38524590163934425</c:v>
                </c:pt>
                <c:pt idx="92">
                  <c:v>0.38775510204081631</c:v>
                </c:pt>
                <c:pt idx="93">
                  <c:v>0.38617886178861788</c:v>
                </c:pt>
                <c:pt idx="94">
                  <c:v>0.38617886178861788</c:v>
                </c:pt>
                <c:pt idx="95">
                  <c:v>0.38461538461538464</c:v>
                </c:pt>
                <c:pt idx="96">
                  <c:v>0.38554216867469882</c:v>
                </c:pt>
                <c:pt idx="97">
                  <c:v>0.38554216867469882</c:v>
                </c:pt>
                <c:pt idx="98">
                  <c:v>0.38645418326693226</c:v>
                </c:pt>
                <c:pt idx="99">
                  <c:v>0.38735177865612647</c:v>
                </c:pt>
                <c:pt idx="100">
                  <c:v>0.38976377952755903</c:v>
                </c:pt>
                <c:pt idx="101">
                  <c:v>0.38976377952755903</c:v>
                </c:pt>
                <c:pt idx="102">
                  <c:v>0.390625</c:v>
                </c:pt>
                <c:pt idx="103">
                  <c:v>0.39768339768339767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82576321667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546</v>
      </c>
    </row>
    <row r="2" spans="1:2" x14ac:dyDescent="0.4">
      <c r="A2" t="s">
        <v>166</v>
      </c>
      <c r="B2">
        <v>49</v>
      </c>
    </row>
    <row r="3" spans="1:2" x14ac:dyDescent="0.4">
      <c r="A3" t="s">
        <v>126</v>
      </c>
      <c r="B3">
        <v>115</v>
      </c>
    </row>
    <row r="4" spans="1:2" x14ac:dyDescent="0.4">
      <c r="A4" t="s">
        <v>127</v>
      </c>
      <c r="B4">
        <v>103</v>
      </c>
    </row>
    <row r="5" spans="1:2" x14ac:dyDescent="0.4">
      <c r="A5" t="s">
        <v>179</v>
      </c>
      <c r="B5">
        <v>64</v>
      </c>
    </row>
    <row r="6" spans="1:2" x14ac:dyDescent="0.4">
      <c r="A6" t="s">
        <v>177</v>
      </c>
      <c r="B6">
        <v>60</v>
      </c>
    </row>
    <row r="7" spans="1:2" x14ac:dyDescent="0.4">
      <c r="A7" t="s">
        <v>178</v>
      </c>
      <c r="B7">
        <v>89</v>
      </c>
    </row>
    <row r="8" spans="1:2" x14ac:dyDescent="0.4">
      <c r="A8" t="s">
        <v>182</v>
      </c>
      <c r="B8">
        <v>34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0.99572290373232852</v>
      </c>
      <c r="G2" s="161"/>
      <c r="H2" s="160">
        <v>0.91984383971954187</v>
      </c>
      <c r="I2" s="161"/>
      <c r="J2" s="160">
        <v>0.91412198811067968</v>
      </c>
      <c r="K2" s="161"/>
      <c r="L2" s="160">
        <v>0.90511837650393223</v>
      </c>
      <c r="M2" s="161"/>
      <c r="N2" s="160">
        <v>0.57134207964935224</v>
      </c>
      <c r="O2" s="161"/>
      <c r="P2" s="160">
        <v>0.54080044236188973</v>
      </c>
      <c r="Q2" s="161"/>
      <c r="R2" s="160">
        <v>-0.15748621924528294</v>
      </c>
      <c r="S2" s="161"/>
      <c r="T2" s="160">
        <v>0.54019006506671929</v>
      </c>
      <c r="U2" s="161"/>
      <c r="V2" s="160">
        <v>0.83215272130332252</v>
      </c>
      <c r="W2" s="161"/>
      <c r="X2" s="160">
        <v>0.60774177826998432</v>
      </c>
      <c r="Y2" s="161"/>
      <c r="Z2" s="160">
        <v>-0.11001410043384477</v>
      </c>
      <c r="AA2" s="161"/>
      <c r="AB2" s="160">
        <v>0.27019370452562169</v>
      </c>
      <c r="AC2" s="161"/>
      <c r="AD2" s="160">
        <v>0.64264473481922135</v>
      </c>
      <c r="AE2" s="161"/>
      <c r="AF2" s="160">
        <v>-1.6842880266650928E-2</v>
      </c>
      <c r="AG2" s="161"/>
      <c r="AH2" s="160">
        <v>0.7328544401298569</v>
      </c>
      <c r="AI2" s="161"/>
    </row>
    <row r="3" spans="1:35" x14ac:dyDescent="0.4">
      <c r="A3" s="70">
        <v>1</v>
      </c>
      <c r="B3" s="71" t="s">
        <v>126</v>
      </c>
      <c r="C3" s="72">
        <v>1047.2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10443.150684931506</v>
      </c>
      <c r="R3" s="73" t="s">
        <v>166</v>
      </c>
      <c r="S3" s="77">
        <v>-6955.3846153846152</v>
      </c>
      <c r="T3" s="73" t="s">
        <v>222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0.32723577235772355</v>
      </c>
      <c r="Z3" s="73" t="s">
        <v>195</v>
      </c>
      <c r="AA3" s="76">
        <v>0.35483870967741937</v>
      </c>
      <c r="AB3" s="73" t="s">
        <v>126</v>
      </c>
      <c r="AC3" s="76">
        <v>0.60317460317460314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364.90000000000009</v>
      </c>
      <c r="D4" s="81" t="s">
        <v>126</v>
      </c>
      <c r="E4" s="93">
        <v>9.1060869565217395</v>
      </c>
      <c r="F4" s="81" t="s">
        <v>126</v>
      </c>
      <c r="G4" s="82">
        <v>1.7826086956521738</v>
      </c>
      <c r="H4" s="81" t="s">
        <v>126</v>
      </c>
      <c r="I4" s="83">
        <v>0.46086956521739131</v>
      </c>
      <c r="J4" s="81" t="s">
        <v>126</v>
      </c>
      <c r="K4" s="83">
        <v>0.24347826086956523</v>
      </c>
      <c r="L4" s="81" t="s">
        <v>126</v>
      </c>
      <c r="M4" s="84">
        <v>0.34334763948497854</v>
      </c>
      <c r="N4" s="81" t="s">
        <v>126</v>
      </c>
      <c r="O4" s="84">
        <v>0.12768240343347639</v>
      </c>
      <c r="P4" s="81" t="s">
        <v>127</v>
      </c>
      <c r="Q4" s="85">
        <v>8591.8918918918916</v>
      </c>
      <c r="R4" s="81" t="s">
        <v>181</v>
      </c>
      <c r="S4" s="85">
        <v>-7058.8235294117649</v>
      </c>
      <c r="T4" s="81" t="s">
        <v>166</v>
      </c>
      <c r="U4" s="83">
        <v>2.0408163265306121E-2</v>
      </c>
      <c r="V4" s="81" t="s">
        <v>195</v>
      </c>
      <c r="W4" s="83">
        <v>0.14285714285714285</v>
      </c>
      <c r="X4" s="81" t="s">
        <v>179</v>
      </c>
      <c r="Y4" s="84">
        <v>0.28782287822878228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0.48325358851674644</v>
      </c>
      <c r="AF4" s="81" t="s">
        <v>177</v>
      </c>
      <c r="AG4" s="84">
        <v>0.47945205479452052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6.0816666666666679</v>
      </c>
      <c r="F5" s="81" t="s">
        <v>177</v>
      </c>
      <c r="G5" s="82">
        <v>1.8666666666666667</v>
      </c>
      <c r="H5" s="81" t="s">
        <v>177</v>
      </c>
      <c r="I5" s="83">
        <v>0.43333333333333335</v>
      </c>
      <c r="J5" s="81" t="s">
        <v>178</v>
      </c>
      <c r="K5" s="83">
        <v>0.2808988764044944</v>
      </c>
      <c r="L5" s="81" t="s">
        <v>127</v>
      </c>
      <c r="M5" s="84">
        <v>0.29976851851851855</v>
      </c>
      <c r="N5" s="81" t="s">
        <v>178</v>
      </c>
      <c r="O5" s="84">
        <v>0.13547486033519554</v>
      </c>
      <c r="P5" s="81" t="s">
        <v>143</v>
      </c>
      <c r="Q5" s="85">
        <v>8439.6872673119888</v>
      </c>
      <c r="R5" s="81" t="s">
        <v>179</v>
      </c>
      <c r="S5" s="85">
        <v>-7617.8571428571431</v>
      </c>
      <c r="T5" s="81" t="s">
        <v>126</v>
      </c>
      <c r="U5" s="83">
        <v>4.3478260869565216E-2</v>
      </c>
      <c r="V5" s="81" t="s">
        <v>126</v>
      </c>
      <c r="W5" s="83">
        <v>0.13043478260869565</v>
      </c>
      <c r="X5" s="81" t="s">
        <v>126</v>
      </c>
      <c r="Y5" s="84">
        <v>0.27038626609442062</v>
      </c>
      <c r="Z5" s="81" t="s">
        <v>127</v>
      </c>
      <c r="AA5" s="84">
        <v>0.30324074074074076</v>
      </c>
      <c r="AB5" s="81" t="s">
        <v>179</v>
      </c>
      <c r="AC5" s="84">
        <v>0.58333333333333337</v>
      </c>
      <c r="AD5" s="81" t="s">
        <v>177</v>
      </c>
      <c r="AE5" s="84">
        <v>0.44318181818181818</v>
      </c>
      <c r="AF5" s="81" t="s">
        <v>182</v>
      </c>
      <c r="AG5" s="84">
        <v>0.47692307692307695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195</v>
      </c>
      <c r="I6" s="83">
        <v>0.42857142857142855</v>
      </c>
      <c r="J6" s="81" t="s">
        <v>177</v>
      </c>
      <c r="K6" s="83">
        <v>0.3</v>
      </c>
      <c r="L6" s="81" t="s">
        <v>177</v>
      </c>
      <c r="M6" s="84">
        <v>0.2967479674796748</v>
      </c>
      <c r="N6" s="81" t="s">
        <v>166</v>
      </c>
      <c r="O6" s="84">
        <v>0.14908256880733944</v>
      </c>
      <c r="P6" s="81" t="s">
        <v>181</v>
      </c>
      <c r="Q6" s="85">
        <v>8398.3606557377043</v>
      </c>
      <c r="R6" s="81" t="s">
        <v>143</v>
      </c>
      <c r="S6" s="85">
        <v>-7849.0641711229946</v>
      </c>
      <c r="T6" s="81" t="s">
        <v>177</v>
      </c>
      <c r="U6" s="83">
        <v>8.3333333333333329E-2</v>
      </c>
      <c r="V6" s="81" t="s">
        <v>181</v>
      </c>
      <c r="W6" s="83">
        <v>0.13043478260869565</v>
      </c>
      <c r="X6" s="81" t="s">
        <v>181</v>
      </c>
      <c r="Y6" s="84">
        <v>0.26940639269406391</v>
      </c>
      <c r="Z6" s="81" t="s">
        <v>166</v>
      </c>
      <c r="AA6" s="84">
        <v>0.23394495412844038</v>
      </c>
      <c r="AB6" s="81" t="s">
        <v>178</v>
      </c>
      <c r="AC6" s="84">
        <v>0.56084656084656082</v>
      </c>
      <c r="AD6" s="81" t="s">
        <v>178</v>
      </c>
      <c r="AE6" s="84">
        <v>0.41249999999999998</v>
      </c>
      <c r="AF6" s="81" t="s">
        <v>179</v>
      </c>
      <c r="AG6" s="84">
        <v>0.46052631578947367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-4.9737991503207013E-14</v>
      </c>
      <c r="D7" s="81" t="s">
        <v>143</v>
      </c>
      <c r="E7" s="93">
        <v>-9.1095222533346175E-17</v>
      </c>
      <c r="F7" s="81" t="s">
        <v>127</v>
      </c>
      <c r="G7" s="82">
        <v>1.9805825242718447</v>
      </c>
      <c r="H7" s="81" t="s">
        <v>181</v>
      </c>
      <c r="I7" s="83">
        <v>0.39130434782608697</v>
      </c>
      <c r="J7" s="81" t="s">
        <v>127</v>
      </c>
      <c r="K7" s="83">
        <v>0.3300970873786408</v>
      </c>
      <c r="L7" s="81" t="s">
        <v>143</v>
      </c>
      <c r="M7" s="84">
        <v>0.29471143296028091</v>
      </c>
      <c r="N7" s="81" t="s">
        <v>181</v>
      </c>
      <c r="O7" s="84">
        <v>0.15525114155251141</v>
      </c>
      <c r="P7" s="81" t="s">
        <v>178</v>
      </c>
      <c r="Q7" s="85">
        <v>8315.8415841584156</v>
      </c>
      <c r="R7" s="81" t="s">
        <v>182</v>
      </c>
      <c r="S7" s="85">
        <v>-7881.4814814814818</v>
      </c>
      <c r="T7" s="81" t="s">
        <v>181</v>
      </c>
      <c r="U7" s="83">
        <v>8.6956521739130432E-2</v>
      </c>
      <c r="V7" s="81" t="s">
        <v>127</v>
      </c>
      <c r="W7" s="83">
        <v>9.7087378640776698E-2</v>
      </c>
      <c r="X7" s="81" t="s">
        <v>222</v>
      </c>
      <c r="Y7" s="84">
        <v>0.26666666666666666</v>
      </c>
      <c r="Z7" s="81" t="s">
        <v>143</v>
      </c>
      <c r="AA7" s="84">
        <v>0.22953697608075488</v>
      </c>
      <c r="AB7" s="81" t="s">
        <v>143</v>
      </c>
      <c r="AC7" s="84">
        <v>0.55862068965517242</v>
      </c>
      <c r="AD7" s="81" t="s">
        <v>143</v>
      </c>
      <c r="AE7" s="84">
        <v>0.40822179732313574</v>
      </c>
      <c r="AF7" s="81" t="s">
        <v>178</v>
      </c>
      <c r="AG7" s="84">
        <v>0.4405940594059406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127</v>
      </c>
      <c r="C8" s="80">
        <v>-31.500000000000213</v>
      </c>
      <c r="D8" s="81" t="s">
        <v>127</v>
      </c>
      <c r="E8" s="93">
        <v>-0.30582524271844869</v>
      </c>
      <c r="F8" s="81" t="s">
        <v>143</v>
      </c>
      <c r="G8" s="82">
        <v>2</v>
      </c>
      <c r="H8" s="81" t="s">
        <v>127</v>
      </c>
      <c r="I8" s="83">
        <v>0.34951456310679613</v>
      </c>
      <c r="J8" s="81" t="s">
        <v>143</v>
      </c>
      <c r="K8" s="83">
        <v>0.33333333333333331</v>
      </c>
      <c r="L8" s="81" t="s">
        <v>178</v>
      </c>
      <c r="M8" s="84">
        <v>0.28212290502793297</v>
      </c>
      <c r="N8" s="81" t="s">
        <v>143</v>
      </c>
      <c r="O8" s="84">
        <v>0.16414307658547289</v>
      </c>
      <c r="P8" s="81" t="s">
        <v>126</v>
      </c>
      <c r="Q8" s="85">
        <v>8310.625</v>
      </c>
      <c r="R8" s="81" t="s">
        <v>177</v>
      </c>
      <c r="S8" s="85">
        <v>-7893.9024390243903</v>
      </c>
      <c r="T8" s="81" t="s">
        <v>178</v>
      </c>
      <c r="U8" s="83">
        <v>8.98876404494382E-2</v>
      </c>
      <c r="V8" s="81" t="s">
        <v>143</v>
      </c>
      <c r="W8" s="83">
        <v>9.5238095238095233E-2</v>
      </c>
      <c r="X8" s="81" t="s">
        <v>178</v>
      </c>
      <c r="Y8" s="84">
        <v>0.26396648044692739</v>
      </c>
      <c r="Z8" s="81" t="s">
        <v>126</v>
      </c>
      <c r="AA8" s="84">
        <v>0.22424892703862662</v>
      </c>
      <c r="AB8" s="81" t="s">
        <v>182</v>
      </c>
      <c r="AC8" s="84">
        <v>0.55555555555555558</v>
      </c>
      <c r="AD8" s="81" t="s">
        <v>179</v>
      </c>
      <c r="AE8" s="84">
        <v>0.40196078431372551</v>
      </c>
      <c r="AF8" s="81" t="s">
        <v>143</v>
      </c>
      <c r="AG8" s="84">
        <v>0.4378257632166791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-1.3438202247191011</v>
      </c>
      <c r="F9" s="81" t="s">
        <v>178</v>
      </c>
      <c r="G9" s="82">
        <v>2.0561797752808988</v>
      </c>
      <c r="H9" s="81" t="s">
        <v>143</v>
      </c>
      <c r="I9" s="83">
        <v>0.33333333333333331</v>
      </c>
      <c r="J9" s="81" t="s">
        <v>181</v>
      </c>
      <c r="K9" s="83">
        <v>0.34782608695652173</v>
      </c>
      <c r="L9" s="81" t="s">
        <v>179</v>
      </c>
      <c r="M9" s="84">
        <v>0.28044280442804426</v>
      </c>
      <c r="N9" s="81" t="s">
        <v>177</v>
      </c>
      <c r="O9" s="84">
        <v>0.16666666666666666</v>
      </c>
      <c r="P9" s="81" t="s">
        <v>179</v>
      </c>
      <c r="Q9" s="85">
        <v>8158.5526315789475</v>
      </c>
      <c r="R9" s="81" t="s">
        <v>126</v>
      </c>
      <c r="S9" s="85">
        <v>-7973.9495798319331</v>
      </c>
      <c r="T9" s="81" t="s">
        <v>179</v>
      </c>
      <c r="U9" s="83">
        <v>9.375E-2</v>
      </c>
      <c r="V9" s="81" t="s">
        <v>178</v>
      </c>
      <c r="W9" s="83">
        <v>6.741573033707865E-2</v>
      </c>
      <c r="X9" s="81" t="s">
        <v>143</v>
      </c>
      <c r="Y9" s="84">
        <v>0.25455343427693661</v>
      </c>
      <c r="Z9" s="81" t="s">
        <v>178</v>
      </c>
      <c r="AA9" s="84">
        <v>0.22346368715083798</v>
      </c>
      <c r="AB9" s="81" t="s">
        <v>177</v>
      </c>
      <c r="AC9" s="84">
        <v>0.54658385093167705</v>
      </c>
      <c r="AD9" s="81" t="s">
        <v>166</v>
      </c>
      <c r="AE9" s="84">
        <v>0.37254901960784315</v>
      </c>
      <c r="AF9" s="81" t="s">
        <v>126</v>
      </c>
      <c r="AG9" s="84">
        <v>0.42812499999999998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178</v>
      </c>
      <c r="C10" s="80">
        <v>-119.60000000000001</v>
      </c>
      <c r="D10" s="81" t="s">
        <v>166</v>
      </c>
      <c r="E10" s="93">
        <v>-5.2387755102040829</v>
      </c>
      <c r="F10" s="81" t="s">
        <v>166</v>
      </c>
      <c r="G10" s="82">
        <v>2.1224489795918369</v>
      </c>
      <c r="H10" s="81" t="s">
        <v>166</v>
      </c>
      <c r="I10" s="83">
        <v>0.32653061224489793</v>
      </c>
      <c r="J10" s="81" t="s">
        <v>179</v>
      </c>
      <c r="K10" s="83">
        <v>0.390625</v>
      </c>
      <c r="L10" s="81" t="s">
        <v>181</v>
      </c>
      <c r="M10" s="84">
        <v>0.27853881278538811</v>
      </c>
      <c r="N10" s="81" t="s">
        <v>182</v>
      </c>
      <c r="O10" s="84">
        <v>0.19354838709677419</v>
      </c>
      <c r="P10" s="81" t="s">
        <v>182</v>
      </c>
      <c r="Q10" s="85">
        <v>7912.3076923076924</v>
      </c>
      <c r="R10" s="81" t="s">
        <v>222</v>
      </c>
      <c r="S10" s="85">
        <v>-8000</v>
      </c>
      <c r="T10" s="81" t="s">
        <v>143</v>
      </c>
      <c r="U10" s="83">
        <v>9.5238095238095233E-2</v>
      </c>
      <c r="V10" s="81" t="s">
        <v>166</v>
      </c>
      <c r="W10" s="83">
        <v>4.0816326530612242E-2</v>
      </c>
      <c r="X10" s="81" t="s">
        <v>195</v>
      </c>
      <c r="Y10" s="84">
        <v>0.24193548387096775</v>
      </c>
      <c r="Z10" s="81" t="s">
        <v>182</v>
      </c>
      <c r="AA10" s="84">
        <v>0.22222222222222221</v>
      </c>
      <c r="AB10" s="81" t="s">
        <v>195</v>
      </c>
      <c r="AC10" s="84">
        <v>0.53333333333333333</v>
      </c>
      <c r="AD10" s="81" t="s">
        <v>182</v>
      </c>
      <c r="AE10" s="84">
        <v>0.37096774193548387</v>
      </c>
      <c r="AF10" s="81" t="s">
        <v>166</v>
      </c>
      <c r="AG10" s="84">
        <v>0.40517241379310343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-256.70000000000005</v>
      </c>
      <c r="D11" s="81" t="s">
        <v>179</v>
      </c>
      <c r="E11" s="93">
        <v>-6.5796874999999995</v>
      </c>
      <c r="F11" s="81" t="s">
        <v>195</v>
      </c>
      <c r="G11" s="82">
        <v>2.1428571428571428</v>
      </c>
      <c r="H11" s="81" t="s">
        <v>178</v>
      </c>
      <c r="I11" s="83">
        <v>0.2247191011235955</v>
      </c>
      <c r="J11" s="81" t="s">
        <v>166</v>
      </c>
      <c r="K11" s="83">
        <v>0.44897959183673469</v>
      </c>
      <c r="L11" s="81" t="s">
        <v>166</v>
      </c>
      <c r="M11" s="84">
        <v>0.26605504587155965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-8062.8865979381444</v>
      </c>
      <c r="T11" s="81" t="s">
        <v>127</v>
      </c>
      <c r="U11" s="83">
        <v>0.14563106796116504</v>
      </c>
      <c r="V11" s="81" t="s">
        <v>179</v>
      </c>
      <c r="W11" s="83">
        <v>3.125E-2</v>
      </c>
      <c r="X11" s="81" t="s">
        <v>127</v>
      </c>
      <c r="Y11" s="84">
        <v>0.23495370370370369</v>
      </c>
      <c r="Z11" s="81" t="s">
        <v>179</v>
      </c>
      <c r="AA11" s="84">
        <v>0.18819188191881919</v>
      </c>
      <c r="AB11" s="81" t="s">
        <v>127</v>
      </c>
      <c r="AC11" s="84">
        <v>0.5073891625615764</v>
      </c>
      <c r="AD11" s="81" t="s">
        <v>127</v>
      </c>
      <c r="AE11" s="84">
        <v>0.36641221374045801</v>
      </c>
      <c r="AF11" s="81" t="s">
        <v>127</v>
      </c>
      <c r="AG11" s="84">
        <v>0.39768339768339767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-421.09999999999997</v>
      </c>
      <c r="D12" s="81" t="s">
        <v>195</v>
      </c>
      <c r="E12" s="93">
        <v>-14.971428571428573</v>
      </c>
      <c r="F12" s="81" t="s">
        <v>179</v>
      </c>
      <c r="G12" s="82">
        <v>2.171875</v>
      </c>
      <c r="H12" s="81" t="s">
        <v>179</v>
      </c>
      <c r="I12" s="83">
        <v>0.21875</v>
      </c>
      <c r="J12" s="81" t="s">
        <v>182</v>
      </c>
      <c r="K12" s="83">
        <v>0.52941176470588236</v>
      </c>
      <c r="L12" s="81" t="s">
        <v>195</v>
      </c>
      <c r="M12" s="84">
        <v>0.24193548387096775</v>
      </c>
      <c r="N12" s="81" t="s">
        <v>127</v>
      </c>
      <c r="O12" s="84">
        <v>0.19907407407407407</v>
      </c>
      <c r="P12" s="81" t="s">
        <v>222</v>
      </c>
      <c r="Q12" s="85">
        <v>7385.7142857142853</v>
      </c>
      <c r="R12" s="81" t="s">
        <v>127</v>
      </c>
      <c r="S12" s="85">
        <v>-8168.604651162791</v>
      </c>
      <c r="T12" s="81" t="s">
        <v>182</v>
      </c>
      <c r="U12" s="83">
        <v>0.17647058823529413</v>
      </c>
      <c r="V12" s="81" t="s">
        <v>182</v>
      </c>
      <c r="W12" s="83">
        <v>2.9411764705882353E-2</v>
      </c>
      <c r="X12" s="81" t="s">
        <v>182</v>
      </c>
      <c r="Y12" s="84">
        <v>0.19354838709677419</v>
      </c>
      <c r="Z12" s="81" t="s">
        <v>177</v>
      </c>
      <c r="AA12" s="84">
        <v>0.17886178861788618</v>
      </c>
      <c r="AB12" s="81" t="s">
        <v>222</v>
      </c>
      <c r="AC12" s="84">
        <v>0.5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-531.90000000000009</v>
      </c>
      <c r="D13" s="81" t="s">
        <v>182</v>
      </c>
      <c r="E13" s="93">
        <v>-15.644117647058826</v>
      </c>
      <c r="F13" s="81" t="s">
        <v>182</v>
      </c>
      <c r="G13" s="82">
        <v>2.4117647058823528</v>
      </c>
      <c r="H13" s="81" t="s">
        <v>182</v>
      </c>
      <c r="I13" s="83">
        <v>0.11764705882352941</v>
      </c>
      <c r="J13" s="81" t="s">
        <v>195</v>
      </c>
      <c r="K13" s="83">
        <v>0.5714285714285714</v>
      </c>
      <c r="L13" s="81" t="s">
        <v>182</v>
      </c>
      <c r="M13" s="84">
        <v>0.23297491039426524</v>
      </c>
      <c r="N13" s="81" t="s">
        <v>179</v>
      </c>
      <c r="O13" s="84">
        <v>0.20664206642066421</v>
      </c>
      <c r="P13" s="81" t="s">
        <v>166</v>
      </c>
      <c r="Q13" s="85">
        <v>7024.1379310344828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0.1536697247706422</v>
      </c>
      <c r="Z13" s="81" t="s">
        <v>181</v>
      </c>
      <c r="AA13" s="84">
        <v>0.15525114155251141</v>
      </c>
      <c r="AB13" s="81" t="s">
        <v>166</v>
      </c>
      <c r="AC13" s="84">
        <v>0.4925373134328358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4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546</v>
      </c>
      <c r="C2" s="149"/>
      <c r="E2" s="58" t="s">
        <v>66</v>
      </c>
      <c r="F2" s="55" t="s">
        <v>22</v>
      </c>
      <c r="G2" s="43">
        <v>1049</v>
      </c>
      <c r="H2" s="128">
        <f>IF(B$17=0,0,G2/B$17)</f>
        <v>0.78108711839166045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-20.257826887661142</v>
      </c>
      <c r="P2" s="114">
        <v>543</v>
      </c>
      <c r="Q2" s="98">
        <v>-11000</v>
      </c>
    </row>
    <row r="3" spans="1:17" x14ac:dyDescent="0.4">
      <c r="A3" s="51" t="s">
        <v>8</v>
      </c>
      <c r="B3" s="150">
        <v>4557</v>
      </c>
      <c r="C3" s="151"/>
      <c r="E3" s="59" t="s">
        <v>72</v>
      </c>
      <c r="F3" s="56" t="s">
        <v>27</v>
      </c>
      <c r="G3" s="44">
        <v>714</v>
      </c>
      <c r="H3" s="129">
        <f>IF(B$17=0,0,G3/B$17)</f>
        <v>0.53164556962025311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5.6497175141242941</v>
      </c>
      <c r="P3" s="115">
        <v>531</v>
      </c>
      <c r="Q3" s="99">
        <v>3000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620</v>
      </c>
      <c r="H4" s="129">
        <f>IF(B$17=0,0,G4/B$17)</f>
        <v>0.46165301563663441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-13.888888888888889</v>
      </c>
      <c r="P4" s="115">
        <v>504</v>
      </c>
      <c r="Q4" s="99">
        <v>-7000</v>
      </c>
    </row>
    <row r="5" spans="1:17" x14ac:dyDescent="0.4">
      <c r="A5" s="51" t="s">
        <v>7</v>
      </c>
      <c r="B5" s="154">
        <f>IF(B$2=0,0,B$4/B$2)</f>
        <v>-9.1095222533346175E-17</v>
      </c>
      <c r="C5" s="155"/>
      <c r="E5" s="59" t="s">
        <v>171</v>
      </c>
      <c r="F5" s="56" t="s">
        <v>172</v>
      </c>
      <c r="G5" s="44">
        <v>537</v>
      </c>
      <c r="H5" s="129">
        <f>IF(B$17=0,0,G5/B$17)</f>
        <v>0.39985107967237526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10.482180293501049</v>
      </c>
      <c r="P5" s="115">
        <v>477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421</v>
      </c>
      <c r="H6" s="129">
        <f>IF(B$17=0,0,G6/B$17)</f>
        <v>0.31347728965003724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11.337868480725623</v>
      </c>
      <c r="P6" s="115">
        <v>441</v>
      </c>
      <c r="Q6" s="99">
        <v>5000</v>
      </c>
    </row>
    <row r="7" spans="1:17" x14ac:dyDescent="0.4">
      <c r="A7" s="51" t="s">
        <v>2</v>
      </c>
      <c r="B7" s="44">
        <v>182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381</v>
      </c>
      <c r="H7" s="129">
        <f>IF(B$17=0,0,G7/B$17)</f>
        <v>0.28369322412509307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13.550135501355014</v>
      </c>
      <c r="P7" s="116">
        <v>369</v>
      </c>
      <c r="Q7" s="100">
        <v>5000</v>
      </c>
    </row>
    <row r="8" spans="1:17" x14ac:dyDescent="0.4">
      <c r="A8" s="51" t="s">
        <v>3</v>
      </c>
      <c r="B8" s="44">
        <v>182</v>
      </c>
      <c r="C8" s="37">
        <f t="shared" si="1"/>
        <v>0.33333333333333331</v>
      </c>
      <c r="E8" s="59" t="s">
        <v>69</v>
      </c>
      <c r="F8" s="56" t="s">
        <v>24</v>
      </c>
      <c r="G8" s="44">
        <v>206</v>
      </c>
      <c r="H8" s="129">
        <f>IF(B$17=0,0,G8/B$17)</f>
        <v>0.15338793745346241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182</v>
      </c>
      <c r="C9" s="38">
        <f t="shared" si="1"/>
        <v>0.33333333333333331</v>
      </c>
      <c r="E9" s="59" t="s">
        <v>89</v>
      </c>
      <c r="F9" s="56" t="s">
        <v>44</v>
      </c>
      <c r="G9" s="44">
        <v>176</v>
      </c>
      <c r="H9" s="129">
        <f>IF(B$17=0,0,G9/B$17)</f>
        <v>0.13104988830975428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52</v>
      </c>
      <c r="C10" s="38">
        <f t="shared" si="1"/>
        <v>9.5238095238095233E-2</v>
      </c>
      <c r="E10" s="59" t="s">
        <v>65</v>
      </c>
      <c r="F10" s="56" t="s">
        <v>21</v>
      </c>
      <c r="G10" s="44">
        <v>138</v>
      </c>
      <c r="H10" s="129">
        <f>IF(B$17=0,0,G10/B$17)</f>
        <v>0.10275502606105734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-0.69065934065934087</v>
      </c>
      <c r="P10" s="114">
        <v>182</v>
      </c>
      <c r="Q10" s="102">
        <v>-125.70000000000005</v>
      </c>
    </row>
    <row r="11" spans="1:17" x14ac:dyDescent="0.4">
      <c r="A11" s="52" t="s">
        <v>138</v>
      </c>
      <c r="B11" s="45">
        <v>52</v>
      </c>
      <c r="C11" s="38">
        <f t="shared" si="1"/>
        <v>9.5238095238095233E-2</v>
      </c>
      <c r="E11" s="59" t="s">
        <v>70</v>
      </c>
      <c r="F11" s="56" t="s">
        <v>25</v>
      </c>
      <c r="G11" s="44">
        <v>129</v>
      </c>
      <c r="H11" s="129">
        <f>IF(B$17=0,0,G11/B$17)</f>
        <v>9.6053611317944904E-2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1.5532967032967033</v>
      </c>
      <c r="P11" s="115">
        <v>182</v>
      </c>
      <c r="Q11" s="103">
        <v>282.7</v>
      </c>
    </row>
    <row r="12" spans="1:17" x14ac:dyDescent="0.4">
      <c r="A12" s="53" t="s">
        <v>158</v>
      </c>
      <c r="B12" s="46">
        <v>56</v>
      </c>
      <c r="C12" s="40">
        <f t="shared" si="1"/>
        <v>0.10256410256410256</v>
      </c>
      <c r="E12" s="59" t="s">
        <v>71</v>
      </c>
      <c r="F12" s="56" t="s">
        <v>26</v>
      </c>
      <c r="G12" s="44">
        <v>105</v>
      </c>
      <c r="H12" s="129">
        <f>IF(B$17=0,0,G12/B$17)</f>
        <v>7.8183172002978404E-2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-0.86263736263736346</v>
      </c>
      <c r="P12" s="116">
        <v>182</v>
      </c>
      <c r="Q12" s="104">
        <v>-157.00000000000014</v>
      </c>
    </row>
    <row r="13" spans="1:17" x14ac:dyDescent="0.4">
      <c r="A13" s="54" t="s">
        <v>121</v>
      </c>
      <c r="B13" s="47">
        <v>1160</v>
      </c>
      <c r="C13" s="42">
        <f>IF(B$3=0,0,B13/B$3)</f>
        <v>0.25455343427693661</v>
      </c>
      <c r="E13" s="59" t="s">
        <v>83</v>
      </c>
      <c r="F13" s="56" t="s">
        <v>38</v>
      </c>
      <c r="G13" s="44">
        <v>73</v>
      </c>
      <c r="H13" s="129">
        <f>IF(B$17=0,0,G13/B$17)</f>
        <v>5.4355919583023084E-2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1046</v>
      </c>
      <c r="C14" s="37">
        <f>IF(B$3=0,0,B14/B$3)</f>
        <v>0.22953697608075488</v>
      </c>
      <c r="E14" s="59" t="s">
        <v>86</v>
      </c>
      <c r="F14" s="56" t="s">
        <v>41</v>
      </c>
      <c r="G14" s="44">
        <v>68</v>
      </c>
      <c r="H14" s="129">
        <f>IF(B$17=0,0,G14/B$17)</f>
        <v>5.0632911392405063E-2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648</v>
      </c>
      <c r="C15" s="35">
        <f>IF(B$13=0,0,B15/B$13)</f>
        <v>0.55862068965517242</v>
      </c>
      <c r="E15" s="59" t="s">
        <v>78</v>
      </c>
      <c r="F15" s="56" t="s">
        <v>33</v>
      </c>
      <c r="G15" s="44">
        <v>35</v>
      </c>
      <c r="H15" s="129">
        <f>IF(B$17=0,0,G15/B$17)</f>
        <v>2.6061057334326135E-2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23.46617647058822</v>
      </c>
      <c r="P15" s="114">
        <v>68</v>
      </c>
      <c r="Q15" s="102">
        <v>1595.6999999999989</v>
      </c>
    </row>
    <row r="16" spans="1:17" x14ac:dyDescent="0.4">
      <c r="A16" s="50" t="s">
        <v>124</v>
      </c>
      <c r="B16" s="43">
        <v>427</v>
      </c>
      <c r="C16" s="35">
        <f>IF(B$14=0,0,B16/B$14)</f>
        <v>0.40822179732313574</v>
      </c>
      <c r="E16" s="59" t="s">
        <v>167</v>
      </c>
      <c r="F16" s="56" t="s">
        <v>168</v>
      </c>
      <c r="G16" s="44">
        <v>32</v>
      </c>
      <c r="H16" s="129">
        <f>IF(B$17=0,0,G16/B$17)</f>
        <v>2.3827252419955324E-2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1343</v>
      </c>
      <c r="C17" s="35">
        <f>IF(B$3=0,0,B17/B$3)</f>
        <v>0.29471143296028091</v>
      </c>
      <c r="E17" s="59" t="s">
        <v>81</v>
      </c>
      <c r="F17" s="56" t="s">
        <v>36</v>
      </c>
      <c r="G17" s="44">
        <v>23</v>
      </c>
      <c r="H17" s="129">
        <f>IF(B$17=0,0,G17/B$17)</f>
        <v>1.7125837676842889E-2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9.8695312499999996</v>
      </c>
      <c r="P17" s="115">
        <v>128</v>
      </c>
      <c r="Q17" s="103">
        <v>1263.3</v>
      </c>
    </row>
    <row r="18" spans="1:17" x14ac:dyDescent="0.4">
      <c r="A18" s="51" t="s">
        <v>12</v>
      </c>
      <c r="B18" s="44">
        <v>588</v>
      </c>
      <c r="C18" s="37">
        <f>IF(B$17=0,0,B18/B$17)</f>
        <v>0.4378257632166791</v>
      </c>
      <c r="E18" s="59" t="s">
        <v>91</v>
      </c>
      <c r="F18" s="56" t="s">
        <v>46</v>
      </c>
      <c r="G18" s="44">
        <v>17</v>
      </c>
      <c r="H18" s="129">
        <f>IF(B$17=0,0,G18/B$17)</f>
        <v>1.2658227848101266E-2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7.8581632653061195</v>
      </c>
      <c r="P18" s="115">
        <v>98</v>
      </c>
      <c r="Q18" s="103">
        <v>770.09999999999968</v>
      </c>
    </row>
    <row r="19" spans="1:17" x14ac:dyDescent="0.4">
      <c r="A19" s="51" t="s">
        <v>11</v>
      </c>
      <c r="B19" s="44">
        <v>755</v>
      </c>
      <c r="C19" s="37">
        <f>IF(B$17=0,0,B19/B$17)</f>
        <v>0.5621742367833209</v>
      </c>
      <c r="E19" s="59" t="s">
        <v>79</v>
      </c>
      <c r="F19" s="56" t="s">
        <v>34</v>
      </c>
      <c r="G19" s="44">
        <v>16</v>
      </c>
      <c r="H19" s="129">
        <f>IF(B$17=0,0,G19/B$17)</f>
        <v>1.1913626209977662E-2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2.0157303370786503</v>
      </c>
      <c r="P19" s="115">
        <v>178</v>
      </c>
      <c r="Q19" s="103">
        <v>358.79999999999978</v>
      </c>
    </row>
    <row r="20" spans="1:17" x14ac:dyDescent="0.4">
      <c r="A20" s="51" t="s">
        <v>13</v>
      </c>
      <c r="B20" s="44">
        <v>748</v>
      </c>
      <c r="C20" s="37">
        <f>IF(B$3=0,0,B20/B$3)</f>
        <v>0.16414307658547289</v>
      </c>
      <c r="E20" s="59" t="s">
        <v>75</v>
      </c>
      <c r="F20" s="56" t="s">
        <v>30</v>
      </c>
      <c r="G20" s="44">
        <v>9</v>
      </c>
      <c r="H20" s="129">
        <f>IF(B$17=0,0,G20/B$17)</f>
        <v>6.7014147431124346E-3</v>
      </c>
      <c r="I20" s="90">
        <v>5</v>
      </c>
      <c r="K20" s="36">
        <v>18</v>
      </c>
      <c r="L20" s="95">
        <v>0</v>
      </c>
      <c r="N20" s="111" t="s">
        <v>127</v>
      </c>
      <c r="O20" s="121">
        <f>IF(P20=0,0,Q20/P20)</f>
        <v>0.45873786407766382</v>
      </c>
      <c r="P20" s="115">
        <v>206</v>
      </c>
      <c r="Q20" s="103">
        <v>94.499999999998749</v>
      </c>
    </row>
    <row r="21" spans="1:17" x14ac:dyDescent="0.4">
      <c r="A21" s="51" t="s">
        <v>169</v>
      </c>
      <c r="B21" s="44">
        <v>7</v>
      </c>
      <c r="C21" s="131">
        <v>2</v>
      </c>
      <c r="E21" s="59" t="s">
        <v>92</v>
      </c>
      <c r="F21" s="56" t="s">
        <v>47</v>
      </c>
      <c r="G21" s="44">
        <v>7</v>
      </c>
      <c r="H21" s="129">
        <f>IF(B$17=0,0,G21/B$17)</f>
        <v>5.2122114668652275E-3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74</v>
      </c>
      <c r="F22" s="56" t="s">
        <v>29</v>
      </c>
      <c r="G22" s="44">
        <v>6</v>
      </c>
      <c r="H22" s="129">
        <f>IF(B$17=0,0,G22/B$17)</f>
        <v>4.4676098287416231E-3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-9.1224999999999969</v>
      </c>
      <c r="P22" s="115">
        <v>120</v>
      </c>
      <c r="Q22" s="103">
        <v>-1094.6999999999996</v>
      </c>
    </row>
    <row r="23" spans="1:17" x14ac:dyDescent="0.4">
      <c r="A23" s="51" t="s">
        <v>5</v>
      </c>
      <c r="B23" s="48">
        <f>IF(B$17=0,0,C23/B$17)</f>
        <v>8439.6872673119888</v>
      </c>
      <c r="C23" s="39">
        <v>11334500</v>
      </c>
      <c r="E23" s="59" t="s">
        <v>77</v>
      </c>
      <c r="F23" s="56" t="s">
        <v>32</v>
      </c>
      <c r="G23" s="44">
        <v>5</v>
      </c>
      <c r="H23" s="129">
        <f>IF(B$17=0,0,G23/B$17)</f>
        <v>3.7230081906180195E-3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-13.659130434782607</v>
      </c>
      <c r="P23" s="115">
        <v>230</v>
      </c>
      <c r="Q23" s="103">
        <v>-3141.6</v>
      </c>
    </row>
    <row r="24" spans="1:17" x14ac:dyDescent="0.4">
      <c r="A24" s="52" t="s">
        <v>216</v>
      </c>
      <c r="B24" s="136">
        <f>IF($B$17-B$16=0,0,C24/($B$17-B$16))</f>
        <v>8938.8646288209602</v>
      </c>
      <c r="C24" s="137">
        <v>8188000</v>
      </c>
      <c r="E24" s="59" t="s">
        <v>85</v>
      </c>
      <c r="F24" s="56" t="s">
        <v>40</v>
      </c>
      <c r="G24" s="44">
        <v>5</v>
      </c>
      <c r="H24" s="129">
        <f>IF(B$17=0,0,G24/B$17)</f>
        <v>3.7230081906180195E-3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7368.8524590163934</v>
      </c>
      <c r="C25" s="137">
        <v>3146500</v>
      </c>
      <c r="E25" s="59" t="s">
        <v>88</v>
      </c>
      <c r="F25" s="56" t="s">
        <v>43</v>
      </c>
      <c r="G25" s="44">
        <v>5</v>
      </c>
      <c r="H25" s="129">
        <f>IF(B$17=0,0,G25/B$17)</f>
        <v>3.7230081906180195E-3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-7849.0641711229946</v>
      </c>
      <c r="C26" s="137">
        <v>-5871100</v>
      </c>
      <c r="E26" s="59" t="s">
        <v>73</v>
      </c>
      <c r="F26" s="56" t="s">
        <v>28</v>
      </c>
      <c r="G26" s="44">
        <v>4</v>
      </c>
      <c r="H26" s="129">
        <f>IF(B$17=0,0,G26/B$17)</f>
        <v>2.9784065524944155E-3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2.9784065524944155E-3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2.2338049143708115E-3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3.0721966205837174E-3</v>
      </c>
      <c r="E29" s="59" t="s">
        <v>95</v>
      </c>
      <c r="F29" s="56" t="s">
        <v>50</v>
      </c>
      <c r="G29" s="44">
        <v>3</v>
      </c>
      <c r="H29" s="129">
        <f>IF(B$17=0,0,G29/B$17)</f>
        <v>2.2338049143708115E-3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1.4892032762472078E-3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1.4892032762472078E-3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7.4460163812360388E-4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7.4460163812360388E-4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7.4460163812360388E-4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49</v>
      </c>
      <c r="C2" s="149"/>
      <c r="E2" s="58" t="s">
        <v>66</v>
      </c>
      <c r="F2" s="55" t="s">
        <v>22</v>
      </c>
      <c r="G2" s="43">
        <v>79</v>
      </c>
      <c r="H2" s="128">
        <f>IF(B$17=0,0,G2/B$17)</f>
        <v>0.68103448275862066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1120.408163265306</v>
      </c>
      <c r="P2" s="114">
        <v>49</v>
      </c>
      <c r="Q2" s="98">
        <v>54900</v>
      </c>
    </row>
    <row r="3" spans="1:17" x14ac:dyDescent="0.4">
      <c r="A3" s="51" t="s">
        <v>8</v>
      </c>
      <c r="B3" s="150">
        <v>436</v>
      </c>
      <c r="C3" s="151"/>
      <c r="E3" s="59" t="s">
        <v>72</v>
      </c>
      <c r="F3" s="56" t="s">
        <v>27</v>
      </c>
      <c r="G3" s="44">
        <v>60</v>
      </c>
      <c r="H3" s="129">
        <f>IF(B$17=0,0,G3/B$17)</f>
        <v>0.51724137931034486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-912.5</v>
      </c>
      <c r="P3" s="115">
        <v>48</v>
      </c>
      <c r="Q3" s="99">
        <v>-43800</v>
      </c>
    </row>
    <row r="4" spans="1:17" x14ac:dyDescent="0.4">
      <c r="A4" s="51" t="s">
        <v>6</v>
      </c>
      <c r="B4" s="152">
        <v>-256.70000000000005</v>
      </c>
      <c r="C4" s="153"/>
      <c r="E4" s="59" t="s">
        <v>171</v>
      </c>
      <c r="F4" s="56" t="s">
        <v>172</v>
      </c>
      <c r="G4" s="44">
        <v>45</v>
      </c>
      <c r="H4" s="129">
        <f>IF(B$17=0,0,G4/B$17)</f>
        <v>0.38793103448275862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-1284.7826086956522</v>
      </c>
      <c r="P4" s="115">
        <v>46</v>
      </c>
      <c r="Q4" s="99">
        <v>-59100</v>
      </c>
    </row>
    <row r="5" spans="1:17" x14ac:dyDescent="0.4">
      <c r="A5" s="51" t="s">
        <v>7</v>
      </c>
      <c r="B5" s="154">
        <f>IF(B$2=0,0,B$4/B$2)</f>
        <v>-5.2387755102040829</v>
      </c>
      <c r="C5" s="155"/>
      <c r="E5" s="59" t="s">
        <v>64</v>
      </c>
      <c r="F5" s="56" t="s">
        <v>20</v>
      </c>
      <c r="G5" s="44">
        <v>32</v>
      </c>
      <c r="H5" s="129">
        <f>IF(B$17=0,0,G5/B$17)</f>
        <v>0.27586206896551724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-1151.1111111111111</v>
      </c>
      <c r="P5" s="115">
        <v>45</v>
      </c>
      <c r="Q5" s="99">
        <v>-51800</v>
      </c>
    </row>
    <row r="6" spans="1:17" x14ac:dyDescent="0.4">
      <c r="A6" s="51" t="s">
        <v>1</v>
      </c>
      <c r="B6" s="144">
        <f>IF(B$2=0,0,(B$7*1+B$8*2+B$9*3)/B$2)</f>
        <v>2.1224489795918369</v>
      </c>
      <c r="C6" s="145"/>
      <c r="E6" s="59" t="s">
        <v>68</v>
      </c>
      <c r="F6" s="56" t="s">
        <v>12</v>
      </c>
      <c r="G6" s="44">
        <v>32</v>
      </c>
      <c r="H6" s="129">
        <f>IF(B$17=0,0,G6/B$17)</f>
        <v>0.27586206896551724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-353.33333333333331</v>
      </c>
      <c r="P6" s="115">
        <v>45</v>
      </c>
      <c r="Q6" s="99">
        <v>-15900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0.32653061224489793</v>
      </c>
      <c r="E7" s="59" t="s">
        <v>69</v>
      </c>
      <c r="F7" s="56" t="s">
        <v>24</v>
      </c>
      <c r="G7" s="44">
        <v>25</v>
      </c>
      <c r="H7" s="129">
        <f>IF(B$17=0,0,G7/B$17)</f>
        <v>0.21551724137931033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-2125.6410256410259</v>
      </c>
      <c r="P7" s="116">
        <v>39</v>
      </c>
      <c r="Q7" s="100">
        <v>-82900</v>
      </c>
    </row>
    <row r="8" spans="1:17" x14ac:dyDescent="0.4">
      <c r="A8" s="51" t="s">
        <v>3</v>
      </c>
      <c r="B8" s="44">
        <v>11</v>
      </c>
      <c r="C8" s="37">
        <f t="shared" si="1"/>
        <v>0.22448979591836735</v>
      </c>
      <c r="E8" s="59" t="s">
        <v>70</v>
      </c>
      <c r="F8" s="56" t="s">
        <v>25</v>
      </c>
      <c r="G8" s="44">
        <v>17</v>
      </c>
      <c r="H8" s="129">
        <f>IF(B$17=0,0,G8/B$17)</f>
        <v>0.14655172413793102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0.44897959183673469</v>
      </c>
      <c r="E9" s="59" t="s">
        <v>67</v>
      </c>
      <c r="F9" s="56" t="s">
        <v>23</v>
      </c>
      <c r="G9" s="44">
        <v>15</v>
      </c>
      <c r="H9" s="129">
        <f>IF(B$17=0,0,G9/B$17)</f>
        <v>0.12931034482758622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2.0408163265306121E-2</v>
      </c>
      <c r="E10" s="59" t="s">
        <v>71</v>
      </c>
      <c r="F10" s="56" t="s">
        <v>26</v>
      </c>
      <c r="G10" s="44">
        <v>12</v>
      </c>
      <c r="H10" s="129">
        <f>IF(B$17=0,0,G10/B$17)</f>
        <v>0.10344827586206896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-6.9249999999999989</v>
      </c>
      <c r="P10" s="114">
        <v>16</v>
      </c>
      <c r="Q10" s="102">
        <v>-110.79999999999998</v>
      </c>
    </row>
    <row r="11" spans="1:17" x14ac:dyDescent="0.4">
      <c r="A11" s="52" t="s">
        <v>138</v>
      </c>
      <c r="B11" s="45">
        <v>2</v>
      </c>
      <c r="C11" s="38">
        <f t="shared" si="1"/>
        <v>4.0816326530612242E-2</v>
      </c>
      <c r="E11" s="59" t="s">
        <v>83</v>
      </c>
      <c r="F11" s="56" t="s">
        <v>38</v>
      </c>
      <c r="G11" s="44">
        <v>11</v>
      </c>
      <c r="H11" s="129">
        <f>IF(B$17=0,0,G11/B$17)</f>
        <v>9.4827586206896547E-2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7</v>
      </c>
      <c r="C12" s="40">
        <f t="shared" si="1"/>
        <v>0.14285714285714285</v>
      </c>
      <c r="E12" s="59" t="s">
        <v>65</v>
      </c>
      <c r="F12" s="56" t="s">
        <v>21</v>
      </c>
      <c r="G12" s="44">
        <v>8</v>
      </c>
      <c r="H12" s="129">
        <f>IF(B$17=0,0,G12/B$17)</f>
        <v>6.8965517241379309E-2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67</v>
      </c>
      <c r="C13" s="42">
        <f>IF(B$3=0,0,B13/B$3)</f>
        <v>0.1536697247706422</v>
      </c>
      <c r="E13" s="59" t="s">
        <v>89</v>
      </c>
      <c r="F13" s="56" t="s">
        <v>44</v>
      </c>
      <c r="G13" s="44">
        <v>7</v>
      </c>
      <c r="H13" s="129">
        <f>IF(B$17=0,0,G13/B$17)</f>
        <v>6.0344827586206899E-2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0.23394495412844038</v>
      </c>
      <c r="E14" s="59" t="s">
        <v>81</v>
      </c>
      <c r="F14" s="56" t="s">
        <v>36</v>
      </c>
      <c r="G14" s="44">
        <v>4</v>
      </c>
      <c r="H14" s="129">
        <f>IF(B$17=0,0,G14/B$17)</f>
        <v>3.4482758620689655E-2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0.4925373134328358</v>
      </c>
      <c r="E15" s="59" t="s">
        <v>86</v>
      </c>
      <c r="F15" s="56" t="s">
        <v>41</v>
      </c>
      <c r="G15" s="44">
        <v>4</v>
      </c>
      <c r="H15" s="129">
        <f>IF(B$17=0,0,G15/B$17)</f>
        <v>3.4482758620689655E-2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38</v>
      </c>
      <c r="C16" s="35">
        <f>IF(B$14=0,0,B16/B$14)</f>
        <v>0.37254901960784315</v>
      </c>
      <c r="E16" s="59" t="s">
        <v>91</v>
      </c>
      <c r="F16" s="56" t="s">
        <v>46</v>
      </c>
      <c r="G16" s="44">
        <v>3</v>
      </c>
      <c r="H16" s="129">
        <f>IF(B$17=0,0,G16/B$17)</f>
        <v>2.5862068965517241E-2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-2.5681818181818188</v>
      </c>
      <c r="P16" s="115">
        <v>22</v>
      </c>
      <c r="Q16" s="103">
        <v>-56.500000000000014</v>
      </c>
    </row>
    <row r="17" spans="1:17" x14ac:dyDescent="0.4">
      <c r="A17" s="50" t="s">
        <v>10</v>
      </c>
      <c r="B17" s="43">
        <f>B19+B18</f>
        <v>116</v>
      </c>
      <c r="C17" s="35">
        <f>IF(B$3=0,0,B17/B$3)</f>
        <v>0.26605504587155965</v>
      </c>
      <c r="E17" s="59" t="s">
        <v>88</v>
      </c>
      <c r="F17" s="56" t="s">
        <v>43</v>
      </c>
      <c r="G17" s="44">
        <v>2</v>
      </c>
      <c r="H17" s="129">
        <f>IF(B$17=0,0,G17/B$17)</f>
        <v>1.7241379310344827E-2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>IF(P17=0,0,Q17/P17)</f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47</v>
      </c>
      <c r="C18" s="37">
        <f>IF(B$17=0,0,B18/B$17)</f>
        <v>0.40517241379310343</v>
      </c>
      <c r="E18" s="59" t="s">
        <v>74</v>
      </c>
      <c r="F18" s="56" t="s">
        <v>29</v>
      </c>
      <c r="G18" s="44">
        <v>1</v>
      </c>
      <c r="H18" s="129">
        <f>IF(B$17=0,0,G18/B$17)</f>
        <v>8.6206896551724137E-3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>IF(P18=0,0,Q18/P18)</f>
        <v>-6.340740740740741</v>
      </c>
      <c r="P18" s="115">
        <v>27</v>
      </c>
      <c r="Q18" s="103">
        <v>-171.20000000000002</v>
      </c>
    </row>
    <row r="19" spans="1:17" x14ac:dyDescent="0.4">
      <c r="A19" s="51" t="s">
        <v>11</v>
      </c>
      <c r="B19" s="44">
        <v>69</v>
      </c>
      <c r="C19" s="37">
        <f>IF(B$17=0,0,B19/B$17)</f>
        <v>0.59482758620689657</v>
      </c>
      <c r="E19" s="59" t="s">
        <v>75</v>
      </c>
      <c r="F19" s="56" t="s">
        <v>30</v>
      </c>
      <c r="G19" s="44">
        <v>1</v>
      </c>
      <c r="H19" s="129">
        <f>IF(B$17=0,0,G19/B$17)</f>
        <v>8.6206896551724137E-3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65</v>
      </c>
      <c r="C20" s="37">
        <f>IF(B$3=0,0,B20/B$3)</f>
        <v>0.14908256880733944</v>
      </c>
      <c r="E20" s="59" t="s">
        <v>77</v>
      </c>
      <c r="F20" s="56" t="s">
        <v>32</v>
      </c>
      <c r="G20" s="44">
        <v>1</v>
      </c>
      <c r="H20" s="129">
        <f>IF(B$17=0,0,G20/B$17)</f>
        <v>8.6206896551724137E-3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-27.649999999999995</v>
      </c>
      <c r="P20" s="115">
        <v>8</v>
      </c>
      <c r="Q20" s="103">
        <v>-221.19999999999996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8.6206896551724137E-3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7024.1379310344828</v>
      </c>
      <c r="C23" s="39">
        <v>814800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7352.5641025641025</v>
      </c>
      <c r="C24" s="137">
        <v>573500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6350</v>
      </c>
      <c r="C25" s="137">
        <v>241300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-6955.3846153846152</v>
      </c>
      <c r="C26" s="137">
        <v>-452100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4.5871559633027525E-3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115</v>
      </c>
      <c r="C2" s="149"/>
      <c r="E2" s="58" t="s">
        <v>66</v>
      </c>
      <c r="F2" s="55" t="s">
        <v>22</v>
      </c>
      <c r="G2" s="43">
        <v>215</v>
      </c>
      <c r="H2" s="128">
        <f>IF(B$17=0,0,G2/B$17)</f>
        <v>0.671875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1445.6140350877192</v>
      </c>
      <c r="P2" s="114">
        <v>114</v>
      </c>
      <c r="Q2" s="98">
        <v>164800</v>
      </c>
    </row>
    <row r="3" spans="1:17" x14ac:dyDescent="0.4">
      <c r="A3" s="51" t="s">
        <v>8</v>
      </c>
      <c r="B3" s="150">
        <v>932</v>
      </c>
      <c r="C3" s="151"/>
      <c r="E3" s="59" t="s">
        <v>72</v>
      </c>
      <c r="F3" s="56" t="s">
        <v>27</v>
      </c>
      <c r="G3" s="44">
        <v>158</v>
      </c>
      <c r="H3" s="129">
        <f>IF(B$17=0,0,G3/B$17)</f>
        <v>0.49375000000000002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615.31531531531527</v>
      </c>
      <c r="P3" s="115">
        <v>111</v>
      </c>
      <c r="Q3" s="99">
        <v>68300</v>
      </c>
    </row>
    <row r="4" spans="1:17" x14ac:dyDescent="0.4">
      <c r="A4" s="51" t="s">
        <v>6</v>
      </c>
      <c r="B4" s="152">
        <v>1047.2</v>
      </c>
      <c r="C4" s="153"/>
      <c r="E4" s="59" t="s">
        <v>64</v>
      </c>
      <c r="F4" s="56" t="s">
        <v>20</v>
      </c>
      <c r="G4" s="44">
        <v>143</v>
      </c>
      <c r="H4" s="129">
        <f>IF(B$17=0,0,G4/B$17)</f>
        <v>0.44687500000000002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975.70093457943926</v>
      </c>
      <c r="P4" s="115">
        <v>107</v>
      </c>
      <c r="Q4" s="99">
        <v>104400</v>
      </c>
    </row>
    <row r="5" spans="1:17" x14ac:dyDescent="0.4">
      <c r="A5" s="51" t="s">
        <v>7</v>
      </c>
      <c r="B5" s="154">
        <f>IF(B$2=0,0,B$4/B$2)</f>
        <v>9.1060869565217395</v>
      </c>
      <c r="C5" s="155"/>
      <c r="E5" s="59" t="s">
        <v>171</v>
      </c>
      <c r="F5" s="56" t="s">
        <v>172</v>
      </c>
      <c r="G5" s="44">
        <v>123</v>
      </c>
      <c r="H5" s="129">
        <f>IF(B$17=0,0,G5/B$17)</f>
        <v>0.38437500000000002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410.20408163265307</v>
      </c>
      <c r="P5" s="115">
        <v>98</v>
      </c>
      <c r="Q5" s="99">
        <v>40200</v>
      </c>
    </row>
    <row r="6" spans="1:17" x14ac:dyDescent="0.4">
      <c r="A6" s="51" t="s">
        <v>1</v>
      </c>
      <c r="B6" s="144">
        <f>IF(B$2=0,0,(B$7*1+B$8*2+B$9*3)/B$2)</f>
        <v>1.7826086956521738</v>
      </c>
      <c r="C6" s="145"/>
      <c r="E6" s="59" t="s">
        <v>68</v>
      </c>
      <c r="F6" s="56" t="s">
        <v>12</v>
      </c>
      <c r="G6" s="44">
        <v>95</v>
      </c>
      <c r="H6" s="129">
        <f>IF(B$17=0,0,G6/B$17)</f>
        <v>0.296875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1913.1868131868132</v>
      </c>
      <c r="P6" s="115">
        <v>91</v>
      </c>
      <c r="Q6" s="99">
        <v>174100</v>
      </c>
    </row>
    <row r="7" spans="1:17" x14ac:dyDescent="0.4">
      <c r="A7" s="51" t="s">
        <v>2</v>
      </c>
      <c r="B7" s="44">
        <v>53</v>
      </c>
      <c r="C7" s="37">
        <f t="shared" ref="C7:C12" si="1">IF(B$2=0,0,B7/B$2)</f>
        <v>0.46086956521739131</v>
      </c>
      <c r="E7" s="59" t="s">
        <v>67</v>
      </c>
      <c r="F7" s="56" t="s">
        <v>23</v>
      </c>
      <c r="G7" s="44">
        <v>81</v>
      </c>
      <c r="H7" s="129">
        <f>IF(B$17=0,0,G7/B$17)</f>
        <v>0.25312499999999999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2960.8108108108108</v>
      </c>
      <c r="P7" s="116">
        <v>74</v>
      </c>
      <c r="Q7" s="100">
        <v>219100</v>
      </c>
    </row>
    <row r="8" spans="1:17" x14ac:dyDescent="0.4">
      <c r="A8" s="51" t="s">
        <v>3</v>
      </c>
      <c r="B8" s="44">
        <v>34</v>
      </c>
      <c r="C8" s="37">
        <f t="shared" si="1"/>
        <v>0.29565217391304349</v>
      </c>
      <c r="E8" s="59" t="s">
        <v>69</v>
      </c>
      <c r="F8" s="56" t="s">
        <v>24</v>
      </c>
      <c r="G8" s="44">
        <v>50</v>
      </c>
      <c r="H8" s="129">
        <f>IF(B$17=0,0,G8/B$17)</f>
        <v>0.15625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0.24347826086956523</v>
      </c>
      <c r="E9" s="59" t="s">
        <v>89</v>
      </c>
      <c r="F9" s="56" t="s">
        <v>44</v>
      </c>
      <c r="G9" s="44">
        <v>50</v>
      </c>
      <c r="H9" s="129">
        <f>IF(B$17=0,0,G9/B$17)</f>
        <v>0.15625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4.3478260869565216E-2</v>
      </c>
      <c r="E10" s="59" t="s">
        <v>65</v>
      </c>
      <c r="F10" s="56" t="s">
        <v>21</v>
      </c>
      <c r="G10" s="44">
        <v>37</v>
      </c>
      <c r="H10" s="129">
        <f>IF(B$17=0,0,G10/B$17)</f>
        <v>0.11562500000000001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0.13043478260869565</v>
      </c>
      <c r="E11" s="59" t="s">
        <v>71</v>
      </c>
      <c r="F11" s="56" t="s">
        <v>26</v>
      </c>
      <c r="G11" s="44">
        <v>23</v>
      </c>
      <c r="H11" s="129">
        <f>IF(B$17=0,0,G11/B$17)</f>
        <v>7.1874999999999994E-2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5.4317073170731716</v>
      </c>
      <c r="P11" s="115">
        <v>41</v>
      </c>
      <c r="Q11" s="103">
        <v>222.70000000000002</v>
      </c>
    </row>
    <row r="12" spans="1:17" x14ac:dyDescent="0.4">
      <c r="A12" s="53" t="s">
        <v>158</v>
      </c>
      <c r="B12" s="46">
        <v>13</v>
      </c>
      <c r="C12" s="40">
        <f t="shared" si="1"/>
        <v>0.11304347826086956</v>
      </c>
      <c r="E12" s="59" t="s">
        <v>86</v>
      </c>
      <c r="F12" s="56" t="s">
        <v>41</v>
      </c>
      <c r="G12" s="44">
        <v>18</v>
      </c>
      <c r="H12" s="129">
        <f>IF(B$17=0,0,G12/B$17)</f>
        <v>5.6250000000000001E-2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10.797499999999996</v>
      </c>
      <c r="P12" s="116">
        <v>40</v>
      </c>
      <c r="Q12" s="104">
        <v>431.89999999999986</v>
      </c>
    </row>
    <row r="13" spans="1:17" x14ac:dyDescent="0.4">
      <c r="A13" s="54" t="s">
        <v>121</v>
      </c>
      <c r="B13" s="47">
        <v>252</v>
      </c>
      <c r="C13" s="42">
        <f>IF(B$3=0,0,B13/B$3)</f>
        <v>0.27038626609442062</v>
      </c>
      <c r="E13" s="59" t="s">
        <v>70</v>
      </c>
      <c r="F13" s="56" t="s">
        <v>25</v>
      </c>
      <c r="G13" s="44">
        <v>17</v>
      </c>
      <c r="H13" s="129">
        <f>IF(B$17=0,0,G13/B$17)</f>
        <v>5.3124999999999999E-2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209</v>
      </c>
      <c r="C14" s="37">
        <f>IF(B$3=0,0,B14/B$3)</f>
        <v>0.22424892703862662</v>
      </c>
      <c r="E14" s="59" t="s">
        <v>83</v>
      </c>
      <c r="F14" s="56" t="s">
        <v>38</v>
      </c>
      <c r="G14" s="44">
        <v>15</v>
      </c>
      <c r="H14" s="129">
        <f>IF(B$17=0,0,G14/B$17)</f>
        <v>4.6875E-2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152</v>
      </c>
      <c r="C15" s="35">
        <f>IF(B$13=0,0,B15/B$13)</f>
        <v>0.60317460317460314</v>
      </c>
      <c r="E15" s="59" t="s">
        <v>78</v>
      </c>
      <c r="F15" s="56" t="s">
        <v>33</v>
      </c>
      <c r="G15" s="44">
        <v>13</v>
      </c>
      <c r="H15" s="129">
        <f>IF(B$17=0,0,G15/B$17)</f>
        <v>4.0625000000000001E-2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101</v>
      </c>
      <c r="C16" s="35">
        <f>IF(B$14=0,0,B16/B$14)</f>
        <v>0.48325358851674644</v>
      </c>
      <c r="E16" s="59" t="s">
        <v>167</v>
      </c>
      <c r="F16" s="56" t="s">
        <v>168</v>
      </c>
      <c r="G16" s="44">
        <v>12</v>
      </c>
      <c r="H16" s="129">
        <f>IF(B$17=0,0,G16/B$17)</f>
        <v>3.7499999999999999E-2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28.291666666666661</v>
      </c>
      <c r="P16" s="115">
        <v>12</v>
      </c>
      <c r="Q16" s="103">
        <v>339.49999999999994</v>
      </c>
    </row>
    <row r="17" spans="1:17" x14ac:dyDescent="0.4">
      <c r="A17" s="50" t="s">
        <v>10</v>
      </c>
      <c r="B17" s="43">
        <f>B19+B18</f>
        <v>320</v>
      </c>
      <c r="C17" s="35">
        <f>IF(B$3=0,0,B17/B$3)</f>
        <v>0.34334763948497854</v>
      </c>
      <c r="E17" s="59" t="s">
        <v>77</v>
      </c>
      <c r="F17" s="56" t="s">
        <v>32</v>
      </c>
      <c r="G17" s="44">
        <v>3</v>
      </c>
      <c r="H17" s="129">
        <f>IF(B$17=0,0,G17/B$17)</f>
        <v>9.3749999999999997E-3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17.656818181818185</v>
      </c>
      <c r="P17" s="115">
        <v>44</v>
      </c>
      <c r="Q17" s="103">
        <v>776.90000000000009</v>
      </c>
    </row>
    <row r="18" spans="1:17" x14ac:dyDescent="0.4">
      <c r="A18" s="51" t="s">
        <v>12</v>
      </c>
      <c r="B18" s="44">
        <v>137</v>
      </c>
      <c r="C18" s="37">
        <f>IF(B$17=0,0,B18/B$17)</f>
        <v>0.42812499999999998</v>
      </c>
      <c r="E18" s="59" t="s">
        <v>84</v>
      </c>
      <c r="F18" s="56" t="s">
        <v>39</v>
      </c>
      <c r="G18" s="44">
        <v>3</v>
      </c>
      <c r="H18" s="129">
        <f>IF(B$17=0,0,G18/B$17)</f>
        <v>9.3749999999999997E-3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16.932558139534887</v>
      </c>
      <c r="P18" s="115">
        <v>43</v>
      </c>
      <c r="Q18" s="103">
        <v>728.10000000000014</v>
      </c>
    </row>
    <row r="19" spans="1:17" x14ac:dyDescent="0.4">
      <c r="A19" s="51" t="s">
        <v>11</v>
      </c>
      <c r="B19" s="44">
        <v>183</v>
      </c>
      <c r="C19" s="37">
        <f>IF(B$17=0,0,B19/B$17)</f>
        <v>0.57187500000000002</v>
      </c>
      <c r="E19" s="59" t="s">
        <v>92</v>
      </c>
      <c r="F19" s="56" t="s">
        <v>47</v>
      </c>
      <c r="G19" s="44">
        <v>3</v>
      </c>
      <c r="H19" s="129">
        <f>IF(B$17=0,0,G19/B$17)</f>
        <v>9.3749999999999997E-3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15.45833333333333</v>
      </c>
      <c r="P19" s="115">
        <v>72</v>
      </c>
      <c r="Q19" s="103">
        <v>1112.9999999999998</v>
      </c>
    </row>
    <row r="20" spans="1:17" x14ac:dyDescent="0.4">
      <c r="A20" s="51" t="s">
        <v>13</v>
      </c>
      <c r="B20" s="44">
        <v>119</v>
      </c>
      <c r="C20" s="37">
        <f>IF(B$3=0,0,B20/B$3)</f>
        <v>0.12768240343347639</v>
      </c>
      <c r="E20" s="59" t="s">
        <v>75</v>
      </c>
      <c r="F20" s="56" t="s">
        <v>30</v>
      </c>
      <c r="G20" s="44">
        <v>2</v>
      </c>
      <c r="H20" s="129">
        <f>IF(B$17=0,0,G20/B$17)</f>
        <v>6.2500000000000003E-3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6.3407407407407401</v>
      </c>
      <c r="P20" s="115">
        <v>27</v>
      </c>
      <c r="Q20" s="103">
        <v>171.2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6.2500000000000003E-3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-8.6541666666666668</v>
      </c>
      <c r="P21" s="115">
        <v>24</v>
      </c>
      <c r="Q21" s="103">
        <v>-207.70000000000002</v>
      </c>
    </row>
    <row r="22" spans="1:17" x14ac:dyDescent="0.4">
      <c r="A22" s="51" t="s">
        <v>170</v>
      </c>
      <c r="B22" s="44">
        <v>43</v>
      </c>
      <c r="C22" s="131">
        <v>9</v>
      </c>
      <c r="E22" s="59" t="s">
        <v>81</v>
      </c>
      <c r="F22" s="56" t="s">
        <v>36</v>
      </c>
      <c r="G22" s="44">
        <v>2</v>
      </c>
      <c r="H22" s="129">
        <f>IF(B$17=0,0,G22/B$17)</f>
        <v>6.2500000000000003E-3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8310.625</v>
      </c>
      <c r="C23" s="39">
        <v>2659400</v>
      </c>
      <c r="E23" s="59" t="s">
        <v>85</v>
      </c>
      <c r="F23" s="56" t="s">
        <v>40</v>
      </c>
      <c r="G23" s="44">
        <v>2</v>
      </c>
      <c r="H23" s="129">
        <f>IF(B$17=0,0,G23/B$17)</f>
        <v>6.2500000000000003E-3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8479.9086757990863</v>
      </c>
      <c r="C24" s="137">
        <v>1857100</v>
      </c>
      <c r="E24" s="59" t="s">
        <v>88</v>
      </c>
      <c r="F24" s="56" t="s">
        <v>43</v>
      </c>
      <c r="G24" s="44">
        <v>2</v>
      </c>
      <c r="H24" s="129">
        <f>IF(B$17=0,0,G24/B$17)</f>
        <v>6.2500000000000003E-3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7943.5643564356433</v>
      </c>
      <c r="C25" s="137">
        <v>802300</v>
      </c>
      <c r="E25" s="59" t="s">
        <v>91</v>
      </c>
      <c r="F25" s="56" t="s">
        <v>46</v>
      </c>
      <c r="G25" s="44">
        <v>2</v>
      </c>
      <c r="H25" s="129">
        <f>IF(B$17=0,0,G25/B$17)</f>
        <v>6.2500000000000003E-3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-7973.9495798319331</v>
      </c>
      <c r="C26" s="137">
        <v>-948900</v>
      </c>
      <c r="E26" s="59" t="s">
        <v>74</v>
      </c>
      <c r="F26" s="56" t="s">
        <v>29</v>
      </c>
      <c r="G26" s="44">
        <v>1</v>
      </c>
      <c r="H26" s="129">
        <f>IF(B$17=0,0,G26/B$17)</f>
        <v>3.1250000000000002E-3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3.1250000000000002E-3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3.1250000000000002E-3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1.0729613733905579E-3</v>
      </c>
      <c r="E29" s="59" t="s">
        <v>106</v>
      </c>
      <c r="F29" s="56" t="s">
        <v>113</v>
      </c>
      <c r="G29" s="44">
        <v>1</v>
      </c>
      <c r="H29" s="129">
        <f>IF(B$17=0,0,G29/B$17)</f>
        <v>3.1250000000000002E-3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103</v>
      </c>
      <c r="C2" s="149"/>
      <c r="E2" s="58" t="s">
        <v>66</v>
      </c>
      <c r="F2" s="55" t="s">
        <v>22</v>
      </c>
      <c r="G2" s="43">
        <v>235</v>
      </c>
      <c r="H2" s="128">
        <f>IF(B$17=0,0,G2/B$17)</f>
        <v>0.9073359073359073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-1833.3333333333333</v>
      </c>
      <c r="P2" s="114">
        <v>102</v>
      </c>
      <c r="Q2" s="98">
        <v>-187000</v>
      </c>
    </row>
    <row r="3" spans="1:17" x14ac:dyDescent="0.4">
      <c r="A3" s="51" t="s">
        <v>8</v>
      </c>
      <c r="B3" s="150">
        <v>864</v>
      </c>
      <c r="C3" s="151"/>
      <c r="E3" s="59" t="s">
        <v>72</v>
      </c>
      <c r="F3" s="56" t="s">
        <v>27</v>
      </c>
      <c r="G3" s="44">
        <v>151</v>
      </c>
      <c r="H3" s="129">
        <f>IF(B$17=0,0,G3/B$17)</f>
        <v>0.58301158301158296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1167</v>
      </c>
      <c r="P3" s="115">
        <v>100</v>
      </c>
      <c r="Q3" s="99">
        <v>116700</v>
      </c>
    </row>
    <row r="4" spans="1:17" x14ac:dyDescent="0.4">
      <c r="A4" s="51" t="s">
        <v>6</v>
      </c>
      <c r="B4" s="152">
        <v>-31.500000000000213</v>
      </c>
      <c r="C4" s="153"/>
      <c r="E4" s="59" t="s">
        <v>171</v>
      </c>
      <c r="F4" s="56" t="s">
        <v>172</v>
      </c>
      <c r="G4" s="44">
        <v>109</v>
      </c>
      <c r="H4" s="129">
        <f>IF(B$17=0,0,G4/B$17)</f>
        <v>0.42084942084942084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289.36170212765956</v>
      </c>
      <c r="P4" s="115">
        <v>94</v>
      </c>
      <c r="Q4" s="99">
        <v>27200</v>
      </c>
    </row>
    <row r="5" spans="1:17" x14ac:dyDescent="0.4">
      <c r="A5" s="51" t="s">
        <v>7</v>
      </c>
      <c r="B5" s="154">
        <f>IF(B$2=0,0,B$4/B$2)</f>
        <v>-0.30582524271844869</v>
      </c>
      <c r="C5" s="155"/>
      <c r="E5" s="59" t="s">
        <v>64</v>
      </c>
      <c r="F5" s="56" t="s">
        <v>20</v>
      </c>
      <c r="G5" s="44">
        <v>103</v>
      </c>
      <c r="H5" s="129">
        <f>IF(B$17=0,0,G5/B$17)</f>
        <v>0.39768339768339767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618.18181818181813</v>
      </c>
      <c r="P5" s="115">
        <v>88</v>
      </c>
      <c r="Q5" s="99">
        <v>54400</v>
      </c>
    </row>
    <row r="6" spans="1:17" x14ac:dyDescent="0.4">
      <c r="A6" s="51" t="s">
        <v>1</v>
      </c>
      <c r="B6" s="144">
        <f>IF(B$2=0,0,(B$7*1+B$8*2+B$9*3)/B$2)</f>
        <v>1.9805825242718447</v>
      </c>
      <c r="C6" s="145"/>
      <c r="E6" s="59" t="s">
        <v>68</v>
      </c>
      <c r="F6" s="56" t="s">
        <v>12</v>
      </c>
      <c r="G6" s="44">
        <v>72</v>
      </c>
      <c r="H6" s="129">
        <f>IF(B$17=0,0,G6/B$17)</f>
        <v>0.27799227799227799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-1153.0864197530864</v>
      </c>
      <c r="P6" s="115">
        <v>81</v>
      </c>
      <c r="Q6" s="99">
        <v>-93400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0.34951456310679613</v>
      </c>
      <c r="E7" s="59" t="s">
        <v>67</v>
      </c>
      <c r="F7" s="56" t="s">
        <v>23</v>
      </c>
      <c r="G7" s="44">
        <v>54</v>
      </c>
      <c r="H7" s="129">
        <f>IF(B$17=0,0,G7/B$17)</f>
        <v>0.20849420849420849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1288.4057971014493</v>
      </c>
      <c r="P7" s="116">
        <v>69</v>
      </c>
      <c r="Q7" s="100">
        <v>88900</v>
      </c>
    </row>
    <row r="8" spans="1:17" x14ac:dyDescent="0.4">
      <c r="A8" s="51" t="s">
        <v>3</v>
      </c>
      <c r="B8" s="44">
        <v>33</v>
      </c>
      <c r="C8" s="37">
        <f t="shared" si="1"/>
        <v>0.32038834951456313</v>
      </c>
      <c r="E8" s="59" t="s">
        <v>89</v>
      </c>
      <c r="F8" s="56" t="s">
        <v>44</v>
      </c>
      <c r="G8" s="44">
        <v>32</v>
      </c>
      <c r="H8" s="129">
        <f>IF(B$17=0,0,G8/B$17)</f>
        <v>0.12355212355212356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0.3300970873786408</v>
      </c>
      <c r="E9" s="59" t="s">
        <v>69</v>
      </c>
      <c r="F9" s="56" t="s">
        <v>24</v>
      </c>
      <c r="G9" s="44">
        <v>30</v>
      </c>
      <c r="H9" s="129">
        <f>IF(B$17=0,0,G9/B$17)</f>
        <v>0.11583011583011583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0.14563106796116504</v>
      </c>
      <c r="E10" s="59" t="s">
        <v>65</v>
      </c>
      <c r="F10" s="56" t="s">
        <v>21</v>
      </c>
      <c r="G10" s="44">
        <v>25</v>
      </c>
      <c r="H10" s="129">
        <f>IF(B$17=0,0,G10/B$17)</f>
        <v>9.6525096525096526E-2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2.1880000000000011</v>
      </c>
      <c r="P10" s="114">
        <v>25</v>
      </c>
      <c r="Q10" s="102">
        <v>54.700000000000024</v>
      </c>
    </row>
    <row r="11" spans="1:17" x14ac:dyDescent="0.4">
      <c r="A11" s="52" t="s">
        <v>138</v>
      </c>
      <c r="B11" s="45">
        <v>10</v>
      </c>
      <c r="C11" s="38">
        <f t="shared" si="1"/>
        <v>9.7087378640776698E-2</v>
      </c>
      <c r="E11" s="59" t="s">
        <v>70</v>
      </c>
      <c r="F11" s="56" t="s">
        <v>25</v>
      </c>
      <c r="G11" s="44">
        <v>23</v>
      </c>
      <c r="H11" s="129">
        <f>IF(B$17=0,0,G11/B$17)</f>
        <v>8.8803088803088806E-2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3.8645161290322592</v>
      </c>
      <c r="P11" s="115">
        <v>31</v>
      </c>
      <c r="Q11" s="103">
        <v>119.80000000000004</v>
      </c>
    </row>
    <row r="12" spans="1:17" x14ac:dyDescent="0.4">
      <c r="A12" s="53" t="s">
        <v>158</v>
      </c>
      <c r="B12" s="46">
        <v>17</v>
      </c>
      <c r="C12" s="40">
        <f t="shared" si="1"/>
        <v>0.1650485436893204</v>
      </c>
      <c r="E12" s="59" t="s">
        <v>71</v>
      </c>
      <c r="F12" s="56" t="s">
        <v>26</v>
      </c>
      <c r="G12" s="44">
        <v>22</v>
      </c>
      <c r="H12" s="129">
        <f>IF(B$17=0,0,G12/B$17)</f>
        <v>8.4942084942084939E-2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203</v>
      </c>
      <c r="C13" s="42">
        <f>IF(B$3=0,0,B13/B$3)</f>
        <v>0.23495370370370369</v>
      </c>
      <c r="E13" s="59" t="s">
        <v>86</v>
      </c>
      <c r="F13" s="56" t="s">
        <v>41</v>
      </c>
      <c r="G13" s="44">
        <v>18</v>
      </c>
      <c r="H13" s="129">
        <f>IF(B$17=0,0,G13/B$17)</f>
        <v>6.9498069498069498E-2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262</v>
      </c>
      <c r="C14" s="37">
        <f>IF(B$3=0,0,B14/B$3)</f>
        <v>0.30324074074074076</v>
      </c>
      <c r="E14" s="59" t="s">
        <v>83</v>
      </c>
      <c r="F14" s="56" t="s">
        <v>38</v>
      </c>
      <c r="G14" s="44">
        <v>15</v>
      </c>
      <c r="H14" s="129">
        <f>IF(B$17=0,0,G14/B$17)</f>
        <v>5.7915057915057917E-2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103</v>
      </c>
      <c r="C15" s="35">
        <f>IF(B$13=0,0,B15/B$13)</f>
        <v>0.5073891625615764</v>
      </c>
      <c r="E15" s="59" t="s">
        <v>78</v>
      </c>
      <c r="F15" s="56" t="s">
        <v>33</v>
      </c>
      <c r="G15" s="44">
        <v>8</v>
      </c>
      <c r="H15" s="129">
        <f>IF(B$17=0,0,G15/B$17)</f>
        <v>3.0888030888030889E-2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96</v>
      </c>
      <c r="C16" s="35">
        <f>IF(B$14=0,0,B16/B$14)</f>
        <v>0.36641221374045801</v>
      </c>
      <c r="E16" s="59" t="s">
        <v>91</v>
      </c>
      <c r="F16" s="56" t="s">
        <v>46</v>
      </c>
      <c r="G16" s="44">
        <v>8</v>
      </c>
      <c r="H16" s="129">
        <f>IF(B$17=0,0,G16/B$17)</f>
        <v>3.0888030888030889E-2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259</v>
      </c>
      <c r="C17" s="35">
        <f>IF(B$3=0,0,B17/B$3)</f>
        <v>0.29976851851851855</v>
      </c>
      <c r="E17" s="59" t="s">
        <v>81</v>
      </c>
      <c r="F17" s="56" t="s">
        <v>36</v>
      </c>
      <c r="G17" s="44">
        <v>6</v>
      </c>
      <c r="H17" s="129">
        <f>IF(B$17=0,0,G17/B$17)</f>
        <v>2.3166023166023165E-2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103</v>
      </c>
      <c r="C18" s="37">
        <f>IF(B$17=0,0,B18/B$17)</f>
        <v>0.39768339768339767</v>
      </c>
      <c r="E18" s="59" t="s">
        <v>79</v>
      </c>
      <c r="F18" s="56" t="s">
        <v>34</v>
      </c>
      <c r="G18" s="44">
        <v>5</v>
      </c>
      <c r="H18" s="129">
        <f>IF(B$17=0,0,G18/B$17)</f>
        <v>1.9305019305019305E-2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156</v>
      </c>
      <c r="C19" s="37">
        <f>IF(B$17=0,0,B19/B$17)</f>
        <v>0.60231660231660233</v>
      </c>
      <c r="E19" s="59" t="s">
        <v>167</v>
      </c>
      <c r="F19" s="56" t="s">
        <v>168</v>
      </c>
      <c r="G19" s="44">
        <v>3</v>
      </c>
      <c r="H19" s="129">
        <f>IF(B$17=0,0,G19/B$17)</f>
        <v>1.1583011583011582E-2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172</v>
      </c>
      <c r="C20" s="37">
        <f>IF(B$3=0,0,B20/B$3)</f>
        <v>0.19907407407407407</v>
      </c>
      <c r="E20" s="59" t="s">
        <v>74</v>
      </c>
      <c r="F20" s="56" t="s">
        <v>29</v>
      </c>
      <c r="G20" s="44">
        <v>2</v>
      </c>
      <c r="H20" s="129">
        <f>IF(B$17=0,0,G20/B$17)</f>
        <v>7.7220077220077222E-3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2.5681818181818166</v>
      </c>
      <c r="P20" s="115">
        <v>22</v>
      </c>
      <c r="Q20" s="103">
        <v>56.499999999999964</v>
      </c>
    </row>
    <row r="21" spans="1:17" x14ac:dyDescent="0.4">
      <c r="A21" s="51" t="s">
        <v>169</v>
      </c>
      <c r="B21" s="44">
        <v>7</v>
      </c>
      <c r="C21" s="131">
        <v>2</v>
      </c>
      <c r="E21" s="59" t="s">
        <v>75</v>
      </c>
      <c r="F21" s="56" t="s">
        <v>30</v>
      </c>
      <c r="G21" s="44">
        <v>1</v>
      </c>
      <c r="H21" s="129">
        <f>IF(B$17=0,0,G21/B$17)</f>
        <v>3.8610038610038611E-3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2</v>
      </c>
      <c r="E22" s="59" t="s">
        <v>77</v>
      </c>
      <c r="F22" s="56" t="s">
        <v>32</v>
      </c>
      <c r="G22" s="44">
        <v>1</v>
      </c>
      <c r="H22" s="129">
        <f>IF(B$17=0,0,G22/B$17)</f>
        <v>3.8610038610038611E-3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-15.45833333333333</v>
      </c>
      <c r="P22" s="115">
        <v>72</v>
      </c>
      <c r="Q22" s="103">
        <v>-1112.9999999999998</v>
      </c>
    </row>
    <row r="23" spans="1:17" x14ac:dyDescent="0.4">
      <c r="A23" s="51" t="s">
        <v>5</v>
      </c>
      <c r="B23" s="48">
        <f>IF(B$17=0,0,C23/B$17)</f>
        <v>8591.8918918918916</v>
      </c>
      <c r="C23" s="39">
        <v>2225300</v>
      </c>
      <c r="E23" s="59" t="s">
        <v>84</v>
      </c>
      <c r="F23" s="56" t="s">
        <v>39</v>
      </c>
      <c r="G23" s="44">
        <v>1</v>
      </c>
      <c r="H23" s="129">
        <f>IF(B$17=0,0,G23/B$17)</f>
        <v>3.8610038610038611E-3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9001.8404907975455</v>
      </c>
      <c r="C24" s="137">
        <v>1467300</v>
      </c>
      <c r="E24" s="59" t="s">
        <v>92</v>
      </c>
      <c r="F24" s="56" t="s">
        <v>47</v>
      </c>
      <c r="G24" s="44">
        <v>1</v>
      </c>
      <c r="H24" s="129">
        <f>IF(B$17=0,0,G24/B$17)</f>
        <v>3.8610038610038611E-3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7895.833333333333</v>
      </c>
      <c r="C25" s="137">
        <v>758000</v>
      </c>
      <c r="E25" s="59" t="s">
        <v>95</v>
      </c>
      <c r="F25" s="56" t="s">
        <v>50</v>
      </c>
      <c r="G25" s="44">
        <v>1</v>
      </c>
      <c r="H25" s="129">
        <f>IF(B$17=0,0,G25/B$17)</f>
        <v>3.8610038610038611E-3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-8168.604651162791</v>
      </c>
      <c r="C26" s="137">
        <v>-1405000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3.472222222222222E-3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64</v>
      </c>
      <c r="C2" s="149"/>
      <c r="E2" s="58" t="s">
        <v>66</v>
      </c>
      <c r="F2" s="55" t="s">
        <v>22</v>
      </c>
      <c r="G2" s="43">
        <v>120</v>
      </c>
      <c r="H2" s="128">
        <f>IF(B$17=0,0,G2/B$17)</f>
        <v>0.78947368421052633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-115.87301587301587</v>
      </c>
      <c r="P2" s="114">
        <v>63</v>
      </c>
      <c r="Q2" s="98">
        <v>-7300</v>
      </c>
    </row>
    <row r="3" spans="1:17" x14ac:dyDescent="0.4">
      <c r="A3" s="51" t="s">
        <v>8</v>
      </c>
      <c r="B3" s="150">
        <v>542</v>
      </c>
      <c r="C3" s="151"/>
      <c r="E3" s="59" t="s">
        <v>64</v>
      </c>
      <c r="F3" s="56" t="s">
        <v>20</v>
      </c>
      <c r="G3" s="44">
        <v>89</v>
      </c>
      <c r="H3" s="129">
        <f>IF(B$17=0,0,G3/B$17)</f>
        <v>0.58552631578947367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-988.88888888888891</v>
      </c>
      <c r="P3" s="115">
        <v>63</v>
      </c>
      <c r="Q3" s="99">
        <v>-62300</v>
      </c>
    </row>
    <row r="4" spans="1:17" x14ac:dyDescent="0.4">
      <c r="A4" s="51" t="s">
        <v>6</v>
      </c>
      <c r="B4" s="152">
        <v>-421.09999999999997</v>
      </c>
      <c r="C4" s="153"/>
      <c r="E4" s="59" t="s">
        <v>72</v>
      </c>
      <c r="F4" s="56" t="s">
        <v>27</v>
      </c>
      <c r="G4" s="44">
        <v>78</v>
      </c>
      <c r="H4" s="129">
        <f>IF(B$17=0,0,G4/B$17)</f>
        <v>0.51315789473684215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947.45762711864404</v>
      </c>
      <c r="P4" s="115">
        <v>59</v>
      </c>
      <c r="Q4" s="99">
        <v>55900</v>
      </c>
    </row>
    <row r="5" spans="1:17" x14ac:dyDescent="0.4">
      <c r="A5" s="51" t="s">
        <v>7</v>
      </c>
      <c r="B5" s="154">
        <f>IF(B$2=0,0,B$4/B$2)</f>
        <v>-6.5796874999999995</v>
      </c>
      <c r="C5" s="155"/>
      <c r="E5" s="59" t="s">
        <v>171</v>
      </c>
      <c r="F5" s="56" t="s">
        <v>172</v>
      </c>
      <c r="G5" s="44">
        <v>63</v>
      </c>
      <c r="H5" s="129">
        <f>IF(B$17=0,0,G5/B$17)</f>
        <v>0.41447368421052633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-1389.655172413793</v>
      </c>
      <c r="P5" s="115">
        <v>58</v>
      </c>
      <c r="Q5" s="99">
        <v>-80600</v>
      </c>
    </row>
    <row r="6" spans="1:17" x14ac:dyDescent="0.4">
      <c r="A6" s="51" t="s">
        <v>1</v>
      </c>
      <c r="B6" s="144">
        <f>IF(B$2=0,0,(B$7*1+B$8*2+B$9*3)/B$2)</f>
        <v>2.171875</v>
      </c>
      <c r="C6" s="145"/>
      <c r="E6" s="59" t="s">
        <v>68</v>
      </c>
      <c r="F6" s="56" t="s">
        <v>12</v>
      </c>
      <c r="G6" s="44">
        <v>53</v>
      </c>
      <c r="H6" s="129">
        <f>IF(B$17=0,0,G6/B$17)</f>
        <v>0.34868421052631576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-3281.818181818182</v>
      </c>
      <c r="P6" s="115">
        <v>55</v>
      </c>
      <c r="Q6" s="99">
        <v>-180500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0.21875</v>
      </c>
      <c r="E7" s="59" t="s">
        <v>67</v>
      </c>
      <c r="F7" s="56" t="s">
        <v>23</v>
      </c>
      <c r="G7" s="44">
        <v>47</v>
      </c>
      <c r="H7" s="129">
        <f>IF(B$17=0,0,G7/B$17)</f>
        <v>0.30921052631578949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-1214.2857142857142</v>
      </c>
      <c r="P7" s="116">
        <v>49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0.390625</v>
      </c>
      <c r="E8" s="59" t="s">
        <v>70</v>
      </c>
      <c r="F8" s="56" t="s">
        <v>25</v>
      </c>
      <c r="G8" s="44">
        <v>24</v>
      </c>
      <c r="H8" s="129">
        <f>IF(B$17=0,0,G8/B$17)</f>
        <v>0.15789473684210525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0.390625</v>
      </c>
      <c r="E9" s="59" t="s">
        <v>69</v>
      </c>
      <c r="F9" s="56" t="s">
        <v>24</v>
      </c>
      <c r="G9" s="44">
        <v>22</v>
      </c>
      <c r="H9" s="129">
        <f>IF(B$17=0,0,G9/B$17)</f>
        <v>0.14473684210526316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9.375E-2</v>
      </c>
      <c r="E10" s="59" t="s">
        <v>65</v>
      </c>
      <c r="F10" s="56" t="s">
        <v>21</v>
      </c>
      <c r="G10" s="44">
        <v>18</v>
      </c>
      <c r="H10" s="129">
        <f>IF(B$17=0,0,G10/B$17)</f>
        <v>0.11842105263157894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-1.2320000000000011</v>
      </c>
      <c r="P10" s="114">
        <v>25</v>
      </c>
      <c r="Q10" s="102">
        <v>-30.800000000000026</v>
      </c>
    </row>
    <row r="11" spans="1:17" x14ac:dyDescent="0.4">
      <c r="A11" s="52" t="s">
        <v>138</v>
      </c>
      <c r="B11" s="45">
        <v>2</v>
      </c>
      <c r="C11" s="38">
        <f t="shared" si="1"/>
        <v>3.125E-2</v>
      </c>
      <c r="E11" s="59" t="s">
        <v>89</v>
      </c>
      <c r="F11" s="56" t="s">
        <v>44</v>
      </c>
      <c r="G11" s="44">
        <v>16</v>
      </c>
      <c r="H11" s="129">
        <f>IF(B$17=0,0,G11/B$17)</f>
        <v>0.10526315789473684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7.8125E-2</v>
      </c>
      <c r="E12" s="59" t="s">
        <v>83</v>
      </c>
      <c r="F12" s="56" t="s">
        <v>38</v>
      </c>
      <c r="G12" s="44">
        <v>9</v>
      </c>
      <c r="H12" s="129">
        <f>IF(B$17=0,0,G12/B$17)</f>
        <v>5.921052631578947E-2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156</v>
      </c>
      <c r="C13" s="42">
        <f>IF(B$3=0,0,B13/B$3)</f>
        <v>0.28782287822878228</v>
      </c>
      <c r="E13" s="59" t="s">
        <v>71</v>
      </c>
      <c r="F13" s="56" t="s">
        <v>26</v>
      </c>
      <c r="G13" s="44">
        <v>7</v>
      </c>
      <c r="H13" s="129">
        <f>IF(B$17=0,0,G13/B$17)</f>
        <v>4.6052631578947366E-2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</v>
      </c>
      <c r="C14" s="37">
        <f>IF(B$3=0,0,B14/B$3)</f>
        <v>0.18819188191881919</v>
      </c>
      <c r="E14" s="59" t="s">
        <v>78</v>
      </c>
      <c r="F14" s="56" t="s">
        <v>33</v>
      </c>
      <c r="G14" s="44">
        <v>6</v>
      </c>
      <c r="H14" s="129">
        <f>IF(B$17=0,0,G14/B$17)</f>
        <v>3.9473684210526314E-2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0.58333333333333337</v>
      </c>
      <c r="E15" s="59" t="s">
        <v>86</v>
      </c>
      <c r="F15" s="56" t="s">
        <v>41</v>
      </c>
      <c r="G15" s="44">
        <v>4</v>
      </c>
      <c r="H15" s="129">
        <f>IF(B$17=0,0,G15/B$17)</f>
        <v>2.6315789473684209E-2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41</v>
      </c>
      <c r="C16" s="35">
        <f>IF(B$14=0,0,B16/B$14)</f>
        <v>0.40196078431372551</v>
      </c>
      <c r="E16" s="59" t="s">
        <v>81</v>
      </c>
      <c r="F16" s="56" t="s">
        <v>36</v>
      </c>
      <c r="G16" s="44">
        <v>3</v>
      </c>
      <c r="H16" s="129">
        <f>IF(B$17=0,0,G16/B$17)</f>
        <v>1.9736842105263157E-2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152</v>
      </c>
      <c r="C17" s="35">
        <f>IF(B$3=0,0,B17/B$3)</f>
        <v>0.28044280442804426</v>
      </c>
      <c r="E17" s="59" t="s">
        <v>167</v>
      </c>
      <c r="F17" s="56" t="s">
        <v>168</v>
      </c>
      <c r="G17" s="44">
        <v>3</v>
      </c>
      <c r="H17" s="129">
        <f>IF(B$17=0,0,G17/B$17)</f>
        <v>1.9736842105263157E-2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 t="shared" si="2"/>
        <v>-3.0499999999999985</v>
      </c>
      <c r="P17" s="115">
        <v>10</v>
      </c>
      <c r="Q17" s="103">
        <v>-30.499999999999986</v>
      </c>
    </row>
    <row r="18" spans="1:17" x14ac:dyDescent="0.4">
      <c r="A18" s="51" t="s">
        <v>12</v>
      </c>
      <c r="B18" s="44">
        <v>70</v>
      </c>
      <c r="C18" s="37">
        <f>IF(B$17=0,0,B18/B$17)</f>
        <v>0.46052631578947367</v>
      </c>
      <c r="E18" s="59" t="s">
        <v>75</v>
      </c>
      <c r="F18" s="56" t="s">
        <v>30</v>
      </c>
      <c r="G18" s="44">
        <v>2</v>
      </c>
      <c r="H18" s="129">
        <f>IF(B$17=0,0,G18/B$17)</f>
        <v>1.3157894736842105E-2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 t="shared" si="2"/>
        <v>-5.2999999999999989</v>
      </c>
      <c r="P18" s="115">
        <v>9</v>
      </c>
      <c r="Q18" s="103">
        <v>-47.699999999999989</v>
      </c>
    </row>
    <row r="19" spans="1:17" x14ac:dyDescent="0.4">
      <c r="A19" s="51" t="s">
        <v>11</v>
      </c>
      <c r="B19" s="44">
        <v>82</v>
      </c>
      <c r="C19" s="37">
        <f>IF(B$17=0,0,B19/B$17)</f>
        <v>0.53947368421052633</v>
      </c>
      <c r="E19" s="59" t="s">
        <v>79</v>
      </c>
      <c r="F19" s="56" t="s">
        <v>34</v>
      </c>
      <c r="G19" s="44">
        <v>2</v>
      </c>
      <c r="H19" s="129">
        <f>IF(B$17=0,0,G19/B$17)</f>
        <v>1.3157894736842105E-2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112</v>
      </c>
      <c r="C20" s="37">
        <f>IF(B$3=0,0,B20/B$3)</f>
        <v>0.20664206642066421</v>
      </c>
      <c r="E20" s="59" t="s">
        <v>91</v>
      </c>
      <c r="F20" s="56" t="s">
        <v>46</v>
      </c>
      <c r="G20" s="44">
        <v>1</v>
      </c>
      <c r="H20" s="129">
        <f>IF(B$17=0,0,G20/B$17)</f>
        <v>6.5789473684210523E-3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4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8158.5526315789475</v>
      </c>
      <c r="C23" s="39">
        <v>1240100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8621.6216216216217</v>
      </c>
      <c r="C24" s="137">
        <v>957000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6904.8780487804879</v>
      </c>
      <c r="C25" s="137">
        <v>283100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-7617.8571428571431</v>
      </c>
      <c r="C26" s="137">
        <v>-853200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5.5350553505535052E-3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</sheetData>
  <sortState xmlns:xlrd2="http://schemas.microsoft.com/office/spreadsheetml/2017/richdata2" ref="E2:I67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60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0.86301369863013699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1948.3333333333333</v>
      </c>
      <c r="P2" s="114">
        <v>60</v>
      </c>
      <c r="Q2" s="98">
        <v>116900</v>
      </c>
    </row>
    <row r="3" spans="1:17" x14ac:dyDescent="0.4">
      <c r="A3" s="51" t="s">
        <v>8</v>
      </c>
      <c r="B3" s="150">
        <v>492</v>
      </c>
      <c r="C3" s="151"/>
      <c r="E3" s="59" t="s">
        <v>72</v>
      </c>
      <c r="F3" s="56" t="s">
        <v>27</v>
      </c>
      <c r="G3" s="44">
        <v>79</v>
      </c>
      <c r="H3" s="129">
        <f>IF(B$17=0,0,G3/B$17)</f>
        <v>0.54109589041095896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-2243.1034482758619</v>
      </c>
      <c r="P3" s="115">
        <v>58</v>
      </c>
      <c r="Q3" s="99">
        <v>-130100</v>
      </c>
    </row>
    <row r="4" spans="1:17" x14ac:dyDescent="0.4">
      <c r="A4" s="51" t="s">
        <v>6</v>
      </c>
      <c r="B4" s="152">
        <v>364.90000000000009</v>
      </c>
      <c r="C4" s="153"/>
      <c r="E4" s="59" t="s">
        <v>64</v>
      </c>
      <c r="F4" s="56" t="s">
        <v>20</v>
      </c>
      <c r="G4" s="44">
        <v>78</v>
      </c>
      <c r="H4" s="129">
        <f>IF(B$17=0,0,G4/B$17)</f>
        <v>0.53424657534246578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1046.2962962962963</v>
      </c>
      <c r="P4" s="115">
        <v>54</v>
      </c>
      <c r="Q4" s="99">
        <v>56500</v>
      </c>
    </row>
    <row r="5" spans="1:17" x14ac:dyDescent="0.4">
      <c r="A5" s="51" t="s">
        <v>7</v>
      </c>
      <c r="B5" s="154">
        <f>IF(B$2=0,0,B$4/B$2)</f>
        <v>6.0816666666666679</v>
      </c>
      <c r="C5" s="155"/>
      <c r="E5" s="59" t="s">
        <v>67</v>
      </c>
      <c r="F5" s="56" t="s">
        <v>23</v>
      </c>
      <c r="G5" s="44">
        <v>62</v>
      </c>
      <c r="H5" s="129">
        <f>IF(B$17=0,0,G5/B$17)</f>
        <v>0.42465753424657532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3751.9230769230771</v>
      </c>
      <c r="P5" s="115">
        <v>52</v>
      </c>
      <c r="Q5" s="99">
        <v>195100</v>
      </c>
    </row>
    <row r="6" spans="1:17" x14ac:dyDescent="0.4">
      <c r="A6" s="51" t="s">
        <v>1</v>
      </c>
      <c r="B6" s="144">
        <f>IF(B$2=0,0,(B$7*1+B$8*2+B$9*3)/B$2)</f>
        <v>1.8666666666666667</v>
      </c>
      <c r="C6" s="145"/>
      <c r="E6" s="59" t="s">
        <v>171</v>
      </c>
      <c r="F6" s="56" t="s">
        <v>172</v>
      </c>
      <c r="G6" s="44">
        <v>55</v>
      </c>
      <c r="H6" s="129">
        <f>IF(B$17=0,0,G6/B$17)</f>
        <v>0.37671232876712329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1241.6666666666667</v>
      </c>
      <c r="P6" s="115">
        <v>48</v>
      </c>
      <c r="Q6" s="99">
        <v>59600</v>
      </c>
    </row>
    <row r="7" spans="1:17" x14ac:dyDescent="0.4">
      <c r="A7" s="51" t="s">
        <v>2</v>
      </c>
      <c r="B7" s="44">
        <v>26</v>
      </c>
      <c r="C7" s="37">
        <f t="shared" ref="C7:C12" si="1">IF(B$2=0,0,B7/B$2)</f>
        <v>0.43333333333333335</v>
      </c>
      <c r="E7" s="59" t="s">
        <v>68</v>
      </c>
      <c r="F7" s="56" t="s">
        <v>12</v>
      </c>
      <c r="G7" s="44">
        <v>54</v>
      </c>
      <c r="H7" s="129">
        <f>IF(B$17=0,0,G7/B$17)</f>
        <v>0.36986301369863012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-313.15789473684208</v>
      </c>
      <c r="P7" s="116">
        <v>38</v>
      </c>
      <c r="Q7" s="100">
        <v>-11900</v>
      </c>
    </row>
    <row r="8" spans="1:17" x14ac:dyDescent="0.4">
      <c r="A8" s="51" t="s">
        <v>3</v>
      </c>
      <c r="B8" s="44">
        <v>16</v>
      </c>
      <c r="C8" s="37">
        <f t="shared" si="1"/>
        <v>0.26666666666666666</v>
      </c>
      <c r="E8" s="59" t="s">
        <v>69</v>
      </c>
      <c r="F8" s="56" t="s">
        <v>24</v>
      </c>
      <c r="G8" s="44">
        <v>32</v>
      </c>
      <c r="H8" s="129">
        <f>IF(B$17=0,0,G8/B$17)</f>
        <v>0.21917808219178081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</v>
      </c>
      <c r="E9" s="59" t="s">
        <v>89</v>
      </c>
      <c r="F9" s="56" t="s">
        <v>44</v>
      </c>
      <c r="G9" s="44">
        <v>31</v>
      </c>
      <c r="H9" s="129">
        <f>IF(B$17=0,0,G9/B$17)</f>
        <v>0.21232876712328766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8.3333333333333329E-2</v>
      </c>
      <c r="E10" s="59" t="s">
        <v>65</v>
      </c>
      <c r="F10" s="56" t="s">
        <v>21</v>
      </c>
      <c r="G10" s="44">
        <v>18</v>
      </c>
      <c r="H10" s="129">
        <f>IF(B$17=0,0,G10/B$17)</f>
        <v>0.12328767123287671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12</v>
      </c>
      <c r="C11" s="38">
        <f t="shared" si="1"/>
        <v>0.2</v>
      </c>
      <c r="E11" s="59" t="s">
        <v>70</v>
      </c>
      <c r="F11" s="56" t="s">
        <v>25</v>
      </c>
      <c r="G11" s="44">
        <v>16</v>
      </c>
      <c r="H11" s="129">
        <f>IF(B$17=0,0,G11/B$17)</f>
        <v>0.1095890410958904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8.0571428571428552</v>
      </c>
      <c r="P11" s="115">
        <v>28</v>
      </c>
      <c r="Q11" s="103">
        <v>225.59999999999997</v>
      </c>
    </row>
    <row r="12" spans="1:17" x14ac:dyDescent="0.4">
      <c r="A12" s="53" t="s">
        <v>158</v>
      </c>
      <c r="B12" s="46">
        <v>7</v>
      </c>
      <c r="C12" s="40">
        <f t="shared" si="1"/>
        <v>0.11666666666666667</v>
      </c>
      <c r="E12" s="59" t="s">
        <v>167</v>
      </c>
      <c r="F12" s="56" t="s">
        <v>168</v>
      </c>
      <c r="G12" s="44">
        <v>9</v>
      </c>
      <c r="H12" s="129">
        <f>IF(B$17=0,0,G12/B$17)</f>
        <v>6.1643835616438353E-2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161</v>
      </c>
      <c r="C13" s="42">
        <f>IF(B$3=0,0,B13/B$3)</f>
        <v>0.32723577235772355</v>
      </c>
      <c r="E13" s="59" t="s">
        <v>71</v>
      </c>
      <c r="F13" s="56" t="s">
        <v>26</v>
      </c>
      <c r="G13" s="44">
        <v>7</v>
      </c>
      <c r="H13" s="129">
        <f>IF(B$17=0,0,G13/B$17)</f>
        <v>4.7945205479452052E-2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0.17886178861788618</v>
      </c>
      <c r="E14" s="59" t="s">
        <v>83</v>
      </c>
      <c r="F14" s="56" t="s">
        <v>38</v>
      </c>
      <c r="G14" s="44">
        <v>6</v>
      </c>
      <c r="H14" s="129">
        <f>IF(B$17=0,0,G14/B$17)</f>
        <v>4.1095890410958902E-2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88</v>
      </c>
      <c r="C15" s="35">
        <f>IF(B$13=0,0,B15/B$13)</f>
        <v>0.54658385093167705</v>
      </c>
      <c r="E15" s="59" t="s">
        <v>86</v>
      </c>
      <c r="F15" s="56" t="s">
        <v>41</v>
      </c>
      <c r="G15" s="44">
        <v>5</v>
      </c>
      <c r="H15" s="129">
        <f>IF(B$17=0,0,G15/B$17)</f>
        <v>3.4246575342465752E-2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39</v>
      </c>
      <c r="C16" s="35">
        <f>IF(B$14=0,0,B16/B$14)</f>
        <v>0.44318181818181818</v>
      </c>
      <c r="E16" s="59" t="s">
        <v>81</v>
      </c>
      <c r="F16" s="56" t="s">
        <v>36</v>
      </c>
      <c r="G16" s="44">
        <v>3</v>
      </c>
      <c r="H16" s="129">
        <f>IF(B$17=0,0,G16/B$17)</f>
        <v>2.0547945205479451E-2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27.65</v>
      </c>
      <c r="P16" s="115">
        <v>8</v>
      </c>
      <c r="Q16" s="103">
        <v>221.2</v>
      </c>
    </row>
    <row r="17" spans="1:17" x14ac:dyDescent="0.4">
      <c r="A17" s="50" t="s">
        <v>10</v>
      </c>
      <c r="B17" s="43">
        <f>B19+B18</f>
        <v>146</v>
      </c>
      <c r="C17" s="35">
        <f>IF(B$3=0,0,B17/B$3)</f>
        <v>0.2967479674796748</v>
      </c>
      <c r="E17" s="59" t="s">
        <v>92</v>
      </c>
      <c r="F17" s="56" t="s">
        <v>47</v>
      </c>
      <c r="G17" s="44">
        <v>3</v>
      </c>
      <c r="H17" s="129">
        <f>IF(B$17=0,0,G17/B$17)</f>
        <v>2.0547945205479451E-2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70</v>
      </c>
      <c r="C18" s="37">
        <f>IF(B$17=0,0,B18/B$17)</f>
        <v>0.47945205479452052</v>
      </c>
      <c r="E18" s="59" t="s">
        <v>91</v>
      </c>
      <c r="F18" s="56" t="s">
        <v>46</v>
      </c>
      <c r="G18" s="44">
        <v>2</v>
      </c>
      <c r="H18" s="129">
        <f>IF(B$17=0,0,G18/B$17)</f>
        <v>1.3698630136986301E-2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20.46875</v>
      </c>
      <c r="P18" s="115">
        <v>32</v>
      </c>
      <c r="Q18" s="103">
        <v>655</v>
      </c>
    </row>
    <row r="19" spans="1:17" x14ac:dyDescent="0.4">
      <c r="A19" s="51" t="s">
        <v>11</v>
      </c>
      <c r="B19" s="44">
        <v>76</v>
      </c>
      <c r="C19" s="37">
        <f>IF(B$17=0,0,B19/B$17)</f>
        <v>0.52054794520547942</v>
      </c>
      <c r="E19" s="59" t="s">
        <v>73</v>
      </c>
      <c r="F19" s="56" t="s">
        <v>28</v>
      </c>
      <c r="G19" s="44">
        <v>1</v>
      </c>
      <c r="H19" s="129">
        <f>IF(B$17=0,0,G19/B$17)</f>
        <v>6.8493150684931503E-3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8.654166666666665</v>
      </c>
      <c r="P19" s="115">
        <v>24</v>
      </c>
      <c r="Q19" s="103">
        <v>207.69999999999996</v>
      </c>
    </row>
    <row r="20" spans="1:17" x14ac:dyDescent="0.4">
      <c r="A20" s="51" t="s">
        <v>13</v>
      </c>
      <c r="B20" s="44">
        <v>82</v>
      </c>
      <c r="C20" s="37">
        <f>IF(B$3=0,0,B20/B$3)</f>
        <v>0.16666666666666666</v>
      </c>
      <c r="E20" s="59" t="s">
        <v>75</v>
      </c>
      <c r="F20" s="56" t="s">
        <v>30</v>
      </c>
      <c r="G20" s="44">
        <v>1</v>
      </c>
      <c r="H20" s="129">
        <f>IF(B$17=0,0,G20/B$17)</f>
        <v>6.8493150684931503E-3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3.0499999999999985</v>
      </c>
      <c r="P20" s="115">
        <v>10</v>
      </c>
      <c r="Q20" s="103">
        <v>30.499999999999986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6.8493150684931503E-3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8</v>
      </c>
      <c r="E22" s="59" t="s">
        <v>85</v>
      </c>
      <c r="F22" s="56" t="s">
        <v>40</v>
      </c>
      <c r="G22" s="44">
        <v>1</v>
      </c>
      <c r="H22" s="129">
        <f>IF(B$17=0,0,G22/B$17)</f>
        <v>6.8493150684931503E-3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10443.150684931506</v>
      </c>
      <c r="C23" s="39">
        <v>1524700</v>
      </c>
      <c r="E23" s="59" t="s">
        <v>90</v>
      </c>
      <c r="F23" s="56" t="s">
        <v>45</v>
      </c>
      <c r="G23" s="44">
        <v>1</v>
      </c>
      <c r="H23" s="129">
        <f>IF(B$17=0,0,G23/B$17)</f>
        <v>6.8493150684931503E-3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11345.794392523365</v>
      </c>
      <c r="C24" s="137">
        <v>1214000</v>
      </c>
      <c r="E24" s="59" t="s">
        <v>93</v>
      </c>
      <c r="F24" s="56" t="s">
        <v>48</v>
      </c>
      <c r="G24" s="44">
        <v>1</v>
      </c>
      <c r="H24" s="129">
        <f>IF(B$17=0,0,G24/B$17)</f>
        <v>6.8493150684931503E-3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7966.666666666667</v>
      </c>
      <c r="C25" s="137">
        <v>310700</v>
      </c>
      <c r="E25" s="59" t="s">
        <v>97</v>
      </c>
      <c r="F25" s="56" t="s">
        <v>52</v>
      </c>
      <c r="G25" s="44">
        <v>1</v>
      </c>
      <c r="H25" s="129">
        <f>IF(B$17=0,0,G25/B$17)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-7893.9024390243903</v>
      </c>
      <c r="C26" s="137">
        <v>-647300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</sheetData>
  <sortState xmlns:xlrd2="http://schemas.microsoft.com/office/spreadsheetml/2017/richdata2" ref="E2:I6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89</v>
      </c>
      <c r="C2" s="149"/>
      <c r="E2" s="58" t="s">
        <v>66</v>
      </c>
      <c r="F2" s="55" t="s">
        <v>22</v>
      </c>
      <c r="G2" s="43">
        <v>150</v>
      </c>
      <c r="H2" s="128">
        <f>IF(B$17=0,0,G2/B$17)</f>
        <v>0.74257425742574257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538.20224719101122</v>
      </c>
      <c r="P2" s="114">
        <v>89</v>
      </c>
      <c r="Q2" s="98">
        <v>47900</v>
      </c>
    </row>
    <row r="3" spans="1:17" x14ac:dyDescent="0.4">
      <c r="A3" s="51" t="s">
        <v>8</v>
      </c>
      <c r="B3" s="150">
        <v>716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0.58415841584158412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738.37209302325584</v>
      </c>
      <c r="P3" s="115">
        <v>86</v>
      </c>
      <c r="Q3" s="99">
        <v>63500</v>
      </c>
    </row>
    <row r="4" spans="1:17" x14ac:dyDescent="0.4">
      <c r="A4" s="51" t="s">
        <v>6</v>
      </c>
      <c r="B4" s="152">
        <v>-119.60000000000001</v>
      </c>
      <c r="C4" s="153"/>
      <c r="E4" s="59" t="s">
        <v>64</v>
      </c>
      <c r="F4" s="56" t="s">
        <v>20</v>
      </c>
      <c r="G4" s="44">
        <v>101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-1130</v>
      </c>
      <c r="P4" s="115">
        <v>80</v>
      </c>
      <c r="Q4" s="99">
        <v>-90400</v>
      </c>
    </row>
    <row r="5" spans="1:17" x14ac:dyDescent="0.4">
      <c r="A5" s="51" t="s">
        <v>7</v>
      </c>
      <c r="B5" s="154">
        <f>IF(B$2=0,0,B$4/B$2)</f>
        <v>-1.3438202247191011</v>
      </c>
      <c r="C5" s="155"/>
      <c r="E5" s="59" t="s">
        <v>171</v>
      </c>
      <c r="F5" s="56" t="s">
        <v>172</v>
      </c>
      <c r="G5" s="44">
        <v>92</v>
      </c>
      <c r="H5" s="129">
        <f>IF(B$17=0,0,G5/B$17)</f>
        <v>0.45544554455445546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-208.1081081081081</v>
      </c>
      <c r="P5" s="115">
        <v>74</v>
      </c>
      <c r="Q5" s="99">
        <v>-15400</v>
      </c>
    </row>
    <row r="6" spans="1:17" x14ac:dyDescent="0.4">
      <c r="A6" s="51" t="s">
        <v>1</v>
      </c>
      <c r="B6" s="144">
        <f>IF(B$2=0,0,(B$7*1+B$8*2+B$9*3)/B$2)</f>
        <v>2.0561797752808988</v>
      </c>
      <c r="C6" s="145"/>
      <c r="E6" s="59" t="s">
        <v>67</v>
      </c>
      <c r="F6" s="56" t="s">
        <v>23</v>
      </c>
      <c r="G6" s="44">
        <v>79</v>
      </c>
      <c r="H6" s="129">
        <f>IF(B$17=0,0,G6/B$17)</f>
        <v>0.3910891089108911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-760</v>
      </c>
      <c r="P6" s="115">
        <v>65</v>
      </c>
      <c r="Q6" s="99">
        <v>-49400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0.2247191011235955</v>
      </c>
      <c r="E7" s="59" t="s">
        <v>68</v>
      </c>
      <c r="F7" s="56" t="s">
        <v>12</v>
      </c>
      <c r="G7" s="44">
        <v>65</v>
      </c>
      <c r="H7" s="129">
        <f>IF(B$17=0,0,G7/B$17)</f>
        <v>0.32178217821782179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-828.57142857142856</v>
      </c>
      <c r="P7" s="116">
        <v>56</v>
      </c>
      <c r="Q7" s="100">
        <v>-46400</v>
      </c>
    </row>
    <row r="8" spans="1:17" x14ac:dyDescent="0.4">
      <c r="A8" s="51" t="s">
        <v>3</v>
      </c>
      <c r="B8" s="44">
        <v>44</v>
      </c>
      <c r="C8" s="37">
        <f t="shared" si="1"/>
        <v>0.4943820224719101</v>
      </c>
      <c r="E8" s="59" t="s">
        <v>69</v>
      </c>
      <c r="F8" s="56" t="s">
        <v>24</v>
      </c>
      <c r="G8" s="44">
        <v>27</v>
      </c>
      <c r="H8" s="129">
        <f>IF(B$17=0,0,G8/B$17)</f>
        <v>0.13366336633663367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0.2808988764044944</v>
      </c>
      <c r="E9" s="59" t="s">
        <v>89</v>
      </c>
      <c r="F9" s="56" t="s">
        <v>44</v>
      </c>
      <c r="G9" s="44">
        <v>20</v>
      </c>
      <c r="H9" s="129">
        <f>IF(B$17=0,0,G9/B$17)</f>
        <v>9.9009900990099015E-2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8.98876404494382E-2</v>
      </c>
      <c r="E10" s="59" t="s">
        <v>71</v>
      </c>
      <c r="F10" s="56" t="s">
        <v>26</v>
      </c>
      <c r="G10" s="44">
        <v>19</v>
      </c>
      <c r="H10" s="129">
        <f>IF(B$17=0,0,G10/B$17)</f>
        <v>9.405940594059406E-2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-2.4972972972972975</v>
      </c>
      <c r="P10" s="114">
        <v>37</v>
      </c>
      <c r="Q10" s="102">
        <v>-92.4</v>
      </c>
    </row>
    <row r="11" spans="1:17" x14ac:dyDescent="0.4">
      <c r="A11" s="52" t="s">
        <v>138</v>
      </c>
      <c r="B11" s="45">
        <v>6</v>
      </c>
      <c r="C11" s="38">
        <f t="shared" si="1"/>
        <v>6.741573033707865E-2</v>
      </c>
      <c r="E11" s="59" t="s">
        <v>70</v>
      </c>
      <c r="F11" s="56" t="s">
        <v>25</v>
      </c>
      <c r="G11" s="44">
        <v>17</v>
      </c>
      <c r="H11" s="129">
        <f>IF(B$17=0,0,G11/B$17)</f>
        <v>8.4158415841584164E-2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5.6179775280898875E-2</v>
      </c>
      <c r="E12" s="59" t="s">
        <v>65</v>
      </c>
      <c r="F12" s="56" t="s">
        <v>21</v>
      </c>
      <c r="G12" s="44">
        <v>14</v>
      </c>
      <c r="H12" s="129">
        <f>IF(B$17=0,0,G12/B$17)</f>
        <v>6.9306930693069313E-2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189</v>
      </c>
      <c r="C13" s="42">
        <f>IF(B$3=0,0,B13/B$3)</f>
        <v>0.26396648044692739</v>
      </c>
      <c r="E13" s="59" t="s">
        <v>86</v>
      </c>
      <c r="F13" s="56" t="s">
        <v>41</v>
      </c>
      <c r="G13" s="44">
        <v>10</v>
      </c>
      <c r="H13" s="129">
        <f>IF(B$17=0,0,G13/B$17)</f>
        <v>4.9504950495049507E-2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160</v>
      </c>
      <c r="C14" s="37">
        <f>IF(B$3=0,0,B14/B$3)</f>
        <v>0.22346368715083798</v>
      </c>
      <c r="E14" s="59" t="s">
        <v>83</v>
      </c>
      <c r="F14" s="56" t="s">
        <v>38</v>
      </c>
      <c r="G14" s="44">
        <v>7</v>
      </c>
      <c r="H14" s="129">
        <f>IF(B$17=0,0,G14/B$17)</f>
        <v>3.4653465346534656E-2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0.56084656084656082</v>
      </c>
      <c r="E15" s="59" t="s">
        <v>79</v>
      </c>
      <c r="F15" s="56" t="s">
        <v>34</v>
      </c>
      <c r="G15" s="44">
        <v>6</v>
      </c>
      <c r="H15" s="129">
        <f>IF(B$17=0,0,G15/B$17)</f>
        <v>2.9702970297029702E-2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66</v>
      </c>
      <c r="C16" s="35">
        <f>IF(B$14=0,0,B16/B$14)</f>
        <v>0.41249999999999998</v>
      </c>
      <c r="E16" s="59" t="s">
        <v>167</v>
      </c>
      <c r="F16" s="56" t="s">
        <v>168</v>
      </c>
      <c r="G16" s="44">
        <v>4</v>
      </c>
      <c r="H16" s="129">
        <f>IF(B$17=0,0,G16/B$17)</f>
        <v>1.9801980198019802E-2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202</v>
      </c>
      <c r="C17" s="35">
        <f>IF(B$3=0,0,B17/B$3)</f>
        <v>0.28212290502793297</v>
      </c>
      <c r="E17" s="59" t="s">
        <v>73</v>
      </c>
      <c r="F17" s="56" t="s">
        <v>28</v>
      </c>
      <c r="G17" s="44">
        <v>3</v>
      </c>
      <c r="H17" s="129">
        <f>IF(B$17=0,0,G17/B$17)</f>
        <v>1.4851485148514851E-2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89</v>
      </c>
      <c r="C18" s="37">
        <f>IF(B$17=0,0,B18/B$17)</f>
        <v>0.4405940594059406</v>
      </c>
      <c r="E18" s="59" t="s">
        <v>78</v>
      </c>
      <c r="F18" s="56" t="s">
        <v>33</v>
      </c>
      <c r="G18" s="44">
        <v>3</v>
      </c>
      <c r="H18" s="129">
        <f>IF(B$17=0,0,G18/B$17)</f>
        <v>1.4851485148514851E-2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113</v>
      </c>
      <c r="C19" s="37">
        <f>IF(B$17=0,0,B19/B$17)</f>
        <v>0.55940594059405946</v>
      </c>
      <c r="E19" s="59" t="s">
        <v>81</v>
      </c>
      <c r="F19" s="56" t="s">
        <v>36</v>
      </c>
      <c r="G19" s="44">
        <v>2</v>
      </c>
      <c r="H19" s="129">
        <f>IF(B$17=0,0,G19/B$17)</f>
        <v>9.9009900990099011E-3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97</v>
      </c>
      <c r="C20" s="37">
        <f>IF(B$3=0,0,B20/B$3)</f>
        <v>0.13547486033519554</v>
      </c>
      <c r="E20" s="59" t="s">
        <v>74</v>
      </c>
      <c r="F20" s="56" t="s">
        <v>29</v>
      </c>
      <c r="G20" s="44">
        <v>1</v>
      </c>
      <c r="H20" s="129">
        <f>IF(B$17=0,0,G20/B$17)</f>
        <v>4.9504950495049506E-3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4.9504950495049506E-3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85</v>
      </c>
      <c r="F22" s="56" t="s">
        <v>40</v>
      </c>
      <c r="G22" s="44">
        <v>1</v>
      </c>
      <c r="H22" s="129">
        <f>IF(B$17=0,0,G22/B$17)</f>
        <v>4.9504950495049506E-3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 t="shared" si="2"/>
        <v>-17.656818181818185</v>
      </c>
      <c r="P22" s="115">
        <v>44</v>
      </c>
      <c r="Q22" s="103">
        <v>-776.90000000000009</v>
      </c>
    </row>
    <row r="23" spans="1:17" x14ac:dyDescent="0.4">
      <c r="A23" s="51" t="s">
        <v>5</v>
      </c>
      <c r="B23" s="48">
        <f>IF(B$17=0,0,C23/B$17)</f>
        <v>8315.8415841584156</v>
      </c>
      <c r="C23" s="39">
        <v>1679800</v>
      </c>
      <c r="E23" s="59" t="s">
        <v>87</v>
      </c>
      <c r="F23" s="56" t="s">
        <v>42</v>
      </c>
      <c r="G23" s="44">
        <v>1</v>
      </c>
      <c r="H23" s="129">
        <f>IF(B$17=0,0,G23/B$17)</f>
        <v>4.9504950495049506E-3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 t="shared" si="2"/>
        <v>-20.46875</v>
      </c>
      <c r="P23" s="115">
        <v>32</v>
      </c>
      <c r="Q23" s="103">
        <v>-655</v>
      </c>
    </row>
    <row r="24" spans="1:17" x14ac:dyDescent="0.4">
      <c r="A24" s="52" t="s">
        <v>216</v>
      </c>
      <c r="B24" s="136">
        <f>IF($B$17-B$16=0,0,C24/($B$17-B$16))</f>
        <v>9289.7058823529405</v>
      </c>
      <c r="C24" s="137">
        <v>1263400</v>
      </c>
      <c r="E24" s="59" t="s">
        <v>88</v>
      </c>
      <c r="F24" s="56" t="s">
        <v>43</v>
      </c>
      <c r="G24" s="44">
        <v>1</v>
      </c>
      <c r="H24" s="129">
        <f>IF(B$17=0,0,G24/B$17)</f>
        <v>4.9504950495049506E-3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6309.090909090909</v>
      </c>
      <c r="C25" s="137">
        <v>416400</v>
      </c>
      <c r="E25" s="59" t="s">
        <v>91</v>
      </c>
      <c r="F25" s="56" t="s">
        <v>46</v>
      </c>
      <c r="G25" s="44">
        <v>1</v>
      </c>
      <c r="H25" s="129">
        <f>IF(B$17=0,0,G25/B$17)</f>
        <v>4.9504950495049506E-3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-8062.8865979381444</v>
      </c>
      <c r="C26" s="137">
        <v>-782100</v>
      </c>
      <c r="E26" s="59" t="s">
        <v>93</v>
      </c>
      <c r="F26" s="56" t="s">
        <v>48</v>
      </c>
      <c r="G26" s="44">
        <v>1</v>
      </c>
      <c r="H26" s="129">
        <f>IF(B$17=0,0,G26/B$17)</f>
        <v>4.9504950495049506E-3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4.9504950495049506E-3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2.7932960893854749E-3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</sheetData>
  <sortState xmlns:xlrd2="http://schemas.microsoft.com/office/spreadsheetml/2017/richdata2" ref="E2:I92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34</v>
      </c>
      <c r="C2" s="149"/>
      <c r="E2" s="58" t="s">
        <v>66</v>
      </c>
      <c r="F2" s="55" t="s">
        <v>22</v>
      </c>
      <c r="G2" s="43">
        <v>48</v>
      </c>
      <c r="H2" s="128">
        <f>IF(B$17=0,0,G2/B$17)</f>
        <v>0.7384615384615385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-2729.4117647058824</v>
      </c>
      <c r="P2" s="114">
        <v>34</v>
      </c>
      <c r="Q2" s="98">
        <v>-92800</v>
      </c>
    </row>
    <row r="3" spans="1:17" x14ac:dyDescent="0.4">
      <c r="A3" s="51" t="s">
        <v>8</v>
      </c>
      <c r="B3" s="150">
        <v>279</v>
      </c>
      <c r="C3" s="151"/>
      <c r="E3" s="59" t="s">
        <v>72</v>
      </c>
      <c r="F3" s="56" t="s">
        <v>27</v>
      </c>
      <c r="G3" s="44">
        <v>35</v>
      </c>
      <c r="H3" s="129">
        <f>IF(B$17=0,0,G3/B$17)</f>
        <v>0.53846153846153844</v>
      </c>
      <c r="I3" s="90">
        <v>5</v>
      </c>
      <c r="K3" s="36">
        <v>1</v>
      </c>
      <c r="L3" s="95">
        <v>-12</v>
      </c>
      <c r="N3" s="111" t="s">
        <v>131</v>
      </c>
      <c r="O3" s="118">
        <f t="shared" si="0"/>
        <v>220.58823529411765</v>
      </c>
      <c r="P3" s="115">
        <v>34</v>
      </c>
      <c r="Q3" s="99">
        <v>7500</v>
      </c>
    </row>
    <row r="4" spans="1:17" x14ac:dyDescent="0.4">
      <c r="A4" s="51" t="s">
        <v>6</v>
      </c>
      <c r="B4" s="152">
        <v>-531.90000000000009</v>
      </c>
      <c r="C4" s="153"/>
      <c r="E4" s="59" t="s">
        <v>64</v>
      </c>
      <c r="F4" s="56" t="s">
        <v>20</v>
      </c>
      <c r="G4" s="44">
        <v>29</v>
      </c>
      <c r="H4" s="129">
        <f>IF(B$17=0,0,G4/B$17)</f>
        <v>0.44615384615384618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-2411.7647058823532</v>
      </c>
      <c r="P4" s="115">
        <v>34</v>
      </c>
      <c r="Q4" s="99">
        <v>-82000</v>
      </c>
    </row>
    <row r="5" spans="1:17" x14ac:dyDescent="0.4">
      <c r="A5" s="51" t="s">
        <v>7</v>
      </c>
      <c r="B5" s="154">
        <f>IF(B$2=0,0,B$4/B$2)</f>
        <v>-15.644117647058826</v>
      </c>
      <c r="C5" s="155"/>
      <c r="E5" s="59" t="s">
        <v>171</v>
      </c>
      <c r="F5" s="56" t="s">
        <v>172</v>
      </c>
      <c r="G5" s="44">
        <v>20</v>
      </c>
      <c r="H5" s="129">
        <f>IF(B$17=0,0,G5/B$17)</f>
        <v>0.30769230769230771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-2556.25</v>
      </c>
      <c r="P5" s="115">
        <v>32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2.4117647058823528</v>
      </c>
      <c r="C6" s="145"/>
      <c r="E6" s="59" t="s">
        <v>67</v>
      </c>
      <c r="F6" s="56" t="s">
        <v>23</v>
      </c>
      <c r="G6" s="44">
        <v>19</v>
      </c>
      <c r="H6" s="129">
        <f>IF(B$17=0,0,G6/B$17)</f>
        <v>0.29230769230769232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-1103.2258064516129</v>
      </c>
      <c r="P6" s="115">
        <v>31</v>
      </c>
      <c r="Q6" s="99">
        <v>-34200</v>
      </c>
    </row>
    <row r="7" spans="1:17" x14ac:dyDescent="0.4">
      <c r="A7" s="51" t="s">
        <v>2</v>
      </c>
      <c r="B7" s="44">
        <v>4</v>
      </c>
      <c r="C7" s="37">
        <f t="shared" ref="C7:C12" si="1">IF(B$2=0,0,B7/B$2)</f>
        <v>0.11764705882352941</v>
      </c>
      <c r="E7" s="59" t="s">
        <v>68</v>
      </c>
      <c r="F7" s="56" t="s">
        <v>12</v>
      </c>
      <c r="G7" s="44">
        <v>19</v>
      </c>
      <c r="H7" s="129">
        <f>IF(B$17=0,0,G7/B$17)</f>
        <v>0.29230769230769232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-3744</v>
      </c>
      <c r="P7" s="116">
        <v>25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0.35294117647058826</v>
      </c>
      <c r="E8" s="59" t="s">
        <v>89</v>
      </c>
      <c r="F8" s="56" t="s">
        <v>44</v>
      </c>
      <c r="G8" s="44">
        <v>10</v>
      </c>
      <c r="H8" s="129">
        <f>IF(B$17=0,0,G8/B$17)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0.52941176470588236</v>
      </c>
      <c r="E9" s="59" t="s">
        <v>65</v>
      </c>
      <c r="F9" s="56" t="s">
        <v>21</v>
      </c>
      <c r="G9" s="44">
        <v>7</v>
      </c>
      <c r="H9" s="129">
        <f>IF(B$17=0,0,G9/B$17)</f>
        <v>0.1076923076923077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0.17647058823529413</v>
      </c>
      <c r="E10" s="59" t="s">
        <v>70</v>
      </c>
      <c r="F10" s="56" t="s">
        <v>25</v>
      </c>
      <c r="G10" s="44">
        <v>7</v>
      </c>
      <c r="H10" s="129">
        <f>IF(B$17=0,0,G10/B$17)</f>
        <v>0.1076923076923077</v>
      </c>
      <c r="I10" s="90">
        <v>5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2.9411764705882353E-2</v>
      </c>
      <c r="E11" s="59" t="s">
        <v>71</v>
      </c>
      <c r="F11" s="56" t="s">
        <v>26</v>
      </c>
      <c r="G11" s="44">
        <v>7</v>
      </c>
      <c r="H11" s="129">
        <f>IF(B$17=0,0,G11/B$17)</f>
        <v>0.1076923076923077</v>
      </c>
      <c r="I11" s="90">
        <v>2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2.9411764705882353E-2</v>
      </c>
      <c r="E12" s="59" t="s">
        <v>69</v>
      </c>
      <c r="F12" s="56" t="s">
        <v>24</v>
      </c>
      <c r="G12" s="44">
        <v>6</v>
      </c>
      <c r="H12" s="129">
        <f>IF(B$17=0,0,G12/B$17)</f>
        <v>9.2307692307692313E-2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0.21428571428571455</v>
      </c>
      <c r="P12" s="116">
        <v>7</v>
      </c>
      <c r="Q12" s="104">
        <v>1.5000000000000018</v>
      </c>
    </row>
    <row r="13" spans="1:17" x14ac:dyDescent="0.4">
      <c r="A13" s="54" t="s">
        <v>121</v>
      </c>
      <c r="B13" s="47">
        <v>54</v>
      </c>
      <c r="C13" s="42">
        <f>IF(B$3=0,0,B13/B$3)</f>
        <v>0.19354838709677419</v>
      </c>
      <c r="E13" s="59" t="s">
        <v>83</v>
      </c>
      <c r="F13" s="56" t="s">
        <v>38</v>
      </c>
      <c r="G13" s="44">
        <v>5</v>
      </c>
      <c r="H13" s="129">
        <f>IF(B$17=0,0,G13/B$17)</f>
        <v>7.6923076923076927E-2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0.22222222222222221</v>
      </c>
      <c r="E14" s="59" t="s">
        <v>86</v>
      </c>
      <c r="F14" s="56" t="s">
        <v>41</v>
      </c>
      <c r="G14" s="44">
        <v>5</v>
      </c>
      <c r="H14" s="129">
        <f>IF(B$17=0,0,G14/B$17)</f>
        <v>7.6923076923076927E-2</v>
      </c>
      <c r="I14" s="90">
        <v>1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0.55555555555555558</v>
      </c>
      <c r="E15" s="59" t="s">
        <v>81</v>
      </c>
      <c r="F15" s="56" t="s">
        <v>36</v>
      </c>
      <c r="G15" s="44">
        <v>2</v>
      </c>
      <c r="H15" s="129">
        <f>IF(B$17=0,0,G15/B$17)</f>
        <v>3.0769230769230771E-2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23</v>
      </c>
      <c r="C16" s="35">
        <f>IF(B$14=0,0,B16/B$14)</f>
        <v>0.37096774193548387</v>
      </c>
      <c r="E16" s="59" t="s">
        <v>74</v>
      </c>
      <c r="F16" s="56" t="s">
        <v>29</v>
      </c>
      <c r="G16" s="44">
        <v>1</v>
      </c>
      <c r="H16" s="129">
        <f>IF(B$17=0,0,G16/B$17)</f>
        <v>1.5384615384615385E-2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65</v>
      </c>
      <c r="C17" s="35">
        <f>IF(B$3=0,0,B17/B$3)</f>
        <v>0.23297491039426524</v>
      </c>
      <c r="E17" s="59" t="s">
        <v>78</v>
      </c>
      <c r="F17" s="56" t="s">
        <v>33</v>
      </c>
      <c r="G17" s="44">
        <v>1</v>
      </c>
      <c r="H17" s="129">
        <f>IF(B$17=0,0,G17/B$17)</f>
        <v>1.5384615384615385E-2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31</v>
      </c>
      <c r="C18" s="37">
        <f>IF(B$17=0,0,B18/B$17)</f>
        <v>0.47692307692307695</v>
      </c>
      <c r="E18" s="59" t="s">
        <v>95</v>
      </c>
      <c r="F18" s="56" t="s">
        <v>50</v>
      </c>
      <c r="G18" s="44">
        <v>1</v>
      </c>
      <c r="H18" s="129">
        <f>IF(B$17=0,0,G18/B$17)</f>
        <v>1.5384615384615385E-2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34</v>
      </c>
      <c r="C19" s="37">
        <f>IF(B$17=0,0,B19/B$17)</f>
        <v>0.52307692307692311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54</v>
      </c>
      <c r="C20" s="37">
        <f>IF(B$3=0,0,B20/B$3)</f>
        <v>0.19354838709677419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126</v>
      </c>
      <c r="O21" s="121">
        <f t="shared" si="2"/>
        <v>-28.291666666666668</v>
      </c>
      <c r="P21" s="115">
        <v>12</v>
      </c>
      <c r="Q21" s="103">
        <v>-339.5</v>
      </c>
    </row>
    <row r="22" spans="1:17" x14ac:dyDescent="0.4">
      <c r="A22" s="51" t="s">
        <v>170</v>
      </c>
      <c r="B22" s="44">
        <v>16</v>
      </c>
      <c r="C22" s="131">
        <v>0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7912.3076923076924</v>
      </c>
      <c r="C23" s="39">
        <v>514300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8142.8571428571431</v>
      </c>
      <c r="C24" s="137">
        <v>342000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7491.304347826087</v>
      </c>
      <c r="C25" s="137">
        <v>172300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-7881.4814814814818</v>
      </c>
      <c r="C26" s="137">
        <v>-425600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3.5842293906810036E-3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8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2019-11-12T06:18:57Z</dcterms:modified>
</cp:coreProperties>
</file>