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D2C58179-4ED1-4DF7-B267-C13314BFD57F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35" r:id="rId6"/>
    <sheet name="たかの" sheetId="6337" r:id="rId7"/>
    <sheet name="だいち" sheetId="6339" r:id="rId8"/>
    <sheet name="ただ" sheetId="6341" r:id="rId9"/>
    <sheet name="りくと" sheetId="6343" r:id="rId10"/>
    <sheet name="れんたろう" sheetId="6345" r:id="rId11"/>
    <sheet name="まっつん" sheetId="6347" r:id="rId12"/>
    <sheet name="のり" sheetId="6349" r:id="rId13"/>
    <sheet name="ぱぱ" sheetId="6351" r:id="rId14"/>
    <sheet name="ほたに" sheetId="6353" r:id="rId15"/>
    <sheet name="いっしー" sheetId="6355" r:id="rId16"/>
    <sheet name="ともき" sheetId="6357" r:id="rId17"/>
    <sheet name="たか" sheetId="6359" r:id="rId18"/>
    <sheet name="ゆう" sheetId="6361" r:id="rId19"/>
    <sheet name="ゆう2" sheetId="6362" state="hidden" r:id="rId20"/>
    <sheet name="たか2" sheetId="6360" state="hidden" r:id="rId21"/>
    <sheet name="ともき2" sheetId="6358" state="hidden" r:id="rId22"/>
    <sheet name="いっしー2" sheetId="6356" state="hidden" r:id="rId23"/>
    <sheet name="ほたに2" sheetId="6354" state="hidden" r:id="rId24"/>
    <sheet name="ぱぱ2" sheetId="6352" state="hidden" r:id="rId25"/>
    <sheet name="のり2" sheetId="6350" state="hidden" r:id="rId26"/>
    <sheet name="まっつん2" sheetId="6348" state="hidden" r:id="rId27"/>
    <sheet name="れんたろう2" sheetId="6346" state="hidden" r:id="rId28"/>
    <sheet name="りくと2" sheetId="6344" state="hidden" r:id="rId29"/>
    <sheet name="ただ2" sheetId="6342" state="hidden" r:id="rId30"/>
    <sheet name="だいち2" sheetId="6340" state="hidden" r:id="rId31"/>
    <sheet name="たかの2" sheetId="6338" state="hidden" r:id="rId32"/>
    <sheet name="全体2" sheetId="633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347" l="1"/>
  <c r="O16" i="6357"/>
  <c r="O16" i="6359" l="1"/>
  <c r="O23" i="6337"/>
  <c r="O20" i="6347" l="1"/>
  <c r="O16" i="6361"/>
  <c r="O18" i="6359"/>
  <c r="O15" i="6337" l="1"/>
  <c r="O22" i="6357"/>
  <c r="O19" i="6359" l="1"/>
  <c r="O15" i="6361"/>
  <c r="O17" i="6361"/>
  <c r="C30" i="6361"/>
  <c r="B25" i="6361"/>
  <c r="C16" i="6361"/>
  <c r="B15" i="6361"/>
  <c r="H50" i="6361" s="1"/>
  <c r="B14" i="6361"/>
  <c r="B24" i="6361" s="1"/>
  <c r="B13" i="6361"/>
  <c r="C13" i="6361" s="1"/>
  <c r="O12" i="6361"/>
  <c r="C12" i="6361"/>
  <c r="O11" i="6361"/>
  <c r="C11" i="6361"/>
  <c r="O10" i="6361"/>
  <c r="C10" i="6361"/>
  <c r="C9" i="6361"/>
  <c r="C8" i="6361"/>
  <c r="O7" i="6361"/>
  <c r="C7" i="6361"/>
  <c r="O6" i="6361"/>
  <c r="B6" i="6361"/>
  <c r="O5" i="6361"/>
  <c r="B5" i="6361"/>
  <c r="O4" i="6361"/>
  <c r="O3" i="6361"/>
  <c r="O2" i="6361"/>
  <c r="O16" i="6349"/>
  <c r="O15" i="6359"/>
  <c r="O17" i="6359"/>
  <c r="C30" i="6359"/>
  <c r="B25" i="6359"/>
  <c r="C16" i="6359"/>
  <c r="B15" i="6359"/>
  <c r="H51" i="6359" s="1"/>
  <c r="B14" i="6359"/>
  <c r="B24" i="6359" s="1"/>
  <c r="B13" i="6359"/>
  <c r="C13" i="6359" s="1"/>
  <c r="O12" i="6359"/>
  <c r="C12" i="6359"/>
  <c r="O11" i="6359"/>
  <c r="C11" i="6359"/>
  <c r="O10" i="6359"/>
  <c r="C10" i="6359"/>
  <c r="C9" i="6359"/>
  <c r="C8" i="6359"/>
  <c r="O7" i="6359"/>
  <c r="C7" i="6359"/>
  <c r="O6" i="6359"/>
  <c r="B6" i="6359"/>
  <c r="O5" i="6359"/>
  <c r="B5" i="6359"/>
  <c r="O4" i="6359"/>
  <c r="O3" i="6359"/>
  <c r="O2" i="6359"/>
  <c r="O15" i="6335"/>
  <c r="H9" i="6359" l="1"/>
  <c r="C14" i="6359"/>
  <c r="C14" i="6361"/>
  <c r="H17" i="6361"/>
  <c r="H2" i="6361"/>
  <c r="H6" i="6361"/>
  <c r="H16" i="6361"/>
  <c r="H10" i="6361"/>
  <c r="H11" i="6361"/>
  <c r="H14" i="6361"/>
  <c r="C17" i="6361"/>
  <c r="H22" i="6361"/>
  <c r="B22" i="6361"/>
  <c r="H12" i="6361"/>
  <c r="H34" i="6361"/>
  <c r="C36" i="6361"/>
  <c r="H39" i="6361"/>
  <c r="H42" i="6361"/>
  <c r="C44" i="6361"/>
  <c r="H49" i="6361"/>
  <c r="H15" i="6361"/>
  <c r="C15" i="6361"/>
  <c r="H20" i="6361"/>
  <c r="C20" i="6361"/>
  <c r="B23" i="6361"/>
  <c r="H28" i="6361"/>
  <c r="H32" i="6361"/>
  <c r="C34" i="6361"/>
  <c r="H37" i="6361"/>
  <c r="H40" i="6361"/>
  <c r="C42" i="6361"/>
  <c r="H45" i="6361"/>
  <c r="H51" i="6361"/>
  <c r="H3" i="6361"/>
  <c r="H13" i="6361"/>
  <c r="H8" i="6361"/>
  <c r="H19" i="6361"/>
  <c r="C18" i="6361"/>
  <c r="C21" i="6361"/>
  <c r="H26" i="6361"/>
  <c r="H29" i="6361"/>
  <c r="C32" i="6361"/>
  <c r="H35" i="6361"/>
  <c r="H38" i="6361"/>
  <c r="C40" i="6361"/>
  <c r="H43" i="6361"/>
  <c r="H47" i="6361"/>
  <c r="H4" i="6361"/>
  <c r="H7" i="6361"/>
  <c r="H18" i="6361"/>
  <c r="C19" i="6361"/>
  <c r="H24" i="6361"/>
  <c r="H30" i="6361"/>
  <c r="H33" i="6361"/>
  <c r="H36" i="6361"/>
  <c r="C38" i="6361"/>
  <c r="H41" i="6361"/>
  <c r="H44" i="6361"/>
  <c r="H48" i="6361"/>
  <c r="H52" i="6361"/>
  <c r="H5" i="6361"/>
  <c r="H21" i="6361"/>
  <c r="H23" i="6361"/>
  <c r="H25" i="6361"/>
  <c r="H27" i="6361"/>
  <c r="H9" i="6361"/>
  <c r="H31" i="6361"/>
  <c r="C33" i="6361"/>
  <c r="C35" i="6361"/>
  <c r="C37" i="6361"/>
  <c r="C39" i="6361"/>
  <c r="C41" i="6361"/>
  <c r="C43" i="6361"/>
  <c r="H46" i="6361"/>
  <c r="C18" i="6359"/>
  <c r="H8" i="6359"/>
  <c r="H10" i="6359"/>
  <c r="H18" i="6359"/>
  <c r="H24" i="6359"/>
  <c r="C34" i="6359"/>
  <c r="C38" i="6359"/>
  <c r="H3" i="6359"/>
  <c r="H2" i="6359"/>
  <c r="H7" i="6359"/>
  <c r="C19" i="6359"/>
  <c r="H6" i="6359"/>
  <c r="H19" i="6359"/>
  <c r="C21" i="6359"/>
  <c r="H14" i="6359"/>
  <c r="C42" i="6359"/>
  <c r="H48" i="6359"/>
  <c r="H35" i="6359"/>
  <c r="H39" i="6359"/>
  <c r="H43" i="6359"/>
  <c r="H49" i="6359"/>
  <c r="H11" i="6359"/>
  <c r="H16" i="6359"/>
  <c r="H17" i="6359"/>
  <c r="C17" i="6359"/>
  <c r="B22" i="6359"/>
  <c r="H28" i="6359"/>
  <c r="C32" i="6359"/>
  <c r="C36" i="6359"/>
  <c r="C40" i="6359"/>
  <c r="C44" i="6359"/>
  <c r="H5" i="6359"/>
  <c r="H12" i="6359"/>
  <c r="H4" i="6359"/>
  <c r="H15" i="6359"/>
  <c r="B23" i="6359"/>
  <c r="C15" i="6359"/>
  <c r="H21" i="6359"/>
  <c r="C20" i="6359"/>
  <c r="H26" i="6359"/>
  <c r="H29" i="6359"/>
  <c r="H33" i="6359"/>
  <c r="H37" i="6359"/>
  <c r="H41" i="6359"/>
  <c r="H45" i="6359"/>
  <c r="H52" i="6359"/>
  <c r="H20" i="6359"/>
  <c r="H22" i="6359"/>
  <c r="H23" i="6359"/>
  <c r="H25" i="6359"/>
  <c r="H27" i="6359"/>
  <c r="H13" i="6359"/>
  <c r="H31" i="6359"/>
  <c r="C33" i="6359"/>
  <c r="C35" i="6359"/>
  <c r="C37" i="6359"/>
  <c r="C39" i="6359"/>
  <c r="C41" i="6359"/>
  <c r="C43" i="6359"/>
  <c r="H46" i="6359"/>
  <c r="H50" i="6359"/>
  <c r="H30" i="6359"/>
  <c r="H32" i="6359"/>
  <c r="H34" i="6359"/>
  <c r="H36" i="6359"/>
  <c r="H38" i="6359"/>
  <c r="H40" i="6359"/>
  <c r="H42" i="6359"/>
  <c r="H44" i="6359"/>
  <c r="H47" i="6359"/>
  <c r="O21" i="6357" l="1"/>
  <c r="O15" i="6339"/>
  <c r="O21" i="6341" l="1"/>
  <c r="O17" i="6357"/>
  <c r="O19" i="6357"/>
  <c r="O22" i="6343"/>
  <c r="O23" i="6351" l="1"/>
  <c r="O15" i="6357"/>
  <c r="O19" i="6345" l="1"/>
  <c r="O18" i="6357"/>
  <c r="O20" i="6357"/>
  <c r="C30" i="6357"/>
  <c r="B25" i="6357"/>
  <c r="C16" i="6357"/>
  <c r="B15" i="6357"/>
  <c r="H50" i="6357" s="1"/>
  <c r="C14" i="6357"/>
  <c r="B14" i="6357"/>
  <c r="B24" i="6357" s="1"/>
  <c r="B13" i="6357"/>
  <c r="C13" i="6357" s="1"/>
  <c r="O12" i="6357"/>
  <c r="C12" i="6357"/>
  <c r="O11" i="6357"/>
  <c r="C11" i="6357"/>
  <c r="O10" i="6357"/>
  <c r="C10" i="6357"/>
  <c r="C9" i="6357"/>
  <c r="C8" i="6357"/>
  <c r="O7" i="6357"/>
  <c r="C7" i="6357"/>
  <c r="O6" i="6357"/>
  <c r="B6" i="6357"/>
  <c r="O5" i="6357"/>
  <c r="B5" i="6357"/>
  <c r="O4" i="6357"/>
  <c r="O3" i="6357"/>
  <c r="O2" i="6357"/>
  <c r="O18" i="6349"/>
  <c r="O20" i="6335"/>
  <c r="C19" i="6357" l="1"/>
  <c r="H8" i="6357"/>
  <c r="H9" i="6357"/>
  <c r="H5" i="6357"/>
  <c r="H20" i="6357"/>
  <c r="H12" i="6357"/>
  <c r="H27" i="6357"/>
  <c r="H34" i="6357"/>
  <c r="C36" i="6357"/>
  <c r="H39" i="6357"/>
  <c r="H42" i="6357"/>
  <c r="C44" i="6357"/>
  <c r="H49" i="6357"/>
  <c r="B22" i="6357"/>
  <c r="H28" i="6357"/>
  <c r="H32" i="6357"/>
  <c r="C34" i="6357"/>
  <c r="H37" i="6357"/>
  <c r="H40" i="6357"/>
  <c r="C42" i="6357"/>
  <c r="H45" i="6357"/>
  <c r="H51" i="6357"/>
  <c r="H19" i="6357"/>
  <c r="C17" i="6357"/>
  <c r="H18" i="6357"/>
  <c r="C20" i="6357"/>
  <c r="H13" i="6357"/>
  <c r="C32" i="6357"/>
  <c r="H35" i="6357"/>
  <c r="H38" i="6357"/>
  <c r="C40" i="6357"/>
  <c r="H43" i="6357"/>
  <c r="H47" i="6357"/>
  <c r="H7" i="6357"/>
  <c r="H14" i="6357"/>
  <c r="H15" i="6357"/>
  <c r="H24" i="6357"/>
  <c r="H6" i="6357"/>
  <c r="C15" i="6357"/>
  <c r="H16" i="6357"/>
  <c r="H29" i="6357"/>
  <c r="H2" i="6357"/>
  <c r="H3" i="6357"/>
  <c r="H10" i="6357"/>
  <c r="H4" i="6357"/>
  <c r="H21" i="6357"/>
  <c r="C18" i="6357"/>
  <c r="C21" i="6357"/>
  <c r="H30" i="6357"/>
  <c r="H33" i="6357"/>
  <c r="H36" i="6357"/>
  <c r="C38" i="6357"/>
  <c r="H41" i="6357"/>
  <c r="H44" i="6357"/>
  <c r="H48" i="6357"/>
  <c r="H52" i="6357"/>
  <c r="B23" i="6357"/>
  <c r="H22" i="6357"/>
  <c r="H23" i="6357"/>
  <c r="H25" i="6357"/>
  <c r="H26" i="6357"/>
  <c r="H17" i="6357"/>
  <c r="H11" i="6357"/>
  <c r="H31" i="6357"/>
  <c r="C33" i="6357"/>
  <c r="C35" i="6357"/>
  <c r="C37" i="6357"/>
  <c r="C39" i="6357"/>
  <c r="C41" i="6357"/>
  <c r="C43" i="6357"/>
  <c r="H46" i="6357"/>
  <c r="O16" i="6347" l="1"/>
  <c r="O17" i="6355"/>
  <c r="O23" i="6339"/>
  <c r="O16" i="6355"/>
  <c r="O15" i="6355"/>
  <c r="C30" i="6355"/>
  <c r="B25" i="6355"/>
  <c r="C16" i="6355"/>
  <c r="B15" i="6355"/>
  <c r="H50" i="6355" s="1"/>
  <c r="B14" i="6355"/>
  <c r="B24" i="6355" s="1"/>
  <c r="C13" i="6355"/>
  <c r="B13" i="6355"/>
  <c r="O12" i="6355"/>
  <c r="C12" i="6355"/>
  <c r="O11" i="6355"/>
  <c r="C11" i="6355"/>
  <c r="O10" i="6355"/>
  <c r="C10" i="6355"/>
  <c r="C9" i="6355"/>
  <c r="C8" i="6355"/>
  <c r="O7" i="6355"/>
  <c r="C7" i="6355"/>
  <c r="O6" i="6355"/>
  <c r="B6" i="6355"/>
  <c r="O5" i="6355"/>
  <c r="B5" i="6355"/>
  <c r="O4" i="6355"/>
  <c r="O3" i="6355"/>
  <c r="O2" i="6355"/>
  <c r="O21" i="6349"/>
  <c r="O26" i="6335"/>
  <c r="H12" i="6355" l="1"/>
  <c r="C19" i="6355"/>
  <c r="H13" i="6355"/>
  <c r="H7" i="6355"/>
  <c r="H17" i="6355"/>
  <c r="C14" i="6355"/>
  <c r="H8" i="6355"/>
  <c r="H27" i="6355"/>
  <c r="H34" i="6355"/>
  <c r="C36" i="6355"/>
  <c r="H39" i="6355"/>
  <c r="H42" i="6355"/>
  <c r="C44" i="6355"/>
  <c r="H49" i="6355"/>
  <c r="H10" i="6355"/>
  <c r="H16" i="6355"/>
  <c r="C17" i="6355"/>
  <c r="B22" i="6355"/>
  <c r="H32" i="6355"/>
  <c r="H37" i="6355"/>
  <c r="H40" i="6355"/>
  <c r="C42" i="6355"/>
  <c r="H45" i="6355"/>
  <c r="H51" i="6355"/>
  <c r="H28" i="6355"/>
  <c r="C15" i="6355"/>
  <c r="C20" i="6355"/>
  <c r="H29" i="6355"/>
  <c r="C32" i="6355"/>
  <c r="H35" i="6355"/>
  <c r="H38" i="6355"/>
  <c r="C40" i="6355"/>
  <c r="H43" i="6355"/>
  <c r="H47" i="6355"/>
  <c r="H11" i="6355"/>
  <c r="H15" i="6355"/>
  <c r="H22" i="6355"/>
  <c r="C34" i="6355"/>
  <c r="H4" i="6355"/>
  <c r="H14" i="6355"/>
  <c r="H20" i="6355"/>
  <c r="H25" i="6355"/>
  <c r="H6" i="6355"/>
  <c r="H3" i="6355"/>
  <c r="H9" i="6355"/>
  <c r="H2" i="6355"/>
  <c r="H18" i="6355"/>
  <c r="C18" i="6355"/>
  <c r="C21" i="6355"/>
  <c r="H30" i="6355"/>
  <c r="H33" i="6355"/>
  <c r="H36" i="6355"/>
  <c r="C38" i="6355"/>
  <c r="H41" i="6355"/>
  <c r="H44" i="6355"/>
  <c r="H48" i="6355"/>
  <c r="H52" i="6355"/>
  <c r="B23" i="6355"/>
  <c r="H19" i="6355"/>
  <c r="H21" i="6355"/>
  <c r="H23" i="6355"/>
  <c r="H24" i="6355"/>
  <c r="H26" i="6355"/>
  <c r="H5" i="6355"/>
  <c r="H31" i="6355"/>
  <c r="C33" i="6355"/>
  <c r="C35" i="6355"/>
  <c r="C37" i="6355"/>
  <c r="C39" i="6355"/>
  <c r="C41" i="6355"/>
  <c r="C43" i="6355"/>
  <c r="H46" i="6355"/>
  <c r="O22" i="6337" l="1"/>
  <c r="O16" i="6345"/>
  <c r="O15" i="6345" l="1"/>
  <c r="O19" i="6353"/>
  <c r="O15" i="6343" l="1"/>
  <c r="O22" i="6349"/>
  <c r="O16" i="6353" l="1"/>
  <c r="O23" i="6343"/>
  <c r="O21" i="6337" l="1"/>
  <c r="O17" i="6339"/>
  <c r="O15" i="6349"/>
  <c r="O23" i="6349"/>
  <c r="O19" i="6347" l="1"/>
  <c r="O18" i="6351"/>
  <c r="O17" i="6341" l="1"/>
  <c r="O17" i="6347"/>
  <c r="O19" i="6349"/>
  <c r="O20" i="6349"/>
  <c r="O16" i="6337" l="1"/>
  <c r="O17" i="6351"/>
  <c r="O19" i="6351"/>
  <c r="O18" i="6343"/>
  <c r="O22" i="6341" l="1"/>
  <c r="O20" i="6345"/>
  <c r="O21" i="6345" l="1"/>
  <c r="O22" i="6339"/>
  <c r="O25" i="6349"/>
  <c r="O17" i="6353"/>
  <c r="O15" i="6353"/>
  <c r="O21" i="6351"/>
  <c r="O15" i="6341" l="1"/>
  <c r="O20" i="6341"/>
  <c r="O18" i="6353"/>
  <c r="O20" i="6353"/>
  <c r="C30" i="6353"/>
  <c r="B25" i="6353"/>
  <c r="C16" i="6353"/>
  <c r="B15" i="6353"/>
  <c r="H51" i="6353" s="1"/>
  <c r="B14" i="6353"/>
  <c r="C14" i="6353" s="1"/>
  <c r="B13" i="6353"/>
  <c r="C13" i="6353" s="1"/>
  <c r="O12" i="6353"/>
  <c r="C12" i="6353"/>
  <c r="O11" i="6353"/>
  <c r="C11" i="6353"/>
  <c r="O10" i="6353"/>
  <c r="C10" i="6353"/>
  <c r="C9" i="6353"/>
  <c r="C8" i="6353"/>
  <c r="O7" i="6353"/>
  <c r="C7" i="6353"/>
  <c r="O6" i="6353"/>
  <c r="B6" i="6353"/>
  <c r="O5" i="6353"/>
  <c r="B5" i="6353"/>
  <c r="O4" i="6353"/>
  <c r="O3" i="6353"/>
  <c r="O2" i="6353"/>
  <c r="O21" i="6347"/>
  <c r="O15" i="6347"/>
  <c r="O16" i="6335"/>
  <c r="H14" i="6353" l="1"/>
  <c r="H7" i="6353"/>
  <c r="H5" i="6353"/>
  <c r="H19" i="6353"/>
  <c r="H11" i="6353"/>
  <c r="C42" i="6353"/>
  <c r="H10" i="6353"/>
  <c r="H3" i="6353"/>
  <c r="H2" i="6353"/>
  <c r="C18" i="6353"/>
  <c r="C34" i="6353"/>
  <c r="B24" i="6353"/>
  <c r="H35" i="6353"/>
  <c r="C19" i="6353"/>
  <c r="H8" i="6353"/>
  <c r="H20" i="6353"/>
  <c r="C21" i="6353"/>
  <c r="H30" i="6353"/>
  <c r="C38" i="6353"/>
  <c r="H48" i="6353"/>
  <c r="H39" i="6353"/>
  <c r="H43" i="6353"/>
  <c r="H49" i="6353"/>
  <c r="H23" i="6353"/>
  <c r="H27" i="6353"/>
  <c r="C32" i="6353"/>
  <c r="C36" i="6353"/>
  <c r="C40" i="6353"/>
  <c r="C44" i="6353"/>
  <c r="H6" i="6353"/>
  <c r="H12" i="6353"/>
  <c r="H17" i="6353"/>
  <c r="H18" i="6353"/>
  <c r="C17" i="6353"/>
  <c r="B22" i="6353"/>
  <c r="H4" i="6353"/>
  <c r="H16" i="6353"/>
  <c r="B23" i="6353"/>
  <c r="C15" i="6353"/>
  <c r="H13" i="6353"/>
  <c r="C20" i="6353"/>
  <c r="H26" i="6353"/>
  <c r="H28" i="6353"/>
  <c r="H33" i="6353"/>
  <c r="H37" i="6353"/>
  <c r="H41" i="6353"/>
  <c r="H45" i="6353"/>
  <c r="H52" i="6353"/>
  <c r="H21" i="6353"/>
  <c r="H22" i="6353"/>
  <c r="H24" i="6353"/>
  <c r="H25" i="6353"/>
  <c r="H15" i="6353"/>
  <c r="H9" i="6353"/>
  <c r="H31" i="6353"/>
  <c r="C33" i="6353"/>
  <c r="C35" i="6353"/>
  <c r="C37" i="6353"/>
  <c r="C39" i="6353"/>
  <c r="C41" i="6353"/>
  <c r="C43" i="6353"/>
  <c r="H46" i="6353"/>
  <c r="H50" i="6353"/>
  <c r="H29" i="6353"/>
  <c r="H32" i="6353"/>
  <c r="H34" i="6353"/>
  <c r="H36" i="6353"/>
  <c r="H38" i="6353"/>
  <c r="H40" i="6353"/>
  <c r="H42" i="6353"/>
  <c r="H44" i="6353"/>
  <c r="H47" i="6353"/>
  <c r="O19" i="6339" l="1"/>
  <c r="O20" i="6343"/>
  <c r="O18" i="6339" l="1"/>
  <c r="O22" i="6347"/>
  <c r="O24" i="6347"/>
  <c r="O17" i="6337"/>
  <c r="O16" i="6341"/>
  <c r="O17" i="6343"/>
  <c r="O21" i="6343"/>
  <c r="O18" i="6337"/>
  <c r="O18" i="6341"/>
  <c r="O16" i="6339"/>
  <c r="O20" i="6351"/>
  <c r="O22" i="6351"/>
  <c r="O23" i="6345" l="1"/>
  <c r="O18" i="6345"/>
  <c r="O15" i="6351"/>
  <c r="O16" i="6351"/>
  <c r="C30" i="6351"/>
  <c r="B25" i="6351"/>
  <c r="C16" i="6351"/>
  <c r="B15" i="6351"/>
  <c r="H51" i="6351" s="1"/>
  <c r="B14" i="6351"/>
  <c r="C14" i="6351" s="1"/>
  <c r="B13" i="6351"/>
  <c r="C13" i="6351" s="1"/>
  <c r="O12" i="6351"/>
  <c r="C12" i="6351"/>
  <c r="O11" i="6351"/>
  <c r="C11" i="6351"/>
  <c r="O10" i="6351"/>
  <c r="C10" i="6351"/>
  <c r="C9" i="6351"/>
  <c r="C8" i="6351"/>
  <c r="O7" i="6351"/>
  <c r="C7" i="6351"/>
  <c r="O6" i="6351"/>
  <c r="B6" i="6351"/>
  <c r="O5" i="6351"/>
  <c r="B5" i="6351"/>
  <c r="O4" i="6351"/>
  <c r="O3" i="6351"/>
  <c r="O2" i="6351"/>
  <c r="O17" i="6335"/>
  <c r="O17" i="6349"/>
  <c r="O24" i="6349"/>
  <c r="C30" i="6349"/>
  <c r="B25" i="6349"/>
  <c r="C16" i="6349"/>
  <c r="B15" i="6349"/>
  <c r="H51" i="6349" s="1"/>
  <c r="B14" i="6349"/>
  <c r="B24" i="6349" s="1"/>
  <c r="B13" i="6349"/>
  <c r="C13" i="6349" s="1"/>
  <c r="O12" i="6349"/>
  <c r="C12" i="6349"/>
  <c r="O11" i="6349"/>
  <c r="C11" i="6349"/>
  <c r="O10" i="6349"/>
  <c r="C10" i="6349"/>
  <c r="C9" i="6349"/>
  <c r="C8" i="6349"/>
  <c r="O7" i="6349"/>
  <c r="C7" i="6349"/>
  <c r="O6" i="6349"/>
  <c r="B6" i="6349"/>
  <c r="O5" i="6349"/>
  <c r="B5" i="6349"/>
  <c r="O4" i="6349"/>
  <c r="O3" i="6349"/>
  <c r="O2" i="6349"/>
  <c r="O21" i="6335"/>
  <c r="C14" i="6349" l="1"/>
  <c r="H12" i="6349"/>
  <c r="H52" i="6349"/>
  <c r="H3" i="6349"/>
  <c r="H11" i="6351"/>
  <c r="H9" i="6351"/>
  <c r="H4" i="6351"/>
  <c r="H22" i="6351"/>
  <c r="H16" i="6351"/>
  <c r="C17" i="6351"/>
  <c r="B22" i="6351"/>
  <c r="H33" i="6351"/>
  <c r="H38" i="6351"/>
  <c r="H20" i="6351"/>
  <c r="B23" i="6351"/>
  <c r="H8" i="6351"/>
  <c r="H23" i="6351"/>
  <c r="C19" i="6351"/>
  <c r="H15" i="6351"/>
  <c r="H19" i="6351"/>
  <c r="H35" i="6351"/>
  <c r="C36" i="6351"/>
  <c r="H40" i="6351"/>
  <c r="H43" i="6351"/>
  <c r="C44" i="6351"/>
  <c r="H50" i="6351"/>
  <c r="H17" i="6351"/>
  <c r="H29" i="6351"/>
  <c r="C34" i="6351"/>
  <c r="H41" i="6351"/>
  <c r="C42" i="6351"/>
  <c r="H46" i="6351"/>
  <c r="H7" i="6351"/>
  <c r="H21" i="6351"/>
  <c r="C15" i="6351"/>
  <c r="H25" i="6351"/>
  <c r="C20" i="6351"/>
  <c r="H18" i="6351"/>
  <c r="H30" i="6351"/>
  <c r="C32" i="6351"/>
  <c r="H36" i="6351"/>
  <c r="H39" i="6351"/>
  <c r="C40" i="6351"/>
  <c r="H44" i="6351"/>
  <c r="H48" i="6351"/>
  <c r="H5" i="6351"/>
  <c r="H3" i="6351"/>
  <c r="H2" i="6351"/>
  <c r="H10" i="6351"/>
  <c r="H6" i="6351"/>
  <c r="H24" i="6351"/>
  <c r="C18" i="6351"/>
  <c r="C21" i="6351"/>
  <c r="H31" i="6351"/>
  <c r="H34" i="6351"/>
  <c r="H37" i="6351"/>
  <c r="C38" i="6351"/>
  <c r="H42" i="6351"/>
  <c r="H45" i="6351"/>
  <c r="H49" i="6351"/>
  <c r="H52" i="6351"/>
  <c r="B24" i="6351"/>
  <c r="H13" i="6351"/>
  <c r="H26" i="6351"/>
  <c r="H27" i="6351"/>
  <c r="H28" i="6351"/>
  <c r="H14" i="6351"/>
  <c r="H12" i="6351"/>
  <c r="H32" i="6351"/>
  <c r="C33" i="6351"/>
  <c r="C35" i="6351"/>
  <c r="C37" i="6351"/>
  <c r="C39" i="6351"/>
  <c r="C41" i="6351"/>
  <c r="C43" i="6351"/>
  <c r="H47" i="6351"/>
  <c r="H16" i="6349"/>
  <c r="H9" i="6349"/>
  <c r="H10" i="6349"/>
  <c r="H6" i="6349"/>
  <c r="C38" i="6349"/>
  <c r="C18" i="6349"/>
  <c r="H42" i="6349"/>
  <c r="H45" i="6349"/>
  <c r="C21" i="6349"/>
  <c r="H35" i="6349"/>
  <c r="H4" i="6349"/>
  <c r="H2" i="6349"/>
  <c r="H11" i="6349"/>
  <c r="H17" i="6349"/>
  <c r="H23" i="6349"/>
  <c r="H25" i="6349"/>
  <c r="H37" i="6349"/>
  <c r="H49" i="6349"/>
  <c r="H24" i="6349"/>
  <c r="C19" i="6349"/>
  <c r="H13" i="6349"/>
  <c r="H31" i="6349"/>
  <c r="H20" i="6349"/>
  <c r="C36" i="6349"/>
  <c r="H40" i="6349"/>
  <c r="H43" i="6349"/>
  <c r="C44" i="6349"/>
  <c r="H50" i="6349"/>
  <c r="C17" i="6349"/>
  <c r="H15" i="6349"/>
  <c r="B22" i="6349"/>
  <c r="H32" i="6349"/>
  <c r="H34" i="6349"/>
  <c r="C34" i="6349"/>
  <c r="H38" i="6349"/>
  <c r="H41" i="6349"/>
  <c r="C42" i="6349"/>
  <c r="H46" i="6349"/>
  <c r="H21" i="6349"/>
  <c r="H7" i="6349"/>
  <c r="H22" i="6349"/>
  <c r="C15" i="6349"/>
  <c r="H26" i="6349"/>
  <c r="C20" i="6349"/>
  <c r="H30" i="6349"/>
  <c r="H33" i="6349"/>
  <c r="C32" i="6349"/>
  <c r="H36" i="6349"/>
  <c r="H39" i="6349"/>
  <c r="C40" i="6349"/>
  <c r="H44" i="6349"/>
  <c r="H48" i="6349"/>
  <c r="H5" i="6349"/>
  <c r="B23" i="6349"/>
  <c r="H18" i="6349"/>
  <c r="H27" i="6349"/>
  <c r="H28" i="6349"/>
  <c r="H29" i="6349"/>
  <c r="H14" i="6349"/>
  <c r="H8" i="6349"/>
  <c r="H19" i="6349"/>
  <c r="C33" i="6349"/>
  <c r="C35" i="6349"/>
  <c r="C37" i="6349"/>
  <c r="C39" i="6349"/>
  <c r="C41" i="6349"/>
  <c r="C43" i="6349"/>
  <c r="H47" i="6349"/>
  <c r="O23" i="6347" l="1"/>
  <c r="O18" i="6347"/>
  <c r="C30" i="6347"/>
  <c r="B25" i="6347"/>
  <c r="C16" i="6347"/>
  <c r="B15" i="6347"/>
  <c r="H51" i="6347" s="1"/>
  <c r="B14" i="6347"/>
  <c r="B24" i="6347" s="1"/>
  <c r="B13" i="6347"/>
  <c r="C13" i="6347" s="1"/>
  <c r="O12" i="6347"/>
  <c r="C12" i="6347"/>
  <c r="O11" i="6347"/>
  <c r="C11" i="6347"/>
  <c r="O10" i="6347"/>
  <c r="C10" i="6347"/>
  <c r="C9" i="6347"/>
  <c r="C8" i="6347"/>
  <c r="O7" i="6347"/>
  <c r="C7" i="6347"/>
  <c r="O6" i="6347"/>
  <c r="B6" i="6347"/>
  <c r="O5" i="6347"/>
  <c r="B5" i="6347"/>
  <c r="O4" i="6347"/>
  <c r="O3" i="6347"/>
  <c r="O2" i="6347"/>
  <c r="O22" i="6345"/>
  <c r="O17" i="6345"/>
  <c r="C30" i="6345"/>
  <c r="B25" i="6345"/>
  <c r="C16" i="6345"/>
  <c r="B15" i="6345"/>
  <c r="H51" i="6345" s="1"/>
  <c r="B14" i="6345"/>
  <c r="B24" i="6345" s="1"/>
  <c r="B13" i="6345"/>
  <c r="C13" i="6345" s="1"/>
  <c r="O12" i="6345"/>
  <c r="C12" i="6345"/>
  <c r="O11" i="6345"/>
  <c r="C11" i="6345"/>
  <c r="O10" i="6345"/>
  <c r="C10" i="6345"/>
  <c r="C9" i="6345"/>
  <c r="C8" i="6345"/>
  <c r="O7" i="6345"/>
  <c r="C7" i="6345"/>
  <c r="O6" i="6345"/>
  <c r="B6" i="6345"/>
  <c r="O5" i="6345"/>
  <c r="B5" i="6345"/>
  <c r="O4" i="6345"/>
  <c r="O3" i="6345"/>
  <c r="O2" i="6345"/>
  <c r="O18" i="6335"/>
  <c r="O19" i="6343"/>
  <c r="O16" i="6343"/>
  <c r="C30" i="6343"/>
  <c r="B25" i="6343"/>
  <c r="C16" i="6343"/>
  <c r="B15" i="6343"/>
  <c r="H18" i="6343" s="1"/>
  <c r="B14" i="6343"/>
  <c r="B24" i="6343" s="1"/>
  <c r="B13" i="6343"/>
  <c r="C13" i="6343" s="1"/>
  <c r="O12" i="6343"/>
  <c r="C12" i="6343"/>
  <c r="O11" i="6343"/>
  <c r="C11" i="6343"/>
  <c r="O10" i="6343"/>
  <c r="C10" i="6343"/>
  <c r="C9" i="6343"/>
  <c r="C8" i="6343"/>
  <c r="O7" i="6343"/>
  <c r="C7" i="6343"/>
  <c r="O6" i="6343"/>
  <c r="B6" i="6343"/>
  <c r="O5" i="6343"/>
  <c r="B5" i="6343"/>
  <c r="O4" i="6343"/>
  <c r="O3" i="6343"/>
  <c r="O2" i="6343"/>
  <c r="O22" i="6335"/>
  <c r="O24" i="6335"/>
  <c r="C34" i="6343" l="1"/>
  <c r="C18" i="6343"/>
  <c r="C14" i="6345"/>
  <c r="C14" i="6343"/>
  <c r="H23" i="6343"/>
  <c r="H2" i="6343"/>
  <c r="H3" i="6343"/>
  <c r="H9" i="6343"/>
  <c r="H8" i="6343"/>
  <c r="H4" i="6343"/>
  <c r="C42" i="6343"/>
  <c r="C19" i="6343"/>
  <c r="H36" i="6343"/>
  <c r="H22" i="6343"/>
  <c r="H19" i="6343"/>
  <c r="H14" i="6343"/>
  <c r="C21" i="6343"/>
  <c r="H20" i="6343"/>
  <c r="C38" i="6343"/>
  <c r="H6" i="6343"/>
  <c r="H24" i="6343"/>
  <c r="H10" i="6343"/>
  <c r="H12" i="6343"/>
  <c r="H40" i="6343"/>
  <c r="C14" i="6347"/>
  <c r="H7" i="6347"/>
  <c r="H11" i="6347"/>
  <c r="H27" i="6347"/>
  <c r="H8" i="6347"/>
  <c r="H28" i="6347"/>
  <c r="C19" i="6347"/>
  <c r="H14" i="6347"/>
  <c r="H24" i="6347"/>
  <c r="H36" i="6347"/>
  <c r="C36" i="6347"/>
  <c r="H41" i="6347"/>
  <c r="H43" i="6347"/>
  <c r="C44" i="6347"/>
  <c r="H50" i="6347"/>
  <c r="B22" i="6347"/>
  <c r="C34" i="6347"/>
  <c r="H46" i="6347"/>
  <c r="H6" i="6347"/>
  <c r="H17" i="6347"/>
  <c r="H15" i="6347"/>
  <c r="C20" i="6347"/>
  <c r="H33" i="6347"/>
  <c r="C32" i="6347"/>
  <c r="H37" i="6347"/>
  <c r="H40" i="6347"/>
  <c r="C40" i="6347"/>
  <c r="H44" i="6347"/>
  <c r="H48" i="6347"/>
  <c r="H5" i="6347"/>
  <c r="H10" i="6347"/>
  <c r="H23" i="6347"/>
  <c r="H21" i="6347"/>
  <c r="C17" i="6347"/>
  <c r="H18" i="6347"/>
  <c r="H25" i="6347"/>
  <c r="H26" i="6347"/>
  <c r="H39" i="6347"/>
  <c r="C42" i="6347"/>
  <c r="H16" i="6347"/>
  <c r="C15" i="6347"/>
  <c r="H20" i="6347"/>
  <c r="H4" i="6347"/>
  <c r="H2" i="6347"/>
  <c r="H12" i="6347"/>
  <c r="H3" i="6347"/>
  <c r="H29" i="6347"/>
  <c r="C18" i="6347"/>
  <c r="C21" i="6347"/>
  <c r="H22" i="6347"/>
  <c r="H35" i="6347"/>
  <c r="H38" i="6347"/>
  <c r="C38" i="6347"/>
  <c r="H42" i="6347"/>
  <c r="H45" i="6347"/>
  <c r="H49" i="6347"/>
  <c r="H52" i="6347"/>
  <c r="B23" i="6347"/>
  <c r="H19" i="6347"/>
  <c r="H30" i="6347"/>
  <c r="H31" i="6347"/>
  <c r="H32" i="6347"/>
  <c r="H13" i="6347"/>
  <c r="H9" i="6347"/>
  <c r="H34" i="6347"/>
  <c r="C33" i="6347"/>
  <c r="C35" i="6347"/>
  <c r="C37" i="6347"/>
  <c r="C39" i="6347"/>
  <c r="C41" i="6347"/>
  <c r="C43" i="6347"/>
  <c r="H47" i="6347"/>
  <c r="H6" i="6345"/>
  <c r="H10" i="6345"/>
  <c r="H13" i="6345"/>
  <c r="H29" i="6345"/>
  <c r="H22" i="6345"/>
  <c r="H9" i="6345"/>
  <c r="H30" i="6345"/>
  <c r="C20" i="6345"/>
  <c r="H37" i="6345"/>
  <c r="C40" i="6345"/>
  <c r="H48" i="6345"/>
  <c r="H33" i="6345"/>
  <c r="C32" i="6345"/>
  <c r="H42" i="6345"/>
  <c r="H5" i="6345"/>
  <c r="H21" i="6345"/>
  <c r="C18" i="6345"/>
  <c r="H14" i="6345"/>
  <c r="H35" i="6345"/>
  <c r="H39" i="6345"/>
  <c r="H44" i="6345"/>
  <c r="H7" i="6345"/>
  <c r="H25" i="6345"/>
  <c r="C21" i="6345"/>
  <c r="H28" i="6345"/>
  <c r="H49" i="6345"/>
  <c r="C15" i="6345"/>
  <c r="H24" i="6345"/>
  <c r="H4" i="6345"/>
  <c r="H2" i="6345"/>
  <c r="H11" i="6345"/>
  <c r="H3" i="6345"/>
  <c r="H26" i="6345"/>
  <c r="C19" i="6345"/>
  <c r="H20" i="6345"/>
  <c r="H18" i="6345"/>
  <c r="H36" i="6345"/>
  <c r="C38" i="6345"/>
  <c r="H45" i="6345"/>
  <c r="H52" i="6345"/>
  <c r="C36" i="6345"/>
  <c r="H40" i="6345"/>
  <c r="H43" i="6345"/>
  <c r="C44" i="6345"/>
  <c r="H50" i="6345"/>
  <c r="C17" i="6345"/>
  <c r="H17" i="6345"/>
  <c r="B22" i="6345"/>
  <c r="H34" i="6345"/>
  <c r="H27" i="6345"/>
  <c r="C34" i="6345"/>
  <c r="H38" i="6345"/>
  <c r="H41" i="6345"/>
  <c r="C42" i="6345"/>
  <c r="H46" i="6345"/>
  <c r="H12" i="6345"/>
  <c r="B23" i="6345"/>
  <c r="H16" i="6345"/>
  <c r="H31" i="6345"/>
  <c r="H32" i="6345"/>
  <c r="H23" i="6345"/>
  <c r="H15" i="6345"/>
  <c r="H8" i="6345"/>
  <c r="H19" i="6345"/>
  <c r="C33" i="6345"/>
  <c r="C35" i="6345"/>
  <c r="C37" i="6345"/>
  <c r="C39" i="6345"/>
  <c r="C41" i="6345"/>
  <c r="C43" i="6345"/>
  <c r="H47" i="6345"/>
  <c r="H49" i="6343"/>
  <c r="H44" i="6343"/>
  <c r="H50" i="6343"/>
  <c r="C17" i="6343"/>
  <c r="H17" i="6343"/>
  <c r="B22" i="6343"/>
  <c r="H29" i="6343"/>
  <c r="C32" i="6343"/>
  <c r="C36" i="6343"/>
  <c r="C40" i="6343"/>
  <c r="C44" i="6343"/>
  <c r="H5" i="6343"/>
  <c r="H7" i="6343"/>
  <c r="H21" i="6343"/>
  <c r="B23" i="6343"/>
  <c r="C15" i="6343"/>
  <c r="H16" i="6343"/>
  <c r="C20" i="6343"/>
  <c r="H28" i="6343"/>
  <c r="H30" i="6343"/>
  <c r="H34" i="6343"/>
  <c r="H38" i="6343"/>
  <c r="H42" i="6343"/>
  <c r="H46" i="6343"/>
  <c r="H52" i="6343"/>
  <c r="H15" i="6343"/>
  <c r="H25" i="6343"/>
  <c r="H26" i="6343"/>
  <c r="H27" i="6343"/>
  <c r="H13" i="6343"/>
  <c r="H11" i="6343"/>
  <c r="H32" i="6343"/>
  <c r="C33" i="6343"/>
  <c r="C35" i="6343"/>
  <c r="C37" i="6343"/>
  <c r="C39" i="6343"/>
  <c r="C41" i="6343"/>
  <c r="C43" i="6343"/>
  <c r="H47" i="6343"/>
  <c r="H51" i="6343"/>
  <c r="H31" i="6343"/>
  <c r="H33" i="6343"/>
  <c r="H35" i="6343"/>
  <c r="H37" i="6343"/>
  <c r="H39" i="6343"/>
  <c r="H41" i="6343"/>
  <c r="H43" i="6343"/>
  <c r="H45" i="6343"/>
  <c r="H48" i="6343"/>
  <c r="O23" i="6341" l="1"/>
  <c r="O19" i="6341"/>
  <c r="C30" i="6341"/>
  <c r="B25" i="6341"/>
  <c r="C16" i="6341"/>
  <c r="B15" i="6341"/>
  <c r="H52" i="6341" s="1"/>
  <c r="B14" i="6341"/>
  <c r="B24" i="6341" s="1"/>
  <c r="B13" i="6341"/>
  <c r="C13" i="6341" s="1"/>
  <c r="O12" i="6341"/>
  <c r="C12" i="6341"/>
  <c r="O11" i="6341"/>
  <c r="C11" i="6341"/>
  <c r="O10" i="6341"/>
  <c r="C10" i="6341"/>
  <c r="C9" i="6341"/>
  <c r="C8" i="6341"/>
  <c r="O7" i="6341"/>
  <c r="C7" i="6341"/>
  <c r="O6" i="6341"/>
  <c r="B6" i="6341"/>
  <c r="O5" i="6341"/>
  <c r="B5" i="6341"/>
  <c r="O4" i="6341"/>
  <c r="O3" i="6341"/>
  <c r="O2" i="6341"/>
  <c r="O20" i="6339"/>
  <c r="O21" i="6339"/>
  <c r="C30" i="6339"/>
  <c r="B25" i="6339"/>
  <c r="C16" i="6339"/>
  <c r="B15" i="6339"/>
  <c r="H51" i="6339" s="1"/>
  <c r="B14" i="6339"/>
  <c r="C14" i="6339" s="1"/>
  <c r="B13" i="6339"/>
  <c r="C13" i="6339" s="1"/>
  <c r="O12" i="6339"/>
  <c r="C12" i="6339"/>
  <c r="O11" i="6339"/>
  <c r="C11" i="6339"/>
  <c r="O10" i="6339"/>
  <c r="C10" i="6339"/>
  <c r="C9" i="6339"/>
  <c r="C8" i="6339"/>
  <c r="O7" i="6339"/>
  <c r="C7" i="6339"/>
  <c r="O6" i="6339"/>
  <c r="B6" i="6339"/>
  <c r="O5" i="6339"/>
  <c r="B5" i="6339"/>
  <c r="O4" i="6339"/>
  <c r="O3" i="6339"/>
  <c r="O2" i="6339"/>
  <c r="O19" i="6335"/>
  <c r="O19" i="6337"/>
  <c r="O20" i="6337"/>
  <c r="C30" i="6337"/>
  <c r="B25" i="6337"/>
  <c r="C16" i="6337"/>
  <c r="B15" i="6337"/>
  <c r="H50" i="6337" s="1"/>
  <c r="B14" i="6337"/>
  <c r="B24" i="6337" s="1"/>
  <c r="B13" i="6337"/>
  <c r="C13" i="6337" s="1"/>
  <c r="O12" i="6337"/>
  <c r="C12" i="6337"/>
  <c r="O11" i="6337"/>
  <c r="C11" i="6337"/>
  <c r="O10" i="6337"/>
  <c r="C10" i="6337"/>
  <c r="C9" i="6337"/>
  <c r="C8" i="6337"/>
  <c r="O7" i="6337"/>
  <c r="C7" i="6337"/>
  <c r="O6" i="6337"/>
  <c r="B6" i="6337"/>
  <c r="O5" i="6337"/>
  <c r="B5" i="6337"/>
  <c r="O4" i="6337"/>
  <c r="O3" i="6337"/>
  <c r="O2" i="6337"/>
  <c r="O23" i="6335"/>
  <c r="O25" i="6335"/>
  <c r="C30" i="6335"/>
  <c r="B25" i="6335"/>
  <c r="C16" i="6335"/>
  <c r="B15" i="6335"/>
  <c r="H51" i="6335" s="1"/>
  <c r="B14" i="6335"/>
  <c r="B24" i="6335" s="1"/>
  <c r="B13" i="6335"/>
  <c r="C13" i="6335" s="1"/>
  <c r="O12" i="6335"/>
  <c r="C12" i="6335"/>
  <c r="O11" i="6335"/>
  <c r="C11" i="6335"/>
  <c r="O10" i="6335"/>
  <c r="C10" i="6335"/>
  <c r="C9" i="6335"/>
  <c r="C8" i="6335"/>
  <c r="O7" i="6335"/>
  <c r="C7" i="6335"/>
  <c r="O6" i="6335"/>
  <c r="B6" i="6335"/>
  <c r="O5" i="6335"/>
  <c r="B5" i="6335"/>
  <c r="O4" i="6335"/>
  <c r="O3" i="6335"/>
  <c r="O2" i="6335"/>
  <c r="H11" i="6341" l="1"/>
  <c r="H12" i="6341"/>
  <c r="H12" i="6337"/>
  <c r="H11" i="6337"/>
  <c r="H27" i="6337"/>
  <c r="C14" i="6337"/>
  <c r="C14" i="6341"/>
  <c r="C15" i="6341"/>
  <c r="H6" i="6341"/>
  <c r="H21" i="6341"/>
  <c r="H8" i="6337"/>
  <c r="H10" i="6337"/>
  <c r="H22" i="6341"/>
  <c r="H15" i="6341"/>
  <c r="H30" i="6341"/>
  <c r="H13" i="6341"/>
  <c r="H20" i="6341"/>
  <c r="C35" i="6341"/>
  <c r="C37" i="6341"/>
  <c r="C41" i="6341"/>
  <c r="C43" i="6341"/>
  <c r="H51" i="6341"/>
  <c r="C42" i="6341"/>
  <c r="H29" i="6341"/>
  <c r="H25" i="6341"/>
  <c r="H9" i="6341"/>
  <c r="C33" i="6341"/>
  <c r="C39" i="6341"/>
  <c r="H47" i="6341"/>
  <c r="H7" i="6341"/>
  <c r="H23" i="6341"/>
  <c r="C17" i="6341"/>
  <c r="C19" i="6341"/>
  <c r="C21" i="6341"/>
  <c r="B23" i="6341"/>
  <c r="H26" i="6341"/>
  <c r="H34" i="6341"/>
  <c r="H27" i="6341"/>
  <c r="H37" i="6341"/>
  <c r="H39" i="6341"/>
  <c r="H41" i="6341"/>
  <c r="H43" i="6341"/>
  <c r="H45" i="6341"/>
  <c r="H48" i="6341"/>
  <c r="H19" i="6341"/>
  <c r="H4" i="6341"/>
  <c r="H2" i="6341"/>
  <c r="H10" i="6341"/>
  <c r="H3" i="6341"/>
  <c r="H24" i="6341"/>
  <c r="H18" i="6341"/>
  <c r="H17" i="6341"/>
  <c r="H14" i="6341"/>
  <c r="H31" i="6341"/>
  <c r="H32" i="6341"/>
  <c r="H16" i="6341"/>
  <c r="C32" i="6341"/>
  <c r="C34" i="6341"/>
  <c r="C36" i="6341"/>
  <c r="C38" i="6341"/>
  <c r="C40" i="6341"/>
  <c r="C44" i="6341"/>
  <c r="H49" i="6341"/>
  <c r="H5" i="6341"/>
  <c r="H8" i="6341"/>
  <c r="H28" i="6341"/>
  <c r="C18" i="6341"/>
  <c r="C20" i="6341"/>
  <c r="B22" i="6341"/>
  <c r="H33" i="6341"/>
  <c r="H35" i="6341"/>
  <c r="H36" i="6341"/>
  <c r="H38" i="6341"/>
  <c r="H40" i="6341"/>
  <c r="H42" i="6341"/>
  <c r="H44" i="6341"/>
  <c r="H46" i="6341"/>
  <c r="H50" i="6341"/>
  <c r="C14" i="6335"/>
  <c r="H10" i="6335"/>
  <c r="H16" i="6339"/>
  <c r="H25" i="6339"/>
  <c r="H17" i="6339"/>
  <c r="H4" i="6339"/>
  <c r="H22" i="6339"/>
  <c r="H9" i="6339"/>
  <c r="H31" i="6339"/>
  <c r="C19" i="6339"/>
  <c r="H14" i="6339"/>
  <c r="H34" i="6339"/>
  <c r="H27" i="6339"/>
  <c r="C36" i="6339"/>
  <c r="H41" i="6339"/>
  <c r="H44" i="6339"/>
  <c r="C44" i="6339"/>
  <c r="H50" i="6339"/>
  <c r="H10" i="6339"/>
  <c r="H6" i="6339"/>
  <c r="H11" i="6339"/>
  <c r="H19" i="6339"/>
  <c r="C17" i="6339"/>
  <c r="B22" i="6339"/>
  <c r="H26" i="6339"/>
  <c r="H35" i="6339"/>
  <c r="C34" i="6339"/>
  <c r="H39" i="6339"/>
  <c r="H42" i="6339"/>
  <c r="C42" i="6339"/>
  <c r="H29" i="6339"/>
  <c r="H7" i="6339"/>
  <c r="H30" i="6339"/>
  <c r="B23" i="6339"/>
  <c r="C15" i="6339"/>
  <c r="H20" i="6339"/>
  <c r="C20" i="6339"/>
  <c r="H21" i="6339"/>
  <c r="H28" i="6339"/>
  <c r="C32" i="6339"/>
  <c r="H37" i="6339"/>
  <c r="H40" i="6339"/>
  <c r="C40" i="6339"/>
  <c r="H45" i="6339"/>
  <c r="H48" i="6339"/>
  <c r="H5" i="6339"/>
  <c r="H2" i="6339"/>
  <c r="H13" i="6339"/>
  <c r="H3" i="6339"/>
  <c r="C18" i="6339"/>
  <c r="C21" i="6339"/>
  <c r="H18" i="6339"/>
  <c r="H36" i="6339"/>
  <c r="H38" i="6339"/>
  <c r="C38" i="6339"/>
  <c r="H43" i="6339"/>
  <c r="H46" i="6339"/>
  <c r="H49" i="6339"/>
  <c r="H52" i="6339"/>
  <c r="B24" i="6339"/>
  <c r="H15" i="6339"/>
  <c r="H32" i="6339"/>
  <c r="H33" i="6339"/>
  <c r="H23" i="6339"/>
  <c r="H12" i="6339"/>
  <c r="H8" i="6339"/>
  <c r="H24" i="6339"/>
  <c r="C33" i="6339"/>
  <c r="C35" i="6339"/>
  <c r="C37" i="6339"/>
  <c r="C39" i="6339"/>
  <c r="C41" i="6339"/>
  <c r="C43" i="6339"/>
  <c r="H47" i="6339"/>
  <c r="H25" i="6337"/>
  <c r="H5" i="6337"/>
  <c r="C19" i="6337"/>
  <c r="H34" i="6337"/>
  <c r="C36" i="6337"/>
  <c r="H39" i="6337"/>
  <c r="H42" i="6337"/>
  <c r="C44" i="6337"/>
  <c r="H49" i="6337"/>
  <c r="C17" i="6337"/>
  <c r="H14" i="6337"/>
  <c r="B22" i="6337"/>
  <c r="H20" i="6337"/>
  <c r="H21" i="6337"/>
  <c r="C34" i="6337"/>
  <c r="H37" i="6337"/>
  <c r="H40" i="6337"/>
  <c r="C42" i="6337"/>
  <c r="H45" i="6337"/>
  <c r="H51" i="6337"/>
  <c r="C15" i="6337"/>
  <c r="C20" i="6337"/>
  <c r="H30" i="6337"/>
  <c r="H31" i="6337"/>
  <c r="C32" i="6337"/>
  <c r="H35" i="6337"/>
  <c r="H38" i="6337"/>
  <c r="C40" i="6337"/>
  <c r="H43" i="6337"/>
  <c r="H47" i="6337"/>
  <c r="H4" i="6337"/>
  <c r="H18" i="6337"/>
  <c r="H22" i="6337"/>
  <c r="H7" i="6337"/>
  <c r="H26" i="6337"/>
  <c r="H16" i="6337"/>
  <c r="H6" i="6337"/>
  <c r="H2" i="6337"/>
  <c r="H9" i="6337"/>
  <c r="H3" i="6337"/>
  <c r="H23" i="6337"/>
  <c r="C18" i="6337"/>
  <c r="C21" i="6337"/>
  <c r="H17" i="6337"/>
  <c r="H33" i="6337"/>
  <c r="H36" i="6337"/>
  <c r="C38" i="6337"/>
  <c r="H41" i="6337"/>
  <c r="H44" i="6337"/>
  <c r="H48" i="6337"/>
  <c r="H52" i="6337"/>
  <c r="B23" i="6337"/>
  <c r="H19" i="6337"/>
  <c r="H28" i="6337"/>
  <c r="H29" i="6337"/>
  <c r="H24" i="6337"/>
  <c r="H15" i="6337"/>
  <c r="H13" i="6337"/>
  <c r="H32" i="6337"/>
  <c r="C33" i="6337"/>
  <c r="C35" i="6337"/>
  <c r="C37" i="6337"/>
  <c r="C39" i="6337"/>
  <c r="C41" i="6337"/>
  <c r="C43" i="6337"/>
  <c r="H46" i="6337"/>
  <c r="H12" i="6335"/>
  <c r="H8" i="6335"/>
  <c r="H6" i="6335"/>
  <c r="H35" i="6335"/>
  <c r="C19" i="6335"/>
  <c r="H13" i="6335"/>
  <c r="H28" i="6335"/>
  <c r="H31" i="6335"/>
  <c r="C36" i="6335"/>
  <c r="H42" i="6335"/>
  <c r="H44" i="6335"/>
  <c r="C44" i="6335"/>
  <c r="H50" i="6335"/>
  <c r="H20" i="6335"/>
  <c r="C17" i="6335"/>
  <c r="H27" i="6335"/>
  <c r="H30" i="6335"/>
  <c r="H40" i="6335"/>
  <c r="H33" i="6335"/>
  <c r="H34" i="6335"/>
  <c r="H16" i="6335"/>
  <c r="B22" i="6335"/>
  <c r="C34" i="6335"/>
  <c r="C15" i="6335"/>
  <c r="H19" i="6335"/>
  <c r="C20" i="6335"/>
  <c r="H29" i="6335"/>
  <c r="C32" i="6335"/>
  <c r="H39" i="6335"/>
  <c r="H41" i="6335"/>
  <c r="C40" i="6335"/>
  <c r="H45" i="6335"/>
  <c r="H48" i="6335"/>
  <c r="H5" i="6335"/>
  <c r="H24" i="6335"/>
  <c r="H17" i="6335"/>
  <c r="C42" i="6335"/>
  <c r="H7" i="6335"/>
  <c r="H23" i="6335"/>
  <c r="H21" i="6335"/>
  <c r="H4" i="6335"/>
  <c r="H2" i="6335"/>
  <c r="H11" i="6335"/>
  <c r="H3" i="6335"/>
  <c r="H26" i="6335"/>
  <c r="C18" i="6335"/>
  <c r="C21" i="6335"/>
  <c r="H18" i="6335"/>
  <c r="H38" i="6335"/>
  <c r="H32" i="6335"/>
  <c r="C38" i="6335"/>
  <c r="H43" i="6335"/>
  <c r="H46" i="6335"/>
  <c r="H49" i="6335"/>
  <c r="H52" i="6335"/>
  <c r="B23" i="6335"/>
  <c r="H15" i="6335"/>
  <c r="H36" i="6335"/>
  <c r="H37" i="6335"/>
  <c r="H25" i="6335"/>
  <c r="H14" i="6335"/>
  <c r="H9" i="6335"/>
  <c r="H22" i="6335"/>
  <c r="C33" i="6335"/>
  <c r="C35" i="6335"/>
  <c r="C37" i="6335"/>
  <c r="C39" i="6335"/>
  <c r="C41" i="6335"/>
  <c r="C43" i="6335"/>
  <c r="H47" i="633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<sst xmlns="http://schemas.openxmlformats.org/spreadsheetml/2006/main" count="3834" uniqueCount="298">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</sst>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全体!$K$2:$K$869</c:f>
              <c:numCache>
                <c:formatCode>General</c:formatCode>
                <c:ptCount val="8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</c:numCache>
            </c:numRef>
          </c:xVal>
          <c:yVal>
            <c:numRef>
              <c:f>全体!$L$2:$L$869</c:f>
              <c:numCache>
                <c:formatCode>\+0.0;\-0.0;\±0</c:formatCode>
                <c:ptCount val="868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7-445E-90C4-721645F4A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-25.462962962962962</c:v>
                </c:pt>
                <c:pt idx="1">
                  <c:v>7.042253521126761</c:v>
                </c:pt>
                <c:pt idx="2">
                  <c:v>-6.2189054726368163</c:v>
                </c:pt>
                <c:pt idx="3">
                  <c:v>10.582010582010582</c:v>
                </c:pt>
                <c:pt idx="4">
                  <c:v>2.8860028860028861</c:v>
                </c:pt>
                <c:pt idx="5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8-42F9-83D5-B15157FA9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170</c:v>
                </c:pt>
                <c:pt idx="1">
                  <c:v>361</c:v>
                </c:pt>
                <c:pt idx="2">
                  <c:v>421</c:v>
                </c:pt>
                <c:pt idx="3">
                  <c:v>379</c:v>
                </c:pt>
                <c:pt idx="4">
                  <c:v>337</c:v>
                </c:pt>
                <c:pt idx="5">
                  <c:v>228</c:v>
                </c:pt>
                <c:pt idx="6">
                  <c:v>115</c:v>
                </c:pt>
                <c:pt idx="7">
                  <c:v>63</c:v>
                </c:pt>
                <c:pt idx="8">
                  <c:v>28</c:v>
                </c:pt>
                <c:pt idx="9">
                  <c:v>9</c:v>
                </c:pt>
                <c:pt idx="10">
                  <c:v>6</c:v>
                </c:pt>
                <c:pt idx="11">
                  <c:v>6</c:v>
                </c:pt>
                <c:pt idx="1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3-445E-BF87-C5B99FA54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たかの!$L$2:$L$80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5-498E-AD83-94B77E06B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2233.3333333333335</c:v>
                </c:pt>
                <c:pt idx="1">
                  <c:v>-1844.1558441558441</c:v>
                </c:pt>
                <c:pt idx="2">
                  <c:v>-1763.5135135135135</c:v>
                </c:pt>
                <c:pt idx="3">
                  <c:v>-991.304347826087</c:v>
                </c:pt>
                <c:pt idx="4">
                  <c:v>-83.582089552238813</c:v>
                </c:pt>
                <c:pt idx="5">
                  <c:v>-2245.6140350877195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98-4CAD-8437-A35A491D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38</c:v>
                </c:pt>
                <c:pt idx="2">
                  <c:v>41</c:v>
                </c:pt>
                <c:pt idx="3">
                  <c:v>32</c:v>
                </c:pt>
                <c:pt idx="4">
                  <c:v>20</c:v>
                </c:pt>
                <c:pt idx="5">
                  <c:v>16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8-42B0-8AD6-78D86EBF1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だいち!$K$2:$K$170</c:f>
              <c:numCache>
                <c:formatCode>General</c:formatCode>
                <c:ptCount val="1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</c:numCache>
            </c:numRef>
          </c:xVal>
          <c:yVal>
            <c:numRef>
              <c:f>だいち!$L$2:$L$170</c:f>
              <c:numCache>
                <c:formatCode>\+0.0;\-0.0;\±0</c:formatCode>
                <c:ptCount val="169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4-4E9C-B256-F9C54AD2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1234.131736526946</c:v>
                </c:pt>
                <c:pt idx="1">
                  <c:v>978.65853658536582</c:v>
                </c:pt>
                <c:pt idx="2">
                  <c:v>957.59493670886081</c:v>
                </c:pt>
                <c:pt idx="3">
                  <c:v>418.36734693877548</c:v>
                </c:pt>
                <c:pt idx="4">
                  <c:v>1827.2058823529412</c:v>
                </c:pt>
                <c:pt idx="5">
                  <c:v>1834.2342342342342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5-4A34-9FA0-9C016793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45</c:v>
                </c:pt>
                <c:pt idx="1">
                  <c:v>88</c:v>
                </c:pt>
                <c:pt idx="2">
                  <c:v>95</c:v>
                </c:pt>
                <c:pt idx="3">
                  <c:v>84</c:v>
                </c:pt>
                <c:pt idx="4">
                  <c:v>67</c:v>
                </c:pt>
                <c:pt idx="5">
                  <c:v>43</c:v>
                </c:pt>
                <c:pt idx="6">
                  <c:v>24</c:v>
                </c:pt>
                <c:pt idx="7">
                  <c:v>8</c:v>
                </c:pt>
                <c:pt idx="8">
                  <c:v>10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2-432A-922E-6BC7EA50C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ただ!$K$2:$K$151</c:f>
              <c:numCache>
                <c:formatCode>General</c:formatCode>
                <c:ptCount val="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</c:numCache>
            </c:numRef>
          </c:xVal>
          <c:yVal>
            <c:numRef>
              <c:f>ただ!$L$2:$L$151</c:f>
              <c:numCache>
                <c:formatCode>\+0.0;\-0.0;\±0</c:formatCode>
                <c:ptCount val="150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B-44C3-A53D-077AB27E0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-1243.2432432432433</c:v>
                </c:pt>
                <c:pt idx="1">
                  <c:v>1362.3287671232877</c:v>
                </c:pt>
                <c:pt idx="2">
                  <c:v>-332.59259259259261</c:v>
                </c:pt>
                <c:pt idx="3">
                  <c:v>218.75</c:v>
                </c:pt>
                <c:pt idx="4">
                  <c:v>-1024.1379310344828</c:v>
                </c:pt>
                <c:pt idx="5">
                  <c:v>1340.2061855670104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E5-403B-99FA-1FC40641B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28</c:v>
                </c:pt>
                <c:pt idx="1">
                  <c:v>65</c:v>
                </c:pt>
                <c:pt idx="2">
                  <c:v>80</c:v>
                </c:pt>
                <c:pt idx="3">
                  <c:v>77</c:v>
                </c:pt>
                <c:pt idx="4">
                  <c:v>55</c:v>
                </c:pt>
                <c:pt idx="5">
                  <c:v>41</c:v>
                </c:pt>
                <c:pt idx="6">
                  <c:v>13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9-409F-9865-FDE36D02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りくと!$L$2:$L$97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9-4E06-9499-35612FAD5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-388.29787234042556</c:v>
                </c:pt>
                <c:pt idx="1">
                  <c:v>-554.25531914893622</c:v>
                </c:pt>
                <c:pt idx="2">
                  <c:v>462.5</c:v>
                </c:pt>
                <c:pt idx="3">
                  <c:v>-744.18604651162786</c:v>
                </c:pt>
                <c:pt idx="4">
                  <c:v>-3076.5432098765432</c:v>
                </c:pt>
                <c:pt idx="5">
                  <c:v>-1363.3802816901409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E9-4124-822B-3D5DDE38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16</c:v>
                </c:pt>
                <c:pt idx="1">
                  <c:v>39</c:v>
                </c:pt>
                <c:pt idx="2">
                  <c:v>50</c:v>
                </c:pt>
                <c:pt idx="3">
                  <c:v>34</c:v>
                </c:pt>
                <c:pt idx="4">
                  <c:v>37</c:v>
                </c:pt>
                <c:pt idx="5">
                  <c:v>23</c:v>
                </c:pt>
                <c:pt idx="6">
                  <c:v>13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2-45FC-985C-150825F0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れんたろう!$L$2:$L$125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9F-4CDC-B77C-C6D843CD2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1560.1626016260163</c:v>
                </c:pt>
                <c:pt idx="1">
                  <c:v>-1355.3719008264463</c:v>
                </c:pt>
                <c:pt idx="2">
                  <c:v>13.513513513513514</c:v>
                </c:pt>
                <c:pt idx="3">
                  <c:v>2242.8571428571427</c:v>
                </c:pt>
                <c:pt idx="4">
                  <c:v>1109.6774193548388</c:v>
                </c:pt>
                <c:pt idx="5">
                  <c:v>468.05555555555554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6-4246-AF38-EF944017D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8</c:v>
                </c:pt>
                <c:pt idx="1">
                  <c:v>22</c:v>
                </c:pt>
                <c:pt idx="2">
                  <c:v>39</c:v>
                </c:pt>
                <c:pt idx="3">
                  <c:v>54</c:v>
                </c:pt>
                <c:pt idx="4">
                  <c:v>64</c:v>
                </c:pt>
                <c:pt idx="5">
                  <c:v>38</c:v>
                </c:pt>
                <c:pt idx="6">
                  <c:v>22</c:v>
                </c:pt>
                <c:pt idx="7">
                  <c:v>19</c:v>
                </c:pt>
                <c:pt idx="8">
                  <c:v>6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2-4FDB-8E26-243A6557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まっつん!$K$2:$K$134</c:f>
              <c:numCache>
                <c:formatCode>General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まっつん!$L$2:$L$134</c:f>
              <c:numCache>
                <c:formatCode>\+0.0;\-0.0;\±0</c:formatCode>
                <c:ptCount val="13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2-4EB9-A559-7DCB9C27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-452.27272727272725</c:v>
                </c:pt>
                <c:pt idx="1">
                  <c:v>-170.54263565891472</c:v>
                </c:pt>
                <c:pt idx="2">
                  <c:v>264.22764227642278</c:v>
                </c:pt>
                <c:pt idx="3">
                  <c:v>159.82142857142858</c:v>
                </c:pt>
                <c:pt idx="4">
                  <c:v>19.801980198019802</c:v>
                </c:pt>
                <c:pt idx="5">
                  <c:v>-1194.1860465116279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1-4738-8DF2-CD7991DC6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18</c:v>
                </c:pt>
                <c:pt idx="1">
                  <c:v>54</c:v>
                </c:pt>
                <c:pt idx="2">
                  <c:v>63</c:v>
                </c:pt>
                <c:pt idx="3">
                  <c:v>55</c:v>
                </c:pt>
                <c:pt idx="4">
                  <c:v>43</c:v>
                </c:pt>
                <c:pt idx="5">
                  <c:v>33</c:v>
                </c:pt>
                <c:pt idx="6">
                  <c:v>14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2-4541-A085-9C6DE07C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B-4C27-88F6-9657DAF50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-2541.9354838709678</c:v>
                </c:pt>
                <c:pt idx="1">
                  <c:v>738.70967741935488</c:v>
                </c:pt>
                <c:pt idx="2">
                  <c:v>-691.52542372881351</c:v>
                </c:pt>
                <c:pt idx="3">
                  <c:v>-1784.9056603773586</c:v>
                </c:pt>
                <c:pt idx="4">
                  <c:v>-1862</c:v>
                </c:pt>
                <c:pt idx="5">
                  <c:v>-2182.9268292682927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E-40C6-8B9E-7705277E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27</c:v>
                </c:pt>
                <c:pt idx="3">
                  <c:v>21</c:v>
                </c:pt>
                <c:pt idx="4">
                  <c:v>19</c:v>
                </c:pt>
                <c:pt idx="5">
                  <c:v>11</c:v>
                </c:pt>
                <c:pt idx="6">
                  <c:v>10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7-4F69-84C8-E5E9046E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6-4CE7-96A7-268B603D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4-49C2-A91B-1BB2889A8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304-915F-D35A1F1D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A-42CF-8F73-FBB870107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D3D-9497-E0059D81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9A6-A31B-EF2C64608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B-47FB-98BA-F456A527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F-4DD9-B49C-03DC0E65F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3-4C1A-B036-2162F6DA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E-4935-8016-F35F29F67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-2923.0769230769229</c:v>
                </c:pt>
                <c:pt idx="1">
                  <c:v>-430.76923076923077</c:v>
                </c:pt>
                <c:pt idx="2">
                  <c:v>-2992.3076923076924</c:v>
                </c:pt>
                <c:pt idx="3">
                  <c:v>623.07692307692309</c:v>
                </c:pt>
                <c:pt idx="4">
                  <c:v>-827.27272727272725</c:v>
                </c:pt>
                <c:pt idx="5">
                  <c:v>4244.4444444444443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4-4F91-A109-A14AFFCF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6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F-4B67-8C5D-71CA68A87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1-4443-994E-5EBA92DBD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5-48B0-A4D5-D161A508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F-4AA3-8044-2D0F7928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2-40EB-B216-C01322854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7-4ACD-87D6-D2FBEDD2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3-45A0-A3EA-AE53835B6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れんたろう2!$A$3:$A$126</c:f>
              <c:numCache>
                <c:formatCode>0\ "回"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れんたろう2!$B$3:$B$126</c:f>
              <c:numCache>
                <c:formatCode>\+0.0;\-0.0;\±0</c:formatCode>
                <c:ptCount val="124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973799150320701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れんたろう2!$A$3:$A$126</c:f>
              <c:numCache>
                <c:formatCode>0\ "回"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れんたろう2!$C$3:$C$126</c:f>
              <c:numCache>
                <c:formatCode>\+0.0;\-0.0;\±0</c:formatCode>
                <c:ptCount val="124"/>
                <c:pt idx="1">
                  <c:v>-9.1</c:v>
                </c:pt>
                <c:pt idx="2">
                  <c:v>-33.65</c:v>
                </c:pt>
                <c:pt idx="3">
                  <c:v>-37.93333333333333</c:v>
                </c:pt>
                <c:pt idx="4">
                  <c:v>-18.649999999999999</c:v>
                </c:pt>
                <c:pt idx="5">
                  <c:v>-23.66</c:v>
                </c:pt>
                <c:pt idx="6">
                  <c:v>-10.049999999999999</c:v>
                </c:pt>
                <c:pt idx="7">
                  <c:v>-8.6857142857142851</c:v>
                </c:pt>
                <c:pt idx="8">
                  <c:v>-13.774999999999999</c:v>
                </c:pt>
                <c:pt idx="9">
                  <c:v>-13.444444444444443</c:v>
                </c:pt>
                <c:pt idx="10">
                  <c:v>-11.329999999999998</c:v>
                </c:pt>
                <c:pt idx="11">
                  <c:v>-14.881818181818181</c:v>
                </c:pt>
                <c:pt idx="12">
                  <c:v>-9.2083333333333321</c:v>
                </c:pt>
                <c:pt idx="13">
                  <c:v>-10.184615384615382</c:v>
                </c:pt>
                <c:pt idx="14">
                  <c:v>-6.1785714285714262</c:v>
                </c:pt>
                <c:pt idx="15">
                  <c:v>-6.7866666666666644</c:v>
                </c:pt>
                <c:pt idx="16">
                  <c:v>-3.9437499999999979</c:v>
                </c:pt>
                <c:pt idx="17">
                  <c:v>-3.2823529411764687</c:v>
                </c:pt>
                <c:pt idx="18">
                  <c:v>-1.3888888888888871</c:v>
                </c:pt>
                <c:pt idx="19">
                  <c:v>-1.4631578947368404</c:v>
                </c:pt>
                <c:pt idx="20">
                  <c:v>-2.5199999999999987</c:v>
                </c:pt>
                <c:pt idx="21">
                  <c:v>-2.8523809523809511</c:v>
                </c:pt>
                <c:pt idx="22">
                  <c:v>-0.99090909090908952</c:v>
                </c:pt>
                <c:pt idx="23">
                  <c:v>-0.44782608695652038</c:v>
                </c:pt>
                <c:pt idx="24">
                  <c:v>-2.1416666666666653</c:v>
                </c:pt>
                <c:pt idx="25">
                  <c:v>-1.5079999999999989</c:v>
                </c:pt>
                <c:pt idx="26">
                  <c:v>-3.2692307692307683</c:v>
                </c:pt>
                <c:pt idx="27">
                  <c:v>-1.1666666666666656</c:v>
                </c:pt>
                <c:pt idx="28">
                  <c:v>-0.39285714285714185</c:v>
                </c:pt>
                <c:pt idx="29">
                  <c:v>-0.56896551724137834</c:v>
                </c:pt>
                <c:pt idx="30">
                  <c:v>1.0300000000000009</c:v>
                </c:pt>
                <c:pt idx="31">
                  <c:v>2.3838709677419367</c:v>
                </c:pt>
                <c:pt idx="32">
                  <c:v>3.0031250000000012</c:v>
                </c:pt>
                <c:pt idx="33">
                  <c:v>3.3939393939393954</c:v>
                </c:pt>
                <c:pt idx="34">
                  <c:v>3.2352941176470602</c:v>
                </c:pt>
                <c:pt idx="35">
                  <c:v>4.014285714285716</c:v>
                </c:pt>
                <c:pt idx="36">
                  <c:v>2.9277777777777794</c:v>
                </c:pt>
                <c:pt idx="37">
                  <c:v>3.9540540540540561</c:v>
                </c:pt>
                <c:pt idx="38">
                  <c:v>3.40263157894737</c:v>
                </c:pt>
                <c:pt idx="39">
                  <c:v>2.5948717948717968</c:v>
                </c:pt>
                <c:pt idx="40">
                  <c:v>1.7800000000000018</c:v>
                </c:pt>
                <c:pt idx="41">
                  <c:v>1.6560975609756117</c:v>
                </c:pt>
                <c:pt idx="42">
                  <c:v>2.6166666666666685</c:v>
                </c:pt>
                <c:pt idx="43">
                  <c:v>1.8209302325581411</c:v>
                </c:pt>
                <c:pt idx="44">
                  <c:v>2.4340909090909104</c:v>
                </c:pt>
                <c:pt idx="45">
                  <c:v>1.9066666666666683</c:v>
                </c:pt>
                <c:pt idx="46">
                  <c:v>3.3673913043478274</c:v>
                </c:pt>
                <c:pt idx="47">
                  <c:v>4.0510638297872354</c:v>
                </c:pt>
                <c:pt idx="48">
                  <c:v>5.6041666666666679</c:v>
                </c:pt>
                <c:pt idx="49">
                  <c:v>5.4959183673469401</c:v>
                </c:pt>
                <c:pt idx="50">
                  <c:v>6.0880000000000019</c:v>
                </c:pt>
                <c:pt idx="51">
                  <c:v>5.5313725490196095</c:v>
                </c:pt>
                <c:pt idx="52">
                  <c:v>6.2538461538461556</c:v>
                </c:pt>
                <c:pt idx="53">
                  <c:v>5.6830188679245301</c:v>
                </c:pt>
                <c:pt idx="54">
                  <c:v>5.4851851851851867</c:v>
                </c:pt>
                <c:pt idx="55">
                  <c:v>4.7109090909090927</c:v>
                </c:pt>
                <c:pt idx="56">
                  <c:v>4.4053571428571443</c:v>
                </c:pt>
                <c:pt idx="57">
                  <c:v>5.1192982456140363</c:v>
                </c:pt>
                <c:pt idx="58">
                  <c:v>5.3241379310344836</c:v>
                </c:pt>
                <c:pt idx="59">
                  <c:v>6.0644067796610184</c:v>
                </c:pt>
                <c:pt idx="60">
                  <c:v>6.0816666666666679</c:v>
                </c:pt>
                <c:pt idx="61">
                  <c:v>5.7672131147540995</c:v>
                </c:pt>
                <c:pt idx="62">
                  <c:v>5.4645161290322593</c:v>
                </c:pt>
                <c:pt idx="63">
                  <c:v>5.0682539682539689</c:v>
                </c:pt>
                <c:pt idx="64">
                  <c:v>4.2781250000000011</c:v>
                </c:pt>
                <c:pt idx="65">
                  <c:v>5.1230769230769235</c:v>
                </c:pt>
                <c:pt idx="66">
                  <c:v>5.5878787878787888</c:v>
                </c:pt>
                <c:pt idx="67">
                  <c:v>5.3865671641791062</c:v>
                </c:pt>
                <c:pt idx="68">
                  <c:v>6.7352941176470607</c:v>
                </c:pt>
                <c:pt idx="69">
                  <c:v>6.5971014492753639</c:v>
                </c:pt>
                <c:pt idx="70">
                  <c:v>6.0414285714285727</c:v>
                </c:pt>
                <c:pt idx="71">
                  <c:v>6.136619718309861</c:v>
                </c:pt>
                <c:pt idx="72">
                  <c:v>6.4777777777777787</c:v>
                </c:pt>
                <c:pt idx="73">
                  <c:v>5.5630136986301384</c:v>
                </c:pt>
                <c:pt idx="74">
                  <c:v>4.8716216216216228</c:v>
                </c:pt>
                <c:pt idx="75">
                  <c:v>4.4346666666666676</c:v>
                </c:pt>
                <c:pt idx="76">
                  <c:v>4.2855263157894754</c:v>
                </c:pt>
                <c:pt idx="77">
                  <c:v>4.7792207792207808</c:v>
                </c:pt>
                <c:pt idx="78">
                  <c:v>4.0064102564102582</c:v>
                </c:pt>
                <c:pt idx="79">
                  <c:v>3.3392405063291153</c:v>
                </c:pt>
                <c:pt idx="80">
                  <c:v>3.0687500000000014</c:v>
                </c:pt>
                <c:pt idx="81">
                  <c:v>2.472839506172841</c:v>
                </c:pt>
                <c:pt idx="82">
                  <c:v>2.7939024390243921</c:v>
                </c:pt>
                <c:pt idx="83">
                  <c:v>2.7795180722891581</c:v>
                </c:pt>
                <c:pt idx="84">
                  <c:v>2.3940476190476208</c:v>
                </c:pt>
                <c:pt idx="85">
                  <c:v>2.3552941176470603</c:v>
                </c:pt>
                <c:pt idx="86">
                  <c:v>2.4616279069767457</c:v>
                </c:pt>
                <c:pt idx="87">
                  <c:v>2.1413793103448291</c:v>
                </c:pt>
                <c:pt idx="88">
                  <c:v>1.8590909090909107</c:v>
                </c:pt>
                <c:pt idx="89">
                  <c:v>2.1191011235955073</c:v>
                </c:pt>
                <c:pt idx="90">
                  <c:v>2.6233333333333348</c:v>
                </c:pt>
                <c:pt idx="91">
                  <c:v>2.6406593406593419</c:v>
                </c:pt>
                <c:pt idx="92">
                  <c:v>3.1141304347826098</c:v>
                </c:pt>
                <c:pt idx="93">
                  <c:v>2.8311827956989259</c:v>
                </c:pt>
                <c:pt idx="94">
                  <c:v>3.1872340425531931</c:v>
                </c:pt>
                <c:pt idx="95">
                  <c:v>3.5294736842105277</c:v>
                </c:pt>
                <c:pt idx="96">
                  <c:v>3.4937500000000017</c:v>
                </c:pt>
                <c:pt idx="97">
                  <c:v>3.4505154639175273</c:v>
                </c:pt>
                <c:pt idx="98">
                  <c:v>3.56122448979592</c:v>
                </c:pt>
                <c:pt idx="99">
                  <c:v>3.9060606060606076</c:v>
                </c:pt>
                <c:pt idx="100">
                  <c:v>3.5030000000000019</c:v>
                </c:pt>
                <c:pt idx="101">
                  <c:v>3.414851485148517</c:v>
                </c:pt>
                <c:pt idx="102">
                  <c:v>3.5245098039215708</c:v>
                </c:pt>
                <c:pt idx="103">
                  <c:v>3.905825242718449</c:v>
                </c:pt>
                <c:pt idx="104">
                  <c:v>3.9317307692307719</c:v>
                </c:pt>
                <c:pt idx="105">
                  <c:v>3.545714285714288</c:v>
                </c:pt>
                <c:pt idx="106">
                  <c:v>3.7339622641509456</c:v>
                </c:pt>
                <c:pt idx="107">
                  <c:v>4.0953271028037399</c:v>
                </c:pt>
                <c:pt idx="108">
                  <c:v>4.3620370370370392</c:v>
                </c:pt>
                <c:pt idx="109">
                  <c:v>4.6697247706422038</c:v>
                </c:pt>
                <c:pt idx="110">
                  <c:v>4.7500000000000018</c:v>
                </c:pt>
                <c:pt idx="111">
                  <c:v>5.4126126126126142</c:v>
                </c:pt>
                <c:pt idx="112">
                  <c:v>5.5035714285714308</c:v>
                </c:pt>
                <c:pt idx="113">
                  <c:v>5.646902654867259</c:v>
                </c:pt>
                <c:pt idx="114">
                  <c:v>5.5885964912280723</c:v>
                </c:pt>
                <c:pt idx="115">
                  <c:v>5.0530434782608715</c:v>
                </c:pt>
                <c:pt idx="116">
                  <c:v>4.8172413793103477</c:v>
                </c:pt>
                <c:pt idx="117">
                  <c:v>5.2905982905982931</c:v>
                </c:pt>
                <c:pt idx="118">
                  <c:v>5.9838983050847485</c:v>
                </c:pt>
                <c:pt idx="119">
                  <c:v>5.653781512605045</c:v>
                </c:pt>
                <c:pt idx="120">
                  <c:v>5.1866666666666701</c:v>
                </c:pt>
                <c:pt idx="121">
                  <c:v>5.1545454545454579</c:v>
                </c:pt>
                <c:pt idx="122">
                  <c:v>4.9942622950819704</c:v>
                </c:pt>
                <c:pt idx="123">
                  <c:v>5.052845528455288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736792560923530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れんたろう2!$A$3:$A$126</c:f>
              <c:numCache>
                <c:formatCode>0\ "回"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れんたろう2!$D$3:$D$126</c:f>
              <c:numCache>
                <c:formatCode>0.00\ "位"</c:formatCode>
                <c:ptCount val="124"/>
                <c:pt idx="1">
                  <c:v>2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2.2307692307692308</c:v>
                </c:pt>
                <c:pt idx="14">
                  <c:v>2.1428571428571428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  <c:pt idx="23">
                  <c:v>1.9565217391304348</c:v>
                </c:pt>
                <c:pt idx="24">
                  <c:v>2</c:v>
                </c:pt>
                <c:pt idx="25">
                  <c:v>2</c:v>
                </c:pt>
                <c:pt idx="26">
                  <c:v>2.0384615384615383</c:v>
                </c:pt>
                <c:pt idx="27">
                  <c:v>2</c:v>
                </c:pt>
                <c:pt idx="28">
                  <c:v>1.9642857142857142</c:v>
                </c:pt>
                <c:pt idx="29">
                  <c:v>1.9655172413793103</c:v>
                </c:pt>
                <c:pt idx="30">
                  <c:v>1.9333333333333333</c:v>
                </c:pt>
                <c:pt idx="31">
                  <c:v>1.903225806451613</c:v>
                </c:pt>
                <c:pt idx="32">
                  <c:v>1.875</c:v>
                </c:pt>
                <c:pt idx="33">
                  <c:v>1.8484848484848484</c:v>
                </c:pt>
                <c:pt idx="34">
                  <c:v>1.8529411764705883</c:v>
                </c:pt>
                <c:pt idx="35">
                  <c:v>1.8285714285714285</c:v>
                </c:pt>
                <c:pt idx="36">
                  <c:v>1.8611111111111112</c:v>
                </c:pt>
                <c:pt idx="37">
                  <c:v>1.8378378378378379</c:v>
                </c:pt>
                <c:pt idx="38">
                  <c:v>1.868421052631579</c:v>
                </c:pt>
                <c:pt idx="39">
                  <c:v>1.8974358974358974</c:v>
                </c:pt>
                <c:pt idx="40">
                  <c:v>1.925</c:v>
                </c:pt>
                <c:pt idx="41">
                  <c:v>1.9268292682926829</c:v>
                </c:pt>
                <c:pt idx="42">
                  <c:v>1.9047619047619047</c:v>
                </c:pt>
                <c:pt idx="43">
                  <c:v>1.930232558139535</c:v>
                </c:pt>
                <c:pt idx="44">
                  <c:v>1.9090909090909092</c:v>
                </c:pt>
                <c:pt idx="45">
                  <c:v>1.9333333333333333</c:v>
                </c:pt>
                <c:pt idx="46">
                  <c:v>1.9130434782608696</c:v>
                </c:pt>
                <c:pt idx="47">
                  <c:v>1.8936170212765957</c:v>
                </c:pt>
                <c:pt idx="48">
                  <c:v>1.875</c:v>
                </c:pt>
                <c:pt idx="49">
                  <c:v>1.8775510204081634</c:v>
                </c:pt>
                <c:pt idx="50">
                  <c:v>1.86</c:v>
                </c:pt>
                <c:pt idx="51">
                  <c:v>1.8823529411764706</c:v>
                </c:pt>
                <c:pt idx="52">
                  <c:v>1.8653846153846154</c:v>
                </c:pt>
                <c:pt idx="53">
                  <c:v>1.8867924528301887</c:v>
                </c:pt>
                <c:pt idx="54">
                  <c:v>1.8888888888888888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1.8793103448275863</c:v>
                </c:pt>
                <c:pt idx="59">
                  <c:v>1.8644067796610169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1.90625</c:v>
                </c:pt>
                <c:pt idx="65">
                  <c:v>1.8923076923076922</c:v>
                </c:pt>
                <c:pt idx="66">
                  <c:v>1.8787878787878789</c:v>
                </c:pt>
                <c:pt idx="67">
                  <c:v>1.8805970149253732</c:v>
                </c:pt>
                <c:pt idx="68">
                  <c:v>1.8676470588235294</c:v>
                </c:pt>
                <c:pt idx="69">
                  <c:v>1.8695652173913044</c:v>
                </c:pt>
                <c:pt idx="70">
                  <c:v>1.8857142857142857</c:v>
                </c:pt>
                <c:pt idx="71">
                  <c:v>1.8873239436619718</c:v>
                </c:pt>
                <c:pt idx="72">
                  <c:v>1.875</c:v>
                </c:pt>
                <c:pt idx="73">
                  <c:v>1.8904109589041096</c:v>
                </c:pt>
                <c:pt idx="74">
                  <c:v>1.9054054054054055</c:v>
                </c:pt>
                <c:pt idx="75">
                  <c:v>1.92</c:v>
                </c:pt>
                <c:pt idx="76">
                  <c:v>1.9210526315789473</c:v>
                </c:pt>
                <c:pt idx="77">
                  <c:v>1.9090909090909092</c:v>
                </c:pt>
                <c:pt idx="78">
                  <c:v>1.9230769230769231</c:v>
                </c:pt>
                <c:pt idx="79">
                  <c:v>1.9367088607594938</c:v>
                </c:pt>
                <c:pt idx="80">
                  <c:v>1.95</c:v>
                </c:pt>
                <c:pt idx="81">
                  <c:v>1.962962962962963</c:v>
                </c:pt>
                <c:pt idx="82">
                  <c:v>1.9512195121951219</c:v>
                </c:pt>
                <c:pt idx="83">
                  <c:v>1.9518072289156627</c:v>
                </c:pt>
                <c:pt idx="84">
                  <c:v>1.9523809523809523</c:v>
                </c:pt>
                <c:pt idx="85">
                  <c:v>1.9529411764705882</c:v>
                </c:pt>
                <c:pt idx="86">
                  <c:v>1.9534883720930232</c:v>
                </c:pt>
                <c:pt idx="87">
                  <c:v>1.9655172413793103</c:v>
                </c:pt>
                <c:pt idx="88">
                  <c:v>1.9772727272727273</c:v>
                </c:pt>
                <c:pt idx="89">
                  <c:v>1.9662921348314606</c:v>
                </c:pt>
                <c:pt idx="90">
                  <c:v>1.9555555555555555</c:v>
                </c:pt>
                <c:pt idx="91">
                  <c:v>1.956043956043956</c:v>
                </c:pt>
                <c:pt idx="92">
                  <c:v>1.9456521739130435</c:v>
                </c:pt>
                <c:pt idx="93">
                  <c:v>1.956989247311828</c:v>
                </c:pt>
                <c:pt idx="94">
                  <c:v>1.946808510638298</c:v>
                </c:pt>
                <c:pt idx="95">
                  <c:v>1.9368421052631579</c:v>
                </c:pt>
                <c:pt idx="96">
                  <c:v>1.9375</c:v>
                </c:pt>
                <c:pt idx="97">
                  <c:v>1.9381443298969072</c:v>
                </c:pt>
                <c:pt idx="98">
                  <c:v>1.9285714285714286</c:v>
                </c:pt>
                <c:pt idx="99">
                  <c:v>1.9191919191919191</c:v>
                </c:pt>
                <c:pt idx="100">
                  <c:v>1.93</c:v>
                </c:pt>
                <c:pt idx="101">
                  <c:v>1.9306930693069306</c:v>
                </c:pt>
                <c:pt idx="102">
                  <c:v>1.9215686274509804</c:v>
                </c:pt>
                <c:pt idx="103">
                  <c:v>1.912621359223301</c:v>
                </c:pt>
                <c:pt idx="104">
                  <c:v>1.9134615384615385</c:v>
                </c:pt>
                <c:pt idx="105">
                  <c:v>1.9238095238095239</c:v>
                </c:pt>
                <c:pt idx="106">
                  <c:v>1.9150943396226414</c:v>
                </c:pt>
                <c:pt idx="107">
                  <c:v>1.9065420560747663</c:v>
                </c:pt>
                <c:pt idx="108">
                  <c:v>1.8981481481481481</c:v>
                </c:pt>
                <c:pt idx="109">
                  <c:v>1.8899082568807339</c:v>
                </c:pt>
                <c:pt idx="110">
                  <c:v>1.8818181818181818</c:v>
                </c:pt>
                <c:pt idx="111">
                  <c:v>1.8738738738738738</c:v>
                </c:pt>
                <c:pt idx="112">
                  <c:v>1.875</c:v>
                </c:pt>
                <c:pt idx="113">
                  <c:v>1.8672566371681416</c:v>
                </c:pt>
                <c:pt idx="114">
                  <c:v>1.868421052631579</c:v>
                </c:pt>
                <c:pt idx="115">
                  <c:v>1.8782608695652174</c:v>
                </c:pt>
                <c:pt idx="116">
                  <c:v>1.8879310344827587</c:v>
                </c:pt>
                <c:pt idx="117">
                  <c:v>1.8803418803418803</c:v>
                </c:pt>
                <c:pt idx="118">
                  <c:v>1.8728813559322033</c:v>
                </c:pt>
                <c:pt idx="119">
                  <c:v>1.8823529411764706</c:v>
                </c:pt>
                <c:pt idx="120">
                  <c:v>1.8916666666666666</c:v>
                </c:pt>
                <c:pt idx="121">
                  <c:v>1.8925619834710743</c:v>
                </c:pt>
                <c:pt idx="122">
                  <c:v>1.8934426229508197</c:v>
                </c:pt>
                <c:pt idx="123">
                  <c:v>1.8943089430894309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れんたろう2!$A$3:$A$126</c:f>
              <c:numCache>
                <c:formatCode>0\ "回"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れんたろう2!$E$3:$E$126</c:f>
              <c:numCache>
                <c:formatCode>0.0%</c:formatCode>
                <c:ptCount val="12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0.40625</c:v>
                </c:pt>
                <c:pt idx="33">
                  <c:v>0.42424242424242425</c:v>
                </c:pt>
                <c:pt idx="34">
                  <c:v>0.41176470588235292</c:v>
                </c:pt>
                <c:pt idx="35">
                  <c:v>0.42857142857142855</c:v>
                </c:pt>
                <c:pt idx="36">
                  <c:v>0.41666666666666669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</c:v>
                </c:pt>
                <c:pt idx="46">
                  <c:v>0.41304347826086957</c:v>
                </c:pt>
                <c:pt idx="47">
                  <c:v>0.42553191489361702</c:v>
                </c:pt>
                <c:pt idx="48">
                  <c:v>0.4375</c:v>
                </c:pt>
                <c:pt idx="49">
                  <c:v>0.42857142857142855</c:v>
                </c:pt>
                <c:pt idx="50">
                  <c:v>0.44</c:v>
                </c:pt>
                <c:pt idx="51">
                  <c:v>0.43137254901960786</c:v>
                </c:pt>
                <c:pt idx="52">
                  <c:v>0.44230769230769229</c:v>
                </c:pt>
                <c:pt idx="53">
                  <c:v>0.43396226415094341</c:v>
                </c:pt>
                <c:pt idx="54">
                  <c:v>0.42592592592592593</c:v>
                </c:pt>
                <c:pt idx="55">
                  <c:v>0.41818181818181815</c:v>
                </c:pt>
                <c:pt idx="56">
                  <c:v>0.4107142857142857</c:v>
                </c:pt>
                <c:pt idx="57">
                  <c:v>0.42105263157894735</c:v>
                </c:pt>
                <c:pt idx="58">
                  <c:v>0.43103448275862066</c:v>
                </c:pt>
                <c:pt idx="59">
                  <c:v>0.44067796610169491</c:v>
                </c:pt>
                <c:pt idx="60">
                  <c:v>0.43333333333333335</c:v>
                </c:pt>
                <c:pt idx="61">
                  <c:v>0.42622950819672129</c:v>
                </c:pt>
                <c:pt idx="62">
                  <c:v>0.41935483870967744</c:v>
                </c:pt>
                <c:pt idx="63">
                  <c:v>0.41269841269841268</c:v>
                </c:pt>
                <c:pt idx="64">
                  <c:v>0.40625</c:v>
                </c:pt>
                <c:pt idx="65">
                  <c:v>0.41538461538461541</c:v>
                </c:pt>
                <c:pt idx="66">
                  <c:v>0.42424242424242425</c:v>
                </c:pt>
                <c:pt idx="67">
                  <c:v>0.41791044776119401</c:v>
                </c:pt>
                <c:pt idx="68">
                  <c:v>0.4264705882352941</c:v>
                </c:pt>
                <c:pt idx="69">
                  <c:v>0.42028985507246375</c:v>
                </c:pt>
                <c:pt idx="70">
                  <c:v>0.41428571428571431</c:v>
                </c:pt>
                <c:pt idx="71">
                  <c:v>0.40845070422535212</c:v>
                </c:pt>
                <c:pt idx="72">
                  <c:v>0.41666666666666669</c:v>
                </c:pt>
                <c:pt idx="73">
                  <c:v>0.41095890410958902</c:v>
                </c:pt>
                <c:pt idx="74">
                  <c:v>0.40540540540540543</c:v>
                </c:pt>
                <c:pt idx="75">
                  <c:v>0.4</c:v>
                </c:pt>
                <c:pt idx="76">
                  <c:v>0.39473684210526316</c:v>
                </c:pt>
                <c:pt idx="77">
                  <c:v>0.40259740259740262</c:v>
                </c:pt>
                <c:pt idx="78">
                  <c:v>0.39743589743589741</c:v>
                </c:pt>
                <c:pt idx="79">
                  <c:v>0.39240506329113922</c:v>
                </c:pt>
                <c:pt idx="80">
                  <c:v>0.38750000000000001</c:v>
                </c:pt>
                <c:pt idx="81">
                  <c:v>0.38271604938271603</c:v>
                </c:pt>
                <c:pt idx="82">
                  <c:v>0.3902439024390244</c:v>
                </c:pt>
                <c:pt idx="83">
                  <c:v>0.38554216867469882</c:v>
                </c:pt>
                <c:pt idx="84">
                  <c:v>0.38095238095238093</c:v>
                </c:pt>
                <c:pt idx="85">
                  <c:v>0.37647058823529411</c:v>
                </c:pt>
                <c:pt idx="86">
                  <c:v>0.37209302325581395</c:v>
                </c:pt>
                <c:pt idx="87">
                  <c:v>0.36781609195402298</c:v>
                </c:pt>
                <c:pt idx="88">
                  <c:v>0.36363636363636365</c:v>
                </c:pt>
                <c:pt idx="89">
                  <c:v>0.3707865168539326</c:v>
                </c:pt>
                <c:pt idx="90">
                  <c:v>0.37777777777777777</c:v>
                </c:pt>
                <c:pt idx="91">
                  <c:v>0.37362637362637363</c:v>
                </c:pt>
                <c:pt idx="92">
                  <c:v>0.38043478260869568</c:v>
                </c:pt>
                <c:pt idx="93">
                  <c:v>0.37634408602150538</c:v>
                </c:pt>
                <c:pt idx="94">
                  <c:v>0.38297872340425532</c:v>
                </c:pt>
                <c:pt idx="95">
                  <c:v>0.38947368421052631</c:v>
                </c:pt>
                <c:pt idx="96">
                  <c:v>0.38541666666666669</c:v>
                </c:pt>
                <c:pt idx="97">
                  <c:v>0.38144329896907214</c:v>
                </c:pt>
                <c:pt idx="98">
                  <c:v>0.38775510204081631</c:v>
                </c:pt>
                <c:pt idx="99">
                  <c:v>0.39393939393939392</c:v>
                </c:pt>
                <c:pt idx="100">
                  <c:v>0.39</c:v>
                </c:pt>
                <c:pt idx="101">
                  <c:v>0.38613861386138615</c:v>
                </c:pt>
                <c:pt idx="102">
                  <c:v>0.39215686274509803</c:v>
                </c:pt>
                <c:pt idx="103">
                  <c:v>0.39805825242718446</c:v>
                </c:pt>
                <c:pt idx="104">
                  <c:v>0.39423076923076922</c:v>
                </c:pt>
                <c:pt idx="105">
                  <c:v>0.39047619047619048</c:v>
                </c:pt>
                <c:pt idx="106">
                  <c:v>0.39622641509433965</c:v>
                </c:pt>
                <c:pt idx="107">
                  <c:v>0.40186915887850466</c:v>
                </c:pt>
                <c:pt idx="108">
                  <c:v>0.40740740740740738</c:v>
                </c:pt>
                <c:pt idx="109">
                  <c:v>0.41284403669724773</c:v>
                </c:pt>
                <c:pt idx="110">
                  <c:v>0.41818181818181815</c:v>
                </c:pt>
                <c:pt idx="111">
                  <c:v>0.42342342342342343</c:v>
                </c:pt>
                <c:pt idx="112">
                  <c:v>0.41964285714285715</c:v>
                </c:pt>
                <c:pt idx="113">
                  <c:v>0.4247787610619469</c:v>
                </c:pt>
                <c:pt idx="114">
                  <c:v>0.42105263157894735</c:v>
                </c:pt>
                <c:pt idx="115">
                  <c:v>0.41739130434782606</c:v>
                </c:pt>
                <c:pt idx="116">
                  <c:v>0.41379310344827586</c:v>
                </c:pt>
                <c:pt idx="117">
                  <c:v>0.41880341880341881</c:v>
                </c:pt>
                <c:pt idx="118">
                  <c:v>0.42372881355932202</c:v>
                </c:pt>
                <c:pt idx="119">
                  <c:v>0.42016806722689076</c:v>
                </c:pt>
                <c:pt idx="120">
                  <c:v>0.41666666666666669</c:v>
                </c:pt>
                <c:pt idx="121">
                  <c:v>0.41322314049586778</c:v>
                </c:pt>
                <c:pt idx="122">
                  <c:v>0.4098360655737705</c:v>
                </c:pt>
                <c:pt idx="123">
                  <c:v>0.4065040650406504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れんたろう2!$A$3:$A$126</c:f>
              <c:numCache>
                <c:formatCode>0\ "回"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れんたろう2!$F$3:$F$126</c:f>
              <c:numCache>
                <c:formatCode>0.0%</c:formatCode>
                <c:ptCount val="124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0.32727272727272727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  <c:pt idx="59">
                  <c:v>0.30508474576271188</c:v>
                </c:pt>
                <c:pt idx="60">
                  <c:v>0.3</c:v>
                </c:pt>
                <c:pt idx="61">
                  <c:v>0.29508196721311475</c:v>
                </c:pt>
                <c:pt idx="62">
                  <c:v>0.29032258064516131</c:v>
                </c:pt>
                <c:pt idx="63">
                  <c:v>0.30158730158730157</c:v>
                </c:pt>
                <c:pt idx="64">
                  <c:v>0.3125</c:v>
                </c:pt>
                <c:pt idx="65">
                  <c:v>0.30769230769230771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0.30136986301369861</c:v>
                </c:pt>
                <c:pt idx="74">
                  <c:v>0.3108108108108108</c:v>
                </c:pt>
                <c:pt idx="75">
                  <c:v>0.32</c:v>
                </c:pt>
                <c:pt idx="76">
                  <c:v>0.31578947368421051</c:v>
                </c:pt>
                <c:pt idx="77">
                  <c:v>0.31168831168831168</c:v>
                </c:pt>
                <c:pt idx="78">
                  <c:v>0.32051282051282054</c:v>
                </c:pt>
                <c:pt idx="79">
                  <c:v>0.32911392405063289</c:v>
                </c:pt>
                <c:pt idx="80">
                  <c:v>0.33750000000000002</c:v>
                </c:pt>
                <c:pt idx="81">
                  <c:v>0.34567901234567899</c:v>
                </c:pt>
                <c:pt idx="82">
                  <c:v>0.34146341463414637</c:v>
                </c:pt>
                <c:pt idx="83">
                  <c:v>0.33734939759036142</c:v>
                </c:pt>
                <c:pt idx="84">
                  <c:v>0.33333333333333331</c:v>
                </c:pt>
                <c:pt idx="85">
                  <c:v>0.32941176470588235</c:v>
                </c:pt>
                <c:pt idx="86">
                  <c:v>0.32558139534883723</c:v>
                </c:pt>
                <c:pt idx="87">
                  <c:v>0.33333333333333331</c:v>
                </c:pt>
                <c:pt idx="88">
                  <c:v>0.34090909090909088</c:v>
                </c:pt>
                <c:pt idx="89">
                  <c:v>0.33707865168539325</c:v>
                </c:pt>
                <c:pt idx="90">
                  <c:v>0.33333333333333331</c:v>
                </c:pt>
                <c:pt idx="91">
                  <c:v>0.32967032967032966</c:v>
                </c:pt>
                <c:pt idx="92">
                  <c:v>0.32608695652173914</c:v>
                </c:pt>
                <c:pt idx="93">
                  <c:v>0.33333333333333331</c:v>
                </c:pt>
                <c:pt idx="94">
                  <c:v>0.32978723404255317</c:v>
                </c:pt>
                <c:pt idx="95">
                  <c:v>0.32631578947368423</c:v>
                </c:pt>
                <c:pt idx="96">
                  <c:v>0.32291666666666669</c:v>
                </c:pt>
                <c:pt idx="97">
                  <c:v>0.31958762886597936</c:v>
                </c:pt>
                <c:pt idx="98">
                  <c:v>0.31632653061224492</c:v>
                </c:pt>
                <c:pt idx="99">
                  <c:v>0.31313131313131315</c:v>
                </c:pt>
                <c:pt idx="100">
                  <c:v>0.32</c:v>
                </c:pt>
                <c:pt idx="101">
                  <c:v>0.31683168316831684</c:v>
                </c:pt>
                <c:pt idx="102">
                  <c:v>0.31372549019607843</c:v>
                </c:pt>
                <c:pt idx="103">
                  <c:v>0.31067961165048541</c:v>
                </c:pt>
                <c:pt idx="104">
                  <c:v>0.30769230769230771</c:v>
                </c:pt>
                <c:pt idx="105">
                  <c:v>0.31428571428571428</c:v>
                </c:pt>
                <c:pt idx="106">
                  <c:v>0.31132075471698112</c:v>
                </c:pt>
                <c:pt idx="107">
                  <c:v>0.30841121495327101</c:v>
                </c:pt>
                <c:pt idx="108">
                  <c:v>0.30555555555555558</c:v>
                </c:pt>
                <c:pt idx="109">
                  <c:v>0.30275229357798167</c:v>
                </c:pt>
                <c:pt idx="110">
                  <c:v>0.3</c:v>
                </c:pt>
                <c:pt idx="111">
                  <c:v>0.29729729729729731</c:v>
                </c:pt>
                <c:pt idx="112">
                  <c:v>0.29464285714285715</c:v>
                </c:pt>
                <c:pt idx="113">
                  <c:v>0.29203539823008851</c:v>
                </c:pt>
                <c:pt idx="114">
                  <c:v>0.28947368421052633</c:v>
                </c:pt>
                <c:pt idx="115">
                  <c:v>0.29565217391304349</c:v>
                </c:pt>
                <c:pt idx="116">
                  <c:v>0.30172413793103448</c:v>
                </c:pt>
                <c:pt idx="117">
                  <c:v>0.29914529914529914</c:v>
                </c:pt>
                <c:pt idx="118">
                  <c:v>0.29661016949152541</c:v>
                </c:pt>
                <c:pt idx="119">
                  <c:v>0.30252100840336132</c:v>
                </c:pt>
                <c:pt idx="120">
                  <c:v>0.30833333333333335</c:v>
                </c:pt>
                <c:pt idx="121">
                  <c:v>0.30578512396694213</c:v>
                </c:pt>
                <c:pt idx="122">
                  <c:v>0.30327868852459017</c:v>
                </c:pt>
                <c:pt idx="123">
                  <c:v>0.30081300813008133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れんたろう2!$A$3:$A$126</c:f>
              <c:numCache>
                <c:formatCode>0\ "回"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れんたろう2!$G$3:$G$126</c:f>
              <c:numCache>
                <c:formatCode>0.0%</c:formatCode>
                <c:ptCount val="124"/>
                <c:pt idx="1">
                  <c:v>0.36363636363636365</c:v>
                </c:pt>
                <c:pt idx="2">
                  <c:v>0.25</c:v>
                </c:pt>
                <c:pt idx="3">
                  <c:v>0.2</c:v>
                </c:pt>
                <c:pt idx="4">
                  <c:v>0.25</c:v>
                </c:pt>
                <c:pt idx="5">
                  <c:v>0.22222222222222221</c:v>
                </c:pt>
                <c:pt idx="6">
                  <c:v>0.2391304347826087</c:v>
                </c:pt>
                <c:pt idx="7">
                  <c:v>0.26415094339622641</c:v>
                </c:pt>
                <c:pt idx="8">
                  <c:v>0.22950819672131148</c:v>
                </c:pt>
                <c:pt idx="9">
                  <c:v>0.22388059701492538</c:v>
                </c:pt>
                <c:pt idx="10">
                  <c:v>0.23684210526315788</c:v>
                </c:pt>
                <c:pt idx="11">
                  <c:v>0.22619047619047619</c:v>
                </c:pt>
                <c:pt idx="12">
                  <c:v>0.23333333333333334</c:v>
                </c:pt>
                <c:pt idx="13">
                  <c:v>0.22222222222222221</c:v>
                </c:pt>
                <c:pt idx="14">
                  <c:v>0.22641509433962265</c:v>
                </c:pt>
                <c:pt idx="15">
                  <c:v>0.22131147540983606</c:v>
                </c:pt>
                <c:pt idx="16">
                  <c:v>0.23255813953488372</c:v>
                </c:pt>
                <c:pt idx="17">
                  <c:v>0.24087591240875914</c:v>
                </c:pt>
                <c:pt idx="18">
                  <c:v>0.24827586206896551</c:v>
                </c:pt>
                <c:pt idx="19">
                  <c:v>0.25</c:v>
                </c:pt>
                <c:pt idx="20">
                  <c:v>0.24691358024691357</c:v>
                </c:pt>
                <c:pt idx="21">
                  <c:v>0.24260355029585798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0.2513089005235602</c:v>
                </c:pt>
                <c:pt idx="25">
                  <c:v>0.25380710659898476</c:v>
                </c:pt>
                <c:pt idx="26">
                  <c:v>0.24752475247524752</c:v>
                </c:pt>
                <c:pt idx="27">
                  <c:v>0.25714285714285712</c:v>
                </c:pt>
                <c:pt idx="28">
                  <c:v>0.25925925925925924</c:v>
                </c:pt>
                <c:pt idx="29">
                  <c:v>0.25221238938053098</c:v>
                </c:pt>
                <c:pt idx="30">
                  <c:v>0.25974025974025972</c:v>
                </c:pt>
                <c:pt idx="31">
                  <c:v>0.26890756302521007</c:v>
                </c:pt>
                <c:pt idx="32">
                  <c:v>0.26938775510204083</c:v>
                </c:pt>
                <c:pt idx="33">
                  <c:v>0.26984126984126983</c:v>
                </c:pt>
                <c:pt idx="34">
                  <c:v>0.27099236641221375</c:v>
                </c:pt>
                <c:pt idx="35">
                  <c:v>0.27472527472527475</c:v>
                </c:pt>
                <c:pt idx="36">
                  <c:v>0.27083333333333331</c:v>
                </c:pt>
                <c:pt idx="37">
                  <c:v>0.27796610169491526</c:v>
                </c:pt>
                <c:pt idx="38">
                  <c:v>0.27868852459016391</c:v>
                </c:pt>
                <c:pt idx="39">
                  <c:v>0.27476038338658149</c:v>
                </c:pt>
                <c:pt idx="40">
                  <c:v>0.27725856697819312</c:v>
                </c:pt>
                <c:pt idx="41">
                  <c:v>0.27878787878787881</c:v>
                </c:pt>
                <c:pt idx="42">
                  <c:v>0.28358208955223879</c:v>
                </c:pt>
                <c:pt idx="43">
                  <c:v>0.27826086956521739</c:v>
                </c:pt>
                <c:pt idx="44">
                  <c:v>0.28045325779036828</c:v>
                </c:pt>
                <c:pt idx="45">
                  <c:v>0.27747252747252749</c:v>
                </c:pt>
                <c:pt idx="46">
                  <c:v>0.28609625668449196</c:v>
                </c:pt>
                <c:pt idx="47">
                  <c:v>0.2879581151832461</c:v>
                </c:pt>
                <c:pt idx="48">
                  <c:v>0.29562982005141386</c:v>
                </c:pt>
                <c:pt idx="49">
                  <c:v>0.29545454545454547</c:v>
                </c:pt>
                <c:pt idx="50">
                  <c:v>0.29426433915211969</c:v>
                </c:pt>
                <c:pt idx="51">
                  <c:v>0.29411764705882354</c:v>
                </c:pt>
                <c:pt idx="52">
                  <c:v>0.30048076923076922</c:v>
                </c:pt>
                <c:pt idx="53">
                  <c:v>0.29857819905213268</c:v>
                </c:pt>
                <c:pt idx="54">
                  <c:v>0.3</c:v>
                </c:pt>
                <c:pt idx="55">
                  <c:v>0.29384965831435078</c:v>
                </c:pt>
                <c:pt idx="56">
                  <c:v>0.2911111111111111</c:v>
                </c:pt>
                <c:pt idx="57">
                  <c:v>0.2975929978118162</c:v>
                </c:pt>
                <c:pt idx="58">
                  <c:v>0.29677419354838708</c:v>
                </c:pt>
                <c:pt idx="59">
                  <c:v>0.29916317991631797</c:v>
                </c:pt>
                <c:pt idx="60">
                  <c:v>0.2967479674796748</c:v>
                </c:pt>
                <c:pt idx="61">
                  <c:v>0.29365079365079366</c:v>
                </c:pt>
                <c:pt idx="62">
                  <c:v>0.29215686274509806</c:v>
                </c:pt>
                <c:pt idx="63">
                  <c:v>0.28875968992248063</c:v>
                </c:pt>
                <c:pt idx="64">
                  <c:v>0.28680688336520077</c:v>
                </c:pt>
                <c:pt idx="65">
                  <c:v>0.29190207156308851</c:v>
                </c:pt>
                <c:pt idx="66">
                  <c:v>0.29281767955801102</c:v>
                </c:pt>
                <c:pt idx="67">
                  <c:v>0.29038112522686027</c:v>
                </c:pt>
                <c:pt idx="68">
                  <c:v>0.29390681003584229</c:v>
                </c:pt>
                <c:pt idx="69">
                  <c:v>0.29151943462897528</c:v>
                </c:pt>
                <c:pt idx="70">
                  <c:v>0.28919860627177701</c:v>
                </c:pt>
                <c:pt idx="71">
                  <c:v>0.28942807625649913</c:v>
                </c:pt>
                <c:pt idx="72">
                  <c:v>0.2910958904109589</c:v>
                </c:pt>
                <c:pt idx="73">
                  <c:v>0.29010238907849828</c:v>
                </c:pt>
                <c:pt idx="74">
                  <c:v>0.28667790893760542</c:v>
                </c:pt>
                <c:pt idx="75">
                  <c:v>0.28476821192052981</c:v>
                </c:pt>
                <c:pt idx="76">
                  <c:v>0.28431372549019607</c:v>
                </c:pt>
                <c:pt idx="77">
                  <c:v>0.28640776699029125</c:v>
                </c:pt>
                <c:pt idx="78">
                  <c:v>0.28389154704944181</c:v>
                </c:pt>
                <c:pt idx="79">
                  <c:v>0.28031496062992128</c:v>
                </c:pt>
                <c:pt idx="80">
                  <c:v>0.27906976744186046</c:v>
                </c:pt>
                <c:pt idx="81">
                  <c:v>0.27981651376146788</c:v>
                </c:pt>
                <c:pt idx="82">
                  <c:v>0.28290468986384265</c:v>
                </c:pt>
                <c:pt idx="83">
                  <c:v>0.28083209509658247</c:v>
                </c:pt>
                <c:pt idx="84">
                  <c:v>0.27941176470588236</c:v>
                </c:pt>
                <c:pt idx="85">
                  <c:v>0.27826086956521739</c:v>
                </c:pt>
                <c:pt idx="86">
                  <c:v>0.27936962750716332</c:v>
                </c:pt>
                <c:pt idx="87">
                  <c:v>0.27659574468085107</c:v>
                </c:pt>
                <c:pt idx="88">
                  <c:v>0.27591036414565828</c:v>
                </c:pt>
                <c:pt idx="89">
                  <c:v>0.27524204702627941</c:v>
                </c:pt>
                <c:pt idx="90">
                  <c:v>0.27747252747252749</c:v>
                </c:pt>
                <c:pt idx="91">
                  <c:v>0.27755102040816326</c:v>
                </c:pt>
                <c:pt idx="92">
                  <c:v>0.2807017543859649</c:v>
                </c:pt>
                <c:pt idx="93">
                  <c:v>0.27978580990629182</c:v>
                </c:pt>
                <c:pt idx="94">
                  <c:v>0.27910052910052913</c:v>
                </c:pt>
                <c:pt idx="95">
                  <c:v>0.28047182175622543</c:v>
                </c:pt>
                <c:pt idx="96">
                  <c:v>0.2805194805194805</c:v>
                </c:pt>
                <c:pt idx="97">
                  <c:v>0.27963917525773196</c:v>
                </c:pt>
                <c:pt idx="98">
                  <c:v>0.28061224489795916</c:v>
                </c:pt>
                <c:pt idx="99">
                  <c:v>0.28050314465408804</c:v>
                </c:pt>
                <c:pt idx="100">
                  <c:v>0.27860696517412936</c:v>
                </c:pt>
                <c:pt idx="101">
                  <c:v>0.27764127764127766</c:v>
                </c:pt>
                <c:pt idx="102">
                  <c:v>0.27669902912621358</c:v>
                </c:pt>
                <c:pt idx="103">
                  <c:v>0.27764423076923078</c:v>
                </c:pt>
                <c:pt idx="104">
                  <c:v>0.27738095238095239</c:v>
                </c:pt>
                <c:pt idx="105">
                  <c:v>0.27379553466509987</c:v>
                </c:pt>
                <c:pt idx="106">
                  <c:v>0.27494199535962877</c:v>
                </c:pt>
                <c:pt idx="107">
                  <c:v>0.27733026467203681</c:v>
                </c:pt>
                <c:pt idx="108">
                  <c:v>0.27758816837315131</c:v>
                </c:pt>
                <c:pt idx="109">
                  <c:v>0.27833894500561168</c:v>
                </c:pt>
                <c:pt idx="110">
                  <c:v>0.27919911012235815</c:v>
                </c:pt>
                <c:pt idx="111">
                  <c:v>0.28193832599118945</c:v>
                </c:pt>
                <c:pt idx="112">
                  <c:v>0.28244274809160308</c:v>
                </c:pt>
                <c:pt idx="113">
                  <c:v>0.28277356446370533</c:v>
                </c:pt>
                <c:pt idx="114">
                  <c:v>0.28279569892473116</c:v>
                </c:pt>
                <c:pt idx="115">
                  <c:v>0.28128342245989307</c:v>
                </c:pt>
                <c:pt idx="116">
                  <c:v>0.28088701161562829</c:v>
                </c:pt>
                <c:pt idx="117">
                  <c:v>0.28347280334728031</c:v>
                </c:pt>
                <c:pt idx="118">
                  <c:v>0.28526970954356845</c:v>
                </c:pt>
                <c:pt idx="119">
                  <c:v>0.28365878725590954</c:v>
                </c:pt>
                <c:pt idx="120">
                  <c:v>0.28194726166328599</c:v>
                </c:pt>
                <c:pt idx="121">
                  <c:v>0.28225806451612906</c:v>
                </c:pt>
                <c:pt idx="122">
                  <c:v>0.28128128128128127</c:v>
                </c:pt>
                <c:pt idx="123">
                  <c:v>0.2813121272365805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845360824742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れんたろう2!$A$3:$A$126</c:f>
              <c:numCache>
                <c:formatCode>0\ "回"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れんたろう2!$H$3:$H$126</c:f>
              <c:numCache>
                <c:formatCode>0.0%</c:formatCode>
                <c:ptCount val="124"/>
                <c:pt idx="1">
                  <c:v>0.27272727272727271</c:v>
                </c:pt>
                <c:pt idx="2">
                  <c:v>0.3</c:v>
                </c:pt>
                <c:pt idx="3">
                  <c:v>0.33333333333333331</c:v>
                </c:pt>
                <c:pt idx="4">
                  <c:v>0.27777777777777779</c:v>
                </c:pt>
                <c:pt idx="5">
                  <c:v>0.31111111111111112</c:v>
                </c:pt>
                <c:pt idx="6">
                  <c:v>0.30434782608695654</c:v>
                </c:pt>
                <c:pt idx="7">
                  <c:v>0.26415094339622641</c:v>
                </c:pt>
                <c:pt idx="8">
                  <c:v>0.26229508196721313</c:v>
                </c:pt>
                <c:pt idx="9">
                  <c:v>0.23880597014925373</c:v>
                </c:pt>
                <c:pt idx="10">
                  <c:v>0.22368421052631579</c:v>
                </c:pt>
                <c:pt idx="11">
                  <c:v>0.22619047619047619</c:v>
                </c:pt>
                <c:pt idx="12">
                  <c:v>0.21111111111111111</c:v>
                </c:pt>
                <c:pt idx="13">
                  <c:v>0.21212121212121213</c:v>
                </c:pt>
                <c:pt idx="14">
                  <c:v>0.20754716981132076</c:v>
                </c:pt>
                <c:pt idx="15">
                  <c:v>0.19672131147540983</c:v>
                </c:pt>
                <c:pt idx="16">
                  <c:v>0.19379844961240311</c:v>
                </c:pt>
                <c:pt idx="17">
                  <c:v>0.18248175182481752</c:v>
                </c:pt>
                <c:pt idx="18">
                  <c:v>0.17241379310344829</c:v>
                </c:pt>
                <c:pt idx="19">
                  <c:v>0.17307692307692307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0.15909090909090909</c:v>
                </c:pt>
                <c:pt idx="23">
                  <c:v>0.15300546448087432</c:v>
                </c:pt>
                <c:pt idx="24">
                  <c:v>0.17277486910994763</c:v>
                </c:pt>
                <c:pt idx="25">
                  <c:v>0.16751269035532995</c:v>
                </c:pt>
                <c:pt idx="26">
                  <c:v>0.17326732673267325</c:v>
                </c:pt>
                <c:pt idx="27">
                  <c:v>0.16666666666666666</c:v>
                </c:pt>
                <c:pt idx="28">
                  <c:v>0.16666666666666666</c:v>
                </c:pt>
                <c:pt idx="29">
                  <c:v>0.16371681415929204</c:v>
                </c:pt>
                <c:pt idx="30">
                  <c:v>0.16017316017316016</c:v>
                </c:pt>
                <c:pt idx="31">
                  <c:v>0.15966386554621848</c:v>
                </c:pt>
                <c:pt idx="32">
                  <c:v>0.15510204081632653</c:v>
                </c:pt>
                <c:pt idx="33">
                  <c:v>0.15873015873015872</c:v>
                </c:pt>
                <c:pt idx="34">
                  <c:v>0.16412213740458015</c:v>
                </c:pt>
                <c:pt idx="35">
                  <c:v>0.16117216117216118</c:v>
                </c:pt>
                <c:pt idx="36">
                  <c:v>0.16319444444444445</c:v>
                </c:pt>
                <c:pt idx="37">
                  <c:v>0.15932203389830507</c:v>
                </c:pt>
                <c:pt idx="38">
                  <c:v>0.16393442622950818</c:v>
                </c:pt>
                <c:pt idx="39">
                  <c:v>0.16613418530351437</c:v>
                </c:pt>
                <c:pt idx="40">
                  <c:v>0.16510903426791276</c:v>
                </c:pt>
                <c:pt idx="41">
                  <c:v>0.16666666666666666</c:v>
                </c:pt>
                <c:pt idx="42">
                  <c:v>0.16716417910447762</c:v>
                </c:pt>
                <c:pt idx="43">
                  <c:v>0.1681159420289855</c:v>
                </c:pt>
                <c:pt idx="44">
                  <c:v>0.16713881019830029</c:v>
                </c:pt>
                <c:pt idx="45">
                  <c:v>0.16483516483516483</c:v>
                </c:pt>
                <c:pt idx="46">
                  <c:v>0.16042780748663102</c:v>
                </c:pt>
                <c:pt idx="47">
                  <c:v>0.15968586387434555</c:v>
                </c:pt>
                <c:pt idx="48">
                  <c:v>0.15681233933161953</c:v>
                </c:pt>
                <c:pt idx="49">
                  <c:v>0.15909090909090909</c:v>
                </c:pt>
                <c:pt idx="50">
                  <c:v>0.15710723192019951</c:v>
                </c:pt>
                <c:pt idx="51">
                  <c:v>0.15931372549019607</c:v>
                </c:pt>
                <c:pt idx="52">
                  <c:v>0.15625</c:v>
                </c:pt>
                <c:pt idx="53">
                  <c:v>0.15402843601895735</c:v>
                </c:pt>
                <c:pt idx="54">
                  <c:v>0.16046511627906976</c:v>
                </c:pt>
                <c:pt idx="55">
                  <c:v>0.16173120728929385</c:v>
                </c:pt>
                <c:pt idx="56">
                  <c:v>0.16222222222222221</c:v>
                </c:pt>
                <c:pt idx="57">
                  <c:v>0.16192560175054704</c:v>
                </c:pt>
                <c:pt idx="58">
                  <c:v>0.16559139784946236</c:v>
                </c:pt>
                <c:pt idx="59">
                  <c:v>0.16527196652719664</c:v>
                </c:pt>
                <c:pt idx="60">
                  <c:v>0.16666666666666666</c:v>
                </c:pt>
                <c:pt idx="61">
                  <c:v>0.16666666666666666</c:v>
                </c:pt>
                <c:pt idx="62">
                  <c:v>0.16470588235294117</c:v>
                </c:pt>
                <c:pt idx="63">
                  <c:v>0.16279069767441862</c:v>
                </c:pt>
                <c:pt idx="64">
                  <c:v>0.16252390057361377</c:v>
                </c:pt>
                <c:pt idx="65">
                  <c:v>0.160075329566855</c:v>
                </c:pt>
                <c:pt idx="66">
                  <c:v>0.16022099447513813</c:v>
                </c:pt>
                <c:pt idx="67">
                  <c:v>0.16152450090744103</c:v>
                </c:pt>
                <c:pt idx="68">
                  <c:v>0.15949820788530467</c:v>
                </c:pt>
                <c:pt idx="69">
                  <c:v>0.16077738515901061</c:v>
                </c:pt>
                <c:pt idx="70">
                  <c:v>0.16376306620209058</c:v>
                </c:pt>
                <c:pt idx="71">
                  <c:v>0.16464471403812825</c:v>
                </c:pt>
                <c:pt idx="72">
                  <c:v>0.16438356164383561</c:v>
                </c:pt>
                <c:pt idx="73">
                  <c:v>0.16723549488054607</c:v>
                </c:pt>
                <c:pt idx="74">
                  <c:v>0.16863406408094436</c:v>
                </c:pt>
                <c:pt idx="75">
                  <c:v>0.16721854304635761</c:v>
                </c:pt>
                <c:pt idx="76">
                  <c:v>0.16993464052287582</c:v>
                </c:pt>
                <c:pt idx="77">
                  <c:v>0.16828478964401294</c:v>
                </c:pt>
                <c:pt idx="78">
                  <c:v>0.17224880382775121</c:v>
                </c:pt>
                <c:pt idx="79">
                  <c:v>0.17322834645669291</c:v>
                </c:pt>
                <c:pt idx="80">
                  <c:v>0.17674418604651163</c:v>
                </c:pt>
                <c:pt idx="81">
                  <c:v>0.17737003058103976</c:v>
                </c:pt>
                <c:pt idx="82">
                  <c:v>0.17700453857791226</c:v>
                </c:pt>
                <c:pt idx="83">
                  <c:v>0.17682020802377416</c:v>
                </c:pt>
                <c:pt idx="84">
                  <c:v>0.17647058823529413</c:v>
                </c:pt>
                <c:pt idx="85">
                  <c:v>0.17826086956521739</c:v>
                </c:pt>
                <c:pt idx="86">
                  <c:v>0.17765042979942694</c:v>
                </c:pt>
                <c:pt idx="87">
                  <c:v>0.17872340425531916</c:v>
                </c:pt>
                <c:pt idx="88">
                  <c:v>0.18067226890756302</c:v>
                </c:pt>
                <c:pt idx="89">
                  <c:v>0.17980636237897649</c:v>
                </c:pt>
                <c:pt idx="90">
                  <c:v>0.17857142857142858</c:v>
                </c:pt>
                <c:pt idx="91">
                  <c:v>0.17823129251700681</c:v>
                </c:pt>
                <c:pt idx="92">
                  <c:v>0.17678812415654521</c:v>
                </c:pt>
                <c:pt idx="93">
                  <c:v>0.17804551539491298</c:v>
                </c:pt>
                <c:pt idx="94">
                  <c:v>0.17724867724867724</c:v>
                </c:pt>
                <c:pt idx="95">
                  <c:v>0.17693315858453473</c:v>
                </c:pt>
                <c:pt idx="96">
                  <c:v>0.17662337662337663</c:v>
                </c:pt>
                <c:pt idx="97">
                  <c:v>0.17654639175257733</c:v>
                </c:pt>
                <c:pt idx="98">
                  <c:v>0.17729591836734693</c:v>
                </c:pt>
                <c:pt idx="99">
                  <c:v>0.17484276729559747</c:v>
                </c:pt>
                <c:pt idx="100">
                  <c:v>0.17537313432835822</c:v>
                </c:pt>
                <c:pt idx="101">
                  <c:v>0.17444717444717445</c:v>
                </c:pt>
                <c:pt idx="102">
                  <c:v>0.17597087378640777</c:v>
                </c:pt>
                <c:pt idx="103">
                  <c:v>0.17668269230769232</c:v>
                </c:pt>
                <c:pt idx="104">
                  <c:v>0.17499999999999999</c:v>
                </c:pt>
                <c:pt idx="105">
                  <c:v>0.17508813160987075</c:v>
                </c:pt>
                <c:pt idx="106">
                  <c:v>0.1751740139211137</c:v>
                </c:pt>
                <c:pt idx="107">
                  <c:v>0.17491369390103567</c:v>
                </c:pt>
                <c:pt idx="108">
                  <c:v>0.17406143344709898</c:v>
                </c:pt>
                <c:pt idx="109">
                  <c:v>0.1728395061728395</c:v>
                </c:pt>
                <c:pt idx="110">
                  <c:v>0.17241379310344829</c:v>
                </c:pt>
                <c:pt idx="111">
                  <c:v>0.17070484581497797</c:v>
                </c:pt>
                <c:pt idx="112">
                  <c:v>0.17121046892039257</c:v>
                </c:pt>
                <c:pt idx="113">
                  <c:v>0.17118093174431204</c:v>
                </c:pt>
                <c:pt idx="114">
                  <c:v>0.16989247311827957</c:v>
                </c:pt>
                <c:pt idx="115">
                  <c:v>0.17005347593582887</c:v>
                </c:pt>
                <c:pt idx="116">
                  <c:v>0.16895459345300951</c:v>
                </c:pt>
                <c:pt idx="117">
                  <c:v>0.16945606694560669</c:v>
                </c:pt>
                <c:pt idx="118">
                  <c:v>0.16804979253112035</c:v>
                </c:pt>
                <c:pt idx="119">
                  <c:v>0.16855087358684481</c:v>
                </c:pt>
                <c:pt idx="120">
                  <c:v>0.16937119675456389</c:v>
                </c:pt>
                <c:pt idx="121">
                  <c:v>0.16935483870967741</c:v>
                </c:pt>
                <c:pt idx="122">
                  <c:v>0.17017017017017017</c:v>
                </c:pt>
                <c:pt idx="123">
                  <c:v>0.16898608349900596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512027491408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れんたろう2!$A$3:$A$126</c:f>
              <c:numCache>
                <c:formatCode>0\ "回"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れんたろう2!$I$3:$I$126</c:f>
              <c:numCache>
                <c:formatCode>0</c:formatCode>
                <c:ptCount val="124"/>
                <c:pt idx="1">
                  <c:v>8125</c:v>
                </c:pt>
                <c:pt idx="2">
                  <c:v>8100</c:v>
                </c:pt>
                <c:pt idx="3">
                  <c:v>8750</c:v>
                </c:pt>
                <c:pt idx="4">
                  <c:v>11355.555555555555</c:v>
                </c:pt>
                <c:pt idx="5">
                  <c:v>10420</c:v>
                </c:pt>
                <c:pt idx="6">
                  <c:v>13836.363636363636</c:v>
                </c:pt>
                <c:pt idx="7">
                  <c:v>12942.857142857143</c:v>
                </c:pt>
                <c:pt idx="8">
                  <c:v>12942.857142857143</c:v>
                </c:pt>
                <c:pt idx="9">
                  <c:v>12480</c:v>
                </c:pt>
                <c:pt idx="10">
                  <c:v>12288.888888888889</c:v>
                </c:pt>
                <c:pt idx="11">
                  <c:v>11852.631578947368</c:v>
                </c:pt>
                <c:pt idx="12">
                  <c:v>12614.285714285714</c:v>
                </c:pt>
                <c:pt idx="13">
                  <c:v>12586.363636363636</c:v>
                </c:pt>
                <c:pt idx="14">
                  <c:v>13370.833333333334</c:v>
                </c:pt>
                <c:pt idx="15">
                  <c:v>12474.074074074075</c:v>
                </c:pt>
                <c:pt idx="16">
                  <c:v>12426.666666666666</c:v>
                </c:pt>
                <c:pt idx="17">
                  <c:v>12124.242424242424</c:v>
                </c:pt>
                <c:pt idx="18">
                  <c:v>11561.111111111111</c:v>
                </c:pt>
                <c:pt idx="19">
                  <c:v>11823.076923076924</c:v>
                </c:pt>
                <c:pt idx="20">
                  <c:v>11657.5</c:v>
                </c:pt>
                <c:pt idx="21">
                  <c:v>11421.951219512195</c:v>
                </c:pt>
                <c:pt idx="22">
                  <c:v>10960</c:v>
                </c:pt>
                <c:pt idx="23">
                  <c:v>10834.04255319149</c:v>
                </c:pt>
                <c:pt idx="24">
                  <c:v>10858.333333333334</c:v>
                </c:pt>
                <c:pt idx="25">
                  <c:v>10744</c:v>
                </c:pt>
                <c:pt idx="26">
                  <c:v>10744</c:v>
                </c:pt>
                <c:pt idx="27">
                  <c:v>10811.111111111111</c:v>
                </c:pt>
                <c:pt idx="28">
                  <c:v>10853.571428571429</c:v>
                </c:pt>
                <c:pt idx="29">
                  <c:v>10714.035087719298</c:v>
                </c:pt>
                <c:pt idx="30">
                  <c:v>10706.666666666666</c:v>
                </c:pt>
                <c:pt idx="31">
                  <c:v>10553.125</c:v>
                </c:pt>
                <c:pt idx="32">
                  <c:v>10430.30303030303</c:v>
                </c:pt>
                <c:pt idx="33">
                  <c:v>10354.411764705883</c:v>
                </c:pt>
                <c:pt idx="34">
                  <c:v>10311.267605633802</c:v>
                </c:pt>
                <c:pt idx="35">
                  <c:v>10238.666666666666</c:v>
                </c:pt>
                <c:pt idx="36">
                  <c:v>10251.282051282051</c:v>
                </c:pt>
                <c:pt idx="37">
                  <c:v>10174.390243902439</c:v>
                </c:pt>
                <c:pt idx="38">
                  <c:v>10071.764705882353</c:v>
                </c:pt>
                <c:pt idx="39">
                  <c:v>10044.186046511628</c:v>
                </c:pt>
                <c:pt idx="40">
                  <c:v>9975.2808988764045</c:v>
                </c:pt>
                <c:pt idx="41">
                  <c:v>10041.304347826086</c:v>
                </c:pt>
                <c:pt idx="42">
                  <c:v>10081.052631578947</c:v>
                </c:pt>
                <c:pt idx="43">
                  <c:v>10142.708333333334</c:v>
                </c:pt>
                <c:pt idx="44">
                  <c:v>10155.555555555555</c:v>
                </c:pt>
                <c:pt idx="45">
                  <c:v>10211.881188118812</c:v>
                </c:pt>
                <c:pt idx="46">
                  <c:v>10172.897196261682</c:v>
                </c:pt>
                <c:pt idx="47">
                  <c:v>10292.727272727272</c:v>
                </c:pt>
                <c:pt idx="48">
                  <c:v>10467.826086956522</c:v>
                </c:pt>
                <c:pt idx="49">
                  <c:v>10457.264957264957</c:v>
                </c:pt>
                <c:pt idx="50">
                  <c:v>10775.423728813559</c:v>
                </c:pt>
                <c:pt idx="51">
                  <c:v>10675.833333333334</c:v>
                </c:pt>
                <c:pt idx="52">
                  <c:v>10544.8</c:v>
                </c:pt>
                <c:pt idx="53">
                  <c:v>10524.603174603175</c:v>
                </c:pt>
                <c:pt idx="54">
                  <c:v>10435.658914728681</c:v>
                </c:pt>
                <c:pt idx="55">
                  <c:v>10435.658914728681</c:v>
                </c:pt>
                <c:pt idx="56">
                  <c:v>10390.839694656488</c:v>
                </c:pt>
                <c:pt idx="57">
                  <c:v>10292.64705882353</c:v>
                </c:pt>
                <c:pt idx="58">
                  <c:v>10410.144927536232</c:v>
                </c:pt>
                <c:pt idx="59">
                  <c:v>10469.23076923077</c:v>
                </c:pt>
                <c:pt idx="60">
                  <c:v>10443.150684931506</c:v>
                </c:pt>
                <c:pt idx="61">
                  <c:v>10410.135135135135</c:v>
                </c:pt>
                <c:pt idx="62">
                  <c:v>10393.959731543624</c:v>
                </c:pt>
                <c:pt idx="63">
                  <c:v>10393.959731543624</c:v>
                </c:pt>
                <c:pt idx="64">
                  <c:v>10343.333333333334</c:v>
                </c:pt>
                <c:pt idx="65">
                  <c:v>10343.225806451614</c:v>
                </c:pt>
                <c:pt idx="66">
                  <c:v>10433.333333333334</c:v>
                </c:pt>
                <c:pt idx="67">
                  <c:v>10393.125</c:v>
                </c:pt>
                <c:pt idx="68">
                  <c:v>10662.195121951219</c:v>
                </c:pt>
                <c:pt idx="69">
                  <c:v>10694.545454545454</c:v>
                </c:pt>
                <c:pt idx="70">
                  <c:v>10702.409638554216</c:v>
                </c:pt>
                <c:pt idx="71">
                  <c:v>10746.107784431138</c:v>
                </c:pt>
                <c:pt idx="72">
                  <c:v>10813.529411764706</c:v>
                </c:pt>
                <c:pt idx="73">
                  <c:v>10813.529411764706</c:v>
                </c:pt>
                <c:pt idx="74">
                  <c:v>10813.529411764706</c:v>
                </c:pt>
                <c:pt idx="75">
                  <c:v>10850.581395348838</c:v>
                </c:pt>
                <c:pt idx="76">
                  <c:v>10798.275862068966</c:v>
                </c:pt>
                <c:pt idx="77">
                  <c:v>10852.542372881357</c:v>
                </c:pt>
                <c:pt idx="78">
                  <c:v>10858.988764044943</c:v>
                </c:pt>
                <c:pt idx="79">
                  <c:v>10858.988764044943</c:v>
                </c:pt>
                <c:pt idx="80">
                  <c:v>10849.444444444445</c:v>
                </c:pt>
                <c:pt idx="81">
                  <c:v>10812.021857923497</c:v>
                </c:pt>
                <c:pt idx="82">
                  <c:v>10767.379679144386</c:v>
                </c:pt>
                <c:pt idx="83">
                  <c:v>10780.42328042328</c:v>
                </c:pt>
                <c:pt idx="84">
                  <c:v>10786.842105263158</c:v>
                </c:pt>
                <c:pt idx="85">
                  <c:v>10893.229166666666</c:v>
                </c:pt>
                <c:pt idx="86">
                  <c:v>10961.538461538461</c:v>
                </c:pt>
                <c:pt idx="87">
                  <c:v>10961.538461538461</c:v>
                </c:pt>
                <c:pt idx="88">
                  <c:v>10904.060913705584</c:v>
                </c:pt>
                <c:pt idx="89">
                  <c:v>10915.075376884422</c:v>
                </c:pt>
                <c:pt idx="90">
                  <c:v>10921.287128712871</c:v>
                </c:pt>
                <c:pt idx="91">
                  <c:v>10912.254901960785</c:v>
                </c:pt>
                <c:pt idx="92">
                  <c:v>10862.01923076923</c:v>
                </c:pt>
                <c:pt idx="93">
                  <c:v>10848.325358851675</c:v>
                </c:pt>
                <c:pt idx="94">
                  <c:v>10887.677725118483</c:v>
                </c:pt>
                <c:pt idx="95">
                  <c:v>10903.271028037383</c:v>
                </c:pt>
                <c:pt idx="96">
                  <c:v>10913.425925925925</c:v>
                </c:pt>
                <c:pt idx="97">
                  <c:v>10918.433179723503</c:v>
                </c:pt>
                <c:pt idx="98">
                  <c:v>10869.545454545454</c:v>
                </c:pt>
                <c:pt idx="99">
                  <c:v>10865.470852017937</c:v>
                </c:pt>
                <c:pt idx="100">
                  <c:v>10834.375</c:v>
                </c:pt>
                <c:pt idx="101">
                  <c:v>10797.345132743363</c:v>
                </c:pt>
                <c:pt idx="102">
                  <c:v>10799.122807017544</c:v>
                </c:pt>
                <c:pt idx="103">
                  <c:v>10866.666666666666</c:v>
                </c:pt>
                <c:pt idx="104">
                  <c:v>10847.639484978541</c:v>
                </c:pt>
                <c:pt idx="105">
                  <c:v>10847.639484978541</c:v>
                </c:pt>
                <c:pt idx="106">
                  <c:v>10790.717299578058</c:v>
                </c:pt>
                <c:pt idx="107">
                  <c:v>10780.91286307054</c:v>
                </c:pt>
                <c:pt idx="108">
                  <c:v>10770.901639344262</c:v>
                </c:pt>
                <c:pt idx="109">
                  <c:v>10772.177419354839</c:v>
                </c:pt>
                <c:pt idx="110">
                  <c:v>10762.151394422312</c:v>
                </c:pt>
                <c:pt idx="111">
                  <c:v>10817.578125</c:v>
                </c:pt>
                <c:pt idx="112">
                  <c:v>10779.536679536679</c:v>
                </c:pt>
                <c:pt idx="113">
                  <c:v>10757.088122605364</c:v>
                </c:pt>
                <c:pt idx="114">
                  <c:v>10736.121673003803</c:v>
                </c:pt>
                <c:pt idx="115">
                  <c:v>10736.121673003803</c:v>
                </c:pt>
                <c:pt idx="116">
                  <c:v>10659.774436090225</c:v>
                </c:pt>
                <c:pt idx="117">
                  <c:v>10674.169741697417</c:v>
                </c:pt>
                <c:pt idx="118">
                  <c:v>10721.09090909091</c:v>
                </c:pt>
                <c:pt idx="119">
                  <c:v>10711.231884057972</c:v>
                </c:pt>
                <c:pt idx="120">
                  <c:v>10716.187050359713</c:v>
                </c:pt>
                <c:pt idx="121">
                  <c:v>10701.428571428571</c:v>
                </c:pt>
                <c:pt idx="122">
                  <c:v>10666.903914590748</c:v>
                </c:pt>
                <c:pt idx="123">
                  <c:v>10697.526501766784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72.16783216783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れんたろう2!$A$3:$A$126</c:f>
              <c:numCache>
                <c:formatCode>0\ "回"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れんたろう2!$J$3:$J$126</c:f>
              <c:numCache>
                <c:formatCode>0</c:formatCode>
                <c:ptCount val="124"/>
                <c:pt idx="1">
                  <c:v>-10600</c:v>
                </c:pt>
                <c:pt idx="2">
                  <c:v>-14300</c:v>
                </c:pt>
                <c:pt idx="3">
                  <c:v>-11980</c:v>
                </c:pt>
                <c:pt idx="4">
                  <c:v>-11980</c:v>
                </c:pt>
                <c:pt idx="5">
                  <c:v>-10764.285714285714</c:v>
                </c:pt>
                <c:pt idx="6">
                  <c:v>-10764.285714285714</c:v>
                </c:pt>
                <c:pt idx="7">
                  <c:v>-10764.285714285714</c:v>
                </c:pt>
                <c:pt idx="8">
                  <c:v>-11025</c:v>
                </c:pt>
                <c:pt idx="9">
                  <c:v>-11025</c:v>
                </c:pt>
                <c:pt idx="10">
                  <c:v>-11082.35294117647</c:v>
                </c:pt>
                <c:pt idx="11">
                  <c:v>-11015.78947368421</c:v>
                </c:pt>
                <c:pt idx="12">
                  <c:v>-11015.78947368421</c:v>
                </c:pt>
                <c:pt idx="13">
                  <c:v>-10723.809523809523</c:v>
                </c:pt>
                <c:pt idx="14">
                  <c:v>-10600</c:v>
                </c:pt>
                <c:pt idx="15">
                  <c:v>-10254.166666666666</c:v>
                </c:pt>
                <c:pt idx="16">
                  <c:v>-9896</c:v>
                </c:pt>
                <c:pt idx="17">
                  <c:v>-9896</c:v>
                </c:pt>
                <c:pt idx="18">
                  <c:v>-9896</c:v>
                </c:pt>
                <c:pt idx="19">
                  <c:v>-9903.7037037037044</c:v>
                </c:pt>
                <c:pt idx="20">
                  <c:v>-9903.7037037037044</c:v>
                </c:pt>
                <c:pt idx="21">
                  <c:v>-9903.7037037037044</c:v>
                </c:pt>
                <c:pt idx="22">
                  <c:v>-9596.4285714285706</c:v>
                </c:pt>
                <c:pt idx="23">
                  <c:v>-9596.4285714285706</c:v>
                </c:pt>
                <c:pt idx="24">
                  <c:v>-9403.0303030303039</c:v>
                </c:pt>
                <c:pt idx="25">
                  <c:v>-9403.0303030303039</c:v>
                </c:pt>
                <c:pt idx="26">
                  <c:v>-9551.4285714285706</c:v>
                </c:pt>
                <c:pt idx="27">
                  <c:v>-9551.4285714285706</c:v>
                </c:pt>
                <c:pt idx="28">
                  <c:v>-9508.3333333333339</c:v>
                </c:pt>
                <c:pt idx="29">
                  <c:v>-9467.5675675675684</c:v>
                </c:pt>
                <c:pt idx="30">
                  <c:v>-9467.5675675675684</c:v>
                </c:pt>
                <c:pt idx="31">
                  <c:v>-9271.0526315789466</c:v>
                </c:pt>
                <c:pt idx="32">
                  <c:v>-9271.0526315789466</c:v>
                </c:pt>
                <c:pt idx="33">
                  <c:v>-8970</c:v>
                </c:pt>
                <c:pt idx="34">
                  <c:v>-8790.6976744186049</c:v>
                </c:pt>
                <c:pt idx="35">
                  <c:v>-8772.7272727272721</c:v>
                </c:pt>
                <c:pt idx="36">
                  <c:v>-8565.9574468085102</c:v>
                </c:pt>
                <c:pt idx="37">
                  <c:v>-8565.9574468085102</c:v>
                </c:pt>
                <c:pt idx="38">
                  <c:v>-8228</c:v>
                </c:pt>
                <c:pt idx="39">
                  <c:v>-8084.6153846153848</c:v>
                </c:pt>
                <c:pt idx="40">
                  <c:v>-8535.8490566037744</c:v>
                </c:pt>
                <c:pt idx="41">
                  <c:v>-8589.0909090909099</c:v>
                </c:pt>
                <c:pt idx="42">
                  <c:v>-8505.3571428571431</c:v>
                </c:pt>
                <c:pt idx="43">
                  <c:v>-8518.9655172413786</c:v>
                </c:pt>
                <c:pt idx="44">
                  <c:v>-8408.4745762711864</c:v>
                </c:pt>
                <c:pt idx="45">
                  <c:v>-8468.3333333333339</c:v>
                </c:pt>
                <c:pt idx="46">
                  <c:v>-8468.3333333333339</c:v>
                </c:pt>
                <c:pt idx="47">
                  <c:v>-8526.2295081967204</c:v>
                </c:pt>
                <c:pt idx="48">
                  <c:v>-8526.2295081967204</c:v>
                </c:pt>
                <c:pt idx="49">
                  <c:v>-8507.936507936507</c:v>
                </c:pt>
                <c:pt idx="50">
                  <c:v>-8507.936507936507</c:v>
                </c:pt>
                <c:pt idx="51">
                  <c:v>-8429.2307692307695</c:v>
                </c:pt>
                <c:pt idx="52">
                  <c:v>-8429.2307692307695</c:v>
                </c:pt>
                <c:pt idx="53">
                  <c:v>-8429.2307692307695</c:v>
                </c:pt>
                <c:pt idx="54">
                  <c:v>-8333.3333333333339</c:v>
                </c:pt>
                <c:pt idx="55">
                  <c:v>-8325.352112676057</c:v>
                </c:pt>
                <c:pt idx="56">
                  <c:v>-8239.7260273972606</c:v>
                </c:pt>
                <c:pt idx="57">
                  <c:v>-8236.4864864864867</c:v>
                </c:pt>
                <c:pt idx="58">
                  <c:v>-8136.363636363636</c:v>
                </c:pt>
                <c:pt idx="59">
                  <c:v>-8064.5569620253164</c:v>
                </c:pt>
                <c:pt idx="60">
                  <c:v>-7893.9024390243903</c:v>
                </c:pt>
                <c:pt idx="61">
                  <c:v>-7910.7142857142853</c:v>
                </c:pt>
                <c:pt idx="62">
                  <c:v>-7910.7142857142853</c:v>
                </c:pt>
                <c:pt idx="63">
                  <c:v>-7910.7142857142853</c:v>
                </c:pt>
                <c:pt idx="64">
                  <c:v>-8100</c:v>
                </c:pt>
                <c:pt idx="65">
                  <c:v>-8100</c:v>
                </c:pt>
                <c:pt idx="66">
                  <c:v>-8096.5517241379312</c:v>
                </c:pt>
                <c:pt idx="67">
                  <c:v>-7965.1685393258431</c:v>
                </c:pt>
                <c:pt idx="68">
                  <c:v>-7965.1685393258431</c:v>
                </c:pt>
                <c:pt idx="69">
                  <c:v>-7861.5384615384619</c:v>
                </c:pt>
                <c:pt idx="70">
                  <c:v>-7844.6808510638302</c:v>
                </c:pt>
                <c:pt idx="71">
                  <c:v>-7816.8421052631575</c:v>
                </c:pt>
                <c:pt idx="72">
                  <c:v>-7860.416666666667</c:v>
                </c:pt>
                <c:pt idx="73">
                  <c:v>-8203.0612244897966</c:v>
                </c:pt>
                <c:pt idx="74">
                  <c:v>-8175</c:v>
                </c:pt>
                <c:pt idx="75">
                  <c:v>-8212.8712871287134</c:v>
                </c:pt>
                <c:pt idx="76">
                  <c:v>-8158.6538461538457</c:v>
                </c:pt>
                <c:pt idx="77">
                  <c:v>-8158.6538461538457</c:v>
                </c:pt>
                <c:pt idx="78">
                  <c:v>-8263.8888888888887</c:v>
                </c:pt>
                <c:pt idx="79">
                  <c:v>-8233.636363636364</c:v>
                </c:pt>
                <c:pt idx="80">
                  <c:v>-8083.333333333333</c:v>
                </c:pt>
                <c:pt idx="81">
                  <c:v>-8375</c:v>
                </c:pt>
                <c:pt idx="82">
                  <c:v>-8405.9829059829062</c:v>
                </c:pt>
                <c:pt idx="83">
                  <c:v>-8356.3025210084033</c:v>
                </c:pt>
                <c:pt idx="84">
                  <c:v>-8383.3333333333339</c:v>
                </c:pt>
                <c:pt idx="85">
                  <c:v>-8391.0569105691065</c:v>
                </c:pt>
                <c:pt idx="86">
                  <c:v>-8581.4516129032254</c:v>
                </c:pt>
                <c:pt idx="87">
                  <c:v>-8529.3650793650795</c:v>
                </c:pt>
                <c:pt idx="88">
                  <c:v>-8453.4883720930229</c:v>
                </c:pt>
                <c:pt idx="89">
                  <c:v>-8403.8461538461543</c:v>
                </c:pt>
                <c:pt idx="90">
                  <c:v>-8403.8461538461543</c:v>
                </c:pt>
                <c:pt idx="91">
                  <c:v>-8400.7633587786258</c:v>
                </c:pt>
                <c:pt idx="92">
                  <c:v>-8400.7633587786258</c:v>
                </c:pt>
                <c:pt idx="93">
                  <c:v>-8422.5563909774428</c:v>
                </c:pt>
                <c:pt idx="94">
                  <c:v>-8419.4029850746265</c:v>
                </c:pt>
                <c:pt idx="95">
                  <c:v>-8366.6666666666661</c:v>
                </c:pt>
                <c:pt idx="96">
                  <c:v>-8437.5</c:v>
                </c:pt>
                <c:pt idx="97">
                  <c:v>-8432.1167883211674</c:v>
                </c:pt>
                <c:pt idx="98">
                  <c:v>-8434.5323741007196</c:v>
                </c:pt>
                <c:pt idx="99">
                  <c:v>-8434.5323741007196</c:v>
                </c:pt>
                <c:pt idx="100">
                  <c:v>-8365.9574468085102</c:v>
                </c:pt>
                <c:pt idx="101">
                  <c:v>-8334.5070422535209</c:v>
                </c:pt>
                <c:pt idx="102">
                  <c:v>-8273.7931034482754</c:v>
                </c:pt>
                <c:pt idx="103">
                  <c:v>-8237.4149659863942</c:v>
                </c:pt>
                <c:pt idx="104">
                  <c:v>-8237.4149659863942</c:v>
                </c:pt>
                <c:pt idx="105">
                  <c:v>-8216.1073825503354</c:v>
                </c:pt>
                <c:pt idx="106">
                  <c:v>-8184.1059602649011</c:v>
                </c:pt>
                <c:pt idx="107">
                  <c:v>-8155.9210526315792</c:v>
                </c:pt>
                <c:pt idx="108">
                  <c:v>-8109.1503267973858</c:v>
                </c:pt>
                <c:pt idx="109">
                  <c:v>-8094.1558441558445</c:v>
                </c:pt>
                <c:pt idx="110">
                  <c:v>-8119.3548387096771</c:v>
                </c:pt>
                <c:pt idx="111">
                  <c:v>-8119.3548387096771</c:v>
                </c:pt>
                <c:pt idx="112">
                  <c:v>-8036.9426751592355</c:v>
                </c:pt>
                <c:pt idx="113">
                  <c:v>-8006.3291139240509</c:v>
                </c:pt>
                <c:pt idx="114">
                  <c:v>-8006.3291139240509</c:v>
                </c:pt>
                <c:pt idx="115">
                  <c:v>-8106.9182389937105</c:v>
                </c:pt>
                <c:pt idx="116">
                  <c:v>-8088.75</c:v>
                </c:pt>
                <c:pt idx="117">
                  <c:v>-8017.2839506172841</c:v>
                </c:pt>
                <c:pt idx="118">
                  <c:v>-8017.2839506172841</c:v>
                </c:pt>
                <c:pt idx="119">
                  <c:v>-7949.3902439024387</c:v>
                </c:pt>
                <c:pt idx="120">
                  <c:v>-8014.9700598802392</c:v>
                </c:pt>
                <c:pt idx="121">
                  <c:v>-7998.2142857142853</c:v>
                </c:pt>
                <c:pt idx="122">
                  <c:v>-7932.9411764705883</c:v>
                </c:pt>
                <c:pt idx="123">
                  <c:v>-7932.9411764705883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58.72340425531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れんたろう2!$A$3:$A$126</c:f>
              <c:numCache>
                <c:formatCode>0\ "回"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れんたろう2!$K$3:$K$126</c:f>
              <c:numCache>
                <c:formatCode>0.0%</c:formatCode>
                <c:ptCount val="124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9.2592592592592587E-2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9.5890410958904104E-2</c:v>
                </c:pt>
                <c:pt idx="74">
                  <c:v>0.10810810810810811</c:v>
                </c:pt>
                <c:pt idx="75">
                  <c:v>0.10666666666666667</c:v>
                </c:pt>
                <c:pt idx="76">
                  <c:v>0.10526315789473684</c:v>
                </c:pt>
                <c:pt idx="77">
                  <c:v>0.1038961038961039</c:v>
                </c:pt>
                <c:pt idx="78">
                  <c:v>0.11538461538461539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0.13095238095238096</c:v>
                </c:pt>
                <c:pt idx="85">
                  <c:v>0.12941176470588237</c:v>
                </c:pt>
                <c:pt idx="86">
                  <c:v>0.12790697674418605</c:v>
                </c:pt>
                <c:pt idx="87">
                  <c:v>0.12643678160919541</c:v>
                </c:pt>
                <c:pt idx="88">
                  <c:v>0.125</c:v>
                </c:pt>
                <c:pt idx="89">
                  <c:v>0.12359550561797752</c:v>
                </c:pt>
                <c:pt idx="90">
                  <c:v>0.12222222222222222</c:v>
                </c:pt>
                <c:pt idx="91">
                  <c:v>0.12087912087912088</c:v>
                </c:pt>
                <c:pt idx="92">
                  <c:v>0.11956521739130435</c:v>
                </c:pt>
                <c:pt idx="93">
                  <c:v>0.11827956989247312</c:v>
                </c:pt>
                <c:pt idx="94">
                  <c:v>0.11702127659574468</c:v>
                </c:pt>
                <c:pt idx="95">
                  <c:v>0.11578947368421053</c:v>
                </c:pt>
                <c:pt idx="96">
                  <c:v>0.11458333333333333</c:v>
                </c:pt>
                <c:pt idx="97">
                  <c:v>0.1134020618556701</c:v>
                </c:pt>
                <c:pt idx="98">
                  <c:v>0.11224489795918367</c:v>
                </c:pt>
                <c:pt idx="99">
                  <c:v>0.1111111111111111</c:v>
                </c:pt>
                <c:pt idx="100">
                  <c:v>0.11</c:v>
                </c:pt>
                <c:pt idx="101">
                  <c:v>0.10891089108910891</c:v>
                </c:pt>
                <c:pt idx="102">
                  <c:v>0.10784313725490197</c:v>
                </c:pt>
                <c:pt idx="103">
                  <c:v>0.10679611650485436</c:v>
                </c:pt>
                <c:pt idx="104">
                  <c:v>0.10576923076923077</c:v>
                </c:pt>
                <c:pt idx="105">
                  <c:v>0.10476190476190476</c:v>
                </c:pt>
                <c:pt idx="106">
                  <c:v>0.10377358490566038</c:v>
                </c:pt>
                <c:pt idx="107">
                  <c:v>0.10280373831775701</c:v>
                </c:pt>
                <c:pt idx="108">
                  <c:v>0.10185185185185185</c:v>
                </c:pt>
                <c:pt idx="109">
                  <c:v>0.10091743119266056</c:v>
                </c:pt>
                <c:pt idx="110">
                  <c:v>0.1</c:v>
                </c:pt>
                <c:pt idx="111">
                  <c:v>9.90990990990991E-2</c:v>
                </c:pt>
                <c:pt idx="112">
                  <c:v>9.8214285714285712E-2</c:v>
                </c:pt>
                <c:pt idx="113">
                  <c:v>9.7345132743362831E-2</c:v>
                </c:pt>
                <c:pt idx="114">
                  <c:v>9.6491228070175433E-2</c:v>
                </c:pt>
                <c:pt idx="115">
                  <c:v>0.10434782608695652</c:v>
                </c:pt>
                <c:pt idx="116">
                  <c:v>0.10344827586206896</c:v>
                </c:pt>
                <c:pt idx="117">
                  <c:v>0.10256410256410256</c:v>
                </c:pt>
                <c:pt idx="118">
                  <c:v>0.10169491525423729</c:v>
                </c:pt>
                <c:pt idx="119">
                  <c:v>0.10084033613445378</c:v>
                </c:pt>
                <c:pt idx="120">
                  <c:v>0.10833333333333334</c:v>
                </c:pt>
                <c:pt idx="121">
                  <c:v>0.10743801652892562</c:v>
                </c:pt>
                <c:pt idx="122">
                  <c:v>0.10655737704918032</c:v>
                </c:pt>
                <c:pt idx="123">
                  <c:v>0.10569105691056911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73241061130334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れんたろう2!$A$3:$A$126</c:f>
              <c:numCache>
                <c:formatCode>0\ "回"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れんたろう2!$L$3:$L$126</c:f>
              <c:numCache>
                <c:formatCode>0.0%</c:formatCode>
                <c:ptCount val="124"/>
                <c:pt idx="1">
                  <c:v>0.18181818181818182</c:v>
                </c:pt>
                <c:pt idx="2">
                  <c:v>0.15</c:v>
                </c:pt>
                <c:pt idx="3">
                  <c:v>0.2</c:v>
                </c:pt>
                <c:pt idx="4">
                  <c:v>0.22222222222222221</c:v>
                </c:pt>
                <c:pt idx="5">
                  <c:v>0.17777777777777778</c:v>
                </c:pt>
                <c:pt idx="6">
                  <c:v>0.17391304347826086</c:v>
                </c:pt>
                <c:pt idx="7">
                  <c:v>0.15094339622641509</c:v>
                </c:pt>
                <c:pt idx="8">
                  <c:v>0.18032786885245902</c:v>
                </c:pt>
                <c:pt idx="9">
                  <c:v>0.22388059701492538</c:v>
                </c:pt>
                <c:pt idx="10">
                  <c:v>0.19736842105263158</c:v>
                </c:pt>
                <c:pt idx="11">
                  <c:v>0.20238095238095238</c:v>
                </c:pt>
                <c:pt idx="12">
                  <c:v>0.18888888888888888</c:v>
                </c:pt>
                <c:pt idx="13">
                  <c:v>0.21212121212121213</c:v>
                </c:pt>
                <c:pt idx="14">
                  <c:v>0.22641509433962265</c:v>
                </c:pt>
                <c:pt idx="15">
                  <c:v>0.22950819672131148</c:v>
                </c:pt>
                <c:pt idx="16">
                  <c:v>0.24031007751937986</c:v>
                </c:pt>
                <c:pt idx="17">
                  <c:v>0.24817518248175183</c:v>
                </c:pt>
                <c:pt idx="18">
                  <c:v>0.25517241379310346</c:v>
                </c:pt>
                <c:pt idx="19">
                  <c:v>0.25641025641025639</c:v>
                </c:pt>
                <c:pt idx="20">
                  <c:v>0.26543209876543211</c:v>
                </c:pt>
                <c:pt idx="21">
                  <c:v>0.26035502958579881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0.26178010471204188</c:v>
                </c:pt>
                <c:pt idx="25">
                  <c:v>0.26903553299492383</c:v>
                </c:pt>
                <c:pt idx="26">
                  <c:v>0.2722772277227723</c:v>
                </c:pt>
                <c:pt idx="27">
                  <c:v>0.27619047619047621</c:v>
                </c:pt>
                <c:pt idx="28">
                  <c:v>0.27777777777777779</c:v>
                </c:pt>
                <c:pt idx="29">
                  <c:v>0.27876106194690264</c:v>
                </c:pt>
                <c:pt idx="30">
                  <c:v>0.2813852813852814</c:v>
                </c:pt>
                <c:pt idx="31">
                  <c:v>0.2857142857142857</c:v>
                </c:pt>
                <c:pt idx="32">
                  <c:v>0.28163265306122448</c:v>
                </c:pt>
                <c:pt idx="33">
                  <c:v>0.28174603174603174</c:v>
                </c:pt>
                <c:pt idx="34">
                  <c:v>0.28244274809160308</c:v>
                </c:pt>
                <c:pt idx="35">
                  <c:v>0.2857142857142857</c:v>
                </c:pt>
                <c:pt idx="36">
                  <c:v>0.28472222222222221</c:v>
                </c:pt>
                <c:pt idx="37">
                  <c:v>0.28813559322033899</c:v>
                </c:pt>
                <c:pt idx="38">
                  <c:v>0.29180327868852457</c:v>
                </c:pt>
                <c:pt idx="39">
                  <c:v>0.29392971246006389</c:v>
                </c:pt>
                <c:pt idx="40">
                  <c:v>0.29595015576323985</c:v>
                </c:pt>
                <c:pt idx="41">
                  <c:v>0.30303030303030304</c:v>
                </c:pt>
                <c:pt idx="42">
                  <c:v>0.30746268656716419</c:v>
                </c:pt>
                <c:pt idx="43">
                  <c:v>0.30144927536231886</c:v>
                </c:pt>
                <c:pt idx="44">
                  <c:v>0.30311614730878189</c:v>
                </c:pt>
                <c:pt idx="45">
                  <c:v>0.29945054945054944</c:v>
                </c:pt>
                <c:pt idx="46">
                  <c:v>0.31016042780748665</c:v>
                </c:pt>
                <c:pt idx="47">
                  <c:v>0.31675392670157065</c:v>
                </c:pt>
                <c:pt idx="48">
                  <c:v>0.32133676092544988</c:v>
                </c:pt>
                <c:pt idx="49">
                  <c:v>0.32070707070707072</c:v>
                </c:pt>
                <c:pt idx="50">
                  <c:v>0.31920199501246882</c:v>
                </c:pt>
                <c:pt idx="51">
                  <c:v>0.32107843137254904</c:v>
                </c:pt>
                <c:pt idx="52">
                  <c:v>0.32692307692307693</c:v>
                </c:pt>
                <c:pt idx="53">
                  <c:v>0.32938388625592419</c:v>
                </c:pt>
                <c:pt idx="54">
                  <c:v>0.32558139534883723</c:v>
                </c:pt>
                <c:pt idx="55">
                  <c:v>0.32118451025056949</c:v>
                </c:pt>
                <c:pt idx="56">
                  <c:v>0.32</c:v>
                </c:pt>
                <c:pt idx="57">
                  <c:v>0.32385120350109409</c:v>
                </c:pt>
                <c:pt idx="58">
                  <c:v>0.32258064516129031</c:v>
                </c:pt>
                <c:pt idx="59">
                  <c:v>0.32845188284518828</c:v>
                </c:pt>
                <c:pt idx="60">
                  <c:v>0.32723577235772355</c:v>
                </c:pt>
                <c:pt idx="61">
                  <c:v>0.32341269841269843</c:v>
                </c:pt>
                <c:pt idx="62">
                  <c:v>0.32156862745098042</c:v>
                </c:pt>
                <c:pt idx="63">
                  <c:v>0.31782945736434109</c:v>
                </c:pt>
                <c:pt idx="64">
                  <c:v>0.31739961759082219</c:v>
                </c:pt>
                <c:pt idx="65">
                  <c:v>0.31826741996233521</c:v>
                </c:pt>
                <c:pt idx="66">
                  <c:v>0.31860036832412525</c:v>
                </c:pt>
                <c:pt idx="67">
                  <c:v>0.31760435571687839</c:v>
                </c:pt>
                <c:pt idx="68">
                  <c:v>0.31899641577060933</c:v>
                </c:pt>
                <c:pt idx="69">
                  <c:v>0.31802120141342755</c:v>
                </c:pt>
                <c:pt idx="70">
                  <c:v>0.31533101045296169</c:v>
                </c:pt>
                <c:pt idx="71">
                  <c:v>0.31715771230502598</c:v>
                </c:pt>
                <c:pt idx="72">
                  <c:v>0.3202054794520548</c:v>
                </c:pt>
                <c:pt idx="73">
                  <c:v>0.32081911262798635</c:v>
                </c:pt>
                <c:pt idx="74">
                  <c:v>0.31871838111298484</c:v>
                </c:pt>
                <c:pt idx="75">
                  <c:v>0.31788079470198677</c:v>
                </c:pt>
                <c:pt idx="76">
                  <c:v>0.315359477124183</c:v>
                </c:pt>
                <c:pt idx="77">
                  <c:v>0.31877022653721682</c:v>
                </c:pt>
                <c:pt idx="78">
                  <c:v>0.31897926634768742</c:v>
                </c:pt>
                <c:pt idx="79">
                  <c:v>0.31653543307086612</c:v>
                </c:pt>
                <c:pt idx="80">
                  <c:v>0.31627906976744186</c:v>
                </c:pt>
                <c:pt idx="81">
                  <c:v>0.3165137614678899</c:v>
                </c:pt>
                <c:pt idx="82">
                  <c:v>0.31618759455370649</c:v>
                </c:pt>
                <c:pt idx="83">
                  <c:v>0.31500742942050519</c:v>
                </c:pt>
                <c:pt idx="84">
                  <c:v>0.31617647058823528</c:v>
                </c:pt>
                <c:pt idx="85">
                  <c:v>0.31304347826086959</c:v>
                </c:pt>
                <c:pt idx="86">
                  <c:v>0.31088825214899712</c:v>
                </c:pt>
                <c:pt idx="87">
                  <c:v>0.31063829787234043</c:v>
                </c:pt>
                <c:pt idx="88">
                  <c:v>0.31092436974789917</c:v>
                </c:pt>
                <c:pt idx="89">
                  <c:v>0.31258644536652835</c:v>
                </c:pt>
                <c:pt idx="90">
                  <c:v>0.31318681318681318</c:v>
                </c:pt>
                <c:pt idx="91">
                  <c:v>0.31564625850340133</c:v>
                </c:pt>
                <c:pt idx="92">
                  <c:v>0.31713900134952766</c:v>
                </c:pt>
                <c:pt idx="93">
                  <c:v>0.31593038821954483</c:v>
                </c:pt>
                <c:pt idx="94">
                  <c:v>0.31613756613756616</c:v>
                </c:pt>
                <c:pt idx="95">
                  <c:v>0.31716906946264745</c:v>
                </c:pt>
                <c:pt idx="96">
                  <c:v>0.31818181818181818</c:v>
                </c:pt>
                <c:pt idx="97">
                  <c:v>0.31572164948453607</c:v>
                </c:pt>
                <c:pt idx="98">
                  <c:v>0.31887755102040816</c:v>
                </c:pt>
                <c:pt idx="99">
                  <c:v>0.31823899371069181</c:v>
                </c:pt>
                <c:pt idx="100">
                  <c:v>0.31467661691542287</c:v>
                </c:pt>
                <c:pt idx="101">
                  <c:v>0.31449631449631449</c:v>
                </c:pt>
                <c:pt idx="102">
                  <c:v>0.31310679611650488</c:v>
                </c:pt>
                <c:pt idx="103">
                  <c:v>0.31129807692307693</c:v>
                </c:pt>
                <c:pt idx="104">
                  <c:v>0.31071428571428572</c:v>
                </c:pt>
                <c:pt idx="105">
                  <c:v>0.30904817861339601</c:v>
                </c:pt>
                <c:pt idx="106">
                  <c:v>0.30974477958236657</c:v>
                </c:pt>
                <c:pt idx="107">
                  <c:v>0.31185270425776757</c:v>
                </c:pt>
                <c:pt idx="108">
                  <c:v>0.31626848691695109</c:v>
                </c:pt>
                <c:pt idx="109">
                  <c:v>0.31313131313131315</c:v>
                </c:pt>
                <c:pt idx="110">
                  <c:v>0.31368186874304782</c:v>
                </c:pt>
                <c:pt idx="111">
                  <c:v>0.31387665198237885</c:v>
                </c:pt>
                <c:pt idx="112">
                  <c:v>0.31406761177753545</c:v>
                </c:pt>
                <c:pt idx="113">
                  <c:v>0.31419284940411701</c:v>
                </c:pt>
                <c:pt idx="114">
                  <c:v>0.3139784946236559</c:v>
                </c:pt>
                <c:pt idx="115">
                  <c:v>0.31229946524064173</c:v>
                </c:pt>
                <c:pt idx="116">
                  <c:v>0.31151003167898628</c:v>
                </c:pt>
                <c:pt idx="117">
                  <c:v>0.31171548117154813</c:v>
                </c:pt>
                <c:pt idx="118">
                  <c:v>0.31120331950207469</c:v>
                </c:pt>
                <c:pt idx="119">
                  <c:v>0.31038026721479961</c:v>
                </c:pt>
                <c:pt idx="120">
                  <c:v>0.30933062880324541</c:v>
                </c:pt>
                <c:pt idx="121">
                  <c:v>0.30947580645161288</c:v>
                </c:pt>
                <c:pt idx="122">
                  <c:v>0.30730730730730732</c:v>
                </c:pt>
                <c:pt idx="123">
                  <c:v>0.30715705765407553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19587628865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れんたろう2!$A$3:$A$126</c:f>
              <c:numCache>
                <c:formatCode>0\ "回"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れんたろう2!$M$3:$M$126</c:f>
              <c:numCache>
                <c:formatCode>0.0%</c:formatCode>
                <c:ptCount val="124"/>
                <c:pt idx="1">
                  <c:v>0.18181818181818182</c:v>
                </c:pt>
                <c:pt idx="2">
                  <c:v>0.1</c:v>
                </c:pt>
                <c:pt idx="3">
                  <c:v>0.23333333333333334</c:v>
                </c:pt>
                <c:pt idx="4">
                  <c:v>0.25</c:v>
                </c:pt>
                <c:pt idx="5">
                  <c:v>0.24444444444444444</c:v>
                </c:pt>
                <c:pt idx="6">
                  <c:v>0.2391304347826087</c:v>
                </c:pt>
                <c:pt idx="7">
                  <c:v>0.30188679245283018</c:v>
                </c:pt>
                <c:pt idx="8">
                  <c:v>0.26229508196721313</c:v>
                </c:pt>
                <c:pt idx="9">
                  <c:v>0.2537313432835821</c:v>
                </c:pt>
                <c:pt idx="10">
                  <c:v>0.28947368421052633</c:v>
                </c:pt>
                <c:pt idx="11">
                  <c:v>0.26190476190476192</c:v>
                </c:pt>
                <c:pt idx="12">
                  <c:v>0.25555555555555554</c:v>
                </c:pt>
                <c:pt idx="13">
                  <c:v>0.25252525252525254</c:v>
                </c:pt>
                <c:pt idx="14">
                  <c:v>0.23584905660377359</c:v>
                </c:pt>
                <c:pt idx="15">
                  <c:v>0.23770491803278687</c:v>
                </c:pt>
                <c:pt idx="16">
                  <c:v>0.23255813953488372</c:v>
                </c:pt>
                <c:pt idx="17">
                  <c:v>0.22627737226277372</c:v>
                </c:pt>
                <c:pt idx="18">
                  <c:v>0.23448275862068965</c:v>
                </c:pt>
                <c:pt idx="19">
                  <c:v>0.22435897435897437</c:v>
                </c:pt>
                <c:pt idx="20">
                  <c:v>0.22222222222222221</c:v>
                </c:pt>
                <c:pt idx="21">
                  <c:v>0.21893491124260356</c:v>
                </c:pt>
                <c:pt idx="22">
                  <c:v>0.23295454545454544</c:v>
                </c:pt>
                <c:pt idx="23">
                  <c:v>0.22950819672131148</c:v>
                </c:pt>
                <c:pt idx="24">
                  <c:v>0.2356020942408377</c:v>
                </c:pt>
                <c:pt idx="25">
                  <c:v>0.22842639593908629</c:v>
                </c:pt>
                <c:pt idx="26">
                  <c:v>0.22277227722772278</c:v>
                </c:pt>
                <c:pt idx="27">
                  <c:v>0.21904761904761905</c:v>
                </c:pt>
                <c:pt idx="28">
                  <c:v>0.21759259259259259</c:v>
                </c:pt>
                <c:pt idx="29">
                  <c:v>0.21238938053097345</c:v>
                </c:pt>
                <c:pt idx="30">
                  <c:v>0.21212121212121213</c:v>
                </c:pt>
                <c:pt idx="31">
                  <c:v>0.21428571428571427</c:v>
                </c:pt>
                <c:pt idx="32">
                  <c:v>0.20816326530612245</c:v>
                </c:pt>
                <c:pt idx="33">
                  <c:v>0.20634920634920634</c:v>
                </c:pt>
                <c:pt idx="34">
                  <c:v>0.21374045801526717</c:v>
                </c:pt>
                <c:pt idx="35">
                  <c:v>0.20512820512820512</c:v>
                </c:pt>
                <c:pt idx="36">
                  <c:v>0.19791666666666666</c:v>
                </c:pt>
                <c:pt idx="37">
                  <c:v>0.2</c:v>
                </c:pt>
                <c:pt idx="38">
                  <c:v>0.20327868852459016</c:v>
                </c:pt>
                <c:pt idx="39">
                  <c:v>0.20447284345047922</c:v>
                </c:pt>
                <c:pt idx="40">
                  <c:v>0.20249221183800623</c:v>
                </c:pt>
                <c:pt idx="41">
                  <c:v>0.2</c:v>
                </c:pt>
                <c:pt idx="42">
                  <c:v>0.19701492537313434</c:v>
                </c:pt>
                <c:pt idx="43">
                  <c:v>0.2</c:v>
                </c:pt>
                <c:pt idx="44">
                  <c:v>0.20113314447592068</c:v>
                </c:pt>
                <c:pt idx="45">
                  <c:v>0.20054945054945056</c:v>
                </c:pt>
                <c:pt idx="46">
                  <c:v>0.20053475935828877</c:v>
                </c:pt>
                <c:pt idx="47">
                  <c:v>0.19633507853403143</c:v>
                </c:pt>
                <c:pt idx="48">
                  <c:v>0.19537275064267351</c:v>
                </c:pt>
                <c:pt idx="49">
                  <c:v>0.19696969696969696</c:v>
                </c:pt>
                <c:pt idx="50">
                  <c:v>0.19451371571072318</c:v>
                </c:pt>
                <c:pt idx="51">
                  <c:v>0.19117647058823528</c:v>
                </c:pt>
                <c:pt idx="52">
                  <c:v>0.18990384615384615</c:v>
                </c:pt>
                <c:pt idx="53">
                  <c:v>0.1872037914691943</c:v>
                </c:pt>
                <c:pt idx="54">
                  <c:v>0.18604651162790697</c:v>
                </c:pt>
                <c:pt idx="55">
                  <c:v>0.18223234624145787</c:v>
                </c:pt>
                <c:pt idx="56">
                  <c:v>0.18222222222222223</c:v>
                </c:pt>
                <c:pt idx="57">
                  <c:v>0.17943107221006566</c:v>
                </c:pt>
                <c:pt idx="58">
                  <c:v>0.17634408602150536</c:v>
                </c:pt>
                <c:pt idx="59">
                  <c:v>0.17782426778242677</c:v>
                </c:pt>
                <c:pt idx="60">
                  <c:v>0.17886178861788618</c:v>
                </c:pt>
                <c:pt idx="61">
                  <c:v>0.18055555555555555</c:v>
                </c:pt>
                <c:pt idx="62">
                  <c:v>0.17843137254901961</c:v>
                </c:pt>
                <c:pt idx="63">
                  <c:v>0.17635658914728683</c:v>
                </c:pt>
                <c:pt idx="64">
                  <c:v>0.17782026768642448</c:v>
                </c:pt>
                <c:pt idx="65">
                  <c:v>0.17890772128060264</c:v>
                </c:pt>
                <c:pt idx="66">
                  <c:v>0.17863720073664824</c:v>
                </c:pt>
                <c:pt idx="67">
                  <c:v>0.17785843920145192</c:v>
                </c:pt>
                <c:pt idx="68">
                  <c:v>0.17921146953405018</c:v>
                </c:pt>
                <c:pt idx="69">
                  <c:v>0.17667844522968199</c:v>
                </c:pt>
                <c:pt idx="70">
                  <c:v>0.17944250871080139</c:v>
                </c:pt>
                <c:pt idx="71">
                  <c:v>0.17850953206239167</c:v>
                </c:pt>
                <c:pt idx="72">
                  <c:v>0.17636986301369864</c:v>
                </c:pt>
                <c:pt idx="73">
                  <c:v>0.17576791808873721</c:v>
                </c:pt>
                <c:pt idx="74">
                  <c:v>0.17537942664418213</c:v>
                </c:pt>
                <c:pt idx="75">
                  <c:v>0.17549668874172186</c:v>
                </c:pt>
                <c:pt idx="76">
                  <c:v>0.1781045751633987</c:v>
                </c:pt>
                <c:pt idx="77">
                  <c:v>0.17637540453074432</c:v>
                </c:pt>
                <c:pt idx="78">
                  <c:v>0.17543859649122806</c:v>
                </c:pt>
                <c:pt idx="79">
                  <c:v>0.17480314960629922</c:v>
                </c:pt>
                <c:pt idx="80">
                  <c:v>0.17674418604651163</c:v>
                </c:pt>
                <c:pt idx="81">
                  <c:v>0.1743119266055046</c:v>
                </c:pt>
                <c:pt idx="82">
                  <c:v>0.17397881996974282</c:v>
                </c:pt>
                <c:pt idx="83">
                  <c:v>0.17236255572065379</c:v>
                </c:pt>
                <c:pt idx="84">
                  <c:v>0.17058823529411765</c:v>
                </c:pt>
                <c:pt idx="85">
                  <c:v>0.17101449275362318</c:v>
                </c:pt>
                <c:pt idx="86">
                  <c:v>0.16905444126074498</c:v>
                </c:pt>
                <c:pt idx="87">
                  <c:v>0.1702127659574468</c:v>
                </c:pt>
                <c:pt idx="88">
                  <c:v>0.17086834733893558</c:v>
                </c:pt>
                <c:pt idx="89">
                  <c:v>0.17012448132780084</c:v>
                </c:pt>
                <c:pt idx="90">
                  <c:v>0.16895604395604397</c:v>
                </c:pt>
                <c:pt idx="91">
                  <c:v>0.16734693877551021</c:v>
                </c:pt>
                <c:pt idx="92">
                  <c:v>0.16599190283400811</c:v>
                </c:pt>
                <c:pt idx="93">
                  <c:v>0.1646586345381526</c:v>
                </c:pt>
                <c:pt idx="94">
                  <c:v>0.16402116402116401</c:v>
                </c:pt>
                <c:pt idx="95">
                  <c:v>0.16382699868938402</c:v>
                </c:pt>
                <c:pt idx="96">
                  <c:v>0.16493506493506493</c:v>
                </c:pt>
                <c:pt idx="97">
                  <c:v>0.16365979381443299</c:v>
                </c:pt>
                <c:pt idx="98">
                  <c:v>0.16198979591836735</c:v>
                </c:pt>
                <c:pt idx="99">
                  <c:v>0.16352201257861634</c:v>
                </c:pt>
                <c:pt idx="100">
                  <c:v>0.16417910447761194</c:v>
                </c:pt>
                <c:pt idx="101">
                  <c:v>0.16584766584766586</c:v>
                </c:pt>
                <c:pt idx="102">
                  <c:v>0.16747572815533981</c:v>
                </c:pt>
                <c:pt idx="103">
                  <c:v>0.16586538461538461</c:v>
                </c:pt>
                <c:pt idx="104">
                  <c:v>0.16666666666666666</c:v>
                </c:pt>
                <c:pt idx="105">
                  <c:v>0.16686251468860164</c:v>
                </c:pt>
                <c:pt idx="106">
                  <c:v>0.17053364269141533</c:v>
                </c:pt>
                <c:pt idx="107">
                  <c:v>0.17031070195627157</c:v>
                </c:pt>
                <c:pt idx="108">
                  <c:v>0.17064846416382254</c:v>
                </c:pt>
                <c:pt idx="109">
                  <c:v>0.17508417508417509</c:v>
                </c:pt>
                <c:pt idx="110">
                  <c:v>0.1757508342602892</c:v>
                </c:pt>
                <c:pt idx="111">
                  <c:v>0.1762114537444934</c:v>
                </c:pt>
                <c:pt idx="112">
                  <c:v>0.17775354416575789</c:v>
                </c:pt>
                <c:pt idx="113">
                  <c:v>0.17659804983748645</c:v>
                </c:pt>
                <c:pt idx="114">
                  <c:v>0.17741935483870969</c:v>
                </c:pt>
                <c:pt idx="115">
                  <c:v>0.17647058823529413</c:v>
                </c:pt>
                <c:pt idx="116">
                  <c:v>0.17634635691657866</c:v>
                </c:pt>
                <c:pt idx="117">
                  <c:v>0.17782426778242677</c:v>
                </c:pt>
                <c:pt idx="118">
                  <c:v>0.17946058091286307</c:v>
                </c:pt>
                <c:pt idx="119">
                  <c:v>0.17985611510791366</c:v>
                </c:pt>
                <c:pt idx="120">
                  <c:v>0.18154158215010141</c:v>
                </c:pt>
                <c:pt idx="121">
                  <c:v>0.18044354838709678</c:v>
                </c:pt>
                <c:pt idx="122">
                  <c:v>0.18118118118118118</c:v>
                </c:pt>
                <c:pt idx="123">
                  <c:v>0.18091451292246521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9690721649484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れんたろう2!$A$3:$A$126</c:f>
              <c:numCache>
                <c:formatCode>0\ "回"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れんたろう2!$N$3:$N$126</c:f>
              <c:numCache>
                <c:formatCode>0.0%</c:formatCode>
                <c:ptCount val="124"/>
                <c:pt idx="1">
                  <c:v>0.5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0.36363636363636365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0.29411764705882354</c:v>
                </c:pt>
                <c:pt idx="12">
                  <c:v>0.29411764705882354</c:v>
                </c:pt>
                <c:pt idx="13">
                  <c:v>0.23809523809523808</c:v>
                </c:pt>
                <c:pt idx="14">
                  <c:v>0.25</c:v>
                </c:pt>
                <c:pt idx="15">
                  <c:v>0.25</c:v>
                </c:pt>
                <c:pt idx="16">
                  <c:v>0.29032258064516131</c:v>
                </c:pt>
                <c:pt idx="17">
                  <c:v>0.3235294117647059</c:v>
                </c:pt>
                <c:pt idx="18">
                  <c:v>0.32432432432432434</c:v>
                </c:pt>
                <c:pt idx="19">
                  <c:v>0.35</c:v>
                </c:pt>
                <c:pt idx="20">
                  <c:v>0.34883720930232559</c:v>
                </c:pt>
                <c:pt idx="21">
                  <c:v>0.34090909090909088</c:v>
                </c:pt>
                <c:pt idx="22">
                  <c:v>0.35555555555555557</c:v>
                </c:pt>
                <c:pt idx="23">
                  <c:v>0.36170212765957449</c:v>
                </c:pt>
                <c:pt idx="24">
                  <c:v>0.36</c:v>
                </c:pt>
                <c:pt idx="25">
                  <c:v>0.37735849056603776</c:v>
                </c:pt>
                <c:pt idx="26">
                  <c:v>0.36363636363636365</c:v>
                </c:pt>
                <c:pt idx="27">
                  <c:v>0.39655172413793105</c:v>
                </c:pt>
                <c:pt idx="28">
                  <c:v>0.41666666666666669</c:v>
                </c:pt>
                <c:pt idx="29">
                  <c:v>0.3968253968253968</c:v>
                </c:pt>
                <c:pt idx="30">
                  <c:v>0.4</c:v>
                </c:pt>
                <c:pt idx="31">
                  <c:v>0.41176470588235292</c:v>
                </c:pt>
                <c:pt idx="32">
                  <c:v>0.42028985507246375</c:v>
                </c:pt>
                <c:pt idx="33">
                  <c:v>0.43661971830985913</c:v>
                </c:pt>
                <c:pt idx="34">
                  <c:v>0.44594594594594594</c:v>
                </c:pt>
                <c:pt idx="35">
                  <c:v>0.44871794871794873</c:v>
                </c:pt>
                <c:pt idx="36">
                  <c:v>0.45121951219512196</c:v>
                </c:pt>
                <c:pt idx="37">
                  <c:v>0.45882352941176469</c:v>
                </c:pt>
                <c:pt idx="38">
                  <c:v>0.4606741573033708</c:v>
                </c:pt>
                <c:pt idx="39">
                  <c:v>0.45652173913043476</c:v>
                </c:pt>
                <c:pt idx="40">
                  <c:v>0.4631578947368421</c:v>
                </c:pt>
                <c:pt idx="41">
                  <c:v>0.47</c:v>
                </c:pt>
                <c:pt idx="42">
                  <c:v>0.4854368932038835</c:v>
                </c:pt>
                <c:pt idx="43">
                  <c:v>0.48076923076923078</c:v>
                </c:pt>
                <c:pt idx="44">
                  <c:v>0.49532710280373832</c:v>
                </c:pt>
                <c:pt idx="45">
                  <c:v>0.49541284403669728</c:v>
                </c:pt>
                <c:pt idx="46">
                  <c:v>0.50862068965517238</c:v>
                </c:pt>
                <c:pt idx="47">
                  <c:v>0.51239669421487599</c:v>
                </c:pt>
                <c:pt idx="48">
                  <c:v>0.52800000000000002</c:v>
                </c:pt>
                <c:pt idx="49">
                  <c:v>0.52755905511811019</c:v>
                </c:pt>
                <c:pt idx="50">
                  <c:v>0.53125</c:v>
                </c:pt>
                <c:pt idx="51">
                  <c:v>0.52671755725190839</c:v>
                </c:pt>
                <c:pt idx="52">
                  <c:v>0.53676470588235292</c:v>
                </c:pt>
                <c:pt idx="53">
                  <c:v>0.53237410071942448</c:v>
                </c:pt>
                <c:pt idx="54">
                  <c:v>0.5357142857142857</c:v>
                </c:pt>
                <c:pt idx="55">
                  <c:v>0.53191489361702127</c:v>
                </c:pt>
                <c:pt idx="56">
                  <c:v>0.53472222222222221</c:v>
                </c:pt>
                <c:pt idx="57">
                  <c:v>0.54729729729729726</c:v>
                </c:pt>
                <c:pt idx="58">
                  <c:v>0.54666666666666663</c:v>
                </c:pt>
                <c:pt idx="59">
                  <c:v>0.55414012738853502</c:v>
                </c:pt>
                <c:pt idx="60">
                  <c:v>0.54658385093167705</c:v>
                </c:pt>
                <c:pt idx="61">
                  <c:v>0.54601226993865026</c:v>
                </c:pt>
                <c:pt idx="62">
                  <c:v>0.54878048780487809</c:v>
                </c:pt>
                <c:pt idx="63">
                  <c:v>0.54878048780487809</c:v>
                </c:pt>
                <c:pt idx="64">
                  <c:v>0.54819277108433739</c:v>
                </c:pt>
                <c:pt idx="65">
                  <c:v>0.55621301775147924</c:v>
                </c:pt>
                <c:pt idx="66">
                  <c:v>0.56069364161849711</c:v>
                </c:pt>
                <c:pt idx="67">
                  <c:v>0.55428571428571427</c:v>
                </c:pt>
                <c:pt idx="68">
                  <c:v>0.5561797752808989</c:v>
                </c:pt>
                <c:pt idx="69">
                  <c:v>0.55555555555555558</c:v>
                </c:pt>
                <c:pt idx="70">
                  <c:v>0.55801104972375692</c:v>
                </c:pt>
                <c:pt idx="71">
                  <c:v>0.55737704918032782</c:v>
                </c:pt>
                <c:pt idx="72">
                  <c:v>0.56149732620320858</c:v>
                </c:pt>
                <c:pt idx="73">
                  <c:v>0.55851063829787229</c:v>
                </c:pt>
                <c:pt idx="74">
                  <c:v>0.55555555555555558</c:v>
                </c:pt>
                <c:pt idx="75">
                  <c:v>0.55208333333333337</c:v>
                </c:pt>
                <c:pt idx="76">
                  <c:v>0.54922279792746109</c:v>
                </c:pt>
                <c:pt idx="77">
                  <c:v>0.5532994923857868</c:v>
                </c:pt>
                <c:pt idx="78">
                  <c:v>0.55000000000000004</c:v>
                </c:pt>
                <c:pt idx="79">
                  <c:v>0.54726368159203975</c:v>
                </c:pt>
                <c:pt idx="80">
                  <c:v>0.54411764705882348</c:v>
                </c:pt>
                <c:pt idx="81">
                  <c:v>0.54589371980676327</c:v>
                </c:pt>
                <c:pt idx="82">
                  <c:v>0.55023923444976075</c:v>
                </c:pt>
                <c:pt idx="83">
                  <c:v>0.55188679245283023</c:v>
                </c:pt>
                <c:pt idx="84">
                  <c:v>0.5488372093023256</c:v>
                </c:pt>
                <c:pt idx="85">
                  <c:v>0.55092592592592593</c:v>
                </c:pt>
                <c:pt idx="86">
                  <c:v>0.55299539170506917</c:v>
                </c:pt>
                <c:pt idx="87">
                  <c:v>0.54794520547945202</c:v>
                </c:pt>
                <c:pt idx="88">
                  <c:v>0.54504504504504503</c:v>
                </c:pt>
                <c:pt idx="89">
                  <c:v>0.54424778761061943</c:v>
                </c:pt>
                <c:pt idx="90">
                  <c:v>0.54824561403508776</c:v>
                </c:pt>
                <c:pt idx="91">
                  <c:v>0.54741379310344829</c:v>
                </c:pt>
                <c:pt idx="92">
                  <c:v>0.55319148936170215</c:v>
                </c:pt>
                <c:pt idx="93">
                  <c:v>0.55508474576271183</c:v>
                </c:pt>
                <c:pt idx="94">
                  <c:v>0.55648535564853552</c:v>
                </c:pt>
                <c:pt idx="95">
                  <c:v>0.55371900826446285</c:v>
                </c:pt>
                <c:pt idx="96">
                  <c:v>0.55510204081632653</c:v>
                </c:pt>
                <c:pt idx="97">
                  <c:v>0.55510204081632653</c:v>
                </c:pt>
                <c:pt idx="98">
                  <c:v>0.55600000000000005</c:v>
                </c:pt>
                <c:pt idx="99">
                  <c:v>0.55731225296442688</c:v>
                </c:pt>
                <c:pt idx="100">
                  <c:v>0.55731225296442688</c:v>
                </c:pt>
                <c:pt idx="101">
                  <c:v>0.5546875</c:v>
                </c:pt>
                <c:pt idx="102">
                  <c:v>0.55426356589147285</c:v>
                </c:pt>
                <c:pt idx="103">
                  <c:v>0.55598455598455598</c:v>
                </c:pt>
                <c:pt idx="104">
                  <c:v>0.55555555555555558</c:v>
                </c:pt>
                <c:pt idx="105">
                  <c:v>0.5513307984790875</c:v>
                </c:pt>
                <c:pt idx="106">
                  <c:v>0.55430711610486894</c:v>
                </c:pt>
                <c:pt idx="107">
                  <c:v>0.55719557195571956</c:v>
                </c:pt>
                <c:pt idx="108">
                  <c:v>0.5539568345323741</c:v>
                </c:pt>
                <c:pt idx="109">
                  <c:v>0.55197132616487454</c:v>
                </c:pt>
                <c:pt idx="110">
                  <c:v>0.54964539007092195</c:v>
                </c:pt>
                <c:pt idx="111">
                  <c:v>0.55438596491228065</c:v>
                </c:pt>
                <c:pt idx="112">
                  <c:v>0.55208333333333337</c:v>
                </c:pt>
                <c:pt idx="113">
                  <c:v>0.55517241379310345</c:v>
                </c:pt>
                <c:pt idx="114">
                  <c:v>0.55136986301369861</c:v>
                </c:pt>
                <c:pt idx="115">
                  <c:v>0.55136986301369861</c:v>
                </c:pt>
                <c:pt idx="116">
                  <c:v>0.55254237288135588</c:v>
                </c:pt>
                <c:pt idx="117">
                  <c:v>0.55704697986577179</c:v>
                </c:pt>
                <c:pt idx="118">
                  <c:v>0.55666666666666664</c:v>
                </c:pt>
                <c:pt idx="119">
                  <c:v>0.55629139072847678</c:v>
                </c:pt>
                <c:pt idx="120">
                  <c:v>0.55081967213114758</c:v>
                </c:pt>
                <c:pt idx="121">
                  <c:v>0.55374592833876224</c:v>
                </c:pt>
                <c:pt idx="122">
                  <c:v>0.55374592833876224</c:v>
                </c:pt>
                <c:pt idx="123">
                  <c:v>0.55339805825242716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2117263843648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れんたろう2!$A$3:$A$126</c:f>
              <c:numCache>
                <c:formatCode>0\ "回"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れんたろう2!$O$3:$O$126</c:f>
              <c:numCache>
                <c:formatCode>0.0%</c:formatCode>
                <c:ptCount val="124"/>
                <c:pt idx="1">
                  <c:v>0.5</c:v>
                </c:pt>
                <c:pt idx="2">
                  <c:v>0.5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0.36363636363636365</c:v>
                </c:pt>
                <c:pt idx="6">
                  <c:v>0.36363636363636365</c:v>
                </c:pt>
                <c:pt idx="7">
                  <c:v>0.4375</c:v>
                </c:pt>
                <c:pt idx="8">
                  <c:v>0.4375</c:v>
                </c:pt>
                <c:pt idx="9">
                  <c:v>0.41176470588235292</c:v>
                </c:pt>
                <c:pt idx="10">
                  <c:v>0.45454545454545453</c:v>
                </c:pt>
                <c:pt idx="11">
                  <c:v>0.45454545454545453</c:v>
                </c:pt>
                <c:pt idx="12">
                  <c:v>0.47826086956521741</c:v>
                </c:pt>
                <c:pt idx="13">
                  <c:v>0.48</c:v>
                </c:pt>
                <c:pt idx="14">
                  <c:v>0.48</c:v>
                </c:pt>
                <c:pt idx="15">
                  <c:v>0.44827586206896552</c:v>
                </c:pt>
                <c:pt idx="16">
                  <c:v>0.46666666666666667</c:v>
                </c:pt>
                <c:pt idx="17">
                  <c:v>0.4838709677419355</c:v>
                </c:pt>
                <c:pt idx="18">
                  <c:v>0.47058823529411764</c:v>
                </c:pt>
                <c:pt idx="19">
                  <c:v>0.48571428571428571</c:v>
                </c:pt>
                <c:pt idx="20">
                  <c:v>0.47222222222222221</c:v>
                </c:pt>
                <c:pt idx="21">
                  <c:v>0.48648648648648651</c:v>
                </c:pt>
                <c:pt idx="22">
                  <c:v>0.51219512195121952</c:v>
                </c:pt>
                <c:pt idx="23">
                  <c:v>0.52380952380952384</c:v>
                </c:pt>
                <c:pt idx="24">
                  <c:v>0.48888888888888887</c:v>
                </c:pt>
                <c:pt idx="25">
                  <c:v>0.48888888888888887</c:v>
                </c:pt>
                <c:pt idx="26">
                  <c:v>0.48888888888888887</c:v>
                </c:pt>
                <c:pt idx="27">
                  <c:v>0.5</c:v>
                </c:pt>
                <c:pt idx="28">
                  <c:v>0.48936170212765956</c:v>
                </c:pt>
                <c:pt idx="29">
                  <c:v>0.5</c:v>
                </c:pt>
                <c:pt idx="30">
                  <c:v>0.51020408163265307</c:v>
                </c:pt>
                <c:pt idx="31">
                  <c:v>0.52941176470588236</c:v>
                </c:pt>
                <c:pt idx="32">
                  <c:v>0.52941176470588236</c:v>
                </c:pt>
                <c:pt idx="33">
                  <c:v>0.51923076923076927</c:v>
                </c:pt>
                <c:pt idx="34">
                  <c:v>0.5</c:v>
                </c:pt>
                <c:pt idx="35">
                  <c:v>0.5</c:v>
                </c:pt>
                <c:pt idx="36">
                  <c:v>0.49122807017543857</c:v>
                </c:pt>
                <c:pt idx="37">
                  <c:v>0.49152542372881358</c:v>
                </c:pt>
                <c:pt idx="38">
                  <c:v>0.4838709677419355</c:v>
                </c:pt>
                <c:pt idx="39">
                  <c:v>0.46875</c:v>
                </c:pt>
                <c:pt idx="40">
                  <c:v>0.47692307692307695</c:v>
                </c:pt>
                <c:pt idx="41">
                  <c:v>0.46969696969696972</c:v>
                </c:pt>
                <c:pt idx="42">
                  <c:v>0.46969696969696972</c:v>
                </c:pt>
                <c:pt idx="43">
                  <c:v>0.46376811594202899</c:v>
                </c:pt>
                <c:pt idx="44">
                  <c:v>0.45070422535211269</c:v>
                </c:pt>
                <c:pt idx="45">
                  <c:v>0.45205479452054792</c:v>
                </c:pt>
                <c:pt idx="46">
                  <c:v>0.45333333333333331</c:v>
                </c:pt>
                <c:pt idx="47">
                  <c:v>0.45333333333333331</c:v>
                </c:pt>
                <c:pt idx="48">
                  <c:v>0.46052631578947367</c:v>
                </c:pt>
                <c:pt idx="49">
                  <c:v>0.46153846153846156</c:v>
                </c:pt>
                <c:pt idx="50">
                  <c:v>0.46153846153846156</c:v>
                </c:pt>
                <c:pt idx="51">
                  <c:v>0.46153846153846156</c:v>
                </c:pt>
                <c:pt idx="52">
                  <c:v>0.46835443037974683</c:v>
                </c:pt>
                <c:pt idx="53">
                  <c:v>0.46835443037974683</c:v>
                </c:pt>
                <c:pt idx="54">
                  <c:v>0.46250000000000002</c:v>
                </c:pt>
                <c:pt idx="55">
                  <c:v>0.46250000000000002</c:v>
                </c:pt>
                <c:pt idx="56">
                  <c:v>0.45121951219512196</c:v>
                </c:pt>
                <c:pt idx="57">
                  <c:v>0.45121951219512196</c:v>
                </c:pt>
                <c:pt idx="58">
                  <c:v>0.45121951219512196</c:v>
                </c:pt>
                <c:pt idx="59">
                  <c:v>0.43529411764705883</c:v>
                </c:pt>
                <c:pt idx="60">
                  <c:v>0.44318181818181818</c:v>
                </c:pt>
                <c:pt idx="61">
                  <c:v>0.43956043956043955</c:v>
                </c:pt>
                <c:pt idx="62">
                  <c:v>0.43956043956043955</c:v>
                </c:pt>
                <c:pt idx="63">
                  <c:v>0.43956043956043955</c:v>
                </c:pt>
                <c:pt idx="64">
                  <c:v>0.43010752688172044</c:v>
                </c:pt>
                <c:pt idx="65">
                  <c:v>0.44210526315789472</c:v>
                </c:pt>
                <c:pt idx="66">
                  <c:v>0.44329896907216493</c:v>
                </c:pt>
                <c:pt idx="67">
                  <c:v>0.44897959183673469</c:v>
                </c:pt>
                <c:pt idx="68">
                  <c:v>0.45</c:v>
                </c:pt>
                <c:pt idx="69">
                  <c:v>0.45</c:v>
                </c:pt>
                <c:pt idx="70">
                  <c:v>0.43689320388349512</c:v>
                </c:pt>
                <c:pt idx="71">
                  <c:v>0.43689320388349512</c:v>
                </c:pt>
                <c:pt idx="72">
                  <c:v>0.43689320388349512</c:v>
                </c:pt>
                <c:pt idx="73">
                  <c:v>0.43689320388349512</c:v>
                </c:pt>
                <c:pt idx="74">
                  <c:v>0.43269230769230771</c:v>
                </c:pt>
                <c:pt idx="75">
                  <c:v>0.42452830188679247</c:v>
                </c:pt>
                <c:pt idx="76">
                  <c:v>0.42201834862385323</c:v>
                </c:pt>
                <c:pt idx="77">
                  <c:v>0.42201834862385323</c:v>
                </c:pt>
                <c:pt idx="78">
                  <c:v>0.41818181818181815</c:v>
                </c:pt>
                <c:pt idx="79">
                  <c:v>0.4144144144144144</c:v>
                </c:pt>
                <c:pt idx="80">
                  <c:v>0.40350877192982454</c:v>
                </c:pt>
                <c:pt idx="81">
                  <c:v>0.40350877192982454</c:v>
                </c:pt>
                <c:pt idx="82">
                  <c:v>0.40869565217391307</c:v>
                </c:pt>
                <c:pt idx="83">
                  <c:v>0.40517241379310343</c:v>
                </c:pt>
                <c:pt idx="84">
                  <c:v>0.40517241379310343</c:v>
                </c:pt>
                <c:pt idx="85">
                  <c:v>0.40677966101694918</c:v>
                </c:pt>
                <c:pt idx="86">
                  <c:v>0.40677966101694918</c:v>
                </c:pt>
                <c:pt idx="87">
                  <c:v>0.4</c:v>
                </c:pt>
                <c:pt idx="88">
                  <c:v>0.40163934426229508</c:v>
                </c:pt>
                <c:pt idx="89">
                  <c:v>0.3983739837398374</c:v>
                </c:pt>
                <c:pt idx="90">
                  <c:v>0.3983739837398374</c:v>
                </c:pt>
                <c:pt idx="91">
                  <c:v>0.3983739837398374</c:v>
                </c:pt>
                <c:pt idx="92">
                  <c:v>0.3983739837398374</c:v>
                </c:pt>
                <c:pt idx="93">
                  <c:v>0.3983739837398374</c:v>
                </c:pt>
                <c:pt idx="94">
                  <c:v>0.39516129032258063</c:v>
                </c:pt>
                <c:pt idx="95">
                  <c:v>0.4</c:v>
                </c:pt>
                <c:pt idx="96">
                  <c:v>0.39370078740157483</c:v>
                </c:pt>
                <c:pt idx="97">
                  <c:v>0.39370078740157483</c:v>
                </c:pt>
                <c:pt idx="98">
                  <c:v>0.39370078740157483</c:v>
                </c:pt>
                <c:pt idx="99">
                  <c:v>0.3923076923076923</c:v>
                </c:pt>
                <c:pt idx="100">
                  <c:v>0.39393939393939392</c:v>
                </c:pt>
                <c:pt idx="101">
                  <c:v>0.3925925925925926</c:v>
                </c:pt>
                <c:pt idx="102">
                  <c:v>0.39130434782608697</c:v>
                </c:pt>
                <c:pt idx="103">
                  <c:v>0.39130434782608697</c:v>
                </c:pt>
                <c:pt idx="104">
                  <c:v>0.38571428571428573</c:v>
                </c:pt>
                <c:pt idx="105">
                  <c:v>0.38028169014084506</c:v>
                </c:pt>
                <c:pt idx="106">
                  <c:v>0.37414965986394561</c:v>
                </c:pt>
                <c:pt idx="107">
                  <c:v>0.3783783783783784</c:v>
                </c:pt>
                <c:pt idx="108">
                  <c:v>0.37333333333333335</c:v>
                </c:pt>
                <c:pt idx="109">
                  <c:v>0.37820512820512819</c:v>
                </c:pt>
                <c:pt idx="110">
                  <c:v>0.38607594936708861</c:v>
                </c:pt>
                <c:pt idx="111">
                  <c:v>0.39374999999999999</c:v>
                </c:pt>
                <c:pt idx="112">
                  <c:v>0.3987730061349693</c:v>
                </c:pt>
                <c:pt idx="113">
                  <c:v>0.3987730061349693</c:v>
                </c:pt>
                <c:pt idx="114">
                  <c:v>0.4</c:v>
                </c:pt>
                <c:pt idx="115">
                  <c:v>0.4</c:v>
                </c:pt>
                <c:pt idx="116">
                  <c:v>0.39520958083832336</c:v>
                </c:pt>
                <c:pt idx="117">
                  <c:v>0.39411764705882352</c:v>
                </c:pt>
                <c:pt idx="118">
                  <c:v>0.40462427745664742</c:v>
                </c:pt>
                <c:pt idx="119">
                  <c:v>0.4</c:v>
                </c:pt>
                <c:pt idx="120">
                  <c:v>0.4022346368715084</c:v>
                </c:pt>
                <c:pt idx="121">
                  <c:v>0.4022346368715084</c:v>
                </c:pt>
                <c:pt idx="122">
                  <c:v>0.40331491712707185</c:v>
                </c:pt>
                <c:pt idx="123">
                  <c:v>0.40109890109890112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3099940155595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れんたろう2!$A$3:$A$126</c:f>
              <c:numCache>
                <c:formatCode>0\ "回"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れんたろう2!$P$3:$P$126</c:f>
              <c:numCache>
                <c:formatCode>0.0%</c:formatCode>
                <c:ptCount val="124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</c:v>
                </c:pt>
                <c:pt idx="6">
                  <c:v>0.27272727272727271</c:v>
                </c:pt>
                <c:pt idx="7">
                  <c:v>0.35714285714285715</c:v>
                </c:pt>
                <c:pt idx="8">
                  <c:v>0.35714285714285715</c:v>
                </c:pt>
                <c:pt idx="9">
                  <c:v>0.4</c:v>
                </c:pt>
                <c:pt idx="10">
                  <c:v>0.33333333333333331</c:v>
                </c:pt>
                <c:pt idx="11">
                  <c:v>0.36842105263157893</c:v>
                </c:pt>
                <c:pt idx="12">
                  <c:v>0.33333333333333331</c:v>
                </c:pt>
                <c:pt idx="13">
                  <c:v>0.31818181818181818</c:v>
                </c:pt>
                <c:pt idx="14">
                  <c:v>0.33333333333333331</c:v>
                </c:pt>
                <c:pt idx="15">
                  <c:v>0.29629629629629628</c:v>
                </c:pt>
                <c:pt idx="16">
                  <c:v>0.36666666666666664</c:v>
                </c:pt>
                <c:pt idx="17">
                  <c:v>0.39393939393939392</c:v>
                </c:pt>
                <c:pt idx="18">
                  <c:v>0.41666666666666669</c:v>
                </c:pt>
                <c:pt idx="19">
                  <c:v>0.41025641025641024</c:v>
                </c:pt>
                <c:pt idx="20">
                  <c:v>0.4</c:v>
                </c:pt>
                <c:pt idx="21">
                  <c:v>0.3902439024390244</c:v>
                </c:pt>
                <c:pt idx="22">
                  <c:v>0.4</c:v>
                </c:pt>
                <c:pt idx="23">
                  <c:v>0.42553191489361702</c:v>
                </c:pt>
                <c:pt idx="24">
                  <c:v>0.4375</c:v>
                </c:pt>
                <c:pt idx="25">
                  <c:v>0.46</c:v>
                </c:pt>
                <c:pt idx="26">
                  <c:v>0.46</c:v>
                </c:pt>
                <c:pt idx="27">
                  <c:v>0.46296296296296297</c:v>
                </c:pt>
                <c:pt idx="28">
                  <c:v>0.4642857142857143</c:v>
                </c:pt>
                <c:pt idx="29">
                  <c:v>0.45614035087719296</c:v>
                </c:pt>
                <c:pt idx="30">
                  <c:v>0.45</c:v>
                </c:pt>
                <c:pt idx="31">
                  <c:v>0.453125</c:v>
                </c:pt>
                <c:pt idx="32">
                  <c:v>0.45454545454545453</c:v>
                </c:pt>
                <c:pt idx="33">
                  <c:v>0.44117647058823528</c:v>
                </c:pt>
                <c:pt idx="34">
                  <c:v>0.45070422535211269</c:v>
                </c:pt>
                <c:pt idx="35">
                  <c:v>0.46666666666666667</c:v>
                </c:pt>
                <c:pt idx="36">
                  <c:v>0.47435897435897434</c:v>
                </c:pt>
                <c:pt idx="37">
                  <c:v>0.48780487804878048</c:v>
                </c:pt>
                <c:pt idx="38">
                  <c:v>0.47058823529411764</c:v>
                </c:pt>
                <c:pt idx="39">
                  <c:v>0.47674418604651164</c:v>
                </c:pt>
                <c:pt idx="40">
                  <c:v>0.47191011235955055</c:v>
                </c:pt>
                <c:pt idx="41">
                  <c:v>0.47826086956521741</c:v>
                </c:pt>
                <c:pt idx="42">
                  <c:v>0.47368421052631576</c:v>
                </c:pt>
                <c:pt idx="43">
                  <c:v>0.46875</c:v>
                </c:pt>
                <c:pt idx="44">
                  <c:v>0.46464646464646464</c:v>
                </c:pt>
                <c:pt idx="45">
                  <c:v>0.46534653465346537</c:v>
                </c:pt>
                <c:pt idx="46">
                  <c:v>0.46728971962616822</c:v>
                </c:pt>
                <c:pt idx="47">
                  <c:v>0.47272727272727272</c:v>
                </c:pt>
                <c:pt idx="48">
                  <c:v>0.46956521739130436</c:v>
                </c:pt>
                <c:pt idx="49">
                  <c:v>0.46153846153846156</c:v>
                </c:pt>
                <c:pt idx="50">
                  <c:v>0.46610169491525422</c:v>
                </c:pt>
                <c:pt idx="51">
                  <c:v>0.47499999999999998</c:v>
                </c:pt>
                <c:pt idx="52">
                  <c:v>0.48799999999999999</c:v>
                </c:pt>
                <c:pt idx="53">
                  <c:v>0.49206349206349204</c:v>
                </c:pt>
                <c:pt idx="54">
                  <c:v>0.49612403100775193</c:v>
                </c:pt>
                <c:pt idx="55">
                  <c:v>0.49612403100775193</c:v>
                </c:pt>
                <c:pt idx="56">
                  <c:v>0.49618320610687022</c:v>
                </c:pt>
                <c:pt idx="57">
                  <c:v>0.48529411764705882</c:v>
                </c:pt>
                <c:pt idx="58">
                  <c:v>0.48550724637681159</c:v>
                </c:pt>
                <c:pt idx="59">
                  <c:v>0.4825174825174825</c:v>
                </c:pt>
                <c:pt idx="60">
                  <c:v>0.47945205479452052</c:v>
                </c:pt>
                <c:pt idx="61">
                  <c:v>0.47297297297297297</c:v>
                </c:pt>
                <c:pt idx="62">
                  <c:v>0.46979865771812079</c:v>
                </c:pt>
                <c:pt idx="63">
                  <c:v>0.46979865771812079</c:v>
                </c:pt>
                <c:pt idx="64">
                  <c:v>0.47333333333333333</c:v>
                </c:pt>
                <c:pt idx="65">
                  <c:v>0.47741935483870968</c:v>
                </c:pt>
                <c:pt idx="66">
                  <c:v>0.47169811320754718</c:v>
                </c:pt>
                <c:pt idx="67">
                  <c:v>0.47499999999999998</c:v>
                </c:pt>
                <c:pt idx="68">
                  <c:v>0.48170731707317072</c:v>
                </c:pt>
                <c:pt idx="69">
                  <c:v>0.48484848484848486</c:v>
                </c:pt>
                <c:pt idx="70">
                  <c:v>0.48192771084337349</c:v>
                </c:pt>
                <c:pt idx="71">
                  <c:v>0.47904191616766467</c:v>
                </c:pt>
                <c:pt idx="72">
                  <c:v>0.47647058823529409</c:v>
                </c:pt>
                <c:pt idx="73">
                  <c:v>0.47647058823529409</c:v>
                </c:pt>
                <c:pt idx="74">
                  <c:v>0.47647058823529409</c:v>
                </c:pt>
                <c:pt idx="75">
                  <c:v>0.47674418604651164</c:v>
                </c:pt>
                <c:pt idx="76">
                  <c:v>0.48275862068965519</c:v>
                </c:pt>
                <c:pt idx="77">
                  <c:v>0.48587570621468928</c:v>
                </c:pt>
                <c:pt idx="78">
                  <c:v>0.4887640449438202</c:v>
                </c:pt>
                <c:pt idx="79">
                  <c:v>0.4887640449438202</c:v>
                </c:pt>
                <c:pt idx="80">
                  <c:v>0.49444444444444446</c:v>
                </c:pt>
                <c:pt idx="81">
                  <c:v>0.49180327868852458</c:v>
                </c:pt>
                <c:pt idx="82">
                  <c:v>0.49732620320855614</c:v>
                </c:pt>
                <c:pt idx="83">
                  <c:v>0.49735449735449733</c:v>
                </c:pt>
                <c:pt idx="84">
                  <c:v>0.5</c:v>
                </c:pt>
                <c:pt idx="85">
                  <c:v>0.50520833333333337</c:v>
                </c:pt>
                <c:pt idx="86">
                  <c:v>0.51282051282051277</c:v>
                </c:pt>
                <c:pt idx="87">
                  <c:v>0.51282051282051277</c:v>
                </c:pt>
                <c:pt idx="88">
                  <c:v>0.51776649746192893</c:v>
                </c:pt>
                <c:pt idx="89">
                  <c:v>0.52261306532663321</c:v>
                </c:pt>
                <c:pt idx="90">
                  <c:v>0.52475247524752477</c:v>
                </c:pt>
                <c:pt idx="91">
                  <c:v>0.52941176470588236</c:v>
                </c:pt>
                <c:pt idx="92">
                  <c:v>0.52403846153846156</c:v>
                </c:pt>
                <c:pt idx="93">
                  <c:v>0.52153110047846885</c:v>
                </c:pt>
                <c:pt idx="94">
                  <c:v>0.52606635071090047</c:v>
                </c:pt>
                <c:pt idx="95">
                  <c:v>0.52336448598130836</c:v>
                </c:pt>
                <c:pt idx="96">
                  <c:v>0.52314814814814814</c:v>
                </c:pt>
                <c:pt idx="97">
                  <c:v>0.52534562211981561</c:v>
                </c:pt>
                <c:pt idx="98">
                  <c:v>0.51818181818181819</c:v>
                </c:pt>
                <c:pt idx="99">
                  <c:v>0.5246636771300448</c:v>
                </c:pt>
                <c:pt idx="100">
                  <c:v>0.5223214285714286</c:v>
                </c:pt>
                <c:pt idx="101">
                  <c:v>0.52212389380530977</c:v>
                </c:pt>
                <c:pt idx="102">
                  <c:v>0.52631578947368418</c:v>
                </c:pt>
                <c:pt idx="103">
                  <c:v>0.52813852813852813</c:v>
                </c:pt>
                <c:pt idx="104">
                  <c:v>0.52360515021459231</c:v>
                </c:pt>
                <c:pt idx="105">
                  <c:v>0.52360515021459231</c:v>
                </c:pt>
                <c:pt idx="106">
                  <c:v>0.51898734177215189</c:v>
                </c:pt>
                <c:pt idx="107">
                  <c:v>0.51867219917012453</c:v>
                </c:pt>
                <c:pt idx="108">
                  <c:v>0.51229508196721307</c:v>
                </c:pt>
                <c:pt idx="109">
                  <c:v>0.50806451612903225</c:v>
                </c:pt>
                <c:pt idx="110">
                  <c:v>0.50597609561752988</c:v>
                </c:pt>
                <c:pt idx="111">
                  <c:v>0.50390625</c:v>
                </c:pt>
                <c:pt idx="112">
                  <c:v>0.49806949806949807</c:v>
                </c:pt>
                <c:pt idx="113">
                  <c:v>0.49808429118773945</c:v>
                </c:pt>
                <c:pt idx="114">
                  <c:v>0.49809885931558934</c:v>
                </c:pt>
                <c:pt idx="115">
                  <c:v>0.49809885931558934</c:v>
                </c:pt>
                <c:pt idx="116">
                  <c:v>0.5</c:v>
                </c:pt>
                <c:pt idx="117">
                  <c:v>0.50553505535055354</c:v>
                </c:pt>
                <c:pt idx="118">
                  <c:v>0.50545454545454549</c:v>
                </c:pt>
                <c:pt idx="119">
                  <c:v>0.50724637681159424</c:v>
                </c:pt>
                <c:pt idx="120">
                  <c:v>0.5071942446043165</c:v>
                </c:pt>
                <c:pt idx="121">
                  <c:v>0.50714285714285712</c:v>
                </c:pt>
                <c:pt idx="122">
                  <c:v>0.50533807829181498</c:v>
                </c:pt>
                <c:pt idx="123">
                  <c:v>0.50176678445229683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6620046620046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91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  <row r="75" spans="1:12" x14ac:dyDescent="0.45">
      <c r="A75" s="28" t="s">
        <v>279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282</v>
      </c>
      <c r="B76" s="29">
        <v>43809.906898148147</v>
      </c>
      <c r="C76" s="28" t="s">
        <v>128</v>
      </c>
    </row>
    <row r="77" spans="1:12" x14ac:dyDescent="0.45">
      <c r="A77" s="28" t="s">
        <v>283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285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284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286</v>
      </c>
      <c r="B80" s="29">
        <v>43812.000752314816</v>
      </c>
      <c r="C80" s="28" t="s">
        <v>128</v>
      </c>
    </row>
    <row r="81" spans="1:8" x14ac:dyDescent="0.45">
      <c r="A81" s="28" t="s">
        <v>287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8" x14ac:dyDescent="0.45">
      <c r="A82" s="28" t="s">
        <v>288</v>
      </c>
      <c r="B82" s="29">
        <v>43814.578449074077</v>
      </c>
      <c r="C82" s="28" t="s">
        <v>128</v>
      </c>
    </row>
    <row r="83" spans="1:8" x14ac:dyDescent="0.45">
      <c r="A83" s="28" t="s">
        <v>289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8" x14ac:dyDescent="0.45">
      <c r="A84" s="28" t="s">
        <v>290</v>
      </c>
      <c r="B84" s="29">
        <v>43818.430601851855</v>
      </c>
      <c r="C84" s="28" t="s">
        <v>128</v>
      </c>
      <c r="D84" s="28" t="s">
        <v>129</v>
      </c>
    </row>
    <row r="85" spans="1:8" x14ac:dyDescent="0.45">
      <c r="A85" s="28" t="s">
        <v>291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8" x14ac:dyDescent="0.45">
      <c r="A86" s="28" t="s">
        <v>292</v>
      </c>
      <c r="B86" s="29">
        <v>43819.091747685183</v>
      </c>
      <c r="C86" s="28" t="s">
        <v>128</v>
      </c>
      <c r="D86" s="28" t="s">
        <v>129</v>
      </c>
    </row>
    <row r="87" spans="1:8" x14ac:dyDescent="0.45">
      <c r="A87" s="28" t="s">
        <v>293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8" x14ac:dyDescent="0.45">
      <c r="A88" s="28" t="s">
        <v>294</v>
      </c>
      <c r="B88" s="29">
        <v>43838.76290509259</v>
      </c>
      <c r="C88" s="28" t="s">
        <v>128</v>
      </c>
    </row>
    <row r="89" spans="1:8" x14ac:dyDescent="0.45">
      <c r="A89" s="28" t="s">
        <v>295</v>
      </c>
      <c r="B89" s="29">
        <v>43839.021249999998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8" x14ac:dyDescent="0.45">
      <c r="A90" s="28" t="s">
        <v>296</v>
      </c>
      <c r="B90" s="29">
        <v>43840.436331018522</v>
      </c>
      <c r="C90" s="28" t="s">
        <v>128</v>
      </c>
    </row>
    <row r="91" spans="1:8" x14ac:dyDescent="0.45">
      <c r="A91" s="28" t="s">
        <v>297</v>
      </c>
      <c r="B91" s="29">
        <v>43840.602083333331</v>
      </c>
      <c r="C91" s="28" t="s">
        <v>128</v>
      </c>
      <c r="D91" s="28" t="s">
        <v>129</v>
      </c>
      <c r="E91" s="28" t="s">
        <v>173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867</v>
      </c>
    </row>
    <row r="2" spans="1:2" x14ac:dyDescent="0.45">
      <c r="A2" t="s">
        <v>161</v>
      </c>
      <c r="B2">
        <v>78</v>
      </c>
    </row>
    <row r="3" spans="1:2" x14ac:dyDescent="0.45">
      <c r="A3" t="s">
        <v>126</v>
      </c>
      <c r="B3">
        <v>168</v>
      </c>
    </row>
    <row r="4" spans="1:2" x14ac:dyDescent="0.45">
      <c r="A4" t="s">
        <v>127</v>
      </c>
      <c r="B4">
        <v>149</v>
      </c>
    </row>
    <row r="5" spans="1:2" x14ac:dyDescent="0.45">
      <c r="A5" t="s">
        <v>172</v>
      </c>
      <c r="B5">
        <v>95</v>
      </c>
    </row>
    <row r="6" spans="1:2" x14ac:dyDescent="0.45">
      <c r="A6" t="s">
        <v>170</v>
      </c>
      <c r="B6">
        <v>123</v>
      </c>
    </row>
    <row r="7" spans="1:2" x14ac:dyDescent="0.45">
      <c r="A7" t="s">
        <v>171</v>
      </c>
      <c r="B7">
        <v>132</v>
      </c>
    </row>
    <row r="8" spans="1:2" x14ac:dyDescent="0.45">
      <c r="A8" t="s">
        <v>197</v>
      </c>
      <c r="B8">
        <v>62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13</v>
      </c>
    </row>
    <row r="13" spans="1:2" x14ac:dyDescent="0.45">
      <c r="A13" t="s">
        <v>281</v>
      </c>
      <c r="B13">
        <v>8</v>
      </c>
    </row>
    <row r="14" spans="1:2" x14ac:dyDescent="0.45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192</v>
      </c>
      <c r="AG1" s="163"/>
    </row>
    <row r="2" spans="1:33" x14ac:dyDescent="0.45">
      <c r="A2" s="68" t="s">
        <v>154</v>
      </c>
      <c r="B2" s="164"/>
      <c r="C2" s="165"/>
      <c r="D2" s="164"/>
      <c r="E2" s="165"/>
      <c r="F2" s="166">
        <v>0.96646429453658445</v>
      </c>
      <c r="G2" s="167"/>
      <c r="H2" s="166">
        <v>0.83488503038197492</v>
      </c>
      <c r="I2" s="167"/>
      <c r="J2" s="166">
        <v>0.89737711861217984</v>
      </c>
      <c r="K2" s="167"/>
      <c r="L2" s="166">
        <v>0.4856336970626281</v>
      </c>
      <c r="M2" s="167"/>
      <c r="N2" s="166">
        <v>0.49508953561692715</v>
      </c>
      <c r="O2" s="167"/>
      <c r="P2" s="166">
        <v>0.49105536617413659</v>
      </c>
      <c r="Q2" s="167"/>
      <c r="R2" s="166">
        <v>0.21672602938154478</v>
      </c>
      <c r="S2" s="167"/>
      <c r="T2" s="166">
        <v>0.40223151445084909</v>
      </c>
      <c r="U2" s="167"/>
      <c r="V2" s="166">
        <v>0.4291977258315548</v>
      </c>
      <c r="W2" s="167"/>
      <c r="X2" s="166">
        <v>5.0039830935401215E-2</v>
      </c>
      <c r="Y2" s="167"/>
      <c r="Z2" s="166">
        <v>0.40360464149169789</v>
      </c>
      <c r="AA2" s="167"/>
      <c r="AB2" s="166">
        <v>-2.3180906804494056E-2</v>
      </c>
      <c r="AC2" s="167"/>
      <c r="AD2" s="166">
        <v>-6.0157690046867808E-2</v>
      </c>
      <c r="AE2" s="167"/>
      <c r="AF2" s="166">
        <v>0.844946050927326</v>
      </c>
      <c r="AG2" s="167"/>
    </row>
    <row r="3" spans="1:33" x14ac:dyDescent="0.45">
      <c r="A3" s="70">
        <v>1</v>
      </c>
      <c r="B3" s="71" t="s">
        <v>126</v>
      </c>
      <c r="C3" s="72">
        <v>1434.6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10697.526501766784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621.50000000000045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0.25</v>
      </c>
      <c r="L4" s="81" t="s">
        <v>281</v>
      </c>
      <c r="M4" s="84">
        <v>0.37681159420289856</v>
      </c>
      <c r="N4" s="81" t="s">
        <v>126</v>
      </c>
      <c r="O4" s="84">
        <v>0.13071895424836602</v>
      </c>
      <c r="P4" s="81" t="s">
        <v>281</v>
      </c>
      <c r="Q4" s="85">
        <v>9534.6153846153848</v>
      </c>
      <c r="R4" s="81" t="s">
        <v>171</v>
      </c>
      <c r="S4" s="85">
        <v>-7108.4967320261439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274</v>
      </c>
      <c r="AA4" s="84">
        <v>0.61111111111111116</v>
      </c>
      <c r="AB4" s="81" t="s">
        <v>274</v>
      </c>
      <c r="AC4" s="84">
        <v>0.73333333333333328</v>
      </c>
      <c r="AD4" s="81" t="s">
        <v>170</v>
      </c>
      <c r="AE4" s="84">
        <v>0.50176678445229683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281</v>
      </c>
      <c r="C5" s="80">
        <v>106.5</v>
      </c>
      <c r="D5" s="81" t="s">
        <v>126</v>
      </c>
      <c r="E5" s="93">
        <v>8.5392857142857146</v>
      </c>
      <c r="F5" s="81" t="s">
        <v>126</v>
      </c>
      <c r="G5" s="82">
        <v>1.7857142857142858</v>
      </c>
      <c r="H5" s="81" t="s">
        <v>126</v>
      </c>
      <c r="I5" s="83">
        <v>0.4642857142857143</v>
      </c>
      <c r="J5" s="81" t="s">
        <v>170</v>
      </c>
      <c r="K5" s="83">
        <v>0.30081300813008133</v>
      </c>
      <c r="L5" s="81" t="s">
        <v>274</v>
      </c>
      <c r="M5" s="84">
        <v>0.3559322033898305</v>
      </c>
      <c r="N5" s="81" t="s">
        <v>171</v>
      </c>
      <c r="O5" s="84">
        <v>0.14179796107506951</v>
      </c>
      <c r="P5" s="81" t="s">
        <v>280</v>
      </c>
      <c r="Q5" s="85">
        <v>8512.5</v>
      </c>
      <c r="R5" s="81" t="s">
        <v>172</v>
      </c>
      <c r="S5" s="85">
        <v>-7591.7808219178078</v>
      </c>
      <c r="T5" s="81" t="s">
        <v>126</v>
      </c>
      <c r="U5" s="83">
        <v>4.7619047619047616E-2</v>
      </c>
      <c r="V5" s="81" t="s">
        <v>170</v>
      </c>
      <c r="W5" s="84">
        <v>0.30715705765407553</v>
      </c>
      <c r="X5" s="81" t="s">
        <v>127</v>
      </c>
      <c r="Y5" s="84">
        <v>0.29871175523349436</v>
      </c>
      <c r="Z5" s="81" t="s">
        <v>126</v>
      </c>
      <c r="AA5" s="84">
        <v>0.60055096418732778</v>
      </c>
      <c r="AB5" s="81" t="s">
        <v>126</v>
      </c>
      <c r="AC5" s="84">
        <v>0.49074074074074076</v>
      </c>
      <c r="AD5" s="81" t="s">
        <v>274</v>
      </c>
      <c r="AE5" s="84">
        <v>0.5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203</v>
      </c>
      <c r="C6" s="80">
        <v>26.2</v>
      </c>
      <c r="D6" s="81" t="s">
        <v>170</v>
      </c>
      <c r="E6" s="93">
        <v>5.052845528455288</v>
      </c>
      <c r="F6" s="81" t="s">
        <v>170</v>
      </c>
      <c r="G6" s="82">
        <v>1.8943089430894309</v>
      </c>
      <c r="H6" s="81" t="s">
        <v>228</v>
      </c>
      <c r="I6" s="83">
        <v>0.42857142857142855</v>
      </c>
      <c r="J6" s="81" t="s">
        <v>127</v>
      </c>
      <c r="K6" s="83">
        <v>0.31543624161073824</v>
      </c>
      <c r="L6" s="81" t="s">
        <v>126</v>
      </c>
      <c r="M6" s="84">
        <v>0.34350036310820625</v>
      </c>
      <c r="N6" s="81" t="s">
        <v>161</v>
      </c>
      <c r="O6" s="84">
        <v>0.15208034433285508</v>
      </c>
      <c r="P6" s="81" t="s">
        <v>196</v>
      </c>
      <c r="Q6" s="85">
        <v>8385.7142857142862</v>
      </c>
      <c r="R6" s="81" t="s">
        <v>126</v>
      </c>
      <c r="S6" s="85">
        <v>-7693.8888888888887</v>
      </c>
      <c r="T6" s="81" t="s">
        <v>172</v>
      </c>
      <c r="U6" s="83">
        <v>7.3684210526315783E-2</v>
      </c>
      <c r="V6" s="81" t="s">
        <v>274</v>
      </c>
      <c r="W6" s="84">
        <v>0.30508474576271188</v>
      </c>
      <c r="X6" s="81" t="s">
        <v>161</v>
      </c>
      <c r="Y6" s="84">
        <v>0.25538020086083213</v>
      </c>
      <c r="Z6" s="81" t="s">
        <v>196</v>
      </c>
      <c r="AA6" s="84">
        <v>0.59677419354838712</v>
      </c>
      <c r="AB6" s="81" t="s">
        <v>281</v>
      </c>
      <c r="AC6" s="84">
        <v>0.45454545454545453</v>
      </c>
      <c r="AD6" s="81" t="s">
        <v>172</v>
      </c>
      <c r="AE6" s="84">
        <v>0.46846846846846846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127</v>
      </c>
      <c r="C7" s="80">
        <v>20.499999999999815</v>
      </c>
      <c r="D7" s="81" t="s">
        <v>127</v>
      </c>
      <c r="E7" s="93">
        <v>0.13758389261744841</v>
      </c>
      <c r="F7" s="81" t="s">
        <v>127</v>
      </c>
      <c r="G7" s="82">
        <v>1.9731543624161074</v>
      </c>
      <c r="H7" s="81" t="s">
        <v>170</v>
      </c>
      <c r="I7" s="83">
        <v>0.4065040650406504</v>
      </c>
      <c r="J7" s="81" t="s">
        <v>171</v>
      </c>
      <c r="K7" s="83">
        <v>0.31818181818181818</v>
      </c>
      <c r="L7" s="81" t="s">
        <v>127</v>
      </c>
      <c r="M7" s="84">
        <v>0.30676328502415456</v>
      </c>
      <c r="N7" s="81" t="s">
        <v>141</v>
      </c>
      <c r="O7" s="84">
        <v>0.16151202749140894</v>
      </c>
      <c r="P7" s="81" t="s">
        <v>141</v>
      </c>
      <c r="Q7" s="85">
        <v>8372.1678321678319</v>
      </c>
      <c r="R7" s="81" t="s">
        <v>141</v>
      </c>
      <c r="S7" s="85">
        <v>-7758.7234042553191</v>
      </c>
      <c r="T7" s="81" t="s">
        <v>171</v>
      </c>
      <c r="U7" s="83">
        <v>7.575757575757576E-2</v>
      </c>
      <c r="V7" s="81" t="s">
        <v>172</v>
      </c>
      <c r="W7" s="84">
        <v>0.2767527675276753</v>
      </c>
      <c r="X7" s="81" t="s">
        <v>126</v>
      </c>
      <c r="Y7" s="84">
        <v>0.23529411764705882</v>
      </c>
      <c r="Z7" s="81" t="s">
        <v>170</v>
      </c>
      <c r="AA7" s="84">
        <v>0.55339805825242716</v>
      </c>
      <c r="AB7" s="81" t="s">
        <v>197</v>
      </c>
      <c r="AC7" s="84">
        <v>0.43220338983050849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141</v>
      </c>
      <c r="C8" s="80">
        <v>-4.9737991503207013E-14</v>
      </c>
      <c r="D8" s="81" t="s">
        <v>141</v>
      </c>
      <c r="E8" s="93">
        <v>-5.7367925609235305E-17</v>
      </c>
      <c r="F8" s="81" t="s">
        <v>274</v>
      </c>
      <c r="G8" s="82">
        <v>2</v>
      </c>
      <c r="H8" s="81" t="s">
        <v>274</v>
      </c>
      <c r="I8" s="83">
        <v>0.38461538461538464</v>
      </c>
      <c r="J8" s="81" t="s">
        <v>141</v>
      </c>
      <c r="K8" s="83">
        <v>0.33333333333333331</v>
      </c>
      <c r="L8" s="81" t="s">
        <v>141</v>
      </c>
      <c r="M8" s="84">
        <v>0.29484536082474228</v>
      </c>
      <c r="N8" s="81" t="s">
        <v>170</v>
      </c>
      <c r="O8" s="84">
        <v>0.16898608349900596</v>
      </c>
      <c r="P8" s="81" t="s">
        <v>127</v>
      </c>
      <c r="Q8" s="85">
        <v>8256.9553805774285</v>
      </c>
      <c r="R8" s="81" t="s">
        <v>127</v>
      </c>
      <c r="S8" s="85">
        <v>-7917.4672489082968</v>
      </c>
      <c r="T8" s="81" t="s">
        <v>161</v>
      </c>
      <c r="U8" s="83">
        <v>7.6923076923076927E-2</v>
      </c>
      <c r="V8" s="81" t="s">
        <v>203</v>
      </c>
      <c r="W8" s="84">
        <v>0.26666666666666666</v>
      </c>
      <c r="X8" s="81" t="s">
        <v>141</v>
      </c>
      <c r="Y8" s="84">
        <v>0.22969072164948454</v>
      </c>
      <c r="Z8" s="81" t="s">
        <v>141</v>
      </c>
      <c r="AA8" s="84">
        <v>0.55211726384364823</v>
      </c>
      <c r="AB8" s="81" t="s">
        <v>141</v>
      </c>
      <c r="AC8" s="84">
        <v>0.42309994015559543</v>
      </c>
      <c r="AD8" s="81" t="s">
        <v>197</v>
      </c>
      <c r="AE8" s="84">
        <v>0.45522388059701491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196</v>
      </c>
      <c r="C9" s="80">
        <v>-45.7</v>
      </c>
      <c r="D9" s="81" t="s">
        <v>171</v>
      </c>
      <c r="E9" s="93">
        <v>-1.8045454545454545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281</v>
      </c>
      <c r="K9" s="83">
        <v>0.375</v>
      </c>
      <c r="L9" s="81" t="s">
        <v>170</v>
      </c>
      <c r="M9" s="84">
        <v>0.2813121272365805</v>
      </c>
      <c r="N9" s="81" t="s">
        <v>274</v>
      </c>
      <c r="O9" s="84">
        <v>0.16949152542372881</v>
      </c>
      <c r="P9" s="81" t="s">
        <v>171</v>
      </c>
      <c r="Q9" s="85">
        <v>8234.0067340067344</v>
      </c>
      <c r="R9" s="81" t="s">
        <v>161</v>
      </c>
      <c r="S9" s="85">
        <v>-7918.867924528302</v>
      </c>
      <c r="T9" s="81" t="s">
        <v>141</v>
      </c>
      <c r="U9" s="83">
        <v>9.5732410611303345E-2</v>
      </c>
      <c r="V9" s="81" t="s">
        <v>171</v>
      </c>
      <c r="W9" s="84">
        <v>0.26413345690454126</v>
      </c>
      <c r="X9" s="81" t="s">
        <v>197</v>
      </c>
      <c r="Y9" s="84">
        <v>0.22823984526112184</v>
      </c>
      <c r="Z9" s="81" t="s">
        <v>171</v>
      </c>
      <c r="AA9" s="84">
        <v>0.54736842105263162</v>
      </c>
      <c r="AB9" s="81" t="s">
        <v>161</v>
      </c>
      <c r="AC9" s="84">
        <v>0.4157303370786517</v>
      </c>
      <c r="AD9" s="81" t="s">
        <v>141</v>
      </c>
      <c r="AE9" s="84">
        <v>0.44662004662004662</v>
      </c>
      <c r="AF9" s="81" t="s">
        <v>161</v>
      </c>
      <c r="AG9" s="88">
        <v>87400</v>
      </c>
    </row>
    <row r="10" spans="1:33" x14ac:dyDescent="0.45">
      <c r="A10" s="78">
        <v>8</v>
      </c>
      <c r="B10" s="79" t="s">
        <v>274</v>
      </c>
      <c r="C10" s="80">
        <v>-47.6</v>
      </c>
      <c r="D10" s="81" t="s">
        <v>196</v>
      </c>
      <c r="E10" s="93">
        <v>-1.8280000000000001</v>
      </c>
      <c r="F10" s="81" t="s">
        <v>196</v>
      </c>
      <c r="G10" s="82">
        <v>2.04</v>
      </c>
      <c r="H10" s="81" t="s">
        <v>127</v>
      </c>
      <c r="I10" s="83">
        <v>0.34228187919463088</v>
      </c>
      <c r="J10" s="81" t="s">
        <v>172</v>
      </c>
      <c r="K10" s="83">
        <v>0.37894736842105264</v>
      </c>
      <c r="L10" s="81" t="s">
        <v>161</v>
      </c>
      <c r="M10" s="84">
        <v>0.27833572453371591</v>
      </c>
      <c r="N10" s="81" t="s">
        <v>196</v>
      </c>
      <c r="O10" s="84">
        <v>0.17499999999999999</v>
      </c>
      <c r="P10" s="81" t="s">
        <v>126</v>
      </c>
      <c r="Q10" s="85">
        <v>8142.2832980972516</v>
      </c>
      <c r="R10" s="81" t="s">
        <v>170</v>
      </c>
      <c r="S10" s="85">
        <v>-7932.9411764705883</v>
      </c>
      <c r="T10" s="81" t="s">
        <v>170</v>
      </c>
      <c r="U10" s="83">
        <v>0.10569105691056911</v>
      </c>
      <c r="V10" s="81" t="s">
        <v>126</v>
      </c>
      <c r="W10" s="84">
        <v>0.26361655773420478</v>
      </c>
      <c r="X10" s="81" t="s">
        <v>171</v>
      </c>
      <c r="Y10" s="84">
        <v>0.22613531047265986</v>
      </c>
      <c r="Z10" s="81" t="s">
        <v>172</v>
      </c>
      <c r="AA10" s="84">
        <v>0.54222222222222227</v>
      </c>
      <c r="AB10" s="81" t="s">
        <v>172</v>
      </c>
      <c r="AC10" s="84">
        <v>0.41509433962264153</v>
      </c>
      <c r="AD10" s="81" t="s">
        <v>171</v>
      </c>
      <c r="AE10" s="84">
        <v>0.44444444444444442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280</v>
      </c>
      <c r="C11" s="80">
        <v>-80.800000000000011</v>
      </c>
      <c r="D11" s="81" t="s">
        <v>274</v>
      </c>
      <c r="E11" s="93">
        <v>-3.6615384615384619</v>
      </c>
      <c r="F11" s="81" t="s">
        <v>171</v>
      </c>
      <c r="G11" s="82">
        <v>2.0909090909090908</v>
      </c>
      <c r="H11" s="81" t="s">
        <v>141</v>
      </c>
      <c r="I11" s="83">
        <v>0.33333333333333331</v>
      </c>
      <c r="J11" s="81" t="s">
        <v>274</v>
      </c>
      <c r="K11" s="83">
        <v>0.38461538461538464</v>
      </c>
      <c r="L11" s="81" t="s">
        <v>171</v>
      </c>
      <c r="M11" s="84">
        <v>0.27525486561631141</v>
      </c>
      <c r="N11" s="81" t="s">
        <v>197</v>
      </c>
      <c r="O11" s="84">
        <v>0.17794970986460348</v>
      </c>
      <c r="P11" s="81" t="s">
        <v>197</v>
      </c>
      <c r="Q11" s="85">
        <v>8070.1492537313434</v>
      </c>
      <c r="R11" s="81" t="s">
        <v>280</v>
      </c>
      <c r="S11" s="85">
        <v>-7987.5</v>
      </c>
      <c r="T11" s="81" t="s">
        <v>196</v>
      </c>
      <c r="U11" s="83">
        <v>0.12</v>
      </c>
      <c r="V11" s="81" t="s">
        <v>196</v>
      </c>
      <c r="W11" s="84">
        <v>0.25833333333333336</v>
      </c>
      <c r="X11" s="81" t="s">
        <v>172</v>
      </c>
      <c r="Y11" s="84">
        <v>0.19557195571955718</v>
      </c>
      <c r="Z11" s="81" t="s">
        <v>228</v>
      </c>
      <c r="AA11" s="84">
        <v>0.53333333333333333</v>
      </c>
      <c r="AB11" s="81" t="s">
        <v>171</v>
      </c>
      <c r="AC11" s="84">
        <v>0.41393442622950821</v>
      </c>
      <c r="AD11" s="81" t="s">
        <v>161</v>
      </c>
      <c r="AE11" s="84">
        <v>0.42783505154639173</v>
      </c>
      <c r="AF11" s="81" t="s">
        <v>281</v>
      </c>
      <c r="AG11" s="88">
        <v>70900</v>
      </c>
    </row>
    <row r="12" spans="1:33" x14ac:dyDescent="0.45">
      <c r="A12" s="78">
        <v>10</v>
      </c>
      <c r="B12" s="79" t="s">
        <v>228</v>
      </c>
      <c r="C12" s="80">
        <v>-104.80000000000001</v>
      </c>
      <c r="D12" s="81" t="s">
        <v>161</v>
      </c>
      <c r="E12" s="93">
        <v>-5.4820512820512857</v>
      </c>
      <c r="F12" s="81" t="s">
        <v>161</v>
      </c>
      <c r="G12" s="82">
        <v>2.1153846153846154</v>
      </c>
      <c r="H12" s="81" t="s">
        <v>161</v>
      </c>
      <c r="I12" s="83">
        <v>0.32051282051282054</v>
      </c>
      <c r="J12" s="81" t="s">
        <v>196</v>
      </c>
      <c r="K12" s="83">
        <v>0.4</v>
      </c>
      <c r="L12" s="81" t="s">
        <v>172</v>
      </c>
      <c r="M12" s="84">
        <v>0.27306273062730629</v>
      </c>
      <c r="N12" s="81" t="s">
        <v>172</v>
      </c>
      <c r="O12" s="84">
        <v>0.17958179581795819</v>
      </c>
      <c r="P12" s="81" t="s">
        <v>172</v>
      </c>
      <c r="Q12" s="85">
        <v>7830.6306306306305</v>
      </c>
      <c r="R12" s="81" t="s">
        <v>203</v>
      </c>
      <c r="S12" s="85">
        <v>-8000</v>
      </c>
      <c r="T12" s="81" t="s">
        <v>127</v>
      </c>
      <c r="U12" s="83">
        <v>0.12080536912751678</v>
      </c>
      <c r="V12" s="81" t="s">
        <v>141</v>
      </c>
      <c r="W12" s="84">
        <v>0.2531958762886598</v>
      </c>
      <c r="X12" s="81" t="s">
        <v>170</v>
      </c>
      <c r="Y12" s="84">
        <v>0.18091451292246521</v>
      </c>
      <c r="Z12" s="81" t="s">
        <v>197</v>
      </c>
      <c r="AA12" s="84">
        <v>0.52293577981651373</v>
      </c>
      <c r="AB12" s="81" t="s">
        <v>170</v>
      </c>
      <c r="AC12" s="84">
        <v>0.40109890109890112</v>
      </c>
      <c r="AD12" s="81" t="s">
        <v>126</v>
      </c>
      <c r="AE12" s="84">
        <v>0.42283298097251587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171</v>
      </c>
      <c r="C13" s="80">
        <v>-238.2</v>
      </c>
      <c r="D13" s="81" t="s">
        <v>172</v>
      </c>
      <c r="E13" s="93">
        <v>-6.3073684210526313</v>
      </c>
      <c r="F13" s="81" t="s">
        <v>228</v>
      </c>
      <c r="G13" s="82">
        <v>2.1428571428571428</v>
      </c>
      <c r="H13" s="81" t="s">
        <v>171</v>
      </c>
      <c r="I13" s="83">
        <v>0.22727272727272727</v>
      </c>
      <c r="J13" s="81" t="s">
        <v>280</v>
      </c>
      <c r="K13" s="83">
        <v>0.4</v>
      </c>
      <c r="L13" s="81" t="s">
        <v>196</v>
      </c>
      <c r="M13" s="84">
        <v>0.26250000000000001</v>
      </c>
      <c r="N13" s="81" t="s">
        <v>127</v>
      </c>
      <c r="O13" s="84">
        <v>0.18438003220611915</v>
      </c>
      <c r="P13" s="81" t="s">
        <v>228</v>
      </c>
      <c r="Q13" s="85">
        <v>7473.333333333333</v>
      </c>
      <c r="R13" s="81" t="s">
        <v>274</v>
      </c>
      <c r="S13" s="85">
        <v>-8205</v>
      </c>
      <c r="T13" s="81" t="s">
        <v>197</v>
      </c>
      <c r="U13" s="83">
        <v>0.16129032258064516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161</v>
      </c>
      <c r="AA13" s="84">
        <v>0.52</v>
      </c>
      <c r="AB13" s="81" t="s">
        <v>127</v>
      </c>
      <c r="AC13" s="84">
        <v>0.38274932614555257</v>
      </c>
      <c r="AD13" s="81" t="s">
        <v>127</v>
      </c>
      <c r="AE13" s="84">
        <v>0.41469816272965881</v>
      </c>
      <c r="AF13" s="81" t="s">
        <v>274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-427.60000000000025</v>
      </c>
      <c r="D14" s="81" t="s">
        <v>197</v>
      </c>
      <c r="E14" s="93">
        <v>-10.732258064516131</v>
      </c>
      <c r="F14" s="81" t="s">
        <v>172</v>
      </c>
      <c r="G14" s="82">
        <v>2.1578947368421053</v>
      </c>
      <c r="H14" s="81" t="s">
        <v>172</v>
      </c>
      <c r="I14" s="83">
        <v>0.22105263157894736</v>
      </c>
      <c r="J14" s="81" t="s">
        <v>197</v>
      </c>
      <c r="K14" s="83">
        <v>0.43548387096774194</v>
      </c>
      <c r="L14" s="81" t="s">
        <v>197</v>
      </c>
      <c r="M14" s="84">
        <v>0.25918762088974856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-8323.9130434782601</v>
      </c>
      <c r="T14" s="81" t="s">
        <v>280</v>
      </c>
      <c r="U14" s="83">
        <v>0.2</v>
      </c>
      <c r="V14" s="81" t="s">
        <v>127</v>
      </c>
      <c r="W14" s="84">
        <v>0.23429951690821257</v>
      </c>
      <c r="X14" s="81" t="s">
        <v>196</v>
      </c>
      <c r="Y14" s="84">
        <v>0.15</v>
      </c>
      <c r="Z14" s="81" t="s">
        <v>127</v>
      </c>
      <c r="AA14" s="84">
        <v>0.50515463917525771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5">
      <c r="A15" s="78">
        <v>13</v>
      </c>
      <c r="B15" s="79" t="s">
        <v>172</v>
      </c>
      <c r="C15" s="80">
        <v>-599.19999999999993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161</v>
      </c>
      <c r="K15" s="83">
        <v>0.4358974358974359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7171.1340206185569</v>
      </c>
      <c r="R15" s="81" t="s">
        <v>281</v>
      </c>
      <c r="S15" s="85">
        <v>-8437.5</v>
      </c>
      <c r="T15" s="81" t="s">
        <v>274</v>
      </c>
      <c r="U15" s="83">
        <v>0.23076923076923078</v>
      </c>
      <c r="V15" s="81" t="s">
        <v>197</v>
      </c>
      <c r="W15" s="84">
        <v>0.21083172147001933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5">
      <c r="A16" s="78">
        <v>14</v>
      </c>
      <c r="B16" s="79" t="s">
        <v>197</v>
      </c>
      <c r="C16" s="80">
        <v>-665.40000000000009</v>
      </c>
      <c r="D16" s="81" t="s">
        <v>280</v>
      </c>
      <c r="E16" s="93">
        <v>-16.160000000000004</v>
      </c>
      <c r="F16" s="81" t="s">
        <v>197</v>
      </c>
      <c r="G16" s="82">
        <v>2.274193548387097</v>
      </c>
      <c r="H16" s="81" t="s">
        <v>197</v>
      </c>
      <c r="I16" s="83">
        <v>0.16129032258064516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6407.1428571428569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0.14347202295552366</v>
      </c>
      <c r="X16" s="81" t="s">
        <v>274</v>
      </c>
      <c r="Y16" s="84">
        <v>0.1271186440677966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A6EC4-2334-478F-98A5-E0D233397B9F}">
  <sheetPr codeName="Sheet4"/>
  <dimension ref="A1:Q86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867</v>
      </c>
      <c r="C2" s="155"/>
      <c r="E2" s="58" t="s">
        <v>66</v>
      </c>
      <c r="F2" s="55" t="s">
        <v>22</v>
      </c>
      <c r="G2" s="43">
        <v>1625</v>
      </c>
      <c r="H2" s="128">
        <f>IF(B$15=0,0,G2/B$15)</f>
        <v>0.75757575757575757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-25.462962962962962</v>
      </c>
      <c r="P2" s="114">
        <v>864</v>
      </c>
      <c r="Q2" s="98">
        <v>-22000</v>
      </c>
    </row>
    <row r="3" spans="1:17" x14ac:dyDescent="0.45">
      <c r="A3" s="51" t="s">
        <v>8</v>
      </c>
      <c r="B3" s="156">
        <v>7275</v>
      </c>
      <c r="C3" s="157"/>
      <c r="E3" s="59" t="s">
        <v>72</v>
      </c>
      <c r="F3" s="56" t="s">
        <v>27</v>
      </c>
      <c r="G3" s="44">
        <v>1148</v>
      </c>
      <c r="H3" s="129">
        <f>IF(B$15=0,0,G3/B$15)</f>
        <v>0.53519813519813519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7.042253521126761</v>
      </c>
      <c r="P3" s="115">
        <v>852</v>
      </c>
      <c r="Q3" s="99">
        <v>6000</v>
      </c>
    </row>
    <row r="4" spans="1:17" x14ac:dyDescent="0.45">
      <c r="A4" s="51" t="s">
        <v>6</v>
      </c>
      <c r="B4" s="158">
        <v>-4.9737991503207013E-14</v>
      </c>
      <c r="C4" s="159"/>
      <c r="E4" s="59" t="s">
        <v>64</v>
      </c>
      <c r="F4" s="56" t="s">
        <v>20</v>
      </c>
      <c r="G4" s="44">
        <v>983</v>
      </c>
      <c r="H4" s="129">
        <f>IF(B$15=0,0,G4/B$15)</f>
        <v>0.45827505827505827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-6.2189054726368163</v>
      </c>
      <c r="P4" s="115">
        <v>804</v>
      </c>
      <c r="Q4" s="99">
        <v>-5000</v>
      </c>
    </row>
    <row r="5" spans="1:17" x14ac:dyDescent="0.45">
      <c r="A5" s="51" t="s">
        <v>7</v>
      </c>
      <c r="B5" s="160">
        <f>IF(B$2=0,0,B$4/B$2)</f>
        <v>-5.7367925609235305E-17</v>
      </c>
      <c r="C5" s="161"/>
      <c r="E5" s="59" t="s">
        <v>166</v>
      </c>
      <c r="F5" s="56" t="s">
        <v>167</v>
      </c>
      <c r="G5" s="44">
        <v>828</v>
      </c>
      <c r="H5" s="129">
        <f>IF(B$15=0,0,G5/B$15)</f>
        <v>0.38601398601398601</v>
      </c>
      <c r="I5" s="90">
        <v>5</v>
      </c>
      <c r="K5" s="36">
        <v>3</v>
      </c>
      <c r="L5" s="95">
        <v>0</v>
      </c>
      <c r="N5" s="111" t="s">
        <v>133</v>
      </c>
      <c r="O5" s="118">
        <f t="shared" si="0"/>
        <v>10.582010582010582</v>
      </c>
      <c r="P5" s="115">
        <v>756</v>
      </c>
      <c r="Q5" s="99">
        <v>8000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666</v>
      </c>
      <c r="H6" s="129">
        <f>IF(B$15=0,0,G6/B$15)</f>
        <v>0.31048951048951051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2.8860028860028861</v>
      </c>
      <c r="P6" s="115">
        <v>693</v>
      </c>
      <c r="Q6" s="99">
        <v>2000</v>
      </c>
    </row>
    <row r="7" spans="1:17" x14ac:dyDescent="0.45">
      <c r="A7" s="51" t="s">
        <v>2</v>
      </c>
      <c r="B7" s="44">
        <v>289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610</v>
      </c>
      <c r="H7" s="129">
        <f>IF(B$15=0,0,G7/B$15)</f>
        <v>0.28438228438228436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15.625</v>
      </c>
      <c r="P7" s="116">
        <v>576</v>
      </c>
      <c r="Q7" s="100">
        <v>9000</v>
      </c>
    </row>
    <row r="8" spans="1:17" x14ac:dyDescent="0.45">
      <c r="A8" s="51" t="s">
        <v>3</v>
      </c>
      <c r="B8" s="44">
        <v>289</v>
      </c>
      <c r="C8" s="37">
        <f t="shared" si="1"/>
        <v>0.33333333333333331</v>
      </c>
      <c r="E8" s="59" t="s">
        <v>69</v>
      </c>
      <c r="F8" s="56" t="s">
        <v>24</v>
      </c>
      <c r="G8" s="44">
        <v>308</v>
      </c>
      <c r="H8" s="129">
        <f>IF(B$15=0,0,G8/B$15)</f>
        <v>0.14358974358974358</v>
      </c>
      <c r="I8" s="90">
        <v>7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289</v>
      </c>
      <c r="C9" s="38">
        <f t="shared" si="1"/>
        <v>0.33333333333333331</v>
      </c>
      <c r="E9" s="59" t="s">
        <v>89</v>
      </c>
      <c r="F9" s="56" t="s">
        <v>44</v>
      </c>
      <c r="G9" s="44">
        <v>294</v>
      </c>
      <c r="H9" s="129">
        <f>IF(B$15=0,0,G9/B$15)</f>
        <v>0.13706293706293707</v>
      </c>
      <c r="I9" s="90">
        <v>6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83</v>
      </c>
      <c r="C10" s="40">
        <f t="shared" si="1"/>
        <v>9.5732410611303345E-2</v>
      </c>
      <c r="E10" s="59" t="s">
        <v>65</v>
      </c>
      <c r="F10" s="56" t="s">
        <v>21</v>
      </c>
      <c r="G10" s="44">
        <v>228</v>
      </c>
      <c r="H10" s="129">
        <f>IF(B$15=0,0,G10/B$15)</f>
        <v>0.1062937062937063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-2.9283737024221455</v>
      </c>
      <c r="P10" s="114">
        <v>289</v>
      </c>
      <c r="Q10" s="102">
        <v>-846.30000000000007</v>
      </c>
    </row>
    <row r="11" spans="1:17" x14ac:dyDescent="0.45">
      <c r="A11" s="54" t="s">
        <v>121</v>
      </c>
      <c r="B11" s="47">
        <v>1842</v>
      </c>
      <c r="C11" s="42">
        <f>IF(B$3=0,0,B11/B$3)</f>
        <v>0.2531958762886598</v>
      </c>
      <c r="E11" s="59" t="s">
        <v>70</v>
      </c>
      <c r="F11" s="56" t="s">
        <v>25</v>
      </c>
      <c r="G11" s="44">
        <v>196</v>
      </c>
      <c r="H11" s="129">
        <f>IF(B$15=0,0,G11/B$15)</f>
        <v>9.1375291375291379E-2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0.79515570934256075</v>
      </c>
      <c r="P11" s="115">
        <v>289</v>
      </c>
      <c r="Q11" s="103">
        <v>229.80000000000004</v>
      </c>
    </row>
    <row r="12" spans="1:17" x14ac:dyDescent="0.45">
      <c r="A12" s="51" t="s">
        <v>118</v>
      </c>
      <c r="B12" s="44">
        <v>1671</v>
      </c>
      <c r="C12" s="37">
        <f>IF(B$3=0,0,B12/B$3)</f>
        <v>0.22969072164948454</v>
      </c>
      <c r="E12" s="59" t="s">
        <v>71</v>
      </c>
      <c r="F12" s="56" t="s">
        <v>26</v>
      </c>
      <c r="G12" s="44">
        <v>171</v>
      </c>
      <c r="H12" s="129">
        <f>IF(B$15=0,0,G12/B$15)</f>
        <v>7.9720279720279716E-2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2.1332179930795845</v>
      </c>
      <c r="P12" s="116">
        <v>289</v>
      </c>
      <c r="Q12" s="104">
        <v>616.49999999999989</v>
      </c>
    </row>
    <row r="13" spans="1:17" x14ac:dyDescent="0.45">
      <c r="A13" s="50" t="s">
        <v>123</v>
      </c>
      <c r="B13" s="43">
        <f>B19</f>
        <v>1017</v>
      </c>
      <c r="C13" s="35">
        <f>IF(B$11=0,0,B13/B$11)</f>
        <v>0.55211726384364823</v>
      </c>
      <c r="E13" s="59" t="s">
        <v>83</v>
      </c>
      <c r="F13" s="56" t="s">
        <v>38</v>
      </c>
      <c r="G13" s="44">
        <v>111</v>
      </c>
      <c r="H13" s="129">
        <f>IF(B$15=0,0,G13/B$15)</f>
        <v>5.1748251748251747E-2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707</v>
      </c>
      <c r="C14" s="35">
        <f>IF(B$12=0,0,B14/B$12)</f>
        <v>0.42309994015559543</v>
      </c>
      <c r="E14" s="59" t="s">
        <v>86</v>
      </c>
      <c r="F14" s="56" t="s">
        <v>41</v>
      </c>
      <c r="G14" s="44">
        <v>108</v>
      </c>
      <c r="H14" s="129">
        <f>IF(B$15=0,0,G14/B$15)</f>
        <v>5.0349650349650353E-2</v>
      </c>
      <c r="I14" s="90">
        <v>5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2145</v>
      </c>
      <c r="C15" s="35">
        <f>IF(B$3=0,0,B15/B$3)</f>
        <v>0.29484536082474228</v>
      </c>
      <c r="E15" s="59" t="s">
        <v>78</v>
      </c>
      <c r="F15" s="56" t="s">
        <v>33</v>
      </c>
      <c r="G15" s="44">
        <v>56</v>
      </c>
      <c r="H15" s="129">
        <f>IF(B$15=0,0,G15/B$15)</f>
        <v>2.6107226107226107E-2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1175</v>
      </c>
      <c r="C16" s="37">
        <f>IF(B$3=0,0,B16/B$3)</f>
        <v>0.16151202749140894</v>
      </c>
      <c r="E16" s="59" t="s">
        <v>162</v>
      </c>
      <c r="F16" s="56" t="s">
        <v>163</v>
      </c>
      <c r="G16" s="44">
        <v>47</v>
      </c>
      <c r="H16" s="129">
        <f>IF(B$15=0,0,G16/B$15)</f>
        <v>2.1911421911421911E-2</v>
      </c>
      <c r="I16" s="90">
        <v>3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958</v>
      </c>
      <c r="C17" s="37">
        <f>IF(B$15=0,0,B17/B$15)</f>
        <v>0.44662004662004662</v>
      </c>
      <c r="E17" s="59" t="s">
        <v>81</v>
      </c>
      <c r="F17" s="56" t="s">
        <v>36</v>
      </c>
      <c r="G17" s="44">
        <v>46</v>
      </c>
      <c r="H17" s="129">
        <f>IF(B$15=0,0,G17/B$15)</f>
        <v>2.1445221445221447E-2</v>
      </c>
      <c r="I17" s="90">
        <v>4</v>
      </c>
      <c r="K17" s="36">
        <v>15</v>
      </c>
      <c r="L17" s="95">
        <v>0</v>
      </c>
      <c r="N17" s="111" t="s">
        <v>197</v>
      </c>
      <c r="O17" s="121">
        <f>IF(P17=0,0,Q17/P17)</f>
        <v>16.098387096774179</v>
      </c>
      <c r="P17" s="115">
        <v>124</v>
      </c>
      <c r="Q17" s="103">
        <v>1996.1999999999982</v>
      </c>
    </row>
    <row r="18" spans="1:17" x14ac:dyDescent="0.45">
      <c r="A18" s="51" t="s">
        <v>11</v>
      </c>
      <c r="B18" s="44">
        <v>1187</v>
      </c>
      <c r="C18" s="37">
        <f>IF(B$15=0,0,B18/B$15)</f>
        <v>0.55337995337995338</v>
      </c>
      <c r="E18" s="59" t="s">
        <v>91</v>
      </c>
      <c r="F18" s="56" t="s">
        <v>46</v>
      </c>
      <c r="G18" s="44">
        <v>33</v>
      </c>
      <c r="H18" s="129">
        <f>IF(B$15=0,0,G18/B$15)</f>
        <v>1.5384615384615385E-2</v>
      </c>
      <c r="I18" s="90">
        <v>4</v>
      </c>
      <c r="K18" s="36">
        <v>16</v>
      </c>
      <c r="L18" s="95">
        <v>-28.2</v>
      </c>
      <c r="N18" s="111" t="s">
        <v>172</v>
      </c>
      <c r="O18" s="121">
        <f>IF(P18=0,0,Q18/P18)</f>
        <v>9.4610526315789425</v>
      </c>
      <c r="P18" s="115">
        <v>190</v>
      </c>
      <c r="Q18" s="103">
        <v>1797.5999999999992</v>
      </c>
    </row>
    <row r="19" spans="1:17" x14ac:dyDescent="0.45">
      <c r="A19" s="51" t="s">
        <v>195</v>
      </c>
      <c r="B19" s="44">
        <v>1017</v>
      </c>
      <c r="C19" s="37">
        <f>IF(B$15=0,0,B19/B$15)</f>
        <v>0.47412587412587415</v>
      </c>
      <c r="E19" s="59" t="s">
        <v>79</v>
      </c>
      <c r="F19" s="56" t="s">
        <v>34</v>
      </c>
      <c r="G19" s="44">
        <v>30</v>
      </c>
      <c r="H19" s="129">
        <f>IF(B$15=0,0,G19/B$15)</f>
        <v>1.3986013986013986E-2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5.6005813953488293</v>
      </c>
      <c r="P19" s="115">
        <v>172</v>
      </c>
      <c r="Q19" s="103">
        <v>963.2999999999987</v>
      </c>
    </row>
    <row r="20" spans="1:17" x14ac:dyDescent="0.45">
      <c r="A20" s="51" t="s">
        <v>193</v>
      </c>
      <c r="B20" s="44">
        <v>707</v>
      </c>
      <c r="C20" s="37">
        <f>IF(B$15=0,0,B20/B$15)</f>
        <v>0.32960372960372958</v>
      </c>
      <c r="E20" s="59" t="s">
        <v>75</v>
      </c>
      <c r="F20" s="56" t="s">
        <v>30</v>
      </c>
      <c r="G20" s="44">
        <v>16</v>
      </c>
      <c r="H20" s="129">
        <f>IF(B$15=0,0,G20/B$15)</f>
        <v>7.4592074592074592E-3</v>
      </c>
      <c r="I20" s="90">
        <v>5</v>
      </c>
      <c r="K20" s="36">
        <v>18</v>
      </c>
      <c r="L20" s="95">
        <v>0</v>
      </c>
      <c r="N20" s="111" t="s">
        <v>274</v>
      </c>
      <c r="O20" s="121">
        <f>IF(P20=0,0,Q20/P20)</f>
        <v>5.4923076923076897</v>
      </c>
      <c r="P20" s="115">
        <v>26</v>
      </c>
      <c r="Q20" s="103">
        <v>142.79999999999993</v>
      </c>
    </row>
    <row r="21" spans="1:17" x14ac:dyDescent="0.45">
      <c r="A21" s="51" t="s">
        <v>194</v>
      </c>
      <c r="B21" s="44">
        <v>421</v>
      </c>
      <c r="C21" s="37">
        <f>IF(B$15=0,0,B21/B$15)</f>
        <v>0.19627039627039627</v>
      </c>
      <c r="E21" s="59" t="s">
        <v>85</v>
      </c>
      <c r="F21" s="56" t="s">
        <v>40</v>
      </c>
      <c r="G21" s="44">
        <v>13</v>
      </c>
      <c r="H21" s="129">
        <f>IF(B$15=0,0,G21/B$15)</f>
        <v>6.0606060606060606E-3</v>
      </c>
      <c r="I21" s="90">
        <v>6</v>
      </c>
      <c r="K21" s="36">
        <v>19</v>
      </c>
      <c r="L21" s="95">
        <v>-22.4</v>
      </c>
      <c r="N21" s="111" t="s">
        <v>196</v>
      </c>
      <c r="O21" s="121">
        <f>IF(P21=0,0,Q21/P21)</f>
        <v>2.742</v>
      </c>
      <c r="P21" s="115">
        <v>50</v>
      </c>
      <c r="Q21" s="103">
        <v>137.1</v>
      </c>
    </row>
    <row r="22" spans="1:17" x14ac:dyDescent="0.45">
      <c r="A22" s="51" t="s">
        <v>5</v>
      </c>
      <c r="B22" s="48">
        <f>IF(B$15=0,0,C22/B$15)</f>
        <v>8372.1678321678319</v>
      </c>
      <c r="C22" s="39">
        <v>17958300</v>
      </c>
      <c r="E22" s="59" t="s">
        <v>92</v>
      </c>
      <c r="F22" s="56" t="s">
        <v>47</v>
      </c>
      <c r="G22" s="44">
        <v>11</v>
      </c>
      <c r="H22" s="129">
        <f>IF(B$15=0,0,G22/B$15)</f>
        <v>5.1282051282051282E-3</v>
      </c>
      <c r="I22" s="90">
        <v>5</v>
      </c>
      <c r="K22" s="36">
        <v>20</v>
      </c>
      <c r="L22" s="95">
        <v>-61.199999999999996</v>
      </c>
      <c r="N22" s="111" t="s">
        <v>171</v>
      </c>
      <c r="O22" s="121">
        <f>IF(P22=0,0,Q22/P22)</f>
        <v>2.7068181818181825</v>
      </c>
      <c r="P22" s="115">
        <v>264</v>
      </c>
      <c r="Q22" s="103">
        <v>714.60000000000014</v>
      </c>
    </row>
    <row r="23" spans="1:17" x14ac:dyDescent="0.45">
      <c r="A23" s="52" t="s">
        <v>177</v>
      </c>
      <c r="B23" s="136">
        <f>IF($B$15-B$14=0,0,C23/($B$15-B$14))</f>
        <v>9004.5897079276765</v>
      </c>
      <c r="C23" s="137">
        <v>12948600</v>
      </c>
      <c r="E23" s="59" t="s">
        <v>73</v>
      </c>
      <c r="F23" s="56" t="s">
        <v>28</v>
      </c>
      <c r="G23" s="44">
        <v>8</v>
      </c>
      <c r="H23" s="129">
        <f>IF(B$15=0,0,G23/B$15)</f>
        <v>3.7296037296037296E-3</v>
      </c>
      <c r="I23" s="90">
        <v>3</v>
      </c>
      <c r="K23" s="36">
        <v>21</v>
      </c>
      <c r="L23" s="95">
        <v>7.1054273576010019E-15</v>
      </c>
      <c r="N23" s="111" t="s">
        <v>127</v>
      </c>
      <c r="O23" s="121">
        <f>IF(P23=0,0,Q23/P23)</f>
        <v>-0.20637583892617845</v>
      </c>
      <c r="P23" s="115">
        <v>298</v>
      </c>
      <c r="Q23" s="103">
        <v>-61.50000000000118</v>
      </c>
    </row>
    <row r="24" spans="1:17" x14ac:dyDescent="0.45">
      <c r="A24" s="52" t="s">
        <v>178</v>
      </c>
      <c r="B24" s="136">
        <f>IF(B$14=0,0,C24/B$14)</f>
        <v>7085.8557284299859</v>
      </c>
      <c r="C24" s="137">
        <v>5009700</v>
      </c>
      <c r="E24" s="59" t="s">
        <v>74</v>
      </c>
      <c r="F24" s="56" t="s">
        <v>29</v>
      </c>
      <c r="G24" s="44">
        <v>8</v>
      </c>
      <c r="H24" s="129">
        <f>IF(B$15=0,0,G24/B$15)</f>
        <v>3.7296037296037296E-3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-7.5792682926829187</v>
      </c>
      <c r="P24" s="115">
        <v>246</v>
      </c>
      <c r="Q24" s="103">
        <v>-1864.499999999998</v>
      </c>
    </row>
    <row r="25" spans="1:17" x14ac:dyDescent="0.45">
      <c r="A25" s="52" t="s">
        <v>176</v>
      </c>
      <c r="B25" s="136">
        <f>IF(B$16=0,0,C25/B$16)</f>
        <v>-7758.7234042553191</v>
      </c>
      <c r="C25" s="137">
        <v>-9116500</v>
      </c>
      <c r="E25" s="59" t="s">
        <v>84</v>
      </c>
      <c r="F25" s="56" t="s">
        <v>39</v>
      </c>
      <c r="G25" s="44">
        <v>7</v>
      </c>
      <c r="H25" s="129">
        <f>IF(B$15=0,0,G25/B$15)</f>
        <v>3.2634032634032634E-3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-12.80892857142857</v>
      </c>
      <c r="P25" s="115">
        <v>336</v>
      </c>
      <c r="Q25" s="103">
        <v>-4303.7999999999993</v>
      </c>
    </row>
    <row r="26" spans="1:17" x14ac:dyDescent="0.45">
      <c r="A26" s="51" t="s">
        <v>164</v>
      </c>
      <c r="B26" s="44">
        <v>7</v>
      </c>
      <c r="C26" s="131">
        <v>3</v>
      </c>
      <c r="E26" s="59" t="s">
        <v>77</v>
      </c>
      <c r="F26" s="56" t="s">
        <v>32</v>
      </c>
      <c r="G26" s="44">
        <v>6</v>
      </c>
      <c r="H26" s="129">
        <f>IF(B$15=0,0,G26/B$15)</f>
        <v>2.7972027972027972E-3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3</v>
      </c>
      <c r="E27" s="59" t="s">
        <v>88</v>
      </c>
      <c r="F27" s="56" t="s">
        <v>43</v>
      </c>
      <c r="G27" s="44">
        <v>5</v>
      </c>
      <c r="H27" s="129">
        <f>IF(B$15=0,0,G27/B$15)</f>
        <v>2.331002331002331E-3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4</v>
      </c>
      <c r="H28" s="129">
        <f>IF(B$15=0,0,G28/B$15)</f>
        <v>1.8648018648018648E-3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1.8648018648018648E-3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20</v>
      </c>
      <c r="C30" s="40">
        <f>IF(B$3=0,0,B30/B$3)</f>
        <v>2.7491408934707906E-3</v>
      </c>
      <c r="E30" s="59" t="s">
        <v>93</v>
      </c>
      <c r="F30" s="56" t="s">
        <v>48</v>
      </c>
      <c r="G30" s="44">
        <v>4</v>
      </c>
      <c r="H30" s="129">
        <f>IF(B$15=0,0,G30/B$15)</f>
        <v>1.8648018648018648E-3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95</v>
      </c>
      <c r="F31" s="56" t="s">
        <v>50</v>
      </c>
      <c r="G31" s="44">
        <v>4</v>
      </c>
      <c r="H31" s="129">
        <f>IF(B$15=0,0,G31/B$15)</f>
        <v>1.8648018648018648E-3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170</v>
      </c>
      <c r="C32" s="141">
        <f>IF(B$15=0,0,B32/B$15)</f>
        <v>7.9254079254079249E-2</v>
      </c>
      <c r="E32" s="59" t="s">
        <v>97</v>
      </c>
      <c r="F32" s="56" t="s">
        <v>52</v>
      </c>
      <c r="G32" s="44">
        <v>1</v>
      </c>
      <c r="H32" s="129">
        <f>IF(B$15=0,0,G32/B$15)</f>
        <v>4.662004662004662E-4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361</v>
      </c>
      <c r="C33" s="37">
        <f t="shared" ref="C33:C44" si="2">IF(B$15=0,0,B33/B$15)</f>
        <v>0.16829836829836831</v>
      </c>
      <c r="E33" s="59" t="s">
        <v>101</v>
      </c>
      <c r="F33" s="56" t="s">
        <v>56</v>
      </c>
      <c r="G33" s="44">
        <v>1</v>
      </c>
      <c r="H33" s="129">
        <f>IF(B$15=0,0,G33/B$15)</f>
        <v>4.662004662004662E-4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421</v>
      </c>
      <c r="C34" s="37">
        <f>IF(B$15=0,0,B34/B$15)</f>
        <v>0.19627039627039627</v>
      </c>
      <c r="E34" s="59" t="s">
        <v>106</v>
      </c>
      <c r="F34" s="56" t="s">
        <v>113</v>
      </c>
      <c r="G34" s="44">
        <v>1</v>
      </c>
      <c r="H34" s="129">
        <f>IF(B$15=0,0,G34/B$15)</f>
        <v>4.662004662004662E-4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379</v>
      </c>
      <c r="C35" s="37">
        <f t="shared" si="2"/>
        <v>0.17668997668997669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337</v>
      </c>
      <c r="C36" s="37">
        <f t="shared" si="2"/>
        <v>0.1571095571095571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228</v>
      </c>
      <c r="C37" s="37">
        <f t="shared" si="2"/>
        <v>0.1062937062937063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115</v>
      </c>
      <c r="C38" s="37">
        <f t="shared" si="2"/>
        <v>5.3613053613053616E-2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63</v>
      </c>
      <c r="C39" s="37">
        <f t="shared" si="2"/>
        <v>2.937062937062937E-2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28</v>
      </c>
      <c r="C40" s="37">
        <f t="shared" si="2"/>
        <v>1.3053613053613054E-2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9</v>
      </c>
      <c r="C41" s="37">
        <f t="shared" si="2"/>
        <v>4.1958041958041958E-3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2.7972027972027972E-3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2.7972027972027972E-3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22</v>
      </c>
      <c r="C44" s="40">
        <f t="shared" si="2"/>
        <v>1.0256410256410256E-2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  <row r="852" spans="11:12" x14ac:dyDescent="0.45">
      <c r="K852" s="36">
        <v>850</v>
      </c>
      <c r="L852" s="95">
        <v>-28.80000000000005</v>
      </c>
    </row>
    <row r="853" spans="11:12" x14ac:dyDescent="0.45">
      <c r="K853" s="36">
        <v>851</v>
      </c>
      <c r="L853" s="95">
        <v>-87.100000000000051</v>
      </c>
    </row>
    <row r="854" spans="11:12" x14ac:dyDescent="0.45">
      <c r="K854" s="36">
        <v>852</v>
      </c>
      <c r="L854" s="95">
        <v>-5.6843418860808015E-14</v>
      </c>
    </row>
    <row r="855" spans="11:12" x14ac:dyDescent="0.45">
      <c r="K855" s="36">
        <v>853</v>
      </c>
      <c r="L855" s="95">
        <v>2.799999999999943</v>
      </c>
    </row>
    <row r="856" spans="11:12" x14ac:dyDescent="0.45">
      <c r="K856" s="36">
        <v>854</v>
      </c>
      <c r="L856" s="95">
        <v>33.29999999999994</v>
      </c>
    </row>
    <row r="857" spans="11:12" x14ac:dyDescent="0.45">
      <c r="K857" s="36">
        <v>855</v>
      </c>
      <c r="L857" s="95">
        <v>-5.6843418860808015E-14</v>
      </c>
    </row>
    <row r="858" spans="11:12" x14ac:dyDescent="0.45">
      <c r="K858" s="36">
        <v>856</v>
      </c>
      <c r="L858" s="95">
        <v>-12.000000000000057</v>
      </c>
    </row>
    <row r="859" spans="11:12" x14ac:dyDescent="0.45">
      <c r="K859" s="36">
        <v>857</v>
      </c>
      <c r="L859" s="95">
        <v>-62.400000000000055</v>
      </c>
    </row>
    <row r="860" spans="11:12" x14ac:dyDescent="0.45">
      <c r="K860" s="36">
        <v>858</v>
      </c>
      <c r="L860" s="95">
        <v>-5.6843418860808015E-14</v>
      </c>
    </row>
    <row r="861" spans="11:12" x14ac:dyDescent="0.45">
      <c r="K861" s="36">
        <v>859</v>
      </c>
      <c r="L861" s="95">
        <v>22.099999999999945</v>
      </c>
    </row>
    <row r="862" spans="11:12" x14ac:dyDescent="0.45">
      <c r="K862" s="36">
        <v>860</v>
      </c>
      <c r="L862" s="95">
        <v>23.399999999999945</v>
      </c>
    </row>
    <row r="863" spans="11:12" x14ac:dyDescent="0.45">
      <c r="K863" s="36">
        <v>861</v>
      </c>
      <c r="L863" s="95">
        <v>-5.3290705182007514E-14</v>
      </c>
    </row>
    <row r="864" spans="11:12" x14ac:dyDescent="0.45">
      <c r="K864" s="36">
        <v>862</v>
      </c>
      <c r="L864" s="95">
        <v>60.599999999999952</v>
      </c>
    </row>
    <row r="865" spans="11:12" x14ac:dyDescent="0.45">
      <c r="K865" s="36">
        <v>863</v>
      </c>
      <c r="L865" s="95">
        <v>46.199999999999953</v>
      </c>
    </row>
    <row r="866" spans="11:12" x14ac:dyDescent="0.45">
      <c r="K866" s="36">
        <v>864</v>
      </c>
      <c r="L866" s="95">
        <v>-4.9737991503207013E-14</v>
      </c>
    </row>
    <row r="867" spans="11:12" x14ac:dyDescent="0.45">
      <c r="K867" s="36">
        <v>865</v>
      </c>
      <c r="L867" s="95">
        <v>-38.50000000000005</v>
      </c>
    </row>
    <row r="868" spans="11:12" x14ac:dyDescent="0.45">
      <c r="K868" s="36">
        <v>866</v>
      </c>
      <c r="L868" s="95">
        <v>-26.30000000000005</v>
      </c>
    </row>
    <row r="869" spans="11:12" x14ac:dyDescent="0.45">
      <c r="K869" s="36">
        <v>867</v>
      </c>
      <c r="L869" s="95">
        <v>-4.9737991503207013E-14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B5EA-E0CA-4ACC-A701-109180EC8838}">
  <sheetPr codeName="Sheet7"/>
  <dimension ref="A1:Q8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78</v>
      </c>
      <c r="C2" s="155"/>
      <c r="E2" s="58" t="s">
        <v>66</v>
      </c>
      <c r="F2" s="55" t="s">
        <v>22</v>
      </c>
      <c r="G2" s="43">
        <v>139</v>
      </c>
      <c r="H2" s="128">
        <f>IF(B$15=0,0,G2/B$15)</f>
        <v>0.71649484536082475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2233.3333333333335</v>
      </c>
      <c r="P2" s="114">
        <v>78</v>
      </c>
      <c r="Q2" s="98">
        <v>174200</v>
      </c>
    </row>
    <row r="3" spans="1:17" x14ac:dyDescent="0.45">
      <c r="A3" s="51" t="s">
        <v>8</v>
      </c>
      <c r="B3" s="156">
        <v>697</v>
      </c>
      <c r="C3" s="157"/>
      <c r="E3" s="59" t="s">
        <v>72</v>
      </c>
      <c r="F3" s="56" t="s">
        <v>27</v>
      </c>
      <c r="G3" s="44">
        <v>107</v>
      </c>
      <c r="H3" s="129">
        <f>IF(B$15=0,0,G3/B$15)</f>
        <v>0.55154639175257736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-1844.1558441558441</v>
      </c>
      <c r="P3" s="115">
        <v>77</v>
      </c>
      <c r="Q3" s="99">
        <v>-142000</v>
      </c>
    </row>
    <row r="4" spans="1:17" x14ac:dyDescent="0.45">
      <c r="A4" s="51" t="s">
        <v>6</v>
      </c>
      <c r="B4" s="158">
        <v>-427.60000000000025</v>
      </c>
      <c r="C4" s="159"/>
      <c r="E4" s="59" t="s">
        <v>166</v>
      </c>
      <c r="F4" s="56" t="s">
        <v>167</v>
      </c>
      <c r="G4" s="44">
        <v>72</v>
      </c>
      <c r="H4" s="129">
        <f>IF(B$15=0,0,G4/B$15)</f>
        <v>0.37113402061855671</v>
      </c>
      <c r="I4" s="90">
        <v>9</v>
      </c>
      <c r="K4" s="36">
        <v>2</v>
      </c>
      <c r="L4" s="95">
        <v>19.899999999999999</v>
      </c>
      <c r="N4" s="111" t="s">
        <v>132</v>
      </c>
      <c r="O4" s="118">
        <f t="shared" si="0"/>
        <v>-1763.5135135135135</v>
      </c>
      <c r="P4" s="115">
        <v>74</v>
      </c>
      <c r="Q4" s="99">
        <v>-130500</v>
      </c>
    </row>
    <row r="5" spans="1:17" x14ac:dyDescent="0.45">
      <c r="A5" s="51" t="s">
        <v>7</v>
      </c>
      <c r="B5" s="160">
        <f>IF(B$2=0,0,B$4/B$2)</f>
        <v>-5.4820512820512857</v>
      </c>
      <c r="C5" s="161"/>
      <c r="E5" s="59" t="s">
        <v>68</v>
      </c>
      <c r="F5" s="56" t="s">
        <v>12</v>
      </c>
      <c r="G5" s="44">
        <v>52</v>
      </c>
      <c r="H5" s="129">
        <f>IF(B$15=0,0,G5/B$15)</f>
        <v>0.26804123711340205</v>
      </c>
      <c r="I5" s="90">
        <v>12</v>
      </c>
      <c r="K5" s="36">
        <v>3</v>
      </c>
      <c r="L5" s="95">
        <v>-8.3000000000000007</v>
      </c>
      <c r="N5" s="111" t="s">
        <v>133</v>
      </c>
      <c r="O5" s="118">
        <f t="shared" si="0"/>
        <v>-991.304347826087</v>
      </c>
      <c r="P5" s="115">
        <v>69</v>
      </c>
      <c r="Q5" s="99">
        <v>-68400</v>
      </c>
    </row>
    <row r="6" spans="1:17" x14ac:dyDescent="0.45">
      <c r="A6" s="51" t="s">
        <v>1</v>
      </c>
      <c r="B6" s="150">
        <f>IF(B$2=0,0,(B$7*1+B$8*2+B$9*3)/B$2)</f>
        <v>2.1153846153846154</v>
      </c>
      <c r="C6" s="151"/>
      <c r="E6" s="59" t="s">
        <v>64</v>
      </c>
      <c r="F6" s="56" t="s">
        <v>20</v>
      </c>
      <c r="G6" s="44">
        <v>51</v>
      </c>
      <c r="H6" s="129">
        <f>IF(B$15=0,0,G6/B$15)</f>
        <v>0.26288659793814434</v>
      </c>
      <c r="I6" s="90">
        <v>14</v>
      </c>
      <c r="K6" s="36">
        <v>4</v>
      </c>
      <c r="L6" s="95">
        <v>-30.7</v>
      </c>
      <c r="N6" s="111" t="s">
        <v>134</v>
      </c>
      <c r="O6" s="118">
        <f t="shared" si="0"/>
        <v>-83.582089552238813</v>
      </c>
      <c r="P6" s="115">
        <v>67</v>
      </c>
      <c r="Q6" s="99">
        <v>-5600</v>
      </c>
    </row>
    <row r="7" spans="1:17" x14ac:dyDescent="0.45">
      <c r="A7" s="51" t="s">
        <v>2</v>
      </c>
      <c r="B7" s="44">
        <v>25</v>
      </c>
      <c r="C7" s="37">
        <f t="shared" ref="C7:C10" si="1">IF(B$2=0,0,B7/B$2)</f>
        <v>0.32051282051282054</v>
      </c>
      <c r="E7" s="59" t="s">
        <v>67</v>
      </c>
      <c r="F7" s="56" t="s">
        <v>23</v>
      </c>
      <c r="G7" s="44">
        <v>34</v>
      </c>
      <c r="H7" s="129">
        <f>IF(B$15=0,0,G7/B$15)</f>
        <v>0.17525773195876287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-2245.6140350877195</v>
      </c>
      <c r="P7" s="116">
        <v>57</v>
      </c>
      <c r="Q7" s="100">
        <v>-128000</v>
      </c>
    </row>
    <row r="8" spans="1:17" x14ac:dyDescent="0.45">
      <c r="A8" s="51" t="s">
        <v>3</v>
      </c>
      <c r="B8" s="44">
        <v>19</v>
      </c>
      <c r="C8" s="37">
        <f t="shared" si="1"/>
        <v>0.24358974358974358</v>
      </c>
      <c r="E8" s="59" t="s">
        <v>69</v>
      </c>
      <c r="F8" s="56" t="s">
        <v>24</v>
      </c>
      <c r="G8" s="44">
        <v>32</v>
      </c>
      <c r="H8" s="129">
        <f>IF(B$15=0,0,G8/B$15)</f>
        <v>0.16494845360824742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34</v>
      </c>
      <c r="C9" s="38">
        <f t="shared" si="1"/>
        <v>0.4358974358974359</v>
      </c>
      <c r="E9" s="59" t="s">
        <v>70</v>
      </c>
      <c r="F9" s="56" t="s">
        <v>25</v>
      </c>
      <c r="G9" s="44">
        <v>23</v>
      </c>
      <c r="H9" s="129">
        <f>IF(B$15=0,0,G9/B$15)</f>
        <v>0.11855670103092783</v>
      </c>
      <c r="I9" s="90">
        <v>4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</v>
      </c>
      <c r="C10" s="40">
        <f t="shared" si="1"/>
        <v>7.6923076923076927E-2</v>
      </c>
      <c r="E10" s="59" t="s">
        <v>71</v>
      </c>
      <c r="F10" s="56" t="s">
        <v>26</v>
      </c>
      <c r="G10" s="44">
        <v>23</v>
      </c>
      <c r="H10" s="129">
        <f>IF(B$15=0,0,G10/B$15)</f>
        <v>0.11855670103092783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-11.592592592592593</v>
      </c>
      <c r="P10" s="114">
        <v>27</v>
      </c>
      <c r="Q10" s="102">
        <v>-313</v>
      </c>
    </row>
    <row r="11" spans="1:17" x14ac:dyDescent="0.45">
      <c r="A11" s="54" t="s">
        <v>121</v>
      </c>
      <c r="B11" s="47">
        <v>100</v>
      </c>
      <c r="C11" s="42">
        <f>IF(B$3=0,0,B11/B$3)</f>
        <v>0.14347202295552366</v>
      </c>
      <c r="E11" s="59" t="s">
        <v>83</v>
      </c>
      <c r="F11" s="56" t="s">
        <v>38</v>
      </c>
      <c r="G11" s="44">
        <v>18</v>
      </c>
      <c r="H11" s="129">
        <f>IF(B$15=0,0,G11/B$15)</f>
        <v>9.2783505154639179E-2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-5.2208333333333323</v>
      </c>
      <c r="P11" s="115">
        <v>24</v>
      </c>
      <c r="Q11" s="103">
        <v>-125.29999999999998</v>
      </c>
    </row>
    <row r="12" spans="1:17" x14ac:dyDescent="0.45">
      <c r="A12" s="51" t="s">
        <v>118</v>
      </c>
      <c r="B12" s="44">
        <v>178</v>
      </c>
      <c r="C12" s="37">
        <f>IF(B$3=0,0,B12/B$3)</f>
        <v>0.25538020086083213</v>
      </c>
      <c r="E12" s="59" t="s">
        <v>65</v>
      </c>
      <c r="F12" s="56" t="s">
        <v>21</v>
      </c>
      <c r="G12" s="44">
        <v>13</v>
      </c>
      <c r="H12" s="129">
        <f>IF(B$15=0,0,G12/B$15)</f>
        <v>6.7010309278350513E-2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0.39629629629629665</v>
      </c>
      <c r="P12" s="116">
        <v>27</v>
      </c>
      <c r="Q12" s="104">
        <v>10.70000000000001</v>
      </c>
    </row>
    <row r="13" spans="1:17" x14ac:dyDescent="0.45">
      <c r="A13" s="50" t="s">
        <v>123</v>
      </c>
      <c r="B13" s="43">
        <f>B19</f>
        <v>52</v>
      </c>
      <c r="C13" s="35">
        <f>IF(B$11=0,0,B13/B$11)</f>
        <v>0.52</v>
      </c>
      <c r="E13" s="59" t="s">
        <v>89</v>
      </c>
      <c r="F13" s="56" t="s">
        <v>44</v>
      </c>
      <c r="G13" s="44">
        <v>12</v>
      </c>
      <c r="H13" s="129">
        <f>IF(B$15=0,0,G13/B$15)</f>
        <v>6.1855670103092786E-2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74</v>
      </c>
      <c r="C14" s="35">
        <f>IF(B$12=0,0,B14/B$12)</f>
        <v>0.4157303370786517</v>
      </c>
      <c r="E14" s="59" t="s">
        <v>81</v>
      </c>
      <c r="F14" s="56" t="s">
        <v>36</v>
      </c>
      <c r="G14" s="44">
        <v>9</v>
      </c>
      <c r="H14" s="129">
        <f>IF(B$15=0,0,G14/B$15)</f>
        <v>4.6391752577319589E-2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194</v>
      </c>
      <c r="C15" s="35">
        <f>IF(B$3=0,0,B15/B$3)</f>
        <v>0.27833572453371591</v>
      </c>
      <c r="E15" s="59" t="s">
        <v>86</v>
      </c>
      <c r="F15" s="56" t="s">
        <v>41</v>
      </c>
      <c r="G15" s="44">
        <v>5</v>
      </c>
      <c r="H15" s="129">
        <f>IF(B$15=0,0,G15/B$15)</f>
        <v>2.5773195876288658E-2</v>
      </c>
      <c r="I15" s="90">
        <v>10</v>
      </c>
      <c r="K15" s="36">
        <v>13</v>
      </c>
      <c r="L15" s="95">
        <v>-66.2</v>
      </c>
      <c r="N15" s="110" t="s">
        <v>274</v>
      </c>
      <c r="O15" s="120">
        <f t="shared" ref="O15:O23" si="2"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106</v>
      </c>
      <c r="C16" s="37">
        <f>IF(B$3=0,0,B16/B$3)</f>
        <v>0.15208034433285508</v>
      </c>
      <c r="E16" s="59" t="s">
        <v>79</v>
      </c>
      <c r="F16" s="56" t="s">
        <v>34</v>
      </c>
      <c r="G16" s="44">
        <v>4</v>
      </c>
      <c r="H16" s="129">
        <f>IF(B$15=0,0,G16/B$15)</f>
        <v>2.0618556701030927E-2</v>
      </c>
      <c r="I16" s="90">
        <v>4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83</v>
      </c>
      <c r="C17" s="37">
        <f>IF(B$15=0,0,B17/B$15)</f>
        <v>0.42783505154639173</v>
      </c>
      <c r="E17" s="59" t="s">
        <v>91</v>
      </c>
      <c r="F17" s="56" t="s">
        <v>46</v>
      </c>
      <c r="G17" s="44">
        <v>4</v>
      </c>
      <c r="H17" s="129">
        <f>IF(B$15=0,0,G17/B$15)</f>
        <v>2.0618556701030927E-2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 t="shared" si="2"/>
        <v>4.4185185185185185</v>
      </c>
      <c r="P17" s="115">
        <v>27</v>
      </c>
      <c r="Q17" s="103">
        <v>119.3</v>
      </c>
    </row>
    <row r="18" spans="1:17" x14ac:dyDescent="0.45">
      <c r="A18" s="51" t="s">
        <v>11</v>
      </c>
      <c r="B18" s="44">
        <v>111</v>
      </c>
      <c r="C18" s="37">
        <f>IF(B$15=0,0,B18/B$15)</f>
        <v>0.57216494845360821</v>
      </c>
      <c r="E18" s="59" t="s">
        <v>74</v>
      </c>
      <c r="F18" s="56" t="s">
        <v>29</v>
      </c>
      <c r="G18" s="44">
        <v>2</v>
      </c>
      <c r="H18" s="129">
        <f>IF(B$15=0,0,G18/B$15)</f>
        <v>1.0309278350515464E-2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 t="shared" si="2"/>
        <v>-1.4666666666666697</v>
      </c>
      <c r="P18" s="115">
        <v>18</v>
      </c>
      <c r="Q18" s="103">
        <v>-26.400000000000055</v>
      </c>
    </row>
    <row r="19" spans="1:17" x14ac:dyDescent="0.45">
      <c r="A19" s="51" t="s">
        <v>195</v>
      </c>
      <c r="B19" s="44">
        <v>52</v>
      </c>
      <c r="C19" s="37">
        <f>IF(B$15=0,0,B19/B$15)</f>
        <v>0.26804123711340205</v>
      </c>
      <c r="E19" s="59" t="s">
        <v>78</v>
      </c>
      <c r="F19" s="56" t="s">
        <v>33</v>
      </c>
      <c r="G19" s="44">
        <v>2</v>
      </c>
      <c r="H19" s="129">
        <f>IF(B$15=0,0,G19/B$15)</f>
        <v>1.0309278350515464E-2</v>
      </c>
      <c r="I19" s="90">
        <v>8</v>
      </c>
      <c r="K19" s="36">
        <v>17</v>
      </c>
      <c r="L19" s="95">
        <v>-65.2</v>
      </c>
      <c r="N19" s="111" t="s">
        <v>127</v>
      </c>
      <c r="O19" s="121">
        <f t="shared" si="2"/>
        <v>-5.5300000000000011</v>
      </c>
      <c r="P19" s="115">
        <v>30</v>
      </c>
      <c r="Q19" s="103">
        <v>-165.90000000000003</v>
      </c>
    </row>
    <row r="20" spans="1:17" x14ac:dyDescent="0.45">
      <c r="A20" s="51" t="s">
        <v>193</v>
      </c>
      <c r="B20" s="44">
        <v>74</v>
      </c>
      <c r="C20" s="37">
        <f>IF(B$15=0,0,B20/B$15)</f>
        <v>0.38144329896907214</v>
      </c>
      <c r="E20" s="59" t="s">
        <v>88</v>
      </c>
      <c r="F20" s="56" t="s">
        <v>43</v>
      </c>
      <c r="G20" s="44">
        <v>2</v>
      </c>
      <c r="H20" s="129">
        <f>IF(B$15=0,0,G20/B$15)</f>
        <v>1.0309278350515464E-2</v>
      </c>
      <c r="I20" s="90">
        <v>1</v>
      </c>
      <c r="K20" s="36">
        <v>18</v>
      </c>
      <c r="L20" s="95">
        <v>-80.2</v>
      </c>
      <c r="N20" s="111" t="s">
        <v>126</v>
      </c>
      <c r="O20" s="121">
        <f t="shared" si="2"/>
        <v>-12.572222222222225</v>
      </c>
      <c r="P20" s="115">
        <v>36</v>
      </c>
      <c r="Q20" s="103">
        <v>-452.60000000000008</v>
      </c>
    </row>
    <row r="21" spans="1:17" x14ac:dyDescent="0.45">
      <c r="A21" s="51" t="s">
        <v>194</v>
      </c>
      <c r="B21" s="44">
        <v>68</v>
      </c>
      <c r="C21" s="37">
        <f>IF(B$15=0,0,B21/B$15)</f>
        <v>0.35051546391752575</v>
      </c>
      <c r="E21" s="59" t="s">
        <v>93</v>
      </c>
      <c r="F21" s="56" t="s">
        <v>48</v>
      </c>
      <c r="G21" s="44">
        <v>2</v>
      </c>
      <c r="H21" s="129">
        <f>IF(B$15=0,0,G21/B$15)</f>
        <v>1.0309278350515464E-2</v>
      </c>
      <c r="I21" s="90">
        <v>1</v>
      </c>
      <c r="K21" s="36">
        <v>19</v>
      </c>
      <c r="L21" s="95">
        <v>-115.1</v>
      </c>
      <c r="N21" s="111" t="s">
        <v>197</v>
      </c>
      <c r="O21" s="121">
        <f t="shared" si="2"/>
        <v>-18.291666666666664</v>
      </c>
      <c r="P21" s="115">
        <v>12</v>
      </c>
      <c r="Q21" s="103">
        <v>-219.49999999999997</v>
      </c>
    </row>
    <row r="22" spans="1:17" x14ac:dyDescent="0.45">
      <c r="A22" s="51" t="s">
        <v>5</v>
      </c>
      <c r="B22" s="48">
        <f>IF(B$15=0,0,C22/B$15)</f>
        <v>7171.1340206185569</v>
      </c>
      <c r="C22" s="39">
        <v>1391200</v>
      </c>
      <c r="E22" s="59" t="s">
        <v>75</v>
      </c>
      <c r="F22" s="56" t="s">
        <v>30</v>
      </c>
      <c r="G22" s="44">
        <v>1</v>
      </c>
      <c r="H22" s="129">
        <f>IF(B$15=0,0,G22/B$15)</f>
        <v>5.1546391752577319E-3</v>
      </c>
      <c r="I22" s="90">
        <v>8</v>
      </c>
      <c r="K22" s="36">
        <v>20</v>
      </c>
      <c r="L22" s="95">
        <v>-88.8</v>
      </c>
      <c r="N22" s="111" t="s">
        <v>170</v>
      </c>
      <c r="O22" s="121">
        <f t="shared" si="2"/>
        <v>-31.130434782608695</v>
      </c>
      <c r="P22" s="115">
        <v>23</v>
      </c>
      <c r="Q22" s="103">
        <v>-716</v>
      </c>
    </row>
    <row r="23" spans="1:17" x14ac:dyDescent="0.45">
      <c r="A23" s="52" t="s">
        <v>177</v>
      </c>
      <c r="B23" s="136">
        <f>IF($B$15-B$14=0,0,C23/($B$15-B$14))</f>
        <v>7721.666666666667</v>
      </c>
      <c r="C23" s="137">
        <v>926600</v>
      </c>
      <c r="E23" s="59" t="s">
        <v>77</v>
      </c>
      <c r="F23" s="56" t="s">
        <v>32</v>
      </c>
      <c r="G23" s="44">
        <v>1</v>
      </c>
      <c r="H23" s="129">
        <f>IF(B$15=0,0,G23/B$15)</f>
        <v>5.1546391752577319E-3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 t="shared" si="2"/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6278.3783783783783</v>
      </c>
      <c r="C24" s="137">
        <v>464600</v>
      </c>
      <c r="E24" s="59" t="s">
        <v>84</v>
      </c>
      <c r="F24" s="56" t="s">
        <v>39</v>
      </c>
      <c r="G24" s="44">
        <v>1</v>
      </c>
      <c r="H24" s="129">
        <f>IF(B$15=0,0,G24/B$15)</f>
        <v>5.1546391752577319E-3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-7918.867924528302</v>
      </c>
      <c r="C25" s="137">
        <v>-839400</v>
      </c>
      <c r="E25" s="59" t="s">
        <v>87</v>
      </c>
      <c r="F25" s="56" t="s">
        <v>42</v>
      </c>
      <c r="G25" s="44">
        <v>1</v>
      </c>
      <c r="H25" s="129">
        <f>IF(B$15=0,0,G25/B$15)</f>
        <v>5.1546391752577319E-3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5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8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2.8694404591104736E-3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27</v>
      </c>
      <c r="C32" s="141">
        <f>IF(B$15=0,0,B32/B$15)</f>
        <v>0.13917525773195877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38</v>
      </c>
      <c r="C33" s="37">
        <f t="shared" ref="C33:C44" si="3">IF(B$15=0,0,B33/B$15)</f>
        <v>0.19587628865979381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41</v>
      </c>
      <c r="C34" s="37">
        <f>IF(B$15=0,0,B34/B$15)</f>
        <v>0.21134020618556701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32</v>
      </c>
      <c r="C35" s="37">
        <f t="shared" si="3"/>
        <v>0.16494845360824742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20</v>
      </c>
      <c r="C36" s="37">
        <f t="shared" si="3"/>
        <v>0.10309278350515463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16</v>
      </c>
      <c r="C37" s="37">
        <f t="shared" si="3"/>
        <v>8.247422680412371E-2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11</v>
      </c>
      <c r="C38" s="37">
        <f t="shared" si="3"/>
        <v>5.6701030927835051E-2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3"/>
        <v>3.0927835051546393E-2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3"/>
        <v>5.1546391752577319E-3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3"/>
        <v>1.0309278350515464E-2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  <row r="78" spans="11:12" x14ac:dyDescent="0.45">
      <c r="K78" s="36">
        <v>76</v>
      </c>
      <c r="L78" s="95">
        <v>-520.50000000000023</v>
      </c>
    </row>
    <row r="79" spans="11:12" x14ac:dyDescent="0.45">
      <c r="K79" s="36">
        <v>77</v>
      </c>
      <c r="L79" s="95">
        <v>-490.00000000000023</v>
      </c>
    </row>
    <row r="80" spans="11:12" x14ac:dyDescent="0.45">
      <c r="K80" s="36">
        <v>78</v>
      </c>
      <c r="L80" s="95">
        <v>-427.60000000000025</v>
      </c>
    </row>
  </sheetData>
  <sortState xmlns:xlrd2="http://schemas.microsoft.com/office/spreadsheetml/2017/richdata2" ref="E2:I81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E4EF-9CC7-4B01-BCDE-8541105FEBD1}">
  <sheetPr codeName="Sheet9"/>
  <dimension ref="A1:Q17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168</v>
      </c>
      <c r="C2" s="155"/>
      <c r="E2" s="58" t="s">
        <v>66</v>
      </c>
      <c r="F2" s="55" t="s">
        <v>22</v>
      </c>
      <c r="G2" s="43">
        <v>316</v>
      </c>
      <c r="H2" s="128">
        <f>IF(B$15=0,0,G2/B$15)</f>
        <v>0.66807610993657507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1234.131736526946</v>
      </c>
      <c r="P2" s="114">
        <v>167</v>
      </c>
      <c r="Q2" s="98">
        <v>206100</v>
      </c>
    </row>
    <row r="3" spans="1:17" x14ac:dyDescent="0.45">
      <c r="A3" s="51" t="s">
        <v>8</v>
      </c>
      <c r="B3" s="156">
        <v>1377</v>
      </c>
      <c r="C3" s="157"/>
      <c r="E3" s="59" t="s">
        <v>72</v>
      </c>
      <c r="F3" s="56" t="s">
        <v>27</v>
      </c>
      <c r="G3" s="44">
        <v>249</v>
      </c>
      <c r="H3" s="129">
        <f>IF(B$15=0,0,G3/B$15)</f>
        <v>0.52642706131078221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978.65853658536582</v>
      </c>
      <c r="P3" s="115">
        <v>164</v>
      </c>
      <c r="Q3" s="99">
        <v>160500</v>
      </c>
    </row>
    <row r="4" spans="1:17" x14ac:dyDescent="0.45">
      <c r="A4" s="51" t="s">
        <v>6</v>
      </c>
      <c r="B4" s="158">
        <v>1434.6</v>
      </c>
      <c r="C4" s="159"/>
      <c r="E4" s="59" t="s">
        <v>64</v>
      </c>
      <c r="F4" s="56" t="s">
        <v>20</v>
      </c>
      <c r="G4" s="44">
        <v>208</v>
      </c>
      <c r="H4" s="129">
        <f>IF(B$15=0,0,G4/B$15)</f>
        <v>0.43974630021141647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957.59493670886081</v>
      </c>
      <c r="P4" s="115">
        <v>158</v>
      </c>
      <c r="Q4" s="99">
        <v>151300</v>
      </c>
    </row>
    <row r="5" spans="1:17" x14ac:dyDescent="0.45">
      <c r="A5" s="51" t="s">
        <v>7</v>
      </c>
      <c r="B5" s="160">
        <f>IF(B$2=0,0,B$4/B$2)</f>
        <v>8.5392857142857146</v>
      </c>
      <c r="C5" s="161"/>
      <c r="E5" s="59" t="s">
        <v>166</v>
      </c>
      <c r="F5" s="56" t="s">
        <v>167</v>
      </c>
      <c r="G5" s="44">
        <v>181</v>
      </c>
      <c r="H5" s="129">
        <f>IF(B$15=0,0,G5/B$15)</f>
        <v>0.38266384778012685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418.36734693877548</v>
      </c>
      <c r="P5" s="115">
        <v>147</v>
      </c>
      <c r="Q5" s="99">
        <v>61500</v>
      </c>
    </row>
    <row r="6" spans="1:17" x14ac:dyDescent="0.45">
      <c r="A6" s="51" t="s">
        <v>1</v>
      </c>
      <c r="B6" s="150">
        <f>IF(B$2=0,0,(B$7*1+B$8*2+B$9*3)/B$2)</f>
        <v>1.7857142857142858</v>
      </c>
      <c r="C6" s="151"/>
      <c r="E6" s="59" t="s">
        <v>68</v>
      </c>
      <c r="F6" s="56" t="s">
        <v>12</v>
      </c>
      <c r="G6" s="44">
        <v>130</v>
      </c>
      <c r="H6" s="129">
        <f>IF(B$15=0,0,G6/B$15)</f>
        <v>0.27484143763213531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1827.2058823529412</v>
      </c>
      <c r="P6" s="115">
        <v>136</v>
      </c>
      <c r="Q6" s="99">
        <v>248500</v>
      </c>
    </row>
    <row r="7" spans="1:17" x14ac:dyDescent="0.45">
      <c r="A7" s="51" t="s">
        <v>2</v>
      </c>
      <c r="B7" s="44">
        <v>78</v>
      </c>
      <c r="C7" s="37">
        <f t="shared" ref="C7:C10" si="1">IF(B$2=0,0,B7/B$2)</f>
        <v>0.4642857142857143</v>
      </c>
      <c r="E7" s="59" t="s">
        <v>67</v>
      </c>
      <c r="F7" s="56" t="s">
        <v>23</v>
      </c>
      <c r="G7" s="44">
        <v>116</v>
      </c>
      <c r="H7" s="129">
        <f>IF(B$15=0,0,G7/B$15)</f>
        <v>0.2452431289640592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1834.2342342342342</v>
      </c>
      <c r="P7" s="116">
        <v>111</v>
      </c>
      <c r="Q7" s="100">
        <v>203600</v>
      </c>
    </row>
    <row r="8" spans="1:17" x14ac:dyDescent="0.45">
      <c r="A8" s="51" t="s">
        <v>3</v>
      </c>
      <c r="B8" s="44">
        <v>48</v>
      </c>
      <c r="C8" s="37">
        <f t="shared" si="1"/>
        <v>0.2857142857142857</v>
      </c>
      <c r="E8" s="59" t="s">
        <v>89</v>
      </c>
      <c r="F8" s="56" t="s">
        <v>44</v>
      </c>
      <c r="G8" s="44">
        <v>69</v>
      </c>
      <c r="H8" s="129">
        <f>IF(B$15=0,0,G8/B$15)</f>
        <v>0.14587737843551796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42</v>
      </c>
      <c r="C9" s="38">
        <f t="shared" si="1"/>
        <v>0.25</v>
      </c>
      <c r="E9" s="59" t="s">
        <v>69</v>
      </c>
      <c r="F9" s="56" t="s">
        <v>24</v>
      </c>
      <c r="G9" s="44">
        <v>59</v>
      </c>
      <c r="H9" s="129">
        <f>IF(B$15=0,0,G9/B$15)</f>
        <v>0.12473572938689217</v>
      </c>
      <c r="I9" s="90">
        <v>10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4.7619047619047616E-2</v>
      </c>
      <c r="E10" s="59" t="s">
        <v>65</v>
      </c>
      <c r="F10" s="56" t="s">
        <v>21</v>
      </c>
      <c r="G10" s="44">
        <v>53</v>
      </c>
      <c r="H10" s="129">
        <f>IF(B$15=0,0,G10/B$15)</f>
        <v>0.11205073995771671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13.322916666666663</v>
      </c>
      <c r="P10" s="114">
        <v>48</v>
      </c>
      <c r="Q10" s="102">
        <v>639.49999999999977</v>
      </c>
    </row>
    <row r="11" spans="1:17" x14ac:dyDescent="0.45">
      <c r="A11" s="54" t="s">
        <v>121</v>
      </c>
      <c r="B11" s="47">
        <v>363</v>
      </c>
      <c r="C11" s="42">
        <f>IF(B$3=0,0,B11/B$3)</f>
        <v>0.26361655773420478</v>
      </c>
      <c r="E11" s="59" t="s">
        <v>71</v>
      </c>
      <c r="F11" s="56" t="s">
        <v>26</v>
      </c>
      <c r="G11" s="44">
        <v>34</v>
      </c>
      <c r="H11" s="129">
        <f>IF(B$15=0,0,G11/B$15)</f>
        <v>7.1881606765327691E-2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3.3803571428571422</v>
      </c>
      <c r="P11" s="115">
        <v>56</v>
      </c>
      <c r="Q11" s="103">
        <v>189.29999999999995</v>
      </c>
    </row>
    <row r="12" spans="1:17" x14ac:dyDescent="0.45">
      <c r="A12" s="51" t="s">
        <v>118</v>
      </c>
      <c r="B12" s="44">
        <v>324</v>
      </c>
      <c r="C12" s="37">
        <f>IF(B$3=0,0,B12/B$3)</f>
        <v>0.23529411764705882</v>
      </c>
      <c r="E12" s="59" t="s">
        <v>86</v>
      </c>
      <c r="F12" s="56" t="s">
        <v>41</v>
      </c>
      <c r="G12" s="44">
        <v>32</v>
      </c>
      <c r="H12" s="129">
        <f>IF(B$15=0,0,G12/B$15)</f>
        <v>6.765327695560254E-2</v>
      </c>
      <c r="I12" s="90">
        <v>1</v>
      </c>
      <c r="K12" s="36">
        <v>10</v>
      </c>
      <c r="L12" s="95">
        <v>158.19999999999999</v>
      </c>
      <c r="N12" s="112" t="s">
        <v>159</v>
      </c>
      <c r="O12" s="122">
        <f>IF(P12=0,0,Q12/P12)</f>
        <v>9.4656249999999975</v>
      </c>
      <c r="P12" s="116">
        <v>64</v>
      </c>
      <c r="Q12" s="104">
        <v>605.79999999999984</v>
      </c>
    </row>
    <row r="13" spans="1:17" x14ac:dyDescent="0.45">
      <c r="A13" s="50" t="s">
        <v>123</v>
      </c>
      <c r="B13" s="43">
        <f>B19</f>
        <v>218</v>
      </c>
      <c r="C13" s="35">
        <f>IF(B$11=0,0,B13/B$11)</f>
        <v>0.60055096418732778</v>
      </c>
      <c r="E13" s="59" t="s">
        <v>70</v>
      </c>
      <c r="F13" s="56" t="s">
        <v>25</v>
      </c>
      <c r="G13" s="44">
        <v>26</v>
      </c>
      <c r="H13" s="129">
        <f>IF(B$15=0,0,G13/B$15)</f>
        <v>5.4968287526427059E-2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159</v>
      </c>
      <c r="C14" s="35">
        <f>IF(B$12=0,0,B14/B$12)</f>
        <v>0.49074074074074076</v>
      </c>
      <c r="E14" s="59" t="s">
        <v>83</v>
      </c>
      <c r="F14" s="56" t="s">
        <v>38</v>
      </c>
      <c r="G14" s="44">
        <v>23</v>
      </c>
      <c r="H14" s="129">
        <f>IF(B$15=0,0,G14/B$15)</f>
        <v>4.8625792811839326E-2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473</v>
      </c>
      <c r="C15" s="35">
        <f>IF(B$3=0,0,B15/B$3)</f>
        <v>0.34350036310820625</v>
      </c>
      <c r="E15" s="59" t="s">
        <v>78</v>
      </c>
      <c r="F15" s="56" t="s">
        <v>33</v>
      </c>
      <c r="G15" s="44">
        <v>20</v>
      </c>
      <c r="H15" s="129">
        <f>IF(B$15=0,0,G15/B$15)</f>
        <v>4.2283298097251586E-2</v>
      </c>
      <c r="I15" s="90">
        <v>3</v>
      </c>
      <c r="K15" s="36">
        <v>13</v>
      </c>
      <c r="L15" s="95">
        <v>206.39999999999998</v>
      </c>
      <c r="N15" s="110" t="s">
        <v>274</v>
      </c>
      <c r="O15" s="120">
        <f>IF(P15=0,0,Q15/P15)</f>
        <v>49.766666666666659</v>
      </c>
      <c r="P15" s="114">
        <v>3</v>
      </c>
      <c r="Q15" s="102">
        <v>149.29999999999998</v>
      </c>
    </row>
    <row r="16" spans="1:17" x14ac:dyDescent="0.45">
      <c r="A16" s="51" t="s">
        <v>13</v>
      </c>
      <c r="B16" s="44">
        <v>180</v>
      </c>
      <c r="C16" s="37">
        <f>IF(B$3=0,0,B16/B$3)</f>
        <v>0.13071895424836602</v>
      </c>
      <c r="E16" s="59" t="s">
        <v>162</v>
      </c>
      <c r="F16" s="56" t="s">
        <v>163</v>
      </c>
      <c r="G16" s="44">
        <v>13</v>
      </c>
      <c r="H16" s="129">
        <f>IF(B$15=0,0,G16/B$15)</f>
        <v>2.748414376321353E-2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39.662500000000009</v>
      </c>
      <c r="P16" s="115">
        <v>8</v>
      </c>
      <c r="Q16" s="103">
        <v>317.30000000000007</v>
      </c>
    </row>
    <row r="17" spans="1:17" x14ac:dyDescent="0.45">
      <c r="A17" s="51" t="s">
        <v>12</v>
      </c>
      <c r="B17" s="44">
        <v>200</v>
      </c>
      <c r="C17" s="37">
        <f>IF(B$15=0,0,B17/B$15)</f>
        <v>0.42283298097251587</v>
      </c>
      <c r="E17" s="59" t="s">
        <v>81</v>
      </c>
      <c r="F17" s="56" t="s">
        <v>36</v>
      </c>
      <c r="G17" s="44">
        <v>6</v>
      </c>
      <c r="H17" s="129">
        <f>IF(B$15=0,0,G17/B$15)</f>
        <v>1.2684989429175475E-2</v>
      </c>
      <c r="I17" s="90">
        <v>10</v>
      </c>
      <c r="K17" s="36">
        <v>15</v>
      </c>
      <c r="L17" s="95">
        <v>269.49999999999994</v>
      </c>
      <c r="N17" s="111" t="s">
        <v>197</v>
      </c>
      <c r="O17" s="121">
        <f>IF(P17=0,0,Q17/P17)</f>
        <v>26.642105263157898</v>
      </c>
      <c r="P17" s="115">
        <v>19</v>
      </c>
      <c r="Q17" s="103">
        <v>506.20000000000005</v>
      </c>
    </row>
    <row r="18" spans="1:17" x14ac:dyDescent="0.45">
      <c r="A18" s="51" t="s">
        <v>11</v>
      </c>
      <c r="B18" s="44">
        <v>273</v>
      </c>
      <c r="C18" s="37">
        <f>IF(B$15=0,0,B18/B$15)</f>
        <v>0.57716701902748413</v>
      </c>
      <c r="E18" s="59" t="s">
        <v>91</v>
      </c>
      <c r="F18" s="56" t="s">
        <v>46</v>
      </c>
      <c r="G18" s="44">
        <v>6</v>
      </c>
      <c r="H18" s="129">
        <f>IF(B$15=0,0,G18/B$15)</f>
        <v>1.2684989429175475E-2</v>
      </c>
      <c r="I18" s="90">
        <v>7</v>
      </c>
      <c r="K18" s="36">
        <v>16</v>
      </c>
      <c r="L18" s="95">
        <v>323.69999999999993</v>
      </c>
      <c r="N18" s="111" t="s">
        <v>171</v>
      </c>
      <c r="O18" s="121">
        <f>IF(P18=0,0,Q18/P18)</f>
        <v>13.875</v>
      </c>
      <c r="P18" s="115">
        <v>60</v>
      </c>
      <c r="Q18" s="103">
        <v>832.5</v>
      </c>
    </row>
    <row r="19" spans="1:17" x14ac:dyDescent="0.45">
      <c r="A19" s="51" t="s">
        <v>195</v>
      </c>
      <c r="B19" s="44">
        <v>218</v>
      </c>
      <c r="C19" s="37">
        <f>IF(B$15=0,0,B19/B$15)</f>
        <v>0.46088794926004228</v>
      </c>
      <c r="E19" s="59" t="s">
        <v>75</v>
      </c>
      <c r="F19" s="56" t="s">
        <v>30</v>
      </c>
      <c r="G19" s="44">
        <v>5</v>
      </c>
      <c r="H19" s="129">
        <f>IF(B$15=0,0,G19/B$15)</f>
        <v>1.0570824524312896E-2</v>
      </c>
      <c r="I19" s="90">
        <v>4</v>
      </c>
      <c r="K19" s="36">
        <v>17</v>
      </c>
      <c r="L19" s="95">
        <v>359.09999999999991</v>
      </c>
      <c r="N19" s="111" t="s">
        <v>172</v>
      </c>
      <c r="O19" s="121">
        <f>IF(P19=0,0,Q19/P19)</f>
        <v>13.408474576271187</v>
      </c>
      <c r="P19" s="115">
        <v>59</v>
      </c>
      <c r="Q19" s="103">
        <v>791.1</v>
      </c>
    </row>
    <row r="20" spans="1:17" x14ac:dyDescent="0.45">
      <c r="A20" s="51" t="s">
        <v>193</v>
      </c>
      <c r="B20" s="44">
        <v>159</v>
      </c>
      <c r="C20" s="37">
        <f>IF(B$15=0,0,B20/B$15)</f>
        <v>0.33615221987315008</v>
      </c>
      <c r="E20" s="59" t="s">
        <v>79</v>
      </c>
      <c r="F20" s="56" t="s">
        <v>34</v>
      </c>
      <c r="G20" s="44">
        <v>4</v>
      </c>
      <c r="H20" s="129">
        <f>IF(B$15=0,0,G20/B$15)</f>
        <v>8.4566596194503175E-3</v>
      </c>
      <c r="I20" s="90">
        <v>8</v>
      </c>
      <c r="K20" s="36">
        <v>18</v>
      </c>
      <c r="L20" s="95">
        <v>352.39999999999992</v>
      </c>
      <c r="N20" s="111" t="s">
        <v>161</v>
      </c>
      <c r="O20" s="121">
        <f>IF(P20=0,0,Q20/P20)</f>
        <v>13.075675675675678</v>
      </c>
      <c r="P20" s="115">
        <v>37</v>
      </c>
      <c r="Q20" s="103">
        <v>483.80000000000007</v>
      </c>
    </row>
    <row r="21" spans="1:17" x14ac:dyDescent="0.45">
      <c r="A21" s="51" t="s">
        <v>194</v>
      </c>
      <c r="B21" s="44">
        <v>96</v>
      </c>
      <c r="C21" s="37">
        <f>IF(B$15=0,0,B21/B$15)</f>
        <v>0.20295983086680761</v>
      </c>
      <c r="E21" s="59" t="s">
        <v>85</v>
      </c>
      <c r="F21" s="56" t="s">
        <v>40</v>
      </c>
      <c r="G21" s="44">
        <v>4</v>
      </c>
      <c r="H21" s="129">
        <f>IF(B$15=0,0,G21/B$15)</f>
        <v>8.4566596194503175E-3</v>
      </c>
      <c r="I21" s="90">
        <v>5</v>
      </c>
      <c r="K21" s="36">
        <v>19</v>
      </c>
      <c r="L21" s="95">
        <v>383.19999999999993</v>
      </c>
      <c r="N21" s="111" t="s">
        <v>127</v>
      </c>
      <c r="O21" s="121">
        <f>IF(P21=0,0,Q21/P21)</f>
        <v>12.382999999999999</v>
      </c>
      <c r="P21" s="115">
        <v>100</v>
      </c>
      <c r="Q21" s="103">
        <v>1238.3</v>
      </c>
    </row>
    <row r="22" spans="1:17" x14ac:dyDescent="0.45">
      <c r="A22" s="51" t="s">
        <v>5</v>
      </c>
      <c r="B22" s="48">
        <f>IF(B$15=0,0,C22/B$15)</f>
        <v>8142.2832980972516</v>
      </c>
      <c r="C22" s="39">
        <v>3851300</v>
      </c>
      <c r="E22" s="59" t="s">
        <v>77</v>
      </c>
      <c r="F22" s="56" t="s">
        <v>32</v>
      </c>
      <c r="G22" s="44">
        <v>3</v>
      </c>
      <c r="H22" s="129">
        <f>IF(B$15=0,0,G22/B$15)</f>
        <v>6.3424947145877377E-3</v>
      </c>
      <c r="I22" s="90">
        <v>1</v>
      </c>
      <c r="K22" s="36">
        <v>20</v>
      </c>
      <c r="L22" s="95">
        <v>365.49999999999994</v>
      </c>
      <c r="N22" s="111" t="s">
        <v>170</v>
      </c>
      <c r="O22" s="121">
        <f>IF(P22=0,0,Q22/P22)</f>
        <v>1.1387755102040824</v>
      </c>
      <c r="P22" s="115">
        <v>49</v>
      </c>
      <c r="Q22" s="103">
        <v>55.80000000000004</v>
      </c>
    </row>
    <row r="23" spans="1:17" x14ac:dyDescent="0.45">
      <c r="A23" s="52" t="s">
        <v>177</v>
      </c>
      <c r="B23" s="136">
        <f>IF($B$15-B$14=0,0,C23/($B$15-B$14))</f>
        <v>8582.4840764331202</v>
      </c>
      <c r="C23" s="137">
        <v>2694900</v>
      </c>
      <c r="E23" s="59" t="s">
        <v>84</v>
      </c>
      <c r="F23" s="56" t="s">
        <v>39</v>
      </c>
      <c r="G23" s="44">
        <v>3</v>
      </c>
      <c r="H23" s="129">
        <f>IF(B$15=0,0,G23/B$15)</f>
        <v>6.3424947145877377E-3</v>
      </c>
      <c r="I23" s="90">
        <v>2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7272.9559748427673</v>
      </c>
      <c r="C24" s="137">
        <v>1156400</v>
      </c>
      <c r="E24" s="59" t="s">
        <v>92</v>
      </c>
      <c r="F24" s="56" t="s">
        <v>47</v>
      </c>
      <c r="G24" s="44">
        <v>3</v>
      </c>
      <c r="H24" s="129">
        <f>IF(B$15=0,0,G24/B$15)</f>
        <v>6.3424947145877377E-3</v>
      </c>
      <c r="I24" s="90">
        <v>4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-7693.8888888888887</v>
      </c>
      <c r="C25" s="137">
        <v>-1384900</v>
      </c>
      <c r="E25" s="59" t="s">
        <v>74</v>
      </c>
      <c r="F25" s="56" t="s">
        <v>29</v>
      </c>
      <c r="G25" s="44">
        <v>2</v>
      </c>
      <c r="H25" s="129">
        <f>IF(B$15=0,0,G25/B$15)</f>
        <v>4.2283298097251587E-3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3</v>
      </c>
      <c r="E26" s="59" t="s">
        <v>88</v>
      </c>
      <c r="F26" s="56" t="s">
        <v>43</v>
      </c>
      <c r="G26" s="44">
        <v>2</v>
      </c>
      <c r="H26" s="129">
        <f>IF(B$15=0,0,G26/B$15)</f>
        <v>4.2283298097251587E-3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3</v>
      </c>
      <c r="E27" s="59" t="s">
        <v>95</v>
      </c>
      <c r="F27" s="56" t="s">
        <v>50</v>
      </c>
      <c r="G27" s="44">
        <v>2</v>
      </c>
      <c r="H27" s="129">
        <f>IF(B$15=0,0,G27/B$15)</f>
        <v>4.2283298097251587E-3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2.1141649048625794E-3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2.1141649048625794E-3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7.2621641249092229E-4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45</v>
      </c>
      <c r="C32" s="141">
        <f>IF(B$15=0,0,B32/B$15)</f>
        <v>9.5137420718816063E-2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88</v>
      </c>
      <c r="C33" s="37">
        <f t="shared" ref="C33:C44" si="2">IF(B$15=0,0,B33/B$15)</f>
        <v>0.18604651162790697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95</v>
      </c>
      <c r="C34" s="37">
        <f>IF(B$15=0,0,B34/B$15)</f>
        <v>0.20084566596194503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84</v>
      </c>
      <c r="C35" s="37">
        <f t="shared" si="2"/>
        <v>0.17758985200845667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67</v>
      </c>
      <c r="C36" s="37">
        <f t="shared" si="2"/>
        <v>0.14164904862579281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43</v>
      </c>
      <c r="C37" s="37">
        <f t="shared" si="2"/>
        <v>9.0909090909090912E-2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24</v>
      </c>
      <c r="C38" s="37">
        <f t="shared" si="2"/>
        <v>5.0739957716701901E-2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8</v>
      </c>
      <c r="C39" s="37">
        <f t="shared" si="2"/>
        <v>1.6913319238900635E-2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10</v>
      </c>
      <c r="C40" s="37">
        <f t="shared" si="2"/>
        <v>2.1141649048625793E-2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2</v>
      </c>
      <c r="C41" s="37">
        <f t="shared" si="2"/>
        <v>4.2283298097251587E-3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2.1141649048625794E-3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6</v>
      </c>
      <c r="C44" s="40">
        <f t="shared" si="2"/>
        <v>1.2684989429175475E-2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  <row r="168" spans="11:12" x14ac:dyDescent="0.45">
      <c r="K168" s="36">
        <v>166</v>
      </c>
      <c r="L168" s="95">
        <v>1454.5</v>
      </c>
    </row>
    <row r="169" spans="11:12" x14ac:dyDescent="0.45">
      <c r="K169" s="36">
        <v>167</v>
      </c>
      <c r="L169" s="95">
        <v>1408.3</v>
      </c>
    </row>
    <row r="170" spans="11:12" x14ac:dyDescent="0.45">
      <c r="K170" s="36">
        <v>168</v>
      </c>
      <c r="L170" s="95">
        <v>1434.6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58BD-7ADD-4470-B658-64B4471980A9}">
  <sheetPr codeName="Sheet11"/>
  <dimension ref="A1:Q15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149</v>
      </c>
      <c r="C2" s="155"/>
      <c r="E2" s="58" t="s">
        <v>66</v>
      </c>
      <c r="F2" s="55" t="s">
        <v>22</v>
      </c>
      <c r="G2" s="43">
        <v>302</v>
      </c>
      <c r="H2" s="128">
        <f>IF(B$15=0,0,G2/B$15)</f>
        <v>0.79265091863517056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-1243.2432432432433</v>
      </c>
      <c r="P2" s="114">
        <v>148</v>
      </c>
      <c r="Q2" s="98">
        <v>-184000</v>
      </c>
    </row>
    <row r="3" spans="1:17" x14ac:dyDescent="0.45">
      <c r="A3" s="51" t="s">
        <v>8</v>
      </c>
      <c r="B3" s="156">
        <v>1242</v>
      </c>
      <c r="C3" s="157"/>
      <c r="E3" s="59" t="s">
        <v>72</v>
      </c>
      <c r="F3" s="56" t="s">
        <v>27</v>
      </c>
      <c r="G3" s="44">
        <v>210</v>
      </c>
      <c r="H3" s="129">
        <f>IF(B$15=0,0,G3/B$15)</f>
        <v>0.55118110236220474</v>
      </c>
      <c r="I3" s="90">
        <v>6</v>
      </c>
      <c r="K3" s="36">
        <v>1</v>
      </c>
      <c r="L3" s="95">
        <v>-45.6</v>
      </c>
      <c r="N3" s="111" t="s">
        <v>131</v>
      </c>
      <c r="O3" s="118">
        <f t="shared" si="0"/>
        <v>1362.3287671232877</v>
      </c>
      <c r="P3" s="115">
        <v>146</v>
      </c>
      <c r="Q3" s="99">
        <v>198900</v>
      </c>
    </row>
    <row r="4" spans="1:17" x14ac:dyDescent="0.45">
      <c r="A4" s="51" t="s">
        <v>6</v>
      </c>
      <c r="B4" s="158">
        <v>20.499999999999815</v>
      </c>
      <c r="C4" s="159"/>
      <c r="E4" s="59" t="s">
        <v>64</v>
      </c>
      <c r="F4" s="56" t="s">
        <v>20</v>
      </c>
      <c r="G4" s="44">
        <v>147</v>
      </c>
      <c r="H4" s="129">
        <f>IF(B$15=0,0,G4/B$15)</f>
        <v>0.38582677165354329</v>
      </c>
      <c r="I4" s="90">
        <v>12</v>
      </c>
      <c r="K4" s="36">
        <v>2</v>
      </c>
      <c r="L4" s="95">
        <v>-34.299999999999997</v>
      </c>
      <c r="N4" s="111" t="s">
        <v>132</v>
      </c>
      <c r="O4" s="118">
        <f t="shared" si="0"/>
        <v>-332.59259259259261</v>
      </c>
      <c r="P4" s="115">
        <v>135</v>
      </c>
      <c r="Q4" s="99">
        <v>-44900</v>
      </c>
    </row>
    <row r="5" spans="1:17" x14ac:dyDescent="0.45">
      <c r="A5" s="51" t="s">
        <v>7</v>
      </c>
      <c r="B5" s="160">
        <f>IF(B$2=0,0,B$4/B$2)</f>
        <v>0.13758389261744841</v>
      </c>
      <c r="C5" s="161"/>
      <c r="E5" s="59" t="s">
        <v>166</v>
      </c>
      <c r="F5" s="56" t="s">
        <v>167</v>
      </c>
      <c r="G5" s="44">
        <v>147</v>
      </c>
      <c r="H5" s="129">
        <f>IF(B$15=0,0,G5/B$15)</f>
        <v>0.38582677165354329</v>
      </c>
      <c r="I5" s="90">
        <v>6</v>
      </c>
      <c r="K5" s="36">
        <v>3</v>
      </c>
      <c r="L5" s="95">
        <v>-58.599999999999994</v>
      </c>
      <c r="N5" s="111" t="s">
        <v>133</v>
      </c>
      <c r="O5" s="118">
        <f t="shared" si="0"/>
        <v>218.75</v>
      </c>
      <c r="P5" s="115">
        <v>128</v>
      </c>
      <c r="Q5" s="99">
        <v>28000</v>
      </c>
    </row>
    <row r="6" spans="1:17" x14ac:dyDescent="0.45">
      <c r="A6" s="51" t="s">
        <v>1</v>
      </c>
      <c r="B6" s="150">
        <f>IF(B$2=0,0,(B$7*1+B$8*2+B$9*3)/B$2)</f>
        <v>1.9731543624161074</v>
      </c>
      <c r="C6" s="151"/>
      <c r="E6" s="59" t="s">
        <v>68</v>
      </c>
      <c r="F6" s="56" t="s">
        <v>12</v>
      </c>
      <c r="G6" s="44">
        <v>107</v>
      </c>
      <c r="H6" s="129">
        <f>IF(B$15=0,0,G6/B$15)</f>
        <v>0.28083989501312334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-1024.1379310344828</v>
      </c>
      <c r="P6" s="115">
        <v>116</v>
      </c>
      <c r="Q6" s="99">
        <v>-118800</v>
      </c>
    </row>
    <row r="7" spans="1:17" x14ac:dyDescent="0.45">
      <c r="A7" s="51" t="s">
        <v>2</v>
      </c>
      <c r="B7" s="44">
        <v>51</v>
      </c>
      <c r="C7" s="37">
        <f t="shared" ref="C7:C10" si="1">IF(B$2=0,0,B7/B$2)</f>
        <v>0.34228187919463088</v>
      </c>
      <c r="E7" s="59" t="s">
        <v>67</v>
      </c>
      <c r="F7" s="56" t="s">
        <v>23</v>
      </c>
      <c r="G7" s="44">
        <v>82</v>
      </c>
      <c r="H7" s="129">
        <f>IF(B$15=0,0,G7/B$15)</f>
        <v>0.21522309711286089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1340.2061855670104</v>
      </c>
      <c r="P7" s="116">
        <v>97</v>
      </c>
      <c r="Q7" s="100">
        <v>130000</v>
      </c>
    </row>
    <row r="8" spans="1:17" x14ac:dyDescent="0.45">
      <c r="A8" s="51" t="s">
        <v>3</v>
      </c>
      <c r="B8" s="44">
        <v>51</v>
      </c>
      <c r="C8" s="37">
        <f t="shared" si="1"/>
        <v>0.34228187919463088</v>
      </c>
      <c r="E8" s="59" t="s">
        <v>69</v>
      </c>
      <c r="F8" s="56" t="s">
        <v>24</v>
      </c>
      <c r="G8" s="44">
        <v>48</v>
      </c>
      <c r="H8" s="129">
        <f>IF(B$15=0,0,G8/B$15)</f>
        <v>0.12598425196850394</v>
      </c>
      <c r="I8" s="90">
        <v>9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47</v>
      </c>
      <c r="C9" s="38">
        <f t="shared" si="1"/>
        <v>0.31543624161073824</v>
      </c>
      <c r="E9" s="59" t="s">
        <v>89</v>
      </c>
      <c r="F9" s="56" t="s">
        <v>44</v>
      </c>
      <c r="G9" s="44">
        <v>43</v>
      </c>
      <c r="H9" s="129">
        <f>IF(B$15=0,0,G9/B$15)</f>
        <v>0.11286089238845144</v>
      </c>
      <c r="I9" s="90">
        <v>9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0.12080536912751678</v>
      </c>
      <c r="E10" s="59" t="s">
        <v>70</v>
      </c>
      <c r="F10" s="56" t="s">
        <v>25</v>
      </c>
      <c r="G10" s="44">
        <v>36</v>
      </c>
      <c r="H10" s="129">
        <f>IF(B$15=0,0,G10/B$15)</f>
        <v>9.4488188976377951E-2</v>
      </c>
      <c r="I10" s="90">
        <v>8</v>
      </c>
      <c r="K10" s="36">
        <v>8</v>
      </c>
      <c r="L10" s="95">
        <v>-56.79999999999999</v>
      </c>
      <c r="N10" s="110" t="s">
        <v>157</v>
      </c>
      <c r="O10" s="120">
        <f>IF(P10=0,0,Q10/P10)</f>
        <v>1.6488888888888893</v>
      </c>
      <c r="P10" s="114">
        <v>45</v>
      </c>
      <c r="Q10" s="102">
        <v>74.200000000000017</v>
      </c>
    </row>
    <row r="11" spans="1:17" x14ac:dyDescent="0.45">
      <c r="A11" s="54" t="s">
        <v>121</v>
      </c>
      <c r="B11" s="47">
        <v>291</v>
      </c>
      <c r="C11" s="42">
        <f>IF(B$3=0,0,B11/B$3)</f>
        <v>0.23429951690821257</v>
      </c>
      <c r="E11" s="59" t="s">
        <v>71</v>
      </c>
      <c r="F11" s="56" t="s">
        <v>26</v>
      </c>
      <c r="G11" s="44">
        <v>36</v>
      </c>
      <c r="H11" s="129">
        <f>IF(B$15=0,0,G11/B$15)</f>
        <v>9.4488188976377951E-2</v>
      </c>
      <c r="I11" s="90">
        <v>7</v>
      </c>
      <c r="K11" s="36">
        <v>9</v>
      </c>
      <c r="L11" s="95">
        <v>-83.699999999999989</v>
      </c>
      <c r="N11" s="111" t="s">
        <v>158</v>
      </c>
      <c r="O11" s="121">
        <f>IF(P11=0,0,Q11/P11)</f>
        <v>4.1333333333333346</v>
      </c>
      <c r="P11" s="115">
        <v>48</v>
      </c>
      <c r="Q11" s="103">
        <v>198.40000000000006</v>
      </c>
    </row>
    <row r="12" spans="1:17" x14ac:dyDescent="0.45">
      <c r="A12" s="51" t="s">
        <v>118</v>
      </c>
      <c r="B12" s="44">
        <v>371</v>
      </c>
      <c r="C12" s="37">
        <f>IF(B$3=0,0,B12/B$3)</f>
        <v>0.29871175523349436</v>
      </c>
      <c r="E12" s="59" t="s">
        <v>65</v>
      </c>
      <c r="F12" s="56" t="s">
        <v>21</v>
      </c>
      <c r="G12" s="44">
        <v>31</v>
      </c>
      <c r="H12" s="129">
        <f>IF(B$15=0,0,G12/B$15)</f>
        <v>8.1364829396325458E-2</v>
      </c>
      <c r="I12" s="90">
        <v>11</v>
      </c>
      <c r="K12" s="36">
        <v>10</v>
      </c>
      <c r="L12" s="95">
        <v>-78.399999999999991</v>
      </c>
      <c r="N12" s="112" t="s">
        <v>159</v>
      </c>
      <c r="O12" s="122">
        <f>IF(P12=0,0,Q12/P12)</f>
        <v>-4.5017857142857149</v>
      </c>
      <c r="P12" s="116">
        <v>56</v>
      </c>
      <c r="Q12" s="104">
        <v>-252.10000000000005</v>
      </c>
    </row>
    <row r="13" spans="1:17" x14ac:dyDescent="0.45">
      <c r="A13" s="50" t="s">
        <v>123</v>
      </c>
      <c r="B13" s="43">
        <f>B19</f>
        <v>147</v>
      </c>
      <c r="C13" s="35">
        <f>IF(B$11=0,0,B13/B$11)</f>
        <v>0.50515463917525771</v>
      </c>
      <c r="E13" s="59" t="s">
        <v>86</v>
      </c>
      <c r="F13" s="56" t="s">
        <v>41</v>
      </c>
      <c r="G13" s="44">
        <v>24</v>
      </c>
      <c r="H13" s="129">
        <f>IF(B$15=0,0,G13/B$15)</f>
        <v>6.2992125984251968E-2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142</v>
      </c>
      <c r="C14" s="35">
        <f>IF(B$12=0,0,B14/B$12)</f>
        <v>0.38274932614555257</v>
      </c>
      <c r="E14" s="59" t="s">
        <v>83</v>
      </c>
      <c r="F14" s="56" t="s">
        <v>38</v>
      </c>
      <c r="G14" s="44">
        <v>20</v>
      </c>
      <c r="H14" s="129">
        <f>IF(B$15=0,0,G14/B$15)</f>
        <v>5.2493438320209973E-2</v>
      </c>
      <c r="I14" s="90">
        <v>6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381</v>
      </c>
      <c r="C15" s="35">
        <f>IF(B$3=0,0,B15/B$3)</f>
        <v>0.30676328502415456</v>
      </c>
      <c r="E15" s="59" t="s">
        <v>78</v>
      </c>
      <c r="F15" s="56" t="s">
        <v>33</v>
      </c>
      <c r="G15" s="44">
        <v>13</v>
      </c>
      <c r="H15" s="129">
        <f>IF(B$15=0,0,G15/B$15)</f>
        <v>3.4120734908136482E-2</v>
      </c>
      <c r="I15" s="90">
        <v>4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229</v>
      </c>
      <c r="C16" s="37">
        <f>IF(B$3=0,0,B16/B$3)</f>
        <v>0.18438003220611915</v>
      </c>
      <c r="E16" s="59" t="s">
        <v>91</v>
      </c>
      <c r="F16" s="56" t="s">
        <v>46</v>
      </c>
      <c r="G16" s="44">
        <v>13</v>
      </c>
      <c r="H16" s="129">
        <f>IF(B$15=0,0,G16/B$15)</f>
        <v>3.4120734908136482E-2</v>
      </c>
      <c r="I16" s="90">
        <v>2</v>
      </c>
      <c r="K16" s="36">
        <v>14</v>
      </c>
      <c r="L16" s="95">
        <v>-138.4</v>
      </c>
      <c r="N16" s="111" t="s">
        <v>172</v>
      </c>
      <c r="O16" s="121">
        <f>IF(P16=0,0,Q16/P16)</f>
        <v>17.456249999999994</v>
      </c>
      <c r="P16" s="115">
        <v>48</v>
      </c>
      <c r="Q16" s="103">
        <v>837.89999999999964</v>
      </c>
    </row>
    <row r="17" spans="1:17" x14ac:dyDescent="0.45">
      <c r="A17" s="51" t="s">
        <v>12</v>
      </c>
      <c r="B17" s="44">
        <v>158</v>
      </c>
      <c r="C17" s="37">
        <f>IF(B$15=0,0,B17/B$15)</f>
        <v>0.41469816272965881</v>
      </c>
      <c r="E17" s="59" t="s">
        <v>81</v>
      </c>
      <c r="F17" s="56" t="s">
        <v>36</v>
      </c>
      <c r="G17" s="44">
        <v>8</v>
      </c>
      <c r="H17" s="129">
        <f>IF(B$15=0,0,G17/B$15)</f>
        <v>2.0997375328083989E-2</v>
      </c>
      <c r="I17" s="90">
        <v>5</v>
      </c>
      <c r="K17" s="36">
        <v>15</v>
      </c>
      <c r="L17" s="95">
        <v>-144.30000000000001</v>
      </c>
      <c r="N17" s="111" t="s">
        <v>197</v>
      </c>
      <c r="O17" s="121">
        <f>IF(P17=0,0,Q17/P17)</f>
        <v>16.62857142857143</v>
      </c>
      <c r="P17" s="115">
        <v>14</v>
      </c>
      <c r="Q17" s="103">
        <v>232.8</v>
      </c>
    </row>
    <row r="18" spans="1:17" x14ac:dyDescent="0.45">
      <c r="A18" s="51" t="s">
        <v>11</v>
      </c>
      <c r="B18" s="44">
        <v>223</v>
      </c>
      <c r="C18" s="37">
        <f>IF(B$15=0,0,B18/B$15)</f>
        <v>0.58530183727034124</v>
      </c>
      <c r="E18" s="59" t="s">
        <v>79</v>
      </c>
      <c r="F18" s="56" t="s">
        <v>34</v>
      </c>
      <c r="G18" s="44">
        <v>7</v>
      </c>
      <c r="H18" s="129">
        <f>IF(B$15=0,0,G18/B$15)</f>
        <v>1.8372703412073491E-2</v>
      </c>
      <c r="I18" s="90">
        <v>5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147</v>
      </c>
      <c r="C19" s="37">
        <f>IF(B$15=0,0,B19/B$15)</f>
        <v>0.38582677165354329</v>
      </c>
      <c r="E19" s="59" t="s">
        <v>162</v>
      </c>
      <c r="F19" s="56" t="s">
        <v>163</v>
      </c>
      <c r="G19" s="44">
        <v>5</v>
      </c>
      <c r="H19" s="129">
        <f>IF(B$15=0,0,G19/B$15)</f>
        <v>1.3123359580052493E-2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5.5299999999999994</v>
      </c>
      <c r="P19" s="115">
        <v>30</v>
      </c>
      <c r="Q19" s="103">
        <v>165.89999999999998</v>
      </c>
    </row>
    <row r="20" spans="1:17" x14ac:dyDescent="0.45">
      <c r="A20" s="51" t="s">
        <v>193</v>
      </c>
      <c r="B20" s="44">
        <v>142</v>
      </c>
      <c r="C20" s="37">
        <f>IF(B$15=0,0,B20/B$15)</f>
        <v>0.37270341207349084</v>
      </c>
      <c r="E20" s="59" t="s">
        <v>92</v>
      </c>
      <c r="F20" s="56" t="s">
        <v>47</v>
      </c>
      <c r="G20" s="44">
        <v>3</v>
      </c>
      <c r="H20" s="129">
        <f>IF(B$15=0,0,G20/B$15)</f>
        <v>7.874015748031496E-3</v>
      </c>
      <c r="I20" s="90">
        <v>2</v>
      </c>
      <c r="K20" s="36">
        <v>18</v>
      </c>
      <c r="L20" s="95">
        <v>-112.90000000000002</v>
      </c>
      <c r="N20" s="111" t="s">
        <v>171</v>
      </c>
      <c r="O20" s="121">
        <f>IF(P20=0,0,Q20/P20)</f>
        <v>1.9895833333333348</v>
      </c>
      <c r="P20" s="115">
        <v>48</v>
      </c>
      <c r="Q20" s="103">
        <v>95.500000000000071</v>
      </c>
    </row>
    <row r="21" spans="1:17" x14ac:dyDescent="0.45">
      <c r="A21" s="51" t="s">
        <v>194</v>
      </c>
      <c r="B21" s="44">
        <v>92</v>
      </c>
      <c r="C21" s="37">
        <f>IF(B$15=0,0,B21/B$15)</f>
        <v>0.24146981627296588</v>
      </c>
      <c r="E21" s="59" t="s">
        <v>74</v>
      </c>
      <c r="F21" s="56" t="s">
        <v>29</v>
      </c>
      <c r="G21" s="44">
        <v>2</v>
      </c>
      <c r="H21" s="129">
        <f>IF(B$15=0,0,G21/B$15)</f>
        <v>5.2493438320209973E-3</v>
      </c>
      <c r="I21" s="90">
        <v>3</v>
      </c>
      <c r="K21" s="36">
        <v>19</v>
      </c>
      <c r="L21" s="95">
        <v>-162.40000000000003</v>
      </c>
      <c r="N21" s="111" t="s">
        <v>274</v>
      </c>
      <c r="O21" s="121">
        <f>IF(P21=0,0,Q21/P21)</f>
        <v>0.40000000000000036</v>
      </c>
      <c r="P21" s="115">
        <v>4</v>
      </c>
      <c r="Q21" s="103">
        <v>1.6000000000000014</v>
      </c>
    </row>
    <row r="22" spans="1:17" x14ac:dyDescent="0.45">
      <c r="A22" s="51" t="s">
        <v>5</v>
      </c>
      <c r="B22" s="48">
        <f>IF(B$15=0,0,C22/B$15)</f>
        <v>8256.9553805774285</v>
      </c>
      <c r="C22" s="39">
        <v>3145900</v>
      </c>
      <c r="E22" s="59" t="s">
        <v>75</v>
      </c>
      <c r="F22" s="56" t="s">
        <v>30</v>
      </c>
      <c r="G22" s="44">
        <v>2</v>
      </c>
      <c r="H22" s="129">
        <f>IF(B$15=0,0,G22/B$15)</f>
        <v>5.2493438320209973E-3</v>
      </c>
      <c r="I22" s="90">
        <v>7</v>
      </c>
      <c r="K22" s="36">
        <v>20</v>
      </c>
      <c r="L22" s="95">
        <v>-96.000000000000028</v>
      </c>
      <c r="N22" s="111" t="s">
        <v>170</v>
      </c>
      <c r="O22" s="121">
        <f>IF(P22=0,0,Q22/P22)</f>
        <v>-5.3617021276595693</v>
      </c>
      <c r="P22" s="115">
        <v>47</v>
      </c>
      <c r="Q22" s="103">
        <v>-251.99999999999977</v>
      </c>
    </row>
    <row r="23" spans="1:17" x14ac:dyDescent="0.45">
      <c r="A23" s="52" t="s">
        <v>177</v>
      </c>
      <c r="B23" s="136">
        <f>IF($B$15-B$14=0,0,C23/($B$15-B$14))</f>
        <v>8885.3556485355657</v>
      </c>
      <c r="C23" s="137">
        <v>2123600</v>
      </c>
      <c r="E23" s="59" t="s">
        <v>73</v>
      </c>
      <c r="F23" s="56" t="s">
        <v>28</v>
      </c>
      <c r="G23" s="44">
        <v>1</v>
      </c>
      <c r="H23" s="129">
        <f>IF(B$15=0,0,G23/B$15)</f>
        <v>2.6246719160104987E-3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-12.382999999999999</v>
      </c>
      <c r="P23" s="115">
        <v>100</v>
      </c>
      <c r="Q23" s="103">
        <v>-1238.3</v>
      </c>
    </row>
    <row r="24" spans="1:17" x14ac:dyDescent="0.45">
      <c r="A24" s="52" t="s">
        <v>178</v>
      </c>
      <c r="B24" s="136">
        <f>IF(B$14=0,0,C24/B$14)</f>
        <v>7199.2957746478869</v>
      </c>
      <c r="C24" s="137">
        <v>1022300</v>
      </c>
      <c r="E24" s="59" t="s">
        <v>77</v>
      </c>
      <c r="F24" s="56" t="s">
        <v>32</v>
      </c>
      <c r="G24" s="44">
        <v>1</v>
      </c>
      <c r="H24" s="129">
        <f>IF(B$15=0,0,G24/B$15)</f>
        <v>2.6246719160104987E-3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-7917.4672489082968</v>
      </c>
      <c r="C25" s="137">
        <v>-1813100</v>
      </c>
      <c r="E25" s="59" t="s">
        <v>84</v>
      </c>
      <c r="F25" s="56" t="s">
        <v>39</v>
      </c>
      <c r="G25" s="44">
        <v>1</v>
      </c>
      <c r="H25" s="129">
        <f>IF(B$15=0,0,G25/B$15)</f>
        <v>2.6246719160104987E-3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2.6246719160104987E-3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4</v>
      </c>
      <c r="E27" s="59" t="s">
        <v>95</v>
      </c>
      <c r="F27" s="56" t="s">
        <v>50</v>
      </c>
      <c r="G27" s="44">
        <v>1</v>
      </c>
      <c r="H27" s="129">
        <f>IF(B$15=0,0,G27/B$15)</f>
        <v>2.6246719160104987E-3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5</v>
      </c>
      <c r="C30" s="40">
        <f>IF(B$3=0,0,B30/B$3)</f>
        <v>4.0257648953301124E-3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28</v>
      </c>
      <c r="C32" s="141">
        <f>IF(B$15=0,0,B32/B$15)</f>
        <v>7.3490813648293962E-2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65</v>
      </c>
      <c r="C33" s="37">
        <f t="shared" ref="C33:C44" si="2">IF(B$15=0,0,B33/B$15)</f>
        <v>0.17060367454068243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80</v>
      </c>
      <c r="C34" s="37">
        <f>IF(B$15=0,0,B34/B$15)</f>
        <v>0.20997375328083989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77</v>
      </c>
      <c r="C35" s="37">
        <f t="shared" si="2"/>
        <v>0.20209973753280841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55</v>
      </c>
      <c r="C36" s="37">
        <f t="shared" si="2"/>
        <v>0.14435695538057744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41</v>
      </c>
      <c r="C37" s="37">
        <f t="shared" si="2"/>
        <v>0.10761154855643044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13</v>
      </c>
      <c r="C38" s="37">
        <f t="shared" si="2"/>
        <v>3.4120734908136482E-2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9</v>
      </c>
      <c r="C39" s="37">
        <f t="shared" si="2"/>
        <v>2.3622047244094488E-2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2"/>
        <v>1.5748031496062992E-2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2.6246719160104987E-3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2"/>
        <v>5.2493438320209973E-3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1.0498687664041995E-2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  <row r="149" spans="11:12" x14ac:dyDescent="0.45">
      <c r="K149" s="36">
        <v>147</v>
      </c>
      <c r="L149" s="95">
        <v>-1.6000000000001862</v>
      </c>
    </row>
    <row r="150" spans="11:12" x14ac:dyDescent="0.45">
      <c r="K150" s="36">
        <v>148</v>
      </c>
      <c r="L150" s="95">
        <v>58.999999999999815</v>
      </c>
    </row>
    <row r="151" spans="11:12" x14ac:dyDescent="0.45">
      <c r="K151" s="36">
        <v>149</v>
      </c>
      <c r="L151" s="95">
        <v>20.499999999999815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6C2D-E050-44B5-86ED-989961FA76EC}">
  <sheetPr codeName="Sheet13"/>
  <dimension ref="A1:Q9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95</v>
      </c>
      <c r="C2" s="155"/>
      <c r="E2" s="58" t="s">
        <v>66</v>
      </c>
      <c r="F2" s="55" t="s">
        <v>22</v>
      </c>
      <c r="G2" s="43">
        <v>174</v>
      </c>
      <c r="H2" s="128">
        <f>IF(B$15=0,0,G2/B$15)</f>
        <v>0.78378378378378377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-388.29787234042556</v>
      </c>
      <c r="P2" s="114">
        <v>94</v>
      </c>
      <c r="Q2" s="98">
        <v>-36500</v>
      </c>
    </row>
    <row r="3" spans="1:17" x14ac:dyDescent="0.45">
      <c r="A3" s="51" t="s">
        <v>8</v>
      </c>
      <c r="B3" s="156">
        <v>813</v>
      </c>
      <c r="C3" s="157"/>
      <c r="E3" s="59" t="s">
        <v>64</v>
      </c>
      <c r="F3" s="56" t="s">
        <v>20</v>
      </c>
      <c r="G3" s="44">
        <v>123</v>
      </c>
      <c r="H3" s="129">
        <f>IF(B$15=0,0,G3/B$15)</f>
        <v>0.55405405405405406</v>
      </c>
      <c r="I3" s="90">
        <v>4</v>
      </c>
      <c r="K3" s="36">
        <v>1</v>
      </c>
      <c r="L3" s="95">
        <v>-37.799999999999997</v>
      </c>
      <c r="N3" s="111" t="s">
        <v>131</v>
      </c>
      <c r="O3" s="118">
        <f t="shared" si="0"/>
        <v>-554.25531914893622</v>
      </c>
      <c r="P3" s="115">
        <v>94</v>
      </c>
      <c r="Q3" s="99">
        <v>-52100</v>
      </c>
    </row>
    <row r="4" spans="1:17" x14ac:dyDescent="0.45">
      <c r="A4" s="51" t="s">
        <v>6</v>
      </c>
      <c r="B4" s="158">
        <v>-599.19999999999993</v>
      </c>
      <c r="C4" s="159"/>
      <c r="E4" s="59" t="s">
        <v>72</v>
      </c>
      <c r="F4" s="56" t="s">
        <v>27</v>
      </c>
      <c r="G4" s="44">
        <v>110</v>
      </c>
      <c r="H4" s="129">
        <f>IF(B$15=0,0,G4/B$15)</f>
        <v>0.49549549549549549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462.5</v>
      </c>
      <c r="P4" s="115">
        <v>88</v>
      </c>
      <c r="Q4" s="99">
        <v>40700</v>
      </c>
    </row>
    <row r="5" spans="1:17" x14ac:dyDescent="0.45">
      <c r="A5" s="51" t="s">
        <v>7</v>
      </c>
      <c r="B5" s="160">
        <f>IF(B$2=0,0,B$4/B$2)</f>
        <v>-6.3073684210526313</v>
      </c>
      <c r="C5" s="161"/>
      <c r="E5" s="59" t="s">
        <v>166</v>
      </c>
      <c r="F5" s="56" t="s">
        <v>167</v>
      </c>
      <c r="G5" s="44">
        <v>94</v>
      </c>
      <c r="H5" s="129">
        <f>IF(B$15=0,0,G5/B$15)</f>
        <v>0.42342342342342343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-744.18604651162786</v>
      </c>
      <c r="P5" s="115">
        <v>86</v>
      </c>
      <c r="Q5" s="99">
        <v>-64000</v>
      </c>
    </row>
    <row r="6" spans="1:17" x14ac:dyDescent="0.45">
      <c r="A6" s="51" t="s">
        <v>1</v>
      </c>
      <c r="B6" s="150">
        <f>IF(B$2=0,0,(B$7*1+B$8*2+B$9*3)/B$2)</f>
        <v>2.1578947368421053</v>
      </c>
      <c r="C6" s="151"/>
      <c r="E6" s="59" t="s">
        <v>68</v>
      </c>
      <c r="F6" s="56" t="s">
        <v>12</v>
      </c>
      <c r="G6" s="44">
        <v>78</v>
      </c>
      <c r="H6" s="129">
        <f>IF(B$15=0,0,G6/B$15)</f>
        <v>0.35135135135135137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-3076.5432098765432</v>
      </c>
      <c r="P6" s="115">
        <v>81</v>
      </c>
      <c r="Q6" s="99">
        <v>-249200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0.22105263157894736</v>
      </c>
      <c r="E7" s="59" t="s">
        <v>67</v>
      </c>
      <c r="F7" s="56" t="s">
        <v>23</v>
      </c>
      <c r="G7" s="44">
        <v>68</v>
      </c>
      <c r="H7" s="129">
        <f>IF(B$15=0,0,G7/B$15)</f>
        <v>0.30630630630630629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-1363.3802816901409</v>
      </c>
      <c r="P7" s="116">
        <v>71</v>
      </c>
      <c r="Q7" s="100">
        <v>-96800</v>
      </c>
    </row>
    <row r="8" spans="1:17" x14ac:dyDescent="0.45">
      <c r="A8" s="51" t="s">
        <v>3</v>
      </c>
      <c r="B8" s="44">
        <v>38</v>
      </c>
      <c r="C8" s="37">
        <f t="shared" si="1"/>
        <v>0.4</v>
      </c>
      <c r="E8" s="59" t="s">
        <v>69</v>
      </c>
      <c r="F8" s="56" t="s">
        <v>24</v>
      </c>
      <c r="G8" s="44">
        <v>32</v>
      </c>
      <c r="H8" s="129">
        <f>IF(B$15=0,0,G8/B$15)</f>
        <v>0.14414414414414414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36</v>
      </c>
      <c r="C9" s="38">
        <f t="shared" si="1"/>
        <v>0.37894736842105264</v>
      </c>
      <c r="E9" s="59" t="s">
        <v>70</v>
      </c>
      <c r="F9" s="56" t="s">
        <v>25</v>
      </c>
      <c r="G9" s="44">
        <v>27</v>
      </c>
      <c r="H9" s="129">
        <f>IF(B$15=0,0,G9/B$15)</f>
        <v>0.12162162162162163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7.3684210526315783E-2</v>
      </c>
      <c r="E10" s="59" t="s">
        <v>65</v>
      </c>
      <c r="F10" s="56" t="s">
        <v>21</v>
      </c>
      <c r="G10" s="44">
        <v>26</v>
      </c>
      <c r="H10" s="129">
        <f>IF(B$15=0,0,G10/B$15)</f>
        <v>0.11711711711711711</v>
      </c>
      <c r="I10" s="90">
        <v>8</v>
      </c>
      <c r="K10" s="36">
        <v>8</v>
      </c>
      <c r="L10" s="95">
        <v>-62.999999999999993</v>
      </c>
      <c r="N10" s="110" t="s">
        <v>157</v>
      </c>
      <c r="O10" s="120">
        <f>IF(P10=0,0,Q10/P10)</f>
        <v>-5.0026315789473701</v>
      </c>
      <c r="P10" s="114">
        <v>38</v>
      </c>
      <c r="Q10" s="102">
        <v>-190.10000000000008</v>
      </c>
    </row>
    <row r="11" spans="1:17" x14ac:dyDescent="0.45">
      <c r="A11" s="54" t="s">
        <v>121</v>
      </c>
      <c r="B11" s="47">
        <v>225</v>
      </c>
      <c r="C11" s="42">
        <f>IF(B$3=0,0,B11/B$3)</f>
        <v>0.2767527675276753</v>
      </c>
      <c r="E11" s="59" t="s">
        <v>89</v>
      </c>
      <c r="F11" s="56" t="s">
        <v>44</v>
      </c>
      <c r="G11" s="44">
        <v>25</v>
      </c>
      <c r="H11" s="129">
        <f>IF(B$15=0,0,G11/B$15)</f>
        <v>0.11261261261261261</v>
      </c>
      <c r="I11" s="90">
        <v>10</v>
      </c>
      <c r="K11" s="36">
        <v>9</v>
      </c>
      <c r="L11" s="95">
        <v>-74.199999999999989</v>
      </c>
      <c r="N11" s="111" t="s">
        <v>158</v>
      </c>
      <c r="O11" s="121">
        <f>IF(P11=0,0,Q11/P11)</f>
        <v>-5.3035714285714306</v>
      </c>
      <c r="P11" s="115">
        <v>28</v>
      </c>
      <c r="Q11" s="103">
        <v>-148.50000000000006</v>
      </c>
    </row>
    <row r="12" spans="1:17" x14ac:dyDescent="0.45">
      <c r="A12" s="51" t="s">
        <v>118</v>
      </c>
      <c r="B12" s="44">
        <v>159</v>
      </c>
      <c r="C12" s="37">
        <f>IF(B$3=0,0,B12/B$3)</f>
        <v>0.19557195571955718</v>
      </c>
      <c r="E12" s="59" t="s">
        <v>83</v>
      </c>
      <c r="F12" s="56" t="s">
        <v>38</v>
      </c>
      <c r="G12" s="44">
        <v>13</v>
      </c>
      <c r="H12" s="129">
        <f>IF(B$15=0,0,G12/B$15)</f>
        <v>5.8558558558558557E-2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-8.9862068965517228</v>
      </c>
      <c r="P12" s="116">
        <v>29</v>
      </c>
      <c r="Q12" s="104">
        <v>-260.59999999999997</v>
      </c>
    </row>
    <row r="13" spans="1:17" x14ac:dyDescent="0.45">
      <c r="A13" s="50" t="s">
        <v>123</v>
      </c>
      <c r="B13" s="43">
        <f>B19</f>
        <v>122</v>
      </c>
      <c r="C13" s="35">
        <f>IF(B$11=0,0,B13/B$11)</f>
        <v>0.54222222222222227</v>
      </c>
      <c r="E13" s="59" t="s">
        <v>86</v>
      </c>
      <c r="F13" s="56" t="s">
        <v>41</v>
      </c>
      <c r="G13" s="44">
        <v>10</v>
      </c>
      <c r="H13" s="129">
        <f>IF(B$15=0,0,G13/B$15)</f>
        <v>4.5045045045045043E-2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66</v>
      </c>
      <c r="C14" s="35">
        <f>IF(B$12=0,0,B14/B$12)</f>
        <v>0.41509433962264153</v>
      </c>
      <c r="E14" s="59" t="s">
        <v>71</v>
      </c>
      <c r="F14" s="56" t="s">
        <v>26</v>
      </c>
      <c r="G14" s="44">
        <v>9</v>
      </c>
      <c r="H14" s="129">
        <f>IF(B$15=0,0,G14/B$15)</f>
        <v>4.0540540540540543E-2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222</v>
      </c>
      <c r="C15" s="35">
        <f>IF(B$3=0,0,B15/B$3)</f>
        <v>0.27306273062730629</v>
      </c>
      <c r="E15" s="59" t="s">
        <v>78</v>
      </c>
      <c r="F15" s="56" t="s">
        <v>33</v>
      </c>
      <c r="G15" s="44">
        <v>7</v>
      </c>
      <c r="H15" s="129">
        <f>IF(B$15=0,0,G15/B$15)</f>
        <v>3.1531531531531529E-2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24.274999999999999</v>
      </c>
      <c r="P15" s="114">
        <v>4</v>
      </c>
      <c r="Q15" s="102">
        <v>97.1</v>
      </c>
    </row>
    <row r="16" spans="1:17" x14ac:dyDescent="0.45">
      <c r="A16" s="51" t="s">
        <v>13</v>
      </c>
      <c r="B16" s="44">
        <v>146</v>
      </c>
      <c r="C16" s="37">
        <f>IF(B$3=0,0,B16/B$3)</f>
        <v>0.17958179581795819</v>
      </c>
      <c r="E16" s="59" t="s">
        <v>79</v>
      </c>
      <c r="F16" s="56" t="s">
        <v>34</v>
      </c>
      <c r="G16" s="44">
        <v>4</v>
      </c>
      <c r="H16" s="129">
        <f>IF(B$15=0,0,G16/B$15)</f>
        <v>1.8018018018018018E-2</v>
      </c>
      <c r="I16" s="90">
        <v>6</v>
      </c>
      <c r="K16" s="36">
        <v>14</v>
      </c>
      <c r="L16" s="95">
        <v>-204.8</v>
      </c>
      <c r="N16" s="111" t="s">
        <v>170</v>
      </c>
      <c r="O16" s="121">
        <f t="shared" si="2"/>
        <v>7.1727272727272746</v>
      </c>
      <c r="P16" s="115">
        <v>22</v>
      </c>
      <c r="Q16" s="103">
        <v>157.80000000000004</v>
      </c>
    </row>
    <row r="17" spans="1:17" x14ac:dyDescent="0.45">
      <c r="A17" s="51" t="s">
        <v>12</v>
      </c>
      <c r="B17" s="44">
        <v>104</v>
      </c>
      <c r="C17" s="37">
        <f>IF(B$15=0,0,B17/B$15)</f>
        <v>0.46846846846846846</v>
      </c>
      <c r="E17" s="59" t="s">
        <v>81</v>
      </c>
      <c r="F17" s="56" t="s">
        <v>36</v>
      </c>
      <c r="G17" s="44">
        <v>4</v>
      </c>
      <c r="H17" s="129">
        <f>IF(B$15=0,0,G17/B$15)</f>
        <v>1.8018018018018018E-2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118</v>
      </c>
      <c r="C18" s="37">
        <f>IF(B$15=0,0,B18/B$15)</f>
        <v>0.53153153153153154</v>
      </c>
      <c r="E18" s="59" t="s">
        <v>162</v>
      </c>
      <c r="F18" s="56" t="s">
        <v>163</v>
      </c>
      <c r="G18" s="44">
        <v>4</v>
      </c>
      <c r="H18" s="129">
        <f>IF(B$15=0,0,G18/B$15)</f>
        <v>1.8018018018018018E-2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122</v>
      </c>
      <c r="C19" s="37">
        <f>IF(B$15=0,0,B19/B$15)</f>
        <v>0.5495495495495496</v>
      </c>
      <c r="E19" s="59" t="s">
        <v>75</v>
      </c>
      <c r="F19" s="56" t="s">
        <v>30</v>
      </c>
      <c r="G19" s="44">
        <v>3</v>
      </c>
      <c r="H19" s="129">
        <f>IF(B$15=0,0,G19/B$15)</f>
        <v>1.3513513513513514E-2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 t="shared" si="2"/>
        <v>-13.237499999999999</v>
      </c>
      <c r="P19" s="115">
        <v>24</v>
      </c>
      <c r="Q19" s="103">
        <v>-317.7</v>
      </c>
    </row>
    <row r="20" spans="1:17" x14ac:dyDescent="0.45">
      <c r="A20" s="51" t="s">
        <v>193</v>
      </c>
      <c r="B20" s="44">
        <v>66</v>
      </c>
      <c r="C20" s="37">
        <f>IF(B$15=0,0,B20/B$15)</f>
        <v>0.29729729729729731</v>
      </c>
      <c r="E20" s="59" t="s">
        <v>91</v>
      </c>
      <c r="F20" s="56" t="s">
        <v>46</v>
      </c>
      <c r="G20" s="44">
        <v>1</v>
      </c>
      <c r="H20" s="129">
        <f>IF(B$15=0,0,G20/B$15)</f>
        <v>4.5045045045045045E-3</v>
      </c>
      <c r="I20" s="90">
        <v>9</v>
      </c>
      <c r="K20" s="36">
        <v>18</v>
      </c>
      <c r="L20" s="95">
        <v>-240</v>
      </c>
      <c r="N20" s="111" t="s">
        <v>126</v>
      </c>
      <c r="O20" s="121">
        <f t="shared" si="2"/>
        <v>-13.408474576271189</v>
      </c>
      <c r="P20" s="115">
        <v>59</v>
      </c>
      <c r="Q20" s="103">
        <v>-791.10000000000014</v>
      </c>
    </row>
    <row r="21" spans="1:17" x14ac:dyDescent="0.45">
      <c r="A21" s="51" t="s">
        <v>194</v>
      </c>
      <c r="B21" s="44">
        <v>34</v>
      </c>
      <c r="C21" s="37">
        <f>IF(B$15=0,0,B21/B$15)</f>
        <v>0.15315315315315314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 t="shared" si="2"/>
        <v>-17.456249999999994</v>
      </c>
      <c r="P21" s="115">
        <v>48</v>
      </c>
      <c r="Q21" s="103">
        <v>-837.89999999999964</v>
      </c>
    </row>
    <row r="22" spans="1:17" x14ac:dyDescent="0.45">
      <c r="A22" s="51" t="s">
        <v>5</v>
      </c>
      <c r="B22" s="48">
        <f>IF(B$15=0,0,C22/B$15)</f>
        <v>7830.6306306306305</v>
      </c>
      <c r="C22" s="39">
        <v>1738400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 t="shared" si="2"/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8491.0256410256407</v>
      </c>
      <c r="C23" s="137">
        <v>1324600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6269.69696969697</v>
      </c>
      <c r="C24" s="137">
        <v>413800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-7591.7808219178078</v>
      </c>
      <c r="C25" s="137">
        <v>-1108400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4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3.6900369003690036E-3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16</v>
      </c>
      <c r="C32" s="141">
        <f>IF(B$15=0,0,B32/B$15)</f>
        <v>7.2072072072072071E-2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0.17567567567567569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50</v>
      </c>
      <c r="C34" s="37">
        <f>IF(B$15=0,0,B34/B$15)</f>
        <v>0.22522522522522523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34</v>
      </c>
      <c r="C35" s="37">
        <f t="shared" si="3"/>
        <v>0.15315315315315314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37</v>
      </c>
      <c r="C36" s="37">
        <f t="shared" si="3"/>
        <v>0.16666666666666666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3"/>
        <v>0.1036036036036036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13</v>
      </c>
      <c r="C38" s="37">
        <f t="shared" si="3"/>
        <v>5.8558558558558557E-2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6</v>
      </c>
      <c r="C39" s="37">
        <f t="shared" si="3"/>
        <v>2.7027027027027029E-2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4.5045045045045045E-3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4.5045045045045045E-3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9.0090090090090089E-3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</sheetData>
  <sortState xmlns:xlrd2="http://schemas.microsoft.com/office/spreadsheetml/2017/richdata2" ref="E2:I9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6292B-6599-41BA-9312-320B6B8EE30E}">
  <sheetPr codeName="Sheet15"/>
  <dimension ref="A1:Q12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123</v>
      </c>
      <c r="C2" s="155"/>
      <c r="E2" s="58" t="s">
        <v>66</v>
      </c>
      <c r="F2" s="55" t="s">
        <v>22</v>
      </c>
      <c r="G2" s="43">
        <v>249</v>
      </c>
      <c r="H2" s="128">
        <f>IF(B$15=0,0,G2/B$15)</f>
        <v>0.87985865724381629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1560.1626016260163</v>
      </c>
      <c r="P2" s="114">
        <v>123</v>
      </c>
      <c r="Q2" s="98">
        <v>191900</v>
      </c>
    </row>
    <row r="3" spans="1:17" x14ac:dyDescent="0.45">
      <c r="A3" s="51" t="s">
        <v>8</v>
      </c>
      <c r="B3" s="156">
        <v>1006</v>
      </c>
      <c r="C3" s="157"/>
      <c r="E3" s="59" t="s">
        <v>72</v>
      </c>
      <c r="F3" s="56" t="s">
        <v>27</v>
      </c>
      <c r="G3" s="44">
        <v>156</v>
      </c>
      <c r="H3" s="129">
        <f>IF(B$15=0,0,G3/B$15)</f>
        <v>0.5512367491166078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-1355.3719008264463</v>
      </c>
      <c r="P3" s="115">
        <v>121</v>
      </c>
      <c r="Q3" s="99">
        <v>-164000</v>
      </c>
    </row>
    <row r="4" spans="1:17" x14ac:dyDescent="0.45">
      <c r="A4" s="51" t="s">
        <v>6</v>
      </c>
      <c r="B4" s="158">
        <v>621.50000000000045</v>
      </c>
      <c r="C4" s="159"/>
      <c r="E4" s="59" t="s">
        <v>64</v>
      </c>
      <c r="F4" s="56" t="s">
        <v>20</v>
      </c>
      <c r="G4" s="44">
        <v>154</v>
      </c>
      <c r="H4" s="129">
        <f>IF(B$15=0,0,G4/B$15)</f>
        <v>0.54416961130742048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13.513513513513514</v>
      </c>
      <c r="P4" s="115">
        <v>111</v>
      </c>
      <c r="Q4" s="99">
        <v>1500</v>
      </c>
    </row>
    <row r="5" spans="1:17" x14ac:dyDescent="0.45">
      <c r="A5" s="51" t="s">
        <v>7</v>
      </c>
      <c r="B5" s="160">
        <f>IF(B$2=0,0,B$4/B$2)</f>
        <v>5.052845528455288</v>
      </c>
      <c r="C5" s="161"/>
      <c r="E5" s="59" t="s">
        <v>67</v>
      </c>
      <c r="F5" s="56" t="s">
        <v>23</v>
      </c>
      <c r="G5" s="44">
        <v>118</v>
      </c>
      <c r="H5" s="129">
        <f>IF(B$15=0,0,G5/B$15)</f>
        <v>0.41696113074204949</v>
      </c>
      <c r="I5" s="90">
        <v>4</v>
      </c>
      <c r="K5" s="36">
        <v>3</v>
      </c>
      <c r="L5" s="95">
        <v>-113.8</v>
      </c>
      <c r="N5" s="111" t="s">
        <v>133</v>
      </c>
      <c r="O5" s="118">
        <f t="shared" si="0"/>
        <v>2242.8571428571427</v>
      </c>
      <c r="P5" s="115">
        <v>105</v>
      </c>
      <c r="Q5" s="99">
        <v>235500</v>
      </c>
    </row>
    <row r="6" spans="1:17" x14ac:dyDescent="0.45">
      <c r="A6" s="51" t="s">
        <v>1</v>
      </c>
      <c r="B6" s="150">
        <f>IF(B$2=0,0,(B$7*1+B$8*2+B$9*3)/B$2)</f>
        <v>1.8943089430894309</v>
      </c>
      <c r="C6" s="151"/>
      <c r="E6" s="59" t="s">
        <v>68</v>
      </c>
      <c r="F6" s="56" t="s">
        <v>12</v>
      </c>
      <c r="G6" s="44">
        <v>111</v>
      </c>
      <c r="H6" s="129">
        <f>IF(B$15=0,0,G6/B$15)</f>
        <v>0.392226148409894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1109.6774193548388</v>
      </c>
      <c r="P6" s="115">
        <v>93</v>
      </c>
      <c r="Q6" s="99">
        <v>103200</v>
      </c>
    </row>
    <row r="7" spans="1:17" x14ac:dyDescent="0.45">
      <c r="A7" s="51" t="s">
        <v>2</v>
      </c>
      <c r="B7" s="44">
        <v>50</v>
      </c>
      <c r="C7" s="37">
        <f t="shared" ref="C7:C10" si="1">IF(B$2=0,0,B7/B$2)</f>
        <v>0.4065040650406504</v>
      </c>
      <c r="E7" s="59" t="s">
        <v>166</v>
      </c>
      <c r="F7" s="56" t="s">
        <v>167</v>
      </c>
      <c r="G7" s="44">
        <v>103</v>
      </c>
      <c r="H7" s="129">
        <f>IF(B$15=0,0,G7/B$15)</f>
        <v>0.36395759717314485</v>
      </c>
      <c r="I7" s="90">
        <v>10</v>
      </c>
      <c r="K7" s="36">
        <v>5</v>
      </c>
      <c r="L7" s="95">
        <v>-118.3</v>
      </c>
      <c r="N7" s="112" t="s">
        <v>135</v>
      </c>
      <c r="O7" s="119">
        <f t="shared" si="0"/>
        <v>468.05555555555554</v>
      </c>
      <c r="P7" s="116">
        <v>72</v>
      </c>
      <c r="Q7" s="100">
        <v>33700</v>
      </c>
    </row>
    <row r="8" spans="1:17" x14ac:dyDescent="0.45">
      <c r="A8" s="51" t="s">
        <v>3</v>
      </c>
      <c r="B8" s="44">
        <v>36</v>
      </c>
      <c r="C8" s="37">
        <f t="shared" si="1"/>
        <v>0.29268292682926828</v>
      </c>
      <c r="E8" s="59" t="s">
        <v>89</v>
      </c>
      <c r="F8" s="56" t="s">
        <v>44</v>
      </c>
      <c r="G8" s="44">
        <v>71</v>
      </c>
      <c r="H8" s="129">
        <f>IF(B$15=0,0,G8/B$15)</f>
        <v>0.25088339222614842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37</v>
      </c>
      <c r="C9" s="38">
        <f t="shared" si="1"/>
        <v>0.30081300813008133</v>
      </c>
      <c r="E9" s="59" t="s">
        <v>69</v>
      </c>
      <c r="F9" s="56" t="s">
        <v>24</v>
      </c>
      <c r="G9" s="44">
        <v>60</v>
      </c>
      <c r="H9" s="129">
        <f>IF(B$15=0,0,G9/B$15)</f>
        <v>0.21201413427561838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13</v>
      </c>
      <c r="C10" s="40">
        <f t="shared" si="1"/>
        <v>0.10569105691056911</v>
      </c>
      <c r="E10" s="59" t="s">
        <v>65</v>
      </c>
      <c r="F10" s="56" t="s">
        <v>21</v>
      </c>
      <c r="G10" s="44">
        <v>41</v>
      </c>
      <c r="H10" s="129">
        <f>IF(B$15=0,0,G10/B$15)</f>
        <v>0.14487632508833923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-5.0636363636363635</v>
      </c>
      <c r="P10" s="114">
        <v>33</v>
      </c>
      <c r="Q10" s="102">
        <v>-167.1</v>
      </c>
    </row>
    <row r="11" spans="1:17" x14ac:dyDescent="0.45">
      <c r="A11" s="54" t="s">
        <v>121</v>
      </c>
      <c r="B11" s="47">
        <v>309</v>
      </c>
      <c r="C11" s="42">
        <f>IF(B$3=0,0,B11/B$3)</f>
        <v>0.30715705765407553</v>
      </c>
      <c r="E11" s="59" t="s">
        <v>70</v>
      </c>
      <c r="F11" s="56" t="s">
        <v>25</v>
      </c>
      <c r="G11" s="44">
        <v>32</v>
      </c>
      <c r="H11" s="129">
        <f>IF(B$15=0,0,G11/B$15)</f>
        <v>0.11307420494699646</v>
      </c>
      <c r="I11" s="90">
        <v>5</v>
      </c>
      <c r="K11" s="36">
        <v>9</v>
      </c>
      <c r="L11" s="95">
        <v>-120.99999999999999</v>
      </c>
      <c r="N11" s="111" t="s">
        <v>158</v>
      </c>
      <c r="O11" s="121">
        <f>IF(P11=0,0,Q11/P11)</f>
        <v>7.7081632653061209</v>
      </c>
      <c r="P11" s="115">
        <v>49</v>
      </c>
      <c r="Q11" s="103">
        <v>377.69999999999993</v>
      </c>
    </row>
    <row r="12" spans="1:17" x14ac:dyDescent="0.45">
      <c r="A12" s="51" t="s">
        <v>118</v>
      </c>
      <c r="B12" s="44">
        <v>182</v>
      </c>
      <c r="C12" s="37">
        <f>IF(B$3=0,0,B12/B$3)</f>
        <v>0.18091451292246521</v>
      </c>
      <c r="E12" s="59" t="s">
        <v>162</v>
      </c>
      <c r="F12" s="56" t="s">
        <v>163</v>
      </c>
      <c r="G12" s="44">
        <v>17</v>
      </c>
      <c r="H12" s="129">
        <f>IF(B$15=0,0,G12/B$15)</f>
        <v>6.0070671378091869E-2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10.021951219512196</v>
      </c>
      <c r="P12" s="116">
        <v>41</v>
      </c>
      <c r="Q12" s="104">
        <v>410.90000000000003</v>
      </c>
    </row>
    <row r="13" spans="1:17" x14ac:dyDescent="0.45">
      <c r="A13" s="50" t="s">
        <v>123</v>
      </c>
      <c r="B13" s="43">
        <f>B19</f>
        <v>171</v>
      </c>
      <c r="C13" s="35">
        <f>IF(B$11=0,0,B13/B$11)</f>
        <v>0.55339805825242716</v>
      </c>
      <c r="E13" s="59" t="s">
        <v>71</v>
      </c>
      <c r="F13" s="56" t="s">
        <v>26</v>
      </c>
      <c r="G13" s="44">
        <v>14</v>
      </c>
      <c r="H13" s="129">
        <f>IF(B$15=0,0,G13/B$15)</f>
        <v>4.9469964664310952E-2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73</v>
      </c>
      <c r="C14" s="35">
        <f>IF(B$12=0,0,B14/B$12)</f>
        <v>0.40109890109890112</v>
      </c>
      <c r="E14" s="59" t="s">
        <v>83</v>
      </c>
      <c r="F14" s="56" t="s">
        <v>38</v>
      </c>
      <c r="G14" s="44">
        <v>10</v>
      </c>
      <c r="H14" s="129">
        <f>IF(B$15=0,0,G14/B$15)</f>
        <v>3.5335689045936397E-2</v>
      </c>
      <c r="I14" s="90">
        <v>11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283</v>
      </c>
      <c r="C15" s="35">
        <f>IF(B$3=0,0,B15/B$3)</f>
        <v>0.2813121272365805</v>
      </c>
      <c r="E15" s="59" t="s">
        <v>86</v>
      </c>
      <c r="F15" s="56" t="s">
        <v>41</v>
      </c>
      <c r="G15" s="44">
        <v>10</v>
      </c>
      <c r="H15" s="129">
        <f>IF(B$15=0,0,G15/B$15)</f>
        <v>3.5335689045936397E-2</v>
      </c>
      <c r="I15" s="90">
        <v>9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170</v>
      </c>
      <c r="C16" s="37">
        <f>IF(B$3=0,0,B16/B$3)</f>
        <v>0.16898608349900596</v>
      </c>
      <c r="E16" s="59" t="s">
        <v>78</v>
      </c>
      <c r="F16" s="56" t="s">
        <v>33</v>
      </c>
      <c r="G16" s="44">
        <v>4</v>
      </c>
      <c r="H16" s="129">
        <f>IF(B$15=0,0,G16/B$15)</f>
        <v>1.4134275618374558E-2</v>
      </c>
      <c r="I16" s="90">
        <v>7</v>
      </c>
      <c r="K16" s="36">
        <v>14</v>
      </c>
      <c r="L16" s="95">
        <v>-86.499999999999972</v>
      </c>
      <c r="N16" s="111" t="s">
        <v>161</v>
      </c>
      <c r="O16" s="121">
        <f>IF(P16=0,0,Q16/P16)</f>
        <v>31.130434782608695</v>
      </c>
      <c r="P16" s="115">
        <v>23</v>
      </c>
      <c r="Q16" s="103">
        <v>716</v>
      </c>
    </row>
    <row r="17" spans="1:17" x14ac:dyDescent="0.45">
      <c r="A17" s="51" t="s">
        <v>12</v>
      </c>
      <c r="B17" s="44">
        <v>142</v>
      </c>
      <c r="C17" s="37">
        <f>IF(B$15=0,0,B17/B$15)</f>
        <v>0.50176678445229683</v>
      </c>
      <c r="E17" s="59" t="s">
        <v>81</v>
      </c>
      <c r="F17" s="56" t="s">
        <v>36</v>
      </c>
      <c r="G17" s="44">
        <v>4</v>
      </c>
      <c r="H17" s="129">
        <f>IF(B$15=0,0,G17/B$15)</f>
        <v>1.4134275618374558E-2</v>
      </c>
      <c r="I17" s="90">
        <v>9</v>
      </c>
      <c r="K17" s="36">
        <v>15</v>
      </c>
      <c r="L17" s="95">
        <v>-101.79999999999997</v>
      </c>
      <c r="N17" s="111" t="s">
        <v>171</v>
      </c>
      <c r="O17" s="121">
        <f>IF(P17=0,0,Q17/P17)</f>
        <v>12.623728813559321</v>
      </c>
      <c r="P17" s="115">
        <v>59</v>
      </c>
      <c r="Q17" s="103">
        <v>744.8</v>
      </c>
    </row>
    <row r="18" spans="1:17" x14ac:dyDescent="0.45">
      <c r="A18" s="51" t="s">
        <v>11</v>
      </c>
      <c r="B18" s="44">
        <v>141</v>
      </c>
      <c r="C18" s="37">
        <f>IF(B$15=0,0,B18/B$15)</f>
        <v>0.49823321554770317</v>
      </c>
      <c r="E18" s="59" t="s">
        <v>91</v>
      </c>
      <c r="F18" s="56" t="s">
        <v>46</v>
      </c>
      <c r="G18" s="44">
        <v>4</v>
      </c>
      <c r="H18" s="129">
        <f>IF(B$15=0,0,G18/B$15)</f>
        <v>1.4134275618374558E-2</v>
      </c>
      <c r="I18" s="90">
        <v>6</v>
      </c>
      <c r="K18" s="36">
        <v>16</v>
      </c>
      <c r="L18" s="95">
        <v>-63.099999999999966</v>
      </c>
      <c r="N18" s="111" t="s">
        <v>197</v>
      </c>
      <c r="O18" s="121">
        <f>IF(P18=0,0,Q18/P18)</f>
        <v>11.178571428571431</v>
      </c>
      <c r="P18" s="115">
        <v>28</v>
      </c>
      <c r="Q18" s="103">
        <v>313.00000000000006</v>
      </c>
    </row>
    <row r="19" spans="1:17" x14ac:dyDescent="0.45">
      <c r="A19" s="51" t="s">
        <v>195</v>
      </c>
      <c r="B19" s="44">
        <v>171</v>
      </c>
      <c r="C19" s="37">
        <f>IF(B$15=0,0,B19/B$15)</f>
        <v>0.60424028268551233</v>
      </c>
      <c r="E19" s="59" t="s">
        <v>92</v>
      </c>
      <c r="F19" s="56" t="s">
        <v>47</v>
      </c>
      <c r="G19" s="44">
        <v>4</v>
      </c>
      <c r="H19" s="129">
        <f>IF(B$15=0,0,G19/B$15)</f>
        <v>1.4134275618374558E-2</v>
      </c>
      <c r="I19" s="90">
        <v>1</v>
      </c>
      <c r="K19" s="36">
        <v>17</v>
      </c>
      <c r="L19" s="95">
        <v>-55.799999999999969</v>
      </c>
      <c r="N19" s="111" t="s">
        <v>274</v>
      </c>
      <c r="O19" s="121">
        <f>IF(P19=0,0,Q19/P19)</f>
        <v>5.4749999999999988</v>
      </c>
      <c r="P19" s="115">
        <v>8</v>
      </c>
      <c r="Q19" s="103">
        <v>43.79999999999999</v>
      </c>
    </row>
    <row r="20" spans="1:17" x14ac:dyDescent="0.45">
      <c r="A20" s="51" t="s">
        <v>193</v>
      </c>
      <c r="B20" s="44">
        <v>73</v>
      </c>
      <c r="C20" s="37">
        <f>IF(B$15=0,0,B20/B$15)</f>
        <v>0.25795053003533569</v>
      </c>
      <c r="E20" s="59" t="s">
        <v>85</v>
      </c>
      <c r="F20" s="56" t="s">
        <v>40</v>
      </c>
      <c r="G20" s="44">
        <v>3</v>
      </c>
      <c r="H20" s="129">
        <f>IF(B$15=0,0,G20/B$15)</f>
        <v>1.0600706713780919E-2</v>
      </c>
      <c r="I20" s="90">
        <v>3</v>
      </c>
      <c r="K20" s="36">
        <v>18</v>
      </c>
      <c r="L20" s="95">
        <v>-24.999999999999968</v>
      </c>
      <c r="N20" s="111" t="s">
        <v>127</v>
      </c>
      <c r="O20" s="121">
        <f>IF(P20=0,0,Q20/P20)</f>
        <v>5.3617021276595729</v>
      </c>
      <c r="P20" s="115">
        <v>47</v>
      </c>
      <c r="Q20" s="103">
        <v>251.99999999999991</v>
      </c>
    </row>
    <row r="21" spans="1:17" x14ac:dyDescent="0.45">
      <c r="A21" s="51" t="s">
        <v>194</v>
      </c>
      <c r="B21" s="44">
        <v>39</v>
      </c>
      <c r="C21" s="37">
        <f>IF(B$15=0,0,B21/B$15)</f>
        <v>0.13780918727915195</v>
      </c>
      <c r="E21" s="59" t="s">
        <v>73</v>
      </c>
      <c r="F21" s="56" t="s">
        <v>28</v>
      </c>
      <c r="G21" s="44">
        <v>2</v>
      </c>
      <c r="H21" s="129">
        <f>IF(B$15=0,0,G21/B$15)</f>
        <v>7.0671378091872791E-3</v>
      </c>
      <c r="I21" s="90">
        <v>2</v>
      </c>
      <c r="K21" s="36">
        <v>19</v>
      </c>
      <c r="L21" s="95">
        <v>-27.799999999999969</v>
      </c>
      <c r="N21" s="111" t="s">
        <v>126</v>
      </c>
      <c r="O21" s="121">
        <f>IF(P21=0,0,Q21/P21)</f>
        <v>-1.138775510204084</v>
      </c>
      <c r="P21" s="115">
        <v>49</v>
      </c>
      <c r="Q21" s="103">
        <v>-55.800000000000118</v>
      </c>
    </row>
    <row r="22" spans="1:17" x14ac:dyDescent="0.45">
      <c r="A22" s="51" t="s">
        <v>5</v>
      </c>
      <c r="B22" s="48">
        <f>IF(B$15=0,0,C22/B$15)</f>
        <v>10697.526501766784</v>
      </c>
      <c r="C22" s="39">
        <v>3027400</v>
      </c>
      <c r="E22" s="59" t="s">
        <v>79</v>
      </c>
      <c r="F22" s="56" t="s">
        <v>34</v>
      </c>
      <c r="G22" s="44">
        <v>2</v>
      </c>
      <c r="H22" s="129">
        <f>IF(B$15=0,0,G22/B$15)</f>
        <v>7.0671378091872791E-3</v>
      </c>
      <c r="I22" s="90">
        <v>9</v>
      </c>
      <c r="K22" s="36">
        <v>20</v>
      </c>
      <c r="L22" s="95">
        <v>-50.39999999999997</v>
      </c>
      <c r="N22" s="111" t="s">
        <v>172</v>
      </c>
      <c r="O22" s="121">
        <f>IF(P22=0,0,Q22/P22)</f>
        <v>-7.1727272727272728</v>
      </c>
      <c r="P22" s="115">
        <v>22</v>
      </c>
      <c r="Q22" s="103">
        <v>-157.80000000000001</v>
      </c>
    </row>
    <row r="23" spans="1:17" x14ac:dyDescent="0.45">
      <c r="A23" s="52" t="s">
        <v>177</v>
      </c>
      <c r="B23" s="136">
        <f>IF($B$15-B$14=0,0,C23/($B$15-B$14))</f>
        <v>11377.142857142857</v>
      </c>
      <c r="C23" s="137">
        <v>2389200</v>
      </c>
      <c r="E23" s="59" t="s">
        <v>84</v>
      </c>
      <c r="F23" s="56" t="s">
        <v>39</v>
      </c>
      <c r="G23" s="44">
        <v>2</v>
      </c>
      <c r="H23" s="129">
        <f>IF(B$15=0,0,G23/B$15)</f>
        <v>7.0671378091872791E-3</v>
      </c>
      <c r="I23" s="90">
        <v>1</v>
      </c>
      <c r="K23" s="36">
        <v>21</v>
      </c>
      <c r="L23" s="95">
        <v>-59.89999999999997</v>
      </c>
      <c r="N23" s="111" t="s">
        <v>196</v>
      </c>
      <c r="O23" s="121">
        <f>IF(P23=0,0,Q23/P23)</f>
        <v>-14.099999999999998</v>
      </c>
      <c r="P23" s="115">
        <v>8</v>
      </c>
      <c r="Q23" s="103">
        <v>-112.79999999999998</v>
      </c>
    </row>
    <row r="24" spans="1:17" x14ac:dyDescent="0.45">
      <c r="A24" s="52" t="s">
        <v>178</v>
      </c>
      <c r="B24" s="136">
        <f>IF(B$14=0,0,C24/B$14)</f>
        <v>8742.465753424658</v>
      </c>
      <c r="C24" s="137">
        <v>638200</v>
      </c>
      <c r="E24" s="59" t="s">
        <v>90</v>
      </c>
      <c r="F24" s="56" t="s">
        <v>45</v>
      </c>
      <c r="G24" s="44">
        <v>2</v>
      </c>
      <c r="H24" s="129">
        <f>IF(B$15=0,0,G24/B$15)</f>
        <v>7.0671378091872791E-3</v>
      </c>
      <c r="I24" s="90">
        <v>1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-7932.9411764705883</v>
      </c>
      <c r="C25" s="137">
        <v>-1348600</v>
      </c>
      <c r="E25" s="59" t="s">
        <v>75</v>
      </c>
      <c r="F25" s="56" t="s">
        <v>30</v>
      </c>
      <c r="G25" s="44">
        <v>1</v>
      </c>
      <c r="H25" s="129">
        <f>IF(B$15=0,0,G25/B$15)</f>
        <v>3.5335689045936395E-3</v>
      </c>
      <c r="I25" s="90">
        <v>9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1</v>
      </c>
      <c r="H26" s="129">
        <f>IF(B$15=0,0,G26/B$15)</f>
        <v>3.5335689045936395E-3</v>
      </c>
      <c r="I26" s="90">
        <v>3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8</v>
      </c>
      <c r="E27" s="59" t="s">
        <v>93</v>
      </c>
      <c r="F27" s="56" t="s">
        <v>48</v>
      </c>
      <c r="G27" s="44">
        <v>1</v>
      </c>
      <c r="H27" s="129">
        <f>IF(B$15=0,0,G27/B$15)</f>
        <v>3.5335689045936395E-3</v>
      </c>
      <c r="I27" s="90">
        <v>2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97</v>
      </c>
      <c r="F28" s="56" t="s">
        <v>52</v>
      </c>
      <c r="G28" s="44">
        <v>1</v>
      </c>
      <c r="H28" s="129">
        <f>IF(B$15=0,0,G28/B$15)</f>
        <v>3.5335689045936395E-3</v>
      </c>
      <c r="I28" s="90">
        <v>1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74</v>
      </c>
      <c r="F29" s="56" t="s">
        <v>29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1</v>
      </c>
      <c r="C30" s="40">
        <f>IF(B$3=0,0,B30/B$3)</f>
        <v>9.9403578528827028E-4</v>
      </c>
      <c r="E30" s="59" t="s">
        <v>76</v>
      </c>
      <c r="F30" s="56" t="s">
        <v>31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8</v>
      </c>
      <c r="C32" s="141">
        <f>IF(B$15=0,0,B32/B$15)</f>
        <v>2.8268551236749116E-2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22</v>
      </c>
      <c r="C33" s="37">
        <f t="shared" ref="C33:C44" si="2">IF(B$15=0,0,B33/B$15)</f>
        <v>7.7738515901060068E-2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39</v>
      </c>
      <c r="C34" s="37">
        <f>IF(B$15=0,0,B34/B$15)</f>
        <v>0.13780918727915195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54</v>
      </c>
      <c r="C35" s="37">
        <f t="shared" si="2"/>
        <v>0.19081272084805653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64</v>
      </c>
      <c r="C36" s="37">
        <f t="shared" si="2"/>
        <v>0.22614840989399293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38</v>
      </c>
      <c r="C37" s="37">
        <f t="shared" si="2"/>
        <v>0.13427561837455831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22</v>
      </c>
      <c r="C38" s="37">
        <f t="shared" si="2"/>
        <v>7.7738515901060068E-2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19</v>
      </c>
      <c r="C39" s="37">
        <f t="shared" si="2"/>
        <v>6.7137809187279157E-2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6</v>
      </c>
      <c r="C40" s="37">
        <f t="shared" si="2"/>
        <v>2.1201413427561839E-2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2</v>
      </c>
      <c r="C41" s="37">
        <f t="shared" si="2"/>
        <v>7.0671378091872791E-3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2"/>
        <v>7.0671378091872791E-3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3.5335689045936395E-3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6</v>
      </c>
      <c r="C44" s="40">
        <f t="shared" si="2"/>
        <v>2.1201413427561839E-2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  <row r="120" spans="11:12" x14ac:dyDescent="0.45">
      <c r="K120" s="36">
        <v>118</v>
      </c>
      <c r="L120" s="95">
        <v>706.10000000000036</v>
      </c>
    </row>
    <row r="121" spans="11:12" x14ac:dyDescent="0.45">
      <c r="K121" s="36">
        <v>119</v>
      </c>
      <c r="L121" s="95">
        <v>672.80000000000041</v>
      </c>
    </row>
    <row r="122" spans="11:12" x14ac:dyDescent="0.45">
      <c r="K122" s="36">
        <v>120</v>
      </c>
      <c r="L122" s="95">
        <v>622.40000000000043</v>
      </c>
    </row>
    <row r="123" spans="11:12" x14ac:dyDescent="0.45">
      <c r="K123" s="36">
        <v>121</v>
      </c>
      <c r="L123" s="95">
        <v>623.70000000000039</v>
      </c>
    </row>
    <row r="124" spans="11:12" x14ac:dyDescent="0.45">
      <c r="K124" s="36">
        <v>122</v>
      </c>
      <c r="L124" s="95">
        <v>609.30000000000041</v>
      </c>
    </row>
    <row r="125" spans="11:12" x14ac:dyDescent="0.45">
      <c r="K125" s="36">
        <v>123</v>
      </c>
      <c r="L125" s="95">
        <v>621.50000000000045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D994-61CE-4A39-9561-47860AF532FE}">
  <sheetPr codeName="Sheet17"/>
  <dimension ref="A1:Q13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132</v>
      </c>
      <c r="C2" s="155"/>
      <c r="E2" s="58" t="s">
        <v>66</v>
      </c>
      <c r="F2" s="55" t="s">
        <v>22</v>
      </c>
      <c r="G2" s="43">
        <v>222</v>
      </c>
      <c r="H2" s="128">
        <f>IF(B$15=0,0,G2/B$15)</f>
        <v>0.74747474747474751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-452.27272727272725</v>
      </c>
      <c r="P2" s="114">
        <v>132</v>
      </c>
      <c r="Q2" s="98">
        <v>-59700</v>
      </c>
    </row>
    <row r="3" spans="1:17" x14ac:dyDescent="0.45">
      <c r="A3" s="51" t="s">
        <v>8</v>
      </c>
      <c r="B3" s="156">
        <v>1079</v>
      </c>
      <c r="C3" s="157"/>
      <c r="E3" s="59" t="s">
        <v>72</v>
      </c>
      <c r="F3" s="56" t="s">
        <v>27</v>
      </c>
      <c r="G3" s="44">
        <v>167</v>
      </c>
      <c r="H3" s="129">
        <f>IF(B$15=0,0,G3/B$15)</f>
        <v>0.56228956228956228</v>
      </c>
      <c r="I3" s="90">
        <v>3</v>
      </c>
      <c r="K3" s="36">
        <v>1</v>
      </c>
      <c r="L3" s="95">
        <v>46.9</v>
      </c>
      <c r="N3" s="111" t="s">
        <v>131</v>
      </c>
      <c r="O3" s="118">
        <f t="shared" si="0"/>
        <v>-170.54263565891472</v>
      </c>
      <c r="P3" s="115">
        <v>129</v>
      </c>
      <c r="Q3" s="99">
        <v>-22000</v>
      </c>
    </row>
    <row r="4" spans="1:17" x14ac:dyDescent="0.45">
      <c r="A4" s="51" t="s">
        <v>6</v>
      </c>
      <c r="B4" s="158">
        <v>-238.2</v>
      </c>
      <c r="C4" s="159"/>
      <c r="E4" s="59" t="s">
        <v>64</v>
      </c>
      <c r="F4" s="56" t="s">
        <v>20</v>
      </c>
      <c r="G4" s="44">
        <v>150</v>
      </c>
      <c r="H4" s="129">
        <f>IF(B$15=0,0,G4/B$15)</f>
        <v>0.50505050505050508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264.22764227642278</v>
      </c>
      <c r="P4" s="115">
        <v>123</v>
      </c>
      <c r="Q4" s="99">
        <v>32500</v>
      </c>
    </row>
    <row r="5" spans="1:17" x14ac:dyDescent="0.45">
      <c r="A5" s="51" t="s">
        <v>7</v>
      </c>
      <c r="B5" s="160">
        <f>IF(B$2=0,0,B$4/B$2)</f>
        <v>-1.8045454545454545</v>
      </c>
      <c r="C5" s="161"/>
      <c r="E5" s="59" t="s">
        <v>166</v>
      </c>
      <c r="F5" s="56" t="s">
        <v>167</v>
      </c>
      <c r="G5" s="44">
        <v>127</v>
      </c>
      <c r="H5" s="129">
        <f>IF(B$15=0,0,G5/B$15)</f>
        <v>0.42760942760942761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159.82142857142858</v>
      </c>
      <c r="P5" s="115">
        <v>112</v>
      </c>
      <c r="Q5" s="99">
        <v>17900</v>
      </c>
    </row>
    <row r="6" spans="1:17" x14ac:dyDescent="0.45">
      <c r="A6" s="51" t="s">
        <v>1</v>
      </c>
      <c r="B6" s="150">
        <f>IF(B$2=0,0,(B$7*1+B$8*2+B$9*3)/B$2)</f>
        <v>2.0909090909090908</v>
      </c>
      <c r="C6" s="151"/>
      <c r="E6" s="59" t="s">
        <v>67</v>
      </c>
      <c r="F6" s="56" t="s">
        <v>23</v>
      </c>
      <c r="G6" s="44">
        <v>105</v>
      </c>
      <c r="H6" s="129">
        <f>IF(B$15=0,0,G6/B$15)</f>
        <v>0.35353535353535354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19.801980198019802</v>
      </c>
      <c r="P6" s="115">
        <v>101</v>
      </c>
      <c r="Q6" s="99">
        <v>2000</v>
      </c>
    </row>
    <row r="7" spans="1:17" x14ac:dyDescent="0.45">
      <c r="A7" s="51" t="s">
        <v>2</v>
      </c>
      <c r="B7" s="44">
        <v>30</v>
      </c>
      <c r="C7" s="37">
        <f t="shared" ref="C7:C10" si="1">IF(B$2=0,0,B7/B$2)</f>
        <v>0.22727272727272727</v>
      </c>
      <c r="E7" s="59" t="s">
        <v>68</v>
      </c>
      <c r="F7" s="56" t="s">
        <v>12</v>
      </c>
      <c r="G7" s="44">
        <v>93</v>
      </c>
      <c r="H7" s="129">
        <f>IF(B$15=0,0,G7/B$15)</f>
        <v>0.31313131313131315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-1194.1860465116279</v>
      </c>
      <c r="P7" s="116">
        <v>86</v>
      </c>
      <c r="Q7" s="100">
        <v>-102700</v>
      </c>
    </row>
    <row r="8" spans="1:17" x14ac:dyDescent="0.45">
      <c r="A8" s="51" t="s">
        <v>3</v>
      </c>
      <c r="B8" s="44">
        <v>60</v>
      </c>
      <c r="C8" s="37">
        <f t="shared" si="1"/>
        <v>0.45454545454545453</v>
      </c>
      <c r="E8" s="59" t="s">
        <v>69</v>
      </c>
      <c r="F8" s="56" t="s">
        <v>24</v>
      </c>
      <c r="G8" s="44">
        <v>39</v>
      </c>
      <c r="H8" s="129">
        <f>IF(B$15=0,0,G8/B$15)</f>
        <v>0.13131313131313133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42</v>
      </c>
      <c r="C9" s="38">
        <f t="shared" si="1"/>
        <v>0.31818181818181818</v>
      </c>
      <c r="E9" s="59" t="s">
        <v>89</v>
      </c>
      <c r="F9" s="56" t="s">
        <v>44</v>
      </c>
      <c r="G9" s="44">
        <v>38</v>
      </c>
      <c r="H9" s="129">
        <f>IF(B$15=0,0,G9/B$15)</f>
        <v>0.12794612794612795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7.575757575757576E-2</v>
      </c>
      <c r="E10" s="59" t="s">
        <v>71</v>
      </c>
      <c r="F10" s="56" t="s">
        <v>26</v>
      </c>
      <c r="G10" s="44">
        <v>30</v>
      </c>
      <c r="H10" s="129">
        <f>IF(B$15=0,0,G10/B$15)</f>
        <v>0.10101010101010101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-2.6509090909090913</v>
      </c>
      <c r="P10" s="114">
        <v>55</v>
      </c>
      <c r="Q10" s="102">
        <v>-145.80000000000001</v>
      </c>
    </row>
    <row r="11" spans="1:17" x14ac:dyDescent="0.45">
      <c r="A11" s="54" t="s">
        <v>121</v>
      </c>
      <c r="B11" s="47">
        <v>285</v>
      </c>
      <c r="C11" s="42">
        <f>IF(B$3=0,0,B11/B$3)</f>
        <v>0.26413345690454126</v>
      </c>
      <c r="E11" s="59" t="s">
        <v>65</v>
      </c>
      <c r="F11" s="56" t="s">
        <v>21</v>
      </c>
      <c r="G11" s="44">
        <v>24</v>
      </c>
      <c r="H11" s="129">
        <f>IF(B$15=0,0,G11/B$15)</f>
        <v>8.0808080808080815E-2</v>
      </c>
      <c r="I11" s="90">
        <v>12</v>
      </c>
      <c r="K11" s="36">
        <v>9</v>
      </c>
      <c r="L11" s="95">
        <v>-90.9</v>
      </c>
      <c r="N11" s="111" t="s">
        <v>158</v>
      </c>
      <c r="O11" s="121">
        <f>IF(P11=0,0,Q11/P11)</f>
        <v>-0.92926829268292621</v>
      </c>
      <c r="P11" s="115">
        <v>41</v>
      </c>
      <c r="Q11" s="103">
        <v>-38.099999999999973</v>
      </c>
    </row>
    <row r="12" spans="1:17" x14ac:dyDescent="0.45">
      <c r="A12" s="51" t="s">
        <v>118</v>
      </c>
      <c r="B12" s="44">
        <v>244</v>
      </c>
      <c r="C12" s="37">
        <f>IF(B$3=0,0,B12/B$3)</f>
        <v>0.22613531047265986</v>
      </c>
      <c r="E12" s="59" t="s">
        <v>70</v>
      </c>
      <c r="F12" s="56" t="s">
        <v>25</v>
      </c>
      <c r="G12" s="44">
        <v>23</v>
      </c>
      <c r="H12" s="129">
        <f>IF(B$15=0,0,G12/B$15)</f>
        <v>7.7441077441077436E-2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-1.5083333333333337</v>
      </c>
      <c r="P12" s="116">
        <v>36</v>
      </c>
      <c r="Q12" s="104">
        <v>-54.300000000000011</v>
      </c>
    </row>
    <row r="13" spans="1:17" x14ac:dyDescent="0.45">
      <c r="A13" s="50" t="s">
        <v>123</v>
      </c>
      <c r="B13" s="43">
        <f>B19</f>
        <v>156</v>
      </c>
      <c r="C13" s="35">
        <f>IF(B$11=0,0,B13/B$11)</f>
        <v>0.54736842105263162</v>
      </c>
      <c r="E13" s="59" t="s">
        <v>86</v>
      </c>
      <c r="F13" s="56" t="s">
        <v>41</v>
      </c>
      <c r="G13" s="44">
        <v>14</v>
      </c>
      <c r="H13" s="129">
        <f>IF(B$15=0,0,G13/B$15)</f>
        <v>4.7138047138047139E-2</v>
      </c>
      <c r="I13" s="90">
        <v>7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101</v>
      </c>
      <c r="C14" s="35">
        <f>IF(B$12=0,0,B14/B$12)</f>
        <v>0.41393442622950821</v>
      </c>
      <c r="E14" s="59" t="s">
        <v>83</v>
      </c>
      <c r="F14" s="56" t="s">
        <v>38</v>
      </c>
      <c r="G14" s="44">
        <v>12</v>
      </c>
      <c r="H14" s="129">
        <f>IF(B$15=0,0,G14/B$15)</f>
        <v>4.0404040404040407E-2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297</v>
      </c>
      <c r="C15" s="35">
        <f>IF(B$3=0,0,B15/B$3)</f>
        <v>0.27525486561631141</v>
      </c>
      <c r="E15" s="59" t="s">
        <v>79</v>
      </c>
      <c r="F15" s="56" t="s">
        <v>34</v>
      </c>
      <c r="G15" s="44">
        <v>7</v>
      </c>
      <c r="H15" s="129">
        <f>IF(B$15=0,0,G15/B$15)</f>
        <v>2.3569023569023569E-2</v>
      </c>
      <c r="I15" s="90">
        <v>3</v>
      </c>
      <c r="K15" s="36">
        <v>13</v>
      </c>
      <c r="L15" s="95">
        <v>-68.399999999999991</v>
      </c>
      <c r="N15" s="110" t="s">
        <v>228</v>
      </c>
      <c r="O15" s="120">
        <f t="shared" ref="O15:O25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153</v>
      </c>
      <c r="C16" s="37">
        <f>IF(B$3=0,0,B16/B$3)</f>
        <v>0.14179796107506951</v>
      </c>
      <c r="E16" s="59" t="s">
        <v>162</v>
      </c>
      <c r="F16" s="56" t="s">
        <v>163</v>
      </c>
      <c r="G16" s="44">
        <v>6</v>
      </c>
      <c r="H16" s="129">
        <f>IF(B$15=0,0,G16/B$15)</f>
        <v>2.0202020202020204E-2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132</v>
      </c>
      <c r="C17" s="37">
        <f>IF(B$15=0,0,B17/B$15)</f>
        <v>0.44444444444444442</v>
      </c>
      <c r="E17" s="59" t="s">
        <v>73</v>
      </c>
      <c r="F17" s="56" t="s">
        <v>28</v>
      </c>
      <c r="G17" s="44">
        <v>5</v>
      </c>
      <c r="H17" s="129">
        <f>IF(B$15=0,0,G17/B$15)</f>
        <v>1.6835016835016835E-2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 t="shared" si="2"/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165</v>
      </c>
      <c r="C18" s="37">
        <f>IF(B$15=0,0,B18/B$15)</f>
        <v>0.55555555555555558</v>
      </c>
      <c r="E18" s="59" t="s">
        <v>81</v>
      </c>
      <c r="F18" s="56" t="s">
        <v>36</v>
      </c>
      <c r="G18" s="44">
        <v>5</v>
      </c>
      <c r="H18" s="129">
        <f>IF(B$15=0,0,G18/B$15)</f>
        <v>1.6835016835016835E-2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 t="shared" si="2"/>
        <v>13.237500000000002</v>
      </c>
      <c r="P18" s="115">
        <v>24</v>
      </c>
      <c r="Q18" s="103">
        <v>317.70000000000005</v>
      </c>
    </row>
    <row r="19" spans="1:17" x14ac:dyDescent="0.45">
      <c r="A19" s="51" t="s">
        <v>195</v>
      </c>
      <c r="B19" s="44">
        <v>156</v>
      </c>
      <c r="C19" s="37">
        <f>IF(B$15=0,0,B19/B$15)</f>
        <v>0.5252525252525253</v>
      </c>
      <c r="E19" s="59" t="s">
        <v>78</v>
      </c>
      <c r="F19" s="56" t="s">
        <v>33</v>
      </c>
      <c r="G19" s="44">
        <v>3</v>
      </c>
      <c r="H19" s="129">
        <f>IF(B$15=0,0,G19/B$15)</f>
        <v>1.0101010101010102E-2</v>
      </c>
      <c r="I19" s="90">
        <v>9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101</v>
      </c>
      <c r="C20" s="37">
        <f>IF(B$15=0,0,B20/B$15)</f>
        <v>0.34006734006734007</v>
      </c>
      <c r="E20" s="59" t="s">
        <v>85</v>
      </c>
      <c r="F20" s="56" t="s">
        <v>40</v>
      </c>
      <c r="G20" s="44">
        <v>3</v>
      </c>
      <c r="H20" s="129">
        <f>IF(B$15=0,0,G20/B$15)</f>
        <v>1.0101010101010102E-2</v>
      </c>
      <c r="I20" s="90">
        <v>4</v>
      </c>
      <c r="K20" s="36">
        <v>18</v>
      </c>
      <c r="L20" s="95">
        <v>-62.399999999999991</v>
      </c>
      <c r="N20" s="111" t="s">
        <v>280</v>
      </c>
      <c r="O20" s="121">
        <f t="shared" si="2"/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40</v>
      </c>
      <c r="C21" s="37">
        <f>IF(B$15=0,0,B21/B$15)</f>
        <v>0.13468013468013468</v>
      </c>
      <c r="E21" s="59" t="s">
        <v>75</v>
      </c>
      <c r="F21" s="56" t="s">
        <v>30</v>
      </c>
      <c r="G21" s="44">
        <v>2</v>
      </c>
      <c r="H21" s="129">
        <f>IF(B$15=0,0,G21/B$15)</f>
        <v>6.7340067340067337E-3</v>
      </c>
      <c r="I21" s="90">
        <v>6</v>
      </c>
      <c r="K21" s="36">
        <v>19</v>
      </c>
      <c r="L21" s="95">
        <v>-56.399999999999991</v>
      </c>
      <c r="N21" s="111" t="s">
        <v>127</v>
      </c>
      <c r="O21" s="121">
        <f t="shared" si="2"/>
        <v>-1.9895833333333333</v>
      </c>
      <c r="P21" s="115">
        <v>48</v>
      </c>
      <c r="Q21" s="103">
        <v>-95.5</v>
      </c>
    </row>
    <row r="22" spans="1:17" x14ac:dyDescent="0.45">
      <c r="A22" s="51" t="s">
        <v>5</v>
      </c>
      <c r="B22" s="48">
        <f>IF(B$15=0,0,C22/B$15)</f>
        <v>8234.0067340067344</v>
      </c>
      <c r="C22" s="39">
        <v>2445500</v>
      </c>
      <c r="E22" s="59" t="s">
        <v>91</v>
      </c>
      <c r="F22" s="56" t="s">
        <v>46</v>
      </c>
      <c r="G22" s="44">
        <v>2</v>
      </c>
      <c r="H22" s="129">
        <f>IF(B$15=0,0,G22/B$15)</f>
        <v>6.7340067340067337E-3</v>
      </c>
      <c r="I22" s="90">
        <v>8</v>
      </c>
      <c r="K22" s="36">
        <v>20</v>
      </c>
      <c r="L22" s="95">
        <v>-93.199999999999989</v>
      </c>
      <c r="N22" s="111" t="s">
        <v>161</v>
      </c>
      <c r="O22" s="121">
        <f t="shared" si="2"/>
        <v>-2.876666666666666</v>
      </c>
      <c r="P22" s="115">
        <v>30</v>
      </c>
      <c r="Q22" s="103">
        <v>-86.299999999999983</v>
      </c>
    </row>
    <row r="23" spans="1:17" x14ac:dyDescent="0.45">
      <c r="A23" s="52" t="s">
        <v>177</v>
      </c>
      <c r="B23" s="136">
        <f>IF($B$15-B$14=0,0,C23/($B$15-B$14))</f>
        <v>9025</v>
      </c>
      <c r="C23" s="137">
        <v>1768900</v>
      </c>
      <c r="E23" s="59" t="s">
        <v>74</v>
      </c>
      <c r="F23" s="56" t="s">
        <v>29</v>
      </c>
      <c r="G23" s="44">
        <v>1</v>
      </c>
      <c r="H23" s="129">
        <f>IF(B$15=0,0,G23/B$15)</f>
        <v>3.3670033670033669E-3</v>
      </c>
      <c r="I23" s="90">
        <v>6</v>
      </c>
      <c r="K23" s="36">
        <v>21</v>
      </c>
      <c r="L23" s="95">
        <v>-123.69999999999999</v>
      </c>
      <c r="N23" s="111" t="s">
        <v>170</v>
      </c>
      <c r="O23" s="121">
        <f t="shared" si="2"/>
        <v>-12.623728813559321</v>
      </c>
      <c r="P23" s="115">
        <v>59</v>
      </c>
      <c r="Q23" s="103">
        <v>-744.8</v>
      </c>
    </row>
    <row r="24" spans="1:17" x14ac:dyDescent="0.45">
      <c r="A24" s="52" t="s">
        <v>178</v>
      </c>
      <c r="B24" s="136">
        <f>IF(B$14=0,0,C24/B$14)</f>
        <v>6699.0099009900987</v>
      </c>
      <c r="C24" s="137">
        <v>676600</v>
      </c>
      <c r="E24" s="59" t="s">
        <v>87</v>
      </c>
      <c r="F24" s="56" t="s">
        <v>42</v>
      </c>
      <c r="G24" s="44">
        <v>1</v>
      </c>
      <c r="H24" s="129">
        <f>IF(B$15=0,0,G24/B$15)</f>
        <v>3.3670033670033669E-3</v>
      </c>
      <c r="I24" s="90">
        <v>4</v>
      </c>
      <c r="K24" s="36">
        <v>22</v>
      </c>
      <c r="L24" s="95">
        <v>-66.999999999999986</v>
      </c>
      <c r="N24" s="111" t="s">
        <v>126</v>
      </c>
      <c r="O24" s="121">
        <f t="shared" si="2"/>
        <v>-13.875</v>
      </c>
      <c r="P24" s="115">
        <v>60</v>
      </c>
      <c r="Q24" s="103">
        <v>-832.5</v>
      </c>
    </row>
    <row r="25" spans="1:17" x14ac:dyDescent="0.45">
      <c r="A25" s="52" t="s">
        <v>176</v>
      </c>
      <c r="B25" s="136">
        <f>IF(B$16=0,0,C25/B$16)</f>
        <v>-7108.4967320261439</v>
      </c>
      <c r="C25" s="137">
        <v>-1087600</v>
      </c>
      <c r="E25" s="59" t="s">
        <v>88</v>
      </c>
      <c r="F25" s="56" t="s">
        <v>43</v>
      </c>
      <c r="G25" s="44">
        <v>1</v>
      </c>
      <c r="H25" s="129">
        <f>IF(B$15=0,0,G25/B$15)</f>
        <v>3.3670033670033669E-3</v>
      </c>
      <c r="I25" s="90">
        <v>3</v>
      </c>
      <c r="K25" s="36">
        <v>23</v>
      </c>
      <c r="L25" s="95">
        <v>-59.599999999999987</v>
      </c>
      <c r="N25" s="111" t="s">
        <v>274</v>
      </c>
      <c r="O25" s="121">
        <f t="shared" si="2"/>
        <v>-38.25</v>
      </c>
      <c r="P25" s="115">
        <v>2</v>
      </c>
      <c r="Q25" s="103">
        <v>-76.5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3.3670033670033669E-3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5</v>
      </c>
      <c r="E27" s="59" t="s">
        <v>101</v>
      </c>
      <c r="F27" s="56" t="s">
        <v>56</v>
      </c>
      <c r="G27" s="44">
        <v>1</v>
      </c>
      <c r="H27" s="129">
        <f>IF(B$15=0,0,G27/B$15)</f>
        <v>3.3670033670033669E-3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1.8535681186283596E-3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18</v>
      </c>
      <c r="C32" s="141">
        <f>IF(B$15=0,0,B32/B$15)</f>
        <v>6.0606060606060608E-2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54</v>
      </c>
      <c r="C33" s="37">
        <f t="shared" ref="C33:C44" si="3">IF(B$15=0,0,B33/B$15)</f>
        <v>0.18181818181818182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63</v>
      </c>
      <c r="C34" s="37">
        <f>IF(B$15=0,0,B34/B$15)</f>
        <v>0.21212121212121213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55</v>
      </c>
      <c r="C35" s="37">
        <f t="shared" si="3"/>
        <v>0.18518518518518517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43</v>
      </c>
      <c r="C36" s="37">
        <f t="shared" si="3"/>
        <v>0.14478114478114479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33</v>
      </c>
      <c r="C37" s="37">
        <f t="shared" si="3"/>
        <v>0.1111111111111111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14</v>
      </c>
      <c r="C38" s="37">
        <f t="shared" si="3"/>
        <v>4.7138047138047139E-2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3"/>
        <v>2.3569023569023569E-2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3"/>
        <v>1.0101010101010102E-2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3"/>
        <v>6.7340067340067337E-3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3"/>
        <v>3.3670033670033669E-3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3"/>
        <v>6.7340067340067337E-3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2</v>
      </c>
      <c r="C44" s="40">
        <f t="shared" si="3"/>
        <v>6.7340067340067337E-3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</sheetData>
  <sortState xmlns:xlrd2="http://schemas.microsoft.com/office/spreadsheetml/2017/richdata2" ref="E2:I13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66C1-91BC-4E9F-BD5F-061B3ABF088E}">
  <sheetPr codeName="Sheet19"/>
  <dimension ref="A1:Q6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62</v>
      </c>
      <c r="C2" s="155"/>
      <c r="E2" s="58" t="s">
        <v>66</v>
      </c>
      <c r="F2" s="55" t="s">
        <v>22</v>
      </c>
      <c r="G2" s="43">
        <v>93</v>
      </c>
      <c r="H2" s="128">
        <f>IF(B$15=0,0,G2/B$15)</f>
        <v>0.69402985074626866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-2541.9354838709678</v>
      </c>
      <c r="P2" s="114">
        <v>62</v>
      </c>
      <c r="Q2" s="98">
        <v>-157600</v>
      </c>
    </row>
    <row r="3" spans="1:17" x14ac:dyDescent="0.45">
      <c r="A3" s="51" t="s">
        <v>8</v>
      </c>
      <c r="B3" s="156">
        <v>517</v>
      </c>
      <c r="C3" s="157"/>
      <c r="E3" s="59" t="s">
        <v>72</v>
      </c>
      <c r="F3" s="56" t="s">
        <v>27</v>
      </c>
      <c r="G3" s="44">
        <v>87</v>
      </c>
      <c r="H3" s="129">
        <f>IF(B$15=0,0,G3/B$15)</f>
        <v>0.64925373134328357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738.70967741935488</v>
      </c>
      <c r="P3" s="115">
        <v>62</v>
      </c>
      <c r="Q3" s="99">
        <v>45800</v>
      </c>
    </row>
    <row r="4" spans="1:17" x14ac:dyDescent="0.45">
      <c r="A4" s="51" t="s">
        <v>6</v>
      </c>
      <c r="B4" s="158">
        <v>-665.40000000000009</v>
      </c>
      <c r="C4" s="159"/>
      <c r="E4" s="59" t="s">
        <v>64</v>
      </c>
      <c r="F4" s="56" t="s">
        <v>20</v>
      </c>
      <c r="G4" s="44">
        <v>55</v>
      </c>
      <c r="H4" s="129">
        <f>IF(B$15=0,0,G4/B$15)</f>
        <v>0.41044776119402987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-691.52542372881351</v>
      </c>
      <c r="P4" s="115">
        <v>59</v>
      </c>
      <c r="Q4" s="99">
        <v>-40800</v>
      </c>
    </row>
    <row r="5" spans="1:17" x14ac:dyDescent="0.45">
      <c r="A5" s="51" t="s">
        <v>7</v>
      </c>
      <c r="B5" s="160">
        <f>IF(B$2=0,0,B$4/B$2)</f>
        <v>-10.732258064516131</v>
      </c>
      <c r="C5" s="161"/>
      <c r="E5" s="59" t="s">
        <v>166</v>
      </c>
      <c r="F5" s="56" t="s">
        <v>167</v>
      </c>
      <c r="G5" s="44">
        <v>47</v>
      </c>
      <c r="H5" s="129">
        <f>IF(B$15=0,0,G5/B$15)</f>
        <v>0.35074626865671643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-1784.9056603773586</v>
      </c>
      <c r="P5" s="115">
        <v>53</v>
      </c>
      <c r="Q5" s="99">
        <v>-94600</v>
      </c>
    </row>
    <row r="6" spans="1:17" x14ac:dyDescent="0.45">
      <c r="A6" s="51" t="s">
        <v>1</v>
      </c>
      <c r="B6" s="150">
        <f>IF(B$2=0,0,(B$7*1+B$8*2+B$9*3)/B$2)</f>
        <v>2.274193548387097</v>
      </c>
      <c r="C6" s="151"/>
      <c r="E6" s="59" t="s">
        <v>68</v>
      </c>
      <c r="F6" s="56" t="s">
        <v>12</v>
      </c>
      <c r="G6" s="44">
        <v>36</v>
      </c>
      <c r="H6" s="129">
        <f>IF(B$15=0,0,G6/B$15)</f>
        <v>0.26865671641791045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-1862</v>
      </c>
      <c r="P6" s="115">
        <v>50</v>
      </c>
      <c r="Q6" s="99">
        <v>-93100</v>
      </c>
    </row>
    <row r="7" spans="1:17" x14ac:dyDescent="0.45">
      <c r="A7" s="51" t="s">
        <v>2</v>
      </c>
      <c r="B7" s="44">
        <v>10</v>
      </c>
      <c r="C7" s="37">
        <f t="shared" ref="C7:C10" si="1">IF(B$2=0,0,B7/B$2)</f>
        <v>0.16129032258064516</v>
      </c>
      <c r="E7" s="59" t="s">
        <v>67</v>
      </c>
      <c r="F7" s="56" t="s">
        <v>23</v>
      </c>
      <c r="G7" s="44">
        <v>30</v>
      </c>
      <c r="H7" s="129">
        <f>IF(B$15=0,0,G7/B$15)</f>
        <v>0.22388059701492538</v>
      </c>
      <c r="I7" s="90">
        <v>11</v>
      </c>
      <c r="K7" s="36">
        <v>5</v>
      </c>
      <c r="L7" s="95">
        <v>-124.3</v>
      </c>
      <c r="N7" s="112" t="s">
        <v>135</v>
      </c>
      <c r="O7" s="119">
        <f t="shared" si="0"/>
        <v>-2182.9268292682927</v>
      </c>
      <c r="P7" s="116">
        <v>41</v>
      </c>
      <c r="Q7" s="100">
        <v>-89500</v>
      </c>
    </row>
    <row r="8" spans="1:17" x14ac:dyDescent="0.45">
      <c r="A8" s="51" t="s">
        <v>3</v>
      </c>
      <c r="B8" s="44">
        <v>25</v>
      </c>
      <c r="C8" s="37">
        <f t="shared" si="1"/>
        <v>0.40322580645161288</v>
      </c>
      <c r="E8" s="59" t="s">
        <v>89</v>
      </c>
      <c r="F8" s="56" t="s">
        <v>44</v>
      </c>
      <c r="G8" s="44">
        <v>20</v>
      </c>
      <c r="H8" s="129">
        <f>IF(B$15=0,0,G8/B$15)</f>
        <v>0.14925373134328357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27</v>
      </c>
      <c r="C9" s="38">
        <f t="shared" si="1"/>
        <v>0.43548387096774194</v>
      </c>
      <c r="E9" s="59" t="s">
        <v>65</v>
      </c>
      <c r="F9" s="56" t="s">
        <v>21</v>
      </c>
      <c r="G9" s="44">
        <v>16</v>
      </c>
      <c r="H9" s="129">
        <f>IF(B$15=0,0,G9/B$15)</f>
        <v>0.11940298507462686</v>
      </c>
      <c r="I9" s="90">
        <v>7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0.16129032258064516</v>
      </c>
      <c r="E10" s="59" t="s">
        <v>71</v>
      </c>
      <c r="F10" s="56" t="s">
        <v>26</v>
      </c>
      <c r="G10" s="44">
        <v>13</v>
      </c>
      <c r="H10" s="129">
        <f>IF(B$15=0,0,G10/B$15)</f>
        <v>9.7014925373134331E-2</v>
      </c>
      <c r="I10" s="90">
        <v>5</v>
      </c>
      <c r="K10" s="36">
        <v>8</v>
      </c>
      <c r="L10" s="95">
        <v>-152.6</v>
      </c>
      <c r="N10" s="110" t="s">
        <v>157</v>
      </c>
      <c r="O10" s="120">
        <f>IF(P10=0,0,Q10/P10)</f>
        <v>-18.719230769230769</v>
      </c>
      <c r="P10" s="114">
        <v>26</v>
      </c>
      <c r="Q10" s="102">
        <v>-486.7</v>
      </c>
    </row>
    <row r="11" spans="1:17" x14ac:dyDescent="0.45">
      <c r="A11" s="54" t="s">
        <v>121</v>
      </c>
      <c r="B11" s="47">
        <v>109</v>
      </c>
      <c r="C11" s="42">
        <f>IF(B$3=0,0,B11/B$3)</f>
        <v>0.21083172147001933</v>
      </c>
      <c r="E11" s="59" t="s">
        <v>69</v>
      </c>
      <c r="F11" s="56" t="s">
        <v>24</v>
      </c>
      <c r="G11" s="44">
        <v>12</v>
      </c>
      <c r="H11" s="129">
        <f>IF(B$15=0,0,G11/B$15)</f>
        <v>8.9552238805970144E-2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-2.8555555555555552</v>
      </c>
      <c r="P11" s="115">
        <v>18</v>
      </c>
      <c r="Q11" s="103">
        <v>-51.399999999999991</v>
      </c>
    </row>
    <row r="12" spans="1:17" x14ac:dyDescent="0.45">
      <c r="A12" s="51" t="s">
        <v>118</v>
      </c>
      <c r="B12" s="44">
        <v>118</v>
      </c>
      <c r="C12" s="37">
        <f>IF(B$3=0,0,B12/B$3)</f>
        <v>0.22823984526112184</v>
      </c>
      <c r="E12" s="59" t="s">
        <v>70</v>
      </c>
      <c r="F12" s="56" t="s">
        <v>25</v>
      </c>
      <c r="G12" s="44">
        <v>12</v>
      </c>
      <c r="H12" s="129">
        <f>IF(B$15=0,0,G12/B$15)</f>
        <v>8.9552238805970144E-2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-7.072222222222222</v>
      </c>
      <c r="P12" s="116">
        <v>18</v>
      </c>
      <c r="Q12" s="104">
        <v>-127.3</v>
      </c>
    </row>
    <row r="13" spans="1:17" x14ac:dyDescent="0.45">
      <c r="A13" s="50" t="s">
        <v>123</v>
      </c>
      <c r="B13" s="43">
        <f>B19</f>
        <v>57</v>
      </c>
      <c r="C13" s="35">
        <f>IF(B$11=0,0,B13/B$11)</f>
        <v>0.52293577981651373</v>
      </c>
      <c r="E13" s="59" t="s">
        <v>83</v>
      </c>
      <c r="F13" s="56" t="s">
        <v>38</v>
      </c>
      <c r="G13" s="44">
        <v>8</v>
      </c>
      <c r="H13" s="129">
        <f>IF(B$15=0,0,G13/B$15)</f>
        <v>5.9701492537313432E-2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51</v>
      </c>
      <c r="C14" s="35">
        <f>IF(B$12=0,0,B14/B$12)</f>
        <v>0.43220338983050849</v>
      </c>
      <c r="E14" s="59" t="s">
        <v>86</v>
      </c>
      <c r="F14" s="56" t="s">
        <v>41</v>
      </c>
      <c r="G14" s="44">
        <v>8</v>
      </c>
      <c r="H14" s="129">
        <f>IF(B$15=0,0,G14/B$15)</f>
        <v>5.9701492537313432E-2</v>
      </c>
      <c r="I14" s="90">
        <v>4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134</v>
      </c>
      <c r="C15" s="35">
        <f>IF(B$3=0,0,B15/B$3)</f>
        <v>0.25918762088974856</v>
      </c>
      <c r="E15" s="59" t="s">
        <v>81</v>
      </c>
      <c r="F15" s="56" t="s">
        <v>36</v>
      </c>
      <c r="G15" s="44">
        <v>7</v>
      </c>
      <c r="H15" s="129">
        <f>IF(B$15=0,0,G15/B$15)</f>
        <v>5.2238805970149252E-2</v>
      </c>
      <c r="I15" s="90">
        <v>2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5.5722222222222184</v>
      </c>
      <c r="P15" s="114">
        <v>18</v>
      </c>
      <c r="Q15" s="102">
        <v>100.29999999999993</v>
      </c>
    </row>
    <row r="16" spans="1:17" x14ac:dyDescent="0.45">
      <c r="A16" s="51" t="s">
        <v>13</v>
      </c>
      <c r="B16" s="44">
        <v>92</v>
      </c>
      <c r="C16" s="37">
        <f>IF(B$3=0,0,B16/B$3)</f>
        <v>0.17794970986460348</v>
      </c>
      <c r="E16" s="59" t="s">
        <v>91</v>
      </c>
      <c r="F16" s="56" t="s">
        <v>46</v>
      </c>
      <c r="G16" s="44">
        <v>2</v>
      </c>
      <c r="H16" s="129">
        <f>IF(B$15=0,0,G16/B$15)</f>
        <v>1.4925373134328358E-2</v>
      </c>
      <c r="I16" s="90">
        <v>5</v>
      </c>
      <c r="K16" s="36">
        <v>14</v>
      </c>
      <c r="L16" s="95">
        <v>-266.90000000000003</v>
      </c>
      <c r="N16" s="111" t="s">
        <v>280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61</v>
      </c>
      <c r="C17" s="37">
        <f>IF(B$15=0,0,B17/B$15)</f>
        <v>0.45522388059701491</v>
      </c>
      <c r="E17" s="59" t="s">
        <v>74</v>
      </c>
      <c r="F17" s="56" t="s">
        <v>29</v>
      </c>
      <c r="G17" s="44">
        <v>1</v>
      </c>
      <c r="H17" s="129">
        <f>IF(B$15=0,0,G17/B$15)</f>
        <v>7.462686567164179E-3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 t="shared" si="2"/>
        <v>-11.178571428571429</v>
      </c>
      <c r="P17" s="115">
        <v>28</v>
      </c>
      <c r="Q17" s="103">
        <v>-313</v>
      </c>
    </row>
    <row r="18" spans="1:17" x14ac:dyDescent="0.45">
      <c r="A18" s="51" t="s">
        <v>11</v>
      </c>
      <c r="B18" s="44">
        <v>73</v>
      </c>
      <c r="C18" s="37">
        <f>IF(B$15=0,0,B18/B$15)</f>
        <v>0.54477611940298509</v>
      </c>
      <c r="E18" s="59" t="s">
        <v>78</v>
      </c>
      <c r="F18" s="56" t="s">
        <v>33</v>
      </c>
      <c r="G18" s="44">
        <v>1</v>
      </c>
      <c r="H18" s="129">
        <f>IF(B$15=0,0,G18/B$15)</f>
        <v>7.462686567164179E-3</v>
      </c>
      <c r="I18" s="90">
        <v>10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57</v>
      </c>
      <c r="C19" s="37">
        <f>IF(B$15=0,0,B19/B$15)</f>
        <v>0.42537313432835822</v>
      </c>
      <c r="E19" s="59" t="s">
        <v>92</v>
      </c>
      <c r="F19" s="56" t="s">
        <v>47</v>
      </c>
      <c r="G19" s="44">
        <v>1</v>
      </c>
      <c r="H19" s="129">
        <f>IF(B$15=0,0,G19/B$15)</f>
        <v>7.462686567164179E-3</v>
      </c>
      <c r="I19" s="90">
        <v>3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 x14ac:dyDescent="0.45">
      <c r="A20" s="51" t="s">
        <v>193</v>
      </c>
      <c r="B20" s="44">
        <v>51</v>
      </c>
      <c r="C20" s="37">
        <f>IF(B$15=0,0,B20/B$15)</f>
        <v>0.38059701492537312</v>
      </c>
      <c r="E20" s="59" t="s">
        <v>95</v>
      </c>
      <c r="F20" s="56" t="s">
        <v>50</v>
      </c>
      <c r="G20" s="44">
        <v>1</v>
      </c>
      <c r="H20" s="129">
        <f>IF(B$15=0,0,G20/B$15)</f>
        <v>7.462686567164179E-3</v>
      </c>
      <c r="I20" s="90">
        <v>1</v>
      </c>
      <c r="K20" s="36">
        <v>18</v>
      </c>
      <c r="L20" s="95">
        <v>-355.50000000000006</v>
      </c>
      <c r="N20" s="111" t="s">
        <v>171</v>
      </c>
      <c r="O20" s="121">
        <f t="shared" si="2"/>
        <v>-16.860714285714284</v>
      </c>
      <c r="P20" s="115">
        <v>28</v>
      </c>
      <c r="Q20" s="103">
        <v>-472.09999999999997</v>
      </c>
    </row>
    <row r="21" spans="1:17" x14ac:dyDescent="0.45">
      <c r="A21" s="51" t="s">
        <v>194</v>
      </c>
      <c r="B21" s="44">
        <v>26</v>
      </c>
      <c r="C21" s="37">
        <f>IF(B$15=0,0,B21/B$15)</f>
        <v>0.19402985074626866</v>
      </c>
      <c r="E21" s="59" t="s">
        <v>162</v>
      </c>
      <c r="F21" s="56" t="s">
        <v>163</v>
      </c>
      <c r="G21" s="44">
        <v>1</v>
      </c>
      <c r="H21" s="129">
        <f>IF(B$15=0,0,G21/B$15)</f>
        <v>7.462686567164179E-3</v>
      </c>
      <c r="I21" s="90">
        <v>8</v>
      </c>
      <c r="K21" s="36">
        <v>19</v>
      </c>
      <c r="L21" s="95">
        <v>-400.60000000000008</v>
      </c>
      <c r="N21" s="111" t="s">
        <v>203</v>
      </c>
      <c r="O21" s="121">
        <f t="shared" si="2"/>
        <v>-17.649999999999999</v>
      </c>
      <c r="P21" s="115">
        <v>2</v>
      </c>
      <c r="Q21" s="103">
        <v>-35.299999999999997</v>
      </c>
    </row>
    <row r="22" spans="1:17" x14ac:dyDescent="0.45">
      <c r="A22" s="51" t="s">
        <v>5</v>
      </c>
      <c r="B22" s="48">
        <f>IF(B$15=0,0,C22/B$15)</f>
        <v>8070.1492537313434</v>
      </c>
      <c r="C22" s="39">
        <v>1081400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 t="shared" si="2"/>
        <v>-24.274999999999999</v>
      </c>
      <c r="P22" s="115">
        <v>4</v>
      </c>
      <c r="Q22" s="103">
        <v>-97.1</v>
      </c>
    </row>
    <row r="23" spans="1:17" x14ac:dyDescent="0.45">
      <c r="A23" s="52" t="s">
        <v>177</v>
      </c>
      <c r="B23" s="136">
        <f>IF($B$15-B$14=0,0,C23/($B$15-B$14))</f>
        <v>8591.5662650602408</v>
      </c>
      <c r="C23" s="137">
        <v>713100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10</v>
      </c>
      <c r="K23" s="36">
        <v>21</v>
      </c>
      <c r="L23" s="95">
        <v>-423.7000000000001</v>
      </c>
      <c r="N23" s="111" t="s">
        <v>126</v>
      </c>
      <c r="O23" s="121">
        <f t="shared" si="2"/>
        <v>-26.642105263157902</v>
      </c>
      <c r="P23" s="115">
        <v>19</v>
      </c>
      <c r="Q23" s="103">
        <v>-506.2000000000001</v>
      </c>
    </row>
    <row r="24" spans="1:17" x14ac:dyDescent="0.45">
      <c r="A24" s="52" t="s">
        <v>178</v>
      </c>
      <c r="B24" s="136">
        <f>IF(B$14=0,0,C24/B$14)</f>
        <v>7221.5686274509808</v>
      </c>
      <c r="C24" s="137">
        <v>368300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 t="shared" si="2"/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-8323.9130434782601</v>
      </c>
      <c r="C25" s="137">
        <v>-765800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-450.10000000000014</v>
      </c>
      <c r="N25" s="111" t="s">
        <v>228</v>
      </c>
      <c r="O25" s="121">
        <f t="shared" si="2"/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5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5.8027079303675051E-3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8.9552238805970144E-2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26</v>
      </c>
      <c r="C33" s="37">
        <f t="shared" ref="C33:C44" si="3">IF(B$15=0,0,B33/B$15)</f>
        <v>0.19402985074626866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27</v>
      </c>
      <c r="C34" s="37">
        <f>IF(B$15=0,0,B34/B$15)</f>
        <v>0.20149253731343283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21</v>
      </c>
      <c r="C35" s="37">
        <f t="shared" si="3"/>
        <v>0.15671641791044777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19</v>
      </c>
      <c r="C36" s="37">
        <f t="shared" si="3"/>
        <v>0.1417910447761194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11</v>
      </c>
      <c r="C37" s="37">
        <f t="shared" si="3"/>
        <v>8.2089552238805971E-2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10</v>
      </c>
      <c r="C38" s="37">
        <f t="shared" si="3"/>
        <v>7.4626865671641784E-2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3"/>
        <v>3.7313432835820892E-2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7.462686567164179E-3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1.4925373134328358E-2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  <row r="62" spans="5:12" x14ac:dyDescent="0.45">
      <c r="K62" s="36">
        <v>60</v>
      </c>
      <c r="L62" s="95">
        <v>-656.2</v>
      </c>
    </row>
    <row r="63" spans="5:12" x14ac:dyDescent="0.45">
      <c r="K63" s="36">
        <v>61</v>
      </c>
      <c r="L63" s="95">
        <v>-653.40000000000009</v>
      </c>
    </row>
    <row r="64" spans="5:12" x14ac:dyDescent="0.45">
      <c r="K64" s="36">
        <v>62</v>
      </c>
      <c r="L64" s="95">
        <v>-665.40000000000009</v>
      </c>
    </row>
  </sheetData>
  <sortState xmlns:xlrd2="http://schemas.microsoft.com/office/spreadsheetml/2017/richdata2" ref="E2:I6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5796-D0B7-4FBE-B9A2-87DA0344D12B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6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8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B315-D6A7-4A15-A119-9F93471CCACE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7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AC48-0AEB-4A1F-93AF-AB27AEF03EFD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BF6B-9A9F-492E-96A2-AFE46B113745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</v>
      </c>
      <c r="C2" s="155"/>
      <c r="E2" s="58" t="s">
        <v>64</v>
      </c>
      <c r="F2" s="55" t="s">
        <v>20</v>
      </c>
      <c r="G2" s="43">
        <v>23</v>
      </c>
      <c r="H2" s="128">
        <f>IF(B$15=0,0,G2/B$15)</f>
        <v>0.54761904761904767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-2923.0769230769229</v>
      </c>
      <c r="P2" s="114">
        <v>13</v>
      </c>
      <c r="Q2" s="98">
        <v>-38000</v>
      </c>
    </row>
    <row r="3" spans="1:17" x14ac:dyDescent="0.45">
      <c r="A3" s="51" t="s">
        <v>8</v>
      </c>
      <c r="B3" s="156">
        <v>118</v>
      </c>
      <c r="C3" s="157"/>
      <c r="E3" s="59" t="s">
        <v>66</v>
      </c>
      <c r="F3" s="56" t="s">
        <v>22</v>
      </c>
      <c r="G3" s="44">
        <v>22</v>
      </c>
      <c r="H3" s="129">
        <f>IF(B$15=0,0,G3/B$15)</f>
        <v>0.52380952380952384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-430.76923076923077</v>
      </c>
      <c r="P3" s="115">
        <v>13</v>
      </c>
      <c r="Q3" s="99">
        <v>-5600</v>
      </c>
    </row>
    <row r="4" spans="1:17" x14ac:dyDescent="0.45">
      <c r="A4" s="51" t="s">
        <v>6</v>
      </c>
      <c r="B4" s="158">
        <v>-47.6</v>
      </c>
      <c r="C4" s="159"/>
      <c r="E4" s="59" t="s">
        <v>72</v>
      </c>
      <c r="F4" s="56" t="s">
        <v>27</v>
      </c>
      <c r="G4" s="44">
        <v>20</v>
      </c>
      <c r="H4" s="129">
        <f>IF(B$15=0,0,G4/B$15)</f>
        <v>0.47619047619047616</v>
      </c>
      <c r="I4" s="90">
        <v>10</v>
      </c>
      <c r="K4" s="36">
        <v>2</v>
      </c>
      <c r="L4" s="95">
        <v>27.8</v>
      </c>
      <c r="N4" s="111" t="s">
        <v>132</v>
      </c>
      <c r="O4" s="118">
        <f t="shared" si="0"/>
        <v>-2992.3076923076924</v>
      </c>
      <c r="P4" s="115">
        <v>13</v>
      </c>
      <c r="Q4" s="99">
        <v>-38900</v>
      </c>
    </row>
    <row r="5" spans="1:17" x14ac:dyDescent="0.45">
      <c r="A5" s="51" t="s">
        <v>7</v>
      </c>
      <c r="B5" s="160">
        <f>IF(B$2=0,0,B$4/B$2)</f>
        <v>-3.6615384615384619</v>
      </c>
      <c r="C5" s="161"/>
      <c r="E5" s="59" t="s">
        <v>68</v>
      </c>
      <c r="F5" s="56" t="s">
        <v>12</v>
      </c>
      <c r="G5" s="44">
        <v>16</v>
      </c>
      <c r="H5" s="129">
        <f>IF(B$15=0,0,G5/B$15)</f>
        <v>0.38095238095238093</v>
      </c>
      <c r="I5" s="90">
        <v>3</v>
      </c>
      <c r="K5" s="36">
        <v>3</v>
      </c>
      <c r="L5" s="95">
        <v>20.399999999999999</v>
      </c>
      <c r="N5" s="111" t="s">
        <v>133</v>
      </c>
      <c r="O5" s="118">
        <f t="shared" si="0"/>
        <v>623.07692307692309</v>
      </c>
      <c r="P5" s="115">
        <v>13</v>
      </c>
      <c r="Q5" s="99">
        <v>8100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67</v>
      </c>
      <c r="F6" s="56" t="s">
        <v>23</v>
      </c>
      <c r="G6" s="44">
        <v>13</v>
      </c>
      <c r="H6" s="129">
        <f>IF(B$15=0,0,G6/B$15)</f>
        <v>0.30952380952380953</v>
      </c>
      <c r="I6" s="90">
        <v>6</v>
      </c>
      <c r="K6" s="36">
        <v>4</v>
      </c>
      <c r="L6" s="95">
        <v>53.1</v>
      </c>
      <c r="N6" s="111" t="s">
        <v>134</v>
      </c>
      <c r="O6" s="118">
        <f t="shared" si="0"/>
        <v>-827.27272727272725</v>
      </c>
      <c r="P6" s="115">
        <v>11</v>
      </c>
      <c r="Q6" s="99">
        <v>-9100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0.38461538461538464</v>
      </c>
      <c r="E7" s="59" t="s">
        <v>166</v>
      </c>
      <c r="F7" s="56" t="s">
        <v>167</v>
      </c>
      <c r="G7" s="44">
        <v>11</v>
      </c>
      <c r="H7" s="129">
        <f>IF(B$15=0,0,G7/B$15)</f>
        <v>0.26190476190476192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4244.4444444444443</v>
      </c>
      <c r="P7" s="116">
        <v>9</v>
      </c>
      <c r="Q7" s="100">
        <v>38200</v>
      </c>
    </row>
    <row r="8" spans="1:17" x14ac:dyDescent="0.45">
      <c r="A8" s="51" t="s">
        <v>3</v>
      </c>
      <c r="B8" s="44">
        <v>3</v>
      </c>
      <c r="C8" s="37">
        <f t="shared" si="1"/>
        <v>0.23076923076923078</v>
      </c>
      <c r="E8" s="59" t="s">
        <v>65</v>
      </c>
      <c r="F8" s="56" t="s">
        <v>21</v>
      </c>
      <c r="G8" s="44">
        <v>7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0.38461538461538464</v>
      </c>
      <c r="E9" s="59" t="s">
        <v>69</v>
      </c>
      <c r="F9" s="56" t="s">
        <v>24</v>
      </c>
      <c r="G9" s="44">
        <v>5</v>
      </c>
      <c r="H9" s="129">
        <f>IF(B$15=0,0,G9/B$15)</f>
        <v>0.11904761904761904</v>
      </c>
      <c r="I9" s="90">
        <v>11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0.23076923076923078</v>
      </c>
      <c r="E10" s="59" t="s">
        <v>70</v>
      </c>
      <c r="F10" s="56" t="s">
        <v>25</v>
      </c>
      <c r="G10" s="44">
        <v>4</v>
      </c>
      <c r="H10" s="129">
        <f>IF(B$15=0,0,G10/B$15)</f>
        <v>9.5238095238095233E-2</v>
      </c>
      <c r="I10" s="90">
        <v>7</v>
      </c>
      <c r="K10" s="36">
        <v>8</v>
      </c>
      <c r="L10" s="95">
        <v>41.3</v>
      </c>
      <c r="N10" s="110" t="s">
        <v>157</v>
      </c>
      <c r="O10" s="120">
        <f>IF(P10=0,0,Q10/P10)</f>
        <v>-24.75</v>
      </c>
      <c r="P10" s="114">
        <v>4</v>
      </c>
      <c r="Q10" s="102">
        <v>-99</v>
      </c>
    </row>
    <row r="11" spans="1:17" x14ac:dyDescent="0.45">
      <c r="A11" s="54" t="s">
        <v>121</v>
      </c>
      <c r="B11" s="47">
        <v>36</v>
      </c>
      <c r="C11" s="42">
        <f>IF(B$3=0,0,B11/B$3)</f>
        <v>0.30508474576271188</v>
      </c>
      <c r="E11" s="59" t="s">
        <v>89</v>
      </c>
      <c r="F11" s="56" t="s">
        <v>44</v>
      </c>
      <c r="G11" s="44">
        <v>3</v>
      </c>
      <c r="H11" s="129">
        <f>IF(B$15=0,0,G11/B$15)</f>
        <v>7.1428571428571425E-2</v>
      </c>
      <c r="I11" s="90">
        <v>12</v>
      </c>
      <c r="K11" s="36">
        <v>9</v>
      </c>
      <c r="L11" s="95">
        <v>79.699999999999989</v>
      </c>
      <c r="N11" s="111" t="s">
        <v>158</v>
      </c>
      <c r="O11" s="121">
        <f>IF(P11=0,0,Q11/P11)</f>
        <v>1.6166666666666674</v>
      </c>
      <c r="P11" s="115">
        <v>6</v>
      </c>
      <c r="Q11" s="103">
        <v>9.7000000000000046</v>
      </c>
    </row>
    <row r="12" spans="1:17" x14ac:dyDescent="0.45">
      <c r="A12" s="51" t="s">
        <v>118</v>
      </c>
      <c r="B12" s="44">
        <v>15</v>
      </c>
      <c r="C12" s="37">
        <f>IF(B$3=0,0,B12/B$3)</f>
        <v>0.1271186440677966</v>
      </c>
      <c r="E12" s="59" t="s">
        <v>83</v>
      </c>
      <c r="F12" s="56" t="s">
        <v>38</v>
      </c>
      <c r="G12" s="44">
        <v>2</v>
      </c>
      <c r="H12" s="129">
        <f>IF(B$15=0,0,G12/B$15)</f>
        <v>4.7619047619047616E-2</v>
      </c>
      <c r="I12" s="90">
        <v>9</v>
      </c>
      <c r="K12" s="36">
        <v>10</v>
      </c>
      <c r="L12" s="95">
        <v>86.1</v>
      </c>
      <c r="N12" s="112" t="s">
        <v>159</v>
      </c>
      <c r="O12" s="122">
        <f>IF(P12=0,0,Q12/P12)</f>
        <v>13.899999999999999</v>
      </c>
      <c r="P12" s="116">
        <v>3</v>
      </c>
      <c r="Q12" s="104">
        <v>41.699999999999996</v>
      </c>
    </row>
    <row r="13" spans="1:17" x14ac:dyDescent="0.45">
      <c r="A13" s="50" t="s">
        <v>123</v>
      </c>
      <c r="B13" s="43">
        <f>B19</f>
        <v>22</v>
      </c>
      <c r="C13" s="35">
        <f>IF(B$11=0,0,B13/B$11)</f>
        <v>0.61111111111111116</v>
      </c>
      <c r="E13" s="59" t="s">
        <v>85</v>
      </c>
      <c r="F13" s="56" t="s">
        <v>40</v>
      </c>
      <c r="G13" s="44">
        <v>2</v>
      </c>
      <c r="H13" s="129">
        <f>IF(B$15=0,0,G13/B$15)</f>
        <v>4.7619047619047616E-2</v>
      </c>
      <c r="I13" s="90">
        <v>1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11</v>
      </c>
      <c r="C14" s="35">
        <f>IF(B$12=0,0,B14/B$12)</f>
        <v>0.73333333333333328</v>
      </c>
      <c r="E14" s="59" t="s">
        <v>71</v>
      </c>
      <c r="F14" s="56" t="s">
        <v>26</v>
      </c>
      <c r="G14" s="44">
        <v>1</v>
      </c>
      <c r="H14" s="129">
        <f>IF(B$15=0,0,G14/B$15)</f>
        <v>2.3809523809523808E-2</v>
      </c>
      <c r="I14" s="90">
        <v>13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42</v>
      </c>
      <c r="C15" s="35">
        <f>IF(B$3=0,0,B15/B$3)</f>
        <v>0.3559322033898305</v>
      </c>
      <c r="E15" s="59" t="s">
        <v>75</v>
      </c>
      <c r="F15" s="56" t="s">
        <v>30</v>
      </c>
      <c r="G15" s="44">
        <v>1</v>
      </c>
      <c r="H15" s="129">
        <f>IF(B$15=0,0,G15/B$15)</f>
        <v>2.3809523809523808E-2</v>
      </c>
      <c r="I15" s="90">
        <v>1</v>
      </c>
      <c r="K15" s="36">
        <v>13</v>
      </c>
      <c r="L15" s="95">
        <v>-47.6</v>
      </c>
      <c r="N15" s="110" t="s">
        <v>196</v>
      </c>
      <c r="O15" s="120">
        <f t="shared" ref="O15:O22" si="2"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20</v>
      </c>
      <c r="C16" s="37">
        <f>IF(B$3=0,0,B16/B$3)</f>
        <v>0.16949152542372881</v>
      </c>
      <c r="E16" s="59" t="s">
        <v>79</v>
      </c>
      <c r="F16" s="56" t="s">
        <v>34</v>
      </c>
      <c r="G16" s="44">
        <v>1</v>
      </c>
      <c r="H16" s="129">
        <f>IF(B$15=0,0,G16/B$15)</f>
        <v>2.3809523809523808E-2</v>
      </c>
      <c r="I16" s="90">
        <v>2</v>
      </c>
      <c r="N16" s="111" t="s">
        <v>171</v>
      </c>
      <c r="O16" s="121">
        <f t="shared" si="2"/>
        <v>38.25</v>
      </c>
      <c r="P16" s="115">
        <v>2</v>
      </c>
      <c r="Q16" s="103">
        <v>76.5</v>
      </c>
    </row>
    <row r="17" spans="1:17" x14ac:dyDescent="0.45">
      <c r="A17" s="51" t="s">
        <v>12</v>
      </c>
      <c r="B17" s="44">
        <v>21</v>
      </c>
      <c r="C17" s="37">
        <f>IF(B$15=0,0,B17/B$15)</f>
        <v>0.5</v>
      </c>
      <c r="E17" s="59" t="s">
        <v>86</v>
      </c>
      <c r="F17" s="56" t="s">
        <v>41</v>
      </c>
      <c r="G17" s="44">
        <v>1</v>
      </c>
      <c r="H17" s="129">
        <f>IF(B$15=0,0,G17/B$15)</f>
        <v>2.3809523809523808E-2</v>
      </c>
      <c r="I17" s="90">
        <v>11</v>
      </c>
      <c r="N17" s="111" t="s">
        <v>172</v>
      </c>
      <c r="O17" s="121">
        <f t="shared" si="2"/>
        <v>19.249999999999996</v>
      </c>
      <c r="P17" s="115">
        <v>4</v>
      </c>
      <c r="Q17" s="103">
        <v>76.999999999999986</v>
      </c>
    </row>
    <row r="18" spans="1:17" x14ac:dyDescent="0.45">
      <c r="A18" s="51" t="s">
        <v>11</v>
      </c>
      <c r="B18" s="44">
        <v>21</v>
      </c>
      <c r="C18" s="37">
        <f>IF(B$15=0,0,B18/B$15)</f>
        <v>0.5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197</v>
      </c>
      <c r="O18" s="121">
        <f t="shared" si="2"/>
        <v>12.000000000000002</v>
      </c>
      <c r="P18" s="115">
        <v>1</v>
      </c>
      <c r="Q18" s="103">
        <v>12.000000000000002</v>
      </c>
    </row>
    <row r="19" spans="1:17" x14ac:dyDescent="0.45">
      <c r="A19" s="51" t="s">
        <v>195</v>
      </c>
      <c r="B19" s="44">
        <v>22</v>
      </c>
      <c r="C19" s="37">
        <f>IF(B$15=0,0,B19/B$15)</f>
        <v>0.52380952380952384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127</v>
      </c>
      <c r="O19" s="121">
        <f t="shared" si="2"/>
        <v>-0.39999999999999858</v>
      </c>
      <c r="P19" s="115">
        <v>4</v>
      </c>
      <c r="Q19" s="103">
        <v>-1.5999999999999943</v>
      </c>
    </row>
    <row r="20" spans="1:17" x14ac:dyDescent="0.45">
      <c r="A20" s="51" t="s">
        <v>193</v>
      </c>
      <c r="B20" s="44">
        <v>11</v>
      </c>
      <c r="C20" s="37">
        <f>IF(B$15=0,0,B20/B$15)</f>
        <v>0.26190476190476192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170</v>
      </c>
      <c r="O20" s="121">
        <f t="shared" si="2"/>
        <v>-5.4749999999999988</v>
      </c>
      <c r="P20" s="115">
        <v>8</v>
      </c>
      <c r="Q20" s="103">
        <v>-43.79999999999999</v>
      </c>
    </row>
    <row r="21" spans="1:17" x14ac:dyDescent="0.45">
      <c r="A21" s="51" t="s">
        <v>194</v>
      </c>
      <c r="B21" s="44">
        <v>9</v>
      </c>
      <c r="C21" s="37">
        <f>IF(B$15=0,0,B21/B$15)</f>
        <v>0.21428571428571427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-49.766666666666659</v>
      </c>
      <c r="P21" s="115">
        <v>3</v>
      </c>
      <c r="Q21" s="103">
        <v>-149.29999999999998</v>
      </c>
    </row>
    <row r="22" spans="1:17" x14ac:dyDescent="0.45">
      <c r="A22" s="51" t="s">
        <v>5</v>
      </c>
      <c r="B22" s="48">
        <f>IF(B$15=0,0,C22/B$15)</f>
        <v>6407.1428571428569</v>
      </c>
      <c r="C22" s="39">
        <v>269100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6983.8709677419356</v>
      </c>
      <c r="C23" s="137">
        <v>216500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4781.818181818182</v>
      </c>
      <c r="C24" s="137">
        <v>52600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-8205</v>
      </c>
      <c r="C25" s="137">
        <v>-164100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8.4745762711864406E-3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5</v>
      </c>
      <c r="C32" s="141">
        <f>IF(B$15=0,0,B32/B$15)</f>
        <v>0.11904761904761904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12</v>
      </c>
      <c r="C33" s="37">
        <f t="shared" ref="C33:C44" si="3">IF(B$15=0,0,B33/B$15)</f>
        <v>0.2857142857142857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0.14285714285714285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9</v>
      </c>
      <c r="C35" s="37">
        <f t="shared" si="3"/>
        <v>0.21428571428571427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6</v>
      </c>
      <c r="C36" s="37">
        <f t="shared" si="3"/>
        <v>0.14285714285714285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2.3809523809523808E-2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2</v>
      </c>
      <c r="C38" s="37">
        <f t="shared" si="3"/>
        <v>4.7619047619047616E-2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3"/>
        <v>2.3809523809523808E-2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5E180-0CA9-47F3-A3A6-E03471DE401D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5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5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5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A7E3-68AF-4EC3-B490-E546EC6E1D02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A1A1-4A5F-479A-AD4E-3A7D1668AD00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AEA41-FE8D-47BE-BBEC-5C173A2075D3}">
  <sheetPr codeName="Sheet30"/>
  <dimension ref="A1:Q1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DF556-D4CB-4B53-A16C-46B79761E932}">
  <sheetPr codeName="Sheet28"/>
  <dimension ref="A1:Q1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51D8-8CEB-41B5-B916-25376B013EF6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D736-4E28-4D91-9286-BEB7F3C8DC84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6F85-B4B4-4B2A-8C37-DA4352DE51C4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E3000-E78A-4FBC-938D-D24EC2C8F231}">
  <sheetPr codeName="Sheet20"/>
  <dimension ref="A1:Q6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5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5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5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8991-556D-4237-B92E-36DE8FF43333}">
  <sheetPr codeName="Sheet18"/>
  <dimension ref="A1:Q13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FF06-40CB-427F-9AEF-BAB1283489B3}">
  <sheetPr codeName="Sheet16"/>
  <dimension ref="A1:Q12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5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5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5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5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5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5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6FB7-C609-4FE7-A9AA-3C32C742438A}">
  <sheetPr codeName="Sheet14"/>
  <dimension ref="A1:Q9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3075A-1E4B-47D6-8F20-D4270AEB21DA}">
  <sheetPr codeName="Sheet12"/>
  <dimension ref="A1:Q15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5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5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5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D5FA-45FB-4CCB-9247-217E70932B0C}">
  <sheetPr codeName="Sheet10"/>
  <dimension ref="A1:Q17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5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5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5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430-9502-4421-93A8-64907F8F5247}">
  <sheetPr codeName="Sheet8"/>
  <dimension ref="A1:Q8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5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5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5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D5E0-2DD0-4180-9DC8-00F75611CD99}">
  <sheetPr codeName="Sheet6"/>
  <dimension ref="A1:Q29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5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5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5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5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5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5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2020-01-10T05:28:17Z</dcterms:modified>
</cp:coreProperties>
</file>