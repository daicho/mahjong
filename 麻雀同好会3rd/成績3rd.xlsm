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5EF03A60-F1C8-4A4E-B3A6-A399EA7020CA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91" r:id="rId6"/>
    <sheet name="たかの" sheetId="5693" r:id="rId7"/>
    <sheet name="だいち" sheetId="5695" r:id="rId8"/>
    <sheet name="ただ" sheetId="5697" r:id="rId9"/>
    <sheet name="りくと" sheetId="5699" r:id="rId10"/>
    <sheet name="れんたろう" sheetId="5701" r:id="rId11"/>
    <sheet name="まっつん" sheetId="5703" r:id="rId12"/>
    <sheet name="のり" sheetId="5705" r:id="rId13"/>
    <sheet name="ぱぱ" sheetId="5707" r:id="rId14"/>
    <sheet name="ほたに" sheetId="5709" r:id="rId15"/>
    <sheet name="ほたに2" sheetId="5710" state="hidden" r:id="rId16"/>
    <sheet name="ぱぱ2" sheetId="5708" state="hidden" r:id="rId17"/>
    <sheet name="のり2" sheetId="5706" state="hidden" r:id="rId18"/>
    <sheet name="まっつん2" sheetId="5704" state="hidden" r:id="rId19"/>
    <sheet name="れんたろう2" sheetId="5702" state="hidden" r:id="rId20"/>
    <sheet name="りくと2" sheetId="5700" state="hidden" r:id="rId21"/>
    <sheet name="ただ2" sheetId="5698" state="hidden" r:id="rId22"/>
    <sheet name="だいち2" sheetId="5696" state="hidden" r:id="rId23"/>
    <sheet name="たかの2" sheetId="5694" state="hidden" r:id="rId24"/>
    <sheet name="全体2" sheetId="5692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701" l="1"/>
  <c r="O19" i="5709"/>
  <c r="O15" i="5699" l="1"/>
  <c r="O18" i="5705"/>
  <c r="O16" i="5709" l="1"/>
  <c r="O22" i="5699"/>
  <c r="O20" i="5693" l="1"/>
  <c r="O16" i="5695"/>
  <c r="O15" i="5705"/>
  <c r="O19" i="5705"/>
  <c r="O20" i="5703" l="1"/>
  <c r="O18" i="5707"/>
  <c r="O16" i="5697" l="1"/>
  <c r="O17" i="5703"/>
  <c r="O20" i="5705"/>
  <c r="O17" i="5705"/>
  <c r="O18" i="5693" l="1"/>
  <c r="O19" i="5707"/>
  <c r="O20" i="5707"/>
  <c r="O18" i="5699"/>
  <c r="O18" i="5697" l="1"/>
  <c r="O20" i="5701"/>
  <c r="O19" i="5701" l="1"/>
  <c r="O21" i="5695"/>
  <c r="O22" i="5705"/>
  <c r="O17" i="5709"/>
  <c r="O15" i="5709"/>
  <c r="O21" i="5707"/>
  <c r="O15" i="5697" l="1"/>
  <c r="O17" i="5697"/>
  <c r="O18" i="5709"/>
  <c r="O20" i="5709"/>
  <c r="C27" i="5709"/>
  <c r="B24" i="5709"/>
  <c r="C20" i="5709"/>
  <c r="B17" i="5709"/>
  <c r="H51" i="5709" s="1"/>
  <c r="C16" i="5709"/>
  <c r="C15" i="5709"/>
  <c r="C14" i="5709"/>
  <c r="C13" i="5709"/>
  <c r="O12" i="5709"/>
  <c r="C12" i="5709"/>
  <c r="O11" i="5709"/>
  <c r="C11" i="5709"/>
  <c r="O10" i="5709"/>
  <c r="C10" i="5709"/>
  <c r="C9" i="5709"/>
  <c r="C8" i="5709"/>
  <c r="O7" i="5709"/>
  <c r="C7" i="5709"/>
  <c r="O6" i="5709"/>
  <c r="B6" i="5709"/>
  <c r="O5" i="5709"/>
  <c r="B5" i="5709"/>
  <c r="O4" i="5709"/>
  <c r="O3" i="5709"/>
  <c r="O2" i="5709"/>
  <c r="O21" i="5703"/>
  <c r="O15" i="5703"/>
  <c r="O16" i="5691"/>
  <c r="H2" i="5709" l="1"/>
  <c r="H12" i="5709"/>
  <c r="H3" i="5709"/>
  <c r="H21" i="5709"/>
  <c r="H49" i="5709"/>
  <c r="H13" i="5709"/>
  <c r="H11" i="5709"/>
  <c r="H5" i="5709"/>
  <c r="H4" i="5709"/>
  <c r="C18" i="5709"/>
  <c r="H32" i="5709"/>
  <c r="B23" i="5709"/>
  <c r="H33" i="5709"/>
  <c r="H27" i="5709"/>
  <c r="H40" i="5709"/>
  <c r="H25" i="5709"/>
  <c r="H41" i="5709"/>
  <c r="H48" i="5709"/>
  <c r="H23" i="5709"/>
  <c r="H9" i="5709"/>
  <c r="H36" i="5709"/>
  <c r="H44" i="5709"/>
  <c r="H6" i="5709"/>
  <c r="H17" i="5709"/>
  <c r="H19" i="5709"/>
  <c r="H7" i="5709"/>
  <c r="H8" i="5709"/>
  <c r="H16" i="5709"/>
  <c r="C17" i="5709"/>
  <c r="H15" i="5709"/>
  <c r="H29" i="5709"/>
  <c r="H37" i="5709"/>
  <c r="H45" i="5709"/>
  <c r="H52" i="5709"/>
  <c r="H22" i="5709"/>
  <c r="H24" i="5709"/>
  <c r="H26" i="5709"/>
  <c r="H28" i="5709"/>
  <c r="H30" i="5709"/>
  <c r="H34" i="5709"/>
  <c r="H38" i="5709"/>
  <c r="H42" i="5709"/>
  <c r="H46" i="5709"/>
  <c r="H50" i="5709"/>
  <c r="H10" i="5709"/>
  <c r="H18" i="5709"/>
  <c r="H20" i="5709"/>
  <c r="C19" i="5709"/>
  <c r="H14" i="5709"/>
  <c r="H31" i="5709"/>
  <c r="H35" i="5709"/>
  <c r="H39" i="5709"/>
  <c r="H43" i="5709"/>
  <c r="H47" i="5709"/>
  <c r="O18" i="5695" l="1"/>
  <c r="O19" i="5699"/>
  <c r="O17" i="5695" l="1"/>
  <c r="O18" i="5703"/>
  <c r="O22" i="5703"/>
  <c r="O16" i="5693"/>
  <c r="O19" i="5697"/>
  <c r="O16" i="5699"/>
  <c r="O17" i="5699"/>
  <c r="O19" i="5693"/>
  <c r="O22" i="5697"/>
  <c r="O15" i="5695"/>
  <c r="O17" i="5707"/>
  <c r="O22" i="5707"/>
  <c r="O21" i="5701" l="1"/>
  <c r="O18" i="5701"/>
  <c r="O16" i="5707"/>
  <c r="O15" i="5707"/>
  <c r="C27" i="5707"/>
  <c r="B24" i="5707"/>
  <c r="C20" i="5707"/>
  <c r="B17" i="5707"/>
  <c r="H51" i="5707" s="1"/>
  <c r="C16" i="5707"/>
  <c r="C15" i="5707"/>
  <c r="C14" i="5707"/>
  <c r="C13" i="5707"/>
  <c r="O12" i="5707"/>
  <c r="C12" i="5707"/>
  <c r="O11" i="5707"/>
  <c r="C11" i="5707"/>
  <c r="O10" i="5707"/>
  <c r="C10" i="5707"/>
  <c r="C9" i="5707"/>
  <c r="C8" i="5707"/>
  <c r="O7" i="5707"/>
  <c r="C7" i="5707"/>
  <c r="O6" i="5707"/>
  <c r="B6" i="5707"/>
  <c r="O5" i="5707"/>
  <c r="B5" i="5707"/>
  <c r="O4" i="5707"/>
  <c r="O3" i="5707"/>
  <c r="O2" i="5707"/>
  <c r="O15" i="5691"/>
  <c r="O16" i="5705"/>
  <c r="O21" i="5705"/>
  <c r="C27" i="5705"/>
  <c r="B24" i="5705"/>
  <c r="C20" i="5705"/>
  <c r="B17" i="5705"/>
  <c r="H51" i="5705" s="1"/>
  <c r="C16" i="5705"/>
  <c r="C15" i="5705"/>
  <c r="C14" i="5705"/>
  <c r="C13" i="5705"/>
  <c r="O12" i="5705"/>
  <c r="C12" i="5705"/>
  <c r="O11" i="5705"/>
  <c r="C11" i="5705"/>
  <c r="O10" i="5705"/>
  <c r="C10" i="5705"/>
  <c r="C9" i="5705"/>
  <c r="C8" i="5705"/>
  <c r="O7" i="5705"/>
  <c r="C7" i="5705"/>
  <c r="O6" i="5705"/>
  <c r="B6" i="5705"/>
  <c r="O5" i="5705"/>
  <c r="B5" i="5705"/>
  <c r="O4" i="5705"/>
  <c r="O3" i="5705"/>
  <c r="O2" i="5705"/>
  <c r="O23" i="5691"/>
  <c r="H20" i="5705" l="1"/>
  <c r="H2" i="5705"/>
  <c r="H16" i="5705"/>
  <c r="H3" i="5705"/>
  <c r="H10" i="5707"/>
  <c r="H19" i="5707"/>
  <c r="H20" i="5707"/>
  <c r="H15" i="5707"/>
  <c r="H13" i="5707"/>
  <c r="H36" i="5707"/>
  <c r="H44" i="5707"/>
  <c r="H5" i="5707"/>
  <c r="H11" i="5707"/>
  <c r="H4" i="5707"/>
  <c r="H18" i="5707"/>
  <c r="C17" i="5707"/>
  <c r="H12" i="5707"/>
  <c r="H29" i="5707"/>
  <c r="H37" i="5707"/>
  <c r="H45" i="5707"/>
  <c r="H52" i="5707"/>
  <c r="H7" i="5707"/>
  <c r="H9" i="5707"/>
  <c r="H6" i="5707"/>
  <c r="H23" i="5707"/>
  <c r="H27" i="5707"/>
  <c r="H17" i="5707"/>
  <c r="H32" i="5707"/>
  <c r="H40" i="5707"/>
  <c r="H48" i="5707"/>
  <c r="H3" i="5707"/>
  <c r="H2" i="5707"/>
  <c r="H22" i="5707"/>
  <c r="C18" i="5707"/>
  <c r="B23" i="5707"/>
  <c r="H33" i="5707"/>
  <c r="H41" i="5707"/>
  <c r="H49" i="5707"/>
  <c r="H24" i="5707"/>
  <c r="H25" i="5707"/>
  <c r="H16" i="5707"/>
  <c r="H28" i="5707"/>
  <c r="H30" i="5707"/>
  <c r="H34" i="5707"/>
  <c r="H38" i="5707"/>
  <c r="H42" i="5707"/>
  <c r="H46" i="5707"/>
  <c r="H50" i="5707"/>
  <c r="H8" i="5707"/>
  <c r="H14" i="5707"/>
  <c r="H21" i="5707"/>
  <c r="C19" i="5707"/>
  <c r="H26" i="5707"/>
  <c r="H31" i="5707"/>
  <c r="H35" i="5707"/>
  <c r="H39" i="5707"/>
  <c r="H43" i="5707"/>
  <c r="H47" i="5707"/>
  <c r="H33" i="5705"/>
  <c r="C18" i="5705"/>
  <c r="H10" i="5705"/>
  <c r="H17" i="5705"/>
  <c r="B23" i="5705"/>
  <c r="H41" i="5705"/>
  <c r="H49" i="5705"/>
  <c r="H5" i="5705"/>
  <c r="H15" i="5705"/>
  <c r="H4" i="5705"/>
  <c r="H22" i="5705"/>
  <c r="H25" i="5705"/>
  <c r="H27" i="5705"/>
  <c r="H32" i="5705"/>
  <c r="H40" i="5705"/>
  <c r="H48" i="5705"/>
  <c r="H11" i="5705"/>
  <c r="H13" i="5705"/>
  <c r="H36" i="5705"/>
  <c r="H44" i="5705"/>
  <c r="H6" i="5705"/>
  <c r="H8" i="5705"/>
  <c r="H7" i="5705"/>
  <c r="H18" i="5705"/>
  <c r="C17" i="5705"/>
  <c r="H12" i="5705"/>
  <c r="H29" i="5705"/>
  <c r="H37" i="5705"/>
  <c r="H45" i="5705"/>
  <c r="H52" i="5705"/>
  <c r="H23" i="5705"/>
  <c r="H24" i="5705"/>
  <c r="H26" i="5705"/>
  <c r="H28" i="5705"/>
  <c r="H30" i="5705"/>
  <c r="H34" i="5705"/>
  <c r="H38" i="5705"/>
  <c r="H42" i="5705"/>
  <c r="H46" i="5705"/>
  <c r="H50" i="5705"/>
  <c r="H14" i="5705"/>
  <c r="H19" i="5705"/>
  <c r="H21" i="5705"/>
  <c r="C19" i="5705"/>
  <c r="H9" i="5705"/>
  <c r="H31" i="5705"/>
  <c r="H35" i="5705"/>
  <c r="H39" i="5705"/>
  <c r="H43" i="5705"/>
  <c r="H47" i="5705"/>
  <c r="O19" i="5703" l="1"/>
  <c r="O16" i="5703"/>
  <c r="C27" i="5703"/>
  <c r="B24" i="5703"/>
  <c r="C20" i="5703"/>
  <c r="B17" i="5703"/>
  <c r="H19" i="5703" s="1"/>
  <c r="C16" i="5703"/>
  <c r="C15" i="5703"/>
  <c r="C14" i="5703"/>
  <c r="C13" i="5703"/>
  <c r="O12" i="5703"/>
  <c r="C12" i="5703"/>
  <c r="O11" i="5703"/>
  <c r="C11" i="5703"/>
  <c r="O10" i="5703"/>
  <c r="C10" i="5703"/>
  <c r="C9" i="5703"/>
  <c r="C8" i="5703"/>
  <c r="O7" i="5703"/>
  <c r="C7" i="5703"/>
  <c r="O6" i="5703"/>
  <c r="B6" i="5703"/>
  <c r="O5" i="5703"/>
  <c r="B5" i="5703"/>
  <c r="O4" i="5703"/>
  <c r="O3" i="5703"/>
  <c r="O2" i="5703"/>
  <c r="O16" i="5701"/>
  <c r="O17" i="5701"/>
  <c r="C27" i="5701"/>
  <c r="B24" i="5701"/>
  <c r="C20" i="5701"/>
  <c r="B17" i="5701"/>
  <c r="H51" i="5701" s="1"/>
  <c r="C16" i="5701"/>
  <c r="C15" i="5701"/>
  <c r="C14" i="5701"/>
  <c r="C13" i="5701"/>
  <c r="O12" i="5701"/>
  <c r="C12" i="5701"/>
  <c r="O11" i="5701"/>
  <c r="C11" i="5701"/>
  <c r="O10" i="5701"/>
  <c r="C10" i="5701"/>
  <c r="C9" i="5701"/>
  <c r="C8" i="5701"/>
  <c r="O7" i="5701"/>
  <c r="C7" i="5701"/>
  <c r="O6" i="5701"/>
  <c r="B6" i="5701"/>
  <c r="O5" i="5701"/>
  <c r="B5" i="5701"/>
  <c r="O4" i="5701"/>
  <c r="O3" i="5701"/>
  <c r="O2" i="5701"/>
  <c r="O18" i="5691"/>
  <c r="O21" i="5699"/>
  <c r="O20" i="5699"/>
  <c r="C27" i="5699"/>
  <c r="B24" i="5699"/>
  <c r="C20" i="5699"/>
  <c r="B17" i="5699"/>
  <c r="H20" i="5699" s="1"/>
  <c r="C16" i="5699"/>
  <c r="C15" i="5699"/>
  <c r="C14" i="5699"/>
  <c r="C13" i="5699"/>
  <c r="O12" i="5699"/>
  <c r="C12" i="5699"/>
  <c r="O11" i="5699"/>
  <c r="C11" i="5699"/>
  <c r="O10" i="5699"/>
  <c r="C10" i="5699"/>
  <c r="C9" i="5699"/>
  <c r="C8" i="5699"/>
  <c r="O7" i="5699"/>
  <c r="C7" i="5699"/>
  <c r="O6" i="5699"/>
  <c r="B6" i="5699"/>
  <c r="O5" i="5699"/>
  <c r="B5" i="5699"/>
  <c r="O4" i="5699"/>
  <c r="O3" i="5699"/>
  <c r="O2" i="5699"/>
  <c r="O20" i="5691"/>
  <c r="O19" i="5691"/>
  <c r="H13" i="5699" l="1"/>
  <c r="H3" i="5699"/>
  <c r="H2" i="5699"/>
  <c r="H9" i="5699"/>
  <c r="H4" i="5699"/>
  <c r="H14" i="5699"/>
  <c r="H29" i="5699"/>
  <c r="H41" i="5699"/>
  <c r="H27" i="5699"/>
  <c r="H42" i="5699"/>
  <c r="H18" i="5699"/>
  <c r="B23" i="5699"/>
  <c r="H33" i="5699"/>
  <c r="H50" i="5699"/>
  <c r="H7" i="5699"/>
  <c r="C18" i="5699"/>
  <c r="H34" i="5699"/>
  <c r="H3" i="5703"/>
  <c r="H2" i="5703"/>
  <c r="H8" i="5703"/>
  <c r="H4" i="5703"/>
  <c r="H13" i="5703"/>
  <c r="C19" i="5703"/>
  <c r="H28" i="5703"/>
  <c r="H29" i="5703"/>
  <c r="H34" i="5703"/>
  <c r="H18" i="5703"/>
  <c r="H49" i="5703"/>
  <c r="H22" i="5703"/>
  <c r="C17" i="5703"/>
  <c r="H26" i="5703"/>
  <c r="B23" i="5703"/>
  <c r="H35" i="5703"/>
  <c r="H42" i="5703"/>
  <c r="H50" i="5703"/>
  <c r="H12" i="5703"/>
  <c r="H6" i="5703"/>
  <c r="H14" i="5703"/>
  <c r="H21" i="5703"/>
  <c r="H10" i="5703"/>
  <c r="H9" i="5703"/>
  <c r="H38" i="5703"/>
  <c r="H45" i="5703"/>
  <c r="H5" i="5703"/>
  <c r="H24" i="5703"/>
  <c r="H7" i="5703"/>
  <c r="H20" i="5703"/>
  <c r="H23" i="5703"/>
  <c r="H15" i="5703"/>
  <c r="C18" i="5703"/>
  <c r="H11" i="5703"/>
  <c r="H16" i="5703"/>
  <c r="H31" i="5703"/>
  <c r="H39" i="5703"/>
  <c r="H46" i="5703"/>
  <c r="H52" i="5703"/>
  <c r="H25" i="5703"/>
  <c r="H27" i="5703"/>
  <c r="H17" i="5703"/>
  <c r="H30" i="5703"/>
  <c r="H32" i="5703"/>
  <c r="H36" i="5703"/>
  <c r="H40" i="5703"/>
  <c r="H43" i="5703"/>
  <c r="H47" i="5703"/>
  <c r="H51" i="5703"/>
  <c r="H33" i="5703"/>
  <c r="H37" i="5703"/>
  <c r="H41" i="5703"/>
  <c r="H44" i="5703"/>
  <c r="H48" i="5703"/>
  <c r="H3" i="5701"/>
  <c r="C18" i="5701"/>
  <c r="H20" i="5701"/>
  <c r="H33" i="5701"/>
  <c r="H21" i="5701"/>
  <c r="H5" i="5701"/>
  <c r="H15" i="5701"/>
  <c r="H23" i="5701"/>
  <c r="B23" i="5701"/>
  <c r="H41" i="5701"/>
  <c r="H49" i="5701"/>
  <c r="H14" i="5701"/>
  <c r="H6" i="5701"/>
  <c r="H36" i="5701"/>
  <c r="H44" i="5701"/>
  <c r="H8" i="5701"/>
  <c r="H10" i="5701"/>
  <c r="H7" i="5701"/>
  <c r="H19" i="5701"/>
  <c r="C17" i="5701"/>
  <c r="H17" i="5701"/>
  <c r="H31" i="5701"/>
  <c r="H37" i="5701"/>
  <c r="H45" i="5701"/>
  <c r="H52" i="5701"/>
  <c r="H4" i="5701"/>
  <c r="H13" i="5701"/>
  <c r="H2" i="5701"/>
  <c r="H24" i="5701"/>
  <c r="H27" i="5701"/>
  <c r="H29" i="5701"/>
  <c r="H32" i="5701"/>
  <c r="H40" i="5701"/>
  <c r="H48" i="5701"/>
  <c r="H25" i="5701"/>
  <c r="H26" i="5701"/>
  <c r="H28" i="5701"/>
  <c r="H30" i="5701"/>
  <c r="H18" i="5701"/>
  <c r="H34" i="5701"/>
  <c r="H38" i="5701"/>
  <c r="H42" i="5701"/>
  <c r="H46" i="5701"/>
  <c r="H50" i="5701"/>
  <c r="H9" i="5701"/>
  <c r="H16" i="5701"/>
  <c r="H22" i="5701"/>
  <c r="C19" i="5701"/>
  <c r="H11" i="5701"/>
  <c r="H12" i="5701"/>
  <c r="H35" i="5701"/>
  <c r="H39" i="5701"/>
  <c r="H43" i="5701"/>
  <c r="H47" i="5701"/>
  <c r="H49" i="5699"/>
  <c r="H22" i="5699"/>
  <c r="H23" i="5699"/>
  <c r="H15" i="5699"/>
  <c r="H12" i="5699"/>
  <c r="H37" i="5699"/>
  <c r="H45" i="5699"/>
  <c r="H5" i="5699"/>
  <c r="H10" i="5699"/>
  <c r="H6" i="5699"/>
  <c r="H21" i="5699"/>
  <c r="C17" i="5699"/>
  <c r="H16" i="5699"/>
  <c r="H31" i="5699"/>
  <c r="H38" i="5699"/>
  <c r="H46" i="5699"/>
  <c r="H52" i="5699"/>
  <c r="H25" i="5699"/>
  <c r="H26" i="5699"/>
  <c r="H28" i="5699"/>
  <c r="H30" i="5699"/>
  <c r="H19" i="5699"/>
  <c r="H35" i="5699"/>
  <c r="H39" i="5699"/>
  <c r="H43" i="5699"/>
  <c r="H47" i="5699"/>
  <c r="H51" i="5699"/>
  <c r="H8" i="5699"/>
  <c r="H17" i="5699"/>
  <c r="H24" i="5699"/>
  <c r="C19" i="5699"/>
  <c r="H11" i="5699"/>
  <c r="H32" i="5699"/>
  <c r="H36" i="5699"/>
  <c r="H40" i="5699"/>
  <c r="H44" i="5699"/>
  <c r="H48" i="5699"/>
  <c r="O21" i="5697" l="1"/>
  <c r="O20" i="5697"/>
  <c r="C27" i="5697"/>
  <c r="B24" i="5697"/>
  <c r="C20" i="5697"/>
  <c r="B17" i="5697"/>
  <c r="H5" i="5697" s="1"/>
  <c r="C16" i="5697"/>
  <c r="C15" i="5697"/>
  <c r="C14" i="5697"/>
  <c r="C13" i="5697"/>
  <c r="O12" i="5697"/>
  <c r="C12" i="5697"/>
  <c r="O11" i="5697"/>
  <c r="C11" i="5697"/>
  <c r="O10" i="5697"/>
  <c r="C10" i="5697"/>
  <c r="C9" i="5697"/>
  <c r="C8" i="5697"/>
  <c r="O7" i="5697"/>
  <c r="C7" i="5697"/>
  <c r="O6" i="5697"/>
  <c r="B6" i="5697"/>
  <c r="O5" i="5697"/>
  <c r="B5" i="5697"/>
  <c r="O4" i="5697"/>
  <c r="O3" i="5697"/>
  <c r="O2" i="5697"/>
  <c r="O20" i="5695"/>
  <c r="O19" i="5695"/>
  <c r="C27" i="5695"/>
  <c r="B24" i="5695"/>
  <c r="C20" i="5695"/>
  <c r="B17" i="5695"/>
  <c r="H5" i="5695" s="1"/>
  <c r="C16" i="5695"/>
  <c r="C15" i="5695"/>
  <c r="C14" i="5695"/>
  <c r="C13" i="5695"/>
  <c r="O12" i="5695"/>
  <c r="C12" i="5695"/>
  <c r="O11" i="5695"/>
  <c r="C11" i="5695"/>
  <c r="O10" i="5695"/>
  <c r="C10" i="5695"/>
  <c r="C9" i="5695"/>
  <c r="C8" i="5695"/>
  <c r="O7" i="5695"/>
  <c r="C7" i="5695"/>
  <c r="O6" i="5695"/>
  <c r="B6" i="5695"/>
  <c r="O5" i="5695"/>
  <c r="B5" i="5695"/>
  <c r="O4" i="5695"/>
  <c r="O3" i="5695"/>
  <c r="O2" i="5695"/>
  <c r="O17" i="5691"/>
  <c r="O15" i="5693"/>
  <c r="O17" i="5693"/>
  <c r="C27" i="5693"/>
  <c r="B24" i="5693"/>
  <c r="C20" i="5693"/>
  <c r="B17" i="5693"/>
  <c r="H4" i="5693" s="1"/>
  <c r="C16" i="5693"/>
  <c r="C15" i="5693"/>
  <c r="C14" i="5693"/>
  <c r="C13" i="5693"/>
  <c r="O12" i="5693"/>
  <c r="C12" i="5693"/>
  <c r="O11" i="5693"/>
  <c r="C11" i="5693"/>
  <c r="O10" i="5693"/>
  <c r="C10" i="5693"/>
  <c r="C9" i="5693"/>
  <c r="C8" i="5693"/>
  <c r="O7" i="5693"/>
  <c r="C7" i="5693"/>
  <c r="O6" i="5693"/>
  <c r="B6" i="5693"/>
  <c r="O5" i="5693"/>
  <c r="B5" i="5693"/>
  <c r="O4" i="5693"/>
  <c r="O3" i="5693"/>
  <c r="O2" i="5693"/>
  <c r="O21" i="5691"/>
  <c r="O22" i="5691"/>
  <c r="C27" i="5691"/>
  <c r="B24" i="5691"/>
  <c r="C20" i="5691"/>
  <c r="B17" i="5691"/>
  <c r="H51" i="5691" s="1"/>
  <c r="C16" i="5691"/>
  <c r="C15" i="5691"/>
  <c r="C14" i="5691"/>
  <c r="C13" i="5691"/>
  <c r="O12" i="5691"/>
  <c r="C12" i="5691"/>
  <c r="O11" i="5691"/>
  <c r="C11" i="5691"/>
  <c r="O10" i="5691"/>
  <c r="C10" i="5691"/>
  <c r="C9" i="5691"/>
  <c r="C8" i="5691"/>
  <c r="O7" i="5691"/>
  <c r="C7" i="5691"/>
  <c r="O6" i="5691"/>
  <c r="B6" i="5691"/>
  <c r="O5" i="5691"/>
  <c r="B5" i="5691"/>
  <c r="O4" i="5691"/>
  <c r="O3" i="5691"/>
  <c r="O2" i="5691"/>
  <c r="H3" i="5693" l="1"/>
  <c r="H8" i="5693"/>
  <c r="H23" i="5697"/>
  <c r="C19" i="5697"/>
  <c r="H18" i="5697"/>
  <c r="H6" i="5697"/>
  <c r="H7" i="5697"/>
  <c r="H31" i="5697"/>
  <c r="H10" i="5697"/>
  <c r="H14" i="5697"/>
  <c r="H6" i="5693"/>
  <c r="C17" i="5693"/>
  <c r="H30" i="5693"/>
  <c r="H7" i="5693"/>
  <c r="H15" i="5693"/>
  <c r="H2" i="5693"/>
  <c r="H21" i="5693"/>
  <c r="H12" i="5693"/>
  <c r="B23" i="5697"/>
  <c r="H32" i="5697"/>
  <c r="H4" i="5697"/>
  <c r="H2" i="5697"/>
  <c r="H11" i="5697"/>
  <c r="H21" i="5697"/>
  <c r="C18" i="5697"/>
  <c r="H46" i="5697"/>
  <c r="H42" i="5697"/>
  <c r="H29" i="5697"/>
  <c r="H34" i="5697"/>
  <c r="H50" i="5697"/>
  <c r="H13" i="5697"/>
  <c r="H3" i="5697"/>
  <c r="H9" i="5697"/>
  <c r="H22" i="5697"/>
  <c r="H24" i="5697"/>
  <c r="C17" i="5697"/>
  <c r="H15" i="5697"/>
  <c r="H38" i="5697"/>
  <c r="H52" i="5697"/>
  <c r="H25" i="5697"/>
  <c r="H26" i="5697"/>
  <c r="H28" i="5697"/>
  <c r="H30" i="5697"/>
  <c r="H16" i="5697"/>
  <c r="H35" i="5697"/>
  <c r="H39" i="5697"/>
  <c r="H43" i="5697"/>
  <c r="H47" i="5697"/>
  <c r="H51" i="5697"/>
  <c r="H36" i="5697"/>
  <c r="H40" i="5697"/>
  <c r="H44" i="5697"/>
  <c r="H48" i="5697"/>
  <c r="H20" i="5697"/>
  <c r="H17" i="5697"/>
  <c r="H19" i="5697"/>
  <c r="H27" i="5697"/>
  <c r="H12" i="5697"/>
  <c r="H8" i="5697"/>
  <c r="H33" i="5697"/>
  <c r="H37" i="5697"/>
  <c r="H41" i="5697"/>
  <c r="H45" i="5697"/>
  <c r="H49" i="5697"/>
  <c r="H3" i="5695"/>
  <c r="H2" i="5695"/>
  <c r="H4" i="5695"/>
  <c r="H11" i="5695"/>
  <c r="H33" i="5695"/>
  <c r="H35" i="5695"/>
  <c r="H42" i="5695"/>
  <c r="H50" i="5695"/>
  <c r="H9" i="5695"/>
  <c r="H28" i="5695"/>
  <c r="H17" i="5695"/>
  <c r="C17" i="5695"/>
  <c r="H13" i="5695"/>
  <c r="H36" i="5695"/>
  <c r="H44" i="5695"/>
  <c r="H16" i="5695"/>
  <c r="H10" i="5695"/>
  <c r="H6" i="5695"/>
  <c r="H12" i="5695"/>
  <c r="H20" i="5695"/>
  <c r="C18" i="5695"/>
  <c r="B23" i="5695"/>
  <c r="H24" i="5695"/>
  <c r="H38" i="5695"/>
  <c r="H46" i="5695"/>
  <c r="H52" i="5695"/>
  <c r="H7" i="5695"/>
  <c r="H27" i="5695"/>
  <c r="H29" i="5695"/>
  <c r="H14" i="5695"/>
  <c r="C19" i="5695"/>
  <c r="H19" i="5695"/>
  <c r="H40" i="5695"/>
  <c r="H48" i="5695"/>
  <c r="H31" i="5695"/>
  <c r="H32" i="5695"/>
  <c r="H22" i="5695"/>
  <c r="H23" i="5695"/>
  <c r="H25" i="5695"/>
  <c r="H26" i="5695"/>
  <c r="H39" i="5695"/>
  <c r="H43" i="5695"/>
  <c r="H47" i="5695"/>
  <c r="H51" i="5695"/>
  <c r="H30" i="5695"/>
  <c r="H21" i="5695"/>
  <c r="H18" i="5695"/>
  <c r="H15" i="5695"/>
  <c r="H8" i="5695"/>
  <c r="H34" i="5695"/>
  <c r="H37" i="5695"/>
  <c r="H41" i="5695"/>
  <c r="H45" i="5695"/>
  <c r="H49" i="5695"/>
  <c r="H7" i="5691"/>
  <c r="H10" i="5693"/>
  <c r="C18" i="5693"/>
  <c r="H33" i="5693"/>
  <c r="H11" i="5693"/>
  <c r="H5" i="5693"/>
  <c r="H20" i="5693"/>
  <c r="B23" i="5693"/>
  <c r="H9" i="5693"/>
  <c r="H19" i="5693"/>
  <c r="H22" i="5693"/>
  <c r="H23" i="5693"/>
  <c r="C19" i="5693"/>
  <c r="H41" i="5693"/>
  <c r="H45" i="5693"/>
  <c r="H49" i="5693"/>
  <c r="H29" i="5693"/>
  <c r="H37" i="5693"/>
  <c r="H52" i="5693"/>
  <c r="H25" i="5693"/>
  <c r="H26" i="5693"/>
  <c r="H28" i="5693"/>
  <c r="H17" i="5693"/>
  <c r="H18" i="5693"/>
  <c r="H34" i="5693"/>
  <c r="H38" i="5693"/>
  <c r="H42" i="5693"/>
  <c r="H46" i="5693"/>
  <c r="H50" i="5693"/>
  <c r="H31" i="5693"/>
  <c r="H35" i="5693"/>
  <c r="H39" i="5693"/>
  <c r="H43" i="5693"/>
  <c r="H47" i="5693"/>
  <c r="H51" i="5693"/>
  <c r="H24" i="5693"/>
  <c r="H13" i="5693"/>
  <c r="H27" i="5693"/>
  <c r="H16" i="5693"/>
  <c r="H14" i="5693"/>
  <c r="H32" i="5693"/>
  <c r="H36" i="5693"/>
  <c r="H40" i="5693"/>
  <c r="H44" i="5693"/>
  <c r="H48" i="5693"/>
  <c r="H22" i="5691"/>
  <c r="H36" i="5691"/>
  <c r="H37" i="5691"/>
  <c r="H32" i="5691"/>
  <c r="H2" i="5691"/>
  <c r="H31" i="5691"/>
  <c r="C18" i="5691"/>
  <c r="H30" i="5691"/>
  <c r="H4" i="5691"/>
  <c r="H12" i="5691"/>
  <c r="H17" i="5691"/>
  <c r="H14" i="5691"/>
  <c r="H10" i="5691"/>
  <c r="H6" i="5691"/>
  <c r="H15" i="5691"/>
  <c r="H28" i="5691"/>
  <c r="H45" i="5691"/>
  <c r="H46" i="5691"/>
  <c r="H13" i="5691"/>
  <c r="H8" i="5691"/>
  <c r="H41" i="5691"/>
  <c r="H19" i="5691"/>
  <c r="H50" i="5691"/>
  <c r="H25" i="5691"/>
  <c r="H27" i="5691"/>
  <c r="H20" i="5691"/>
  <c r="H38" i="5691"/>
  <c r="H42" i="5691"/>
  <c r="H48" i="5691"/>
  <c r="H5" i="5691"/>
  <c r="H11" i="5691"/>
  <c r="H3" i="5691"/>
  <c r="C19" i="5691"/>
  <c r="H9" i="5691"/>
  <c r="H23" i="5691"/>
  <c r="H21" i="5691"/>
  <c r="C17" i="5691"/>
  <c r="H16" i="5691"/>
  <c r="B23" i="5691"/>
  <c r="H35" i="5691"/>
  <c r="H39" i="5691"/>
  <c r="H44" i="5691"/>
  <c r="H49" i="5691"/>
  <c r="H52" i="5691"/>
  <c r="H33" i="5691"/>
  <c r="H34" i="5691"/>
  <c r="H24" i="5691"/>
  <c r="H26" i="5691"/>
  <c r="H18" i="5691"/>
  <c r="H29" i="5691"/>
  <c r="H40" i="5691"/>
  <c r="H43" i="5691"/>
  <c r="H47" i="5691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<sst xmlns="http://schemas.openxmlformats.org/spreadsheetml/2006/main" count="2466" uniqueCount="214">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</sst>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全体!$K$2:$K$227</c:f>
              <c:numCache>
                <c:formatCode>General</c:formatCode>
                <c:ptCount val="2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</c:numCache>
            </c:numRef>
          </c:xVal>
          <c:yVal>
            <c:numRef>
              <c:f>全体!$L$2:$L$227</c:f>
              <c:numCache>
                <c:formatCode>\+0.0;\-0.0;\±0</c:formatCode>
                <c:ptCount val="22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2-4C39-8604-6BDCF7C83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-22.522522522522522</c:v>
                </c:pt>
                <c:pt idx="1">
                  <c:v>18.518518518518519</c:v>
                </c:pt>
                <c:pt idx="2">
                  <c:v>-28.169014084507044</c:v>
                </c:pt>
                <c:pt idx="3">
                  <c:v>19.900497512437809</c:v>
                </c:pt>
                <c:pt idx="4">
                  <c:v>16.393442622950818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1-40E2-8172-7E3CEE7AA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E2-4A35-951A-61070883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-1995.4545454545455</c:v>
                </c:pt>
                <c:pt idx="1">
                  <c:v>-290.90909090909093</c:v>
                </c:pt>
                <c:pt idx="2">
                  <c:v>1204.5454545454545</c:v>
                </c:pt>
                <c:pt idx="3">
                  <c:v>-590.47619047619048</c:v>
                </c:pt>
                <c:pt idx="4">
                  <c:v>-1452.3809523809523</c:v>
                </c:pt>
                <c:pt idx="5">
                  <c:v>-2833.3333333333335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E-4595-B3F3-5F5CA9D41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だいち!$L$2:$L$48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5B-4CEC-9821-7DAF65C90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206.66666666666666</c:v>
                </c:pt>
                <c:pt idx="1">
                  <c:v>-375</c:v>
                </c:pt>
                <c:pt idx="2">
                  <c:v>-663.63636363636363</c:v>
                </c:pt>
                <c:pt idx="3">
                  <c:v>-265.85365853658539</c:v>
                </c:pt>
                <c:pt idx="4">
                  <c:v>4948.7179487179483</c:v>
                </c:pt>
                <c:pt idx="5">
                  <c:v>5290.322580645161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2-4253-A36F-B4BA78082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ただ!$L$2:$L$48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BA-4304-9896-9494C5F0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324.44444444444446</c:v>
                </c:pt>
                <c:pt idx="1">
                  <c:v>1190.909090909091</c:v>
                </c:pt>
                <c:pt idx="2">
                  <c:v>1481.3953488372092</c:v>
                </c:pt>
                <c:pt idx="3">
                  <c:v>2997.560975609756</c:v>
                </c:pt>
                <c:pt idx="4">
                  <c:v>-1794.7368421052631</c:v>
                </c:pt>
                <c:pt idx="5">
                  <c:v>1040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E-4750-9FCC-C3A865409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りくと!$L$2:$L$30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F-436C-B9FA-E4C96771F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1000</c:v>
                </c:pt>
                <c:pt idx="1">
                  <c:v>-1333.3333333333333</c:v>
                </c:pt>
                <c:pt idx="2">
                  <c:v>1900</c:v>
                </c:pt>
                <c:pt idx="3">
                  <c:v>-1744</c:v>
                </c:pt>
                <c:pt idx="4">
                  <c:v>-4354.166666666667</c:v>
                </c:pt>
                <c:pt idx="5">
                  <c:v>-2050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5F-4F25-8B3F-72FA9251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4-4264-B640-F87F91E0D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387.5</c:v>
                </c:pt>
                <c:pt idx="1">
                  <c:v>-2890.909090909091</c:v>
                </c:pt>
                <c:pt idx="2">
                  <c:v>1528.5714285714287</c:v>
                </c:pt>
                <c:pt idx="3">
                  <c:v>3925</c:v>
                </c:pt>
                <c:pt idx="4">
                  <c:v>-2335.294117647059</c:v>
                </c:pt>
                <c:pt idx="5">
                  <c:v>-5230.7692307692305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A-49EA-A160-2E31BA480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8C-4193-BBED-8FECF0935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2123.0769230769229</c:v>
                </c:pt>
                <c:pt idx="1">
                  <c:v>1144</c:v>
                </c:pt>
                <c:pt idx="2">
                  <c:v>-3220.8333333333335</c:v>
                </c:pt>
                <c:pt idx="3">
                  <c:v>-318.18181818181819</c:v>
                </c:pt>
                <c:pt idx="4">
                  <c:v>-1676.4705882352941</c:v>
                </c:pt>
                <c:pt idx="5">
                  <c:v>993.33333333333337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7-415E-BBC7-636F6B3BD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のり!$L$2:$L$17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C-4A37-8945-C4100746D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-2226.6666666666665</c:v>
                </c:pt>
                <c:pt idx="1">
                  <c:v>-546.66666666666663</c:v>
                </c:pt>
                <c:pt idx="2">
                  <c:v>-2753.3333333333335</c:v>
                </c:pt>
                <c:pt idx="3">
                  <c:v>-4764.2857142857147</c:v>
                </c:pt>
                <c:pt idx="4">
                  <c:v>-207.69230769230768</c:v>
                </c:pt>
                <c:pt idx="5">
                  <c:v>-4563.636363636364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CD-4D53-BE9E-03E1F845D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4E-418A-B74D-C89F9C5AE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B8C-A7AF-54FC79C56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C-4FB6-913B-6E95B6BB9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A-47AE-B939-D0112204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ほたに2!$C$3:$C$10</c:f>
              <c:numCache>
                <c:formatCode>\+0.0;\-0.0;\±0</c:formatCode>
                <c:ptCount val="8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  <c:pt idx="6">
                  <c:v>-9.8833333333333346</c:v>
                </c:pt>
                <c:pt idx="7">
                  <c:v>-14.971428571428573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ほたに2!$E$3:$E$10</c:f>
              <c:numCache>
                <c:formatCode>0.0%</c:formatCode>
                <c:ptCount val="8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ほたに2!$F$3:$F$10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ほたに2!$G$3:$G$10</c:f>
              <c:numCache>
                <c:formatCode>0.0%</c:formatCode>
                <c:ptCount val="8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  <c:pt idx="6">
                  <c:v>0.25454545454545452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ほたに2!$H$3:$H$10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  <c:pt idx="6">
                  <c:v>0.18181818181818182</c:v>
                </c:pt>
                <c:pt idx="7">
                  <c:v>0.19354838709677419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ほたに2!$I$3:$I$10</c:f>
              <c:numCache>
                <c:formatCode>0</c:formatCode>
                <c:ptCount val="8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  <c:pt idx="6">
                  <c:v>7914.2857142857147</c:v>
                </c:pt>
                <c:pt idx="7">
                  <c:v>7473.333333333333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ほたに2!$J$3:$J$10</c:f>
              <c:numCache>
                <c:formatCode>0</c:formatCode>
                <c:ptCount val="8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  <c:pt idx="6">
                  <c:v>-8140</c:v>
                </c:pt>
                <c:pt idx="7">
                  <c:v>-9075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ほたに2!$K$3:$K$10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ほたに2!$L$3:$L$10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ほたに2!$M$3:$M$10</c:f>
              <c:numCache>
                <c:formatCode>0.0%</c:formatCode>
                <c:ptCount val="8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  <c:pt idx="6">
                  <c:v>0.23636363636363636</c:v>
                </c:pt>
                <c:pt idx="7">
                  <c:v>0.24193548387096775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ほたに2!$N$3:$N$10</c:f>
              <c:numCache>
                <c:formatCode>0.0%</c:formatCode>
                <c:ptCount val="8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  <c:pt idx="6">
                  <c:v>0.38181818181818183</c:v>
                </c:pt>
                <c:pt idx="7">
                  <c:v>0.35483870967741937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ほたに2!$O$3:$O$10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  <c:pt idx="6">
                  <c:v>0.53846153846153844</c:v>
                </c:pt>
                <c:pt idx="7">
                  <c:v>0.53333333333333333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ほたに2!$P$3:$P$10</c:f>
              <c:numCache>
                <c:formatCode>0.0%</c:formatCode>
                <c:ptCount val="8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ほたに2!$Q$3:$Q$10</c:f>
              <c:numCache>
                <c:formatCode>0.0%</c:formatCode>
                <c:ptCount val="8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  <c:pt idx="6">
                  <c:v>0.35714285714285715</c:v>
                </c:pt>
                <c:pt idx="7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5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43735.329375000001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43735.329293981478</v>
      </c>
      <c r="C3" s="30" t="s">
        <v>129</v>
      </c>
    </row>
    <row r="4" spans="1:12" x14ac:dyDescent="0.4">
      <c r="A4" s="30" t="s">
        <v>181</v>
      </c>
      <c r="B4" s="31">
        <v>43735.329201388886</v>
      </c>
      <c r="C4" s="30" t="s">
        <v>129</v>
      </c>
    </row>
    <row r="5" spans="1:12" x14ac:dyDescent="0.4">
      <c r="A5" s="30" t="s">
        <v>184</v>
      </c>
      <c r="B5" s="31">
        <v>43737.872604166667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43737.872604166667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43737.873645833337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43739.760312500002</v>
      </c>
      <c r="C8" s="30" t="s">
        <v>129</v>
      </c>
    </row>
    <row r="9" spans="1:12" x14ac:dyDescent="0.4">
      <c r="A9" s="30" t="s">
        <v>195</v>
      </c>
      <c r="B9" s="31">
        <v>43739.760069444441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43742.090381944443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43742.090381944443</v>
      </c>
      <c r="C11" s="30" t="s">
        <v>129</v>
      </c>
    </row>
    <row r="12" spans="1:12" x14ac:dyDescent="0.4">
      <c r="A12" s="30" t="s">
        <v>200</v>
      </c>
      <c r="B12" s="31">
        <v>43742.090381944443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43742.090381944443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43745.602835648147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43745.024594907409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43745.602847222224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12" x14ac:dyDescent="0.4">
      <c r="A17" s="30" t="s">
        <v>205</v>
      </c>
      <c r="B17" s="31">
        <v>43745.602847222224</v>
      </c>
      <c r="C17" s="30" t="s">
        <v>129</v>
      </c>
      <c r="D17" s="30" t="s">
        <v>130</v>
      </c>
    </row>
    <row r="18" spans="1:12" x14ac:dyDescent="0.4">
      <c r="A18" s="30" t="s">
        <v>206</v>
      </c>
      <c r="B18" s="31">
        <v>43745.024594907409</v>
      </c>
      <c r="C18" s="30" t="s">
        <v>129</v>
      </c>
    </row>
    <row r="19" spans="1:12" x14ac:dyDescent="0.4">
      <c r="A19" s="30" t="s">
        <v>207</v>
      </c>
      <c r="B19" s="31">
        <v>43748.026620370372</v>
      </c>
      <c r="C19" s="30" t="s">
        <v>129</v>
      </c>
    </row>
    <row r="20" spans="1:12" x14ac:dyDescent="0.4">
      <c r="A20" s="30" t="s">
        <v>208</v>
      </c>
      <c r="B20" s="31">
        <v>43748.026620370372</v>
      </c>
      <c r="C20" s="30" t="s">
        <v>129</v>
      </c>
      <c r="D20" s="30" t="s">
        <v>130</v>
      </c>
    </row>
    <row r="21" spans="1:12" x14ac:dyDescent="0.4">
      <c r="A21" s="30" t="s">
        <v>209</v>
      </c>
      <c r="B21" s="31">
        <v>43748.026620370372</v>
      </c>
      <c r="C21" s="30" t="s">
        <v>129</v>
      </c>
    </row>
    <row r="22" spans="1:12" x14ac:dyDescent="0.4">
      <c r="A22" s="30" t="s">
        <v>210</v>
      </c>
      <c r="B22" s="31">
        <v>43748.026620370372</v>
      </c>
      <c r="C22" s="30" t="s">
        <v>129</v>
      </c>
      <c r="D22" s="30" t="s">
        <v>130</v>
      </c>
      <c r="E22" s="30" t="s">
        <v>185</v>
      </c>
    </row>
    <row r="23" spans="1:12" x14ac:dyDescent="0.4">
      <c r="A23" s="30" t="s">
        <v>211</v>
      </c>
      <c r="B23" s="31">
        <v>43748.026620370372</v>
      </c>
      <c r="C23" s="30" t="s">
        <v>129</v>
      </c>
    </row>
    <row r="24" spans="1:12" x14ac:dyDescent="0.4">
      <c r="A24" s="30" t="s">
        <v>212</v>
      </c>
      <c r="B24" s="31">
        <v>43751.127928240741</v>
      </c>
      <c r="C24" s="30" t="s">
        <v>129</v>
      </c>
      <c r="D24" s="30" t="s">
        <v>130</v>
      </c>
      <c r="E24" s="30" t="s">
        <v>185</v>
      </c>
      <c r="F24" s="30" t="s">
        <v>186</v>
      </c>
      <c r="G24" s="30" t="s">
        <v>187</v>
      </c>
    </row>
    <row r="25" spans="1:12" x14ac:dyDescent="0.4">
      <c r="A25" s="30" t="s">
        <v>213</v>
      </c>
      <c r="B25" s="31">
        <v>43751.127928240741</v>
      </c>
      <c r="C25" s="30" t="s">
        <v>129</v>
      </c>
      <c r="D25" s="30" t="s">
        <v>130</v>
      </c>
      <c r="E25" s="30" t="s">
        <v>185</v>
      </c>
      <c r="F25" s="30" t="s">
        <v>186</v>
      </c>
      <c r="G25" s="30" t="s">
        <v>187</v>
      </c>
      <c r="H25" s="30" t="s">
        <v>188</v>
      </c>
      <c r="I25" s="30" t="s">
        <v>191</v>
      </c>
      <c r="J25" s="30" t="s">
        <v>192</v>
      </c>
      <c r="K25" s="30" t="s">
        <v>193</v>
      </c>
      <c r="L25" s="30" t="s">
        <v>194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225</v>
      </c>
    </row>
    <row r="2" spans="1:2" x14ac:dyDescent="0.4">
      <c r="A2" t="s">
        <v>167</v>
      </c>
      <c r="B2">
        <v>22</v>
      </c>
    </row>
    <row r="3" spans="1:2" x14ac:dyDescent="0.4">
      <c r="A3" t="s">
        <v>127</v>
      </c>
      <c r="B3">
        <v>46</v>
      </c>
    </row>
    <row r="4" spans="1:2" x14ac:dyDescent="0.4">
      <c r="A4" t="s">
        <v>128</v>
      </c>
      <c r="B4">
        <v>46</v>
      </c>
    </row>
    <row r="5" spans="1:2" x14ac:dyDescent="0.4">
      <c r="A5" t="s">
        <v>180</v>
      </c>
      <c r="B5">
        <v>28</v>
      </c>
    </row>
    <row r="6" spans="1:2" x14ac:dyDescent="0.4">
      <c r="A6" t="s">
        <v>178</v>
      </c>
      <c r="B6">
        <v>24</v>
      </c>
    </row>
    <row r="7" spans="1:2" x14ac:dyDescent="0.4">
      <c r="A7" t="s">
        <v>179</v>
      </c>
      <c r="B7">
        <v>26</v>
      </c>
    </row>
    <row r="8" spans="1:2" x14ac:dyDescent="0.4">
      <c r="A8" t="s">
        <v>183</v>
      </c>
      <c r="B8">
        <v>15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58">
        <v>0.98165684294709921</v>
      </c>
      <c r="G2" s="159"/>
      <c r="H2" s="158">
        <v>0.9667803854060868</v>
      </c>
      <c r="I2" s="159"/>
      <c r="J2" s="158">
        <v>0.96948427718115471</v>
      </c>
      <c r="K2" s="159"/>
      <c r="L2" s="158">
        <v>0.9133700904788653</v>
      </c>
      <c r="M2" s="159"/>
      <c r="N2" s="158">
        <v>0.76354740240165131</v>
      </c>
      <c r="O2" s="159"/>
      <c r="P2" s="158">
        <v>3.0589509833034205E-2</v>
      </c>
      <c r="Q2" s="159"/>
      <c r="R2" s="158">
        <v>0.57474969920712315</v>
      </c>
      <c r="S2" s="159"/>
      <c r="T2" s="158">
        <v>0.55164441114296991</v>
      </c>
      <c r="U2" s="159"/>
      <c r="V2" s="158">
        <v>0.49762134208198572</v>
      </c>
      <c r="W2" s="159"/>
      <c r="X2" s="158">
        <v>0.2544508356556669</v>
      </c>
      <c r="Y2" s="159"/>
      <c r="Z2" s="158">
        <v>-8.3630405666612659E-2</v>
      </c>
      <c r="AA2" s="159"/>
      <c r="AB2" s="158">
        <v>0.47030440367566617</v>
      </c>
      <c r="AC2" s="159"/>
      <c r="AD2" s="158">
        <v>0.33969402460821363</v>
      </c>
      <c r="AE2" s="159"/>
      <c r="AF2" s="158">
        <v>-7.471336996995874E-2</v>
      </c>
      <c r="AG2" s="159"/>
      <c r="AH2" s="158">
        <v>0.46951933807175261</v>
      </c>
      <c r="AI2" s="159"/>
    </row>
    <row r="3" spans="1:35" x14ac:dyDescent="0.4">
      <c r="A3" s="74">
        <v>1</v>
      </c>
      <c r="B3" s="75" t="s">
        <v>127</v>
      </c>
      <c r="C3" s="76">
        <v>465.7999999999999</v>
      </c>
      <c r="D3" s="77" t="s">
        <v>182</v>
      </c>
      <c r="E3" s="96">
        <v>11.463636363636365</v>
      </c>
      <c r="F3" s="77" t="s">
        <v>127</v>
      </c>
      <c r="G3" s="78">
        <v>1.7173913043478262</v>
      </c>
      <c r="H3" s="77" t="s">
        <v>127</v>
      </c>
      <c r="I3" s="79">
        <v>0.5</v>
      </c>
      <c r="J3" s="77" t="s">
        <v>182</v>
      </c>
      <c r="K3" s="79">
        <v>0.18181818181818182</v>
      </c>
      <c r="L3" s="77" t="s">
        <v>127</v>
      </c>
      <c r="M3" s="80">
        <v>0.34961439588688947</v>
      </c>
      <c r="N3" s="77" t="s">
        <v>182</v>
      </c>
      <c r="O3" s="80">
        <v>0.11650485436893204</v>
      </c>
      <c r="P3" s="77" t="s">
        <v>178</v>
      </c>
      <c r="Q3" s="81">
        <v>10858.333333333334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0.20833333333333334</v>
      </c>
      <c r="X3" s="77" t="s">
        <v>182</v>
      </c>
      <c r="Y3" s="80">
        <v>0.29126213592233008</v>
      </c>
      <c r="Z3" s="77" t="s">
        <v>196</v>
      </c>
      <c r="AA3" s="80">
        <v>0.35483870967741937</v>
      </c>
      <c r="AB3" s="77" t="s">
        <v>182</v>
      </c>
      <c r="AC3" s="80">
        <v>0.66666666666666663</v>
      </c>
      <c r="AD3" s="77" t="s">
        <v>127</v>
      </c>
      <c r="AE3" s="80">
        <v>0.55681818181818177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215.39999999999989</v>
      </c>
      <c r="D4" s="85" t="s">
        <v>127</v>
      </c>
      <c r="E4" s="97">
        <v>10.126086956521737</v>
      </c>
      <c r="F4" s="85" t="s">
        <v>182</v>
      </c>
      <c r="G4" s="86">
        <v>1.7272727272727273</v>
      </c>
      <c r="H4" s="85" t="s">
        <v>182</v>
      </c>
      <c r="I4" s="87">
        <v>0.45454545454545453</v>
      </c>
      <c r="J4" s="85" t="s">
        <v>127</v>
      </c>
      <c r="K4" s="87">
        <v>0.21739130434782608</v>
      </c>
      <c r="L4" s="85" t="s">
        <v>182</v>
      </c>
      <c r="M4" s="88">
        <v>0.3300970873786408</v>
      </c>
      <c r="N4" s="85" t="s">
        <v>127</v>
      </c>
      <c r="O4" s="88">
        <v>0.12853470437017994</v>
      </c>
      <c r="P4" s="85" t="s">
        <v>128</v>
      </c>
      <c r="Q4" s="89">
        <v>8727.34375</v>
      </c>
      <c r="R4" s="85" t="s">
        <v>167</v>
      </c>
      <c r="S4" s="89">
        <v>-6530.5555555555557</v>
      </c>
      <c r="T4" s="85" t="s">
        <v>182</v>
      </c>
      <c r="U4" s="87">
        <v>0</v>
      </c>
      <c r="V4" s="85" t="s">
        <v>182</v>
      </c>
      <c r="W4" s="87">
        <v>0.18181818181818182</v>
      </c>
      <c r="X4" s="85" t="s">
        <v>180</v>
      </c>
      <c r="Y4" s="88">
        <v>0.27800829875518673</v>
      </c>
      <c r="Z4" s="85" t="s">
        <v>128</v>
      </c>
      <c r="AA4" s="88">
        <v>0.32754342431761785</v>
      </c>
      <c r="AB4" s="85" t="s">
        <v>127</v>
      </c>
      <c r="AC4" s="88">
        <v>0.61224489795918369</v>
      </c>
      <c r="AD4" s="85" t="s">
        <v>178</v>
      </c>
      <c r="AE4" s="88">
        <v>0.48888888888888887</v>
      </c>
      <c r="AF4" s="85" t="s">
        <v>167</v>
      </c>
      <c r="AG4" s="88">
        <v>0.5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126.10000000000001</v>
      </c>
      <c r="D5" s="85" t="s">
        <v>128</v>
      </c>
      <c r="E5" s="97">
        <v>4.6826086956521715</v>
      </c>
      <c r="F5" s="85" t="s">
        <v>128</v>
      </c>
      <c r="G5" s="86">
        <v>1.8913043478260869</v>
      </c>
      <c r="H5" s="85" t="s">
        <v>196</v>
      </c>
      <c r="I5" s="87">
        <v>0.42857142857142855</v>
      </c>
      <c r="J5" s="85" t="s">
        <v>128</v>
      </c>
      <c r="K5" s="87">
        <v>0.2608695652173913</v>
      </c>
      <c r="L5" s="85" t="s">
        <v>128</v>
      </c>
      <c r="M5" s="88">
        <v>0.31761786600496278</v>
      </c>
      <c r="N5" s="85" t="s">
        <v>179</v>
      </c>
      <c r="O5" s="88">
        <v>0.15350877192982457</v>
      </c>
      <c r="P5" s="85" t="s">
        <v>179</v>
      </c>
      <c r="Q5" s="89">
        <v>8395</v>
      </c>
      <c r="R5" s="85" t="s">
        <v>179</v>
      </c>
      <c r="S5" s="89">
        <v>-6711.4285714285716</v>
      </c>
      <c r="T5" s="85" t="s">
        <v>127</v>
      </c>
      <c r="U5" s="87">
        <v>4.3478260869565216E-2</v>
      </c>
      <c r="V5" s="85" t="s">
        <v>128</v>
      </c>
      <c r="W5" s="87">
        <v>0.15217391304347827</v>
      </c>
      <c r="X5" s="85" t="s">
        <v>178</v>
      </c>
      <c r="Y5" s="88">
        <v>0.26178010471204188</v>
      </c>
      <c r="Z5" s="85" t="s">
        <v>179</v>
      </c>
      <c r="AA5" s="88">
        <v>0.25877192982456143</v>
      </c>
      <c r="AB5" s="85" t="s">
        <v>180</v>
      </c>
      <c r="AC5" s="88">
        <v>0.58208955223880599</v>
      </c>
      <c r="AD5" s="85" t="s">
        <v>179</v>
      </c>
      <c r="AE5" s="88">
        <v>0.44067796610169491</v>
      </c>
      <c r="AF5" s="85" t="s">
        <v>183</v>
      </c>
      <c r="AG5" s="88">
        <v>0.48148148148148145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-3.5527136788005009E-14</v>
      </c>
      <c r="D6" s="85" t="s">
        <v>144</v>
      </c>
      <c r="E6" s="97">
        <v>-1.5789838572446671E-16</v>
      </c>
      <c r="F6" s="85" t="s">
        <v>178</v>
      </c>
      <c r="G6" s="86">
        <v>2</v>
      </c>
      <c r="H6" s="85" t="s">
        <v>128</v>
      </c>
      <c r="I6" s="87">
        <v>0.36956521739130432</v>
      </c>
      <c r="J6" s="85" t="s">
        <v>178</v>
      </c>
      <c r="K6" s="87">
        <v>0.33333333333333331</v>
      </c>
      <c r="L6" s="85" t="s">
        <v>144</v>
      </c>
      <c r="M6" s="88">
        <v>0.2930232558139535</v>
      </c>
      <c r="N6" s="85" t="s">
        <v>144</v>
      </c>
      <c r="O6" s="88">
        <v>0.17054263565891473</v>
      </c>
      <c r="P6" s="85" t="s">
        <v>144</v>
      </c>
      <c r="Q6" s="89">
        <v>8202.4691358024684</v>
      </c>
      <c r="R6" s="85" t="s">
        <v>128</v>
      </c>
      <c r="S6" s="89">
        <v>-7396.2962962962965</v>
      </c>
      <c r="T6" s="85" t="s">
        <v>180</v>
      </c>
      <c r="U6" s="87">
        <v>7.1428571428571425E-2</v>
      </c>
      <c r="V6" s="85" t="s">
        <v>196</v>
      </c>
      <c r="W6" s="87">
        <v>0.14285714285714285</v>
      </c>
      <c r="X6" s="85" t="s">
        <v>179</v>
      </c>
      <c r="Y6" s="88">
        <v>0.25438596491228072</v>
      </c>
      <c r="Z6" s="85" t="s">
        <v>144</v>
      </c>
      <c r="AA6" s="88">
        <v>0.24702842377260981</v>
      </c>
      <c r="AB6" s="85" t="s">
        <v>128</v>
      </c>
      <c r="AC6" s="88">
        <v>0.55319148936170215</v>
      </c>
      <c r="AD6" s="85" t="s">
        <v>144</v>
      </c>
      <c r="AE6" s="88">
        <v>0.42468619246861927</v>
      </c>
      <c r="AF6" s="85" t="s">
        <v>178</v>
      </c>
      <c r="AG6" s="88">
        <v>0.4375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178</v>
      </c>
      <c r="C7" s="84">
        <v>-51.39999999999997</v>
      </c>
      <c r="D7" s="85" t="s">
        <v>179</v>
      </c>
      <c r="E7" s="97">
        <v>-2.0807692307692305</v>
      </c>
      <c r="F7" s="85" t="s">
        <v>144</v>
      </c>
      <c r="G7" s="86">
        <v>2</v>
      </c>
      <c r="H7" s="85" t="s">
        <v>178</v>
      </c>
      <c r="I7" s="87">
        <v>0.33333333333333331</v>
      </c>
      <c r="J7" s="85" t="s">
        <v>144</v>
      </c>
      <c r="K7" s="87">
        <v>0.33333333333333331</v>
      </c>
      <c r="L7" s="85" t="s">
        <v>180</v>
      </c>
      <c r="M7" s="88">
        <v>0.2863070539419087</v>
      </c>
      <c r="N7" s="85" t="s">
        <v>178</v>
      </c>
      <c r="O7" s="88">
        <v>0.17277486910994763</v>
      </c>
      <c r="P7" s="85" t="s">
        <v>183</v>
      </c>
      <c r="Q7" s="89">
        <v>8133.333333333333</v>
      </c>
      <c r="R7" s="85" t="s">
        <v>180</v>
      </c>
      <c r="S7" s="89">
        <v>-7678.260869565217</v>
      </c>
      <c r="T7" s="85" t="s">
        <v>144</v>
      </c>
      <c r="U7" s="87">
        <v>0.10666666666666667</v>
      </c>
      <c r="V7" s="85" t="s">
        <v>144</v>
      </c>
      <c r="W7" s="87">
        <v>0.10666666666666667</v>
      </c>
      <c r="X7" s="85" t="s">
        <v>183</v>
      </c>
      <c r="Y7" s="88">
        <v>0.25409836065573771</v>
      </c>
      <c r="Z7" s="85" t="s">
        <v>178</v>
      </c>
      <c r="AA7" s="88">
        <v>0.2356020942408377</v>
      </c>
      <c r="AB7" s="85" t="s">
        <v>144</v>
      </c>
      <c r="AC7" s="88">
        <v>0.54279749478079331</v>
      </c>
      <c r="AD7" s="85" t="s">
        <v>180</v>
      </c>
      <c r="AE7" s="88">
        <v>0.42222222222222222</v>
      </c>
      <c r="AF7" s="85" t="s">
        <v>144</v>
      </c>
      <c r="AG7" s="88">
        <v>0.41446208112874777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179</v>
      </c>
      <c r="C8" s="84">
        <v>-54.099999999999994</v>
      </c>
      <c r="D8" s="85" t="s">
        <v>178</v>
      </c>
      <c r="E8" s="97">
        <v>-2.1416666666666653</v>
      </c>
      <c r="F8" s="85" t="s">
        <v>167</v>
      </c>
      <c r="G8" s="86">
        <v>2.1363636363636362</v>
      </c>
      <c r="H8" s="85" t="s">
        <v>144</v>
      </c>
      <c r="I8" s="87">
        <v>0.33333333333333331</v>
      </c>
      <c r="J8" s="85" t="s">
        <v>180</v>
      </c>
      <c r="K8" s="87">
        <v>0.39285714285714285</v>
      </c>
      <c r="L8" s="85" t="s">
        <v>179</v>
      </c>
      <c r="M8" s="88">
        <v>0.26315789473684209</v>
      </c>
      <c r="N8" s="85" t="s">
        <v>167</v>
      </c>
      <c r="O8" s="88">
        <v>0.18367346938775511</v>
      </c>
      <c r="P8" s="85" t="s">
        <v>127</v>
      </c>
      <c r="Q8" s="89">
        <v>7780.1470588235297</v>
      </c>
      <c r="R8" s="85" t="s">
        <v>144</v>
      </c>
      <c r="S8" s="89">
        <v>-7713.939393939394</v>
      </c>
      <c r="T8" s="85" t="s">
        <v>179</v>
      </c>
      <c r="U8" s="87">
        <v>0.11538461538461539</v>
      </c>
      <c r="V8" s="85" t="s">
        <v>127</v>
      </c>
      <c r="W8" s="87">
        <v>8.6956521739130432E-2</v>
      </c>
      <c r="X8" s="85" t="s">
        <v>127</v>
      </c>
      <c r="Y8" s="88">
        <v>0.25192802056555269</v>
      </c>
      <c r="Z8" s="85" t="s">
        <v>183</v>
      </c>
      <c r="AA8" s="88">
        <v>0.22950819672131148</v>
      </c>
      <c r="AB8" s="85" t="s">
        <v>196</v>
      </c>
      <c r="AC8" s="88">
        <v>0.53333333333333333</v>
      </c>
      <c r="AD8" s="85" t="s">
        <v>128</v>
      </c>
      <c r="AE8" s="88">
        <v>0.40151515151515149</v>
      </c>
      <c r="AF8" s="85" t="s">
        <v>127</v>
      </c>
      <c r="AG8" s="88">
        <v>0.40441176470588236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196</v>
      </c>
      <c r="C9" s="84">
        <v>-104.80000000000001</v>
      </c>
      <c r="D9" s="85" t="s">
        <v>180</v>
      </c>
      <c r="E9" s="97">
        <v>-6.4892857142857148</v>
      </c>
      <c r="F9" s="85" t="s">
        <v>196</v>
      </c>
      <c r="G9" s="86">
        <v>2.1428571428571428</v>
      </c>
      <c r="H9" s="85" t="s">
        <v>167</v>
      </c>
      <c r="I9" s="87">
        <v>0.27272727272727271</v>
      </c>
      <c r="J9" s="85" t="s">
        <v>167</v>
      </c>
      <c r="K9" s="87">
        <v>0.40909090909090912</v>
      </c>
      <c r="L9" s="85" t="s">
        <v>167</v>
      </c>
      <c r="M9" s="88">
        <v>0.25510204081632654</v>
      </c>
      <c r="N9" s="85" t="s">
        <v>180</v>
      </c>
      <c r="O9" s="88">
        <v>0.1908713692946058</v>
      </c>
      <c r="P9" s="85" t="s">
        <v>182</v>
      </c>
      <c r="Q9" s="89">
        <v>7779.411764705882</v>
      </c>
      <c r="R9" s="85" t="s">
        <v>127</v>
      </c>
      <c r="S9" s="89">
        <v>-7730</v>
      </c>
      <c r="T9" s="85" t="s">
        <v>128</v>
      </c>
      <c r="U9" s="87">
        <v>0.13043478260869565</v>
      </c>
      <c r="V9" s="85" t="s">
        <v>179</v>
      </c>
      <c r="W9" s="87">
        <v>7.6923076923076927E-2</v>
      </c>
      <c r="X9" s="85" t="s">
        <v>144</v>
      </c>
      <c r="Y9" s="88">
        <v>0.24754521963824289</v>
      </c>
      <c r="Z9" s="85" t="s">
        <v>127</v>
      </c>
      <c r="AA9" s="88">
        <v>0.2262210796915167</v>
      </c>
      <c r="AB9" s="85" t="s">
        <v>167</v>
      </c>
      <c r="AC9" s="88">
        <v>0.52777777777777779</v>
      </c>
      <c r="AD9" s="85" t="s">
        <v>183</v>
      </c>
      <c r="AE9" s="88">
        <v>0.35714285714285715</v>
      </c>
      <c r="AF9" s="85" t="s">
        <v>179</v>
      </c>
      <c r="AG9" s="88">
        <v>0.4</v>
      </c>
      <c r="AH9" s="85" t="s">
        <v>179</v>
      </c>
      <c r="AI9" s="92">
        <v>81700</v>
      </c>
    </row>
    <row r="10" spans="1:35" x14ac:dyDescent="0.4">
      <c r="A10" s="82">
        <v>8</v>
      </c>
      <c r="B10" s="83" t="s">
        <v>167</v>
      </c>
      <c r="C10" s="84">
        <v>-142.80000000000001</v>
      </c>
      <c r="D10" s="85" t="s">
        <v>167</v>
      </c>
      <c r="E10" s="97">
        <v>-6.4909090909090912</v>
      </c>
      <c r="F10" s="85" t="s">
        <v>179</v>
      </c>
      <c r="G10" s="86">
        <v>2.1538461538461537</v>
      </c>
      <c r="H10" s="85" t="s">
        <v>179</v>
      </c>
      <c r="I10" s="87">
        <v>0.26923076923076922</v>
      </c>
      <c r="J10" s="85" t="s">
        <v>179</v>
      </c>
      <c r="K10" s="87">
        <v>0.42307692307692307</v>
      </c>
      <c r="L10" s="85" t="s">
        <v>178</v>
      </c>
      <c r="M10" s="88">
        <v>0.2513089005235602</v>
      </c>
      <c r="N10" s="85" t="s">
        <v>196</v>
      </c>
      <c r="O10" s="88">
        <v>0.19354838709677419</v>
      </c>
      <c r="P10" s="85" t="s">
        <v>196</v>
      </c>
      <c r="Q10" s="89">
        <v>7473.333333333333</v>
      </c>
      <c r="R10" s="85" t="s">
        <v>196</v>
      </c>
      <c r="S10" s="89">
        <v>-9075</v>
      </c>
      <c r="T10" s="85" t="s">
        <v>178</v>
      </c>
      <c r="U10" s="87">
        <v>0.16666666666666666</v>
      </c>
      <c r="V10" s="85" t="s">
        <v>180</v>
      </c>
      <c r="W10" s="87">
        <v>7.1428571428571425E-2</v>
      </c>
      <c r="X10" s="85" t="s">
        <v>196</v>
      </c>
      <c r="Y10" s="88">
        <v>0.24193548387096775</v>
      </c>
      <c r="Z10" s="85" t="s">
        <v>167</v>
      </c>
      <c r="AA10" s="88">
        <v>0.22448979591836735</v>
      </c>
      <c r="AB10" s="85" t="s">
        <v>183</v>
      </c>
      <c r="AC10" s="88">
        <v>0.5161290322580645</v>
      </c>
      <c r="AD10" s="85" t="s">
        <v>182</v>
      </c>
      <c r="AE10" s="88">
        <v>0.33333333333333331</v>
      </c>
      <c r="AF10" s="85" t="s">
        <v>180</v>
      </c>
      <c r="AG10" s="88">
        <v>0.37681159420289856</v>
      </c>
      <c r="AH10" s="85" t="s">
        <v>180</v>
      </c>
      <c r="AI10" s="92">
        <v>69300</v>
      </c>
    </row>
    <row r="11" spans="1:35" x14ac:dyDescent="0.4">
      <c r="A11" s="82">
        <v>9</v>
      </c>
      <c r="B11" s="83" t="s">
        <v>180</v>
      </c>
      <c r="C11" s="84">
        <v>-181.70000000000002</v>
      </c>
      <c r="D11" s="85" t="s">
        <v>196</v>
      </c>
      <c r="E11" s="97">
        <v>-14.971428571428573</v>
      </c>
      <c r="F11" s="85" t="s">
        <v>180</v>
      </c>
      <c r="G11" s="86">
        <v>2.2142857142857144</v>
      </c>
      <c r="H11" s="85" t="s">
        <v>180</v>
      </c>
      <c r="I11" s="87">
        <v>0.17857142857142858</v>
      </c>
      <c r="J11" s="85" t="s">
        <v>183</v>
      </c>
      <c r="K11" s="87">
        <v>0.53333333333333333</v>
      </c>
      <c r="L11" s="85" t="s">
        <v>196</v>
      </c>
      <c r="M11" s="88">
        <v>0.24193548387096775</v>
      </c>
      <c r="N11" s="85" t="s">
        <v>128</v>
      </c>
      <c r="O11" s="88">
        <v>0.20099255583126552</v>
      </c>
      <c r="P11" s="85" t="s">
        <v>180</v>
      </c>
      <c r="Q11" s="89">
        <v>7308.695652173913</v>
      </c>
      <c r="R11" s="85" t="s">
        <v>178</v>
      </c>
      <c r="S11" s="89">
        <v>-9403.0303030303039</v>
      </c>
      <c r="T11" s="85" t="s">
        <v>183</v>
      </c>
      <c r="U11" s="87">
        <v>0.2</v>
      </c>
      <c r="V11" s="85" t="s">
        <v>183</v>
      </c>
      <c r="W11" s="87">
        <v>6.6666666666666666E-2</v>
      </c>
      <c r="X11" s="85" t="s">
        <v>128</v>
      </c>
      <c r="Y11" s="88">
        <v>0.23325062034739455</v>
      </c>
      <c r="Z11" s="85" t="s">
        <v>180</v>
      </c>
      <c r="AA11" s="88">
        <v>0.18672199170124482</v>
      </c>
      <c r="AB11" s="85" t="s">
        <v>179</v>
      </c>
      <c r="AC11" s="88">
        <v>0.48275862068965519</v>
      </c>
      <c r="AD11" s="85" t="s">
        <v>167</v>
      </c>
      <c r="AE11" s="88">
        <v>0.29545454545454547</v>
      </c>
      <c r="AF11" s="85" t="s">
        <v>128</v>
      </c>
      <c r="AG11" s="88">
        <v>0.375</v>
      </c>
      <c r="AH11" s="85" t="s">
        <v>196</v>
      </c>
      <c r="AI11" s="92">
        <v>59500</v>
      </c>
    </row>
    <row r="12" spans="1:35" x14ac:dyDescent="0.4">
      <c r="A12" s="82">
        <v>10</v>
      </c>
      <c r="B12" s="83" t="s">
        <v>183</v>
      </c>
      <c r="C12" s="84">
        <v>-272.50000000000006</v>
      </c>
      <c r="D12" s="85" t="s">
        <v>183</v>
      </c>
      <c r="E12" s="97">
        <v>-18.166666666666671</v>
      </c>
      <c r="F12" s="85" t="s">
        <v>183</v>
      </c>
      <c r="G12" s="86">
        <v>2.4666666666666668</v>
      </c>
      <c r="H12" s="85" t="s">
        <v>183</v>
      </c>
      <c r="I12" s="87">
        <v>6.6666666666666666E-2</v>
      </c>
      <c r="J12" s="85" t="s">
        <v>196</v>
      </c>
      <c r="K12" s="87">
        <v>0.5714285714285714</v>
      </c>
      <c r="L12" s="85" t="s">
        <v>183</v>
      </c>
      <c r="M12" s="88">
        <v>0.22131147540983606</v>
      </c>
      <c r="N12" s="85" t="s">
        <v>183</v>
      </c>
      <c r="O12" s="88">
        <v>0.20491803278688525</v>
      </c>
      <c r="P12" s="85" t="s">
        <v>167</v>
      </c>
      <c r="Q12" s="89">
        <v>7004</v>
      </c>
      <c r="R12" s="85" t="s">
        <v>183</v>
      </c>
      <c r="S12" s="89">
        <v>-9804</v>
      </c>
      <c r="T12" s="85" t="s">
        <v>196</v>
      </c>
      <c r="U12" s="87">
        <v>0.5714285714285714</v>
      </c>
      <c r="V12" s="85" t="s">
        <v>167</v>
      </c>
      <c r="W12" s="87">
        <v>0</v>
      </c>
      <c r="X12" s="85" t="s">
        <v>167</v>
      </c>
      <c r="Y12" s="88">
        <v>0.18367346938775511</v>
      </c>
      <c r="Z12" s="85" t="s">
        <v>182</v>
      </c>
      <c r="AA12" s="88">
        <v>0.14563106796116504</v>
      </c>
      <c r="AB12" s="85" t="s">
        <v>178</v>
      </c>
      <c r="AC12" s="88">
        <v>0.36</v>
      </c>
      <c r="AD12" s="85" t="s">
        <v>196</v>
      </c>
      <c r="AE12" s="88">
        <v>0.27272727272727271</v>
      </c>
      <c r="AF12" s="85" t="s">
        <v>196</v>
      </c>
      <c r="AG12" s="88">
        <v>0.33333333333333331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AB7C8-6443-4DEA-B6B9-2852B4EEC462}">
  <sheetPr codeName="Sheet4"/>
  <dimension ref="A1:Q22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225</v>
      </c>
      <c r="C2" s="151"/>
      <c r="E2" s="62" t="s">
        <v>67</v>
      </c>
      <c r="F2" s="59" t="s">
        <v>23</v>
      </c>
      <c r="G2" s="46">
        <v>436</v>
      </c>
      <c r="H2" s="132">
        <f t="shared" ref="H2:H33" si="0">IF(B$17=0,0,G2/B$17)</f>
        <v>0.76895943562610225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-22.522522522522522</v>
      </c>
      <c r="P2" s="118">
        <v>222</v>
      </c>
      <c r="Q2" s="102">
        <v>-5000</v>
      </c>
    </row>
    <row r="3" spans="1:17" x14ac:dyDescent="0.4">
      <c r="A3" s="55" t="s">
        <v>8</v>
      </c>
      <c r="B3" s="152">
        <v>1935</v>
      </c>
      <c r="C3" s="153"/>
      <c r="E3" s="63" t="s">
        <v>73</v>
      </c>
      <c r="F3" s="60" t="s">
        <v>28</v>
      </c>
      <c r="G3" s="47">
        <v>336</v>
      </c>
      <c r="H3" s="133">
        <f t="shared" si="0"/>
        <v>0.59259259259259256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1"/>
        <v>18.518518518518519</v>
      </c>
      <c r="P3" s="119">
        <v>216</v>
      </c>
      <c r="Q3" s="103">
        <v>4000</v>
      </c>
    </row>
    <row r="4" spans="1:17" x14ac:dyDescent="0.4">
      <c r="A4" s="55" t="s">
        <v>6</v>
      </c>
      <c r="B4" s="154">
        <v>-3.5527136788005009E-14</v>
      </c>
      <c r="C4" s="155"/>
      <c r="E4" s="63" t="s">
        <v>65</v>
      </c>
      <c r="F4" s="60" t="s">
        <v>21</v>
      </c>
      <c r="G4" s="47">
        <v>252</v>
      </c>
      <c r="H4" s="133">
        <f t="shared" si="0"/>
        <v>0.44444444444444442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1"/>
        <v>-28.169014084507044</v>
      </c>
      <c r="P4" s="119">
        <v>213</v>
      </c>
      <c r="Q4" s="103">
        <v>-6000</v>
      </c>
    </row>
    <row r="5" spans="1:17" x14ac:dyDescent="0.4">
      <c r="A5" s="55" t="s">
        <v>7</v>
      </c>
      <c r="B5" s="156">
        <f>IF(B$2=0,0,B$4/B$2)</f>
        <v>-1.5789838572446671E-16</v>
      </c>
      <c r="C5" s="157"/>
      <c r="E5" s="63" t="s">
        <v>172</v>
      </c>
      <c r="F5" s="60" t="s">
        <v>173</v>
      </c>
      <c r="G5" s="47">
        <v>202</v>
      </c>
      <c r="H5" s="133">
        <f t="shared" si="0"/>
        <v>0.35626102292768957</v>
      </c>
      <c r="I5" s="94">
        <v>4</v>
      </c>
      <c r="K5" s="38">
        <v>3</v>
      </c>
      <c r="L5" s="99">
        <v>0</v>
      </c>
      <c r="N5" s="115" t="s">
        <v>134</v>
      </c>
      <c r="O5" s="122">
        <f t="shared" si="1"/>
        <v>19.900497512437809</v>
      </c>
      <c r="P5" s="119">
        <v>201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164</v>
      </c>
      <c r="H6" s="133">
        <f t="shared" si="0"/>
        <v>0.28924162257495589</v>
      </c>
      <c r="I6" s="94">
        <v>5</v>
      </c>
      <c r="K6" s="38">
        <v>4</v>
      </c>
      <c r="L6" s="99">
        <v>24.5</v>
      </c>
      <c r="N6" s="115" t="s">
        <v>135</v>
      </c>
      <c r="O6" s="122">
        <f t="shared" si="1"/>
        <v>16.393442622950818</v>
      </c>
      <c r="P6" s="119">
        <v>183</v>
      </c>
      <c r="Q6" s="103">
        <v>3000</v>
      </c>
    </row>
    <row r="7" spans="1:17" x14ac:dyDescent="0.4">
      <c r="A7" s="55" t="s">
        <v>2</v>
      </c>
      <c r="B7" s="47">
        <v>75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148</v>
      </c>
      <c r="H7" s="133">
        <f t="shared" si="0"/>
        <v>0.26102292768959434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1"/>
        <v>0</v>
      </c>
      <c r="P7" s="120">
        <v>150</v>
      </c>
      <c r="Q7" s="104">
        <v>0</v>
      </c>
    </row>
    <row r="8" spans="1:17" x14ac:dyDescent="0.4">
      <c r="A8" s="55" t="s">
        <v>3</v>
      </c>
      <c r="B8" s="47">
        <v>75</v>
      </c>
      <c r="C8" s="39">
        <f t="shared" si="2"/>
        <v>0.33333333333333331</v>
      </c>
      <c r="E8" s="63" t="s">
        <v>90</v>
      </c>
      <c r="F8" s="60" t="s">
        <v>45</v>
      </c>
      <c r="G8" s="47">
        <v>77</v>
      </c>
      <c r="H8" s="133">
        <f t="shared" si="0"/>
        <v>0.13580246913580246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75</v>
      </c>
      <c r="C9" s="40">
        <f t="shared" si="2"/>
        <v>0.33333333333333331</v>
      </c>
      <c r="E9" s="63" t="s">
        <v>70</v>
      </c>
      <c r="F9" s="60" t="s">
        <v>25</v>
      </c>
      <c r="G9" s="47">
        <v>76</v>
      </c>
      <c r="H9" s="133">
        <f t="shared" si="0"/>
        <v>0.13403880070546736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24</v>
      </c>
      <c r="C10" s="40">
        <f t="shared" si="2"/>
        <v>0.10666666666666667</v>
      </c>
      <c r="E10" s="63" t="s">
        <v>66</v>
      </c>
      <c r="F10" s="60" t="s">
        <v>22</v>
      </c>
      <c r="G10" s="47">
        <v>52</v>
      </c>
      <c r="H10" s="133">
        <f t="shared" si="0"/>
        <v>9.1710758377425039E-2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0.95066666666666588</v>
      </c>
      <c r="P10" s="118">
        <v>75</v>
      </c>
      <c r="Q10" s="106">
        <v>71.29999999999994</v>
      </c>
    </row>
    <row r="11" spans="1:17" x14ac:dyDescent="0.4">
      <c r="A11" s="56" t="s">
        <v>139</v>
      </c>
      <c r="B11" s="48">
        <v>24</v>
      </c>
      <c r="C11" s="40">
        <f t="shared" si="2"/>
        <v>0.10666666666666667</v>
      </c>
      <c r="E11" s="63" t="s">
        <v>71</v>
      </c>
      <c r="F11" s="60" t="s">
        <v>26</v>
      </c>
      <c r="G11" s="47">
        <v>43</v>
      </c>
      <c r="H11" s="133">
        <f t="shared" si="0"/>
        <v>7.5837742504409167E-2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0.9760000000000002</v>
      </c>
      <c r="P11" s="119">
        <v>75</v>
      </c>
      <c r="Q11" s="107">
        <v>73.200000000000017</v>
      </c>
    </row>
    <row r="12" spans="1:17" x14ac:dyDescent="0.4">
      <c r="A12" s="57" t="s">
        <v>159</v>
      </c>
      <c r="B12" s="49">
        <v>19</v>
      </c>
      <c r="C12" s="42">
        <f t="shared" si="2"/>
        <v>8.4444444444444447E-2</v>
      </c>
      <c r="E12" s="63" t="s">
        <v>72</v>
      </c>
      <c r="F12" s="60" t="s">
        <v>27</v>
      </c>
      <c r="G12" s="47">
        <v>39</v>
      </c>
      <c r="H12" s="133">
        <f t="shared" si="0"/>
        <v>6.8783068783068779E-2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-1.9266666666666663</v>
      </c>
      <c r="P12" s="120">
        <v>75</v>
      </c>
      <c r="Q12" s="108">
        <v>-144.49999999999997</v>
      </c>
    </row>
    <row r="13" spans="1:17" x14ac:dyDescent="0.4">
      <c r="A13" s="58" t="s">
        <v>122</v>
      </c>
      <c r="B13" s="50">
        <v>479</v>
      </c>
      <c r="C13" s="44">
        <f>IF(B$3=0,0,B13/B$3)</f>
        <v>0.24754521963824289</v>
      </c>
      <c r="E13" s="63" t="s">
        <v>84</v>
      </c>
      <c r="F13" s="60" t="s">
        <v>39</v>
      </c>
      <c r="G13" s="47">
        <v>33</v>
      </c>
      <c r="H13" s="133">
        <f t="shared" si="0"/>
        <v>5.8201058201058198E-2</v>
      </c>
      <c r="I13" s="94">
        <v>7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478</v>
      </c>
      <c r="C14" s="39">
        <f>IF(B$3=0,0,B14/B$3)</f>
        <v>0.24702842377260981</v>
      </c>
      <c r="E14" s="63" t="s">
        <v>87</v>
      </c>
      <c r="F14" s="60" t="s">
        <v>42</v>
      </c>
      <c r="G14" s="47">
        <v>24</v>
      </c>
      <c r="H14" s="133">
        <f t="shared" si="0"/>
        <v>4.2328042328042326E-2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260</v>
      </c>
      <c r="C15" s="37">
        <f>IF(B$13=0,0,B15/B$13)</f>
        <v>0.54279749478079331</v>
      </c>
      <c r="E15" s="63" t="s">
        <v>79</v>
      </c>
      <c r="F15" s="60" t="s">
        <v>34</v>
      </c>
      <c r="G15" s="47">
        <v>15</v>
      </c>
      <c r="H15" s="133">
        <f t="shared" si="0"/>
        <v>2.6455026455026454E-2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 t="shared" ref="O15:O23" si="3">IF(P15=0,0,Q15/P15)</f>
        <v>27.250000000000004</v>
      </c>
      <c r="P15" s="118">
        <v>30</v>
      </c>
      <c r="Q15" s="106">
        <v>817.50000000000011</v>
      </c>
    </row>
    <row r="16" spans="1:17" x14ac:dyDescent="0.4">
      <c r="A16" s="54" t="s">
        <v>125</v>
      </c>
      <c r="B16" s="46">
        <v>203</v>
      </c>
      <c r="C16" s="37">
        <f>IF(B$14=0,0,B16/B$14)</f>
        <v>0.42468619246861927</v>
      </c>
      <c r="E16" s="63" t="s">
        <v>82</v>
      </c>
      <c r="F16" s="60" t="s">
        <v>37</v>
      </c>
      <c r="G16" s="47">
        <v>11</v>
      </c>
      <c r="H16" s="133">
        <f t="shared" si="0"/>
        <v>1.9400352733686066E-2</v>
      </c>
      <c r="I16" s="94">
        <v>6</v>
      </c>
      <c r="K16" s="38">
        <v>14</v>
      </c>
      <c r="L16" s="99">
        <v>24.3</v>
      </c>
      <c r="N16" s="115" t="s">
        <v>196</v>
      </c>
      <c r="O16" s="125">
        <f t="shared" si="3"/>
        <v>22.457142857142856</v>
      </c>
      <c r="P16" s="119">
        <v>14</v>
      </c>
      <c r="Q16" s="107">
        <v>314.39999999999998</v>
      </c>
    </row>
    <row r="17" spans="1:17" x14ac:dyDescent="0.4">
      <c r="A17" s="54" t="s">
        <v>10</v>
      </c>
      <c r="B17" s="46">
        <f>B19+B18</f>
        <v>567</v>
      </c>
      <c r="C17" s="37">
        <f>IF(B$3=0,0,B17/B$3)</f>
        <v>0.2930232558139535</v>
      </c>
      <c r="E17" s="63" t="s">
        <v>80</v>
      </c>
      <c r="F17" s="60" t="s">
        <v>35</v>
      </c>
      <c r="G17" s="47">
        <v>10</v>
      </c>
      <c r="H17" s="133">
        <f t="shared" si="0"/>
        <v>1.7636684303350969E-2</v>
      </c>
      <c r="I17" s="94">
        <v>4</v>
      </c>
      <c r="K17" s="38">
        <v>15</v>
      </c>
      <c r="L17" s="99">
        <v>0</v>
      </c>
      <c r="N17" s="115" t="s">
        <v>167</v>
      </c>
      <c r="O17" s="125">
        <f t="shared" si="3"/>
        <v>9.7363636363636363</v>
      </c>
      <c r="P17" s="119">
        <v>44</v>
      </c>
      <c r="Q17" s="107">
        <v>428.40000000000003</v>
      </c>
    </row>
    <row r="18" spans="1:17" x14ac:dyDescent="0.4">
      <c r="A18" s="55" t="s">
        <v>12</v>
      </c>
      <c r="B18" s="47">
        <v>235</v>
      </c>
      <c r="C18" s="39">
        <f>IF(B$17=0,0,B18/B$17)</f>
        <v>0.41446208112874777</v>
      </c>
      <c r="E18" s="63" t="s">
        <v>92</v>
      </c>
      <c r="F18" s="60" t="s">
        <v>47</v>
      </c>
      <c r="G18" s="47">
        <v>9</v>
      </c>
      <c r="H18" s="133">
        <f t="shared" si="0"/>
        <v>1.5873015873015872E-2</v>
      </c>
      <c r="I18" s="94">
        <v>4</v>
      </c>
      <c r="K18" s="38">
        <v>16</v>
      </c>
      <c r="L18" s="99">
        <v>-28.2</v>
      </c>
      <c r="N18" s="115" t="s">
        <v>180</v>
      </c>
      <c r="O18" s="125">
        <f t="shared" si="3"/>
        <v>9.7339285714285761</v>
      </c>
      <c r="P18" s="119">
        <v>56</v>
      </c>
      <c r="Q18" s="107">
        <v>545.10000000000025</v>
      </c>
    </row>
    <row r="19" spans="1:17" x14ac:dyDescent="0.4">
      <c r="A19" s="55" t="s">
        <v>11</v>
      </c>
      <c r="B19" s="47">
        <v>332</v>
      </c>
      <c r="C19" s="39">
        <f>IF(B$17=0,0,B19/B$17)</f>
        <v>0.58553791887125217</v>
      </c>
      <c r="E19" s="63" t="s">
        <v>168</v>
      </c>
      <c r="F19" s="60" t="s">
        <v>169</v>
      </c>
      <c r="G19" s="47">
        <v>8</v>
      </c>
      <c r="H19" s="133">
        <f t="shared" si="0"/>
        <v>1.4109347442680775E-2</v>
      </c>
      <c r="I19" s="94">
        <v>4</v>
      </c>
      <c r="K19" s="38">
        <v>17</v>
      </c>
      <c r="L19" s="99">
        <v>-20.5</v>
      </c>
      <c r="N19" s="115" t="s">
        <v>178</v>
      </c>
      <c r="O19" s="125">
        <f t="shared" si="3"/>
        <v>3.212499999999999</v>
      </c>
      <c r="P19" s="119">
        <v>48</v>
      </c>
      <c r="Q19" s="107">
        <v>154.19999999999996</v>
      </c>
    </row>
    <row r="20" spans="1:17" x14ac:dyDescent="0.4">
      <c r="A20" s="55" t="s">
        <v>13</v>
      </c>
      <c r="B20" s="47">
        <v>330</v>
      </c>
      <c r="C20" s="39">
        <f>IF(B$3=0,0,B20/B$3)</f>
        <v>0.17054263565891473</v>
      </c>
      <c r="E20" s="63" t="s">
        <v>93</v>
      </c>
      <c r="F20" s="60" t="s">
        <v>48</v>
      </c>
      <c r="G20" s="47">
        <v>5</v>
      </c>
      <c r="H20" s="133">
        <f t="shared" si="0"/>
        <v>8.8183421516754845E-3</v>
      </c>
      <c r="I20" s="94">
        <v>3</v>
      </c>
      <c r="K20" s="38">
        <v>18</v>
      </c>
      <c r="L20" s="99">
        <v>0</v>
      </c>
      <c r="N20" s="115" t="s">
        <v>179</v>
      </c>
      <c r="O20" s="125">
        <f t="shared" si="3"/>
        <v>3.1211538461538471</v>
      </c>
      <c r="P20" s="119">
        <v>52</v>
      </c>
      <c r="Q20" s="107">
        <v>162.30000000000004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4</v>
      </c>
      <c r="H21" s="133">
        <f t="shared" si="0"/>
        <v>7.0546737213403876E-3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 t="shared" si="3"/>
        <v>-7.023913043478264</v>
      </c>
      <c r="P21" s="119">
        <v>92</v>
      </c>
      <c r="Q21" s="107">
        <v>-646.20000000000027</v>
      </c>
    </row>
    <row r="22" spans="1:17" x14ac:dyDescent="0.4">
      <c r="A22" s="55" t="s">
        <v>171</v>
      </c>
      <c r="B22" s="47">
        <v>26</v>
      </c>
      <c r="C22" s="135">
        <v>0</v>
      </c>
      <c r="E22" s="63" t="s">
        <v>75</v>
      </c>
      <c r="F22" s="60" t="s">
        <v>30</v>
      </c>
      <c r="G22" s="47">
        <v>3</v>
      </c>
      <c r="H22" s="133">
        <f t="shared" si="0"/>
        <v>5.2910052910052907E-3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 t="shared" si="3"/>
        <v>-15.189130434782614</v>
      </c>
      <c r="P22" s="119">
        <v>92</v>
      </c>
      <c r="Q22" s="107">
        <v>-1397.4000000000005</v>
      </c>
    </row>
    <row r="23" spans="1:17" x14ac:dyDescent="0.4">
      <c r="A23" s="55" t="s">
        <v>5</v>
      </c>
      <c r="B23" s="51">
        <f>IF(B$17=0,0,C23/B$17)</f>
        <v>8202.4691358024684</v>
      </c>
      <c r="C23" s="41">
        <v>4650800</v>
      </c>
      <c r="E23" s="63" t="s">
        <v>76</v>
      </c>
      <c r="F23" s="60" t="s">
        <v>31</v>
      </c>
      <c r="G23" s="47">
        <v>3</v>
      </c>
      <c r="H23" s="133">
        <f t="shared" si="0"/>
        <v>5.2910052910052907E-3</v>
      </c>
      <c r="I23" s="94">
        <v>4</v>
      </c>
      <c r="K23" s="38">
        <v>21</v>
      </c>
      <c r="L23" s="99">
        <v>7.1054273576010019E-15</v>
      </c>
      <c r="N23" s="115" t="s">
        <v>182</v>
      </c>
      <c r="O23" s="125">
        <f t="shared" si="3"/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-7713.939393939394</v>
      </c>
      <c r="C24" s="45">
        <v>-2545600</v>
      </c>
      <c r="E24" s="63" t="s">
        <v>86</v>
      </c>
      <c r="F24" s="60" t="s">
        <v>41</v>
      </c>
      <c r="G24" s="47">
        <v>3</v>
      </c>
      <c r="H24" s="133">
        <f t="shared" si="0"/>
        <v>5.2910052910052907E-3</v>
      </c>
      <c r="I24" s="94">
        <v>4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85</v>
      </c>
      <c r="F25" s="60" t="s">
        <v>40</v>
      </c>
      <c r="G25" s="47">
        <v>2</v>
      </c>
      <c r="H25" s="133">
        <f t="shared" si="0"/>
        <v>3.5273368606701938E-3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89</v>
      </c>
      <c r="F26" s="60" t="s">
        <v>44</v>
      </c>
      <c r="G26" s="47">
        <v>2</v>
      </c>
      <c r="H26" s="133">
        <f t="shared" si="0"/>
        <v>3.5273368606701938E-3</v>
      </c>
      <c r="I26" s="94">
        <v>3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5</v>
      </c>
      <c r="C27" s="42">
        <f>IF(B$3=0,0,B27/B$3)</f>
        <v>2.5839793281653748E-3</v>
      </c>
      <c r="E27" s="63" t="s">
        <v>88</v>
      </c>
      <c r="F27" s="60" t="s">
        <v>43</v>
      </c>
      <c r="G27" s="47">
        <v>1</v>
      </c>
      <c r="H27" s="133">
        <f t="shared" si="0"/>
        <v>1.7636684303350969E-3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 t="shared" si="0"/>
        <v>1.7636684303350969E-3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 t="shared" si="0"/>
        <v>1.7636684303350969E-3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102</v>
      </c>
      <c r="F30" s="60" t="s">
        <v>57</v>
      </c>
      <c r="G30" s="47">
        <v>1</v>
      </c>
      <c r="H30" s="133">
        <f t="shared" si="0"/>
        <v>1.7636684303350969E-3</v>
      </c>
      <c r="I30" s="94">
        <v>2</v>
      </c>
      <c r="K30" s="38">
        <v>28</v>
      </c>
      <c r="L30" s="99">
        <v>-30.199999999999992</v>
      </c>
    </row>
    <row r="31" spans="1:17" x14ac:dyDescent="0.4">
      <c r="E31" s="63" t="s">
        <v>74</v>
      </c>
      <c r="F31" s="60" t="s">
        <v>29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94</v>
      </c>
      <c r="F35" s="60" t="s">
        <v>49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  <row r="183" spans="11:12" x14ac:dyDescent="0.4">
      <c r="K183" s="38">
        <v>181</v>
      </c>
      <c r="L183" s="99">
        <v>-23.900000000000041</v>
      </c>
    </row>
    <row r="184" spans="11:12" x14ac:dyDescent="0.4">
      <c r="K184" s="38">
        <v>182</v>
      </c>
      <c r="L184" s="99">
        <v>-22.000000000000043</v>
      </c>
    </row>
    <row r="185" spans="11:12" x14ac:dyDescent="0.4">
      <c r="K185" s="38">
        <v>183</v>
      </c>
      <c r="L185" s="99">
        <v>-4.2632564145606011E-14</v>
      </c>
    </row>
    <row r="186" spans="11:12" x14ac:dyDescent="0.4">
      <c r="K186" s="38">
        <v>184</v>
      </c>
      <c r="L186" s="99">
        <v>-1.9000000000000425</v>
      </c>
    </row>
    <row r="187" spans="11:12" x14ac:dyDescent="0.4">
      <c r="K187" s="38">
        <v>185</v>
      </c>
      <c r="L187" s="99">
        <v>36.799999999999962</v>
      </c>
    </row>
    <row r="188" spans="11:12" x14ac:dyDescent="0.4">
      <c r="K188" s="38">
        <v>186</v>
      </c>
      <c r="L188" s="99">
        <v>-3.5527136788005009E-14</v>
      </c>
    </row>
    <row r="189" spans="11:12" x14ac:dyDescent="0.4">
      <c r="K189" s="38">
        <v>187</v>
      </c>
      <c r="L189" s="99">
        <v>-40.700000000000038</v>
      </c>
    </row>
    <row r="190" spans="11:12" x14ac:dyDescent="0.4">
      <c r="K190" s="38">
        <v>188</v>
      </c>
      <c r="L190" s="99">
        <v>-33.400000000000041</v>
      </c>
    </row>
    <row r="191" spans="11:12" x14ac:dyDescent="0.4">
      <c r="K191" s="38">
        <v>189</v>
      </c>
      <c r="L191" s="99">
        <v>-4.2632564145606011E-14</v>
      </c>
    </row>
    <row r="192" spans="11:12" x14ac:dyDescent="0.4">
      <c r="K192" s="38">
        <v>190</v>
      </c>
      <c r="L192" s="99">
        <v>-30.500000000000043</v>
      </c>
    </row>
    <row r="193" spans="11:12" x14ac:dyDescent="0.4">
      <c r="K193" s="38">
        <v>191</v>
      </c>
      <c r="L193" s="99">
        <v>0.29999999999995808</v>
      </c>
    </row>
    <row r="194" spans="11:12" x14ac:dyDescent="0.4">
      <c r="K194" s="38">
        <v>192</v>
      </c>
      <c r="L194" s="99">
        <v>-4.1910919179599659E-14</v>
      </c>
    </row>
    <row r="195" spans="11:12" x14ac:dyDescent="0.4">
      <c r="K195" s="38">
        <v>193</v>
      </c>
      <c r="L195" s="99">
        <v>52.099999999999959</v>
      </c>
    </row>
    <row r="196" spans="11:12" x14ac:dyDescent="0.4">
      <c r="K196" s="38">
        <v>194</v>
      </c>
      <c r="L196" s="99">
        <v>49.299999999999962</v>
      </c>
    </row>
    <row r="197" spans="11:12" x14ac:dyDescent="0.4">
      <c r="K197" s="38">
        <v>195</v>
      </c>
      <c r="L197" s="99">
        <v>-3.5527136788005009E-14</v>
      </c>
    </row>
    <row r="198" spans="11:12" x14ac:dyDescent="0.4">
      <c r="K198" s="38">
        <v>196</v>
      </c>
      <c r="L198" s="99">
        <v>-5.6000000000000352</v>
      </c>
    </row>
    <row r="199" spans="11:12" x14ac:dyDescent="0.4">
      <c r="K199" s="38">
        <v>197</v>
      </c>
      <c r="L199" s="99">
        <v>-28.200000000000038</v>
      </c>
    </row>
    <row r="200" spans="11:12" x14ac:dyDescent="0.4">
      <c r="K200" s="38">
        <v>198</v>
      </c>
      <c r="L200" s="99">
        <v>-3.907985046680551E-14</v>
      </c>
    </row>
    <row r="201" spans="11:12" x14ac:dyDescent="0.4">
      <c r="K201" s="38">
        <v>199</v>
      </c>
      <c r="L201" s="99">
        <v>-22.000000000000039</v>
      </c>
    </row>
    <row r="202" spans="11:12" x14ac:dyDescent="0.4">
      <c r="K202" s="38">
        <v>200</v>
      </c>
      <c r="L202" s="99">
        <v>-20.900000000000038</v>
      </c>
    </row>
    <row r="203" spans="11:12" x14ac:dyDescent="0.4">
      <c r="K203" s="38">
        <v>201</v>
      </c>
      <c r="L203" s="99">
        <v>-3.907985046680551E-14</v>
      </c>
    </row>
    <row r="204" spans="11:12" x14ac:dyDescent="0.4">
      <c r="K204" s="38">
        <v>202</v>
      </c>
      <c r="L204" s="99">
        <v>-1.0000000000000391</v>
      </c>
    </row>
    <row r="205" spans="11:12" x14ac:dyDescent="0.4">
      <c r="K205" s="38">
        <v>203</v>
      </c>
      <c r="L205" s="99">
        <v>18.399999999999959</v>
      </c>
    </row>
    <row r="206" spans="11:12" x14ac:dyDescent="0.4">
      <c r="K206" s="38">
        <v>204</v>
      </c>
      <c r="L206" s="99">
        <v>-3.907985046680551E-14</v>
      </c>
    </row>
    <row r="207" spans="11:12" x14ac:dyDescent="0.4">
      <c r="K207" s="38">
        <v>205</v>
      </c>
      <c r="L207" s="99">
        <v>-47.200000000000045</v>
      </c>
    </row>
    <row r="208" spans="11:12" x14ac:dyDescent="0.4">
      <c r="K208" s="38">
        <v>206</v>
      </c>
      <c r="L208" s="99">
        <v>-56.700000000000045</v>
      </c>
    </row>
    <row r="209" spans="11:12" x14ac:dyDescent="0.4">
      <c r="K209" s="38">
        <v>207</v>
      </c>
      <c r="L209" s="99">
        <v>-4.2632564145606011E-14</v>
      </c>
    </row>
    <row r="210" spans="11:12" x14ac:dyDescent="0.4">
      <c r="K210" s="38">
        <v>208</v>
      </c>
      <c r="L210" s="99">
        <v>-45.500000000000043</v>
      </c>
    </row>
    <row r="211" spans="11:12" x14ac:dyDescent="0.4">
      <c r="K211" s="38">
        <v>209</v>
      </c>
      <c r="L211" s="99">
        <v>-7.4000000000000412</v>
      </c>
    </row>
    <row r="212" spans="11:12" x14ac:dyDescent="0.4">
      <c r="K212" s="38">
        <v>210</v>
      </c>
      <c r="L212" s="99">
        <v>-4.0856207306205761E-14</v>
      </c>
    </row>
    <row r="213" spans="11:12" x14ac:dyDescent="0.4">
      <c r="K213" s="38">
        <v>211</v>
      </c>
      <c r="L213" s="99">
        <v>-31.80000000000004</v>
      </c>
    </row>
    <row r="214" spans="11:12" x14ac:dyDescent="0.4">
      <c r="K214" s="38">
        <v>212</v>
      </c>
      <c r="L214" s="99">
        <v>-26.30000000000004</v>
      </c>
    </row>
    <row r="215" spans="11:12" x14ac:dyDescent="0.4">
      <c r="K215" s="38">
        <v>213</v>
      </c>
      <c r="L215" s="99">
        <v>-3.907985046680551E-14</v>
      </c>
    </row>
    <row r="216" spans="11:12" x14ac:dyDescent="0.4">
      <c r="K216" s="38">
        <v>214</v>
      </c>
      <c r="L216" s="99">
        <v>22.999999999999961</v>
      </c>
    </row>
    <row r="217" spans="11:12" x14ac:dyDescent="0.4">
      <c r="K217" s="38">
        <v>215</v>
      </c>
      <c r="L217" s="99">
        <v>22.599999999999962</v>
      </c>
    </row>
    <row r="218" spans="11:12" x14ac:dyDescent="0.4">
      <c r="K218" s="38">
        <v>216</v>
      </c>
      <c r="L218" s="99">
        <v>-3.907985046680551E-14</v>
      </c>
    </row>
    <row r="219" spans="11:12" x14ac:dyDescent="0.4">
      <c r="K219" s="38">
        <v>217</v>
      </c>
      <c r="L219" s="99">
        <v>-18.700000000000038</v>
      </c>
    </row>
    <row r="220" spans="11:12" x14ac:dyDescent="0.4">
      <c r="K220" s="38">
        <v>218</v>
      </c>
      <c r="L220" s="99">
        <v>31.399999999999963</v>
      </c>
    </row>
    <row r="221" spans="11:12" x14ac:dyDescent="0.4">
      <c r="K221" s="38">
        <v>219</v>
      </c>
      <c r="L221" s="99">
        <v>-3.5527136788005009E-14</v>
      </c>
    </row>
    <row r="222" spans="11:12" x14ac:dyDescent="0.4">
      <c r="K222" s="38">
        <v>220</v>
      </c>
      <c r="L222" s="99">
        <v>11.499999999999964</v>
      </c>
    </row>
    <row r="223" spans="11:12" x14ac:dyDescent="0.4">
      <c r="K223" s="38">
        <v>221</v>
      </c>
      <c r="L223" s="99">
        <v>-1.3000000000000362</v>
      </c>
    </row>
    <row r="224" spans="11:12" x14ac:dyDescent="0.4">
      <c r="K224" s="38">
        <v>222</v>
      </c>
      <c r="L224" s="99">
        <v>-3.6193270602780103E-14</v>
      </c>
    </row>
    <row r="225" spans="11:12" x14ac:dyDescent="0.4">
      <c r="K225" s="38">
        <v>223</v>
      </c>
      <c r="L225" s="99">
        <v>-41.100000000000037</v>
      </c>
    </row>
    <row r="226" spans="11:12" x14ac:dyDescent="0.4">
      <c r="K226" s="38">
        <v>224</v>
      </c>
      <c r="L226" s="99">
        <v>-1.0000000000000355</v>
      </c>
    </row>
    <row r="227" spans="11:12" x14ac:dyDescent="0.4">
      <c r="K227" s="38">
        <v>225</v>
      </c>
      <c r="L227" s="99">
        <v>-3.5527136788005009E-14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E5977-146F-4551-8EAB-E13E4B186486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22</v>
      </c>
      <c r="C2" s="151"/>
      <c r="E2" s="62" t="s">
        <v>67</v>
      </c>
      <c r="F2" s="59" t="s">
        <v>23</v>
      </c>
      <c r="G2" s="46">
        <v>32</v>
      </c>
      <c r="H2" s="132">
        <f t="shared" ref="H2:H33" si="0">IF(B$17=0,0,G2/B$17)</f>
        <v>0.64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-1995.4545454545455</v>
      </c>
      <c r="P2" s="118">
        <v>22</v>
      </c>
      <c r="Q2" s="102">
        <v>-43900</v>
      </c>
    </row>
    <row r="3" spans="1:17" x14ac:dyDescent="0.4">
      <c r="A3" s="55" t="s">
        <v>8</v>
      </c>
      <c r="B3" s="152">
        <v>196</v>
      </c>
      <c r="C3" s="153"/>
      <c r="E3" s="63" t="s">
        <v>73</v>
      </c>
      <c r="F3" s="60" t="s">
        <v>28</v>
      </c>
      <c r="G3" s="47">
        <v>24</v>
      </c>
      <c r="H3" s="133">
        <f t="shared" si="0"/>
        <v>0.48</v>
      </c>
      <c r="I3" s="94">
        <v>8</v>
      </c>
      <c r="K3" s="38">
        <v>1</v>
      </c>
      <c r="L3" s="99">
        <v>-4.5999999999999996</v>
      </c>
      <c r="N3" s="115" t="s">
        <v>132</v>
      </c>
      <c r="O3" s="122">
        <f t="shared" si="1"/>
        <v>-290.90909090909093</v>
      </c>
      <c r="P3" s="119">
        <v>22</v>
      </c>
      <c r="Q3" s="103">
        <v>-6400</v>
      </c>
    </row>
    <row r="4" spans="1:17" x14ac:dyDescent="0.4">
      <c r="A4" s="55" t="s">
        <v>6</v>
      </c>
      <c r="B4" s="154">
        <v>-142.80000000000001</v>
      </c>
      <c r="C4" s="155"/>
      <c r="E4" s="63" t="s">
        <v>172</v>
      </c>
      <c r="F4" s="60" t="s">
        <v>173</v>
      </c>
      <c r="G4" s="47">
        <v>20</v>
      </c>
      <c r="H4" s="133">
        <f t="shared" si="0"/>
        <v>0.4</v>
      </c>
      <c r="I4" s="94">
        <v>3</v>
      </c>
      <c r="K4" s="38">
        <v>2</v>
      </c>
      <c r="L4" s="99">
        <v>19.899999999999999</v>
      </c>
      <c r="N4" s="115" t="s">
        <v>133</v>
      </c>
      <c r="O4" s="122">
        <f t="shared" si="1"/>
        <v>1204.5454545454545</v>
      </c>
      <c r="P4" s="119">
        <v>22</v>
      </c>
      <c r="Q4" s="103">
        <v>26500</v>
      </c>
    </row>
    <row r="5" spans="1:17" x14ac:dyDescent="0.4">
      <c r="A5" s="55" t="s">
        <v>7</v>
      </c>
      <c r="B5" s="156">
        <f>IF(B$2=0,0,B$4/B$2)</f>
        <v>-6.4909090909090912</v>
      </c>
      <c r="C5" s="157"/>
      <c r="E5" s="63" t="s">
        <v>69</v>
      </c>
      <c r="F5" s="60" t="s">
        <v>12</v>
      </c>
      <c r="G5" s="47">
        <v>18</v>
      </c>
      <c r="H5" s="133">
        <f t="shared" si="0"/>
        <v>0.36</v>
      </c>
      <c r="I5" s="94">
        <v>2</v>
      </c>
      <c r="K5" s="38">
        <v>3</v>
      </c>
      <c r="L5" s="99">
        <v>-8.3000000000000007</v>
      </c>
      <c r="N5" s="115" t="s">
        <v>134</v>
      </c>
      <c r="O5" s="122">
        <f t="shared" si="1"/>
        <v>-590.47619047619048</v>
      </c>
      <c r="P5" s="119">
        <v>21</v>
      </c>
      <c r="Q5" s="103">
        <v>-12400</v>
      </c>
    </row>
    <row r="6" spans="1:17" x14ac:dyDescent="0.4">
      <c r="A6" s="55" t="s">
        <v>1</v>
      </c>
      <c r="B6" s="146">
        <f>IF(B$2=0,0,(B$7*1+B$8*2+B$9*3)/B$2)</f>
        <v>2.1363636363636362</v>
      </c>
      <c r="C6" s="147"/>
      <c r="E6" s="63" t="s">
        <v>65</v>
      </c>
      <c r="F6" s="60" t="s">
        <v>21</v>
      </c>
      <c r="G6" s="47">
        <v>17</v>
      </c>
      <c r="H6" s="133">
        <f t="shared" si="0"/>
        <v>0.34</v>
      </c>
      <c r="I6" s="94">
        <v>10</v>
      </c>
      <c r="K6" s="38">
        <v>4</v>
      </c>
      <c r="L6" s="99">
        <v>-30.7</v>
      </c>
      <c r="N6" s="115" t="s">
        <v>135</v>
      </c>
      <c r="O6" s="122">
        <f t="shared" si="1"/>
        <v>-1452.3809523809523</v>
      </c>
      <c r="P6" s="119">
        <v>21</v>
      </c>
      <c r="Q6" s="103">
        <v>-30500</v>
      </c>
    </row>
    <row r="7" spans="1:17" x14ac:dyDescent="0.4">
      <c r="A7" s="55" t="s">
        <v>2</v>
      </c>
      <c r="B7" s="47">
        <v>6</v>
      </c>
      <c r="C7" s="39">
        <f t="shared" ref="C7:C12" si="2">IF(B$2=0,0,B7/B$2)</f>
        <v>0.27272727272727271</v>
      </c>
      <c r="E7" s="63" t="s">
        <v>70</v>
      </c>
      <c r="F7" s="60" t="s">
        <v>25</v>
      </c>
      <c r="G7" s="47">
        <v>14</v>
      </c>
      <c r="H7" s="133">
        <f t="shared" si="0"/>
        <v>0.28000000000000003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1"/>
        <v>-2833.3333333333335</v>
      </c>
      <c r="P7" s="120">
        <v>18</v>
      </c>
      <c r="Q7" s="104">
        <v>-51000</v>
      </c>
    </row>
    <row r="8" spans="1:17" x14ac:dyDescent="0.4">
      <c r="A8" s="55" t="s">
        <v>3</v>
      </c>
      <c r="B8" s="47">
        <v>7</v>
      </c>
      <c r="C8" s="39">
        <f t="shared" si="2"/>
        <v>0.31818181818181818</v>
      </c>
      <c r="E8" s="63" t="s">
        <v>71</v>
      </c>
      <c r="F8" s="60" t="s">
        <v>26</v>
      </c>
      <c r="G8" s="47">
        <v>9</v>
      </c>
      <c r="H8" s="133">
        <f t="shared" si="0"/>
        <v>0.18</v>
      </c>
      <c r="I8" s="94">
        <v>1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2"/>
        <v>0.40909090909090912</v>
      </c>
      <c r="E9" s="63" t="s">
        <v>68</v>
      </c>
      <c r="F9" s="60" t="s">
        <v>24</v>
      </c>
      <c r="G9" s="47">
        <v>8</v>
      </c>
      <c r="H9" s="133">
        <f t="shared" si="0"/>
        <v>0.16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72</v>
      </c>
      <c r="F10" s="60" t="s">
        <v>27</v>
      </c>
      <c r="G10" s="47">
        <v>7</v>
      </c>
      <c r="H10" s="133">
        <f t="shared" si="0"/>
        <v>0.14000000000000001</v>
      </c>
      <c r="I10" s="94">
        <v>1</v>
      </c>
      <c r="K10" s="38">
        <v>8</v>
      </c>
      <c r="L10" s="99">
        <v>-76.900000000000006</v>
      </c>
      <c r="N10" s="114" t="s">
        <v>163</v>
      </c>
      <c r="O10" s="124">
        <f>IF(P10=0,0,Q10/P10)</f>
        <v>-6.3833333333333329</v>
      </c>
      <c r="P10" s="118">
        <v>6</v>
      </c>
      <c r="Q10" s="106">
        <v>-38.299999999999997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66</v>
      </c>
      <c r="F11" s="60" t="s">
        <v>22</v>
      </c>
      <c r="G11" s="47">
        <v>6</v>
      </c>
      <c r="H11" s="133">
        <f t="shared" si="0"/>
        <v>0.12</v>
      </c>
      <c r="I11" s="94">
        <v>3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2"/>
        <v>0.13636363636363635</v>
      </c>
      <c r="E12" s="63" t="s">
        <v>84</v>
      </c>
      <c r="F12" s="60" t="s">
        <v>39</v>
      </c>
      <c r="G12" s="47">
        <v>4</v>
      </c>
      <c r="H12" s="133">
        <f t="shared" si="0"/>
        <v>0.08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-2.418181818181818</v>
      </c>
      <c r="P12" s="120">
        <v>11</v>
      </c>
      <c r="Q12" s="108">
        <v>-26.599999999999998</v>
      </c>
    </row>
    <row r="13" spans="1:17" x14ac:dyDescent="0.4">
      <c r="A13" s="58" t="s">
        <v>122</v>
      </c>
      <c r="B13" s="50">
        <v>36</v>
      </c>
      <c r="C13" s="44">
        <f>IF(B$3=0,0,B13/B$3)</f>
        <v>0.18367346938775511</v>
      </c>
      <c r="E13" s="63" t="s">
        <v>82</v>
      </c>
      <c r="F13" s="60" t="s">
        <v>37</v>
      </c>
      <c r="G13" s="47">
        <v>2</v>
      </c>
      <c r="H13" s="133">
        <f t="shared" si="0"/>
        <v>0.04</v>
      </c>
      <c r="I13" s="94">
        <v>3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44</v>
      </c>
      <c r="C14" s="39">
        <f>IF(B$3=0,0,B14/B$3)</f>
        <v>0.22448979591836735</v>
      </c>
      <c r="E14" s="63" t="s">
        <v>90</v>
      </c>
      <c r="F14" s="60" t="s">
        <v>45</v>
      </c>
      <c r="G14" s="47">
        <v>2</v>
      </c>
      <c r="H14" s="133">
        <f t="shared" si="0"/>
        <v>0.04</v>
      </c>
      <c r="I14" s="94">
        <v>10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19</v>
      </c>
      <c r="C15" s="37">
        <f>IF(B$13=0,0,B15/B$13)</f>
        <v>0.52777777777777779</v>
      </c>
      <c r="E15" s="63" t="s">
        <v>78</v>
      </c>
      <c r="F15" s="60" t="s">
        <v>33</v>
      </c>
      <c r="G15" s="47">
        <v>1</v>
      </c>
      <c r="H15" s="133">
        <f t="shared" si="0"/>
        <v>0.02</v>
      </c>
      <c r="I15" s="94">
        <v>2</v>
      </c>
      <c r="K15" s="38">
        <v>13</v>
      </c>
      <c r="L15" s="99">
        <v>-66.2</v>
      </c>
      <c r="N15" s="114" t="s">
        <v>128</v>
      </c>
      <c r="O15" s="124">
        <f t="shared" ref="O15:O20" si="3">IF(P15=0,0,Q15/P15)</f>
        <v>1.7100000000000002</v>
      </c>
      <c r="P15" s="118">
        <v>10</v>
      </c>
      <c r="Q15" s="106">
        <v>17.100000000000001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0.29545454545454547</v>
      </c>
      <c r="E16" s="63" t="s">
        <v>87</v>
      </c>
      <c r="F16" s="60" t="s">
        <v>42</v>
      </c>
      <c r="G16" s="47">
        <v>1</v>
      </c>
      <c r="H16" s="133">
        <f t="shared" si="0"/>
        <v>0.02</v>
      </c>
      <c r="I16" s="94">
        <v>10</v>
      </c>
      <c r="K16" s="38">
        <v>14</v>
      </c>
      <c r="L16" s="99">
        <v>-51.1</v>
      </c>
      <c r="N16" s="115" t="s">
        <v>179</v>
      </c>
      <c r="O16" s="125">
        <f t="shared" si="3"/>
        <v>-2.3333333333333335</v>
      </c>
      <c r="P16" s="119">
        <v>3</v>
      </c>
      <c r="Q16" s="107">
        <v>-7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0.25510204081632654</v>
      </c>
      <c r="E17" s="63" t="s">
        <v>89</v>
      </c>
      <c r="F17" s="60" t="s">
        <v>44</v>
      </c>
      <c r="G17" s="47">
        <v>1</v>
      </c>
      <c r="H17" s="133">
        <f t="shared" si="0"/>
        <v>0.02</v>
      </c>
      <c r="I17" s="94">
        <v>1</v>
      </c>
      <c r="K17" s="38">
        <v>15</v>
      </c>
      <c r="L17" s="99">
        <v>-65.2</v>
      </c>
      <c r="N17" s="115" t="s">
        <v>127</v>
      </c>
      <c r="O17" s="125">
        <f t="shared" si="3"/>
        <v>-10.658823529411766</v>
      </c>
      <c r="P17" s="119">
        <v>17</v>
      </c>
      <c r="Q17" s="107">
        <v>-181.20000000000002</v>
      </c>
    </row>
    <row r="18" spans="1:17" x14ac:dyDescent="0.4">
      <c r="A18" s="55" t="s">
        <v>12</v>
      </c>
      <c r="B18" s="47">
        <v>25</v>
      </c>
      <c r="C18" s="39">
        <f>IF(B$17=0,0,B18/B$17)</f>
        <v>0.5</v>
      </c>
      <c r="E18" s="63" t="s">
        <v>92</v>
      </c>
      <c r="F18" s="60" t="s">
        <v>47</v>
      </c>
      <c r="G18" s="47">
        <v>1</v>
      </c>
      <c r="H18" s="133">
        <f t="shared" si="0"/>
        <v>0.02</v>
      </c>
      <c r="I18" s="94">
        <v>3</v>
      </c>
      <c r="K18" s="38">
        <v>16</v>
      </c>
      <c r="L18" s="99">
        <v>-70.600000000000009</v>
      </c>
      <c r="N18" s="115" t="s">
        <v>182</v>
      </c>
      <c r="O18" s="125">
        <f t="shared" si="3"/>
        <v>-10.825000000000001</v>
      </c>
      <c r="P18" s="119">
        <v>4</v>
      </c>
      <c r="Q18" s="107">
        <v>-43.300000000000004</v>
      </c>
    </row>
    <row r="19" spans="1:17" x14ac:dyDescent="0.4">
      <c r="A19" s="55" t="s">
        <v>11</v>
      </c>
      <c r="B19" s="47">
        <v>25</v>
      </c>
      <c r="C19" s="39">
        <f>IF(B$17=0,0,B19/B$17)</f>
        <v>0.5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1</v>
      </c>
      <c r="K19" s="38">
        <v>17</v>
      </c>
      <c r="L19" s="99">
        <v>-65.2</v>
      </c>
      <c r="N19" s="115" t="s">
        <v>180</v>
      </c>
      <c r="O19" s="125">
        <f t="shared" si="3"/>
        <v>-20.325000000000003</v>
      </c>
      <c r="P19" s="119">
        <v>8</v>
      </c>
      <c r="Q19" s="107">
        <v>-162.60000000000002</v>
      </c>
    </row>
    <row r="20" spans="1:17" x14ac:dyDescent="0.4">
      <c r="A20" s="55" t="s">
        <v>13</v>
      </c>
      <c r="B20" s="47">
        <v>36</v>
      </c>
      <c r="C20" s="39">
        <f>IF(B$3=0,0,B20/B$3)</f>
        <v>0.18367346938775511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5</v>
      </c>
      <c r="K20" s="38">
        <v>18</v>
      </c>
      <c r="L20" s="99">
        <v>-80.2</v>
      </c>
      <c r="N20" s="115" t="s">
        <v>183</v>
      </c>
      <c r="O20" s="125">
        <f t="shared" si="3"/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 t="shared" si="0"/>
        <v>0</v>
      </c>
      <c r="I21" s="94">
        <v>5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0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-88.8</v>
      </c>
    </row>
    <row r="23" spans="1:17" x14ac:dyDescent="0.4">
      <c r="A23" s="55" t="s">
        <v>5</v>
      </c>
      <c r="B23" s="51">
        <f>IF(B$17=0,0,C23/B$17)</f>
        <v>7004</v>
      </c>
      <c r="C23" s="41">
        <v>350200</v>
      </c>
      <c r="E23" s="63" t="s">
        <v>79</v>
      </c>
      <c r="F23" s="60" t="s">
        <v>34</v>
      </c>
      <c r="G23" s="47">
        <v>0</v>
      </c>
      <c r="H23" s="133">
        <f t="shared" si="0"/>
        <v>0</v>
      </c>
      <c r="I23" s="94">
        <v>7</v>
      </c>
      <c r="K23" s="38">
        <v>21</v>
      </c>
      <c r="L23" s="99">
        <v>-111.4</v>
      </c>
    </row>
    <row r="24" spans="1:17" x14ac:dyDescent="0.4">
      <c r="A24" s="57" t="s">
        <v>14</v>
      </c>
      <c r="B24" s="52">
        <f>IF(B$20=0,0,C24/B$20)</f>
        <v>-6530.5555555555557</v>
      </c>
      <c r="C24" s="45">
        <v>-235100</v>
      </c>
      <c r="E24" s="63" t="s">
        <v>80</v>
      </c>
      <c r="F24" s="60" t="s">
        <v>35</v>
      </c>
      <c r="G24" s="47">
        <v>0</v>
      </c>
      <c r="H24" s="133">
        <f t="shared" si="0"/>
        <v>0</v>
      </c>
      <c r="I24" s="94">
        <v>6</v>
      </c>
      <c r="K24" s="38">
        <v>22</v>
      </c>
      <c r="L24" s="99">
        <v>-142.80000000000001</v>
      </c>
    </row>
    <row r="25" spans="1:17" x14ac:dyDescent="0.4">
      <c r="A25" s="90" t="s">
        <v>141</v>
      </c>
      <c r="B25" s="144">
        <v>3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</row>
    <row r="26" spans="1:17" x14ac:dyDescent="0.4">
      <c r="A26" s="58" t="s">
        <v>151</v>
      </c>
      <c r="B26" s="142">
        <v>51800</v>
      </c>
      <c r="C26" s="143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</row>
    <row r="27" spans="1:17" x14ac:dyDescent="0.4">
      <c r="A27" s="57" t="s">
        <v>142</v>
      </c>
      <c r="B27" s="65">
        <v>2</v>
      </c>
      <c r="C27" s="42">
        <f>IF(B$3=0,0,B27/B$3)</f>
        <v>1.020408163265306E-2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1A879-829C-4E85-91BF-F6ADBEA5CE5A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46</v>
      </c>
      <c r="C2" s="151"/>
      <c r="E2" s="62" t="s">
        <v>67</v>
      </c>
      <c r="F2" s="59" t="s">
        <v>23</v>
      </c>
      <c r="G2" s="46">
        <v>78</v>
      </c>
      <c r="H2" s="132">
        <f t="shared" ref="H2:H33" si="0">IF(B$17=0,0,G2/B$17)</f>
        <v>0.57352941176470584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1">IF(P2=0,0,Q2/P2)</f>
        <v>206.66666666666666</v>
      </c>
      <c r="P2" s="118">
        <v>45</v>
      </c>
      <c r="Q2" s="102">
        <v>9300</v>
      </c>
    </row>
    <row r="3" spans="1:17" x14ac:dyDescent="0.4">
      <c r="A3" s="55" t="s">
        <v>8</v>
      </c>
      <c r="B3" s="152">
        <v>389</v>
      </c>
      <c r="C3" s="153"/>
      <c r="E3" s="63" t="s">
        <v>73</v>
      </c>
      <c r="F3" s="60" t="s">
        <v>28</v>
      </c>
      <c r="G3" s="47">
        <v>72</v>
      </c>
      <c r="H3" s="133">
        <f t="shared" si="0"/>
        <v>0.52941176470588236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1"/>
        <v>-375</v>
      </c>
      <c r="P3" s="119">
        <v>44</v>
      </c>
      <c r="Q3" s="103">
        <v>-16500</v>
      </c>
    </row>
    <row r="4" spans="1:17" x14ac:dyDescent="0.4">
      <c r="A4" s="55" t="s">
        <v>6</v>
      </c>
      <c r="B4" s="154">
        <v>465.7999999999999</v>
      </c>
      <c r="C4" s="155"/>
      <c r="E4" s="63" t="s">
        <v>65</v>
      </c>
      <c r="F4" s="60" t="s">
        <v>21</v>
      </c>
      <c r="G4" s="47">
        <v>53</v>
      </c>
      <c r="H4" s="133">
        <f t="shared" si="0"/>
        <v>0.38970588235294118</v>
      </c>
      <c r="I4" s="94">
        <v>8</v>
      </c>
      <c r="K4" s="38">
        <v>2</v>
      </c>
      <c r="L4" s="99">
        <v>14.400000000000006</v>
      </c>
      <c r="N4" s="115" t="s">
        <v>133</v>
      </c>
      <c r="O4" s="122">
        <f t="shared" si="1"/>
        <v>-663.63636363636363</v>
      </c>
      <c r="P4" s="119">
        <v>44</v>
      </c>
      <c r="Q4" s="103">
        <v>-29200</v>
      </c>
    </row>
    <row r="5" spans="1:17" x14ac:dyDescent="0.4">
      <c r="A5" s="55" t="s">
        <v>7</v>
      </c>
      <c r="B5" s="156">
        <f>IF(B$2=0,0,B$4/B$2)</f>
        <v>10.126086956521737</v>
      </c>
      <c r="C5" s="157"/>
      <c r="E5" s="63" t="s">
        <v>172</v>
      </c>
      <c r="F5" s="60" t="s">
        <v>173</v>
      </c>
      <c r="G5" s="47">
        <v>44</v>
      </c>
      <c r="H5" s="133">
        <f t="shared" si="0"/>
        <v>0.3235294117647059</v>
      </c>
      <c r="I5" s="94">
        <v>8</v>
      </c>
      <c r="K5" s="38">
        <v>3</v>
      </c>
      <c r="L5" s="99">
        <v>40.400000000000006</v>
      </c>
      <c r="N5" s="115" t="s">
        <v>134</v>
      </c>
      <c r="O5" s="122">
        <f t="shared" si="1"/>
        <v>-265.85365853658539</v>
      </c>
      <c r="P5" s="119">
        <v>41</v>
      </c>
      <c r="Q5" s="103">
        <v>-10900</v>
      </c>
    </row>
    <row r="6" spans="1:17" x14ac:dyDescent="0.4">
      <c r="A6" s="55" t="s">
        <v>1</v>
      </c>
      <c r="B6" s="146">
        <f>IF(B$2=0,0,(B$7*1+B$8*2+B$9*3)/B$2)</f>
        <v>1.7173913043478262</v>
      </c>
      <c r="C6" s="147"/>
      <c r="E6" s="63" t="s">
        <v>69</v>
      </c>
      <c r="F6" s="60" t="s">
        <v>12</v>
      </c>
      <c r="G6" s="47">
        <v>35</v>
      </c>
      <c r="H6" s="133">
        <f t="shared" si="0"/>
        <v>0.25735294117647056</v>
      </c>
      <c r="I6" s="94">
        <v>8</v>
      </c>
      <c r="K6" s="38">
        <v>4</v>
      </c>
      <c r="L6" s="99">
        <v>101.60000000000001</v>
      </c>
      <c r="N6" s="115" t="s">
        <v>135</v>
      </c>
      <c r="O6" s="122">
        <f t="shared" si="1"/>
        <v>4948.7179487179483</v>
      </c>
      <c r="P6" s="119">
        <v>39</v>
      </c>
      <c r="Q6" s="103">
        <v>193000</v>
      </c>
    </row>
    <row r="7" spans="1:17" x14ac:dyDescent="0.4">
      <c r="A7" s="55" t="s">
        <v>2</v>
      </c>
      <c r="B7" s="47">
        <v>23</v>
      </c>
      <c r="C7" s="39">
        <f t="shared" ref="C7:C12" si="2">IF(B$2=0,0,B7/B$2)</f>
        <v>0.5</v>
      </c>
      <c r="E7" s="63" t="s">
        <v>68</v>
      </c>
      <c r="F7" s="60" t="s">
        <v>24</v>
      </c>
      <c r="G7" s="47">
        <v>34</v>
      </c>
      <c r="H7" s="133">
        <f t="shared" si="0"/>
        <v>0.25</v>
      </c>
      <c r="I7" s="94">
        <v>6</v>
      </c>
      <c r="K7" s="38">
        <v>5</v>
      </c>
      <c r="L7" s="99">
        <v>99.9</v>
      </c>
      <c r="N7" s="116" t="s">
        <v>136</v>
      </c>
      <c r="O7" s="123">
        <f t="shared" si="1"/>
        <v>5290.322580645161</v>
      </c>
      <c r="P7" s="120">
        <v>31</v>
      </c>
      <c r="Q7" s="104">
        <v>164000</v>
      </c>
    </row>
    <row r="8" spans="1:17" x14ac:dyDescent="0.4">
      <c r="A8" s="55" t="s">
        <v>3</v>
      </c>
      <c r="B8" s="47">
        <v>13</v>
      </c>
      <c r="C8" s="39">
        <f t="shared" si="2"/>
        <v>0.28260869565217389</v>
      </c>
      <c r="E8" s="63" t="s">
        <v>90</v>
      </c>
      <c r="F8" s="60" t="s">
        <v>45</v>
      </c>
      <c r="G8" s="47">
        <v>23</v>
      </c>
      <c r="H8" s="133">
        <f t="shared" si="0"/>
        <v>0.16911764705882354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2"/>
        <v>0.21739130434782608</v>
      </c>
      <c r="E9" s="63" t="s">
        <v>70</v>
      </c>
      <c r="F9" s="60" t="s">
        <v>25</v>
      </c>
      <c r="G9" s="47">
        <v>18</v>
      </c>
      <c r="H9" s="133">
        <f t="shared" si="0"/>
        <v>0.13235294117647059</v>
      </c>
      <c r="I9" s="94">
        <v>5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2"/>
        <v>4.3478260869565216E-2</v>
      </c>
      <c r="E10" s="63" t="s">
        <v>66</v>
      </c>
      <c r="F10" s="60" t="s">
        <v>22</v>
      </c>
      <c r="G10" s="47">
        <v>12</v>
      </c>
      <c r="H10" s="133">
        <f t="shared" si="0"/>
        <v>8.8235294117647065E-2</v>
      </c>
      <c r="I10" s="94">
        <v>6</v>
      </c>
      <c r="K10" s="38">
        <v>8</v>
      </c>
      <c r="L10" s="99">
        <v>148.1</v>
      </c>
      <c r="N10" s="114" t="s">
        <v>163</v>
      </c>
      <c r="O10" s="124">
        <f>IF(P10=0,0,Q10/P10)</f>
        <v>14.975</v>
      </c>
      <c r="P10" s="118">
        <v>8</v>
      </c>
      <c r="Q10" s="106">
        <v>119.8</v>
      </c>
    </row>
    <row r="11" spans="1:17" x14ac:dyDescent="0.4">
      <c r="A11" s="56" t="s">
        <v>139</v>
      </c>
      <c r="B11" s="48">
        <v>4</v>
      </c>
      <c r="C11" s="40">
        <f t="shared" si="2"/>
        <v>8.6956521739130432E-2</v>
      </c>
      <c r="E11" s="63" t="s">
        <v>71</v>
      </c>
      <c r="F11" s="60" t="s">
        <v>26</v>
      </c>
      <c r="G11" s="47">
        <v>9</v>
      </c>
      <c r="H11" s="133">
        <f t="shared" si="0"/>
        <v>6.6176470588235295E-2</v>
      </c>
      <c r="I11" s="94">
        <v>6</v>
      </c>
      <c r="K11" s="38">
        <v>9</v>
      </c>
      <c r="L11" s="99">
        <v>180.89999999999998</v>
      </c>
      <c r="N11" s="115" t="s">
        <v>164</v>
      </c>
      <c r="O11" s="125">
        <f>IF(P11=0,0,Q11/P11)</f>
        <v>8.6285714285714299</v>
      </c>
      <c r="P11" s="119">
        <v>21</v>
      </c>
      <c r="Q11" s="107">
        <v>181.20000000000002</v>
      </c>
    </row>
    <row r="12" spans="1:17" x14ac:dyDescent="0.4">
      <c r="A12" s="57" t="s">
        <v>159</v>
      </c>
      <c r="B12" s="49">
        <v>6</v>
      </c>
      <c r="C12" s="42">
        <f t="shared" si="2"/>
        <v>0.13043478260869565</v>
      </c>
      <c r="E12" s="63" t="s">
        <v>72</v>
      </c>
      <c r="F12" s="60" t="s">
        <v>27</v>
      </c>
      <c r="G12" s="47">
        <v>8</v>
      </c>
      <c r="H12" s="133">
        <f t="shared" si="0"/>
        <v>5.8823529411764705E-2</v>
      </c>
      <c r="I12" s="94">
        <v>8</v>
      </c>
      <c r="K12" s="38">
        <v>10</v>
      </c>
      <c r="L12" s="99">
        <v>158.19999999999999</v>
      </c>
      <c r="N12" s="116" t="s">
        <v>165</v>
      </c>
      <c r="O12" s="126">
        <f>IF(P12=0,0,Q12/P12)</f>
        <v>9.6941176470588228</v>
      </c>
      <c r="P12" s="120">
        <v>17</v>
      </c>
      <c r="Q12" s="108">
        <v>164.79999999999998</v>
      </c>
    </row>
    <row r="13" spans="1:17" x14ac:dyDescent="0.4">
      <c r="A13" s="58" t="s">
        <v>122</v>
      </c>
      <c r="B13" s="50">
        <v>98</v>
      </c>
      <c r="C13" s="44">
        <f>IF(B$3=0,0,B13/B$3)</f>
        <v>0.25192802056555269</v>
      </c>
      <c r="E13" s="63" t="s">
        <v>84</v>
      </c>
      <c r="F13" s="60" t="s">
        <v>39</v>
      </c>
      <c r="G13" s="47">
        <v>6</v>
      </c>
      <c r="H13" s="133">
        <f t="shared" si="0"/>
        <v>4.4117647058823532E-2</v>
      </c>
      <c r="I13" s="94">
        <v>8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88</v>
      </c>
      <c r="C14" s="39">
        <f>IF(B$3=0,0,B14/B$3)</f>
        <v>0.2262210796915167</v>
      </c>
      <c r="E14" s="63" t="s">
        <v>79</v>
      </c>
      <c r="F14" s="60" t="s">
        <v>34</v>
      </c>
      <c r="G14" s="47">
        <v>5</v>
      </c>
      <c r="H14" s="133">
        <f t="shared" si="0"/>
        <v>3.6764705882352942E-2</v>
      </c>
      <c r="I14" s="94">
        <v>3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60</v>
      </c>
      <c r="C15" s="37">
        <f>IF(B$13=0,0,B15/B$13)</f>
        <v>0.61224489795918369</v>
      </c>
      <c r="E15" s="63" t="s">
        <v>87</v>
      </c>
      <c r="F15" s="60" t="s">
        <v>42</v>
      </c>
      <c r="G15" s="47">
        <v>5</v>
      </c>
      <c r="H15" s="133">
        <f t="shared" si="0"/>
        <v>3.6764705882352942E-2</v>
      </c>
      <c r="I15" s="94">
        <v>6</v>
      </c>
      <c r="K15" s="38">
        <v>13</v>
      </c>
      <c r="L15" s="99">
        <v>206.39999999999998</v>
      </c>
      <c r="N15" s="114" t="s">
        <v>182</v>
      </c>
      <c r="O15" s="124">
        <f t="shared" ref="O15:O21" si="3"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49</v>
      </c>
      <c r="C16" s="37">
        <f>IF(B$14=0,0,B16/B$14)</f>
        <v>0.55681818181818177</v>
      </c>
      <c r="E16" s="63" t="s">
        <v>168</v>
      </c>
      <c r="F16" s="60" t="s">
        <v>169</v>
      </c>
      <c r="G16" s="47">
        <v>5</v>
      </c>
      <c r="H16" s="133">
        <f t="shared" si="0"/>
        <v>3.6764705882352942E-2</v>
      </c>
      <c r="I16" s="94">
        <v>1</v>
      </c>
      <c r="K16" s="38">
        <v>14</v>
      </c>
      <c r="L16" s="99">
        <v>240.09999999999997</v>
      </c>
      <c r="N16" s="115" t="s">
        <v>183</v>
      </c>
      <c r="O16" s="125">
        <f t="shared" si="3"/>
        <v>40.333333333333336</v>
      </c>
      <c r="P16" s="119">
        <v>3</v>
      </c>
      <c r="Q16" s="107">
        <v>121</v>
      </c>
    </row>
    <row r="17" spans="1:17" x14ac:dyDescent="0.4">
      <c r="A17" s="54" t="s">
        <v>10</v>
      </c>
      <c r="B17" s="46">
        <f>B19+B18</f>
        <v>136</v>
      </c>
      <c r="C17" s="37">
        <f>IF(B$3=0,0,B17/B$3)</f>
        <v>0.34961439588688947</v>
      </c>
      <c r="E17" s="63" t="s">
        <v>78</v>
      </c>
      <c r="F17" s="60" t="s">
        <v>33</v>
      </c>
      <c r="G17" s="47">
        <v>3</v>
      </c>
      <c r="H17" s="133">
        <f t="shared" si="0"/>
        <v>2.2058823529411766E-2</v>
      </c>
      <c r="I17" s="94">
        <v>1</v>
      </c>
      <c r="K17" s="38">
        <v>15</v>
      </c>
      <c r="L17" s="99">
        <v>269.49999999999994</v>
      </c>
      <c r="N17" s="115" t="s">
        <v>179</v>
      </c>
      <c r="O17" s="125">
        <f t="shared" si="3"/>
        <v>28.900000000000009</v>
      </c>
      <c r="P17" s="119">
        <v>8</v>
      </c>
      <c r="Q17" s="107">
        <v>231.20000000000007</v>
      </c>
    </row>
    <row r="18" spans="1:17" x14ac:dyDescent="0.4">
      <c r="A18" s="55" t="s">
        <v>12</v>
      </c>
      <c r="B18" s="47">
        <v>55</v>
      </c>
      <c r="C18" s="39">
        <f>IF(B$17=0,0,B18/B$17)</f>
        <v>0.40441176470588236</v>
      </c>
      <c r="E18" s="63" t="s">
        <v>85</v>
      </c>
      <c r="F18" s="60" t="s">
        <v>40</v>
      </c>
      <c r="G18" s="47">
        <v>2</v>
      </c>
      <c r="H18" s="133">
        <f t="shared" si="0"/>
        <v>1.4705882352941176E-2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 t="shared" si="3"/>
        <v>16.061111111111114</v>
      </c>
      <c r="P18" s="119">
        <v>18</v>
      </c>
      <c r="Q18" s="107">
        <v>289.10000000000002</v>
      </c>
    </row>
    <row r="19" spans="1:17" x14ac:dyDescent="0.4">
      <c r="A19" s="55" t="s">
        <v>11</v>
      </c>
      <c r="B19" s="47">
        <v>81</v>
      </c>
      <c r="C19" s="39">
        <f>IF(B$17=0,0,B19/B$17)</f>
        <v>0.59558823529411764</v>
      </c>
      <c r="E19" s="63" t="s">
        <v>93</v>
      </c>
      <c r="F19" s="60" t="s">
        <v>48</v>
      </c>
      <c r="G19" s="47">
        <v>2</v>
      </c>
      <c r="H19" s="133">
        <f t="shared" si="0"/>
        <v>1.4705882352941176E-2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 t="shared" si="3"/>
        <v>12.102941176470587</v>
      </c>
      <c r="P19" s="119">
        <v>34</v>
      </c>
      <c r="Q19" s="107">
        <v>411.49999999999994</v>
      </c>
    </row>
    <row r="20" spans="1:17" x14ac:dyDescent="0.4">
      <c r="A20" s="55" t="s">
        <v>13</v>
      </c>
      <c r="B20" s="47">
        <v>50</v>
      </c>
      <c r="C20" s="39">
        <f>IF(B$3=0,0,B20/B$3)</f>
        <v>0.12853470437017994</v>
      </c>
      <c r="E20" s="63" t="s">
        <v>75</v>
      </c>
      <c r="F20" s="60" t="s">
        <v>30</v>
      </c>
      <c r="G20" s="47">
        <v>1</v>
      </c>
      <c r="H20" s="133">
        <f t="shared" si="0"/>
        <v>7.3529411764705881E-3</v>
      </c>
      <c r="I20" s="94">
        <v>3</v>
      </c>
      <c r="K20" s="38">
        <v>18</v>
      </c>
      <c r="L20" s="99">
        <v>352.39999999999992</v>
      </c>
      <c r="N20" s="115" t="s">
        <v>167</v>
      </c>
      <c r="O20" s="125">
        <f t="shared" si="3"/>
        <v>10.658823529411762</v>
      </c>
      <c r="P20" s="119">
        <v>17</v>
      </c>
      <c r="Q20" s="107">
        <v>181.19999999999996</v>
      </c>
    </row>
    <row r="21" spans="1:17" x14ac:dyDescent="0.4">
      <c r="A21" s="55" t="s">
        <v>170</v>
      </c>
      <c r="B21" s="47">
        <v>5</v>
      </c>
      <c r="C21" s="135">
        <v>2</v>
      </c>
      <c r="E21" s="63" t="s">
        <v>82</v>
      </c>
      <c r="F21" s="60" t="s">
        <v>37</v>
      </c>
      <c r="G21" s="47">
        <v>1</v>
      </c>
      <c r="H21" s="133">
        <f t="shared" si="0"/>
        <v>7.3529411764705881E-3</v>
      </c>
      <c r="I21" s="94">
        <v>8</v>
      </c>
      <c r="K21" s="38">
        <v>19</v>
      </c>
      <c r="L21" s="99">
        <v>383.19999999999993</v>
      </c>
      <c r="N21" s="115" t="s">
        <v>178</v>
      </c>
      <c r="O21" s="125">
        <f t="shared" si="3"/>
        <v>1.5777777777777782</v>
      </c>
      <c r="P21" s="119">
        <v>9</v>
      </c>
      <c r="Q21" s="107">
        <v>14.200000000000003</v>
      </c>
    </row>
    <row r="22" spans="1:17" x14ac:dyDescent="0.4">
      <c r="A22" s="55" t="s">
        <v>171</v>
      </c>
      <c r="B22" s="47">
        <v>27</v>
      </c>
      <c r="C22" s="135">
        <v>19</v>
      </c>
      <c r="E22" s="63" t="s">
        <v>86</v>
      </c>
      <c r="F22" s="60" t="s">
        <v>41</v>
      </c>
      <c r="G22" s="47">
        <v>1</v>
      </c>
      <c r="H22" s="133">
        <f t="shared" si="0"/>
        <v>7.3529411764705881E-3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7780.1470588235297</v>
      </c>
      <c r="C23" s="41">
        <v>1058100</v>
      </c>
      <c r="E23" s="63" t="s">
        <v>89</v>
      </c>
      <c r="F23" s="60" t="s">
        <v>44</v>
      </c>
      <c r="G23" s="47">
        <v>1</v>
      </c>
      <c r="H23" s="133">
        <f t="shared" si="0"/>
        <v>7.3529411764705881E-3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-7730</v>
      </c>
      <c r="C24" s="45">
        <v>-386500</v>
      </c>
      <c r="E24" s="63" t="s">
        <v>91</v>
      </c>
      <c r="F24" s="60" t="s">
        <v>46</v>
      </c>
      <c r="G24" s="47">
        <v>1</v>
      </c>
      <c r="H24" s="133">
        <f t="shared" si="0"/>
        <v>7.3529411764705881E-3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7</v>
      </c>
      <c r="C25" s="145"/>
      <c r="E25" s="63" t="s">
        <v>92</v>
      </c>
      <c r="F25" s="60" t="s">
        <v>47</v>
      </c>
      <c r="G25" s="47">
        <v>1</v>
      </c>
      <c r="H25" s="133">
        <f t="shared" si="0"/>
        <v>7.3529411764705881E-3</v>
      </c>
      <c r="I25" s="94">
        <v>6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 t="shared" si="0"/>
        <v>7.3529411764705881E-3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 t="shared" si="0"/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 t="shared" si="0"/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365.39999999999986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398.79999999999984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399.89999999999986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419.29999999999984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424.79999999999984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424.39999999999986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425.69999999999987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465.7999999999999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4DDE6-74DA-4EC1-97AF-3FFF4918A183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46</v>
      </c>
      <c r="C2" s="151"/>
      <c r="E2" s="62" t="s">
        <v>67</v>
      </c>
      <c r="F2" s="59" t="s">
        <v>23</v>
      </c>
      <c r="G2" s="46">
        <v>125</v>
      </c>
      <c r="H2" s="132">
        <f t="shared" ref="H2:H33" si="0">IF(B$17=0,0,G2/B$17)</f>
        <v>0.9765625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1">IF(P2=0,0,Q2/P2)</f>
        <v>324.44444444444446</v>
      </c>
      <c r="P2" s="118">
        <v>45</v>
      </c>
      <c r="Q2" s="102">
        <v>14600</v>
      </c>
    </row>
    <row r="3" spans="1:17" x14ac:dyDescent="0.4">
      <c r="A3" s="55" t="s">
        <v>8</v>
      </c>
      <c r="B3" s="152">
        <v>403</v>
      </c>
      <c r="C3" s="153"/>
      <c r="E3" s="63" t="s">
        <v>73</v>
      </c>
      <c r="F3" s="60" t="s">
        <v>28</v>
      </c>
      <c r="G3" s="47">
        <v>81</v>
      </c>
      <c r="H3" s="133">
        <f t="shared" si="0"/>
        <v>0.6328125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1"/>
        <v>1190.909090909091</v>
      </c>
      <c r="P3" s="119">
        <v>44</v>
      </c>
      <c r="Q3" s="103">
        <v>52400</v>
      </c>
    </row>
    <row r="4" spans="1:17" x14ac:dyDescent="0.4">
      <c r="A4" s="55" t="s">
        <v>6</v>
      </c>
      <c r="B4" s="154">
        <v>215.39999999999989</v>
      </c>
      <c r="C4" s="155"/>
      <c r="E4" s="63" t="s">
        <v>65</v>
      </c>
      <c r="F4" s="60" t="s">
        <v>21</v>
      </c>
      <c r="G4" s="47">
        <v>53</v>
      </c>
      <c r="H4" s="133">
        <f t="shared" si="0"/>
        <v>0.4140625</v>
      </c>
      <c r="I4" s="94">
        <v>7</v>
      </c>
      <c r="K4" s="38">
        <v>2</v>
      </c>
      <c r="L4" s="99">
        <v>-34.299999999999997</v>
      </c>
      <c r="N4" s="115" t="s">
        <v>133</v>
      </c>
      <c r="O4" s="122">
        <f t="shared" si="1"/>
        <v>1481.3953488372092</v>
      </c>
      <c r="P4" s="119">
        <v>43</v>
      </c>
      <c r="Q4" s="103">
        <v>63700</v>
      </c>
    </row>
    <row r="5" spans="1:17" x14ac:dyDescent="0.4">
      <c r="A5" s="55" t="s">
        <v>7</v>
      </c>
      <c r="B5" s="156">
        <f>IF(B$2=0,0,B$4/B$2)</f>
        <v>4.6826086956521715</v>
      </c>
      <c r="C5" s="157"/>
      <c r="E5" s="63" t="s">
        <v>172</v>
      </c>
      <c r="F5" s="60" t="s">
        <v>173</v>
      </c>
      <c r="G5" s="47">
        <v>53</v>
      </c>
      <c r="H5" s="133">
        <f t="shared" si="0"/>
        <v>0.4140625</v>
      </c>
      <c r="I5" s="94">
        <v>1</v>
      </c>
      <c r="K5" s="38">
        <v>3</v>
      </c>
      <c r="L5" s="99">
        <v>-58.599999999999994</v>
      </c>
      <c r="N5" s="115" t="s">
        <v>134</v>
      </c>
      <c r="O5" s="122">
        <f t="shared" si="1"/>
        <v>2997.560975609756</v>
      </c>
      <c r="P5" s="119">
        <v>41</v>
      </c>
      <c r="Q5" s="103">
        <v>122900</v>
      </c>
    </row>
    <row r="6" spans="1:17" x14ac:dyDescent="0.4">
      <c r="A6" s="55" t="s">
        <v>1</v>
      </c>
      <c r="B6" s="146">
        <f>IF(B$2=0,0,(B$7*1+B$8*2+B$9*3)/B$2)</f>
        <v>1.8913043478260869</v>
      </c>
      <c r="C6" s="147"/>
      <c r="E6" s="63" t="s">
        <v>69</v>
      </c>
      <c r="F6" s="60" t="s">
        <v>12</v>
      </c>
      <c r="G6" s="47">
        <v>37</v>
      </c>
      <c r="H6" s="133">
        <f t="shared" si="0"/>
        <v>0.2890625</v>
      </c>
      <c r="I6" s="94">
        <v>6</v>
      </c>
      <c r="K6" s="38">
        <v>4</v>
      </c>
      <c r="L6" s="99">
        <v>-38.099999999999994</v>
      </c>
      <c r="N6" s="115" t="s">
        <v>135</v>
      </c>
      <c r="O6" s="122">
        <f t="shared" si="1"/>
        <v>-1794.7368421052631</v>
      </c>
      <c r="P6" s="119">
        <v>38</v>
      </c>
      <c r="Q6" s="103">
        <v>-68200</v>
      </c>
    </row>
    <row r="7" spans="1:17" x14ac:dyDescent="0.4">
      <c r="A7" s="55" t="s">
        <v>2</v>
      </c>
      <c r="B7" s="47">
        <v>17</v>
      </c>
      <c r="C7" s="39">
        <f t="shared" ref="C7:C12" si="2">IF(B$2=0,0,B7/B$2)</f>
        <v>0.36956521739130432</v>
      </c>
      <c r="E7" s="63" t="s">
        <v>68</v>
      </c>
      <c r="F7" s="60" t="s">
        <v>24</v>
      </c>
      <c r="G7" s="47">
        <v>33</v>
      </c>
      <c r="H7" s="133">
        <f t="shared" si="0"/>
        <v>0.2578125</v>
      </c>
      <c r="I7" s="94">
        <v>5</v>
      </c>
      <c r="K7" s="38">
        <v>5</v>
      </c>
      <c r="L7" s="99">
        <v>-11.299999999999994</v>
      </c>
      <c r="N7" s="116" t="s">
        <v>136</v>
      </c>
      <c r="O7" s="123">
        <f t="shared" si="1"/>
        <v>1040</v>
      </c>
      <c r="P7" s="120">
        <v>30</v>
      </c>
      <c r="Q7" s="104">
        <v>31200</v>
      </c>
    </row>
    <row r="8" spans="1:17" x14ac:dyDescent="0.4">
      <c r="A8" s="55" t="s">
        <v>3</v>
      </c>
      <c r="B8" s="47">
        <v>17</v>
      </c>
      <c r="C8" s="39">
        <f t="shared" si="2"/>
        <v>0.36956521739130432</v>
      </c>
      <c r="E8" s="63" t="s">
        <v>90</v>
      </c>
      <c r="F8" s="60" t="s">
        <v>45</v>
      </c>
      <c r="G8" s="47">
        <v>18</v>
      </c>
      <c r="H8" s="133">
        <f t="shared" si="0"/>
        <v>0.140625</v>
      </c>
      <c r="I8" s="94">
        <v>3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si="2"/>
        <v>0.2608695652173913</v>
      </c>
      <c r="E9" s="63" t="s">
        <v>70</v>
      </c>
      <c r="F9" s="60" t="s">
        <v>25</v>
      </c>
      <c r="G9" s="47">
        <v>11</v>
      </c>
      <c r="H9" s="133">
        <f t="shared" si="0"/>
        <v>8.59375E-2</v>
      </c>
      <c r="I9" s="94">
        <v>8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6</v>
      </c>
      <c r="C10" s="40">
        <f t="shared" si="2"/>
        <v>0.13043478260869565</v>
      </c>
      <c r="E10" s="63" t="s">
        <v>66</v>
      </c>
      <c r="F10" s="60" t="s">
        <v>22</v>
      </c>
      <c r="G10" s="47">
        <v>10</v>
      </c>
      <c r="H10" s="133">
        <f t="shared" si="0"/>
        <v>7.8125E-2</v>
      </c>
      <c r="I10" s="94">
        <v>9</v>
      </c>
      <c r="K10" s="38">
        <v>8</v>
      </c>
      <c r="L10" s="99">
        <v>-56.79999999999999</v>
      </c>
      <c r="N10" s="114" t="s">
        <v>163</v>
      </c>
      <c r="O10" s="124">
        <f>IF(P10=0,0,Q10/P10)</f>
        <v>7.1692307692307704</v>
      </c>
      <c r="P10" s="118">
        <v>13</v>
      </c>
      <c r="Q10" s="106">
        <v>93.200000000000017</v>
      </c>
    </row>
    <row r="11" spans="1:17" x14ac:dyDescent="0.4">
      <c r="A11" s="56" t="s">
        <v>139</v>
      </c>
      <c r="B11" s="48">
        <v>7</v>
      </c>
      <c r="C11" s="40">
        <f t="shared" si="2"/>
        <v>0.15217391304347827</v>
      </c>
      <c r="E11" s="63" t="s">
        <v>72</v>
      </c>
      <c r="F11" s="60" t="s">
        <v>27</v>
      </c>
      <c r="G11" s="47">
        <v>9</v>
      </c>
      <c r="H11" s="133">
        <f t="shared" si="0"/>
        <v>7.03125E-2</v>
      </c>
      <c r="I11" s="94">
        <v>5</v>
      </c>
      <c r="K11" s="38">
        <v>9</v>
      </c>
      <c r="L11" s="99">
        <v>-83.699999999999989</v>
      </c>
      <c r="N11" s="115" t="s">
        <v>164</v>
      </c>
      <c r="O11" s="125">
        <f>IF(P11=0,0,Q11/P11)</f>
        <v>6.4230769230769234</v>
      </c>
      <c r="P11" s="119">
        <v>13</v>
      </c>
      <c r="Q11" s="107">
        <v>83.5</v>
      </c>
    </row>
    <row r="12" spans="1:17" x14ac:dyDescent="0.4">
      <c r="A12" s="57" t="s">
        <v>159</v>
      </c>
      <c r="B12" s="49">
        <v>9</v>
      </c>
      <c r="C12" s="42">
        <f t="shared" si="2"/>
        <v>0.19565217391304349</v>
      </c>
      <c r="E12" s="63" t="s">
        <v>87</v>
      </c>
      <c r="F12" s="60" t="s">
        <v>42</v>
      </c>
      <c r="G12" s="47">
        <v>8</v>
      </c>
      <c r="H12" s="133">
        <f t="shared" si="0"/>
        <v>6.25E-2</v>
      </c>
      <c r="I12" s="94">
        <v>3</v>
      </c>
      <c r="K12" s="38">
        <v>10</v>
      </c>
      <c r="L12" s="99">
        <v>-78.399999999999991</v>
      </c>
      <c r="N12" s="116" t="s">
        <v>165</v>
      </c>
      <c r="O12" s="126">
        <f>IF(P12=0,0,Q12/P12)</f>
        <v>1.9349999999999994</v>
      </c>
      <c r="P12" s="120">
        <v>20</v>
      </c>
      <c r="Q12" s="108">
        <v>38.699999999999989</v>
      </c>
    </row>
    <row r="13" spans="1:17" x14ac:dyDescent="0.4">
      <c r="A13" s="58" t="s">
        <v>122</v>
      </c>
      <c r="B13" s="50">
        <v>94</v>
      </c>
      <c r="C13" s="44">
        <f>IF(B$3=0,0,B13/B$3)</f>
        <v>0.23325062034739455</v>
      </c>
      <c r="E13" s="63" t="s">
        <v>71</v>
      </c>
      <c r="F13" s="60" t="s">
        <v>26</v>
      </c>
      <c r="G13" s="47">
        <v>5</v>
      </c>
      <c r="H13" s="133">
        <f t="shared" si="0"/>
        <v>3.90625E-2</v>
      </c>
      <c r="I13" s="94">
        <v>9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132</v>
      </c>
      <c r="C14" s="39">
        <f>IF(B$3=0,0,B14/B$3)</f>
        <v>0.32754342431761785</v>
      </c>
      <c r="E14" s="63" t="s">
        <v>79</v>
      </c>
      <c r="F14" s="60" t="s">
        <v>34</v>
      </c>
      <c r="G14" s="47">
        <v>5</v>
      </c>
      <c r="H14" s="133">
        <f t="shared" si="0"/>
        <v>3.90625E-2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52</v>
      </c>
      <c r="C15" s="37">
        <f>IF(B$13=0,0,B15/B$13)</f>
        <v>0.55319148936170215</v>
      </c>
      <c r="E15" s="63" t="s">
        <v>84</v>
      </c>
      <c r="F15" s="60" t="s">
        <v>39</v>
      </c>
      <c r="G15" s="47">
        <v>5</v>
      </c>
      <c r="H15" s="133">
        <f t="shared" si="0"/>
        <v>3.90625E-2</v>
      </c>
      <c r="I15" s="94">
        <v>9</v>
      </c>
      <c r="K15" s="38">
        <v>13</v>
      </c>
      <c r="L15" s="99">
        <v>-86.8</v>
      </c>
      <c r="N15" s="114" t="s">
        <v>196</v>
      </c>
      <c r="O15" s="124">
        <f t="shared" ref="O15:O22" si="3"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53</v>
      </c>
      <c r="C16" s="37">
        <f>IF(B$14=0,0,B16/B$14)</f>
        <v>0.40151515151515149</v>
      </c>
      <c r="E16" s="63" t="s">
        <v>92</v>
      </c>
      <c r="F16" s="60" t="s">
        <v>47</v>
      </c>
      <c r="G16" s="47">
        <v>5</v>
      </c>
      <c r="H16" s="133">
        <f t="shared" si="0"/>
        <v>3.90625E-2</v>
      </c>
      <c r="I16" s="94">
        <v>1</v>
      </c>
      <c r="K16" s="38">
        <v>14</v>
      </c>
      <c r="L16" s="99">
        <v>-138.4</v>
      </c>
      <c r="N16" s="115" t="s">
        <v>183</v>
      </c>
      <c r="O16" s="125">
        <f t="shared" si="3"/>
        <v>49.339999999999989</v>
      </c>
      <c r="P16" s="119">
        <v>5</v>
      </c>
      <c r="Q16" s="107">
        <v>246.69999999999996</v>
      </c>
    </row>
    <row r="17" spans="1:17" x14ac:dyDescent="0.4">
      <c r="A17" s="54" t="s">
        <v>10</v>
      </c>
      <c r="B17" s="46">
        <f>B19+B18</f>
        <v>128</v>
      </c>
      <c r="C17" s="37">
        <f>IF(B$3=0,0,B17/B$3)</f>
        <v>0.31761786600496278</v>
      </c>
      <c r="E17" s="63" t="s">
        <v>80</v>
      </c>
      <c r="F17" s="60" t="s">
        <v>35</v>
      </c>
      <c r="G17" s="47">
        <v>4</v>
      </c>
      <c r="H17" s="133">
        <f t="shared" si="0"/>
        <v>3.125E-2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 t="shared" si="3"/>
        <v>27.13333333333334</v>
      </c>
      <c r="P17" s="119">
        <v>12</v>
      </c>
      <c r="Q17" s="107">
        <v>325.60000000000008</v>
      </c>
    </row>
    <row r="18" spans="1:17" x14ac:dyDescent="0.4">
      <c r="A18" s="55" t="s">
        <v>12</v>
      </c>
      <c r="B18" s="47">
        <v>48</v>
      </c>
      <c r="C18" s="39">
        <f>IF(B$17=0,0,B18/B$17)</f>
        <v>0.375</v>
      </c>
      <c r="E18" s="63" t="s">
        <v>75</v>
      </c>
      <c r="F18" s="60" t="s">
        <v>30</v>
      </c>
      <c r="G18" s="47">
        <v>1</v>
      </c>
      <c r="H18" s="133">
        <f t="shared" si="0"/>
        <v>7.8125E-3</v>
      </c>
      <c r="I18" s="94">
        <v>2</v>
      </c>
      <c r="K18" s="38">
        <v>16</v>
      </c>
      <c r="L18" s="99">
        <v>-187.3</v>
      </c>
      <c r="N18" s="115" t="s">
        <v>178</v>
      </c>
      <c r="O18" s="125">
        <f t="shared" si="3"/>
        <v>24.775000000000002</v>
      </c>
      <c r="P18" s="119">
        <v>12</v>
      </c>
      <c r="Q18" s="107">
        <v>297.3</v>
      </c>
    </row>
    <row r="19" spans="1:17" x14ac:dyDescent="0.4">
      <c r="A19" s="55" t="s">
        <v>11</v>
      </c>
      <c r="B19" s="47">
        <v>80</v>
      </c>
      <c r="C19" s="39">
        <f>IF(B$17=0,0,B19/B$17)</f>
        <v>0.625</v>
      </c>
      <c r="E19" s="63" t="s">
        <v>82</v>
      </c>
      <c r="F19" s="60" t="s">
        <v>37</v>
      </c>
      <c r="G19" s="47">
        <v>1</v>
      </c>
      <c r="H19" s="133">
        <f t="shared" si="0"/>
        <v>7.8125E-3</v>
      </c>
      <c r="I19" s="94">
        <v>7</v>
      </c>
      <c r="K19" s="38">
        <v>17</v>
      </c>
      <c r="L19" s="99">
        <v>-179.70000000000002</v>
      </c>
      <c r="N19" s="115" t="s">
        <v>180</v>
      </c>
      <c r="O19" s="125">
        <f t="shared" si="3"/>
        <v>4.8249999999999993</v>
      </c>
      <c r="P19" s="119">
        <v>16</v>
      </c>
      <c r="Q19" s="107">
        <v>77.199999999999989</v>
      </c>
    </row>
    <row r="20" spans="1:17" x14ac:dyDescent="0.4">
      <c r="A20" s="55" t="s">
        <v>13</v>
      </c>
      <c r="B20" s="47">
        <v>81</v>
      </c>
      <c r="C20" s="39">
        <f>IF(B$3=0,0,B20/B$3)</f>
        <v>0.20099255583126552</v>
      </c>
      <c r="E20" s="63" t="s">
        <v>168</v>
      </c>
      <c r="F20" s="60" t="s">
        <v>169</v>
      </c>
      <c r="G20" s="47">
        <v>1</v>
      </c>
      <c r="H20" s="133">
        <f t="shared" si="0"/>
        <v>7.8125E-3</v>
      </c>
      <c r="I20" s="94">
        <v>5</v>
      </c>
      <c r="K20" s="38">
        <v>18</v>
      </c>
      <c r="L20" s="99">
        <v>-112.90000000000002</v>
      </c>
      <c r="N20" s="115" t="s">
        <v>167</v>
      </c>
      <c r="O20" s="125">
        <f t="shared" si="3"/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74</v>
      </c>
      <c r="F21" s="60" t="s">
        <v>29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-162.40000000000003</v>
      </c>
      <c r="N21" s="115" t="s">
        <v>127</v>
      </c>
      <c r="O21" s="125">
        <f t="shared" si="3"/>
        <v>-12.102941176470585</v>
      </c>
      <c r="P21" s="119">
        <v>34</v>
      </c>
      <c r="Q21" s="107">
        <v>-411.49999999999989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76</v>
      </c>
      <c r="F22" s="60" t="s">
        <v>31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-96.000000000000028</v>
      </c>
      <c r="N22" s="115" t="s">
        <v>182</v>
      </c>
      <c r="O22" s="125">
        <f t="shared" si="3"/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8727.34375</v>
      </c>
      <c r="C23" s="41">
        <v>1117100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-7396.2962962962965</v>
      </c>
      <c r="C24" s="45">
        <v>-599100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2.4813895781637717E-3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131.59999999999991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183.6999999999999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211.89999999999989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232.7999999999999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214.39999999999989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215.39999999999989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CCEF-402D-41F3-91C1-9DA777A72EE1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28</v>
      </c>
      <c r="C2" s="151"/>
      <c r="E2" s="62" t="s">
        <v>67</v>
      </c>
      <c r="F2" s="59" t="s">
        <v>23</v>
      </c>
      <c r="G2" s="46">
        <v>47</v>
      </c>
      <c r="H2" s="132">
        <f t="shared" ref="H2:H33" si="0">IF(B$17=0,0,G2/B$17)</f>
        <v>0.6811594202898551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1">IF(P2=0,0,Q2/P2)</f>
        <v>1000</v>
      </c>
      <c r="P2" s="118">
        <v>27</v>
      </c>
      <c r="Q2" s="102">
        <v>27000</v>
      </c>
    </row>
    <row r="3" spans="1:17" x14ac:dyDescent="0.4">
      <c r="A3" s="55" t="s">
        <v>8</v>
      </c>
      <c r="B3" s="152">
        <v>241</v>
      </c>
      <c r="C3" s="153"/>
      <c r="E3" s="63" t="s">
        <v>65</v>
      </c>
      <c r="F3" s="60" t="s">
        <v>21</v>
      </c>
      <c r="G3" s="47">
        <v>39</v>
      </c>
      <c r="H3" s="133">
        <f t="shared" si="0"/>
        <v>0.56521739130434778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1"/>
        <v>-1333.3333333333333</v>
      </c>
      <c r="P3" s="119">
        <v>27</v>
      </c>
      <c r="Q3" s="103">
        <v>-36000</v>
      </c>
    </row>
    <row r="4" spans="1:17" x14ac:dyDescent="0.4">
      <c r="A4" s="55" t="s">
        <v>6</v>
      </c>
      <c r="B4" s="154">
        <v>-181.70000000000002</v>
      </c>
      <c r="C4" s="155"/>
      <c r="E4" s="63" t="s">
        <v>73</v>
      </c>
      <c r="F4" s="60" t="s">
        <v>28</v>
      </c>
      <c r="G4" s="47">
        <v>39</v>
      </c>
      <c r="H4" s="133">
        <f t="shared" si="0"/>
        <v>0.56521739130434778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1"/>
        <v>1900</v>
      </c>
      <c r="P4" s="119">
        <v>27</v>
      </c>
      <c r="Q4" s="103">
        <v>51300</v>
      </c>
    </row>
    <row r="5" spans="1:17" x14ac:dyDescent="0.4">
      <c r="A5" s="55" t="s">
        <v>7</v>
      </c>
      <c r="B5" s="156">
        <f>IF(B$2=0,0,B$4/B$2)</f>
        <v>-6.4892857142857148</v>
      </c>
      <c r="C5" s="157"/>
      <c r="E5" s="63" t="s">
        <v>172</v>
      </c>
      <c r="F5" s="60" t="s">
        <v>173</v>
      </c>
      <c r="G5" s="47">
        <v>23</v>
      </c>
      <c r="H5" s="133">
        <f t="shared" si="0"/>
        <v>0.33333333333333331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1"/>
        <v>-1744</v>
      </c>
      <c r="P5" s="119">
        <v>25</v>
      </c>
      <c r="Q5" s="103">
        <v>-43600</v>
      </c>
    </row>
    <row r="6" spans="1:17" x14ac:dyDescent="0.4">
      <c r="A6" s="55" t="s">
        <v>1</v>
      </c>
      <c r="B6" s="146">
        <f>IF(B$2=0,0,(B$7*1+B$8*2+B$9*3)/B$2)</f>
        <v>2.2142857142857144</v>
      </c>
      <c r="C6" s="147"/>
      <c r="E6" s="63" t="s">
        <v>69</v>
      </c>
      <c r="F6" s="60" t="s">
        <v>12</v>
      </c>
      <c r="G6" s="47">
        <v>17</v>
      </c>
      <c r="H6" s="133">
        <f t="shared" si="0"/>
        <v>0.24637681159420291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1"/>
        <v>-4354.166666666667</v>
      </c>
      <c r="P6" s="119">
        <v>24</v>
      </c>
      <c r="Q6" s="103">
        <v>-104500</v>
      </c>
    </row>
    <row r="7" spans="1:17" x14ac:dyDescent="0.4">
      <c r="A7" s="55" t="s">
        <v>2</v>
      </c>
      <c r="B7" s="47">
        <v>5</v>
      </c>
      <c r="C7" s="39">
        <f t="shared" ref="C7:C12" si="2">IF(B$2=0,0,B7/B$2)</f>
        <v>0.17857142857142858</v>
      </c>
      <c r="E7" s="63" t="s">
        <v>68</v>
      </c>
      <c r="F7" s="60" t="s">
        <v>24</v>
      </c>
      <c r="G7" s="47">
        <v>14</v>
      </c>
      <c r="H7" s="133">
        <f t="shared" si="0"/>
        <v>0.20289855072463769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1"/>
        <v>-2050</v>
      </c>
      <c r="P7" s="120">
        <v>22</v>
      </c>
      <c r="Q7" s="104">
        <v>-45100</v>
      </c>
    </row>
    <row r="8" spans="1:17" x14ac:dyDescent="0.4">
      <c r="A8" s="55" t="s">
        <v>3</v>
      </c>
      <c r="B8" s="47">
        <v>12</v>
      </c>
      <c r="C8" s="39">
        <f t="shared" si="2"/>
        <v>0.42857142857142855</v>
      </c>
      <c r="E8" s="63" t="s">
        <v>70</v>
      </c>
      <c r="F8" s="60" t="s">
        <v>25</v>
      </c>
      <c r="G8" s="47">
        <v>11</v>
      </c>
      <c r="H8" s="133">
        <f t="shared" si="0"/>
        <v>0.15942028985507245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2"/>
        <v>0.39285714285714285</v>
      </c>
      <c r="E9" s="63" t="s">
        <v>71</v>
      </c>
      <c r="F9" s="60" t="s">
        <v>26</v>
      </c>
      <c r="G9" s="47">
        <v>8</v>
      </c>
      <c r="H9" s="133">
        <f t="shared" si="0"/>
        <v>0.11594202898550725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2"/>
        <v>7.1428571428571425E-2</v>
      </c>
      <c r="E10" s="63" t="s">
        <v>66</v>
      </c>
      <c r="F10" s="60" t="s">
        <v>22</v>
      </c>
      <c r="G10" s="47">
        <v>7</v>
      </c>
      <c r="H10" s="133">
        <f t="shared" si="0"/>
        <v>0.10144927536231885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2.899999999999999</v>
      </c>
      <c r="P10" s="118">
        <v>13</v>
      </c>
      <c r="Q10" s="106">
        <v>37.699999999999989</v>
      </c>
    </row>
    <row r="11" spans="1:17" x14ac:dyDescent="0.4">
      <c r="A11" s="56" t="s">
        <v>139</v>
      </c>
      <c r="B11" s="48">
        <v>2</v>
      </c>
      <c r="C11" s="40">
        <f t="shared" si="2"/>
        <v>7.1428571428571425E-2</v>
      </c>
      <c r="E11" s="63" t="s">
        <v>84</v>
      </c>
      <c r="F11" s="60" t="s">
        <v>39</v>
      </c>
      <c r="G11" s="47">
        <v>7</v>
      </c>
      <c r="H11" s="133">
        <f t="shared" si="0"/>
        <v>0.10144927536231885</v>
      </c>
      <c r="I11" s="94">
        <v>2</v>
      </c>
      <c r="K11" s="38">
        <v>9</v>
      </c>
      <c r="L11" s="99">
        <v>-74.199999999999989</v>
      </c>
      <c r="N11" s="115" t="s">
        <v>164</v>
      </c>
      <c r="O11" s="125">
        <f>IF(P11=0,0,Q11/P11)</f>
        <v>-12.7</v>
      </c>
      <c r="P11" s="119">
        <v>8</v>
      </c>
      <c r="Q11" s="107">
        <v>-101.6</v>
      </c>
    </row>
    <row r="12" spans="1:17" x14ac:dyDescent="0.4">
      <c r="A12" s="57" t="s">
        <v>159</v>
      </c>
      <c r="B12" s="49">
        <v>1</v>
      </c>
      <c r="C12" s="42">
        <f t="shared" si="2"/>
        <v>3.5714285714285712E-2</v>
      </c>
      <c r="E12" s="63" t="s">
        <v>90</v>
      </c>
      <c r="F12" s="60" t="s">
        <v>45</v>
      </c>
      <c r="G12" s="47">
        <v>7</v>
      </c>
      <c r="H12" s="133">
        <f t="shared" si="0"/>
        <v>0.10144927536231885</v>
      </c>
      <c r="I12" s="94">
        <v>6</v>
      </c>
      <c r="K12" s="38">
        <v>10</v>
      </c>
      <c r="L12" s="99">
        <v>-117.19999999999999</v>
      </c>
      <c r="N12" s="116" t="s">
        <v>165</v>
      </c>
      <c r="O12" s="126">
        <f>IF(P12=0,0,Q12/P12)</f>
        <v>-16.828571428571426</v>
      </c>
      <c r="P12" s="120">
        <v>7</v>
      </c>
      <c r="Q12" s="108">
        <v>-117.79999999999998</v>
      </c>
    </row>
    <row r="13" spans="1:17" x14ac:dyDescent="0.4">
      <c r="A13" s="58" t="s">
        <v>122</v>
      </c>
      <c r="B13" s="50">
        <v>67</v>
      </c>
      <c r="C13" s="44">
        <f>IF(B$3=0,0,B13/B$3)</f>
        <v>0.27800829875518673</v>
      </c>
      <c r="E13" s="63" t="s">
        <v>72</v>
      </c>
      <c r="F13" s="60" t="s">
        <v>27</v>
      </c>
      <c r="G13" s="47">
        <v>5</v>
      </c>
      <c r="H13" s="133">
        <f t="shared" si="0"/>
        <v>7.2463768115942032E-2</v>
      </c>
      <c r="I13" s="94">
        <v>4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0.18672199170124482</v>
      </c>
      <c r="E14" s="63" t="s">
        <v>79</v>
      </c>
      <c r="F14" s="60" t="s">
        <v>34</v>
      </c>
      <c r="G14" s="47">
        <v>2</v>
      </c>
      <c r="H14" s="133">
        <f t="shared" si="0"/>
        <v>2.8985507246376812E-2</v>
      </c>
      <c r="I14" s="94">
        <v>5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39</v>
      </c>
      <c r="C15" s="37">
        <f>IF(B$13=0,0,B15/B$13)</f>
        <v>0.58208955223880599</v>
      </c>
      <c r="E15" s="63" t="s">
        <v>82</v>
      </c>
      <c r="F15" s="60" t="s">
        <v>37</v>
      </c>
      <c r="G15" s="47">
        <v>2</v>
      </c>
      <c r="H15" s="133">
        <f t="shared" si="0"/>
        <v>2.8985507246376812E-2</v>
      </c>
      <c r="I15" s="94">
        <v>5</v>
      </c>
      <c r="K15" s="38">
        <v>13</v>
      </c>
      <c r="L15" s="99">
        <v>-207.3</v>
      </c>
      <c r="N15" s="114" t="s">
        <v>183</v>
      </c>
      <c r="O15" s="124">
        <f t="shared" ref="O15:O22" si="3">IF(P15=0,0,Q15/P15)</f>
        <v>25.799999999999997</v>
      </c>
      <c r="P15" s="118">
        <v>1</v>
      </c>
      <c r="Q15" s="106">
        <v>25.799999999999997</v>
      </c>
    </row>
    <row r="16" spans="1:17" x14ac:dyDescent="0.4">
      <c r="A16" s="54" t="s">
        <v>125</v>
      </c>
      <c r="B16" s="46">
        <v>19</v>
      </c>
      <c r="C16" s="37">
        <f>IF(B$14=0,0,B16/B$14)</f>
        <v>0.42222222222222222</v>
      </c>
      <c r="E16" s="63" t="s">
        <v>87</v>
      </c>
      <c r="F16" s="60" t="s">
        <v>42</v>
      </c>
      <c r="G16" s="47">
        <v>2</v>
      </c>
      <c r="H16" s="133">
        <f t="shared" si="0"/>
        <v>2.8985507246376812E-2</v>
      </c>
      <c r="I16" s="94">
        <v>8</v>
      </c>
      <c r="K16" s="38">
        <v>14</v>
      </c>
      <c r="L16" s="99">
        <v>-204.8</v>
      </c>
      <c r="N16" s="115" t="s">
        <v>167</v>
      </c>
      <c r="O16" s="125">
        <f t="shared" si="3"/>
        <v>20.324999999999999</v>
      </c>
      <c r="P16" s="119">
        <v>8</v>
      </c>
      <c r="Q16" s="107">
        <v>162.6</v>
      </c>
    </row>
    <row r="17" spans="1:17" x14ac:dyDescent="0.4">
      <c r="A17" s="54" t="s">
        <v>10</v>
      </c>
      <c r="B17" s="46">
        <f>B19+B18</f>
        <v>69</v>
      </c>
      <c r="C17" s="37">
        <f>IF(B$3=0,0,B17/B$3)</f>
        <v>0.2863070539419087</v>
      </c>
      <c r="E17" s="63" t="s">
        <v>76</v>
      </c>
      <c r="F17" s="60" t="s">
        <v>31</v>
      </c>
      <c r="G17" s="47">
        <v>1</v>
      </c>
      <c r="H17" s="133">
        <f t="shared" si="0"/>
        <v>1.4492753623188406E-2</v>
      </c>
      <c r="I17" s="94">
        <v>3</v>
      </c>
      <c r="K17" s="38">
        <v>15</v>
      </c>
      <c r="L17" s="99">
        <v>-221.5</v>
      </c>
      <c r="N17" s="115" t="s">
        <v>128</v>
      </c>
      <c r="O17" s="125">
        <f t="shared" si="3"/>
        <v>-4.8250000000000011</v>
      </c>
      <c r="P17" s="119">
        <v>16</v>
      </c>
      <c r="Q17" s="107">
        <v>-77.200000000000017</v>
      </c>
    </row>
    <row r="18" spans="1:17" x14ac:dyDescent="0.4">
      <c r="A18" s="55" t="s">
        <v>12</v>
      </c>
      <c r="B18" s="47">
        <v>26</v>
      </c>
      <c r="C18" s="39">
        <f>IF(B$17=0,0,B18/B$17)</f>
        <v>0.37681159420289856</v>
      </c>
      <c r="E18" s="63" t="s">
        <v>80</v>
      </c>
      <c r="F18" s="60" t="s">
        <v>35</v>
      </c>
      <c r="G18" s="47">
        <v>1</v>
      </c>
      <c r="H18" s="133">
        <f t="shared" si="0"/>
        <v>1.4492753623188406E-2</v>
      </c>
      <c r="I18" s="94">
        <v>5</v>
      </c>
      <c r="K18" s="38">
        <v>16</v>
      </c>
      <c r="L18" s="99">
        <v>-224.3</v>
      </c>
      <c r="N18" s="115" t="s">
        <v>182</v>
      </c>
      <c r="O18" s="125">
        <f t="shared" si="3"/>
        <v>-11.459999999999997</v>
      </c>
      <c r="P18" s="119">
        <v>5</v>
      </c>
      <c r="Q18" s="107">
        <v>-57.299999999999983</v>
      </c>
    </row>
    <row r="19" spans="1:17" x14ac:dyDescent="0.4">
      <c r="A19" s="55" t="s">
        <v>11</v>
      </c>
      <c r="B19" s="47">
        <v>43</v>
      </c>
      <c r="C19" s="39">
        <f>IF(B$17=0,0,B19/B$17)</f>
        <v>0.62318840579710144</v>
      </c>
      <c r="E19" s="63" t="s">
        <v>92</v>
      </c>
      <c r="F19" s="60" t="s">
        <v>47</v>
      </c>
      <c r="G19" s="47">
        <v>1</v>
      </c>
      <c r="H19" s="133">
        <f t="shared" si="0"/>
        <v>1.4492753623188406E-2</v>
      </c>
      <c r="I19" s="94">
        <v>5</v>
      </c>
      <c r="K19" s="38">
        <v>17</v>
      </c>
      <c r="L19" s="99">
        <v>-251.4</v>
      </c>
      <c r="N19" s="115" t="s">
        <v>127</v>
      </c>
      <c r="O19" s="125">
        <f t="shared" si="3"/>
        <v>-16.061111111111117</v>
      </c>
      <c r="P19" s="119">
        <v>18</v>
      </c>
      <c r="Q19" s="107">
        <v>-289.10000000000008</v>
      </c>
    </row>
    <row r="20" spans="1:17" x14ac:dyDescent="0.4">
      <c r="A20" s="55" t="s">
        <v>13</v>
      </c>
      <c r="B20" s="47">
        <v>46</v>
      </c>
      <c r="C20" s="39">
        <f>IF(B$3=0,0,B20/B$3)</f>
        <v>0.1908713692946058</v>
      </c>
      <c r="E20" s="63" t="s">
        <v>168</v>
      </c>
      <c r="F20" s="60" t="s">
        <v>169</v>
      </c>
      <c r="G20" s="47">
        <v>1</v>
      </c>
      <c r="H20" s="133">
        <f t="shared" si="0"/>
        <v>1.4492753623188406E-2</v>
      </c>
      <c r="I20" s="94">
        <v>3</v>
      </c>
      <c r="K20" s="38">
        <v>18</v>
      </c>
      <c r="L20" s="99">
        <v>-240</v>
      </c>
      <c r="N20" s="115" t="s">
        <v>178</v>
      </c>
      <c r="O20" s="125">
        <f t="shared" si="3"/>
        <v>-29.9</v>
      </c>
      <c r="P20" s="119">
        <v>2</v>
      </c>
      <c r="Q20" s="107">
        <v>-59.8</v>
      </c>
    </row>
    <row r="21" spans="1:17" x14ac:dyDescent="0.4">
      <c r="A21" s="55" t="s">
        <v>170</v>
      </c>
      <c r="B21" s="47">
        <v>4</v>
      </c>
      <c r="C21" s="135">
        <v>1</v>
      </c>
      <c r="E21" s="63" t="s">
        <v>74</v>
      </c>
      <c r="F21" s="60" t="s">
        <v>29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-218</v>
      </c>
      <c r="N21" s="115" t="s">
        <v>179</v>
      </c>
      <c r="O21" s="125">
        <f t="shared" si="3"/>
        <v>-38.699999999999996</v>
      </c>
      <c r="P21" s="119">
        <v>5</v>
      </c>
      <c r="Q21" s="107">
        <v>-193.49999999999997</v>
      </c>
    </row>
    <row r="22" spans="1:17" x14ac:dyDescent="0.4">
      <c r="A22" s="55" t="s">
        <v>171</v>
      </c>
      <c r="B22" s="47">
        <v>21</v>
      </c>
      <c r="C22" s="135">
        <v>1</v>
      </c>
      <c r="E22" s="63" t="s">
        <v>75</v>
      </c>
      <c r="F22" s="60" t="s">
        <v>30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-177.6</v>
      </c>
      <c r="N22" s="115" t="s">
        <v>196</v>
      </c>
      <c r="O22" s="125">
        <f t="shared" si="3"/>
        <v>-56.6</v>
      </c>
      <c r="P22" s="119">
        <v>1</v>
      </c>
      <c r="Q22" s="107">
        <v>-56.6</v>
      </c>
    </row>
    <row r="23" spans="1:17" x14ac:dyDescent="0.4">
      <c r="A23" s="55" t="s">
        <v>5</v>
      </c>
      <c r="B23" s="51">
        <f>IF(B$17=0,0,C23/B$17)</f>
        <v>7308.695652173913</v>
      </c>
      <c r="C23" s="41">
        <v>504300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-7678.260869565217</v>
      </c>
      <c r="C24" s="45">
        <v>-353200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-162.70000000000002</v>
      </c>
    </row>
    <row r="26" spans="1:17" x14ac:dyDescent="0.4">
      <c r="A26" s="58" t="s">
        <v>151</v>
      </c>
      <c r="B26" s="142">
        <v>69300</v>
      </c>
      <c r="C26" s="143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-163.00000000000003</v>
      </c>
    </row>
    <row r="27" spans="1:17" x14ac:dyDescent="0.4">
      <c r="A27" s="57" t="s">
        <v>142</v>
      </c>
      <c r="B27" s="65">
        <v>1</v>
      </c>
      <c r="C27" s="42">
        <f>IF(B$3=0,0,B27/B$3)</f>
        <v>4.1493775933609959E-3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  <c r="K27" s="38">
        <v>25</v>
      </c>
      <c r="L27" s="99">
        <v>-185.00000000000003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5</v>
      </c>
      <c r="K28" s="38">
        <v>26</v>
      </c>
      <c r="L28" s="99">
        <v>-186.00000000000003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  <c r="K29" s="38">
        <v>27</v>
      </c>
      <c r="L29" s="99">
        <v>-163.00000000000003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  <c r="K30" s="38">
        <v>28</v>
      </c>
      <c r="L30" s="99">
        <v>-181.70000000000002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55372-4F1A-46FA-A97A-FE56C8A5F32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24</v>
      </c>
      <c r="C2" s="151"/>
      <c r="E2" s="62" t="s">
        <v>73</v>
      </c>
      <c r="F2" s="59" t="s">
        <v>28</v>
      </c>
      <c r="G2" s="46">
        <v>39</v>
      </c>
      <c r="H2" s="132">
        <f t="shared" ref="H2:H33" si="0">IF(B$17=0,0,G2/B$17)</f>
        <v>0.8125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1">IF(P2=0,0,Q2/P2)</f>
        <v>387.5</v>
      </c>
      <c r="P2" s="118">
        <v>24</v>
      </c>
      <c r="Q2" s="102">
        <v>9300</v>
      </c>
    </row>
    <row r="3" spans="1:17" x14ac:dyDescent="0.4">
      <c r="A3" s="55" t="s">
        <v>8</v>
      </c>
      <c r="B3" s="152">
        <v>191</v>
      </c>
      <c r="C3" s="153"/>
      <c r="E3" s="63" t="s">
        <v>67</v>
      </c>
      <c r="F3" s="60" t="s">
        <v>23</v>
      </c>
      <c r="G3" s="47">
        <v>35</v>
      </c>
      <c r="H3" s="133">
        <f t="shared" si="0"/>
        <v>0.72916666666666663</v>
      </c>
      <c r="I3" s="94">
        <v>7</v>
      </c>
      <c r="K3" s="38">
        <v>1</v>
      </c>
      <c r="L3" s="99">
        <v>-9.1</v>
      </c>
      <c r="N3" s="115" t="s">
        <v>132</v>
      </c>
      <c r="O3" s="122">
        <f t="shared" si="1"/>
        <v>-2890.909090909091</v>
      </c>
      <c r="P3" s="119">
        <v>22</v>
      </c>
      <c r="Q3" s="103">
        <v>-63600</v>
      </c>
    </row>
    <row r="4" spans="1:17" x14ac:dyDescent="0.4">
      <c r="A4" s="55" t="s">
        <v>6</v>
      </c>
      <c r="B4" s="154">
        <v>-51.39999999999997</v>
      </c>
      <c r="C4" s="155"/>
      <c r="E4" s="63" t="s">
        <v>68</v>
      </c>
      <c r="F4" s="60" t="s">
        <v>24</v>
      </c>
      <c r="G4" s="47">
        <v>19</v>
      </c>
      <c r="H4" s="133">
        <f t="shared" si="0"/>
        <v>0.39583333333333331</v>
      </c>
      <c r="I4" s="94">
        <v>3</v>
      </c>
      <c r="K4" s="38">
        <v>2</v>
      </c>
      <c r="L4" s="99">
        <v>-67.3</v>
      </c>
      <c r="N4" s="115" t="s">
        <v>133</v>
      </c>
      <c r="O4" s="122">
        <f t="shared" si="1"/>
        <v>1528.5714285714287</v>
      </c>
      <c r="P4" s="119">
        <v>21</v>
      </c>
      <c r="Q4" s="103">
        <v>32100</v>
      </c>
    </row>
    <row r="5" spans="1:17" x14ac:dyDescent="0.4">
      <c r="A5" s="55" t="s">
        <v>7</v>
      </c>
      <c r="B5" s="156">
        <f>IF(B$2=0,0,B$4/B$2)</f>
        <v>-2.1416666666666653</v>
      </c>
      <c r="C5" s="157"/>
      <c r="E5" s="63" t="s">
        <v>65</v>
      </c>
      <c r="F5" s="60" t="s">
        <v>21</v>
      </c>
      <c r="G5" s="47">
        <v>18</v>
      </c>
      <c r="H5" s="133">
        <f t="shared" si="0"/>
        <v>0.375</v>
      </c>
      <c r="I5" s="94">
        <v>9</v>
      </c>
      <c r="K5" s="38">
        <v>3</v>
      </c>
      <c r="L5" s="99">
        <v>-113.8</v>
      </c>
      <c r="N5" s="115" t="s">
        <v>134</v>
      </c>
      <c r="O5" s="122">
        <f t="shared" si="1"/>
        <v>3925</v>
      </c>
      <c r="P5" s="119">
        <v>20</v>
      </c>
      <c r="Q5" s="103">
        <v>78500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90</v>
      </c>
      <c r="F6" s="60" t="s">
        <v>45</v>
      </c>
      <c r="G6" s="47">
        <v>16</v>
      </c>
      <c r="H6" s="133">
        <f t="shared" si="0"/>
        <v>0.33333333333333331</v>
      </c>
      <c r="I6" s="94">
        <v>1</v>
      </c>
      <c r="K6" s="38">
        <v>4</v>
      </c>
      <c r="L6" s="99">
        <v>-74.599999999999994</v>
      </c>
      <c r="N6" s="115" t="s">
        <v>135</v>
      </c>
      <c r="O6" s="122">
        <f t="shared" si="1"/>
        <v>-2335.294117647059</v>
      </c>
      <c r="P6" s="119">
        <v>17</v>
      </c>
      <c r="Q6" s="103">
        <v>-39700</v>
      </c>
    </row>
    <row r="7" spans="1:17" x14ac:dyDescent="0.4">
      <c r="A7" s="55" t="s">
        <v>2</v>
      </c>
      <c r="B7" s="47">
        <v>8</v>
      </c>
      <c r="C7" s="39">
        <f t="shared" ref="C7:C12" si="2">IF(B$2=0,0,B7/B$2)</f>
        <v>0.33333333333333331</v>
      </c>
      <c r="E7" s="63" t="s">
        <v>69</v>
      </c>
      <c r="F7" s="60" t="s">
        <v>12</v>
      </c>
      <c r="G7" s="47">
        <v>15</v>
      </c>
      <c r="H7" s="133">
        <f t="shared" si="0"/>
        <v>0.3125</v>
      </c>
      <c r="I7" s="94">
        <v>3</v>
      </c>
      <c r="K7" s="38">
        <v>5</v>
      </c>
      <c r="L7" s="99">
        <v>-118.3</v>
      </c>
      <c r="N7" s="116" t="s">
        <v>136</v>
      </c>
      <c r="O7" s="123">
        <f t="shared" si="1"/>
        <v>-5230.7692307692305</v>
      </c>
      <c r="P7" s="120">
        <v>13</v>
      </c>
      <c r="Q7" s="104">
        <v>-68000</v>
      </c>
    </row>
    <row r="8" spans="1:17" x14ac:dyDescent="0.4">
      <c r="A8" s="55" t="s">
        <v>3</v>
      </c>
      <c r="B8" s="47">
        <v>8</v>
      </c>
      <c r="C8" s="39">
        <f t="shared" si="2"/>
        <v>0.33333333333333331</v>
      </c>
      <c r="E8" s="63" t="s">
        <v>172</v>
      </c>
      <c r="F8" s="60" t="s">
        <v>173</v>
      </c>
      <c r="G8" s="47">
        <v>15</v>
      </c>
      <c r="H8" s="133">
        <f t="shared" si="0"/>
        <v>0.3125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2"/>
        <v>0.33333333333333331</v>
      </c>
      <c r="E9" s="63" t="s">
        <v>70</v>
      </c>
      <c r="F9" s="60" t="s">
        <v>25</v>
      </c>
      <c r="G9" s="47">
        <v>6</v>
      </c>
      <c r="H9" s="133">
        <f t="shared" si="0"/>
        <v>0.125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2"/>
        <v>0.16666666666666666</v>
      </c>
      <c r="E10" s="63" t="s">
        <v>66</v>
      </c>
      <c r="F10" s="60" t="s">
        <v>22</v>
      </c>
      <c r="G10" s="47">
        <v>4</v>
      </c>
      <c r="H10" s="133">
        <f t="shared" si="0"/>
        <v>8.3333333333333329E-2</v>
      </c>
      <c r="I10" s="94">
        <v>8</v>
      </c>
      <c r="K10" s="38">
        <v>8</v>
      </c>
      <c r="L10" s="99">
        <v>-110.19999999999999</v>
      </c>
      <c r="N10" s="114" t="s">
        <v>163</v>
      </c>
      <c r="O10" s="124">
        <f>IF(P10=0,0,Q10/P10)</f>
        <v>6.0888888888888903</v>
      </c>
      <c r="P10" s="118">
        <v>9</v>
      </c>
      <c r="Q10" s="106">
        <v>54.800000000000011</v>
      </c>
    </row>
    <row r="11" spans="1:17" x14ac:dyDescent="0.4">
      <c r="A11" s="56" t="s">
        <v>139</v>
      </c>
      <c r="B11" s="48">
        <v>5</v>
      </c>
      <c r="C11" s="40">
        <f t="shared" si="2"/>
        <v>0.20833333333333334</v>
      </c>
      <c r="E11" s="63" t="s">
        <v>84</v>
      </c>
      <c r="F11" s="60" t="s">
        <v>39</v>
      </c>
      <c r="G11" s="47">
        <v>3</v>
      </c>
      <c r="H11" s="133">
        <f t="shared" si="0"/>
        <v>6.25E-2</v>
      </c>
      <c r="I11" s="94">
        <v>6</v>
      </c>
      <c r="K11" s="38">
        <v>9</v>
      </c>
      <c r="L11" s="99">
        <v>-120.99999999999999</v>
      </c>
      <c r="N11" s="115" t="s">
        <v>164</v>
      </c>
      <c r="O11" s="125">
        <f>IF(P11=0,0,Q11/P11)</f>
        <v>-4.3333333333333339</v>
      </c>
      <c r="P11" s="119">
        <v>9</v>
      </c>
      <c r="Q11" s="107">
        <v>-39.000000000000007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93</v>
      </c>
      <c r="F12" s="60" t="s">
        <v>48</v>
      </c>
      <c r="G12" s="47">
        <v>3</v>
      </c>
      <c r="H12" s="133">
        <f t="shared" si="0"/>
        <v>6.25E-2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-11.199999999999998</v>
      </c>
      <c r="P12" s="120">
        <v>6</v>
      </c>
      <c r="Q12" s="108">
        <v>-67.199999999999989</v>
      </c>
    </row>
    <row r="13" spans="1:17" x14ac:dyDescent="0.4">
      <c r="A13" s="58" t="s">
        <v>122</v>
      </c>
      <c r="B13" s="50">
        <v>50</v>
      </c>
      <c r="C13" s="44">
        <f>IF(B$3=0,0,B13/B$3)</f>
        <v>0.26178010471204188</v>
      </c>
      <c r="E13" s="63" t="s">
        <v>71</v>
      </c>
      <c r="F13" s="60" t="s">
        <v>26</v>
      </c>
      <c r="G13" s="47">
        <v>2</v>
      </c>
      <c r="H13" s="133">
        <f t="shared" si="0"/>
        <v>4.1666666666666664E-2</v>
      </c>
      <c r="I13" s="94">
        <v>8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0.2356020942408377</v>
      </c>
      <c r="E14" s="63" t="s">
        <v>82</v>
      </c>
      <c r="F14" s="60" t="s">
        <v>37</v>
      </c>
      <c r="G14" s="47">
        <v>2</v>
      </c>
      <c r="H14" s="133">
        <f t="shared" si="0"/>
        <v>4.1666666666666664E-2</v>
      </c>
      <c r="I14" s="94">
        <v>2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0.36</v>
      </c>
      <c r="E15" s="63" t="s">
        <v>72</v>
      </c>
      <c r="F15" s="60" t="s">
        <v>27</v>
      </c>
      <c r="G15" s="47">
        <v>1</v>
      </c>
      <c r="H15" s="133">
        <f t="shared" si="0"/>
        <v>2.0833333333333332E-2</v>
      </c>
      <c r="I15" s="94">
        <v>10</v>
      </c>
      <c r="K15" s="38">
        <v>13</v>
      </c>
      <c r="L15" s="99">
        <v>-132.39999999999998</v>
      </c>
      <c r="N15" s="114" t="s">
        <v>196</v>
      </c>
      <c r="O15" s="124">
        <f t="shared" ref="O15:O21" si="3">IF(P15=0,0,Q15/P15)</f>
        <v>60.650000000000006</v>
      </c>
      <c r="P15" s="118">
        <v>2</v>
      </c>
      <c r="Q15" s="106">
        <v>121.30000000000001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0.48888888888888887</v>
      </c>
      <c r="E16" s="63" t="s">
        <v>76</v>
      </c>
      <c r="F16" s="60" t="s">
        <v>31</v>
      </c>
      <c r="G16" s="47">
        <v>1</v>
      </c>
      <c r="H16" s="133">
        <f t="shared" si="0"/>
        <v>2.0833333333333332E-2</v>
      </c>
      <c r="I16" s="94">
        <v>2</v>
      </c>
      <c r="K16" s="38">
        <v>14</v>
      </c>
      <c r="L16" s="99">
        <v>-86.499999999999972</v>
      </c>
      <c r="N16" s="115" t="s">
        <v>180</v>
      </c>
      <c r="O16" s="125">
        <f t="shared" si="3"/>
        <v>29.9</v>
      </c>
      <c r="P16" s="119">
        <v>2</v>
      </c>
      <c r="Q16" s="107">
        <v>59.8</v>
      </c>
    </row>
    <row r="17" spans="1:17" x14ac:dyDescent="0.4">
      <c r="A17" s="54" t="s">
        <v>10</v>
      </c>
      <c r="B17" s="46">
        <f>B19+B18</f>
        <v>48</v>
      </c>
      <c r="C17" s="37">
        <f>IF(B$3=0,0,B17/B$3)</f>
        <v>0.2513089005235602</v>
      </c>
      <c r="E17" s="63" t="s">
        <v>87</v>
      </c>
      <c r="F17" s="60" t="s">
        <v>42</v>
      </c>
      <c r="G17" s="47">
        <v>1</v>
      </c>
      <c r="H17" s="133">
        <f t="shared" si="0"/>
        <v>2.0833333333333332E-2</v>
      </c>
      <c r="I17" s="94">
        <v>9</v>
      </c>
      <c r="K17" s="38">
        <v>15</v>
      </c>
      <c r="L17" s="99">
        <v>-101.79999999999997</v>
      </c>
      <c r="N17" s="115" t="s">
        <v>179</v>
      </c>
      <c r="O17" s="125">
        <f t="shared" si="3"/>
        <v>13.569230769230773</v>
      </c>
      <c r="P17" s="119">
        <v>13</v>
      </c>
      <c r="Q17" s="107">
        <v>176.40000000000003</v>
      </c>
    </row>
    <row r="18" spans="1:17" x14ac:dyDescent="0.4">
      <c r="A18" s="55" t="s">
        <v>12</v>
      </c>
      <c r="B18" s="47">
        <v>21</v>
      </c>
      <c r="C18" s="39">
        <f>IF(B$17=0,0,B18/B$17)</f>
        <v>0.4375</v>
      </c>
      <c r="E18" s="63" t="s">
        <v>92</v>
      </c>
      <c r="F18" s="60" t="s">
        <v>47</v>
      </c>
      <c r="G18" s="47">
        <v>1</v>
      </c>
      <c r="H18" s="133">
        <f t="shared" si="0"/>
        <v>2.0833333333333332E-2</v>
      </c>
      <c r="I18" s="94">
        <v>2</v>
      </c>
      <c r="K18" s="38">
        <v>16</v>
      </c>
      <c r="L18" s="99">
        <v>-63.099999999999966</v>
      </c>
      <c r="N18" s="115" t="s">
        <v>183</v>
      </c>
      <c r="O18" s="125">
        <f t="shared" si="3"/>
        <v>1.7749999999999988</v>
      </c>
      <c r="P18" s="119">
        <v>8</v>
      </c>
      <c r="Q18" s="107">
        <v>14.19999999999999</v>
      </c>
    </row>
    <row r="19" spans="1:17" x14ac:dyDescent="0.4">
      <c r="A19" s="55" t="s">
        <v>11</v>
      </c>
      <c r="B19" s="47">
        <v>27</v>
      </c>
      <c r="C19" s="39">
        <f>IF(B$17=0,0,B19/B$17)</f>
        <v>0.5625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1</v>
      </c>
      <c r="K19" s="38">
        <v>17</v>
      </c>
      <c r="L19" s="99">
        <v>-55.799999999999969</v>
      </c>
      <c r="N19" s="115" t="s">
        <v>127</v>
      </c>
      <c r="O19" s="125">
        <f t="shared" si="3"/>
        <v>-1.5777777777777797</v>
      </c>
      <c r="P19" s="119">
        <v>9</v>
      </c>
      <c r="Q19" s="107">
        <v>-14.200000000000017</v>
      </c>
    </row>
    <row r="20" spans="1:17" x14ac:dyDescent="0.4">
      <c r="A20" s="55" t="s">
        <v>13</v>
      </c>
      <c r="B20" s="47">
        <v>33</v>
      </c>
      <c r="C20" s="39">
        <f>IF(B$3=0,0,B20/B$3)</f>
        <v>0.17277486910994763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5</v>
      </c>
      <c r="K20" s="38">
        <v>18</v>
      </c>
      <c r="L20" s="99">
        <v>-24.999999999999968</v>
      </c>
      <c r="N20" s="115" t="s">
        <v>128</v>
      </c>
      <c r="O20" s="125">
        <f t="shared" si="3"/>
        <v>-24.775000000000002</v>
      </c>
      <c r="P20" s="119">
        <v>12</v>
      </c>
      <c r="Q20" s="107">
        <v>-297.3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 t="shared" si="0"/>
        <v>0</v>
      </c>
      <c r="I21" s="94">
        <v>1</v>
      </c>
      <c r="K21" s="38">
        <v>19</v>
      </c>
      <c r="L21" s="99">
        <v>-27.799999999999969</v>
      </c>
      <c r="N21" s="115" t="s">
        <v>182</v>
      </c>
      <c r="O21" s="125">
        <f t="shared" si="3"/>
        <v>-107.2</v>
      </c>
      <c r="P21" s="119">
        <v>2</v>
      </c>
      <c r="Q21" s="107">
        <v>-214.4</v>
      </c>
    </row>
    <row r="22" spans="1:17" x14ac:dyDescent="0.4">
      <c r="A22" s="55" t="s">
        <v>171</v>
      </c>
      <c r="B22" s="47">
        <v>25</v>
      </c>
      <c r="C22" s="135">
        <v>1</v>
      </c>
      <c r="E22" s="63" t="s">
        <v>78</v>
      </c>
      <c r="F22" s="60" t="s">
        <v>33</v>
      </c>
      <c r="G22" s="47">
        <v>0</v>
      </c>
      <c r="H22" s="133">
        <f t="shared" si="0"/>
        <v>0</v>
      </c>
      <c r="I22" s="94">
        <v>4</v>
      </c>
      <c r="K22" s="38">
        <v>20</v>
      </c>
      <c r="L22" s="99">
        <v>-50.39999999999997</v>
      </c>
    </row>
    <row r="23" spans="1:17" x14ac:dyDescent="0.4">
      <c r="A23" s="55" t="s">
        <v>5</v>
      </c>
      <c r="B23" s="51">
        <f>IF(B$17=0,0,C23/B$17)</f>
        <v>10858.333333333334</v>
      </c>
      <c r="C23" s="41">
        <v>521200</v>
      </c>
      <c r="E23" s="63" t="s">
        <v>79</v>
      </c>
      <c r="F23" s="60" t="s">
        <v>34</v>
      </c>
      <c r="G23" s="47">
        <v>0</v>
      </c>
      <c r="H23" s="133">
        <f t="shared" si="0"/>
        <v>0</v>
      </c>
      <c r="I23" s="94">
        <v>7</v>
      </c>
      <c r="K23" s="38">
        <v>21</v>
      </c>
      <c r="L23" s="99">
        <v>-59.89999999999997</v>
      </c>
    </row>
    <row r="24" spans="1:17" x14ac:dyDescent="0.4">
      <c r="A24" s="57" t="s">
        <v>14</v>
      </c>
      <c r="B24" s="52">
        <f>IF(B$20=0,0,C24/B$20)</f>
        <v>-9403.0303030303039</v>
      </c>
      <c r="C24" s="45">
        <v>-310300</v>
      </c>
      <c r="E24" s="63" t="s">
        <v>80</v>
      </c>
      <c r="F24" s="60" t="s">
        <v>35</v>
      </c>
      <c r="G24" s="47">
        <v>0</v>
      </c>
      <c r="H24" s="133">
        <f t="shared" si="0"/>
        <v>0</v>
      </c>
      <c r="I24" s="94">
        <v>6</v>
      </c>
      <c r="K24" s="38">
        <v>22</v>
      </c>
      <c r="L24" s="99">
        <v>-21.799999999999969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-10.299999999999969</v>
      </c>
    </row>
    <row r="26" spans="1:17" x14ac:dyDescent="0.4">
      <c r="A26" s="58" t="s">
        <v>151</v>
      </c>
      <c r="B26" s="142">
        <v>83000</v>
      </c>
      <c r="C26" s="143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-51.39999999999997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B1A80-5589-4418-B056-13C01D49CBB1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26</v>
      </c>
      <c r="C2" s="151"/>
      <c r="E2" s="62" t="s">
        <v>73</v>
      </c>
      <c r="F2" s="59" t="s">
        <v>28</v>
      </c>
      <c r="G2" s="46">
        <v>50</v>
      </c>
      <c r="H2" s="132">
        <f t="shared" ref="H2:H33" si="0">IF(B$17=0,0,G2/B$17)</f>
        <v>0.83333333333333337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1">IF(P2=0,0,Q2/P2)</f>
        <v>2123.0769230769229</v>
      </c>
      <c r="P2" s="118">
        <v>26</v>
      </c>
      <c r="Q2" s="102">
        <v>55200</v>
      </c>
    </row>
    <row r="3" spans="1:17" x14ac:dyDescent="0.4">
      <c r="A3" s="55" t="s">
        <v>8</v>
      </c>
      <c r="B3" s="152">
        <v>228</v>
      </c>
      <c r="C3" s="153"/>
      <c r="E3" s="63" t="s">
        <v>67</v>
      </c>
      <c r="F3" s="60" t="s">
        <v>23</v>
      </c>
      <c r="G3" s="47">
        <v>49</v>
      </c>
      <c r="H3" s="133">
        <f t="shared" si="0"/>
        <v>0.81666666666666665</v>
      </c>
      <c r="I3" s="94">
        <v>3</v>
      </c>
      <c r="K3" s="38">
        <v>1</v>
      </c>
      <c r="L3" s="99">
        <v>46.9</v>
      </c>
      <c r="N3" s="115" t="s">
        <v>132</v>
      </c>
      <c r="O3" s="122">
        <f t="shared" si="1"/>
        <v>1144</v>
      </c>
      <c r="P3" s="119">
        <v>25</v>
      </c>
      <c r="Q3" s="103">
        <v>28600</v>
      </c>
    </row>
    <row r="4" spans="1:17" x14ac:dyDescent="0.4">
      <c r="A4" s="55" t="s">
        <v>6</v>
      </c>
      <c r="B4" s="154">
        <v>-54.099999999999994</v>
      </c>
      <c r="C4" s="155"/>
      <c r="E4" s="63" t="s">
        <v>65</v>
      </c>
      <c r="F4" s="60" t="s">
        <v>21</v>
      </c>
      <c r="G4" s="47">
        <v>27</v>
      </c>
      <c r="H4" s="133">
        <f t="shared" si="0"/>
        <v>0.45</v>
      </c>
      <c r="I4" s="94">
        <v>5</v>
      </c>
      <c r="K4" s="38">
        <v>2</v>
      </c>
      <c r="L4" s="99">
        <v>8.1000000000000014</v>
      </c>
      <c r="N4" s="115" t="s">
        <v>133</v>
      </c>
      <c r="O4" s="122">
        <f t="shared" si="1"/>
        <v>-3220.8333333333335</v>
      </c>
      <c r="P4" s="119">
        <v>24</v>
      </c>
      <c r="Q4" s="103">
        <v>-77300</v>
      </c>
    </row>
    <row r="5" spans="1:17" x14ac:dyDescent="0.4">
      <c r="A5" s="55" t="s">
        <v>7</v>
      </c>
      <c r="B5" s="156">
        <f>IF(B$2=0,0,B$4/B$2)</f>
        <v>-2.0807692307692305</v>
      </c>
      <c r="C5" s="157"/>
      <c r="E5" s="63" t="s">
        <v>172</v>
      </c>
      <c r="F5" s="60" t="s">
        <v>173</v>
      </c>
      <c r="G5" s="47">
        <v>19</v>
      </c>
      <c r="H5" s="133">
        <f t="shared" si="0"/>
        <v>0.31666666666666665</v>
      </c>
      <c r="I5" s="94">
        <v>9</v>
      </c>
      <c r="K5" s="38">
        <v>3</v>
      </c>
      <c r="L5" s="99">
        <v>25.8</v>
      </c>
      <c r="N5" s="115" t="s">
        <v>134</v>
      </c>
      <c r="O5" s="122">
        <f t="shared" si="1"/>
        <v>-318.18181818181819</v>
      </c>
      <c r="P5" s="119">
        <v>22</v>
      </c>
      <c r="Q5" s="103">
        <v>-7000</v>
      </c>
    </row>
    <row r="6" spans="1:17" x14ac:dyDescent="0.4">
      <c r="A6" s="55" t="s">
        <v>1</v>
      </c>
      <c r="B6" s="146">
        <f>IF(B$2=0,0,(B$7*1+B$8*2+B$9*3)/B$2)</f>
        <v>2.1538461538461537</v>
      </c>
      <c r="C6" s="147"/>
      <c r="E6" s="63" t="s">
        <v>69</v>
      </c>
      <c r="F6" s="60" t="s">
        <v>12</v>
      </c>
      <c r="G6" s="47">
        <v>17</v>
      </c>
      <c r="H6" s="133">
        <f t="shared" si="0"/>
        <v>0.28333333333333333</v>
      </c>
      <c r="I6" s="94">
        <v>7</v>
      </c>
      <c r="K6" s="38">
        <v>4</v>
      </c>
      <c r="L6" s="99">
        <v>-19.3</v>
      </c>
      <c r="N6" s="115" t="s">
        <v>135</v>
      </c>
      <c r="O6" s="122">
        <f t="shared" si="1"/>
        <v>-1676.4705882352941</v>
      </c>
      <c r="P6" s="119">
        <v>17</v>
      </c>
      <c r="Q6" s="103">
        <v>-28500</v>
      </c>
    </row>
    <row r="7" spans="1:17" x14ac:dyDescent="0.4">
      <c r="A7" s="55" t="s">
        <v>2</v>
      </c>
      <c r="B7" s="47">
        <v>7</v>
      </c>
      <c r="C7" s="39">
        <f t="shared" ref="C7:C12" si="2">IF(B$2=0,0,B7/B$2)</f>
        <v>0.26923076923076922</v>
      </c>
      <c r="E7" s="63" t="s">
        <v>68</v>
      </c>
      <c r="F7" s="60" t="s">
        <v>24</v>
      </c>
      <c r="G7" s="47">
        <v>14</v>
      </c>
      <c r="H7" s="133">
        <f t="shared" si="0"/>
        <v>0.23333333333333334</v>
      </c>
      <c r="I7" s="94">
        <v>7</v>
      </c>
      <c r="K7" s="38">
        <v>5</v>
      </c>
      <c r="L7" s="99">
        <v>-1.6000000000000014</v>
      </c>
      <c r="N7" s="116" t="s">
        <v>136</v>
      </c>
      <c r="O7" s="123">
        <f t="shared" si="1"/>
        <v>993.33333333333337</v>
      </c>
      <c r="P7" s="120">
        <v>15</v>
      </c>
      <c r="Q7" s="104">
        <v>14900</v>
      </c>
    </row>
    <row r="8" spans="1:17" x14ac:dyDescent="0.4">
      <c r="A8" s="55" t="s">
        <v>3</v>
      </c>
      <c r="B8" s="47">
        <v>8</v>
      </c>
      <c r="C8" s="39">
        <f t="shared" si="2"/>
        <v>0.30769230769230771</v>
      </c>
      <c r="E8" s="63" t="s">
        <v>70</v>
      </c>
      <c r="F8" s="60" t="s">
        <v>25</v>
      </c>
      <c r="G8" s="47">
        <v>7</v>
      </c>
      <c r="H8" s="133">
        <f t="shared" si="0"/>
        <v>0.11666666666666667</v>
      </c>
      <c r="I8" s="94">
        <v>7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2"/>
        <v>0.42307692307692307</v>
      </c>
      <c r="E9" s="63" t="s">
        <v>90</v>
      </c>
      <c r="F9" s="60" t="s">
        <v>45</v>
      </c>
      <c r="G9" s="47">
        <v>5</v>
      </c>
      <c r="H9" s="133">
        <f t="shared" si="0"/>
        <v>8.3333333333333329E-2</v>
      </c>
      <c r="I9" s="94">
        <v>7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2"/>
        <v>0.11538461538461539</v>
      </c>
      <c r="E10" s="63" t="s">
        <v>80</v>
      </c>
      <c r="F10" s="60" t="s">
        <v>35</v>
      </c>
      <c r="G10" s="47">
        <v>4</v>
      </c>
      <c r="H10" s="133">
        <f t="shared" si="0"/>
        <v>6.6666666666666666E-2</v>
      </c>
      <c r="I10" s="94">
        <v>1</v>
      </c>
      <c r="K10" s="38">
        <v>8</v>
      </c>
      <c r="L10" s="99">
        <v>-46.7</v>
      </c>
      <c r="N10" s="114" t="s">
        <v>163</v>
      </c>
      <c r="O10" s="124">
        <f>IF(P10=0,0,Q10/P10)</f>
        <v>1.2545454545454546</v>
      </c>
      <c r="P10" s="118">
        <v>11</v>
      </c>
      <c r="Q10" s="106">
        <v>13.8</v>
      </c>
    </row>
    <row r="11" spans="1:17" x14ac:dyDescent="0.4">
      <c r="A11" s="56" t="s">
        <v>139</v>
      </c>
      <c r="B11" s="48">
        <v>2</v>
      </c>
      <c r="C11" s="40">
        <f t="shared" si="2"/>
        <v>7.6923076923076927E-2</v>
      </c>
      <c r="E11" s="63" t="s">
        <v>84</v>
      </c>
      <c r="F11" s="60" t="s">
        <v>39</v>
      </c>
      <c r="G11" s="47">
        <v>4</v>
      </c>
      <c r="H11" s="133">
        <f t="shared" si="0"/>
        <v>6.6666666666666666E-2</v>
      </c>
      <c r="I11" s="94">
        <v>4</v>
      </c>
      <c r="K11" s="38">
        <v>9</v>
      </c>
      <c r="L11" s="99">
        <v>-90.9</v>
      </c>
      <c r="N11" s="115" t="s">
        <v>164</v>
      </c>
      <c r="O11" s="125">
        <f>IF(P11=0,0,Q11/P11)</f>
        <v>2.7714285714285714</v>
      </c>
      <c r="P11" s="119">
        <v>7</v>
      </c>
      <c r="Q11" s="107">
        <v>19.399999999999999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66</v>
      </c>
      <c r="F12" s="60" t="s">
        <v>22</v>
      </c>
      <c r="G12" s="47">
        <v>3</v>
      </c>
      <c r="H12" s="133">
        <f t="shared" si="0"/>
        <v>0.05</v>
      </c>
      <c r="I12" s="94">
        <v>10</v>
      </c>
      <c r="K12" s="38">
        <v>10</v>
      </c>
      <c r="L12" s="99">
        <v>-146.69999999999999</v>
      </c>
      <c r="N12" s="116" t="s">
        <v>165</v>
      </c>
      <c r="O12" s="126">
        <f>IF(P12=0,0,Q12/P12)</f>
        <v>-10.9125</v>
      </c>
      <c r="P12" s="120">
        <v>8</v>
      </c>
      <c r="Q12" s="108">
        <v>-87.3</v>
      </c>
    </row>
    <row r="13" spans="1:17" x14ac:dyDescent="0.4">
      <c r="A13" s="58" t="s">
        <v>122</v>
      </c>
      <c r="B13" s="50">
        <v>58</v>
      </c>
      <c r="C13" s="44">
        <f>IF(B$3=0,0,B13/B$3)</f>
        <v>0.25438596491228072</v>
      </c>
      <c r="E13" s="63" t="s">
        <v>71</v>
      </c>
      <c r="F13" s="60" t="s">
        <v>26</v>
      </c>
      <c r="G13" s="47">
        <v>3</v>
      </c>
      <c r="H13" s="133">
        <f t="shared" si="0"/>
        <v>0.05</v>
      </c>
      <c r="I13" s="94">
        <v>7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59</v>
      </c>
      <c r="C14" s="39">
        <f>IF(B$3=0,0,B14/B$3)</f>
        <v>0.25877192982456143</v>
      </c>
      <c r="E14" s="63" t="s">
        <v>72</v>
      </c>
      <c r="F14" s="60" t="s">
        <v>27</v>
      </c>
      <c r="G14" s="47">
        <v>2</v>
      </c>
      <c r="H14" s="133">
        <f t="shared" si="0"/>
        <v>3.3333333333333333E-2</v>
      </c>
      <c r="I14" s="94">
        <v>9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28</v>
      </c>
      <c r="C15" s="37">
        <f>IF(B$13=0,0,B15/B$13)</f>
        <v>0.48275862068965519</v>
      </c>
      <c r="E15" s="63" t="s">
        <v>79</v>
      </c>
      <c r="F15" s="60" t="s">
        <v>34</v>
      </c>
      <c r="G15" s="47">
        <v>2</v>
      </c>
      <c r="H15" s="133">
        <f t="shared" si="0"/>
        <v>3.3333333333333333E-2</v>
      </c>
      <c r="I15" s="94">
        <v>4</v>
      </c>
      <c r="K15" s="38">
        <v>13</v>
      </c>
      <c r="L15" s="99">
        <v>-68.399999999999991</v>
      </c>
      <c r="N15" s="114" t="s">
        <v>196</v>
      </c>
      <c r="O15" s="124">
        <f t="shared" ref="O15:O22" si="3">IF(P15=0,0,Q15/P15)</f>
        <v>53.179999999999993</v>
      </c>
      <c r="P15" s="118">
        <v>5</v>
      </c>
      <c r="Q15" s="106">
        <v>265.89999999999998</v>
      </c>
    </row>
    <row r="16" spans="1:17" x14ac:dyDescent="0.4">
      <c r="A16" s="54" t="s">
        <v>125</v>
      </c>
      <c r="B16" s="46">
        <v>26</v>
      </c>
      <c r="C16" s="37">
        <f>IF(B$14=0,0,B16/B$14)</f>
        <v>0.44067796610169491</v>
      </c>
      <c r="E16" s="63" t="s">
        <v>87</v>
      </c>
      <c r="F16" s="60" t="s">
        <v>42</v>
      </c>
      <c r="G16" s="47">
        <v>2</v>
      </c>
      <c r="H16" s="133">
        <f t="shared" si="0"/>
        <v>3.3333333333333333E-2</v>
      </c>
      <c r="I16" s="94">
        <v>7</v>
      </c>
      <c r="K16" s="38">
        <v>14</v>
      </c>
      <c r="L16" s="99">
        <v>-25.79999999999999</v>
      </c>
      <c r="N16" s="115" t="s">
        <v>180</v>
      </c>
      <c r="O16" s="125">
        <f t="shared" si="3"/>
        <v>38.700000000000003</v>
      </c>
      <c r="P16" s="119">
        <v>5</v>
      </c>
      <c r="Q16" s="107">
        <v>193.5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0.26315789473684209</v>
      </c>
      <c r="E17" s="63" t="s">
        <v>86</v>
      </c>
      <c r="F17" s="60" t="s">
        <v>41</v>
      </c>
      <c r="G17" s="47">
        <v>1</v>
      </c>
      <c r="H17" s="133">
        <f t="shared" si="0"/>
        <v>1.6666666666666666E-2</v>
      </c>
      <c r="I17" s="94">
        <v>2</v>
      </c>
      <c r="K17" s="38">
        <v>15</v>
      </c>
      <c r="L17" s="99">
        <v>-35.499999999999986</v>
      </c>
      <c r="N17" s="115" t="s">
        <v>183</v>
      </c>
      <c r="O17" s="125">
        <f t="shared" si="3"/>
        <v>24.000000000000004</v>
      </c>
      <c r="P17" s="119">
        <v>5</v>
      </c>
      <c r="Q17" s="107">
        <v>120.00000000000001</v>
      </c>
    </row>
    <row r="18" spans="1:17" x14ac:dyDescent="0.4">
      <c r="A18" s="55" t="s">
        <v>12</v>
      </c>
      <c r="B18" s="47">
        <v>24</v>
      </c>
      <c r="C18" s="39">
        <f>IF(B$17=0,0,B18/B$17)</f>
        <v>0.4</v>
      </c>
      <c r="E18" s="63" t="s">
        <v>102</v>
      </c>
      <c r="F18" s="60" t="s">
        <v>57</v>
      </c>
      <c r="G18" s="47">
        <v>1</v>
      </c>
      <c r="H18" s="133">
        <f t="shared" si="0"/>
        <v>1.6666666666666666E-2</v>
      </c>
      <c r="I18" s="94">
        <v>1</v>
      </c>
      <c r="K18" s="38">
        <v>16</v>
      </c>
      <c r="L18" s="99">
        <v>-35.599999999999987</v>
      </c>
      <c r="N18" s="115" t="s">
        <v>167</v>
      </c>
      <c r="O18" s="125">
        <f t="shared" si="3"/>
        <v>2.3333333333333335</v>
      </c>
      <c r="P18" s="119">
        <v>3</v>
      </c>
      <c r="Q18" s="107">
        <v>7</v>
      </c>
    </row>
    <row r="19" spans="1:17" x14ac:dyDescent="0.4">
      <c r="A19" s="55" t="s">
        <v>11</v>
      </c>
      <c r="B19" s="47">
        <v>36</v>
      </c>
      <c r="C19" s="39">
        <f>IF(B$17=0,0,B19/B$17)</f>
        <v>0.6</v>
      </c>
      <c r="E19" s="63" t="s">
        <v>168</v>
      </c>
      <c r="F19" s="60" t="s">
        <v>169</v>
      </c>
      <c r="G19" s="47">
        <v>1</v>
      </c>
      <c r="H19" s="133">
        <f t="shared" si="0"/>
        <v>1.6666666666666666E-2</v>
      </c>
      <c r="I19" s="94">
        <v>2</v>
      </c>
      <c r="K19" s="38">
        <v>17</v>
      </c>
      <c r="L19" s="99">
        <v>-29.799999999999986</v>
      </c>
      <c r="N19" s="115" t="s">
        <v>178</v>
      </c>
      <c r="O19" s="125">
        <f t="shared" si="3"/>
        <v>-13.569230769230773</v>
      </c>
      <c r="P19" s="119">
        <v>13</v>
      </c>
      <c r="Q19" s="107">
        <v>-176.40000000000003</v>
      </c>
    </row>
    <row r="20" spans="1:17" x14ac:dyDescent="0.4">
      <c r="A20" s="55" t="s">
        <v>13</v>
      </c>
      <c r="B20" s="47">
        <v>35</v>
      </c>
      <c r="C20" s="39">
        <f>IF(B$3=0,0,B20/B$3)</f>
        <v>0.15350877192982457</v>
      </c>
      <c r="E20" s="63" t="s">
        <v>74</v>
      </c>
      <c r="F20" s="60" t="s">
        <v>29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-62.399999999999991</v>
      </c>
      <c r="N20" s="115" t="s">
        <v>182</v>
      </c>
      <c r="O20" s="125">
        <f t="shared" si="3"/>
        <v>-15.5</v>
      </c>
      <c r="P20" s="119">
        <v>1</v>
      </c>
      <c r="Q20" s="107">
        <v>-15.5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75</v>
      </c>
      <c r="F21" s="60" t="s">
        <v>30</v>
      </c>
      <c r="G21" s="47">
        <v>0</v>
      </c>
      <c r="H21" s="133">
        <f t="shared" si="0"/>
        <v>0</v>
      </c>
      <c r="I21" s="94">
        <v>5</v>
      </c>
      <c r="K21" s="38">
        <v>19</v>
      </c>
      <c r="L21" s="99">
        <v>-56.399999999999991</v>
      </c>
      <c r="N21" s="115" t="s">
        <v>128</v>
      </c>
      <c r="O21" s="125">
        <f t="shared" si="3"/>
        <v>-27.133333333333336</v>
      </c>
      <c r="P21" s="119">
        <v>12</v>
      </c>
      <c r="Q21" s="107">
        <v>-325.60000000000002</v>
      </c>
    </row>
    <row r="22" spans="1:17" x14ac:dyDescent="0.4">
      <c r="A22" s="55" t="s">
        <v>171</v>
      </c>
      <c r="B22" s="47">
        <v>44</v>
      </c>
      <c r="C22" s="135">
        <v>0</v>
      </c>
      <c r="E22" s="63" t="s">
        <v>76</v>
      </c>
      <c r="F22" s="60" t="s">
        <v>31</v>
      </c>
      <c r="G22" s="47">
        <v>0</v>
      </c>
      <c r="H22" s="133">
        <f t="shared" si="0"/>
        <v>0</v>
      </c>
      <c r="I22" s="94">
        <v>5</v>
      </c>
      <c r="K22" s="38">
        <v>20</v>
      </c>
      <c r="L22" s="99">
        <v>-93.199999999999989</v>
      </c>
      <c r="N22" s="115" t="s">
        <v>127</v>
      </c>
      <c r="O22" s="125">
        <f t="shared" si="3"/>
        <v>-28.900000000000002</v>
      </c>
      <c r="P22" s="119">
        <v>8</v>
      </c>
      <c r="Q22" s="107">
        <v>-231.20000000000002</v>
      </c>
    </row>
    <row r="23" spans="1:17" x14ac:dyDescent="0.4">
      <c r="A23" s="55" t="s">
        <v>5</v>
      </c>
      <c r="B23" s="51">
        <f>IF(B$17=0,0,C23/B$17)</f>
        <v>8395</v>
      </c>
      <c r="C23" s="41">
        <v>503700</v>
      </c>
      <c r="E23" s="63" t="s">
        <v>77</v>
      </c>
      <c r="F23" s="60" t="s">
        <v>32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-123.69999999999999</v>
      </c>
    </row>
    <row r="24" spans="1:17" x14ac:dyDescent="0.4">
      <c r="A24" s="57" t="s">
        <v>14</v>
      </c>
      <c r="B24" s="52">
        <f>IF(B$20=0,0,C24/B$20)</f>
        <v>-6711.4285714285716</v>
      </c>
      <c r="C24" s="45">
        <v>-234900</v>
      </c>
      <c r="E24" s="63" t="s">
        <v>78</v>
      </c>
      <c r="F24" s="60" t="s">
        <v>33</v>
      </c>
      <c r="G24" s="47">
        <v>0</v>
      </c>
      <c r="H24" s="133">
        <f t="shared" si="0"/>
        <v>0</v>
      </c>
      <c r="I24" s="94">
        <v>4</v>
      </c>
      <c r="K24" s="38">
        <v>22</v>
      </c>
      <c r="L24" s="99">
        <v>-66.999999999999986</v>
      </c>
    </row>
    <row r="25" spans="1:17" x14ac:dyDescent="0.4">
      <c r="A25" s="90" t="s">
        <v>141</v>
      </c>
      <c r="B25" s="144">
        <v>6</v>
      </c>
      <c r="C25" s="145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-59.599999999999987</v>
      </c>
    </row>
    <row r="26" spans="1:17" x14ac:dyDescent="0.4">
      <c r="A26" s="58" t="s">
        <v>151</v>
      </c>
      <c r="B26" s="142">
        <v>81700</v>
      </c>
      <c r="C26" s="143"/>
      <c r="E26" s="63" t="s">
        <v>82</v>
      </c>
      <c r="F26" s="60" t="s">
        <v>37</v>
      </c>
      <c r="G26" s="47">
        <v>0</v>
      </c>
      <c r="H26" s="133">
        <f t="shared" si="0"/>
        <v>0</v>
      </c>
      <c r="I26" s="94">
        <v>9</v>
      </c>
      <c r="K26" s="38">
        <v>24</v>
      </c>
      <c r="L26" s="99">
        <v>-91.399999999999991</v>
      </c>
    </row>
    <row r="27" spans="1:17" x14ac:dyDescent="0.4">
      <c r="A27" s="57" t="s">
        <v>142</v>
      </c>
      <c r="B27" s="65">
        <v>1</v>
      </c>
      <c r="C27" s="42">
        <f>IF(B$3=0,0,B27/B$3)</f>
        <v>4.3859649122807015E-3</v>
      </c>
      <c r="E27" s="63" t="s">
        <v>83</v>
      </c>
      <c r="F27" s="60" t="s">
        <v>38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-41.29999999999999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 t="shared" si="0"/>
        <v>0</v>
      </c>
      <c r="I28" s="94">
        <v>3</v>
      </c>
      <c r="K28" s="38">
        <v>26</v>
      </c>
      <c r="L28" s="99">
        <v>-54.099999999999994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 t="shared" si="0"/>
        <v>0</v>
      </c>
      <c r="I31" s="94">
        <v>3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93</v>
      </c>
      <c r="F33" s="60" t="s">
        <v>48</v>
      </c>
      <c r="G33" s="47">
        <v>0</v>
      </c>
      <c r="H33" s="133">
        <f t="shared" si="0"/>
        <v>0</v>
      </c>
      <c r="I33" s="94">
        <v>4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96</v>
      </c>
      <c r="F36" s="60" t="s">
        <v>51</v>
      </c>
      <c r="G36" s="47">
        <v>0</v>
      </c>
      <c r="H36" s="133">
        <f t="shared" si="4"/>
        <v>0</v>
      </c>
      <c r="I36" s="94">
        <v>3</v>
      </c>
    </row>
    <row r="37" spans="5:9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4A3C9-D91B-452A-BCDA-6708DA8444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67</v>
      </c>
      <c r="F2" s="59" t="s">
        <v>23</v>
      </c>
      <c r="G2" s="46">
        <v>22</v>
      </c>
      <c r="H2" s="132">
        <f t="shared" ref="H2:H33" si="0">IF(B$17=0,0,G2/B$17)</f>
        <v>0.81481481481481477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-2226.6666666666665</v>
      </c>
      <c r="P2" s="118">
        <v>15</v>
      </c>
      <c r="Q2" s="102">
        <v>-33400</v>
      </c>
    </row>
    <row r="3" spans="1:17" x14ac:dyDescent="0.4">
      <c r="A3" s="55" t="s">
        <v>8</v>
      </c>
      <c r="B3" s="152">
        <v>122</v>
      </c>
      <c r="C3" s="153"/>
      <c r="E3" s="63" t="s">
        <v>65</v>
      </c>
      <c r="F3" s="60" t="s">
        <v>21</v>
      </c>
      <c r="G3" s="47">
        <v>16</v>
      </c>
      <c r="H3" s="133">
        <f t="shared" si="0"/>
        <v>0.59259259259259256</v>
      </c>
      <c r="I3" s="94">
        <v>2</v>
      </c>
      <c r="K3" s="38">
        <v>1</v>
      </c>
      <c r="L3" s="99">
        <v>-12</v>
      </c>
      <c r="N3" s="115" t="s">
        <v>132</v>
      </c>
      <c r="O3" s="122">
        <f t="shared" si="1"/>
        <v>-546.66666666666663</v>
      </c>
      <c r="P3" s="119">
        <v>15</v>
      </c>
      <c r="Q3" s="103">
        <v>-8200</v>
      </c>
    </row>
    <row r="4" spans="1:17" x14ac:dyDescent="0.4">
      <c r="A4" s="55" t="s">
        <v>6</v>
      </c>
      <c r="B4" s="154">
        <v>-272.50000000000006</v>
      </c>
      <c r="C4" s="155"/>
      <c r="E4" s="63" t="s">
        <v>73</v>
      </c>
      <c r="F4" s="60" t="s">
        <v>28</v>
      </c>
      <c r="G4" s="47">
        <v>14</v>
      </c>
      <c r="H4" s="133">
        <f t="shared" si="0"/>
        <v>0.51851851851851849</v>
      </c>
      <c r="I4" s="94">
        <v>7</v>
      </c>
      <c r="K4" s="38">
        <v>2</v>
      </c>
      <c r="L4" s="99">
        <v>-40.6</v>
      </c>
      <c r="N4" s="115" t="s">
        <v>133</v>
      </c>
      <c r="O4" s="122">
        <f t="shared" si="1"/>
        <v>-2753.3333333333335</v>
      </c>
      <c r="P4" s="119">
        <v>15</v>
      </c>
      <c r="Q4" s="103">
        <v>-41300</v>
      </c>
    </row>
    <row r="5" spans="1:17" x14ac:dyDescent="0.4">
      <c r="A5" s="55" t="s">
        <v>7</v>
      </c>
      <c r="B5" s="156">
        <f>IF(B$2=0,0,B$4/B$2)</f>
        <v>-18.166666666666671</v>
      </c>
      <c r="C5" s="157"/>
      <c r="E5" s="63" t="s">
        <v>68</v>
      </c>
      <c r="F5" s="60" t="s">
        <v>24</v>
      </c>
      <c r="G5" s="47">
        <v>12</v>
      </c>
      <c r="H5" s="133">
        <f t="shared" si="0"/>
        <v>0.44444444444444442</v>
      </c>
      <c r="I5" s="94">
        <v>2</v>
      </c>
      <c r="K5" s="38">
        <v>3</v>
      </c>
      <c r="L5" s="99">
        <v>-33.6</v>
      </c>
      <c r="N5" s="115" t="s">
        <v>134</v>
      </c>
      <c r="O5" s="122">
        <f t="shared" si="1"/>
        <v>-4764.2857142857147</v>
      </c>
      <c r="P5" s="119">
        <v>14</v>
      </c>
      <c r="Q5" s="103">
        <v>-66700</v>
      </c>
    </row>
    <row r="6" spans="1:17" x14ac:dyDescent="0.4">
      <c r="A6" s="55" t="s">
        <v>1</v>
      </c>
      <c r="B6" s="146">
        <f>IF(B$2=0,0,(B$7*1+B$8*2+B$9*3)/B$2)</f>
        <v>2.4666666666666668</v>
      </c>
      <c r="C6" s="147"/>
      <c r="E6" s="63" t="s">
        <v>172</v>
      </c>
      <c r="F6" s="60" t="s">
        <v>173</v>
      </c>
      <c r="G6" s="47">
        <v>9</v>
      </c>
      <c r="H6" s="133">
        <f t="shared" si="0"/>
        <v>0.33333333333333331</v>
      </c>
      <c r="I6" s="94">
        <v>5</v>
      </c>
      <c r="K6" s="38">
        <v>4</v>
      </c>
      <c r="L6" s="99">
        <v>-80.5</v>
      </c>
      <c r="N6" s="115" t="s">
        <v>135</v>
      </c>
      <c r="O6" s="122">
        <f t="shared" si="1"/>
        <v>-207.69230769230768</v>
      </c>
      <c r="P6" s="119">
        <v>13</v>
      </c>
      <c r="Q6" s="103">
        <v>-2700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6.6666666666666666E-2</v>
      </c>
      <c r="E7" s="63" t="s">
        <v>69</v>
      </c>
      <c r="F7" s="60" t="s">
        <v>12</v>
      </c>
      <c r="G7" s="47">
        <v>8</v>
      </c>
      <c r="H7" s="133">
        <f t="shared" si="0"/>
        <v>0.29629629629629628</v>
      </c>
      <c r="I7" s="94">
        <v>4</v>
      </c>
      <c r="K7" s="38">
        <v>5</v>
      </c>
      <c r="L7" s="99">
        <v>-124.3</v>
      </c>
      <c r="N7" s="116" t="s">
        <v>136</v>
      </c>
      <c r="O7" s="123">
        <f t="shared" si="1"/>
        <v>-4563.636363636364</v>
      </c>
      <c r="P7" s="120">
        <v>11</v>
      </c>
      <c r="Q7" s="104">
        <v>-50200</v>
      </c>
    </row>
    <row r="8" spans="1:17" x14ac:dyDescent="0.4">
      <c r="A8" s="55" t="s">
        <v>3</v>
      </c>
      <c r="B8" s="47">
        <v>6</v>
      </c>
      <c r="C8" s="39">
        <f t="shared" si="2"/>
        <v>0.4</v>
      </c>
      <c r="E8" s="63" t="s">
        <v>66</v>
      </c>
      <c r="F8" s="60" t="s">
        <v>22</v>
      </c>
      <c r="G8" s="47">
        <v>4</v>
      </c>
      <c r="H8" s="133">
        <f t="shared" si="0"/>
        <v>0.14814814814814814</v>
      </c>
      <c r="I8" s="94">
        <v>2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2"/>
        <v>0.53333333333333333</v>
      </c>
      <c r="E9" s="63" t="s">
        <v>84</v>
      </c>
      <c r="F9" s="60" t="s">
        <v>39</v>
      </c>
      <c r="G9" s="47">
        <v>3</v>
      </c>
      <c r="H9" s="133">
        <f t="shared" si="0"/>
        <v>0.1111111111111111</v>
      </c>
      <c r="I9" s="94">
        <v>1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2"/>
        <v>0.2</v>
      </c>
      <c r="E10" s="63" t="s">
        <v>72</v>
      </c>
      <c r="F10" s="60" t="s">
        <v>27</v>
      </c>
      <c r="G10" s="47">
        <v>2</v>
      </c>
      <c r="H10" s="133">
        <f t="shared" si="0"/>
        <v>7.407407407407407E-2</v>
      </c>
      <c r="I10" s="94">
        <v>3</v>
      </c>
      <c r="K10" s="38">
        <v>8</v>
      </c>
      <c r="L10" s="99">
        <v>-152.6</v>
      </c>
      <c r="N10" s="114" t="s">
        <v>163</v>
      </c>
      <c r="O10" s="124">
        <f>IF(P10=0,0,Q10/P10)</f>
        <v>-23.19</v>
      </c>
      <c r="P10" s="118">
        <v>10</v>
      </c>
      <c r="Q10" s="106">
        <v>-231.9</v>
      </c>
    </row>
    <row r="11" spans="1:17" x14ac:dyDescent="0.4">
      <c r="A11" s="56" t="s">
        <v>139</v>
      </c>
      <c r="B11" s="48">
        <v>1</v>
      </c>
      <c r="C11" s="40">
        <f t="shared" si="2"/>
        <v>6.6666666666666666E-2</v>
      </c>
      <c r="E11" s="63" t="s">
        <v>82</v>
      </c>
      <c r="F11" s="60" t="s">
        <v>37</v>
      </c>
      <c r="G11" s="47">
        <v>2</v>
      </c>
      <c r="H11" s="133">
        <f t="shared" si="0"/>
        <v>7.407407407407407E-2</v>
      </c>
      <c r="I11" s="94">
        <v>1</v>
      </c>
      <c r="K11" s="38">
        <v>9</v>
      </c>
      <c r="L11" s="99">
        <v>-150.6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87</v>
      </c>
      <c r="F12" s="60" t="s">
        <v>42</v>
      </c>
      <c r="G12" s="47">
        <v>2</v>
      </c>
      <c r="H12" s="133">
        <f t="shared" si="0"/>
        <v>7.407407407407407E-2</v>
      </c>
      <c r="I12" s="94">
        <v>1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31</v>
      </c>
      <c r="C13" s="44">
        <f>IF(B$3=0,0,B13/B$3)</f>
        <v>0.25409836065573771</v>
      </c>
      <c r="E13" s="63" t="s">
        <v>90</v>
      </c>
      <c r="F13" s="60" t="s">
        <v>45</v>
      </c>
      <c r="G13" s="47">
        <v>2</v>
      </c>
      <c r="H13" s="133">
        <f t="shared" si="0"/>
        <v>7.407407407407407E-2</v>
      </c>
      <c r="I13" s="94">
        <v>8</v>
      </c>
      <c r="K13" s="38">
        <v>11</v>
      </c>
      <c r="L13" s="99">
        <v>-175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0.22950819672131148</v>
      </c>
      <c r="E14" s="63" t="s">
        <v>70</v>
      </c>
      <c r="F14" s="60" t="s">
        <v>25</v>
      </c>
      <c r="G14" s="47">
        <v>1</v>
      </c>
      <c r="H14" s="133">
        <f t="shared" si="0"/>
        <v>3.7037037037037035E-2</v>
      </c>
      <c r="I14" s="94">
        <v>10</v>
      </c>
      <c r="K14" s="38">
        <v>12</v>
      </c>
      <c r="L14" s="99">
        <v>-176.9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16</v>
      </c>
      <c r="C15" s="37">
        <f>IF(B$13=0,0,B15/B$13)</f>
        <v>0.5161290322580645</v>
      </c>
      <c r="E15" s="63" t="s">
        <v>71</v>
      </c>
      <c r="F15" s="60" t="s">
        <v>26</v>
      </c>
      <c r="G15" s="47">
        <v>1</v>
      </c>
      <c r="H15" s="133">
        <f t="shared" si="0"/>
        <v>3.7037037037037035E-2</v>
      </c>
      <c r="I15" s="94">
        <v>10</v>
      </c>
      <c r="K15" s="38">
        <v>13</v>
      </c>
      <c r="L15" s="99">
        <v>-217.60000000000002</v>
      </c>
      <c r="N15" s="114" t="s">
        <v>167</v>
      </c>
      <c r="O15" s="124">
        <f t="shared" ref="O15:O22" si="3">IF(P15=0,0,Q15/P15)</f>
        <v>25.7</v>
      </c>
      <c r="P15" s="118">
        <v>2</v>
      </c>
      <c r="Q15" s="106">
        <v>51.4</v>
      </c>
    </row>
    <row r="16" spans="1:17" x14ac:dyDescent="0.4">
      <c r="A16" s="54" t="s">
        <v>125</v>
      </c>
      <c r="B16" s="46">
        <v>10</v>
      </c>
      <c r="C16" s="37">
        <f>IF(B$14=0,0,B16/B$14)</f>
        <v>0.35714285714285715</v>
      </c>
      <c r="E16" s="63" t="s">
        <v>75</v>
      </c>
      <c r="F16" s="60" t="s">
        <v>30</v>
      </c>
      <c r="G16" s="47">
        <v>1</v>
      </c>
      <c r="H16" s="133">
        <f t="shared" si="0"/>
        <v>3.7037037037037035E-2</v>
      </c>
      <c r="I16" s="94">
        <v>1</v>
      </c>
      <c r="K16" s="38">
        <v>14</v>
      </c>
      <c r="L16" s="99">
        <v>-266.90000000000003</v>
      </c>
      <c r="N16" s="115" t="s">
        <v>178</v>
      </c>
      <c r="O16" s="125">
        <f t="shared" si="3"/>
        <v>-1.7749999999999977</v>
      </c>
      <c r="P16" s="119">
        <v>8</v>
      </c>
      <c r="Q16" s="107">
        <v>-14.199999999999982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79</v>
      </c>
      <c r="F17" s="60" t="s">
        <v>34</v>
      </c>
      <c r="G17" s="47">
        <v>1</v>
      </c>
      <c r="H17" s="133">
        <f t="shared" si="0"/>
        <v>3.7037037037037035E-2</v>
      </c>
      <c r="I17" s="94">
        <v>2</v>
      </c>
      <c r="K17" s="38">
        <v>15</v>
      </c>
      <c r="L17" s="99">
        <v>-272.50000000000006</v>
      </c>
      <c r="N17" s="115" t="s">
        <v>179</v>
      </c>
      <c r="O17" s="125">
        <f t="shared" si="3"/>
        <v>-24.000000000000004</v>
      </c>
      <c r="P17" s="119">
        <v>5</v>
      </c>
      <c r="Q17" s="107">
        <v>-120.00000000000001</v>
      </c>
    </row>
    <row r="18" spans="1:17" x14ac:dyDescent="0.4">
      <c r="A18" s="55" t="s">
        <v>12</v>
      </c>
      <c r="B18" s="47">
        <v>13</v>
      </c>
      <c r="C18" s="39">
        <f>IF(B$17=0,0,B18/B$17)</f>
        <v>0.48148148148148145</v>
      </c>
      <c r="E18" s="63" t="s">
        <v>74</v>
      </c>
      <c r="F18" s="60" t="s">
        <v>29</v>
      </c>
      <c r="G18" s="47">
        <v>0</v>
      </c>
      <c r="H18" s="133">
        <f t="shared" si="0"/>
        <v>0</v>
      </c>
      <c r="I18" s="94">
        <v>1</v>
      </c>
      <c r="N18" s="115" t="s">
        <v>180</v>
      </c>
      <c r="O18" s="125">
        <f t="shared" si="3"/>
        <v>-25.799999999999997</v>
      </c>
      <c r="P18" s="119">
        <v>1</v>
      </c>
      <c r="Q18" s="107">
        <v>-25.799999999999997</v>
      </c>
    </row>
    <row r="19" spans="1:17" x14ac:dyDescent="0.4">
      <c r="A19" s="55" t="s">
        <v>11</v>
      </c>
      <c r="B19" s="47">
        <v>14</v>
      </c>
      <c r="C19" s="39">
        <f>IF(B$17=0,0,B19/B$17)</f>
        <v>0.51851851851851849</v>
      </c>
      <c r="E19" s="63" t="s">
        <v>76</v>
      </c>
      <c r="F19" s="60" t="s">
        <v>31</v>
      </c>
      <c r="G19" s="47">
        <v>0</v>
      </c>
      <c r="H19" s="133">
        <f t="shared" si="0"/>
        <v>0</v>
      </c>
      <c r="I19" s="94">
        <v>5</v>
      </c>
      <c r="N19" s="115" t="s">
        <v>127</v>
      </c>
      <c r="O19" s="125">
        <f t="shared" si="3"/>
        <v>-40.333333333333336</v>
      </c>
      <c r="P19" s="119">
        <v>3</v>
      </c>
      <c r="Q19" s="107">
        <v>-121</v>
      </c>
    </row>
    <row r="20" spans="1:17" x14ac:dyDescent="0.4">
      <c r="A20" s="55" t="s">
        <v>13</v>
      </c>
      <c r="B20" s="47">
        <v>25</v>
      </c>
      <c r="C20" s="39">
        <f>IF(B$3=0,0,B20/B$3)</f>
        <v>0.20491803278688525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  <c r="N20" s="115" t="s">
        <v>128</v>
      </c>
      <c r="O20" s="125">
        <f t="shared" si="3"/>
        <v>-49.339999999999996</v>
      </c>
      <c r="P20" s="119">
        <v>5</v>
      </c>
      <c r="Q20" s="107">
        <v>-246.7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4</v>
      </c>
      <c r="N21" s="115" t="s">
        <v>182</v>
      </c>
      <c r="O21" s="125">
        <f t="shared" si="3"/>
        <v>-52.525000000000006</v>
      </c>
      <c r="P21" s="119">
        <v>4</v>
      </c>
      <c r="Q21" s="107">
        <v>-210.10000000000002</v>
      </c>
    </row>
    <row r="22" spans="1:17" x14ac:dyDescent="0.4">
      <c r="A22" s="55" t="s">
        <v>171</v>
      </c>
      <c r="B22" s="47">
        <v>16</v>
      </c>
      <c r="C22" s="135">
        <v>7</v>
      </c>
      <c r="E22" s="63" t="s">
        <v>80</v>
      </c>
      <c r="F22" s="60" t="s">
        <v>35</v>
      </c>
      <c r="G22" s="47">
        <v>0</v>
      </c>
      <c r="H22" s="133">
        <f t="shared" si="0"/>
        <v>0</v>
      </c>
      <c r="I22" s="94">
        <v>6</v>
      </c>
      <c r="N22" s="115" t="s">
        <v>196</v>
      </c>
      <c r="O22" s="125">
        <f t="shared" si="3"/>
        <v>-65.55</v>
      </c>
      <c r="P22" s="119">
        <v>2</v>
      </c>
      <c r="Q22" s="107">
        <v>-131.1</v>
      </c>
    </row>
    <row r="23" spans="1:17" x14ac:dyDescent="0.4">
      <c r="A23" s="55" t="s">
        <v>5</v>
      </c>
      <c r="B23" s="51">
        <f>IF(B$17=0,0,C23/B$17)</f>
        <v>8133.333333333333</v>
      </c>
      <c r="C23" s="41">
        <v>219600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-9804</v>
      </c>
      <c r="C24" s="45">
        <v>-245100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F2EE-C611-4B07-9544-652CB4A08734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67</v>
      </c>
      <c r="F2" s="59" t="s">
        <v>23</v>
      </c>
      <c r="G2" s="46">
        <v>37</v>
      </c>
      <c r="H2" s="132">
        <f t="shared" ref="H2:H33" si="0">IF(B$17=0,0,G2/B$17)</f>
        <v>1.088235294117647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65</v>
      </c>
      <c r="F3" s="60" t="s">
        <v>21</v>
      </c>
      <c r="G3" s="47">
        <v>21</v>
      </c>
      <c r="H3" s="133">
        <f t="shared" si="0"/>
        <v>0.61764705882352944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1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69</v>
      </c>
      <c r="F4" s="60" t="s">
        <v>12</v>
      </c>
      <c r="G4" s="47">
        <v>14</v>
      </c>
      <c r="H4" s="133">
        <f t="shared" si="0"/>
        <v>0.41176470588235292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1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172</v>
      </c>
      <c r="F5" s="60" t="s">
        <v>173</v>
      </c>
      <c r="G5" s="47">
        <v>14</v>
      </c>
      <c r="H5" s="133">
        <f t="shared" si="0"/>
        <v>0.41176470588235292</v>
      </c>
      <c r="I5" s="94">
        <v>2</v>
      </c>
      <c r="K5" s="38">
        <v>3</v>
      </c>
      <c r="L5" s="99">
        <v>76</v>
      </c>
      <c r="N5" s="115" t="s">
        <v>134</v>
      </c>
      <c r="O5" s="122">
        <f t="shared" si="1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73</v>
      </c>
      <c r="F6" s="60" t="s">
        <v>28</v>
      </c>
      <c r="G6" s="47">
        <v>10</v>
      </c>
      <c r="H6" s="133">
        <f t="shared" si="0"/>
        <v>0.29411764705882354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1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2">IF(B$2=0,0,B7/B$2)</f>
        <v>0.45454545454545453</v>
      </c>
      <c r="E7" s="63" t="s">
        <v>68</v>
      </c>
      <c r="F7" s="60" t="s">
        <v>24</v>
      </c>
      <c r="G7" s="47">
        <v>7</v>
      </c>
      <c r="H7" s="133">
        <f t="shared" si="0"/>
        <v>0.20588235294117646</v>
      </c>
      <c r="I7" s="94">
        <v>8</v>
      </c>
      <c r="K7" s="38">
        <v>5</v>
      </c>
      <c r="L7" s="99">
        <v>127.9</v>
      </c>
      <c r="N7" s="116" t="s">
        <v>136</v>
      </c>
      <c r="O7" s="123">
        <f t="shared" si="1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2"/>
        <v>0.36363636363636365</v>
      </c>
      <c r="E8" s="63" t="s">
        <v>70</v>
      </c>
      <c r="F8" s="60" t="s">
        <v>25</v>
      </c>
      <c r="G8" s="47">
        <v>7</v>
      </c>
      <c r="H8" s="133">
        <f t="shared" si="0"/>
        <v>0.20588235294117646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2"/>
        <v>0.18181818181818182</v>
      </c>
      <c r="E9" s="63" t="s">
        <v>71</v>
      </c>
      <c r="F9" s="60" t="s">
        <v>26</v>
      </c>
      <c r="G9" s="47">
        <v>5</v>
      </c>
      <c r="H9" s="133">
        <f t="shared" si="0"/>
        <v>0.14705882352941177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72</v>
      </c>
      <c r="F10" s="60" t="s">
        <v>27</v>
      </c>
      <c r="G10" s="47">
        <v>4</v>
      </c>
      <c r="H10" s="133">
        <f t="shared" si="0"/>
        <v>0.11764705882352941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2"/>
        <v>0.18181818181818182</v>
      </c>
      <c r="E11" s="63" t="s">
        <v>66</v>
      </c>
      <c r="F11" s="60" t="s">
        <v>22</v>
      </c>
      <c r="G11" s="47">
        <v>3</v>
      </c>
      <c r="H11" s="133">
        <f t="shared" si="0"/>
        <v>8.8235294117647065E-2</v>
      </c>
      <c r="I11" s="94">
        <v>6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87</v>
      </c>
      <c r="F12" s="60" t="s">
        <v>42</v>
      </c>
      <c r="G12" s="47">
        <v>2</v>
      </c>
      <c r="H12" s="133">
        <f t="shared" si="0"/>
        <v>5.8823529411764705E-2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90</v>
      </c>
      <c r="F13" s="60" t="s">
        <v>45</v>
      </c>
      <c r="G13" s="47">
        <v>2</v>
      </c>
      <c r="H13" s="133">
        <f t="shared" si="0"/>
        <v>5.8823529411764705E-2</v>
      </c>
      <c r="I13" s="94">
        <v>9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76</v>
      </c>
      <c r="F14" s="60" t="s">
        <v>31</v>
      </c>
      <c r="G14" s="47">
        <v>1</v>
      </c>
      <c r="H14" s="133">
        <f t="shared" si="0"/>
        <v>2.9411764705882353E-2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 t="shared" si="0"/>
        <v>2.9411764705882353E-2</v>
      </c>
      <c r="I15" s="94">
        <v>4</v>
      </c>
      <c r="N15" s="114" t="s">
        <v>178</v>
      </c>
      <c r="O15" s="124">
        <f t="shared" ref="O15:O22" si="3"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86</v>
      </c>
      <c r="F16" s="60" t="s">
        <v>41</v>
      </c>
      <c r="G16" s="47">
        <v>1</v>
      </c>
      <c r="H16" s="133">
        <f t="shared" si="0"/>
        <v>2.9411764705882353E-2</v>
      </c>
      <c r="I16" s="94">
        <v>1</v>
      </c>
      <c r="N16" s="115" t="s">
        <v>183</v>
      </c>
      <c r="O16" s="125">
        <f t="shared" si="3"/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88</v>
      </c>
      <c r="F17" s="60" t="s">
        <v>43</v>
      </c>
      <c r="G17" s="47">
        <v>1</v>
      </c>
      <c r="H17" s="133">
        <f t="shared" si="0"/>
        <v>2.9411764705882353E-2</v>
      </c>
      <c r="I17" s="94">
        <v>1</v>
      </c>
      <c r="N17" s="115" t="s">
        <v>128</v>
      </c>
      <c r="O17" s="125">
        <f t="shared" si="3"/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74</v>
      </c>
      <c r="F18" s="60" t="s">
        <v>29</v>
      </c>
      <c r="G18" s="47">
        <v>0</v>
      </c>
      <c r="H18" s="133">
        <f t="shared" si="0"/>
        <v>0</v>
      </c>
      <c r="I18" s="94">
        <v>1</v>
      </c>
      <c r="N18" s="115" t="s">
        <v>179</v>
      </c>
      <c r="O18" s="125">
        <f t="shared" si="3"/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75</v>
      </c>
      <c r="F19" s="60" t="s">
        <v>30</v>
      </c>
      <c r="G19" s="47">
        <v>0</v>
      </c>
      <c r="H19" s="133">
        <f t="shared" si="0"/>
        <v>0</v>
      </c>
      <c r="I19" s="94">
        <v>5</v>
      </c>
      <c r="N19" s="115" t="s">
        <v>180</v>
      </c>
      <c r="O19" s="125">
        <f t="shared" si="3"/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  <c r="N20" s="115" t="s">
        <v>167</v>
      </c>
      <c r="O20" s="125">
        <f t="shared" si="3"/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4</v>
      </c>
      <c r="N21" s="115" t="s">
        <v>196</v>
      </c>
      <c r="O21" s="125">
        <f t="shared" si="3"/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79</v>
      </c>
      <c r="F22" s="60" t="s">
        <v>34</v>
      </c>
      <c r="G22" s="47">
        <v>0</v>
      </c>
      <c r="H22" s="133">
        <f t="shared" si="0"/>
        <v>0</v>
      </c>
      <c r="I22" s="94">
        <v>7</v>
      </c>
      <c r="N22" s="115" t="s">
        <v>127</v>
      </c>
      <c r="O22" s="125">
        <f t="shared" si="3"/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80</v>
      </c>
      <c r="F23" s="60" t="s">
        <v>35</v>
      </c>
      <c r="G23" s="47">
        <v>0</v>
      </c>
      <c r="H23" s="133">
        <f t="shared" si="0"/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81</v>
      </c>
      <c r="F24" s="60" t="s">
        <v>36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141</v>
      </c>
      <c r="B25" s="144">
        <v>7</v>
      </c>
      <c r="C25" s="145"/>
      <c r="E25" s="63" t="s">
        <v>83</v>
      </c>
      <c r="F25" s="60" t="s">
        <v>38</v>
      </c>
      <c r="G25" s="47">
        <v>0</v>
      </c>
      <c r="H25" s="133">
        <f t="shared" si="0"/>
        <v>0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84</v>
      </c>
      <c r="F26" s="60" t="s">
        <v>39</v>
      </c>
      <c r="G26" s="47">
        <v>0</v>
      </c>
      <c r="H26" s="133">
        <f t="shared" si="0"/>
        <v>0</v>
      </c>
      <c r="I26" s="94">
        <v>10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A2CE3-4CB8-4F7D-A4DE-BF448CE686E6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7</v>
      </c>
      <c r="C2" s="151"/>
      <c r="E2" s="62" t="s">
        <v>67</v>
      </c>
      <c r="F2" s="59" t="s">
        <v>23</v>
      </c>
      <c r="G2" s="46">
        <v>11</v>
      </c>
      <c r="H2" s="132">
        <f t="shared" ref="H2:H33" si="0">IF(B$17=0,0,G2/B$17)</f>
        <v>0.73333333333333328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-6085.7142857142853</v>
      </c>
      <c r="P2" s="118">
        <v>7</v>
      </c>
      <c r="Q2" s="102">
        <v>-42600</v>
      </c>
    </row>
    <row r="3" spans="1:17" x14ac:dyDescent="0.4">
      <c r="A3" s="55" t="s">
        <v>8</v>
      </c>
      <c r="B3" s="152">
        <v>62</v>
      </c>
      <c r="C3" s="153"/>
      <c r="E3" s="63" t="s">
        <v>65</v>
      </c>
      <c r="F3" s="60" t="s">
        <v>21</v>
      </c>
      <c r="G3" s="47">
        <v>8</v>
      </c>
      <c r="H3" s="133">
        <f t="shared" si="0"/>
        <v>0.53333333333333333</v>
      </c>
      <c r="I3" s="94">
        <v>4</v>
      </c>
      <c r="K3" s="38">
        <v>1</v>
      </c>
      <c r="L3" s="99">
        <v>-46.5</v>
      </c>
      <c r="N3" s="115" t="s">
        <v>132</v>
      </c>
      <c r="O3" s="122">
        <f t="shared" si="1"/>
        <v>166.66666666666666</v>
      </c>
      <c r="P3" s="119">
        <v>6</v>
      </c>
      <c r="Q3" s="103">
        <v>1000</v>
      </c>
    </row>
    <row r="4" spans="1:17" x14ac:dyDescent="0.4">
      <c r="A4" s="55" t="s">
        <v>6</v>
      </c>
      <c r="B4" s="154">
        <v>-104.80000000000001</v>
      </c>
      <c r="C4" s="155"/>
      <c r="E4" s="63" t="s">
        <v>68</v>
      </c>
      <c r="F4" s="60" t="s">
        <v>24</v>
      </c>
      <c r="G4" s="47">
        <v>7</v>
      </c>
      <c r="H4" s="133">
        <f t="shared" si="0"/>
        <v>0.46666666666666667</v>
      </c>
      <c r="I4" s="94">
        <v>1</v>
      </c>
      <c r="K4" s="38">
        <v>2</v>
      </c>
      <c r="L4" s="99">
        <v>-25.4</v>
      </c>
      <c r="N4" s="115" t="s">
        <v>133</v>
      </c>
      <c r="O4" s="122">
        <f t="shared" si="1"/>
        <v>-6066.666666666667</v>
      </c>
      <c r="P4" s="119">
        <v>6</v>
      </c>
      <c r="Q4" s="103">
        <v>-36400</v>
      </c>
    </row>
    <row r="5" spans="1:17" x14ac:dyDescent="0.4">
      <c r="A5" s="55" t="s">
        <v>7</v>
      </c>
      <c r="B5" s="156">
        <f>IF(B$2=0,0,B$4/B$2)</f>
        <v>-14.971428571428573</v>
      </c>
      <c r="C5" s="157"/>
      <c r="E5" s="63" t="s">
        <v>73</v>
      </c>
      <c r="F5" s="60" t="s">
        <v>28</v>
      </c>
      <c r="G5" s="47">
        <v>7</v>
      </c>
      <c r="H5" s="133">
        <f t="shared" si="0"/>
        <v>0.46666666666666667</v>
      </c>
      <c r="I5" s="94">
        <v>9</v>
      </c>
      <c r="K5" s="38">
        <v>3</v>
      </c>
      <c r="L5" s="99">
        <v>-71.900000000000006</v>
      </c>
      <c r="N5" s="115" t="s">
        <v>134</v>
      </c>
      <c r="O5" s="122">
        <f t="shared" si="1"/>
        <v>-3333.3333333333335</v>
      </c>
      <c r="P5" s="119">
        <v>6</v>
      </c>
      <c r="Q5" s="103">
        <v>-20000</v>
      </c>
    </row>
    <row r="6" spans="1:17" x14ac:dyDescent="0.4">
      <c r="A6" s="55" t="s">
        <v>1</v>
      </c>
      <c r="B6" s="146">
        <f>IF(B$2=0,0,(B$7*1+B$8*2+B$9*3)/B$2)</f>
        <v>2.1428571428571428</v>
      </c>
      <c r="C6" s="147"/>
      <c r="E6" s="63" t="s">
        <v>172</v>
      </c>
      <c r="F6" s="60" t="s">
        <v>173</v>
      </c>
      <c r="G6" s="47">
        <v>5</v>
      </c>
      <c r="H6" s="133">
        <f t="shared" si="0"/>
        <v>0.33333333333333331</v>
      </c>
      <c r="I6" s="94">
        <v>5</v>
      </c>
      <c r="K6" s="38">
        <v>4</v>
      </c>
      <c r="L6" s="99">
        <v>-37.400000000000006</v>
      </c>
      <c r="N6" s="115" t="s">
        <v>135</v>
      </c>
      <c r="O6" s="122">
        <f t="shared" si="1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2">IF(B$2=0,0,B7/B$2)</f>
        <v>0.42857142857142855</v>
      </c>
      <c r="E7" s="63" t="s">
        <v>66</v>
      </c>
      <c r="F7" s="60" t="s">
        <v>22</v>
      </c>
      <c r="G7" s="47">
        <v>3</v>
      </c>
      <c r="H7" s="133">
        <f t="shared" si="0"/>
        <v>0.2</v>
      </c>
      <c r="I7" s="94">
        <v>1</v>
      </c>
      <c r="K7" s="38">
        <v>5</v>
      </c>
      <c r="L7" s="99">
        <v>-12.100000000000005</v>
      </c>
      <c r="N7" s="116" t="s">
        <v>136</v>
      </c>
      <c r="O7" s="123">
        <f t="shared" si="1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2"/>
        <v>0</v>
      </c>
      <c r="E8" s="63" t="s">
        <v>69</v>
      </c>
      <c r="F8" s="60" t="s">
        <v>12</v>
      </c>
      <c r="G8" s="47">
        <v>3</v>
      </c>
      <c r="H8" s="133">
        <f t="shared" si="0"/>
        <v>0.2</v>
      </c>
      <c r="I8" s="94">
        <v>10</v>
      </c>
      <c r="K8" s="38">
        <v>6</v>
      </c>
      <c r="L8" s="99">
        <v>-59.300000000000011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2"/>
        <v>0.5714285714285714</v>
      </c>
      <c r="E9" s="63" t="s">
        <v>90</v>
      </c>
      <c r="F9" s="60" t="s">
        <v>45</v>
      </c>
      <c r="G9" s="47">
        <v>2</v>
      </c>
      <c r="H9" s="133">
        <f t="shared" si="0"/>
        <v>0.13333333333333333</v>
      </c>
      <c r="I9" s="94">
        <v>5</v>
      </c>
      <c r="K9" s="38">
        <v>7</v>
      </c>
      <c r="L9" s="99">
        <v>-104.80000000000001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2"/>
        <v>0.5714285714285714</v>
      </c>
      <c r="E10" s="63" t="s">
        <v>70</v>
      </c>
      <c r="F10" s="60" t="s">
        <v>25</v>
      </c>
      <c r="G10" s="47">
        <v>1</v>
      </c>
      <c r="H10" s="133">
        <f t="shared" si="0"/>
        <v>6.6666666666666666E-2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2"/>
        <v>0.14285714285714285</v>
      </c>
      <c r="E11" s="63" t="s">
        <v>71</v>
      </c>
      <c r="F11" s="60" t="s">
        <v>26</v>
      </c>
      <c r="G11" s="47">
        <v>1</v>
      </c>
      <c r="H11" s="133">
        <f t="shared" si="0"/>
        <v>6.6666666666666666E-2</v>
      </c>
      <c r="I11" s="94">
        <v>5</v>
      </c>
      <c r="N11" s="115" t="s">
        <v>164</v>
      </c>
      <c r="O11" s="125">
        <f>IF(P11=0,0,Q11/P11)</f>
        <v>-9.8833333333333346</v>
      </c>
      <c r="P11" s="119">
        <v>6</v>
      </c>
      <c r="Q11" s="107">
        <v>-59.300000000000011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72</v>
      </c>
      <c r="F12" s="60" t="s">
        <v>27</v>
      </c>
      <c r="G12" s="47">
        <v>1</v>
      </c>
      <c r="H12" s="133">
        <f t="shared" si="0"/>
        <v>6.6666666666666666E-2</v>
      </c>
      <c r="I12" s="94">
        <v>7</v>
      </c>
      <c r="N12" s="116" t="s">
        <v>165</v>
      </c>
      <c r="O12" s="126">
        <f>IF(P12=0,0,Q12/P12)</f>
        <v>-45.5</v>
      </c>
      <c r="P12" s="120">
        <v>1</v>
      </c>
      <c r="Q12" s="108">
        <v>-45.5</v>
      </c>
    </row>
    <row r="13" spans="1:17" x14ac:dyDescent="0.4">
      <c r="A13" s="58" t="s">
        <v>122</v>
      </c>
      <c r="B13" s="50">
        <v>15</v>
      </c>
      <c r="C13" s="44">
        <f>IF(B$3=0,0,B13/B$3)</f>
        <v>0.24193548387096775</v>
      </c>
      <c r="E13" s="63" t="s">
        <v>80</v>
      </c>
      <c r="F13" s="60" t="s">
        <v>35</v>
      </c>
      <c r="G13" s="47">
        <v>1</v>
      </c>
      <c r="H13" s="133">
        <f t="shared" si="0"/>
        <v>6.6666666666666666E-2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0.35483870967741937</v>
      </c>
      <c r="E14" s="63" t="s">
        <v>84</v>
      </c>
      <c r="F14" s="60" t="s">
        <v>39</v>
      </c>
      <c r="G14" s="47">
        <v>1</v>
      </c>
      <c r="H14" s="133">
        <f t="shared" si="0"/>
        <v>6.6666666666666666E-2</v>
      </c>
      <c r="I14" s="94">
        <v>4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8</v>
      </c>
      <c r="C15" s="37">
        <f>IF(B$13=0,0,B15/B$13)</f>
        <v>0.53333333333333333</v>
      </c>
      <c r="E15" s="63" t="s">
        <v>87</v>
      </c>
      <c r="F15" s="60" t="s">
        <v>42</v>
      </c>
      <c r="G15" s="47">
        <v>1</v>
      </c>
      <c r="H15" s="133">
        <f t="shared" si="0"/>
        <v>6.6666666666666666E-2</v>
      </c>
      <c r="I15" s="94">
        <v>2</v>
      </c>
      <c r="N15" s="114" t="s">
        <v>183</v>
      </c>
      <c r="O15" s="124">
        <f t="shared" ref="O15:O20" si="3"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0.27272727272727271</v>
      </c>
      <c r="E16" s="63" t="s">
        <v>74</v>
      </c>
      <c r="F16" s="60" t="s">
        <v>29</v>
      </c>
      <c r="G16" s="47">
        <v>0</v>
      </c>
      <c r="H16" s="133">
        <f t="shared" si="0"/>
        <v>0</v>
      </c>
      <c r="I16" s="94">
        <v>1</v>
      </c>
      <c r="N16" s="115" t="s">
        <v>180</v>
      </c>
      <c r="O16" s="125">
        <f t="shared" si="3"/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15</v>
      </c>
      <c r="C17" s="37">
        <f>IF(B$3=0,0,B17/B$3)</f>
        <v>0.24193548387096775</v>
      </c>
      <c r="E17" s="63" t="s">
        <v>75</v>
      </c>
      <c r="F17" s="60" t="s">
        <v>30</v>
      </c>
      <c r="G17" s="47">
        <v>0</v>
      </c>
      <c r="H17" s="133">
        <f t="shared" si="0"/>
        <v>0</v>
      </c>
      <c r="I17" s="94">
        <v>5</v>
      </c>
      <c r="N17" s="115" t="s">
        <v>182</v>
      </c>
      <c r="O17" s="125">
        <f t="shared" si="3"/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0.33333333333333331</v>
      </c>
      <c r="E18" s="63" t="s">
        <v>76</v>
      </c>
      <c r="F18" s="60" t="s">
        <v>31</v>
      </c>
      <c r="G18" s="47">
        <v>0</v>
      </c>
      <c r="H18" s="133">
        <f t="shared" si="0"/>
        <v>0</v>
      </c>
      <c r="I18" s="94">
        <v>5</v>
      </c>
      <c r="N18" s="115" t="s">
        <v>179</v>
      </c>
      <c r="O18" s="125">
        <f t="shared" si="3"/>
        <v>-53.179999999999993</v>
      </c>
      <c r="P18" s="119">
        <v>5</v>
      </c>
      <c r="Q18" s="107">
        <v>-265.89999999999998</v>
      </c>
    </row>
    <row r="19" spans="1:17" x14ac:dyDescent="0.4">
      <c r="A19" s="55" t="s">
        <v>11</v>
      </c>
      <c r="B19" s="47">
        <v>10</v>
      </c>
      <c r="C19" s="39">
        <f>IF(B$17=0,0,B19/B$17)</f>
        <v>0.66666666666666663</v>
      </c>
      <c r="E19" s="63" t="s">
        <v>77</v>
      </c>
      <c r="F19" s="60" t="s">
        <v>32</v>
      </c>
      <c r="G19" s="47">
        <v>0</v>
      </c>
      <c r="H19" s="133">
        <f t="shared" si="0"/>
        <v>0</v>
      </c>
      <c r="I19" s="94">
        <v>1</v>
      </c>
      <c r="N19" s="115" t="s">
        <v>178</v>
      </c>
      <c r="O19" s="125">
        <f t="shared" si="3"/>
        <v>-60.650000000000006</v>
      </c>
      <c r="P19" s="119">
        <v>2</v>
      </c>
      <c r="Q19" s="107">
        <v>-121.30000000000001</v>
      </c>
    </row>
    <row r="20" spans="1:17" x14ac:dyDescent="0.4">
      <c r="A20" s="55" t="s">
        <v>13</v>
      </c>
      <c r="B20" s="47">
        <v>12</v>
      </c>
      <c r="C20" s="39">
        <f>IF(B$3=0,0,B20/B$3)</f>
        <v>0.19354838709677419</v>
      </c>
      <c r="E20" s="63" t="s">
        <v>78</v>
      </c>
      <c r="F20" s="60" t="s">
        <v>33</v>
      </c>
      <c r="G20" s="47">
        <v>0</v>
      </c>
      <c r="H20" s="133">
        <f t="shared" si="0"/>
        <v>0</v>
      </c>
      <c r="I20" s="94">
        <v>4</v>
      </c>
      <c r="N20" s="115" t="s">
        <v>128</v>
      </c>
      <c r="O20" s="125">
        <f t="shared" si="3"/>
        <v>-75.3</v>
      </c>
      <c r="P20" s="119">
        <v>2</v>
      </c>
      <c r="Q20" s="107">
        <v>-150.6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79</v>
      </c>
      <c r="F21" s="60" t="s">
        <v>34</v>
      </c>
      <c r="G21" s="47">
        <v>0</v>
      </c>
      <c r="H21" s="133">
        <f t="shared" si="0"/>
        <v>0</v>
      </c>
      <c r="I21" s="94">
        <v>7</v>
      </c>
    </row>
    <row r="22" spans="1:17" x14ac:dyDescent="0.4">
      <c r="A22" s="55" t="s">
        <v>171</v>
      </c>
      <c r="B22" s="47">
        <v>13</v>
      </c>
      <c r="C22" s="135">
        <v>0</v>
      </c>
      <c r="E22" s="63" t="s">
        <v>81</v>
      </c>
      <c r="F22" s="60" t="s">
        <v>36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7473.333333333333</v>
      </c>
      <c r="C23" s="41">
        <v>112100</v>
      </c>
      <c r="E23" s="63" t="s">
        <v>82</v>
      </c>
      <c r="F23" s="60" t="s">
        <v>37</v>
      </c>
      <c r="G23" s="47">
        <v>0</v>
      </c>
      <c r="H23" s="133">
        <f t="shared" si="0"/>
        <v>0</v>
      </c>
      <c r="I23" s="94">
        <v>9</v>
      </c>
    </row>
    <row r="24" spans="1:17" x14ac:dyDescent="0.4">
      <c r="A24" s="57" t="s">
        <v>14</v>
      </c>
      <c r="B24" s="52">
        <f>IF(B$20=0,0,C24/B$20)</f>
        <v>-9075</v>
      </c>
      <c r="C24" s="45">
        <v>-108900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141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6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2F95A-733A-4337-B294-72EDC42F11FC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  <row r="9" spans="1:17" x14ac:dyDescent="0.4">
      <c r="A9" s="69">
        <v>6</v>
      </c>
      <c r="B9" s="66">
        <v>-59.300000000000011</v>
      </c>
      <c r="C9" s="66">
        <v>-9.8833333333333346</v>
      </c>
      <c r="D9" s="71">
        <v>2</v>
      </c>
      <c r="E9" s="67">
        <v>0.5</v>
      </c>
      <c r="F9" s="67">
        <v>0.5</v>
      </c>
      <c r="G9" s="67">
        <v>0.25454545454545452</v>
      </c>
      <c r="H9" s="67">
        <v>0.18181818181818182</v>
      </c>
      <c r="I9" s="68">
        <v>7914.2857142857147</v>
      </c>
      <c r="J9" s="68">
        <v>-8140</v>
      </c>
      <c r="K9" s="67">
        <v>0.5</v>
      </c>
      <c r="L9" s="67">
        <v>0.16666666666666666</v>
      </c>
      <c r="M9" s="67">
        <v>0.23636363636363636</v>
      </c>
      <c r="N9" s="67">
        <v>0.38181818181818183</v>
      </c>
      <c r="O9" s="67">
        <v>0.53846153846153844</v>
      </c>
      <c r="P9" s="67">
        <v>0.2857142857142857</v>
      </c>
      <c r="Q9" s="67">
        <v>0.35714285714285715</v>
      </c>
    </row>
    <row r="10" spans="1:17" x14ac:dyDescent="0.4">
      <c r="A10" s="69">
        <v>7</v>
      </c>
      <c r="B10" s="66">
        <v>-104.80000000000001</v>
      </c>
      <c r="C10" s="66">
        <v>-14.971428571428573</v>
      </c>
      <c r="D10" s="71">
        <v>2.1428571428571428</v>
      </c>
      <c r="E10" s="67">
        <v>0.42857142857142855</v>
      </c>
      <c r="F10" s="67">
        <v>0.5714285714285714</v>
      </c>
      <c r="G10" s="67">
        <v>0.24193548387096775</v>
      </c>
      <c r="H10" s="67">
        <v>0.19354838709677419</v>
      </c>
      <c r="I10" s="68">
        <v>7473.333333333333</v>
      </c>
      <c r="J10" s="68">
        <v>-9075</v>
      </c>
      <c r="K10" s="67">
        <v>0.5714285714285714</v>
      </c>
      <c r="L10" s="67">
        <v>0.14285714285714285</v>
      </c>
      <c r="M10" s="67">
        <v>0.24193548387096775</v>
      </c>
      <c r="N10" s="67">
        <v>0.35483870967741937</v>
      </c>
      <c r="O10" s="67">
        <v>0.53333333333333333</v>
      </c>
      <c r="P10" s="67">
        <v>0.27272727272727271</v>
      </c>
      <c r="Q10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7EDA-B1F5-4FFF-999F-939958B5A5F9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8CFD6-3795-477B-B926-1A79577930E8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  <row r="14" spans="1:17" x14ac:dyDescent="0.4">
      <c r="A14" s="69">
        <v>11</v>
      </c>
      <c r="B14" s="66">
        <v>-175</v>
      </c>
      <c r="C14" s="66">
        <v>-15.909090909090908</v>
      </c>
      <c r="D14" s="71">
        <v>2.4545454545454546</v>
      </c>
      <c r="E14" s="67">
        <v>9.0909090909090912E-2</v>
      </c>
      <c r="F14" s="67">
        <v>0.54545454545454541</v>
      </c>
      <c r="G14" s="67">
        <v>0.22222222222222221</v>
      </c>
      <c r="H14" s="67">
        <v>0.22222222222222221</v>
      </c>
      <c r="I14" s="68">
        <v>8760</v>
      </c>
      <c r="J14" s="68">
        <v>-10180</v>
      </c>
      <c r="K14" s="67">
        <v>0.18181818181818182</v>
      </c>
      <c r="L14" s="67">
        <v>9.0909090909090912E-2</v>
      </c>
      <c r="M14" s="67">
        <v>0.24444444444444444</v>
      </c>
      <c r="N14" s="67">
        <v>0.23333333333333334</v>
      </c>
      <c r="O14" s="67">
        <v>0.54545454545454541</v>
      </c>
      <c r="P14" s="67">
        <v>0.38095238095238093</v>
      </c>
      <c r="Q14" s="67">
        <v>0.5</v>
      </c>
    </row>
    <row r="15" spans="1:17" x14ac:dyDescent="0.4">
      <c r="A15" s="69">
        <v>12</v>
      </c>
      <c r="B15" s="66">
        <v>-176.9</v>
      </c>
      <c r="C15" s="66">
        <v>-14.741666666666667</v>
      </c>
      <c r="D15" s="71">
        <v>2.4166666666666665</v>
      </c>
      <c r="E15" s="67">
        <v>8.3333333333333329E-2</v>
      </c>
      <c r="F15" s="67">
        <v>0.5</v>
      </c>
      <c r="G15" s="67">
        <v>0.23711340206185566</v>
      </c>
      <c r="H15" s="67">
        <v>0.21649484536082475</v>
      </c>
      <c r="I15" s="68">
        <v>8543.4782608695659</v>
      </c>
      <c r="J15" s="68">
        <v>-10061.904761904761</v>
      </c>
      <c r="K15" s="67">
        <v>0.16666666666666666</v>
      </c>
      <c r="L15" s="67">
        <v>8.3333333333333329E-2</v>
      </c>
      <c r="M15" s="67">
        <v>0.24742268041237114</v>
      </c>
      <c r="N15" s="67">
        <v>0.22680412371134021</v>
      </c>
      <c r="O15" s="67">
        <v>0.58333333333333337</v>
      </c>
      <c r="P15" s="67">
        <v>0.36363636363636365</v>
      </c>
      <c r="Q15" s="67">
        <v>0.47826086956521741</v>
      </c>
    </row>
    <row r="16" spans="1:17" x14ac:dyDescent="0.4">
      <c r="A16" s="69">
        <v>13</v>
      </c>
      <c r="B16" s="66">
        <v>-217.60000000000002</v>
      </c>
      <c r="C16" s="66">
        <v>-16.738461538461539</v>
      </c>
      <c r="D16" s="71">
        <v>2.4615384615384617</v>
      </c>
      <c r="E16" s="67">
        <v>7.6923076923076927E-2</v>
      </c>
      <c r="F16" s="67">
        <v>0.53846153846153844</v>
      </c>
      <c r="G16" s="67">
        <v>0.22857142857142856</v>
      </c>
      <c r="H16" s="67">
        <v>0.21904761904761905</v>
      </c>
      <c r="I16" s="68">
        <v>8354.1666666666661</v>
      </c>
      <c r="J16" s="68">
        <v>-9747.826086956522</v>
      </c>
      <c r="K16" s="67">
        <v>0.15384615384615385</v>
      </c>
      <c r="L16" s="67">
        <v>7.6923076923076927E-2</v>
      </c>
      <c r="M16" s="67">
        <v>0.24761904761904763</v>
      </c>
      <c r="N16" s="67">
        <v>0.22857142857142856</v>
      </c>
      <c r="O16" s="67">
        <v>0.57692307692307687</v>
      </c>
      <c r="P16" s="67">
        <v>0.33333333333333331</v>
      </c>
      <c r="Q16" s="67">
        <v>0.5</v>
      </c>
    </row>
    <row r="17" spans="1:17" x14ac:dyDescent="0.4">
      <c r="A17" s="69">
        <v>14</v>
      </c>
      <c r="B17" s="66">
        <v>-266.90000000000003</v>
      </c>
      <c r="C17" s="66">
        <v>-19.064285714285717</v>
      </c>
      <c r="D17" s="71">
        <v>2.5</v>
      </c>
      <c r="E17" s="67">
        <v>7.1428571428571425E-2</v>
      </c>
      <c r="F17" s="67">
        <v>0.5714285714285714</v>
      </c>
      <c r="G17" s="67">
        <v>0.22413793103448276</v>
      </c>
      <c r="H17" s="67">
        <v>0.21551724137931033</v>
      </c>
      <c r="I17" s="68">
        <v>8296.1538461538457</v>
      </c>
      <c r="J17" s="68">
        <v>-9804</v>
      </c>
      <c r="K17" s="67">
        <v>0.21428571428571427</v>
      </c>
      <c r="L17" s="67">
        <v>7.1428571428571425E-2</v>
      </c>
      <c r="M17" s="67">
        <v>0.26724137931034481</v>
      </c>
      <c r="N17" s="67">
        <v>0.21551724137931033</v>
      </c>
      <c r="O17" s="67">
        <v>0.5161290322580645</v>
      </c>
      <c r="P17" s="67">
        <v>0.36</v>
      </c>
      <c r="Q17" s="67">
        <v>0.5</v>
      </c>
    </row>
    <row r="18" spans="1:17" x14ac:dyDescent="0.4">
      <c r="A18" s="69">
        <v>15</v>
      </c>
      <c r="B18" s="66">
        <v>-272.50000000000006</v>
      </c>
      <c r="C18" s="66">
        <v>-18.166666666666671</v>
      </c>
      <c r="D18" s="71">
        <v>2.4666666666666668</v>
      </c>
      <c r="E18" s="67">
        <v>6.6666666666666666E-2</v>
      </c>
      <c r="F18" s="67">
        <v>0.53333333333333333</v>
      </c>
      <c r="G18" s="67">
        <v>0.22131147540983606</v>
      </c>
      <c r="H18" s="67">
        <v>0.20491803278688525</v>
      </c>
      <c r="I18" s="68">
        <v>8133.333333333333</v>
      </c>
      <c r="J18" s="68">
        <v>-9804</v>
      </c>
      <c r="K18" s="67">
        <v>0.2</v>
      </c>
      <c r="L18" s="67">
        <v>6.6666666666666666E-2</v>
      </c>
      <c r="M18" s="67">
        <v>0.25409836065573771</v>
      </c>
      <c r="N18" s="67">
        <v>0.22950819672131148</v>
      </c>
      <c r="O18" s="67">
        <v>0.5161290322580645</v>
      </c>
      <c r="P18" s="67">
        <v>0.35714285714285715</v>
      </c>
      <c r="Q18" s="67">
        <v>0.48148148148148145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3CD6F-0A4D-4F26-800F-04859B91DEBA}">
  <sheetPr codeName="Sheet18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  <row r="23" spans="1:17" x14ac:dyDescent="0.4">
      <c r="A23" s="69">
        <v>20</v>
      </c>
      <c r="B23" s="66">
        <v>-93.199999999999989</v>
      </c>
      <c r="C23" s="66">
        <v>-4.6599999999999993</v>
      </c>
      <c r="D23" s="71">
        <v>2.15</v>
      </c>
      <c r="E23" s="67">
        <v>0.25</v>
      </c>
      <c r="F23" s="67">
        <v>0.4</v>
      </c>
      <c r="G23" s="67">
        <v>0.27322404371584702</v>
      </c>
      <c r="H23" s="67">
        <v>0.13661202185792351</v>
      </c>
      <c r="I23" s="68">
        <v>7544</v>
      </c>
      <c r="J23" s="68">
        <v>-7292</v>
      </c>
      <c r="K23" s="67">
        <v>0.15</v>
      </c>
      <c r="L23" s="67">
        <v>0.05</v>
      </c>
      <c r="M23" s="67">
        <v>0.26229508196721313</v>
      </c>
      <c r="N23" s="67">
        <v>0.25683060109289618</v>
      </c>
      <c r="O23" s="67">
        <v>0.47916666666666669</v>
      </c>
      <c r="P23" s="67">
        <v>0.48936170212765956</v>
      </c>
      <c r="Q23" s="67">
        <v>0.38</v>
      </c>
    </row>
    <row r="24" spans="1:17" x14ac:dyDescent="0.4">
      <c r="A24" s="69">
        <v>21</v>
      </c>
      <c r="B24" s="66">
        <v>-123.69999999999999</v>
      </c>
      <c r="C24" s="66">
        <v>-5.89047619047619</v>
      </c>
      <c r="D24" s="71">
        <v>2.1904761904761907</v>
      </c>
      <c r="E24" s="67">
        <v>0.23809523809523808</v>
      </c>
      <c r="F24" s="67">
        <v>0.42857142857142855</v>
      </c>
      <c r="G24" s="67">
        <v>0.26178010471204188</v>
      </c>
      <c r="H24" s="67">
        <v>0.14659685863874344</v>
      </c>
      <c r="I24" s="68">
        <v>7544</v>
      </c>
      <c r="J24" s="68">
        <v>-6960.7142857142853</v>
      </c>
      <c r="K24" s="67">
        <v>0.14285714285714285</v>
      </c>
      <c r="L24" s="67">
        <v>4.7619047619047616E-2</v>
      </c>
      <c r="M24" s="67">
        <v>0.25654450261780104</v>
      </c>
      <c r="N24" s="67">
        <v>0.25654450261780104</v>
      </c>
      <c r="O24" s="67">
        <v>0.46938775510204084</v>
      </c>
      <c r="P24" s="67">
        <v>0.46938775510204084</v>
      </c>
      <c r="Q24" s="67">
        <v>0.38</v>
      </c>
    </row>
    <row r="25" spans="1:17" x14ac:dyDescent="0.4">
      <c r="A25" s="69">
        <v>22</v>
      </c>
      <c r="B25" s="66">
        <v>-66.999999999999986</v>
      </c>
      <c r="C25" s="66">
        <v>-3.045454545454545</v>
      </c>
      <c r="D25" s="71">
        <v>2.1363636363636362</v>
      </c>
      <c r="E25" s="67">
        <v>0.27272727272727271</v>
      </c>
      <c r="F25" s="67">
        <v>0.40909090909090912</v>
      </c>
      <c r="G25" s="67">
        <v>0.26767676767676768</v>
      </c>
      <c r="H25" s="67">
        <v>0.14141414141414141</v>
      </c>
      <c r="I25" s="68">
        <v>7658.4905660377362</v>
      </c>
      <c r="J25" s="68">
        <v>-6960.7142857142853</v>
      </c>
      <c r="K25" s="67">
        <v>0.13636363636363635</v>
      </c>
      <c r="L25" s="67">
        <v>9.0909090909090912E-2</v>
      </c>
      <c r="M25" s="67">
        <v>0.26262626262626265</v>
      </c>
      <c r="N25" s="67">
        <v>0.25757575757575757</v>
      </c>
      <c r="O25" s="67">
        <v>0.46153846153846156</v>
      </c>
      <c r="P25" s="67">
        <v>0.47058823529411764</v>
      </c>
      <c r="Q25" s="67">
        <v>0.39622641509433965</v>
      </c>
    </row>
    <row r="26" spans="1:17" x14ac:dyDescent="0.4">
      <c r="A26" s="69">
        <v>23</v>
      </c>
      <c r="B26" s="66">
        <v>-59.599999999999987</v>
      </c>
      <c r="C26" s="66">
        <v>-2.5913043478260862</v>
      </c>
      <c r="D26" s="71">
        <v>2.1304347826086958</v>
      </c>
      <c r="E26" s="67">
        <v>0.2608695652173913</v>
      </c>
      <c r="F26" s="67">
        <v>0.39130434782608697</v>
      </c>
      <c r="G26" s="67">
        <v>0.26829268292682928</v>
      </c>
      <c r="H26" s="67">
        <v>0.14146341463414633</v>
      </c>
      <c r="I26" s="68">
        <v>7809.090909090909</v>
      </c>
      <c r="J26" s="68">
        <v>-6820.6896551724139</v>
      </c>
      <c r="K26" s="67">
        <v>0.13043478260869565</v>
      </c>
      <c r="L26" s="67">
        <v>8.6956521739130432E-2</v>
      </c>
      <c r="M26" s="67">
        <v>0.26829268292682928</v>
      </c>
      <c r="N26" s="67">
        <v>0.25853658536585367</v>
      </c>
      <c r="O26" s="67">
        <v>0.45454545454545453</v>
      </c>
      <c r="P26" s="67">
        <v>0.47169811320754718</v>
      </c>
      <c r="Q26" s="67">
        <v>0.38181818181818183</v>
      </c>
    </row>
    <row r="27" spans="1:17" x14ac:dyDescent="0.4">
      <c r="A27" s="69">
        <v>24</v>
      </c>
      <c r="B27" s="66">
        <v>-91.399999999999991</v>
      </c>
      <c r="C27" s="66">
        <v>-3.8083333333333331</v>
      </c>
      <c r="D27" s="71">
        <v>2.1666666666666665</v>
      </c>
      <c r="E27" s="67">
        <v>0.25</v>
      </c>
      <c r="F27" s="67">
        <v>0.41666666666666669</v>
      </c>
      <c r="G27" s="67">
        <v>0.26291079812206575</v>
      </c>
      <c r="H27" s="67">
        <v>0.15023474178403756</v>
      </c>
      <c r="I27" s="68">
        <v>7807.1428571428569</v>
      </c>
      <c r="J27" s="68">
        <v>-6946.875</v>
      </c>
      <c r="K27" s="67">
        <v>0.125</v>
      </c>
      <c r="L27" s="67">
        <v>8.3333333333333329E-2</v>
      </c>
      <c r="M27" s="67">
        <v>0.25821596244131456</v>
      </c>
      <c r="N27" s="67">
        <v>0.26291079812206575</v>
      </c>
      <c r="O27" s="67">
        <v>0.45454545454545453</v>
      </c>
      <c r="P27" s="67">
        <v>0.4642857142857143</v>
      </c>
      <c r="Q27" s="67">
        <v>0.375</v>
      </c>
    </row>
    <row r="28" spans="1:17" x14ac:dyDescent="0.4">
      <c r="A28" s="69">
        <v>25</v>
      </c>
      <c r="B28" s="66">
        <v>-41.29999999999999</v>
      </c>
      <c r="C28" s="66">
        <v>-1.6519999999999997</v>
      </c>
      <c r="D28" s="71">
        <v>2.12</v>
      </c>
      <c r="E28" s="67">
        <v>0.28000000000000003</v>
      </c>
      <c r="F28" s="67">
        <v>0.4</v>
      </c>
      <c r="G28" s="67">
        <v>0.26244343891402716</v>
      </c>
      <c r="H28" s="67">
        <v>0.15384615384615385</v>
      </c>
      <c r="I28" s="68">
        <v>8455.1724137931033</v>
      </c>
      <c r="J28" s="68">
        <v>-6832.3529411764703</v>
      </c>
      <c r="K28" s="67">
        <v>0.12</v>
      </c>
      <c r="L28" s="67">
        <v>0.08</v>
      </c>
      <c r="M28" s="67">
        <v>0.25339366515837103</v>
      </c>
      <c r="N28" s="67">
        <v>0.26244343891402716</v>
      </c>
      <c r="O28" s="67">
        <v>0.4642857142857143</v>
      </c>
      <c r="P28" s="67">
        <v>0.44827586206896552</v>
      </c>
      <c r="Q28" s="67">
        <v>0.37931034482758619</v>
      </c>
    </row>
    <row r="29" spans="1:17" x14ac:dyDescent="0.4">
      <c r="A29" s="69">
        <v>26</v>
      </c>
      <c r="B29" s="66">
        <v>-54.099999999999994</v>
      </c>
      <c r="C29" s="66">
        <v>-2.0807692307692305</v>
      </c>
      <c r="D29" s="71">
        <v>2.1538461538461537</v>
      </c>
      <c r="E29" s="67">
        <v>0.26923076923076922</v>
      </c>
      <c r="F29" s="67">
        <v>0.42307692307692307</v>
      </c>
      <c r="G29" s="67">
        <v>0.26315789473684209</v>
      </c>
      <c r="H29" s="67">
        <v>0.15350877192982457</v>
      </c>
      <c r="I29" s="68">
        <v>8395</v>
      </c>
      <c r="J29" s="68">
        <v>-6711.4285714285716</v>
      </c>
      <c r="K29" s="67">
        <v>0.11538461538461539</v>
      </c>
      <c r="L29" s="67">
        <v>7.6923076923076927E-2</v>
      </c>
      <c r="M29" s="67">
        <v>0.25438596491228072</v>
      </c>
      <c r="N29" s="67">
        <v>0.25877192982456143</v>
      </c>
      <c r="O29" s="67">
        <v>0.48275862068965519</v>
      </c>
      <c r="P29" s="67">
        <v>0.44067796610169491</v>
      </c>
      <c r="Q29" s="67">
        <v>0.4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C4FFE-C5A7-4062-A0BE-5C49BBB697C4}">
  <sheetPr codeName="Sheet16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  <row r="19" spans="1:17" x14ac:dyDescent="0.4">
      <c r="A19" s="69">
        <v>16</v>
      </c>
      <c r="B19" s="66">
        <v>-63.099999999999966</v>
      </c>
      <c r="C19" s="66">
        <v>-3.9437499999999979</v>
      </c>
      <c r="D19" s="71">
        <v>2.0625</v>
      </c>
      <c r="E19" s="67">
        <v>0.3125</v>
      </c>
      <c r="F19" s="67">
        <v>0.375</v>
      </c>
      <c r="G19" s="67">
        <v>0.23255813953488372</v>
      </c>
      <c r="H19" s="67">
        <v>0.19379844961240311</v>
      </c>
      <c r="I19" s="68">
        <v>12426.666666666666</v>
      </c>
      <c r="J19" s="68">
        <v>-9896</v>
      </c>
      <c r="K19" s="67">
        <v>0.25</v>
      </c>
      <c r="L19" s="67">
        <v>0.25</v>
      </c>
      <c r="M19" s="67">
        <v>0.24031007751937986</v>
      </c>
      <c r="N19" s="67">
        <v>0.23255813953488372</v>
      </c>
      <c r="O19" s="67">
        <v>0.29032258064516131</v>
      </c>
      <c r="P19" s="67">
        <v>0.46666666666666667</v>
      </c>
      <c r="Q19" s="67">
        <v>0.36666666666666664</v>
      </c>
    </row>
    <row r="20" spans="1:17" x14ac:dyDescent="0.4">
      <c r="A20" s="69">
        <v>17</v>
      </c>
      <c r="B20" s="66">
        <v>-55.799999999999969</v>
      </c>
      <c r="C20" s="66">
        <v>-3.2823529411764687</v>
      </c>
      <c r="D20" s="71">
        <v>2.0588235294117645</v>
      </c>
      <c r="E20" s="67">
        <v>0.29411764705882354</v>
      </c>
      <c r="F20" s="67">
        <v>0.35294117647058826</v>
      </c>
      <c r="G20" s="67">
        <v>0.24087591240875914</v>
      </c>
      <c r="H20" s="67">
        <v>0.18248175182481752</v>
      </c>
      <c r="I20" s="68">
        <v>12124.242424242424</v>
      </c>
      <c r="J20" s="68">
        <v>-9896</v>
      </c>
      <c r="K20" s="67">
        <v>0.23529411764705882</v>
      </c>
      <c r="L20" s="67">
        <v>0.23529411764705882</v>
      </c>
      <c r="M20" s="67">
        <v>0.24817518248175183</v>
      </c>
      <c r="N20" s="67">
        <v>0.22627737226277372</v>
      </c>
      <c r="O20" s="67">
        <v>0.3235294117647059</v>
      </c>
      <c r="P20" s="67">
        <v>0.4838709677419355</v>
      </c>
      <c r="Q20" s="67">
        <v>0.39393939393939392</v>
      </c>
    </row>
    <row r="21" spans="1:17" x14ac:dyDescent="0.4">
      <c r="A21" s="69">
        <v>18</v>
      </c>
      <c r="B21" s="66">
        <v>-24.999999999999968</v>
      </c>
      <c r="C21" s="66">
        <v>-1.3888888888888871</v>
      </c>
      <c r="D21" s="71">
        <v>2</v>
      </c>
      <c r="E21" s="67">
        <v>0.33333333333333331</v>
      </c>
      <c r="F21" s="67">
        <v>0.33333333333333331</v>
      </c>
      <c r="G21" s="67">
        <v>0.24827586206896551</v>
      </c>
      <c r="H21" s="67">
        <v>0.17241379310344829</v>
      </c>
      <c r="I21" s="68">
        <v>11561.111111111111</v>
      </c>
      <c r="J21" s="68">
        <v>-9896</v>
      </c>
      <c r="K21" s="67">
        <v>0.22222222222222221</v>
      </c>
      <c r="L21" s="67">
        <v>0.22222222222222221</v>
      </c>
      <c r="M21" s="67">
        <v>0.25517241379310346</v>
      </c>
      <c r="N21" s="67">
        <v>0.23448275862068965</v>
      </c>
      <c r="O21" s="67">
        <v>0.32432432432432434</v>
      </c>
      <c r="P21" s="67">
        <v>0.47058823529411764</v>
      </c>
      <c r="Q21" s="67">
        <v>0.41666666666666669</v>
      </c>
    </row>
    <row r="22" spans="1:17" x14ac:dyDescent="0.4">
      <c r="A22" s="69">
        <v>19</v>
      </c>
      <c r="B22" s="66">
        <v>-27.799999999999969</v>
      </c>
      <c r="C22" s="66">
        <v>-1.4631578947368404</v>
      </c>
      <c r="D22" s="71">
        <v>2</v>
      </c>
      <c r="E22" s="67">
        <v>0.31578947368421051</v>
      </c>
      <c r="F22" s="67">
        <v>0.31578947368421051</v>
      </c>
      <c r="G22" s="67">
        <v>0.25</v>
      </c>
      <c r="H22" s="67">
        <v>0.17307692307692307</v>
      </c>
      <c r="I22" s="68">
        <v>11823.076923076924</v>
      </c>
      <c r="J22" s="68">
        <v>-9903.7037037037044</v>
      </c>
      <c r="K22" s="67">
        <v>0.21052631578947367</v>
      </c>
      <c r="L22" s="67">
        <v>0.21052631578947367</v>
      </c>
      <c r="M22" s="67">
        <v>0.25641025641025639</v>
      </c>
      <c r="N22" s="67">
        <v>0.22435897435897437</v>
      </c>
      <c r="O22" s="67">
        <v>0.35</v>
      </c>
      <c r="P22" s="67">
        <v>0.48571428571428571</v>
      </c>
      <c r="Q22" s="67">
        <v>0.41025641025641024</v>
      </c>
    </row>
    <row r="23" spans="1:17" x14ac:dyDescent="0.4">
      <c r="A23" s="69">
        <v>20</v>
      </c>
      <c r="B23" s="66">
        <v>-50.39999999999997</v>
      </c>
      <c r="C23" s="66">
        <v>-2.5199999999999987</v>
      </c>
      <c r="D23" s="71">
        <v>2.0499999999999998</v>
      </c>
      <c r="E23" s="67">
        <v>0.3</v>
      </c>
      <c r="F23" s="67">
        <v>0.35</v>
      </c>
      <c r="G23" s="67">
        <v>0.24691358024691357</v>
      </c>
      <c r="H23" s="67">
        <v>0.16666666666666666</v>
      </c>
      <c r="I23" s="68">
        <v>11657.5</v>
      </c>
      <c r="J23" s="68">
        <v>-9903.7037037037044</v>
      </c>
      <c r="K23" s="67">
        <v>0.2</v>
      </c>
      <c r="L23" s="67">
        <v>0.2</v>
      </c>
      <c r="M23" s="67">
        <v>0.26543209876543211</v>
      </c>
      <c r="N23" s="67">
        <v>0.22222222222222221</v>
      </c>
      <c r="O23" s="67">
        <v>0.34883720930232559</v>
      </c>
      <c r="P23" s="67">
        <v>0.47222222222222221</v>
      </c>
      <c r="Q23" s="67">
        <v>0.4</v>
      </c>
    </row>
    <row r="24" spans="1:17" x14ac:dyDescent="0.4">
      <c r="A24" s="69">
        <v>21</v>
      </c>
      <c r="B24" s="66">
        <v>-59.89999999999997</v>
      </c>
      <c r="C24" s="66">
        <v>-2.8523809523809511</v>
      </c>
      <c r="D24" s="71">
        <v>2.0476190476190474</v>
      </c>
      <c r="E24" s="67">
        <v>0.2857142857142857</v>
      </c>
      <c r="F24" s="67">
        <v>0.33333333333333331</v>
      </c>
      <c r="G24" s="67">
        <v>0.24260355029585798</v>
      </c>
      <c r="H24" s="67">
        <v>0.15976331360946747</v>
      </c>
      <c r="I24" s="68">
        <v>11421.951219512195</v>
      </c>
      <c r="J24" s="68">
        <v>-9903.7037037037044</v>
      </c>
      <c r="K24" s="67">
        <v>0.19047619047619047</v>
      </c>
      <c r="L24" s="67">
        <v>0.19047619047619047</v>
      </c>
      <c r="M24" s="67">
        <v>0.26035502958579881</v>
      </c>
      <c r="N24" s="67">
        <v>0.21893491124260356</v>
      </c>
      <c r="O24" s="67">
        <v>0.34090909090909088</v>
      </c>
      <c r="P24" s="67">
        <v>0.48648648648648651</v>
      </c>
      <c r="Q24" s="67">
        <v>0.3902439024390244</v>
      </c>
    </row>
    <row r="25" spans="1:17" x14ac:dyDescent="0.4">
      <c r="A25" s="69">
        <v>22</v>
      </c>
      <c r="B25" s="66">
        <v>-21.799999999999969</v>
      </c>
      <c r="C25" s="66">
        <v>-0.99090909090908952</v>
      </c>
      <c r="D25" s="71">
        <v>2</v>
      </c>
      <c r="E25" s="67">
        <v>0.31818181818181818</v>
      </c>
      <c r="F25" s="67">
        <v>0.31818181818181818</v>
      </c>
      <c r="G25" s="67">
        <v>0.25568181818181818</v>
      </c>
      <c r="H25" s="67">
        <v>0.15909090909090909</v>
      </c>
      <c r="I25" s="68">
        <v>10960</v>
      </c>
      <c r="J25" s="68">
        <v>-9596.4285714285706</v>
      </c>
      <c r="K25" s="67">
        <v>0.18181818181818182</v>
      </c>
      <c r="L25" s="67">
        <v>0.22727272727272727</v>
      </c>
      <c r="M25" s="67">
        <v>0.25568181818181818</v>
      </c>
      <c r="N25" s="67">
        <v>0.23295454545454544</v>
      </c>
      <c r="O25" s="67">
        <v>0.35555555555555557</v>
      </c>
      <c r="P25" s="67">
        <v>0.51219512195121952</v>
      </c>
      <c r="Q25" s="67">
        <v>0.4</v>
      </c>
    </row>
    <row r="26" spans="1:17" x14ac:dyDescent="0.4">
      <c r="A26" s="69">
        <v>23</v>
      </c>
      <c r="B26" s="66">
        <v>-10.299999999999969</v>
      </c>
      <c r="C26" s="66">
        <v>-0.44782608695652038</v>
      </c>
      <c r="D26" s="71">
        <v>1.9565217391304348</v>
      </c>
      <c r="E26" s="67">
        <v>0.34782608695652173</v>
      </c>
      <c r="F26" s="67">
        <v>0.30434782608695654</v>
      </c>
      <c r="G26" s="67">
        <v>0.25683060109289618</v>
      </c>
      <c r="H26" s="67">
        <v>0.15300546448087432</v>
      </c>
      <c r="I26" s="68">
        <v>10834.04255319149</v>
      </c>
      <c r="J26" s="68">
        <v>-9596.4285714285706</v>
      </c>
      <c r="K26" s="67">
        <v>0.17391304347826086</v>
      </c>
      <c r="L26" s="67">
        <v>0.21739130434782608</v>
      </c>
      <c r="M26" s="67">
        <v>0.25683060109289618</v>
      </c>
      <c r="N26" s="67">
        <v>0.22950819672131148</v>
      </c>
      <c r="O26" s="67">
        <v>0.36170212765957449</v>
      </c>
      <c r="P26" s="67">
        <v>0.52380952380952384</v>
      </c>
      <c r="Q26" s="67">
        <v>0.42553191489361702</v>
      </c>
    </row>
    <row r="27" spans="1:17" x14ac:dyDescent="0.4">
      <c r="A27" s="69">
        <v>24</v>
      </c>
      <c r="B27" s="66">
        <v>-51.39999999999997</v>
      </c>
      <c r="C27" s="66">
        <v>-2.1416666666666653</v>
      </c>
      <c r="D27" s="71">
        <v>2</v>
      </c>
      <c r="E27" s="67">
        <v>0.33333333333333331</v>
      </c>
      <c r="F27" s="67">
        <v>0.33333333333333331</v>
      </c>
      <c r="G27" s="67">
        <v>0.2513089005235602</v>
      </c>
      <c r="H27" s="67">
        <v>0.17277486910994763</v>
      </c>
      <c r="I27" s="68">
        <v>10858.333333333334</v>
      </c>
      <c r="J27" s="68">
        <v>-9403.0303030303039</v>
      </c>
      <c r="K27" s="67">
        <v>0.16666666666666666</v>
      </c>
      <c r="L27" s="67">
        <v>0.20833333333333334</v>
      </c>
      <c r="M27" s="67">
        <v>0.26178010471204188</v>
      </c>
      <c r="N27" s="67">
        <v>0.2356020942408377</v>
      </c>
      <c r="O27" s="67">
        <v>0.36</v>
      </c>
      <c r="P27" s="67">
        <v>0.48888888888888887</v>
      </c>
      <c r="Q27" s="67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14958-5E8F-4F26-BD07-ADB9F1E102F8}">
  <sheetPr codeName="Sheet14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  <row r="26" spans="1:17" x14ac:dyDescent="0.4">
      <c r="A26" s="69">
        <v>23</v>
      </c>
      <c r="B26" s="66">
        <v>-162.70000000000002</v>
      </c>
      <c r="C26" s="66">
        <v>-7.073913043478262</v>
      </c>
      <c r="D26" s="71">
        <v>2.2608695652173911</v>
      </c>
      <c r="E26" s="67">
        <v>0.17391304347826086</v>
      </c>
      <c r="F26" s="67">
        <v>0.43478260869565216</v>
      </c>
      <c r="G26" s="67">
        <v>0.29207920792079206</v>
      </c>
      <c r="H26" s="67">
        <v>0.20297029702970298</v>
      </c>
      <c r="I26" s="68">
        <v>7488.1355932203387</v>
      </c>
      <c r="J26" s="68">
        <v>-7934.1463414634145</v>
      </c>
      <c r="K26" s="67">
        <v>8.6956521739130432E-2</v>
      </c>
      <c r="L26" s="67">
        <v>8.6956521739130432E-2</v>
      </c>
      <c r="M26" s="67">
        <v>0.25247524752475248</v>
      </c>
      <c r="N26" s="67">
        <v>0.19801980198019803</v>
      </c>
      <c r="O26" s="67">
        <v>0.6470588235294118</v>
      </c>
      <c r="P26" s="67">
        <v>0.42499999999999999</v>
      </c>
      <c r="Q26" s="67">
        <v>0.3728813559322034</v>
      </c>
    </row>
    <row r="27" spans="1:17" x14ac:dyDescent="0.4">
      <c r="A27" s="69">
        <v>24</v>
      </c>
      <c r="B27" s="66">
        <v>-163.00000000000003</v>
      </c>
      <c r="C27" s="66">
        <v>-6.7916666666666679</v>
      </c>
      <c r="D27" s="71">
        <v>2.25</v>
      </c>
      <c r="E27" s="67">
        <v>0.16666666666666666</v>
      </c>
      <c r="F27" s="67">
        <v>0.41666666666666669</v>
      </c>
      <c r="G27" s="67">
        <v>0.29523809523809524</v>
      </c>
      <c r="H27" s="67">
        <v>0.19523809523809524</v>
      </c>
      <c r="I27" s="68">
        <v>7233.8709677419356</v>
      </c>
      <c r="J27" s="68">
        <v>-7934.1463414634145</v>
      </c>
      <c r="K27" s="67">
        <v>8.3333333333333329E-2</v>
      </c>
      <c r="L27" s="67">
        <v>8.3333333333333329E-2</v>
      </c>
      <c r="M27" s="67">
        <v>0.26666666666666666</v>
      </c>
      <c r="N27" s="67">
        <v>0.19047619047619047</v>
      </c>
      <c r="O27" s="67">
        <v>0.6071428571428571</v>
      </c>
      <c r="P27" s="67">
        <v>0.42499999999999999</v>
      </c>
      <c r="Q27" s="67">
        <v>0.37096774193548387</v>
      </c>
    </row>
    <row r="28" spans="1:17" x14ac:dyDescent="0.4">
      <c r="A28" s="69">
        <v>25</v>
      </c>
      <c r="B28" s="66">
        <v>-185.00000000000003</v>
      </c>
      <c r="C28" s="66">
        <v>-7.4000000000000012</v>
      </c>
      <c r="D28" s="71">
        <v>2.2799999999999998</v>
      </c>
      <c r="E28" s="67">
        <v>0.16</v>
      </c>
      <c r="F28" s="67">
        <v>0.44</v>
      </c>
      <c r="G28" s="67">
        <v>0.29357798165137616</v>
      </c>
      <c r="H28" s="67">
        <v>0.20183486238532111</v>
      </c>
      <c r="I28" s="68">
        <v>7193.75</v>
      </c>
      <c r="J28" s="68">
        <v>-7665.909090909091</v>
      </c>
      <c r="K28" s="67">
        <v>0.08</v>
      </c>
      <c r="L28" s="67">
        <v>0.08</v>
      </c>
      <c r="M28" s="67">
        <v>0.28440366972477066</v>
      </c>
      <c r="N28" s="67">
        <v>0.18807339449541285</v>
      </c>
      <c r="O28" s="67">
        <v>0.58064516129032262</v>
      </c>
      <c r="P28" s="67">
        <v>0.41463414634146339</v>
      </c>
      <c r="Q28" s="67">
        <v>0.375</v>
      </c>
    </row>
    <row r="29" spans="1:17" x14ac:dyDescent="0.4">
      <c r="A29" s="69">
        <v>26</v>
      </c>
      <c r="B29" s="66">
        <v>-186.00000000000003</v>
      </c>
      <c r="C29" s="66">
        <v>-7.1538461538461551</v>
      </c>
      <c r="D29" s="71">
        <v>2.2692307692307692</v>
      </c>
      <c r="E29" s="67">
        <v>0.15384615384615385</v>
      </c>
      <c r="F29" s="67">
        <v>0.42307692307692307</v>
      </c>
      <c r="G29" s="67">
        <v>0.28444444444444444</v>
      </c>
      <c r="H29" s="67">
        <v>0.19555555555555557</v>
      </c>
      <c r="I29" s="68">
        <v>7193.75</v>
      </c>
      <c r="J29" s="68">
        <v>-7665.909090909091</v>
      </c>
      <c r="K29" s="67">
        <v>7.6923076923076927E-2</v>
      </c>
      <c r="L29" s="67">
        <v>7.6923076923076927E-2</v>
      </c>
      <c r="M29" s="67">
        <v>0.28000000000000003</v>
      </c>
      <c r="N29" s="67">
        <v>0.18666666666666668</v>
      </c>
      <c r="O29" s="67">
        <v>0.5714285714285714</v>
      </c>
      <c r="P29" s="67">
        <v>0.40476190476190477</v>
      </c>
      <c r="Q29" s="67">
        <v>0.375</v>
      </c>
    </row>
    <row r="30" spans="1:17" x14ac:dyDescent="0.4">
      <c r="A30" s="69">
        <v>27</v>
      </c>
      <c r="B30" s="66">
        <v>-163.00000000000003</v>
      </c>
      <c r="C30" s="66">
        <v>-6.0370370370370381</v>
      </c>
      <c r="D30" s="71">
        <v>2.2222222222222223</v>
      </c>
      <c r="E30" s="67">
        <v>0.18518518518518517</v>
      </c>
      <c r="F30" s="67">
        <v>0.40740740740740738</v>
      </c>
      <c r="G30" s="67">
        <v>0.28755364806866951</v>
      </c>
      <c r="H30" s="67">
        <v>0.19313304721030042</v>
      </c>
      <c r="I30" s="68">
        <v>7349.253731343284</v>
      </c>
      <c r="J30" s="68">
        <v>-7762.2222222222226</v>
      </c>
      <c r="K30" s="67">
        <v>7.407407407407407E-2</v>
      </c>
      <c r="L30" s="67">
        <v>7.407407407407407E-2</v>
      </c>
      <c r="M30" s="67">
        <v>0.27896995708154504</v>
      </c>
      <c r="N30" s="67">
        <v>0.19313304721030042</v>
      </c>
      <c r="O30" s="67">
        <v>0.56923076923076921</v>
      </c>
      <c r="P30" s="67">
        <v>0.42222222222222222</v>
      </c>
      <c r="Q30" s="67">
        <v>0.38805970149253732</v>
      </c>
    </row>
    <row r="31" spans="1:17" x14ac:dyDescent="0.4">
      <c r="A31" s="69">
        <v>28</v>
      </c>
      <c r="B31" s="66">
        <v>-181.70000000000002</v>
      </c>
      <c r="C31" s="66">
        <v>-6.4892857142857148</v>
      </c>
      <c r="D31" s="71">
        <v>2.2142857142857144</v>
      </c>
      <c r="E31" s="67">
        <v>0.17857142857142858</v>
      </c>
      <c r="F31" s="67">
        <v>0.39285714285714285</v>
      </c>
      <c r="G31" s="67">
        <v>0.2863070539419087</v>
      </c>
      <c r="H31" s="67">
        <v>0.1908713692946058</v>
      </c>
      <c r="I31" s="68">
        <v>7308.695652173913</v>
      </c>
      <c r="J31" s="68">
        <v>-7678.260869565217</v>
      </c>
      <c r="K31" s="67">
        <v>7.1428571428571425E-2</v>
      </c>
      <c r="L31" s="67">
        <v>7.1428571428571425E-2</v>
      </c>
      <c r="M31" s="67">
        <v>0.27800829875518673</v>
      </c>
      <c r="N31" s="67">
        <v>0.18672199170124482</v>
      </c>
      <c r="O31" s="67">
        <v>0.58208955223880599</v>
      </c>
      <c r="P31" s="67">
        <v>0.42222222222222222</v>
      </c>
      <c r="Q31" s="67">
        <v>0.37681159420289856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2DFAF-9FF1-4207-9802-2BF3EA40042D}">
  <sheetPr codeName="Sheet12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  <row r="44" spans="1:17" x14ac:dyDescent="0.4">
      <c r="A44" s="69">
        <v>41</v>
      </c>
      <c r="B44" s="66">
        <v>131.59999999999991</v>
      </c>
      <c r="C44" s="66">
        <v>3.2097560975609736</v>
      </c>
      <c r="D44" s="71">
        <v>1.9268292682926829</v>
      </c>
      <c r="E44" s="67">
        <v>0.34146341463414637</v>
      </c>
      <c r="F44" s="67">
        <v>0.26829268292682928</v>
      </c>
      <c r="G44" s="67">
        <v>0.31129476584022037</v>
      </c>
      <c r="H44" s="67">
        <v>0.20110192837465565</v>
      </c>
      <c r="I44" s="68">
        <v>8772.5663716814161</v>
      </c>
      <c r="J44" s="68">
        <v>-7690.41095890411</v>
      </c>
      <c r="K44" s="67">
        <v>0.14634146341463414</v>
      </c>
      <c r="L44" s="67">
        <v>0.14634146341463414</v>
      </c>
      <c r="M44" s="67">
        <v>0.21487603305785125</v>
      </c>
      <c r="N44" s="67">
        <v>0.33608815426997246</v>
      </c>
      <c r="O44" s="67">
        <v>0.5641025641025641</v>
      </c>
      <c r="P44" s="67">
        <v>0.39344262295081966</v>
      </c>
      <c r="Q44" s="67">
        <v>0.36283185840707965</v>
      </c>
    </row>
    <row r="45" spans="1:17" x14ac:dyDescent="0.4">
      <c r="A45" s="69">
        <v>42</v>
      </c>
      <c r="B45" s="66">
        <v>183.6999999999999</v>
      </c>
      <c r="C45" s="66">
        <v>4.3738095238095216</v>
      </c>
      <c r="D45" s="71">
        <v>1.9047619047619047</v>
      </c>
      <c r="E45" s="67">
        <v>0.35714285714285715</v>
      </c>
      <c r="F45" s="67">
        <v>0.26190476190476192</v>
      </c>
      <c r="G45" s="67">
        <v>0.31818181818181818</v>
      </c>
      <c r="H45" s="67">
        <v>0.19786096256684493</v>
      </c>
      <c r="I45" s="68">
        <v>8828.5714285714294</v>
      </c>
      <c r="J45" s="68">
        <v>-7629.72972972973</v>
      </c>
      <c r="K45" s="67">
        <v>0.14285714285714285</v>
      </c>
      <c r="L45" s="67">
        <v>0.16666666666666666</v>
      </c>
      <c r="M45" s="67">
        <v>0.22192513368983957</v>
      </c>
      <c r="N45" s="67">
        <v>0.33155080213903743</v>
      </c>
      <c r="O45" s="67">
        <v>0.57831325301204817</v>
      </c>
      <c r="P45" s="67">
        <v>0.40322580645161288</v>
      </c>
      <c r="Q45" s="67">
        <v>0.37815126050420167</v>
      </c>
    </row>
    <row r="46" spans="1:17" x14ac:dyDescent="0.4">
      <c r="A46" s="69">
        <v>43</v>
      </c>
      <c r="B46" s="66">
        <v>211.89999999999989</v>
      </c>
      <c r="C46" s="66">
        <v>4.9279069767441834</v>
      </c>
      <c r="D46" s="71">
        <v>1.8837209302325582</v>
      </c>
      <c r="E46" s="67">
        <v>0.37209302325581395</v>
      </c>
      <c r="F46" s="67">
        <v>0.2558139534883721</v>
      </c>
      <c r="G46" s="67">
        <v>0.32105263157894737</v>
      </c>
      <c r="H46" s="67">
        <v>0.2</v>
      </c>
      <c r="I46" s="68">
        <v>8802.4590163934427</v>
      </c>
      <c r="J46" s="68">
        <v>-7548.6842105263158</v>
      </c>
      <c r="K46" s="67">
        <v>0.13953488372093023</v>
      </c>
      <c r="L46" s="67">
        <v>0.16279069767441862</v>
      </c>
      <c r="M46" s="67">
        <v>0.22894736842105262</v>
      </c>
      <c r="N46" s="67">
        <v>0.32894736842105265</v>
      </c>
      <c r="O46" s="67">
        <v>0.57471264367816088</v>
      </c>
      <c r="P46" s="67">
        <v>0.4</v>
      </c>
      <c r="Q46" s="67">
        <v>0.39344262295081966</v>
      </c>
    </row>
    <row r="47" spans="1:17" x14ac:dyDescent="0.4">
      <c r="A47" s="69">
        <v>44</v>
      </c>
      <c r="B47" s="66">
        <v>232.7999999999999</v>
      </c>
      <c r="C47" s="66">
        <v>5.2909090909090883</v>
      </c>
      <c r="D47" s="71">
        <v>1.8636363636363635</v>
      </c>
      <c r="E47" s="67">
        <v>0.38636363636363635</v>
      </c>
      <c r="F47" s="67">
        <v>0.25</v>
      </c>
      <c r="G47" s="67">
        <v>0.32474226804123713</v>
      </c>
      <c r="H47" s="67">
        <v>0.19587628865979381</v>
      </c>
      <c r="I47" s="68">
        <v>8659.5238095238092</v>
      </c>
      <c r="J47" s="68">
        <v>-7548.6842105263158</v>
      </c>
      <c r="K47" s="67">
        <v>0.13636363636363635</v>
      </c>
      <c r="L47" s="67">
        <v>0.15909090909090909</v>
      </c>
      <c r="M47" s="67">
        <v>0.23195876288659795</v>
      </c>
      <c r="N47" s="67">
        <v>0.32731958762886598</v>
      </c>
      <c r="O47" s="67">
        <v>0.57777777777777772</v>
      </c>
      <c r="P47" s="67">
        <v>0.40157480314960631</v>
      </c>
      <c r="Q47" s="67">
        <v>0.38095238095238093</v>
      </c>
    </row>
    <row r="48" spans="1:17" x14ac:dyDescent="0.4">
      <c r="A48" s="69">
        <v>45</v>
      </c>
      <c r="B48" s="66">
        <v>214.39999999999989</v>
      </c>
      <c r="C48" s="66">
        <v>4.7644444444444423</v>
      </c>
      <c r="D48" s="71">
        <v>1.8888888888888888</v>
      </c>
      <c r="E48" s="67">
        <v>0.37777777777777777</v>
      </c>
      <c r="F48" s="67">
        <v>0.26666666666666666</v>
      </c>
      <c r="G48" s="67">
        <v>0.32151898734177214</v>
      </c>
      <c r="H48" s="67">
        <v>0.20253164556962025</v>
      </c>
      <c r="I48" s="68">
        <v>8654.3307086614168</v>
      </c>
      <c r="J48" s="68">
        <v>-7338.75</v>
      </c>
      <c r="K48" s="67">
        <v>0.13333333333333333</v>
      </c>
      <c r="L48" s="67">
        <v>0.15555555555555556</v>
      </c>
      <c r="M48" s="67">
        <v>0.23291139240506328</v>
      </c>
      <c r="N48" s="67">
        <v>0.32658227848101268</v>
      </c>
      <c r="O48" s="67">
        <v>0.56521739130434778</v>
      </c>
      <c r="P48" s="67">
        <v>0.40310077519379844</v>
      </c>
      <c r="Q48" s="67">
        <v>0.37795275590551181</v>
      </c>
    </row>
    <row r="49" spans="1:17" x14ac:dyDescent="0.4">
      <c r="A49" s="69">
        <v>46</v>
      </c>
      <c r="B49" s="66">
        <v>215.39999999999989</v>
      </c>
      <c r="C49" s="66">
        <v>4.6826086956521715</v>
      </c>
      <c r="D49" s="71">
        <v>1.8913043478260869</v>
      </c>
      <c r="E49" s="67">
        <v>0.36956521739130432</v>
      </c>
      <c r="F49" s="67">
        <v>0.2608695652173913</v>
      </c>
      <c r="G49" s="67">
        <v>0.31761786600496278</v>
      </c>
      <c r="H49" s="67">
        <v>0.20099255583126552</v>
      </c>
      <c r="I49" s="68">
        <v>8727.34375</v>
      </c>
      <c r="J49" s="68">
        <v>-7396.2962962962965</v>
      </c>
      <c r="K49" s="67">
        <v>0.13043478260869565</v>
      </c>
      <c r="L49" s="67">
        <v>0.15217391304347827</v>
      </c>
      <c r="M49" s="67">
        <v>0.23325062034739455</v>
      </c>
      <c r="N49" s="67">
        <v>0.32754342431761785</v>
      </c>
      <c r="O49" s="67">
        <v>0.55319148936170215</v>
      </c>
      <c r="P49" s="67">
        <v>0.40151515151515149</v>
      </c>
      <c r="Q49" s="67">
        <v>0.375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C2253-EF6D-44F6-A565-F7770A1F9B48}">
  <sheetPr codeName="Sheet10"/>
  <dimension ref="A1:Q4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  <row r="43" spans="1:17" x14ac:dyDescent="0.4">
      <c r="A43" s="69">
        <v>40</v>
      </c>
      <c r="B43" s="66">
        <v>398.79999999999984</v>
      </c>
      <c r="C43" s="66">
        <v>9.9699999999999953</v>
      </c>
      <c r="D43" s="71">
        <v>1.7250000000000001</v>
      </c>
      <c r="E43" s="67">
        <v>0.52500000000000002</v>
      </c>
      <c r="F43" s="67">
        <v>0.25</v>
      </c>
      <c r="G43" s="67">
        <v>0.33819241982507287</v>
      </c>
      <c r="H43" s="67">
        <v>0.13119533527696792</v>
      </c>
      <c r="I43" s="68">
        <v>8048.2758620689656</v>
      </c>
      <c r="J43" s="68">
        <v>-7595.5555555555557</v>
      </c>
      <c r="K43" s="67">
        <v>0.05</v>
      </c>
      <c r="L43" s="67">
        <v>0.1</v>
      </c>
      <c r="M43" s="67">
        <v>0.24489795918367346</v>
      </c>
      <c r="N43" s="67">
        <v>0.22157434402332363</v>
      </c>
      <c r="O43" s="67">
        <v>0.61904761904761907</v>
      </c>
      <c r="P43" s="67">
        <v>0.52631578947368418</v>
      </c>
      <c r="Q43" s="67">
        <v>0.43103448275862066</v>
      </c>
    </row>
    <row r="44" spans="1:17" x14ac:dyDescent="0.4">
      <c r="A44" s="69">
        <v>41</v>
      </c>
      <c r="B44" s="66">
        <v>399.89999999999986</v>
      </c>
      <c r="C44" s="66">
        <v>9.7536585365853625</v>
      </c>
      <c r="D44" s="71">
        <v>1.7317073170731707</v>
      </c>
      <c r="E44" s="67">
        <v>0.51219512195121952</v>
      </c>
      <c r="F44" s="67">
        <v>0.24390243902439024</v>
      </c>
      <c r="G44" s="67">
        <v>0.33618233618233617</v>
      </c>
      <c r="H44" s="67">
        <v>0.13390313390313391</v>
      </c>
      <c r="I44" s="68">
        <v>8032.2033898305081</v>
      </c>
      <c r="J44" s="68">
        <v>-7465.9574468085102</v>
      </c>
      <c r="K44" s="67">
        <v>4.878048780487805E-2</v>
      </c>
      <c r="L44" s="67">
        <v>9.7560975609756101E-2</v>
      </c>
      <c r="M44" s="67">
        <v>0.24501424501424501</v>
      </c>
      <c r="N44" s="67">
        <v>0.21652421652421652</v>
      </c>
      <c r="O44" s="67">
        <v>0.61627906976744184</v>
      </c>
      <c r="P44" s="67">
        <v>0.52631578947368418</v>
      </c>
      <c r="Q44" s="67">
        <v>0.44067796610169491</v>
      </c>
    </row>
    <row r="45" spans="1:17" x14ac:dyDescent="0.4">
      <c r="A45" s="69">
        <v>42</v>
      </c>
      <c r="B45" s="66">
        <v>419.29999999999984</v>
      </c>
      <c r="C45" s="66">
        <v>9.983333333333329</v>
      </c>
      <c r="D45" s="71">
        <v>1.7142857142857142</v>
      </c>
      <c r="E45" s="67">
        <v>0.52380952380952384</v>
      </c>
      <c r="F45" s="67">
        <v>0.23809523809523808</v>
      </c>
      <c r="G45" s="67">
        <v>0.34078212290502791</v>
      </c>
      <c r="H45" s="67">
        <v>0.13407821229050279</v>
      </c>
      <c r="I45" s="68">
        <v>7878.688524590164</v>
      </c>
      <c r="J45" s="68">
        <v>-7477.083333333333</v>
      </c>
      <c r="K45" s="67">
        <v>4.7619047619047616E-2</v>
      </c>
      <c r="L45" s="67">
        <v>9.5238095238095233E-2</v>
      </c>
      <c r="M45" s="67">
        <v>0.25139664804469275</v>
      </c>
      <c r="N45" s="67">
        <v>0.21508379888268156</v>
      </c>
      <c r="O45" s="67">
        <v>0.61111111111111116</v>
      </c>
      <c r="P45" s="67">
        <v>0.53246753246753242</v>
      </c>
      <c r="Q45" s="67">
        <v>0.42622950819672129</v>
      </c>
    </row>
    <row r="46" spans="1:17" x14ac:dyDescent="0.4">
      <c r="A46" s="69">
        <v>43</v>
      </c>
      <c r="B46" s="66">
        <v>424.79999999999984</v>
      </c>
      <c r="C46" s="66">
        <v>9.8790697674418571</v>
      </c>
      <c r="D46" s="71">
        <v>1.7209302325581395</v>
      </c>
      <c r="E46" s="67">
        <v>0.51162790697674421</v>
      </c>
      <c r="F46" s="67">
        <v>0.23255813953488372</v>
      </c>
      <c r="G46" s="67">
        <v>0.34426229508196721</v>
      </c>
      <c r="H46" s="67">
        <v>0.13387978142076504</v>
      </c>
      <c r="I46" s="68">
        <v>7830.9523809523807</v>
      </c>
      <c r="J46" s="68">
        <v>-7651.0204081632655</v>
      </c>
      <c r="K46" s="67">
        <v>4.6511627906976744E-2</v>
      </c>
      <c r="L46" s="67">
        <v>9.3023255813953487E-2</v>
      </c>
      <c r="M46" s="67">
        <v>0.25136612021857924</v>
      </c>
      <c r="N46" s="67">
        <v>0.22131147540983606</v>
      </c>
      <c r="O46" s="67">
        <v>0.60869565217391308</v>
      </c>
      <c r="P46" s="67">
        <v>0.54320987654320985</v>
      </c>
      <c r="Q46" s="67">
        <v>0.41269841269841268</v>
      </c>
    </row>
    <row r="47" spans="1:17" x14ac:dyDescent="0.4">
      <c r="A47" s="69">
        <v>44</v>
      </c>
      <c r="B47" s="66">
        <v>424.39999999999986</v>
      </c>
      <c r="C47" s="66">
        <v>9.6454545454545428</v>
      </c>
      <c r="D47" s="71">
        <v>1.7272727272727273</v>
      </c>
      <c r="E47" s="67">
        <v>0.5</v>
      </c>
      <c r="F47" s="67">
        <v>0.22727272727272727</v>
      </c>
      <c r="G47" s="67">
        <v>0.34491978609625668</v>
      </c>
      <c r="H47" s="67">
        <v>0.13368983957219252</v>
      </c>
      <c r="I47" s="68">
        <v>7813.1782945736431</v>
      </c>
      <c r="J47" s="68">
        <v>-7730</v>
      </c>
      <c r="K47" s="67">
        <v>4.5454545454545456E-2</v>
      </c>
      <c r="L47" s="67">
        <v>9.0909090909090912E-2</v>
      </c>
      <c r="M47" s="67">
        <v>0.25133689839572193</v>
      </c>
      <c r="N47" s="67">
        <v>0.22459893048128343</v>
      </c>
      <c r="O47" s="67">
        <v>0.6063829787234043</v>
      </c>
      <c r="P47" s="67">
        <v>0.54761904761904767</v>
      </c>
      <c r="Q47" s="67">
        <v>0.41860465116279072</v>
      </c>
    </row>
    <row r="48" spans="1:17" x14ac:dyDescent="0.4">
      <c r="A48" s="69">
        <v>45</v>
      </c>
      <c r="B48" s="66">
        <v>425.69999999999987</v>
      </c>
      <c r="C48" s="66">
        <v>9.4599999999999973</v>
      </c>
      <c r="D48" s="71">
        <v>1.7333333333333334</v>
      </c>
      <c r="E48" s="67">
        <v>0.48888888888888887</v>
      </c>
      <c r="F48" s="67">
        <v>0.22222222222222221</v>
      </c>
      <c r="G48" s="67">
        <v>0.34383202099737531</v>
      </c>
      <c r="H48" s="67">
        <v>0.13123359580052493</v>
      </c>
      <c r="I48" s="68">
        <v>7805.3435114503818</v>
      </c>
      <c r="J48" s="68">
        <v>-7730</v>
      </c>
      <c r="K48" s="67">
        <v>4.4444444444444446E-2</v>
      </c>
      <c r="L48" s="67">
        <v>8.8888888888888892E-2</v>
      </c>
      <c r="M48" s="67">
        <v>0.24934383202099739</v>
      </c>
      <c r="N48" s="67">
        <v>0.22572178477690288</v>
      </c>
      <c r="O48" s="67">
        <v>0.61052631578947369</v>
      </c>
      <c r="P48" s="67">
        <v>0.54651162790697672</v>
      </c>
      <c r="Q48" s="67">
        <v>0.41984732824427479</v>
      </c>
    </row>
    <row r="49" spans="1:17" x14ac:dyDescent="0.4">
      <c r="A49" s="69">
        <v>46</v>
      </c>
      <c r="B49" s="66">
        <v>465.7999999999999</v>
      </c>
      <c r="C49" s="66">
        <v>10.126086956521737</v>
      </c>
      <c r="D49" s="71">
        <v>1.7173913043478262</v>
      </c>
      <c r="E49" s="67">
        <v>0.5</v>
      </c>
      <c r="F49" s="67">
        <v>0.21739130434782608</v>
      </c>
      <c r="G49" s="67">
        <v>0.34961439588688947</v>
      </c>
      <c r="H49" s="67">
        <v>0.12853470437017994</v>
      </c>
      <c r="I49" s="68">
        <v>7780.1470588235297</v>
      </c>
      <c r="J49" s="68">
        <v>-7730</v>
      </c>
      <c r="K49" s="67">
        <v>4.3478260869565216E-2</v>
      </c>
      <c r="L49" s="67">
        <v>8.6956521739130432E-2</v>
      </c>
      <c r="M49" s="67">
        <v>0.25192802056555269</v>
      </c>
      <c r="N49" s="67">
        <v>0.2262210796915167</v>
      </c>
      <c r="O49" s="67">
        <v>0.61224489795918369</v>
      </c>
      <c r="P49" s="67">
        <v>0.55681818181818177</v>
      </c>
      <c r="Q49" s="67">
        <v>0.40441176470588236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34A78-8F62-44D0-9A29-F25FA6283283}">
  <sheetPr codeName="Sheet8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  <row r="23" spans="1:17" x14ac:dyDescent="0.4">
      <c r="A23" s="69">
        <v>20</v>
      </c>
      <c r="B23" s="66">
        <v>-88.8</v>
      </c>
      <c r="C23" s="66">
        <v>-4.4399999999999995</v>
      </c>
      <c r="D23" s="71">
        <v>2.0499999999999998</v>
      </c>
      <c r="E23" s="67">
        <v>0.3</v>
      </c>
      <c r="F23" s="67">
        <v>0.35</v>
      </c>
      <c r="G23" s="67">
        <v>0.24444444444444444</v>
      </c>
      <c r="H23" s="67">
        <v>0.17777777777777778</v>
      </c>
      <c r="I23" s="68">
        <v>7134.090909090909</v>
      </c>
      <c r="J23" s="68">
        <v>-6525</v>
      </c>
      <c r="K23" s="67">
        <v>0</v>
      </c>
      <c r="L23" s="67">
        <v>0</v>
      </c>
      <c r="M23" s="67">
        <v>0.18333333333333332</v>
      </c>
      <c r="N23" s="67">
        <v>0.23333333333333334</v>
      </c>
      <c r="O23" s="67">
        <v>0.54545454545454541</v>
      </c>
      <c r="P23" s="67">
        <v>0.2857142857142857</v>
      </c>
      <c r="Q23" s="67">
        <v>0.52272727272727271</v>
      </c>
    </row>
    <row r="24" spans="1:17" x14ac:dyDescent="0.4">
      <c r="A24" s="69">
        <v>21</v>
      </c>
      <c r="B24" s="66">
        <v>-111.4</v>
      </c>
      <c r="C24" s="66">
        <v>-5.3047619047619055</v>
      </c>
      <c r="D24" s="71">
        <v>2.0952380952380953</v>
      </c>
      <c r="E24" s="67">
        <v>0.2857142857142857</v>
      </c>
      <c r="F24" s="67">
        <v>0.38095238095238093</v>
      </c>
      <c r="G24" s="67">
        <v>0.24468085106382978</v>
      </c>
      <c r="H24" s="67">
        <v>0.18085106382978725</v>
      </c>
      <c r="I24" s="68">
        <v>7336.95652173913</v>
      </c>
      <c r="J24" s="68">
        <v>-6647.0588235294117</v>
      </c>
      <c r="K24" s="67">
        <v>0</v>
      </c>
      <c r="L24" s="67">
        <v>0</v>
      </c>
      <c r="M24" s="67">
        <v>0.18617021276595744</v>
      </c>
      <c r="N24" s="67">
        <v>0.23404255319148937</v>
      </c>
      <c r="O24" s="67">
        <v>0.54285714285714282</v>
      </c>
      <c r="P24" s="67">
        <v>0.29545454545454547</v>
      </c>
      <c r="Q24" s="67">
        <v>0.5</v>
      </c>
    </row>
    <row r="25" spans="1:17" x14ac:dyDescent="0.4">
      <c r="A25" s="69">
        <v>22</v>
      </c>
      <c r="B25" s="66">
        <v>-142.80000000000001</v>
      </c>
      <c r="C25" s="66">
        <v>-6.4909090909090912</v>
      </c>
      <c r="D25" s="71">
        <v>2.1363636363636362</v>
      </c>
      <c r="E25" s="67">
        <v>0.27272727272727271</v>
      </c>
      <c r="F25" s="67">
        <v>0.40909090909090912</v>
      </c>
      <c r="G25" s="67">
        <v>0.25510204081632654</v>
      </c>
      <c r="H25" s="67">
        <v>0.18367346938775511</v>
      </c>
      <c r="I25" s="68">
        <v>7004</v>
      </c>
      <c r="J25" s="68">
        <v>-6530.5555555555557</v>
      </c>
      <c r="K25" s="67">
        <v>0</v>
      </c>
      <c r="L25" s="67">
        <v>0</v>
      </c>
      <c r="M25" s="67">
        <v>0.18367346938775511</v>
      </c>
      <c r="N25" s="67">
        <v>0.22448979591836735</v>
      </c>
      <c r="O25" s="67">
        <v>0.52777777777777779</v>
      </c>
      <c r="P25" s="67">
        <v>0.29545454545454547</v>
      </c>
      <c r="Q25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58231-5E7B-4898-B2DE-74C995AE30F8}">
  <sheetPr codeName="Sheet6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  <row r="64" spans="1:17" x14ac:dyDescent="0.4">
      <c r="A64" s="69">
        <v>61</v>
      </c>
      <c r="B64" s="66">
        <v>-4.2632564145606011E-14</v>
      </c>
      <c r="C64" s="66">
        <v>-2.3296483139675417E-16</v>
      </c>
      <c r="D64" s="71">
        <v>2</v>
      </c>
      <c r="E64" s="67">
        <v>0.33333333333333331</v>
      </c>
      <c r="F64" s="67">
        <v>0.33333333333333331</v>
      </c>
      <c r="G64" s="67">
        <v>0.29174425822470518</v>
      </c>
      <c r="H64" s="67">
        <v>0.17194289261328369</v>
      </c>
      <c r="I64" s="68">
        <v>8257.8723404255325</v>
      </c>
      <c r="J64" s="68">
        <v>-7916.2454873646211</v>
      </c>
      <c r="K64" s="67">
        <v>0.11475409836065574</v>
      </c>
      <c r="L64" s="67">
        <v>0.11475409836065574</v>
      </c>
      <c r="M64" s="67">
        <v>0.23711980136561142</v>
      </c>
      <c r="N64" s="67">
        <v>0.25139664804469275</v>
      </c>
      <c r="O64" s="67">
        <v>0.55759162303664922</v>
      </c>
      <c r="P64" s="67">
        <v>0.42222222222222222</v>
      </c>
      <c r="Q64" s="67">
        <v>0.40851063829787232</v>
      </c>
    </row>
    <row r="65" spans="1:17" x14ac:dyDescent="0.4">
      <c r="A65" s="69">
        <v>62</v>
      </c>
      <c r="B65" s="66">
        <v>-3.5527136788005009E-14</v>
      </c>
      <c r="C65" s="66">
        <v>-1.9100611176346779E-16</v>
      </c>
      <c r="D65" s="71">
        <v>2</v>
      </c>
      <c r="E65" s="67">
        <v>0.33333333333333331</v>
      </c>
      <c r="F65" s="67">
        <v>0.33333333333333331</v>
      </c>
      <c r="G65" s="67">
        <v>0.2922794117647059</v>
      </c>
      <c r="H65" s="67">
        <v>0.17156862745098039</v>
      </c>
      <c r="I65" s="68">
        <v>8272.9559748427673</v>
      </c>
      <c r="J65" s="68">
        <v>-7906.4285714285716</v>
      </c>
      <c r="K65" s="67">
        <v>0.11290322580645161</v>
      </c>
      <c r="L65" s="67">
        <v>0.11290322580645161</v>
      </c>
      <c r="M65" s="67">
        <v>0.23897058823529413</v>
      </c>
      <c r="N65" s="67">
        <v>0.25</v>
      </c>
      <c r="O65" s="67">
        <v>0.55897435897435899</v>
      </c>
      <c r="P65" s="67">
        <v>0.42156862745098039</v>
      </c>
      <c r="Q65" s="67">
        <v>0.41090146750524109</v>
      </c>
    </row>
    <row r="66" spans="1:17" x14ac:dyDescent="0.4">
      <c r="A66" s="69">
        <v>63</v>
      </c>
      <c r="B66" s="66">
        <v>-4.2632564145606011E-14</v>
      </c>
      <c r="C66" s="66">
        <v>-2.2556912246352386E-16</v>
      </c>
      <c r="D66" s="71">
        <v>2</v>
      </c>
      <c r="E66" s="67">
        <v>0.33333333333333331</v>
      </c>
      <c r="F66" s="67">
        <v>0.33333333333333331</v>
      </c>
      <c r="G66" s="67">
        <v>0.2922705314009662</v>
      </c>
      <c r="H66" s="67">
        <v>0.17028985507246377</v>
      </c>
      <c r="I66" s="68">
        <v>8286.5702479338852</v>
      </c>
      <c r="J66" s="68">
        <v>-7896.0992907801419</v>
      </c>
      <c r="K66" s="67">
        <v>0.1111111111111111</v>
      </c>
      <c r="L66" s="67">
        <v>0.1111111111111111</v>
      </c>
      <c r="M66" s="67">
        <v>0.23973429951690822</v>
      </c>
      <c r="N66" s="67">
        <v>0.24879227053140096</v>
      </c>
      <c r="O66" s="67">
        <v>0.5617128463476071</v>
      </c>
      <c r="P66" s="67">
        <v>0.4199029126213592</v>
      </c>
      <c r="Q66" s="67">
        <v>0.41528925619834711</v>
      </c>
    </row>
    <row r="67" spans="1:17" x14ac:dyDescent="0.4">
      <c r="A67" s="69">
        <v>64</v>
      </c>
      <c r="B67" s="66">
        <v>-4.1910919179599659E-14</v>
      </c>
      <c r="C67" s="66">
        <v>-2.1828603739374822E-16</v>
      </c>
      <c r="D67" s="71">
        <v>2</v>
      </c>
      <c r="E67" s="67">
        <v>0.33333333333333331</v>
      </c>
      <c r="F67" s="67">
        <v>0.33333333333333331</v>
      </c>
      <c r="G67" s="67">
        <v>0.29166666666666669</v>
      </c>
      <c r="H67" s="67">
        <v>0.16964285714285715</v>
      </c>
      <c r="I67" s="68">
        <v>8231.6326530612241</v>
      </c>
      <c r="J67" s="68">
        <v>-7857.1929824561403</v>
      </c>
      <c r="K67" s="67">
        <v>0.109375</v>
      </c>
      <c r="L67" s="67">
        <v>0.109375</v>
      </c>
      <c r="M67" s="67">
        <v>0.24166666666666667</v>
      </c>
      <c r="N67" s="67">
        <v>0.24821428571428572</v>
      </c>
      <c r="O67" s="67">
        <v>0.55418719211822665</v>
      </c>
      <c r="P67" s="67">
        <v>0.41726618705035973</v>
      </c>
      <c r="Q67" s="67">
        <v>0.41632653061224489</v>
      </c>
    </row>
    <row r="68" spans="1:17" x14ac:dyDescent="0.4">
      <c r="A68" s="69">
        <v>65</v>
      </c>
      <c r="B68" s="66">
        <v>-3.5527136788005009E-14</v>
      </c>
      <c r="C68" s="66">
        <v>-1.8219044506669235E-16</v>
      </c>
      <c r="D68" s="71">
        <v>2</v>
      </c>
      <c r="E68" s="67">
        <v>0.33333333333333331</v>
      </c>
      <c r="F68" s="67">
        <v>0.33333333333333331</v>
      </c>
      <c r="G68" s="67">
        <v>0.29246935201401053</v>
      </c>
      <c r="H68" s="67">
        <v>0.16929363689433741</v>
      </c>
      <c r="I68" s="68">
        <v>8289.2215568862284</v>
      </c>
      <c r="J68" s="68">
        <v>-7873.7931034482763</v>
      </c>
      <c r="K68" s="67">
        <v>0.11282051282051282</v>
      </c>
      <c r="L68" s="67">
        <v>0.11282051282051282</v>
      </c>
      <c r="M68" s="67">
        <v>0.24460011675423235</v>
      </c>
      <c r="N68" s="67">
        <v>0.24576765907764156</v>
      </c>
      <c r="O68" s="67">
        <v>0.55369928400954649</v>
      </c>
      <c r="P68" s="67">
        <v>0.42280285035629456</v>
      </c>
      <c r="Q68" s="67">
        <v>0.41916167664670656</v>
      </c>
    </row>
    <row r="69" spans="1:17" x14ac:dyDescent="0.4">
      <c r="A69" s="69">
        <v>66</v>
      </c>
      <c r="B69" s="66">
        <v>-3.907985046680551E-14</v>
      </c>
      <c r="C69" s="66">
        <v>-1.9737298215558337E-16</v>
      </c>
      <c r="D69" s="71">
        <v>2</v>
      </c>
      <c r="E69" s="67">
        <v>0.33333333333333331</v>
      </c>
      <c r="F69" s="67">
        <v>0.33333333333333331</v>
      </c>
      <c r="G69" s="67">
        <v>0.29231658001155403</v>
      </c>
      <c r="H69" s="67">
        <v>0.16868861929520509</v>
      </c>
      <c r="I69" s="68">
        <v>8271.3438735177861</v>
      </c>
      <c r="J69" s="68">
        <v>-7851.0273972602736</v>
      </c>
      <c r="K69" s="67">
        <v>0.1111111111111111</v>
      </c>
      <c r="L69" s="67">
        <v>0.1111111111111111</v>
      </c>
      <c r="M69" s="67">
        <v>0.24610051993067592</v>
      </c>
      <c r="N69" s="67">
        <v>0.24610051993067592</v>
      </c>
      <c r="O69" s="67">
        <v>0.55164319248826288</v>
      </c>
      <c r="P69" s="67">
        <v>0.42018779342723006</v>
      </c>
      <c r="Q69" s="67">
        <v>0.42094861660079053</v>
      </c>
    </row>
    <row r="70" spans="1:17" x14ac:dyDescent="0.4">
      <c r="A70" s="69">
        <v>67</v>
      </c>
      <c r="B70" s="66">
        <v>-3.907985046680551E-14</v>
      </c>
      <c r="C70" s="66">
        <v>-1.9442711675027617E-16</v>
      </c>
      <c r="D70" s="71">
        <v>2</v>
      </c>
      <c r="E70" s="67">
        <v>0.33333333333333331</v>
      </c>
      <c r="F70" s="67">
        <v>0.33333333333333331</v>
      </c>
      <c r="G70" s="67">
        <v>0.29287749287749287</v>
      </c>
      <c r="H70" s="67">
        <v>0.16923076923076924</v>
      </c>
      <c r="I70" s="68">
        <v>8226.8482490272381</v>
      </c>
      <c r="J70" s="68">
        <v>-7789.8989898989903</v>
      </c>
      <c r="K70" s="67">
        <v>0.10945273631840796</v>
      </c>
      <c r="L70" s="67">
        <v>0.10945273631840796</v>
      </c>
      <c r="M70" s="67">
        <v>0.249002849002849</v>
      </c>
      <c r="N70" s="67">
        <v>0.24444444444444444</v>
      </c>
      <c r="O70" s="67">
        <v>0.54919908466819223</v>
      </c>
      <c r="P70" s="67">
        <v>0.41958041958041958</v>
      </c>
      <c r="Q70" s="67">
        <v>0.42023346303501946</v>
      </c>
    </row>
    <row r="71" spans="1:17" x14ac:dyDescent="0.4">
      <c r="A71" s="69">
        <v>68</v>
      </c>
      <c r="B71" s="66">
        <v>-3.907985046680551E-14</v>
      </c>
      <c r="C71" s="66">
        <v>-1.9156789444512506E-16</v>
      </c>
      <c r="D71" s="71">
        <v>2</v>
      </c>
      <c r="E71" s="67">
        <v>0.33333333333333331</v>
      </c>
      <c r="F71" s="67">
        <v>0.33333333333333331</v>
      </c>
      <c r="G71" s="67">
        <v>0.29222972972972971</v>
      </c>
      <c r="H71" s="67">
        <v>0.17004504504504506</v>
      </c>
      <c r="I71" s="68">
        <v>8188.8246628131019</v>
      </c>
      <c r="J71" s="68">
        <v>-7731.7880794701987</v>
      </c>
      <c r="K71" s="67">
        <v>0.10784313725490197</v>
      </c>
      <c r="L71" s="67">
        <v>0.10784313725490197</v>
      </c>
      <c r="M71" s="67">
        <v>0.25</v>
      </c>
      <c r="N71" s="67">
        <v>0.24380630630630631</v>
      </c>
      <c r="O71" s="67">
        <v>0.54504504504504503</v>
      </c>
      <c r="P71" s="67">
        <v>0.42032332563510394</v>
      </c>
      <c r="Q71" s="67">
        <v>0.41618497109826591</v>
      </c>
    </row>
    <row r="72" spans="1:17" x14ac:dyDescent="0.4">
      <c r="A72" s="69">
        <v>69</v>
      </c>
      <c r="B72" s="66">
        <v>-4.2632564145606011E-14</v>
      </c>
      <c r="C72" s="66">
        <v>-2.0595441616234788E-16</v>
      </c>
      <c r="D72" s="71">
        <v>2</v>
      </c>
      <c r="E72" s="67">
        <v>0.33333333333333331</v>
      </c>
      <c r="F72" s="67">
        <v>0.33333333333333331</v>
      </c>
      <c r="G72" s="67">
        <v>0.29104062326099056</v>
      </c>
      <c r="H72" s="67">
        <v>0.16917084028937118</v>
      </c>
      <c r="I72" s="68">
        <v>8184.8948374760994</v>
      </c>
      <c r="J72" s="68">
        <v>-7712.8289473684208</v>
      </c>
      <c r="K72" s="67">
        <v>0.1111111111111111</v>
      </c>
      <c r="L72" s="67">
        <v>0.1111111111111111</v>
      </c>
      <c r="M72" s="67">
        <v>0.24930439621591541</v>
      </c>
      <c r="N72" s="67">
        <v>0.24429604897050641</v>
      </c>
      <c r="O72" s="67">
        <v>0.5424107142857143</v>
      </c>
      <c r="P72" s="67">
        <v>0.4191343963553531</v>
      </c>
      <c r="Q72" s="67">
        <v>0.4168260038240918</v>
      </c>
    </row>
    <row r="73" spans="1:17" x14ac:dyDescent="0.4">
      <c r="A73" s="69">
        <v>70</v>
      </c>
      <c r="B73" s="66">
        <v>-4.0856207306205761E-14</v>
      </c>
      <c r="C73" s="66">
        <v>-1.9455336812478934E-16</v>
      </c>
      <c r="D73" s="71">
        <v>2</v>
      </c>
      <c r="E73" s="67">
        <v>0.33333333333333331</v>
      </c>
      <c r="F73" s="67">
        <v>0.33333333333333331</v>
      </c>
      <c r="G73" s="67">
        <v>0.29152915291529152</v>
      </c>
      <c r="H73" s="67">
        <v>0.1694169416941694</v>
      </c>
      <c r="I73" s="68">
        <v>8170.7547169811323</v>
      </c>
      <c r="J73" s="68">
        <v>-7715.5844155844152</v>
      </c>
      <c r="K73" s="67">
        <v>0.11428571428571428</v>
      </c>
      <c r="L73" s="67">
        <v>0.11428571428571428</v>
      </c>
      <c r="M73" s="67">
        <v>0.24972497249724973</v>
      </c>
      <c r="N73" s="67">
        <v>0.24532453245324531</v>
      </c>
      <c r="O73" s="67">
        <v>0.54185022026431717</v>
      </c>
      <c r="P73" s="67">
        <v>0.42152466367713004</v>
      </c>
      <c r="Q73" s="67">
        <v>0.41509433962264153</v>
      </c>
    </row>
    <row r="74" spans="1:17" x14ac:dyDescent="0.4">
      <c r="A74" s="69">
        <v>71</v>
      </c>
      <c r="B74" s="66">
        <v>-3.907985046680551E-14</v>
      </c>
      <c r="C74" s="66">
        <v>-1.8347347636997893E-16</v>
      </c>
      <c r="D74" s="71">
        <v>2</v>
      </c>
      <c r="E74" s="67">
        <v>0.33333333333333331</v>
      </c>
      <c r="F74" s="67">
        <v>0.33333333333333331</v>
      </c>
      <c r="G74" s="67">
        <v>0.29207383279044519</v>
      </c>
      <c r="H74" s="67">
        <v>0.17046688382193267</v>
      </c>
      <c r="I74" s="68">
        <v>8153.7174721189594</v>
      </c>
      <c r="J74" s="68">
        <v>-7724.8407643312103</v>
      </c>
      <c r="K74" s="67">
        <v>0.11267605633802817</v>
      </c>
      <c r="L74" s="67">
        <v>0.11267605633802817</v>
      </c>
      <c r="M74" s="67">
        <v>0.24755700325732899</v>
      </c>
      <c r="N74" s="67">
        <v>0.24755700325732899</v>
      </c>
      <c r="O74" s="67">
        <v>0.54166666666666663</v>
      </c>
      <c r="P74" s="67">
        <v>0.4232456140350877</v>
      </c>
      <c r="Q74" s="67">
        <v>0.41263940520446096</v>
      </c>
    </row>
    <row r="75" spans="1:17" x14ac:dyDescent="0.4">
      <c r="A75" s="69">
        <v>72</v>
      </c>
      <c r="B75" s="66">
        <v>-3.907985046680551E-14</v>
      </c>
      <c r="C75" s="66">
        <v>-1.8092523364261809E-16</v>
      </c>
      <c r="D75" s="71">
        <v>2</v>
      </c>
      <c r="E75" s="67">
        <v>0.33333333333333331</v>
      </c>
      <c r="F75" s="67">
        <v>0.33333333333333331</v>
      </c>
      <c r="G75" s="67">
        <v>0.29260450160771706</v>
      </c>
      <c r="H75" s="67">
        <v>0.17041800643086816</v>
      </c>
      <c r="I75" s="68">
        <v>8174.9084249084253</v>
      </c>
      <c r="J75" s="68">
        <v>-7755.9748427672957</v>
      </c>
      <c r="K75" s="67">
        <v>0.1111111111111111</v>
      </c>
      <c r="L75" s="67">
        <v>0.1111111111111111</v>
      </c>
      <c r="M75" s="67">
        <v>0.24758842443729903</v>
      </c>
      <c r="N75" s="67">
        <v>0.24866023579849947</v>
      </c>
      <c r="O75" s="67">
        <v>0.54112554112554112</v>
      </c>
      <c r="P75" s="67">
        <v>0.42672413793103448</v>
      </c>
      <c r="Q75" s="67">
        <v>0.41391941391941389</v>
      </c>
    </row>
    <row r="76" spans="1:17" x14ac:dyDescent="0.4">
      <c r="A76" s="69">
        <v>73</v>
      </c>
      <c r="B76" s="66">
        <v>-3.5527136788005009E-14</v>
      </c>
      <c r="C76" s="66">
        <v>-1.6222436889500003E-16</v>
      </c>
      <c r="D76" s="71">
        <v>2</v>
      </c>
      <c r="E76" s="67">
        <v>0.33333333333333331</v>
      </c>
      <c r="F76" s="67">
        <v>0.33333333333333331</v>
      </c>
      <c r="G76" s="67">
        <v>0.29312169312169312</v>
      </c>
      <c r="H76" s="67">
        <v>0.17089947089947091</v>
      </c>
      <c r="I76" s="68">
        <v>8197.2924187725639</v>
      </c>
      <c r="J76" s="68">
        <v>-7707.1207430340555</v>
      </c>
      <c r="K76" s="67">
        <v>0.1095890410958904</v>
      </c>
      <c r="L76" s="67">
        <v>0.1095890410958904</v>
      </c>
      <c r="M76" s="67">
        <v>0.24656084656084656</v>
      </c>
      <c r="N76" s="67">
        <v>0.24656084656084656</v>
      </c>
      <c r="O76" s="67">
        <v>0.5429184549356223</v>
      </c>
      <c r="P76" s="67">
        <v>0.42489270386266093</v>
      </c>
      <c r="Q76" s="67">
        <v>0.41335740072202165</v>
      </c>
    </row>
    <row r="77" spans="1:17" x14ac:dyDescent="0.4">
      <c r="A77" s="69">
        <v>74</v>
      </c>
      <c r="B77" s="66">
        <v>-3.6193270602780103E-14</v>
      </c>
      <c r="C77" s="66">
        <v>-1.6303275046297345E-16</v>
      </c>
      <c r="D77" s="71">
        <v>2</v>
      </c>
      <c r="E77" s="67">
        <v>0.33333333333333331</v>
      </c>
      <c r="F77" s="67">
        <v>0.33333333333333331</v>
      </c>
      <c r="G77" s="67">
        <v>0.29304029304029305</v>
      </c>
      <c r="H77" s="67">
        <v>0.1695447409733124</v>
      </c>
      <c r="I77" s="68">
        <v>8187.8571428571431</v>
      </c>
      <c r="J77" s="68">
        <v>-7691.358024691358</v>
      </c>
      <c r="K77" s="67">
        <v>0.10810810810810811</v>
      </c>
      <c r="L77" s="67">
        <v>0.10810810810810811</v>
      </c>
      <c r="M77" s="67">
        <v>0.24646781789638933</v>
      </c>
      <c r="N77" s="67">
        <v>0.24594453165881738</v>
      </c>
      <c r="O77" s="67">
        <v>0.54564755838641188</v>
      </c>
      <c r="P77" s="67">
        <v>0.42553191489361702</v>
      </c>
      <c r="Q77" s="67">
        <v>0.41785714285714287</v>
      </c>
    </row>
    <row r="78" spans="1:17" x14ac:dyDescent="0.4">
      <c r="A78" s="69">
        <v>75</v>
      </c>
      <c r="B78" s="66">
        <v>-3.5527136788005009E-14</v>
      </c>
      <c r="C78" s="66">
        <v>-1.5789838572446671E-16</v>
      </c>
      <c r="D78" s="71">
        <v>2</v>
      </c>
      <c r="E78" s="67">
        <v>0.33333333333333331</v>
      </c>
      <c r="F78" s="67">
        <v>0.33333333333333331</v>
      </c>
      <c r="G78" s="67">
        <v>0.2930232558139535</v>
      </c>
      <c r="H78" s="67">
        <v>0.17054263565891473</v>
      </c>
      <c r="I78" s="68">
        <v>8202.4691358024684</v>
      </c>
      <c r="J78" s="68">
        <v>-7713.939393939394</v>
      </c>
      <c r="K78" s="67">
        <v>0.10666666666666667</v>
      </c>
      <c r="L78" s="67">
        <v>0.10666666666666667</v>
      </c>
      <c r="M78" s="67">
        <v>0.24754521963824289</v>
      </c>
      <c r="N78" s="67">
        <v>0.24702842377260981</v>
      </c>
      <c r="O78" s="67">
        <v>0.54279749478079331</v>
      </c>
      <c r="P78" s="67">
        <v>0.42468619246861927</v>
      </c>
      <c r="Q78" s="67">
        <v>0.41446208112874777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2019-10-13T05:20:27Z</dcterms:modified>
</cp:coreProperties>
</file>