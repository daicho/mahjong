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2ADDF24-F05B-493D-B794-E7FEF46C59AB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85" r:id="rId6"/>
    <sheet name="たかの" sheetId="6387" r:id="rId7"/>
    <sheet name="だいち" sheetId="6389" r:id="rId8"/>
    <sheet name="ただ" sheetId="6391" r:id="rId9"/>
    <sheet name="りくと" sheetId="6393" r:id="rId10"/>
    <sheet name="れんたろう" sheetId="6395" r:id="rId11"/>
    <sheet name="まっつん" sheetId="6397" r:id="rId12"/>
    <sheet name="のり" sheetId="6399" r:id="rId13"/>
    <sheet name="ぱぱ" sheetId="6401" r:id="rId14"/>
    <sheet name="ほたに" sheetId="6403" r:id="rId15"/>
    <sheet name="いっしー" sheetId="6405" r:id="rId16"/>
    <sheet name="ともき" sheetId="6407" r:id="rId17"/>
    <sheet name="たか" sheetId="6409" r:id="rId18"/>
    <sheet name="ゆう" sheetId="6411" r:id="rId19"/>
    <sheet name="ゆう2" sheetId="6412" state="hidden" r:id="rId20"/>
    <sheet name="たか2" sheetId="6410" state="hidden" r:id="rId21"/>
    <sheet name="ともき2" sheetId="6408" state="hidden" r:id="rId22"/>
    <sheet name="いっしー2" sheetId="6406" state="hidden" r:id="rId23"/>
    <sheet name="ほたに2" sheetId="6404" state="hidden" r:id="rId24"/>
    <sheet name="ぱぱ2" sheetId="6402" state="hidden" r:id="rId25"/>
    <sheet name="のり2" sheetId="6400" state="hidden" r:id="rId26"/>
    <sheet name="まっつん2" sheetId="6398" state="hidden" r:id="rId27"/>
    <sheet name="れんたろう2" sheetId="6396" state="hidden" r:id="rId28"/>
    <sheet name="りくと2" sheetId="6394" state="hidden" r:id="rId29"/>
    <sheet name="ただ2" sheetId="6392" state="hidden" r:id="rId30"/>
    <sheet name="だいち2" sheetId="6390" state="hidden" r:id="rId31"/>
    <sheet name="たかの2" sheetId="6388" state="hidden" r:id="rId32"/>
    <sheet name="全体2" sheetId="638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09" l="1"/>
  <c r="O25" i="6397" l="1"/>
  <c r="O15" i="6407"/>
  <c r="O16" i="6409" l="1"/>
  <c r="O23" i="6387"/>
  <c r="O20" i="6397" l="1"/>
  <c r="O16" i="6411"/>
  <c r="O18" i="6409"/>
  <c r="O15" i="6387" l="1"/>
  <c r="O22" i="6407"/>
  <c r="O19" i="6409" l="1"/>
  <c r="O15" i="6411"/>
  <c r="O17" i="6411"/>
  <c r="H39" i="6411"/>
  <c r="H34" i="6411"/>
  <c r="C30" i="6411"/>
  <c r="H12" i="6411"/>
  <c r="B25" i="6411"/>
  <c r="C16" i="6411"/>
  <c r="B15" i="6411"/>
  <c r="H50" i="6411" s="1"/>
  <c r="H18" i="6411"/>
  <c r="B14" i="6411"/>
  <c r="B24" i="6411" s="1"/>
  <c r="B13" i="6411"/>
  <c r="C13" i="6411" s="1"/>
  <c r="O12" i="6411"/>
  <c r="C12" i="6411"/>
  <c r="O11" i="6411"/>
  <c r="C11" i="6411"/>
  <c r="O10" i="6411"/>
  <c r="C10" i="6411"/>
  <c r="H14" i="6411"/>
  <c r="C9" i="6411"/>
  <c r="H13" i="6411"/>
  <c r="C8" i="6411"/>
  <c r="O7" i="6411"/>
  <c r="C7" i="6411"/>
  <c r="O6" i="6411"/>
  <c r="B6" i="6411"/>
  <c r="O5" i="6411"/>
  <c r="B5" i="6411"/>
  <c r="O4" i="6411"/>
  <c r="O3" i="6411"/>
  <c r="O2" i="6411"/>
  <c r="O16" i="6399"/>
  <c r="O15" i="6409"/>
  <c r="O17" i="6409"/>
  <c r="C30" i="6409"/>
  <c r="B25" i="6409"/>
  <c r="C16" i="6409"/>
  <c r="B15" i="6409"/>
  <c r="H50" i="6409" s="1"/>
  <c r="B14" i="6409"/>
  <c r="B24" i="6409" s="1"/>
  <c r="B13" i="6409"/>
  <c r="C13" i="6409" s="1"/>
  <c r="O12" i="6409"/>
  <c r="C12" i="6409"/>
  <c r="O11" i="6409"/>
  <c r="C11" i="6409"/>
  <c r="O10" i="6409"/>
  <c r="C10" i="6409"/>
  <c r="C9" i="6409"/>
  <c r="C8" i="6409"/>
  <c r="O7" i="6409"/>
  <c r="C7" i="6409"/>
  <c r="O6" i="6409"/>
  <c r="B6" i="6409"/>
  <c r="O5" i="6409"/>
  <c r="B5" i="6409"/>
  <c r="O4" i="6409"/>
  <c r="O3" i="6409"/>
  <c r="O2" i="6409"/>
  <c r="O15" i="6385"/>
  <c r="H2" i="6411" l="1"/>
  <c r="C19" i="6411"/>
  <c r="C14" i="6409"/>
  <c r="C14" i="6411"/>
  <c r="C44" i="6411"/>
  <c r="H22" i="6411"/>
  <c r="H47" i="6411"/>
  <c r="H40" i="6411"/>
  <c r="C15" i="6411"/>
  <c r="H29" i="6411"/>
  <c r="H36" i="6411"/>
  <c r="H41" i="6411"/>
  <c r="H48" i="6411"/>
  <c r="C34" i="6411"/>
  <c r="H6" i="6411"/>
  <c r="H49" i="6411"/>
  <c r="H35" i="6411"/>
  <c r="H30" i="6411"/>
  <c r="H3" i="6411"/>
  <c r="H8" i="6411"/>
  <c r="C36" i="6411"/>
  <c r="H7" i="6411"/>
  <c r="B22" i="6411"/>
  <c r="H32" i="6411"/>
  <c r="C42" i="6411"/>
  <c r="H51" i="6411"/>
  <c r="H45" i="6411"/>
  <c r="H10" i="6411"/>
  <c r="C20" i="6411"/>
  <c r="C21" i="6411"/>
  <c r="C17" i="6411"/>
  <c r="H37" i="6411"/>
  <c r="H20" i="6411"/>
  <c r="H26" i="6411"/>
  <c r="H38" i="6411"/>
  <c r="H43" i="6411"/>
  <c r="H4" i="6411"/>
  <c r="H28" i="6411"/>
  <c r="H16" i="6411"/>
  <c r="C40" i="6411"/>
  <c r="H19" i="6411"/>
  <c r="H24" i="6411"/>
  <c r="H42" i="6411"/>
  <c r="C32" i="6411"/>
  <c r="H11" i="6411"/>
  <c r="H15" i="6411"/>
  <c r="C18" i="6411"/>
  <c r="H33" i="6411"/>
  <c r="C38" i="6411"/>
  <c r="H44" i="6411"/>
  <c r="H52" i="6411"/>
  <c r="H21" i="6411"/>
  <c r="H25" i="6411"/>
  <c r="H9" i="6411"/>
  <c r="C33" i="6411"/>
  <c r="C37" i="6411"/>
  <c r="C41" i="6411"/>
  <c r="H46" i="6411"/>
  <c r="B23" i="6411"/>
  <c r="H17" i="6411"/>
  <c r="H5" i="6411"/>
  <c r="H23" i="6411"/>
  <c r="H27" i="6411"/>
  <c r="H31" i="6411"/>
  <c r="C35" i="6411"/>
  <c r="C39" i="6411"/>
  <c r="C43" i="6411"/>
  <c r="C19" i="6409"/>
  <c r="H3" i="6409"/>
  <c r="H34" i="6409"/>
  <c r="H10" i="6409"/>
  <c r="H28" i="6409"/>
  <c r="H18" i="6409"/>
  <c r="C44" i="6409"/>
  <c r="H12" i="6409"/>
  <c r="H35" i="6409"/>
  <c r="H39" i="6409"/>
  <c r="H29" i="6409"/>
  <c r="C15" i="6409"/>
  <c r="H47" i="6409"/>
  <c r="H14" i="6409"/>
  <c r="H48" i="6409"/>
  <c r="H45" i="6409"/>
  <c r="H2" i="6409"/>
  <c r="H16" i="6409"/>
  <c r="H30" i="6409"/>
  <c r="H19" i="6409"/>
  <c r="H36" i="6409"/>
  <c r="H8" i="6409"/>
  <c r="H42" i="6409"/>
  <c r="C17" i="6409"/>
  <c r="H37" i="6409"/>
  <c r="H51" i="6409"/>
  <c r="H40" i="6409"/>
  <c r="H9" i="6409"/>
  <c r="H11" i="6409"/>
  <c r="H49" i="6409"/>
  <c r="H7" i="6409"/>
  <c r="B22" i="6409"/>
  <c r="H32" i="6409"/>
  <c r="C42" i="6409"/>
  <c r="H26" i="6409"/>
  <c r="H38" i="6409"/>
  <c r="H43" i="6409"/>
  <c r="H5" i="6409"/>
  <c r="C34" i="6409"/>
  <c r="H6" i="6409"/>
  <c r="C20" i="6409"/>
  <c r="C40" i="6409"/>
  <c r="C21" i="6409"/>
  <c r="H41" i="6409"/>
  <c r="H24" i="6409"/>
  <c r="C36" i="6409"/>
  <c r="H21" i="6409"/>
  <c r="C32" i="6409"/>
  <c r="H4" i="6409"/>
  <c r="H15" i="6409"/>
  <c r="C18" i="6409"/>
  <c r="H33" i="6409"/>
  <c r="C38" i="6409"/>
  <c r="H44" i="6409"/>
  <c r="H52" i="6409"/>
  <c r="H22" i="6409"/>
  <c r="H25" i="6409"/>
  <c r="H13" i="6409"/>
  <c r="C33" i="6409"/>
  <c r="C37" i="6409"/>
  <c r="C41" i="6409"/>
  <c r="H46" i="6409"/>
  <c r="B23" i="6409"/>
  <c r="H17" i="6409"/>
  <c r="H20" i="6409"/>
  <c r="H23" i="6409"/>
  <c r="H27" i="6409"/>
  <c r="H31" i="6409"/>
  <c r="C35" i="6409"/>
  <c r="C39" i="6409"/>
  <c r="C43" i="6409"/>
  <c r="O21" i="6407" l="1"/>
  <c r="O15" i="6389"/>
  <c r="O21" i="6391" l="1"/>
  <c r="O16" i="6407"/>
  <c r="O19" i="6407"/>
  <c r="O22" i="6393"/>
  <c r="O16" i="6401" l="1"/>
  <c r="O20" i="6407"/>
  <c r="O21" i="6395" l="1"/>
  <c r="O17" i="6407"/>
  <c r="O18" i="6407"/>
  <c r="C30" i="6407"/>
  <c r="B25" i="6407"/>
  <c r="C16" i="6407"/>
  <c r="B15" i="6407"/>
  <c r="H52" i="6407" s="1"/>
  <c r="C14" i="6407"/>
  <c r="B14" i="6407"/>
  <c r="B13" i="6407"/>
  <c r="C13" i="6407" s="1"/>
  <c r="O12" i="6407"/>
  <c r="C12" i="6407"/>
  <c r="O11" i="6407"/>
  <c r="C11" i="6407"/>
  <c r="O10" i="6407"/>
  <c r="C10" i="6407"/>
  <c r="C9" i="6407"/>
  <c r="C8" i="6407"/>
  <c r="O7" i="6407"/>
  <c r="C7" i="6407"/>
  <c r="O6" i="6407"/>
  <c r="B6" i="6407"/>
  <c r="O5" i="6407"/>
  <c r="B5" i="6407"/>
  <c r="O4" i="6407"/>
  <c r="O3" i="6407"/>
  <c r="O2" i="6407"/>
  <c r="O18" i="6399"/>
  <c r="O21" i="6385"/>
  <c r="B23" i="6407" l="1"/>
  <c r="H15" i="6407"/>
  <c r="H36" i="6407"/>
  <c r="C36" i="6407"/>
  <c r="H3" i="6407"/>
  <c r="H10" i="6407"/>
  <c r="H18" i="6407"/>
  <c r="H27" i="6407"/>
  <c r="H42" i="6407"/>
  <c r="H44" i="6407"/>
  <c r="H38" i="6407"/>
  <c r="H29" i="6407"/>
  <c r="H30" i="6407"/>
  <c r="H4" i="6407"/>
  <c r="C19" i="6407"/>
  <c r="C44" i="6407"/>
  <c r="C17" i="6407"/>
  <c r="C42" i="6407"/>
  <c r="H13" i="6407"/>
  <c r="H34" i="6407"/>
  <c r="H5" i="6407"/>
  <c r="H24" i="6407"/>
  <c r="C34" i="6407"/>
  <c r="H47" i="6407"/>
  <c r="C20" i="6407"/>
  <c r="C38" i="6407"/>
  <c r="H48" i="6407"/>
  <c r="H2" i="6407"/>
  <c r="H9" i="6407"/>
  <c r="C15" i="6407"/>
  <c r="C21" i="6407"/>
  <c r="H32" i="6407"/>
  <c r="H40" i="6407"/>
  <c r="H51" i="6407"/>
  <c r="H8" i="6407"/>
  <c r="H6" i="6407"/>
  <c r="H16" i="6407"/>
  <c r="H19" i="6407"/>
  <c r="H21" i="6407"/>
  <c r="H14" i="6407"/>
  <c r="C32" i="6407"/>
  <c r="C40" i="6407"/>
  <c r="H7" i="6407"/>
  <c r="H23" i="6407"/>
  <c r="H26" i="6407"/>
  <c r="H11" i="6407"/>
  <c r="C33" i="6407"/>
  <c r="C37" i="6407"/>
  <c r="C41" i="6407"/>
  <c r="H46" i="6407"/>
  <c r="B24" i="6407"/>
  <c r="H35" i="6407"/>
  <c r="H39" i="6407"/>
  <c r="H43" i="6407"/>
  <c r="H49" i="6407"/>
  <c r="H12" i="6407"/>
  <c r="H22" i="6407"/>
  <c r="H25" i="6407"/>
  <c r="H17" i="6407"/>
  <c r="H31" i="6407"/>
  <c r="C35" i="6407"/>
  <c r="C39" i="6407"/>
  <c r="C43" i="6407"/>
  <c r="H50" i="6407"/>
  <c r="H20" i="6407"/>
  <c r="C18" i="6407"/>
  <c r="B22" i="6407"/>
  <c r="H28" i="6407"/>
  <c r="H33" i="6407"/>
  <c r="H37" i="6407"/>
  <c r="H41" i="6407"/>
  <c r="H45" i="6407"/>
  <c r="O16" i="6397" l="1"/>
  <c r="O17" i="6405"/>
  <c r="O23" i="6389"/>
  <c r="O16" i="6405"/>
  <c r="O15" i="6405"/>
  <c r="C30" i="6405"/>
  <c r="B25" i="6405"/>
  <c r="C16" i="6405"/>
  <c r="B15" i="6405"/>
  <c r="H51" i="6405" s="1"/>
  <c r="H17" i="6405"/>
  <c r="B14" i="6405"/>
  <c r="C14" i="6405" s="1"/>
  <c r="B13" i="6405"/>
  <c r="C13" i="6405" s="1"/>
  <c r="O12" i="6405"/>
  <c r="C12" i="6405"/>
  <c r="O11" i="6405"/>
  <c r="C11" i="6405"/>
  <c r="O10" i="6405"/>
  <c r="C10" i="6405"/>
  <c r="C9" i="6405"/>
  <c r="C8" i="6405"/>
  <c r="O7" i="6405"/>
  <c r="C7" i="6405"/>
  <c r="O6" i="6405"/>
  <c r="B6" i="6405"/>
  <c r="O5" i="6405"/>
  <c r="B5" i="6405"/>
  <c r="O4" i="6405"/>
  <c r="O3" i="6405"/>
  <c r="O2" i="6405"/>
  <c r="O21" i="6399"/>
  <c r="O26" i="6385"/>
  <c r="B24" i="6405" l="1"/>
  <c r="H22" i="6405"/>
  <c r="H30" i="6405"/>
  <c r="C40" i="6405"/>
  <c r="C42" i="6405"/>
  <c r="H8" i="6405"/>
  <c r="H9" i="6405"/>
  <c r="B22" i="6405"/>
  <c r="H6" i="6405"/>
  <c r="H25" i="6405"/>
  <c r="H45" i="6405"/>
  <c r="C36" i="6405"/>
  <c r="H15" i="6405"/>
  <c r="C44" i="6405"/>
  <c r="H10" i="6405"/>
  <c r="H18" i="6405"/>
  <c r="H12" i="6405"/>
  <c r="H48" i="6405"/>
  <c r="H2" i="6405"/>
  <c r="H20" i="6405"/>
  <c r="H27" i="6405"/>
  <c r="H37" i="6405"/>
  <c r="H11" i="6405"/>
  <c r="H41" i="6405"/>
  <c r="C32" i="6405"/>
  <c r="C15" i="6405"/>
  <c r="H33" i="6405"/>
  <c r="H7" i="6405"/>
  <c r="C34" i="6405"/>
  <c r="H3" i="6405"/>
  <c r="H13" i="6405"/>
  <c r="C18" i="6405"/>
  <c r="H28" i="6405"/>
  <c r="C38" i="6405"/>
  <c r="H52" i="6405"/>
  <c r="H21" i="6405"/>
  <c r="H24" i="6405"/>
  <c r="H5" i="6405"/>
  <c r="C33" i="6405"/>
  <c r="C37" i="6405"/>
  <c r="C41" i="6405"/>
  <c r="H46" i="6405"/>
  <c r="C19" i="6405"/>
  <c r="B23" i="6405"/>
  <c r="H29" i="6405"/>
  <c r="H34" i="6405"/>
  <c r="H38" i="6405"/>
  <c r="H42" i="6405"/>
  <c r="H47" i="6405"/>
  <c r="C20" i="6405"/>
  <c r="H35" i="6405"/>
  <c r="H39" i="6405"/>
  <c r="H43" i="6405"/>
  <c r="H49" i="6405"/>
  <c r="H16" i="6405"/>
  <c r="H19" i="6405"/>
  <c r="H23" i="6405"/>
  <c r="H26" i="6405"/>
  <c r="H31" i="6405"/>
  <c r="C35" i="6405"/>
  <c r="C39" i="6405"/>
  <c r="C43" i="6405"/>
  <c r="H50" i="6405"/>
  <c r="H4" i="6405"/>
  <c r="H14" i="6405"/>
  <c r="C17" i="6405"/>
  <c r="C21" i="6405"/>
  <c r="H32" i="6405"/>
  <c r="H36" i="6405"/>
  <c r="H40" i="6405"/>
  <c r="H44" i="6405"/>
  <c r="O22" i="6387" l="1"/>
  <c r="O16" i="6395"/>
  <c r="O15" i="6395" l="1"/>
  <c r="O19" i="6403"/>
  <c r="O15" i="6393" l="1"/>
  <c r="O23" i="6399"/>
  <c r="O16" i="6403" l="1"/>
  <c r="O23" i="6393"/>
  <c r="O21" i="6387" l="1"/>
  <c r="O17" i="6389"/>
  <c r="O15" i="6399"/>
  <c r="O22" i="6399"/>
  <c r="O19" i="6397" l="1"/>
  <c r="O19" i="6401"/>
  <c r="O18" i="6391" l="1"/>
  <c r="O17" i="6397"/>
  <c r="O17" i="6399"/>
  <c r="O20" i="6399"/>
  <c r="O16" i="6387" l="1"/>
  <c r="O17" i="6401"/>
  <c r="O20" i="6401"/>
  <c r="O18" i="6393"/>
  <c r="O22" i="6391" l="1"/>
  <c r="O20" i="6395"/>
  <c r="O23" i="6395" l="1"/>
  <c r="O22" i="6389"/>
  <c r="O25" i="6399"/>
  <c r="O17" i="6403"/>
  <c r="O15" i="6403"/>
  <c r="O21" i="6401"/>
  <c r="O15" i="6391" l="1"/>
  <c r="O20" i="6391"/>
  <c r="O18" i="6403"/>
  <c r="O20" i="6403"/>
  <c r="C40" i="6403"/>
  <c r="C30" i="6403"/>
  <c r="B25" i="6403"/>
  <c r="C16" i="6403"/>
  <c r="B15" i="6403"/>
  <c r="H51" i="6403" s="1"/>
  <c r="H19" i="6403"/>
  <c r="B14" i="6403"/>
  <c r="B24" i="6403" s="1"/>
  <c r="B13" i="6403"/>
  <c r="C13" i="6403" s="1"/>
  <c r="O12" i="6403"/>
  <c r="C12" i="6403"/>
  <c r="O11" i="6403"/>
  <c r="C11" i="6403"/>
  <c r="O10" i="6403"/>
  <c r="C10" i="6403"/>
  <c r="C9" i="6403"/>
  <c r="C8" i="6403"/>
  <c r="O7" i="6403"/>
  <c r="C7" i="6403"/>
  <c r="O6" i="6403"/>
  <c r="B6" i="6403"/>
  <c r="O5" i="6403"/>
  <c r="B5" i="6403"/>
  <c r="O4" i="6403"/>
  <c r="O3" i="6403"/>
  <c r="O2" i="6403"/>
  <c r="O21" i="6397"/>
  <c r="O15" i="6397"/>
  <c r="O16" i="6385"/>
  <c r="C14" i="6403" l="1"/>
  <c r="C20" i="6403"/>
  <c r="H30" i="6403"/>
  <c r="B22" i="6403"/>
  <c r="C42" i="6403"/>
  <c r="H26" i="6403"/>
  <c r="C44" i="6403"/>
  <c r="H14" i="6403"/>
  <c r="C32" i="6403"/>
  <c r="H45" i="6403"/>
  <c r="H3" i="6403"/>
  <c r="H12" i="6403"/>
  <c r="H48" i="6403"/>
  <c r="H41" i="6403"/>
  <c r="H17" i="6403"/>
  <c r="H20" i="6403"/>
  <c r="H5" i="6403"/>
  <c r="H13" i="6403"/>
  <c r="C36" i="6403"/>
  <c r="H2" i="6403"/>
  <c r="H10" i="6403"/>
  <c r="H37" i="6403"/>
  <c r="H6" i="6403"/>
  <c r="H11" i="6403"/>
  <c r="C15" i="6403"/>
  <c r="H8" i="6403"/>
  <c r="H33" i="6403"/>
  <c r="H7" i="6403"/>
  <c r="C34" i="6403"/>
  <c r="C18" i="6403"/>
  <c r="H27" i="6403"/>
  <c r="H23" i="6403"/>
  <c r="H28" i="6403"/>
  <c r="C38" i="6403"/>
  <c r="H52" i="6403"/>
  <c r="H22" i="6403"/>
  <c r="H25" i="6403"/>
  <c r="H9" i="6403"/>
  <c r="C33" i="6403"/>
  <c r="C37" i="6403"/>
  <c r="C41" i="6403"/>
  <c r="H46" i="6403"/>
  <c r="C19" i="6403"/>
  <c r="B23" i="6403"/>
  <c r="H29" i="6403"/>
  <c r="H34" i="6403"/>
  <c r="H38" i="6403"/>
  <c r="H42" i="6403"/>
  <c r="H47" i="6403"/>
  <c r="H35" i="6403"/>
  <c r="H39" i="6403"/>
  <c r="H43" i="6403"/>
  <c r="H49" i="6403"/>
  <c r="H18" i="6403"/>
  <c r="H21" i="6403"/>
  <c r="H24" i="6403"/>
  <c r="H15" i="6403"/>
  <c r="H31" i="6403"/>
  <c r="C35" i="6403"/>
  <c r="C39" i="6403"/>
  <c r="C43" i="6403"/>
  <c r="H50" i="6403"/>
  <c r="H4" i="6403"/>
  <c r="H16" i="6403"/>
  <c r="C17" i="6403"/>
  <c r="C21" i="6403"/>
  <c r="H32" i="6403"/>
  <c r="H36" i="6403"/>
  <c r="H40" i="6403"/>
  <c r="H44" i="6403"/>
  <c r="O18" i="6389" l="1"/>
  <c r="O20" i="6393"/>
  <c r="O21" i="6389" l="1"/>
  <c r="O22" i="6397"/>
  <c r="O24" i="6397"/>
  <c r="O18" i="6387"/>
  <c r="O17" i="6391"/>
  <c r="O17" i="6393"/>
  <c r="O21" i="6393"/>
  <c r="O17" i="6387"/>
  <c r="O16" i="6391"/>
  <c r="O16" i="6389"/>
  <c r="O22" i="6401"/>
  <c r="O23" i="6401"/>
  <c r="O19" i="6395" l="1"/>
  <c r="O17" i="6395"/>
  <c r="O15" i="6401"/>
  <c r="O18" i="6401"/>
  <c r="C30" i="6401"/>
  <c r="B25" i="6401"/>
  <c r="C16" i="6401"/>
  <c r="B15" i="6401"/>
  <c r="H51" i="6401" s="1"/>
  <c r="B14" i="6401"/>
  <c r="B24" i="6401" s="1"/>
  <c r="B13" i="6401"/>
  <c r="C13" i="6401" s="1"/>
  <c r="O12" i="6401"/>
  <c r="C12" i="6401"/>
  <c r="O11" i="6401"/>
  <c r="C11" i="6401"/>
  <c r="O10" i="6401"/>
  <c r="C10" i="6401"/>
  <c r="C9" i="6401"/>
  <c r="C8" i="6401"/>
  <c r="O7" i="6401"/>
  <c r="C7" i="6401"/>
  <c r="O6" i="6401"/>
  <c r="B6" i="6401"/>
  <c r="O5" i="6401"/>
  <c r="B5" i="6401"/>
  <c r="O4" i="6401"/>
  <c r="O3" i="6401"/>
  <c r="O2" i="6401"/>
  <c r="O17" i="6385"/>
  <c r="O19" i="6399"/>
  <c r="O24" i="6399"/>
  <c r="C30" i="6399"/>
  <c r="B25" i="6399"/>
  <c r="C16" i="6399"/>
  <c r="B15" i="6399"/>
  <c r="H5" i="6399" s="1"/>
  <c r="B14" i="6399"/>
  <c r="B24" i="6399" s="1"/>
  <c r="B13" i="6399"/>
  <c r="C13" i="6399" s="1"/>
  <c r="O12" i="6399"/>
  <c r="C12" i="6399"/>
  <c r="O11" i="6399"/>
  <c r="C11" i="6399"/>
  <c r="O10" i="6399"/>
  <c r="C10" i="6399"/>
  <c r="C9" i="6399"/>
  <c r="C8" i="6399"/>
  <c r="O7" i="6399"/>
  <c r="C7" i="6399"/>
  <c r="O6" i="6399"/>
  <c r="B6" i="6399"/>
  <c r="O5" i="6399"/>
  <c r="B5" i="6399"/>
  <c r="O4" i="6399"/>
  <c r="O3" i="6399"/>
  <c r="O2" i="6399"/>
  <c r="O20" i="6385"/>
  <c r="C14" i="6399" l="1"/>
  <c r="C14" i="6401"/>
  <c r="H23" i="6401"/>
  <c r="H3" i="6401"/>
  <c r="H19" i="6401"/>
  <c r="C19" i="6401"/>
  <c r="H10" i="6401"/>
  <c r="H35" i="6401"/>
  <c r="H40" i="6401"/>
  <c r="C15" i="6401"/>
  <c r="C44" i="6401"/>
  <c r="C20" i="6401"/>
  <c r="C34" i="6401"/>
  <c r="H9" i="6401"/>
  <c r="H22" i="6401"/>
  <c r="H36" i="6401"/>
  <c r="H49" i="6401"/>
  <c r="H29" i="6401"/>
  <c r="H2" i="6401"/>
  <c r="H48" i="6401"/>
  <c r="H24" i="6401"/>
  <c r="C21" i="6401"/>
  <c r="H31" i="6401"/>
  <c r="H37" i="6401"/>
  <c r="H6" i="6401"/>
  <c r="H15" i="6401"/>
  <c r="C36" i="6401"/>
  <c r="H43" i="6401"/>
  <c r="B22" i="6401"/>
  <c r="H33" i="6401"/>
  <c r="H38" i="6401"/>
  <c r="C42" i="6401"/>
  <c r="H20" i="6401"/>
  <c r="H41" i="6401"/>
  <c r="H11" i="6401"/>
  <c r="H30" i="6401"/>
  <c r="H50" i="6401"/>
  <c r="H8" i="6401"/>
  <c r="C17" i="6401"/>
  <c r="H25" i="6401"/>
  <c r="H18" i="6401"/>
  <c r="C32" i="6401"/>
  <c r="H39" i="6401"/>
  <c r="H44" i="6401"/>
  <c r="H5" i="6401"/>
  <c r="H17" i="6401"/>
  <c r="H46" i="6401"/>
  <c r="H4" i="6401"/>
  <c r="C40" i="6401"/>
  <c r="H42" i="6401"/>
  <c r="H7" i="6401"/>
  <c r="H21" i="6401"/>
  <c r="C18" i="6401"/>
  <c r="H34" i="6401"/>
  <c r="C38" i="6401"/>
  <c r="H45" i="6401"/>
  <c r="H52" i="6401"/>
  <c r="H26" i="6401"/>
  <c r="H28" i="6401"/>
  <c r="H12" i="6401"/>
  <c r="C33" i="6401"/>
  <c r="C37" i="6401"/>
  <c r="C41" i="6401"/>
  <c r="H47" i="6401"/>
  <c r="B23" i="6401"/>
  <c r="H16" i="6401"/>
  <c r="H13" i="6401"/>
  <c r="H27" i="6401"/>
  <c r="H14" i="6401"/>
  <c r="H32" i="6401"/>
  <c r="C35" i="6401"/>
  <c r="C39" i="6401"/>
  <c r="C43" i="6401"/>
  <c r="H2" i="6399"/>
  <c r="H11" i="6399"/>
  <c r="H32" i="6399"/>
  <c r="H18" i="6399"/>
  <c r="H42" i="6399"/>
  <c r="H12" i="6399"/>
  <c r="C15" i="6399"/>
  <c r="H35" i="6399"/>
  <c r="H4" i="6399"/>
  <c r="H6" i="6399"/>
  <c r="H46" i="6399"/>
  <c r="H25" i="6399"/>
  <c r="H38" i="6399"/>
  <c r="H10" i="6399"/>
  <c r="C18" i="6399"/>
  <c r="H9" i="6399"/>
  <c r="B22" i="6399"/>
  <c r="H52" i="6399"/>
  <c r="H27" i="6399"/>
  <c r="H29" i="6399"/>
  <c r="H8" i="6399"/>
  <c r="C33" i="6399"/>
  <c r="C37" i="6399"/>
  <c r="C41" i="6399"/>
  <c r="H47" i="6399"/>
  <c r="C19" i="6399"/>
  <c r="B23" i="6399"/>
  <c r="H33" i="6399"/>
  <c r="H22" i="6399"/>
  <c r="H39" i="6399"/>
  <c r="H43" i="6399"/>
  <c r="H48" i="6399"/>
  <c r="H3" i="6399"/>
  <c r="H26" i="6399"/>
  <c r="H14" i="6399"/>
  <c r="H30" i="6399"/>
  <c r="H16" i="6399"/>
  <c r="C34" i="6399"/>
  <c r="C38" i="6399"/>
  <c r="C42" i="6399"/>
  <c r="H49" i="6399"/>
  <c r="H50" i="6399"/>
  <c r="H24" i="6399"/>
  <c r="H19" i="6399"/>
  <c r="H28" i="6399"/>
  <c r="H15" i="6399"/>
  <c r="H21" i="6399"/>
  <c r="C35" i="6399"/>
  <c r="C39" i="6399"/>
  <c r="C43" i="6399"/>
  <c r="H51" i="6399"/>
  <c r="C20" i="6399"/>
  <c r="H36" i="6399"/>
  <c r="H40" i="6399"/>
  <c r="H44" i="6399"/>
  <c r="H7" i="6399"/>
  <c r="H17" i="6399"/>
  <c r="C17" i="6399"/>
  <c r="C21" i="6399"/>
  <c r="H34" i="6399"/>
  <c r="H37" i="6399"/>
  <c r="H41" i="6399"/>
  <c r="H45" i="6399"/>
  <c r="H23" i="6399"/>
  <c r="H20" i="6399"/>
  <c r="H13" i="6399"/>
  <c r="H31" i="6399"/>
  <c r="C32" i="6399"/>
  <c r="C36" i="6399"/>
  <c r="C40" i="6399"/>
  <c r="C44" i="6399"/>
  <c r="O23" i="6397" l="1"/>
  <c r="O18" i="6397"/>
  <c r="C30" i="6397"/>
  <c r="B25" i="6397"/>
  <c r="C16" i="6397"/>
  <c r="B15" i="6397"/>
  <c r="H52" i="6397" s="1"/>
  <c r="B14" i="6397"/>
  <c r="B24" i="6397" s="1"/>
  <c r="B13" i="6397"/>
  <c r="C13" i="6397" s="1"/>
  <c r="O12" i="6397"/>
  <c r="C12" i="6397"/>
  <c r="O11" i="6397"/>
  <c r="C11" i="6397"/>
  <c r="O10" i="6397"/>
  <c r="C10" i="6397"/>
  <c r="C9" i="6397"/>
  <c r="C8" i="6397"/>
  <c r="O7" i="6397"/>
  <c r="C7" i="6397"/>
  <c r="O6" i="6397"/>
  <c r="B6" i="6397"/>
  <c r="O5" i="6397"/>
  <c r="B5" i="6397"/>
  <c r="O4" i="6397"/>
  <c r="O3" i="6397"/>
  <c r="O2" i="6397"/>
  <c r="O22" i="6395"/>
  <c r="O18" i="6395"/>
  <c r="C30" i="6395"/>
  <c r="B25" i="6395"/>
  <c r="C16" i="6395"/>
  <c r="B15" i="6395"/>
  <c r="H52" i="6395" s="1"/>
  <c r="B14" i="6395"/>
  <c r="B24" i="6395" s="1"/>
  <c r="B13" i="6395"/>
  <c r="C13" i="6395" s="1"/>
  <c r="O12" i="6395"/>
  <c r="C12" i="6395"/>
  <c r="O11" i="6395"/>
  <c r="C11" i="6395"/>
  <c r="O10" i="6395"/>
  <c r="C10" i="6395"/>
  <c r="C9" i="6395"/>
  <c r="C8" i="6395"/>
  <c r="O7" i="6395"/>
  <c r="C7" i="6395"/>
  <c r="O6" i="6395"/>
  <c r="B6" i="6395"/>
  <c r="O5" i="6395"/>
  <c r="B5" i="6395"/>
  <c r="O4" i="6395"/>
  <c r="O3" i="6395"/>
  <c r="O2" i="6395"/>
  <c r="O18" i="6385"/>
  <c r="O19" i="6393"/>
  <c r="O16" i="6393"/>
  <c r="C30" i="6393"/>
  <c r="B25" i="6393"/>
  <c r="C16" i="6393"/>
  <c r="B15" i="6393"/>
  <c r="H18" i="6393" s="1"/>
  <c r="B14" i="6393"/>
  <c r="B24" i="6393" s="1"/>
  <c r="B13" i="6393"/>
  <c r="C13" i="6393" s="1"/>
  <c r="O12" i="6393"/>
  <c r="C12" i="6393"/>
  <c r="O11" i="6393"/>
  <c r="C11" i="6393"/>
  <c r="O10" i="6393"/>
  <c r="C10" i="6393"/>
  <c r="C9" i="6393"/>
  <c r="C8" i="6393"/>
  <c r="O7" i="6393"/>
  <c r="C7" i="6393"/>
  <c r="O6" i="6393"/>
  <c r="B6" i="6393"/>
  <c r="O5" i="6393"/>
  <c r="B5" i="6393"/>
  <c r="O4" i="6393"/>
  <c r="O3" i="6393"/>
  <c r="O2" i="6393"/>
  <c r="O22" i="6385"/>
  <c r="O24" i="6385"/>
  <c r="C14" i="6393" l="1"/>
  <c r="C14" i="6395"/>
  <c r="H3" i="6395"/>
  <c r="H6" i="6395"/>
  <c r="H2" i="6393"/>
  <c r="H17" i="6393"/>
  <c r="H10" i="6393"/>
  <c r="H43" i="6393"/>
  <c r="C34" i="6393"/>
  <c r="C19" i="6393"/>
  <c r="C36" i="6393"/>
  <c r="C42" i="6393"/>
  <c r="H8" i="6393"/>
  <c r="H35" i="6393"/>
  <c r="C18" i="6393"/>
  <c r="H24" i="6393"/>
  <c r="H29" i="6393"/>
  <c r="H30" i="6393"/>
  <c r="H10" i="6395"/>
  <c r="H17" i="6395"/>
  <c r="C14" i="6397"/>
  <c r="C21" i="6397"/>
  <c r="H4" i="6397"/>
  <c r="H43" i="6397"/>
  <c r="H28" i="6397"/>
  <c r="H14" i="6397"/>
  <c r="H30" i="6397"/>
  <c r="H11" i="6397"/>
  <c r="H7" i="6397"/>
  <c r="C34" i="6397"/>
  <c r="C42" i="6397"/>
  <c r="C40" i="6397"/>
  <c r="H45" i="6397"/>
  <c r="H25" i="6397"/>
  <c r="H3" i="6397"/>
  <c r="C17" i="6397"/>
  <c r="H26" i="6397"/>
  <c r="H38" i="6397"/>
  <c r="H15" i="6397"/>
  <c r="H34" i="6397"/>
  <c r="C36" i="6397"/>
  <c r="C44" i="6397"/>
  <c r="H6" i="6397"/>
  <c r="H12" i="6397"/>
  <c r="C15" i="6397"/>
  <c r="H36" i="6397"/>
  <c r="C19" i="6397"/>
  <c r="H20" i="6397"/>
  <c r="H40" i="6397"/>
  <c r="H48" i="6397"/>
  <c r="H27" i="6397"/>
  <c r="C32" i="6397"/>
  <c r="H10" i="6397"/>
  <c r="H21" i="6397"/>
  <c r="H2" i="6397"/>
  <c r="H18" i="6397"/>
  <c r="H19" i="6397"/>
  <c r="C38" i="6397"/>
  <c r="H17" i="6397"/>
  <c r="H31" i="6397"/>
  <c r="H33" i="6397"/>
  <c r="H8" i="6397"/>
  <c r="C33" i="6397"/>
  <c r="C37" i="6397"/>
  <c r="C41" i="6397"/>
  <c r="H47" i="6397"/>
  <c r="B23" i="6397"/>
  <c r="H49" i="6397"/>
  <c r="H9" i="6397"/>
  <c r="C20" i="6397"/>
  <c r="H37" i="6397"/>
  <c r="H41" i="6397"/>
  <c r="H44" i="6397"/>
  <c r="H50" i="6397"/>
  <c r="H23" i="6397"/>
  <c r="H16" i="6397"/>
  <c r="H32" i="6397"/>
  <c r="H13" i="6397"/>
  <c r="H22" i="6397"/>
  <c r="C35" i="6397"/>
  <c r="C39" i="6397"/>
  <c r="C43" i="6397"/>
  <c r="H51" i="6397"/>
  <c r="H5" i="6397"/>
  <c r="H29" i="6397"/>
  <c r="C18" i="6397"/>
  <c r="B22" i="6397"/>
  <c r="H24" i="6397"/>
  <c r="H35" i="6397"/>
  <c r="H39" i="6397"/>
  <c r="H42" i="6397"/>
  <c r="H46" i="6397"/>
  <c r="H16" i="6395"/>
  <c r="H23" i="6395"/>
  <c r="C17" i="6395"/>
  <c r="H39" i="6395"/>
  <c r="H29" i="6395"/>
  <c r="H11" i="6395"/>
  <c r="H20" i="6395"/>
  <c r="C38" i="6395"/>
  <c r="H2" i="6395"/>
  <c r="H5" i="6395"/>
  <c r="C19" i="6395"/>
  <c r="H43" i="6395"/>
  <c r="H35" i="6395"/>
  <c r="C42" i="6395"/>
  <c r="C15" i="6395"/>
  <c r="H25" i="6395"/>
  <c r="H45" i="6395"/>
  <c r="C34" i="6395"/>
  <c r="C44" i="6395"/>
  <c r="H15" i="6395"/>
  <c r="H4" i="6395"/>
  <c r="H22" i="6395"/>
  <c r="H30" i="6395"/>
  <c r="H48" i="6395"/>
  <c r="H12" i="6395"/>
  <c r="H31" i="6395"/>
  <c r="H26" i="6395"/>
  <c r="C36" i="6395"/>
  <c r="H49" i="6395"/>
  <c r="C21" i="6395"/>
  <c r="H28" i="6395"/>
  <c r="H41" i="6395"/>
  <c r="H13" i="6395"/>
  <c r="C32" i="6395"/>
  <c r="C40" i="6395"/>
  <c r="H7" i="6395"/>
  <c r="H33" i="6395"/>
  <c r="H21" i="6395"/>
  <c r="H8" i="6395"/>
  <c r="C33" i="6395"/>
  <c r="C37" i="6395"/>
  <c r="C41" i="6395"/>
  <c r="H47" i="6395"/>
  <c r="B23" i="6395"/>
  <c r="H9" i="6395"/>
  <c r="C20" i="6395"/>
  <c r="H37" i="6395"/>
  <c r="H40" i="6395"/>
  <c r="H44" i="6395"/>
  <c r="H50" i="6395"/>
  <c r="H24" i="6395"/>
  <c r="H19" i="6395"/>
  <c r="H34" i="6395"/>
  <c r="H14" i="6395"/>
  <c r="H18" i="6395"/>
  <c r="C35" i="6395"/>
  <c r="C39" i="6395"/>
  <c r="C43" i="6395"/>
  <c r="H51" i="6395"/>
  <c r="H32" i="6395"/>
  <c r="C18" i="6395"/>
  <c r="B22" i="6395"/>
  <c r="H27" i="6395"/>
  <c r="H36" i="6395"/>
  <c r="H38" i="6395"/>
  <c r="H42" i="6395"/>
  <c r="H46" i="6395"/>
  <c r="C44" i="6393"/>
  <c r="H12" i="6393"/>
  <c r="H31" i="6393"/>
  <c r="H38" i="6393"/>
  <c r="H46" i="6393"/>
  <c r="B22" i="6393"/>
  <c r="H48" i="6393"/>
  <c r="H25" i="6393"/>
  <c r="C15" i="6393"/>
  <c r="B23" i="6393"/>
  <c r="C38" i="6393"/>
  <c r="H49" i="6393"/>
  <c r="H9" i="6393"/>
  <c r="H20" i="6393"/>
  <c r="C40" i="6393"/>
  <c r="H5" i="6393"/>
  <c r="H3" i="6393"/>
  <c r="H23" i="6393"/>
  <c r="H21" i="6393"/>
  <c r="H39" i="6393"/>
  <c r="H6" i="6393"/>
  <c r="H14" i="6393"/>
  <c r="C32" i="6393"/>
  <c r="H4" i="6393"/>
  <c r="H16" i="6393"/>
  <c r="H34" i="6393"/>
  <c r="H42" i="6393"/>
  <c r="H52" i="6393"/>
  <c r="H26" i="6393"/>
  <c r="H28" i="6393"/>
  <c r="H11" i="6393"/>
  <c r="C33" i="6393"/>
  <c r="C37" i="6393"/>
  <c r="C41" i="6393"/>
  <c r="H47" i="6393"/>
  <c r="H36" i="6393"/>
  <c r="H40" i="6393"/>
  <c r="H44" i="6393"/>
  <c r="H50" i="6393"/>
  <c r="H19" i="6393"/>
  <c r="H15" i="6393"/>
  <c r="H27" i="6393"/>
  <c r="H13" i="6393"/>
  <c r="H32" i="6393"/>
  <c r="C35" i="6393"/>
  <c r="C39" i="6393"/>
  <c r="C43" i="6393"/>
  <c r="H51" i="6393"/>
  <c r="C20" i="6393"/>
  <c r="H7" i="6393"/>
  <c r="H22" i="6393"/>
  <c r="C17" i="6393"/>
  <c r="C21" i="6393"/>
  <c r="H33" i="6393"/>
  <c r="H37" i="6393"/>
  <c r="H41" i="6393"/>
  <c r="H45" i="6393"/>
  <c r="O23" i="6391" l="1"/>
  <c r="O19" i="6391"/>
  <c r="C30" i="6391"/>
  <c r="B25" i="6391"/>
  <c r="C16" i="6391"/>
  <c r="B15" i="6391"/>
  <c r="H19" i="6391" s="1"/>
  <c r="B14" i="6391"/>
  <c r="B24" i="6391" s="1"/>
  <c r="B13" i="6391"/>
  <c r="C13" i="6391" s="1"/>
  <c r="O12" i="6391"/>
  <c r="C12" i="6391"/>
  <c r="O11" i="6391"/>
  <c r="C11" i="6391"/>
  <c r="O10" i="6391"/>
  <c r="C10" i="6391"/>
  <c r="C9" i="6391"/>
  <c r="C8" i="6391"/>
  <c r="O7" i="6391"/>
  <c r="C7" i="6391"/>
  <c r="O6" i="6391"/>
  <c r="B6" i="6391"/>
  <c r="O5" i="6391"/>
  <c r="B5" i="6391"/>
  <c r="O4" i="6391"/>
  <c r="O3" i="6391"/>
  <c r="O2" i="6391"/>
  <c r="O20" i="6389"/>
  <c r="O19" i="6389"/>
  <c r="C30" i="6389"/>
  <c r="B25" i="6389"/>
  <c r="C16" i="6389"/>
  <c r="B15" i="6389"/>
  <c r="H52" i="6389" s="1"/>
  <c r="C14" i="6389"/>
  <c r="B14" i="6389"/>
  <c r="B13" i="6389"/>
  <c r="C13" i="6389" s="1"/>
  <c r="O12" i="6389"/>
  <c r="C12" i="6389"/>
  <c r="O11" i="6389"/>
  <c r="C11" i="6389"/>
  <c r="O10" i="6389"/>
  <c r="C10" i="6389"/>
  <c r="C9" i="6389"/>
  <c r="C8" i="6389"/>
  <c r="O7" i="6389"/>
  <c r="C7" i="6389"/>
  <c r="O6" i="6389"/>
  <c r="B6" i="6389"/>
  <c r="O5" i="6389"/>
  <c r="B5" i="6389"/>
  <c r="O4" i="6389"/>
  <c r="O3" i="6389"/>
  <c r="O2" i="6389"/>
  <c r="O19" i="6385"/>
  <c r="O19" i="6387"/>
  <c r="O20" i="6387"/>
  <c r="C30" i="6387"/>
  <c r="B25" i="6387"/>
  <c r="C16" i="6387"/>
  <c r="B15" i="6387"/>
  <c r="H50" i="6387" s="1"/>
  <c r="B14" i="6387"/>
  <c r="B24" i="6387" s="1"/>
  <c r="B13" i="6387"/>
  <c r="C13" i="6387" s="1"/>
  <c r="O12" i="6387"/>
  <c r="C12" i="6387"/>
  <c r="O11" i="6387"/>
  <c r="C11" i="6387"/>
  <c r="O10" i="6387"/>
  <c r="C10" i="6387"/>
  <c r="C9" i="6387"/>
  <c r="C8" i="6387"/>
  <c r="O7" i="6387"/>
  <c r="C7" i="6387"/>
  <c r="O6" i="6387"/>
  <c r="B6" i="6387"/>
  <c r="O5" i="6387"/>
  <c r="B5" i="6387"/>
  <c r="O4" i="6387"/>
  <c r="O3" i="6387"/>
  <c r="O2" i="6387"/>
  <c r="O23" i="6385"/>
  <c r="O25" i="6385"/>
  <c r="C30" i="6385"/>
  <c r="B25" i="6385"/>
  <c r="C16" i="6385"/>
  <c r="B15" i="6385"/>
  <c r="H17" i="6385" s="1"/>
  <c r="B14" i="6385"/>
  <c r="B24" i="6385" s="1"/>
  <c r="B13" i="6385"/>
  <c r="C13" i="6385" s="1"/>
  <c r="O12" i="6385"/>
  <c r="C12" i="6385"/>
  <c r="O11" i="6385"/>
  <c r="C11" i="6385"/>
  <c r="O10" i="6385"/>
  <c r="C10" i="6385"/>
  <c r="C9" i="6385"/>
  <c r="C8" i="6385"/>
  <c r="O7" i="6385"/>
  <c r="C7" i="6385"/>
  <c r="O6" i="6385"/>
  <c r="B6" i="6385"/>
  <c r="O5" i="6385"/>
  <c r="B5" i="6385"/>
  <c r="O4" i="6385"/>
  <c r="O3" i="6385"/>
  <c r="O2" i="6385"/>
  <c r="C14" i="6391" l="1"/>
  <c r="C14" i="6385"/>
  <c r="C14" i="6387"/>
  <c r="H27" i="6387"/>
  <c r="H44" i="6391"/>
  <c r="C43" i="6391"/>
  <c r="H39" i="6391"/>
  <c r="H11" i="6391"/>
  <c r="H25" i="6391"/>
  <c r="H32" i="6391"/>
  <c r="H27" i="6391"/>
  <c r="H40" i="6391"/>
  <c r="C44" i="6391"/>
  <c r="H5" i="6391"/>
  <c r="H17" i="6391"/>
  <c r="C15" i="6391"/>
  <c r="H30" i="6391"/>
  <c r="H3" i="6391"/>
  <c r="H14" i="6391"/>
  <c r="H33" i="6391"/>
  <c r="C34" i="6391"/>
  <c r="C39" i="6391"/>
  <c r="H46" i="6391"/>
  <c r="C20" i="6391"/>
  <c r="H12" i="6391"/>
  <c r="H8" i="6391"/>
  <c r="H22" i="6391"/>
  <c r="H15" i="6391"/>
  <c r="B22" i="6391"/>
  <c r="H23" i="6391"/>
  <c r="H36" i="6391"/>
  <c r="C40" i="6391"/>
  <c r="H49" i="6391"/>
  <c r="C32" i="6391"/>
  <c r="H35" i="6391"/>
  <c r="H18" i="6391"/>
  <c r="C35" i="6391"/>
  <c r="H51" i="6391"/>
  <c r="H13" i="6391"/>
  <c r="C38" i="6391"/>
  <c r="H16" i="6391"/>
  <c r="C18" i="6391"/>
  <c r="H31" i="6391"/>
  <c r="C36" i="6391"/>
  <c r="H43" i="6391"/>
  <c r="H4" i="6391"/>
  <c r="H21" i="6391"/>
  <c r="H6" i="6391"/>
  <c r="H2" i="6391"/>
  <c r="B23" i="6391"/>
  <c r="H42" i="6391"/>
  <c r="H10" i="6391"/>
  <c r="H28" i="6391"/>
  <c r="C19" i="6391"/>
  <c r="H20" i="6391"/>
  <c r="H38" i="6391"/>
  <c r="C42" i="6391"/>
  <c r="H52" i="6391"/>
  <c r="H29" i="6391"/>
  <c r="H26" i="6391"/>
  <c r="H9" i="6391"/>
  <c r="C33" i="6391"/>
  <c r="C37" i="6391"/>
  <c r="C41" i="6391"/>
  <c r="H47" i="6391"/>
  <c r="H48" i="6391"/>
  <c r="H50" i="6391"/>
  <c r="H7" i="6391"/>
  <c r="H24" i="6391"/>
  <c r="C17" i="6391"/>
  <c r="C21" i="6391"/>
  <c r="H34" i="6391"/>
  <c r="H37" i="6391"/>
  <c r="H41" i="6391"/>
  <c r="H45" i="6391"/>
  <c r="H35" i="6385"/>
  <c r="H42" i="6389"/>
  <c r="C32" i="6389"/>
  <c r="H27" i="6389"/>
  <c r="H44" i="6389"/>
  <c r="C21" i="6389"/>
  <c r="H4" i="6389"/>
  <c r="H22" i="6389"/>
  <c r="H10" i="6389"/>
  <c r="H6" i="6389"/>
  <c r="C34" i="6389"/>
  <c r="C42" i="6389"/>
  <c r="H12" i="6389"/>
  <c r="C40" i="6389"/>
  <c r="H3" i="6389"/>
  <c r="C17" i="6389"/>
  <c r="H28" i="6389"/>
  <c r="H38" i="6389"/>
  <c r="H46" i="6389"/>
  <c r="H7" i="6389"/>
  <c r="C15" i="6389"/>
  <c r="H23" i="6389"/>
  <c r="H2" i="6389"/>
  <c r="C44" i="6389"/>
  <c r="H14" i="6389"/>
  <c r="H11" i="6389"/>
  <c r="H29" i="6389"/>
  <c r="B23" i="6389"/>
  <c r="C19" i="6389"/>
  <c r="H40" i="6389"/>
  <c r="H48" i="6389"/>
  <c r="H35" i="6389"/>
  <c r="H25" i="6389"/>
  <c r="H21" i="6389"/>
  <c r="C36" i="6389"/>
  <c r="H18" i="6389"/>
  <c r="H31" i="6389"/>
  <c r="H17" i="6389"/>
  <c r="C38" i="6389"/>
  <c r="H16" i="6389"/>
  <c r="H33" i="6389"/>
  <c r="H24" i="6389"/>
  <c r="H8" i="6389"/>
  <c r="C33" i="6389"/>
  <c r="C37" i="6389"/>
  <c r="C41" i="6389"/>
  <c r="H47" i="6389"/>
  <c r="H49" i="6389"/>
  <c r="H9" i="6389"/>
  <c r="C20" i="6389"/>
  <c r="B24" i="6389"/>
  <c r="H37" i="6389"/>
  <c r="H41" i="6389"/>
  <c r="H45" i="6389"/>
  <c r="H50" i="6389"/>
  <c r="H20" i="6389"/>
  <c r="H15" i="6389"/>
  <c r="H34" i="6389"/>
  <c r="H13" i="6389"/>
  <c r="H19" i="6389"/>
  <c r="C35" i="6389"/>
  <c r="C39" i="6389"/>
  <c r="C43" i="6389"/>
  <c r="H51" i="6389"/>
  <c r="H5" i="6389"/>
  <c r="H32" i="6389"/>
  <c r="C18" i="6389"/>
  <c r="B22" i="6389"/>
  <c r="H26" i="6389"/>
  <c r="H36" i="6389"/>
  <c r="H39" i="6389"/>
  <c r="H43" i="6389"/>
  <c r="H30" i="6389"/>
  <c r="H6" i="6387"/>
  <c r="C19" i="6387"/>
  <c r="H10" i="6387"/>
  <c r="H25" i="6387"/>
  <c r="H34" i="6387"/>
  <c r="H39" i="6387"/>
  <c r="C44" i="6387"/>
  <c r="C34" i="6387"/>
  <c r="H40" i="6387"/>
  <c r="H45" i="6387"/>
  <c r="H14" i="6387"/>
  <c r="H18" i="6387"/>
  <c r="H35" i="6387"/>
  <c r="H47" i="6387"/>
  <c r="H13" i="6387"/>
  <c r="C20" i="6387"/>
  <c r="H31" i="6387"/>
  <c r="C40" i="6387"/>
  <c r="H23" i="6387"/>
  <c r="C21" i="6387"/>
  <c r="H17" i="6387"/>
  <c r="H36" i="6387"/>
  <c r="H41" i="6387"/>
  <c r="H48" i="6387"/>
  <c r="H5" i="6387"/>
  <c r="H42" i="6387"/>
  <c r="H49" i="6387"/>
  <c r="H8" i="6387"/>
  <c r="C17" i="6387"/>
  <c r="B22" i="6387"/>
  <c r="H22" i="6387"/>
  <c r="H37" i="6387"/>
  <c r="C42" i="6387"/>
  <c r="H51" i="6387"/>
  <c r="H21" i="6387"/>
  <c r="H9" i="6387"/>
  <c r="H2" i="6387"/>
  <c r="H38" i="6387"/>
  <c r="H43" i="6387"/>
  <c r="H4" i="6387"/>
  <c r="C15" i="6387"/>
  <c r="H3" i="6387"/>
  <c r="H11" i="6387"/>
  <c r="C36" i="6387"/>
  <c r="H16" i="6387"/>
  <c r="H30" i="6387"/>
  <c r="C32" i="6387"/>
  <c r="H7" i="6387"/>
  <c r="H26" i="6387"/>
  <c r="C18" i="6387"/>
  <c r="H33" i="6387"/>
  <c r="C38" i="6387"/>
  <c r="H44" i="6387"/>
  <c r="H52" i="6387"/>
  <c r="H28" i="6387"/>
  <c r="H24" i="6387"/>
  <c r="H12" i="6387"/>
  <c r="C33" i="6387"/>
  <c r="C37" i="6387"/>
  <c r="C41" i="6387"/>
  <c r="H46" i="6387"/>
  <c r="B23" i="6387"/>
  <c r="H19" i="6387"/>
  <c r="H20" i="6387"/>
  <c r="H29" i="6387"/>
  <c r="H15" i="6387"/>
  <c r="H32" i="6387"/>
  <c r="C35" i="6387"/>
  <c r="C39" i="6387"/>
  <c r="C43" i="6387"/>
  <c r="B22" i="6385"/>
  <c r="H10" i="6385"/>
  <c r="C36" i="6385"/>
  <c r="H40" i="6385"/>
  <c r="H24" i="6385"/>
  <c r="C15" i="6385"/>
  <c r="H28" i="6385"/>
  <c r="H26" i="6385"/>
  <c r="C44" i="6385"/>
  <c r="H12" i="6385"/>
  <c r="H19" i="6385"/>
  <c r="H34" i="6385"/>
  <c r="C18" i="6385"/>
  <c r="H5" i="6385"/>
  <c r="C40" i="6385"/>
  <c r="H11" i="6385"/>
  <c r="H43" i="6385"/>
  <c r="H4" i="6385"/>
  <c r="H6" i="6385"/>
  <c r="C32" i="6385"/>
  <c r="H14" i="6385"/>
  <c r="H38" i="6385"/>
  <c r="H52" i="6385"/>
  <c r="H36" i="6385"/>
  <c r="H25" i="6385"/>
  <c r="H8" i="6385"/>
  <c r="C33" i="6385"/>
  <c r="C37" i="6385"/>
  <c r="C41" i="6385"/>
  <c r="H47" i="6385"/>
  <c r="C19" i="6385"/>
  <c r="B23" i="6385"/>
  <c r="H29" i="6385"/>
  <c r="H30" i="6385"/>
  <c r="H41" i="6385"/>
  <c r="H44" i="6385"/>
  <c r="H48" i="6385"/>
  <c r="H2" i="6385"/>
  <c r="H3" i="6385"/>
  <c r="H27" i="6385"/>
  <c r="H22" i="6385"/>
  <c r="C34" i="6385"/>
  <c r="C42" i="6385"/>
  <c r="H49" i="6385"/>
  <c r="H9" i="6385"/>
  <c r="C20" i="6385"/>
  <c r="H39" i="6385"/>
  <c r="H42" i="6385"/>
  <c r="H45" i="6385"/>
  <c r="H50" i="6385"/>
  <c r="H16" i="6385"/>
  <c r="H18" i="6385"/>
  <c r="C38" i="6385"/>
  <c r="H20" i="6385"/>
  <c r="H15" i="6385"/>
  <c r="H37" i="6385"/>
  <c r="H13" i="6385"/>
  <c r="H21" i="6385"/>
  <c r="C35" i="6385"/>
  <c r="C39" i="6385"/>
  <c r="C43" i="6385"/>
  <c r="H51" i="6385"/>
  <c r="H7" i="6385"/>
  <c r="H23" i="6385"/>
  <c r="C17" i="6385"/>
  <c r="C21" i="6385"/>
  <c r="H31" i="6385"/>
  <c r="H32" i="6385"/>
  <c r="H33" i="6385"/>
  <c r="H46" i="638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<sst xmlns="http://schemas.openxmlformats.org/spreadsheetml/2006/main" count="3899" uniqueCount="313">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</sst>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全体!$K$2:$K$1016</c:f>
              <c:numCache>
                <c:formatCode>General</c:formatCode>
                <c:ptCount val="10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</c:numCache>
            </c:numRef>
          </c:xVal>
          <c:yVal>
            <c:numRef>
              <c:f>全体!$L$2:$L$1016</c:f>
              <c:numCache>
                <c:formatCode>\+0.0;\-0.0;\±0</c:formatCode>
                <c:ptCount val="101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4-4A07-9B11-651B90BD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-26.785714285714285</c:v>
                </c:pt>
                <c:pt idx="1">
                  <c:v>7.049345417925478</c:v>
                </c:pt>
                <c:pt idx="2">
                  <c:v>0</c:v>
                </c:pt>
                <c:pt idx="3">
                  <c:v>-2.2988505747126435</c:v>
                </c:pt>
                <c:pt idx="4">
                  <c:v>9.9502487562189046</c:v>
                </c:pt>
                <c:pt idx="5">
                  <c:v>19.431988041853511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B-43F3-85F0-84632ECB0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195</c:v>
                </c:pt>
                <c:pt idx="1">
                  <c:v>427</c:v>
                </c:pt>
                <c:pt idx="2">
                  <c:v>479</c:v>
                </c:pt>
                <c:pt idx="3">
                  <c:v>441</c:v>
                </c:pt>
                <c:pt idx="4">
                  <c:v>388</c:v>
                </c:pt>
                <c:pt idx="5">
                  <c:v>265</c:v>
                </c:pt>
                <c:pt idx="6">
                  <c:v>129</c:v>
                </c:pt>
                <c:pt idx="7">
                  <c:v>71</c:v>
                </c:pt>
                <c:pt idx="8">
                  <c:v>32</c:v>
                </c:pt>
                <c:pt idx="9">
                  <c:v>12</c:v>
                </c:pt>
                <c:pt idx="10">
                  <c:v>8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C-4F94-B721-ECA64604A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たかの!$L$2:$L$90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6-426B-A931-D44298E76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1920.4545454545455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B-4B39-9BB5-27BA2154B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44</c:v>
                </c:pt>
                <c:pt idx="2">
                  <c:v>44</c:v>
                </c:pt>
                <c:pt idx="3">
                  <c:v>39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5-455E-8762-39EA3736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だいち!$L$2:$L$204</c:f>
              <c:numCache>
                <c:formatCode>\+0.0;\-0.0;\±0</c:formatCode>
                <c:ptCount val="20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E-439B-827D-B209CBCAA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1395.5223880597016</c:v>
                </c:pt>
                <c:pt idx="1">
                  <c:v>1326.7676767676767</c:v>
                </c:pt>
                <c:pt idx="2">
                  <c:v>1183.1578947368421</c:v>
                </c:pt>
                <c:pt idx="3">
                  <c:v>109.03954802259886</c:v>
                </c:pt>
                <c:pt idx="4">
                  <c:v>1783.6363636363637</c:v>
                </c:pt>
                <c:pt idx="5">
                  <c:v>2134.5588235294117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C-4413-A73B-37A1E20B7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54</c:v>
                </c:pt>
                <c:pt idx="1">
                  <c:v>106</c:v>
                </c:pt>
                <c:pt idx="2">
                  <c:v>111</c:v>
                </c:pt>
                <c:pt idx="3">
                  <c:v>100</c:v>
                </c:pt>
                <c:pt idx="4">
                  <c:v>84</c:v>
                </c:pt>
                <c:pt idx="5">
                  <c:v>56</c:v>
                </c:pt>
                <c:pt idx="6">
                  <c:v>25</c:v>
                </c:pt>
                <c:pt idx="7">
                  <c:v>11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0-4AF0-A314-6E8712814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ただ!$K$2:$K$180</c:f>
              <c:numCache>
                <c:formatCode>General</c:formatCode>
                <c:ptCount val="1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</c:numCache>
            </c:numRef>
          </c:xVal>
          <c:yVal>
            <c:numRef>
              <c:f>ただ!$L$2:$L$180</c:f>
              <c:numCache>
                <c:formatCode>\+0.0;\-0.0;\±0</c:formatCode>
                <c:ptCount val="17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6-4812-A120-0E3354AD1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-1052.840909090909</c:v>
                </c:pt>
                <c:pt idx="1">
                  <c:v>1165.3179190751446</c:v>
                </c:pt>
                <c:pt idx="2">
                  <c:v>-245.96273291925465</c:v>
                </c:pt>
                <c:pt idx="3">
                  <c:v>107.84313725490196</c:v>
                </c:pt>
                <c:pt idx="4">
                  <c:v>-1502.1428571428571</c:v>
                </c:pt>
                <c:pt idx="5">
                  <c:v>1161.3445378151262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0-45CF-B31B-1C18C8038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93</c:v>
                </c:pt>
                <c:pt idx="4">
                  <c:v>65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8-4997-93E3-A11DFFC35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4DB-85F5-AE90287E9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-637.37373737373741</c:v>
                </c:pt>
                <c:pt idx="1">
                  <c:v>-893.93939393939399</c:v>
                </c:pt>
                <c:pt idx="2">
                  <c:v>469.89247311827955</c:v>
                </c:pt>
                <c:pt idx="3">
                  <c:v>-779.12087912087907</c:v>
                </c:pt>
                <c:pt idx="4">
                  <c:v>-2894.1860465116279</c:v>
                </c:pt>
                <c:pt idx="5">
                  <c:v>-1877.3333333333333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5C-4406-BDB1-046FA8C9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35</c:v>
                </c:pt>
                <c:pt idx="4">
                  <c:v>39</c:v>
                </c:pt>
                <c:pt idx="5">
                  <c:v>23</c:v>
                </c:pt>
                <c:pt idx="6">
                  <c:v>14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3-4E9D-A204-8D3FAC491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れんたろう!$K$2:$K$153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れんたろう!$L$2:$L$153</c:f>
              <c:numCache>
                <c:formatCode>\+0.0;\-0.0;\±0</c:formatCode>
                <c:ptCount val="15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5-472A-AB4B-6B4C900E6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1629.3333333333333</c:v>
                </c:pt>
                <c:pt idx="1">
                  <c:v>-2154.4217687074829</c:v>
                </c:pt>
                <c:pt idx="2">
                  <c:v>118.79699248120301</c:v>
                </c:pt>
                <c:pt idx="3">
                  <c:v>2176.2295081967213</c:v>
                </c:pt>
                <c:pt idx="4">
                  <c:v>1425.4545454545455</c:v>
                </c:pt>
                <c:pt idx="5">
                  <c:v>472.61904761904759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5F9-8901-D5EA9A6C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9</c:v>
                </c:pt>
                <c:pt idx="1">
                  <c:v>25</c:v>
                </c:pt>
                <c:pt idx="2">
                  <c:v>44</c:v>
                </c:pt>
                <c:pt idx="3">
                  <c:v>61</c:v>
                </c:pt>
                <c:pt idx="4">
                  <c:v>72</c:v>
                </c:pt>
                <c:pt idx="5">
                  <c:v>47</c:v>
                </c:pt>
                <c:pt idx="6">
                  <c:v>25</c:v>
                </c:pt>
                <c:pt idx="7">
                  <c:v>21</c:v>
                </c:pt>
                <c:pt idx="8">
                  <c:v>9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FF8-8EF9-957AAAFEC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D-4F70-92F5-5F862DB7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B-41A6-B3A1-A6706146D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8-4DD0-803D-8370A8DD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のり!$L$2:$L$69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8-4DE6-ACA1-739060998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-3300</c:v>
                </c:pt>
                <c:pt idx="1">
                  <c:v>1758.2089552238806</c:v>
                </c:pt>
                <c:pt idx="2">
                  <c:v>-865.07936507936506</c:v>
                </c:pt>
                <c:pt idx="3">
                  <c:v>-1503.5714285714287</c:v>
                </c:pt>
                <c:pt idx="4">
                  <c:v>-1926.4150943396226</c:v>
                </c:pt>
                <c:pt idx="5">
                  <c:v>-2125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B-4958-A086-19BB8CD3E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29</c:v>
                </c:pt>
                <c:pt idx="3">
                  <c:v>24</c:v>
                </c:pt>
                <c:pt idx="4">
                  <c:v>21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9-4E83-B3FF-7F721976A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ぱぱ!$L$2:$L$32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2-4ADD-BB79-6702FA4D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-3437.9310344827586</c:v>
                </c:pt>
                <c:pt idx="1">
                  <c:v>-767.85714285714289</c:v>
                </c:pt>
                <c:pt idx="2">
                  <c:v>1518.5185185185185</c:v>
                </c:pt>
                <c:pt idx="3">
                  <c:v>-2825.9259259259261</c:v>
                </c:pt>
                <c:pt idx="4">
                  <c:v>4252</c:v>
                </c:pt>
                <c:pt idx="5">
                  <c:v>419.04761904761904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7-4731-881B-7F853D06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1-4153-AFEE-F76C74161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82-4FC5-9A10-CEA942D5B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3-47B1-AAF1-0DDD25E52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2-4514-9109-0765C07C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C6-4ECF-AE9A-647BBF9DB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3-437A-9C22-76181D8B2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A-4FDF-B08A-7669B156E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8-4474-B036-D90D621C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18-4F60-9310-F8B37776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2-4DD5-81E2-10F79A70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9-4446-A1B9-E8598B56C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D-4876-8650-FA3746DE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8-4728-B96E-82B71FD78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A-413E-9C32-6E2A46086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1-46D1-8E9F-31B86E89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2-4F2D-B207-3C1A8D919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れんたろう2!$B$3:$B$154</c:f>
              <c:numCache>
                <c:formatCode>\+0.0;\-0.0;\±0</c:formatCode>
                <c:ptCount val="15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549516567451064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れんたろう2!$C$3:$C$154</c:f>
              <c:numCache>
                <c:formatCode>\+0.0;\-0.0;\±0</c:formatCode>
                <c:ptCount val="152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  <c:pt idx="124">
                  <c:v>4.6048387096774226</c:v>
                </c:pt>
                <c:pt idx="125">
                  <c:v>4.044000000000004</c:v>
                </c:pt>
                <c:pt idx="126">
                  <c:v>3.7698412698412733</c:v>
                </c:pt>
                <c:pt idx="127">
                  <c:v>4.1834645669291373</c:v>
                </c:pt>
                <c:pt idx="128">
                  <c:v>3.8601562500000033</c:v>
                </c:pt>
                <c:pt idx="129">
                  <c:v>4.1069767441860501</c:v>
                </c:pt>
                <c:pt idx="130">
                  <c:v>3.9400000000000031</c:v>
                </c:pt>
                <c:pt idx="131">
                  <c:v>3.5511450381679417</c:v>
                </c:pt>
                <c:pt idx="132">
                  <c:v>3.4257575757575789</c:v>
                </c:pt>
                <c:pt idx="133">
                  <c:v>3.8563909774436125</c:v>
                </c:pt>
                <c:pt idx="134">
                  <c:v>4.0604477611940331</c:v>
                </c:pt>
                <c:pt idx="135">
                  <c:v>4.0637037037037071</c:v>
                </c:pt>
                <c:pt idx="136">
                  <c:v>4.0816176470588275</c:v>
                </c:pt>
                <c:pt idx="137">
                  <c:v>4.2956204379562077</c:v>
                </c:pt>
                <c:pt idx="138">
                  <c:v>4.0340579710144961</c:v>
                </c:pt>
                <c:pt idx="139">
                  <c:v>4.1863309352518021</c:v>
                </c:pt>
                <c:pt idx="140">
                  <c:v>4.1992857142857183</c:v>
                </c:pt>
                <c:pt idx="141">
                  <c:v>3.7936170212765998</c:v>
                </c:pt>
                <c:pt idx="142">
                  <c:v>3.8838028169014125</c:v>
                </c:pt>
                <c:pt idx="143">
                  <c:v>3.6944055944055982</c:v>
                </c:pt>
                <c:pt idx="144">
                  <c:v>3.3395833333333371</c:v>
                </c:pt>
                <c:pt idx="145">
                  <c:v>3.4206896551724175</c:v>
                </c:pt>
                <c:pt idx="146">
                  <c:v>3.0815068493150721</c:v>
                </c:pt>
                <c:pt idx="147">
                  <c:v>3.56462585034014</c:v>
                </c:pt>
                <c:pt idx="148">
                  <c:v>3.4763513513513553</c:v>
                </c:pt>
                <c:pt idx="149">
                  <c:v>3.825503355704702</c:v>
                </c:pt>
                <c:pt idx="150">
                  <c:v>3.988000000000004</c:v>
                </c:pt>
                <c:pt idx="151">
                  <c:v>3.9304635761589442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45282610898485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れんたろう2!$D$3:$D$154</c:f>
              <c:numCache>
                <c:formatCode>0.00\ "位"</c:formatCode>
                <c:ptCount val="152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  <c:pt idx="124">
                  <c:v>1.903225806451613</c:v>
                </c:pt>
                <c:pt idx="125">
                  <c:v>1.9119999999999999</c:v>
                </c:pt>
                <c:pt idx="126">
                  <c:v>1.9206349206349207</c:v>
                </c:pt>
                <c:pt idx="127">
                  <c:v>1.9133858267716535</c:v>
                </c:pt>
                <c:pt idx="128">
                  <c:v>1.921875</c:v>
                </c:pt>
                <c:pt idx="129">
                  <c:v>1.9147286821705427</c:v>
                </c:pt>
                <c:pt idx="130">
                  <c:v>1.9230769230769231</c:v>
                </c:pt>
                <c:pt idx="131">
                  <c:v>1.9312977099236641</c:v>
                </c:pt>
                <c:pt idx="132">
                  <c:v>1.9318181818181819</c:v>
                </c:pt>
                <c:pt idx="133">
                  <c:v>1.9248120300751879</c:v>
                </c:pt>
                <c:pt idx="134">
                  <c:v>1.9179104477611941</c:v>
                </c:pt>
                <c:pt idx="135">
                  <c:v>1.9185185185185185</c:v>
                </c:pt>
                <c:pt idx="136">
                  <c:v>1.9191176470588236</c:v>
                </c:pt>
                <c:pt idx="137">
                  <c:v>1.9124087591240877</c:v>
                </c:pt>
                <c:pt idx="138">
                  <c:v>1.9202898550724639</c:v>
                </c:pt>
                <c:pt idx="139">
                  <c:v>1.9136690647482015</c:v>
                </c:pt>
                <c:pt idx="140">
                  <c:v>1.9142857142857144</c:v>
                </c:pt>
                <c:pt idx="141">
                  <c:v>1.9219858156028369</c:v>
                </c:pt>
                <c:pt idx="142">
                  <c:v>1.9225352112676057</c:v>
                </c:pt>
                <c:pt idx="143">
                  <c:v>1.93006993006993</c:v>
                </c:pt>
                <c:pt idx="144">
                  <c:v>1.9375</c:v>
                </c:pt>
                <c:pt idx="145">
                  <c:v>1.9379310344827587</c:v>
                </c:pt>
                <c:pt idx="146">
                  <c:v>1.9452054794520548</c:v>
                </c:pt>
                <c:pt idx="147">
                  <c:v>1.9387755102040816</c:v>
                </c:pt>
                <c:pt idx="148">
                  <c:v>1.9391891891891893</c:v>
                </c:pt>
                <c:pt idx="149">
                  <c:v>1.9328859060402686</c:v>
                </c:pt>
                <c:pt idx="150">
                  <c:v>1.9266666666666667</c:v>
                </c:pt>
                <c:pt idx="151">
                  <c:v>1.9271523178807948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れんたろう2!$E$3:$E$154</c:f>
              <c:numCache>
                <c:formatCode>0.0%</c:formatCode>
                <c:ptCount val="1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</c:v>
                </c:pt>
                <c:pt idx="126">
                  <c:v>0.3968253968253968</c:v>
                </c:pt>
                <c:pt idx="127">
                  <c:v>0.40157480314960631</c:v>
                </c:pt>
                <c:pt idx="128">
                  <c:v>0.3984375</c:v>
                </c:pt>
                <c:pt idx="129">
                  <c:v>0.40310077519379844</c:v>
                </c:pt>
                <c:pt idx="130">
                  <c:v>0.4</c:v>
                </c:pt>
                <c:pt idx="131">
                  <c:v>0.39694656488549618</c:v>
                </c:pt>
                <c:pt idx="132">
                  <c:v>0.39393939393939392</c:v>
                </c:pt>
                <c:pt idx="133">
                  <c:v>0.39849624060150374</c:v>
                </c:pt>
                <c:pt idx="134">
                  <c:v>0.40298507462686567</c:v>
                </c:pt>
                <c:pt idx="135">
                  <c:v>0.4</c:v>
                </c:pt>
                <c:pt idx="136">
                  <c:v>0.39705882352941174</c:v>
                </c:pt>
                <c:pt idx="137">
                  <c:v>0.40145985401459855</c:v>
                </c:pt>
                <c:pt idx="138">
                  <c:v>0.39855072463768115</c:v>
                </c:pt>
                <c:pt idx="139">
                  <c:v>0.40287769784172661</c:v>
                </c:pt>
                <c:pt idx="140">
                  <c:v>0.4</c:v>
                </c:pt>
                <c:pt idx="141">
                  <c:v>0.3971631205673759</c:v>
                </c:pt>
                <c:pt idx="142">
                  <c:v>0.39436619718309857</c:v>
                </c:pt>
                <c:pt idx="143">
                  <c:v>0.39160839160839161</c:v>
                </c:pt>
                <c:pt idx="144">
                  <c:v>0.3888888888888889</c:v>
                </c:pt>
                <c:pt idx="145">
                  <c:v>0.38620689655172413</c:v>
                </c:pt>
                <c:pt idx="146">
                  <c:v>0.38356164383561642</c:v>
                </c:pt>
                <c:pt idx="147">
                  <c:v>0.38775510204081631</c:v>
                </c:pt>
                <c:pt idx="148">
                  <c:v>0.38513513513513514</c:v>
                </c:pt>
                <c:pt idx="149">
                  <c:v>0.38926174496644295</c:v>
                </c:pt>
                <c:pt idx="150">
                  <c:v>0.39333333333333331</c:v>
                </c:pt>
                <c:pt idx="151">
                  <c:v>0.39072847682119205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れんたろう2!$F$3:$F$154</c:f>
              <c:numCache>
                <c:formatCode>0.0%</c:formatCode>
                <c:ptCount val="152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0.31782945736434109</c:v>
                </c:pt>
                <c:pt idx="130">
                  <c:v>0.32307692307692309</c:v>
                </c:pt>
                <c:pt idx="131">
                  <c:v>0.3282442748091603</c:v>
                </c:pt>
                <c:pt idx="132">
                  <c:v>0.32575757575757575</c:v>
                </c:pt>
                <c:pt idx="133">
                  <c:v>0.32330827067669171</c:v>
                </c:pt>
                <c:pt idx="134">
                  <c:v>0.32089552238805968</c:v>
                </c:pt>
                <c:pt idx="135">
                  <c:v>0.31851851851851853</c:v>
                </c:pt>
                <c:pt idx="136">
                  <c:v>0.31617647058823528</c:v>
                </c:pt>
                <c:pt idx="137">
                  <c:v>0.31386861313868614</c:v>
                </c:pt>
                <c:pt idx="138">
                  <c:v>0.3188405797101449</c:v>
                </c:pt>
                <c:pt idx="139">
                  <c:v>0.31654676258992803</c:v>
                </c:pt>
                <c:pt idx="140">
                  <c:v>0.31428571428571428</c:v>
                </c:pt>
                <c:pt idx="141">
                  <c:v>0.31914893617021278</c:v>
                </c:pt>
                <c:pt idx="142">
                  <c:v>0.31690140845070425</c:v>
                </c:pt>
                <c:pt idx="143">
                  <c:v>0.32167832167832167</c:v>
                </c:pt>
                <c:pt idx="144">
                  <c:v>0.3263888888888889</c:v>
                </c:pt>
                <c:pt idx="145">
                  <c:v>0.32413793103448274</c:v>
                </c:pt>
                <c:pt idx="146">
                  <c:v>0.32876712328767121</c:v>
                </c:pt>
                <c:pt idx="147">
                  <c:v>0.32653061224489793</c:v>
                </c:pt>
                <c:pt idx="148">
                  <c:v>0.32432432432432434</c:v>
                </c:pt>
                <c:pt idx="149">
                  <c:v>0.32214765100671139</c:v>
                </c:pt>
                <c:pt idx="150">
                  <c:v>0.32</c:v>
                </c:pt>
                <c:pt idx="151">
                  <c:v>0.31788079470198677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れんたろう2!$G$3:$G$154</c:f>
              <c:numCache>
                <c:formatCode>0.0%</c:formatCode>
                <c:ptCount val="152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  <c:pt idx="124">
                  <c:v>0.27936821322803551</c:v>
                </c:pt>
                <c:pt idx="125">
                  <c:v>0.27881773399014781</c:v>
                </c:pt>
                <c:pt idx="126">
                  <c:v>0.27788649706457924</c:v>
                </c:pt>
                <c:pt idx="127">
                  <c:v>0.27756286266924562</c:v>
                </c:pt>
                <c:pt idx="128">
                  <c:v>0.27586206896551724</c:v>
                </c:pt>
                <c:pt idx="129">
                  <c:v>0.27714285714285714</c:v>
                </c:pt>
                <c:pt idx="130">
                  <c:v>0.27599243856332706</c:v>
                </c:pt>
                <c:pt idx="131">
                  <c:v>0.27417840375586855</c:v>
                </c:pt>
                <c:pt idx="132">
                  <c:v>0.27255813953488373</c:v>
                </c:pt>
                <c:pt idx="133">
                  <c:v>0.27331486611265005</c:v>
                </c:pt>
                <c:pt idx="134">
                  <c:v>0.27422303473491771</c:v>
                </c:pt>
                <c:pt idx="135">
                  <c:v>0.27445652173913043</c:v>
                </c:pt>
                <c:pt idx="136">
                  <c:v>0.27387387387387385</c:v>
                </c:pt>
                <c:pt idx="137">
                  <c:v>0.27370304114490163</c:v>
                </c:pt>
                <c:pt idx="138">
                  <c:v>0.27200000000000002</c:v>
                </c:pt>
                <c:pt idx="139">
                  <c:v>0.27208480565371024</c:v>
                </c:pt>
                <c:pt idx="140">
                  <c:v>0.27192982456140352</c:v>
                </c:pt>
                <c:pt idx="141">
                  <c:v>0.27097902097902099</c:v>
                </c:pt>
                <c:pt idx="142">
                  <c:v>0.27146574154379877</c:v>
                </c:pt>
                <c:pt idx="143">
                  <c:v>0.27155172413793105</c:v>
                </c:pt>
                <c:pt idx="144">
                  <c:v>0.27163667523564694</c:v>
                </c:pt>
                <c:pt idx="145">
                  <c:v>0.27257240204429301</c:v>
                </c:pt>
                <c:pt idx="146">
                  <c:v>0.27164685908319186</c:v>
                </c:pt>
                <c:pt idx="147">
                  <c:v>0.27387996618765847</c:v>
                </c:pt>
                <c:pt idx="148">
                  <c:v>0.27318718381112983</c:v>
                </c:pt>
                <c:pt idx="149">
                  <c:v>0.27417998317914216</c:v>
                </c:pt>
                <c:pt idx="150">
                  <c:v>0.27447698744769872</c:v>
                </c:pt>
                <c:pt idx="151">
                  <c:v>0.27377998345740279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2708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れんたろう2!$H$3:$H$154</c:f>
              <c:numCache>
                <c:formatCode>0.0%</c:formatCode>
                <c:ptCount val="152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  <c:pt idx="124">
                  <c:v>0.16979269496544916</c:v>
                </c:pt>
                <c:pt idx="125">
                  <c:v>0.17044334975369457</c:v>
                </c:pt>
                <c:pt idx="126">
                  <c:v>0.17123287671232876</c:v>
                </c:pt>
                <c:pt idx="127">
                  <c:v>0.17117988394584138</c:v>
                </c:pt>
                <c:pt idx="128">
                  <c:v>0.17145593869731801</c:v>
                </c:pt>
                <c:pt idx="129">
                  <c:v>0.17047619047619048</c:v>
                </c:pt>
                <c:pt idx="130">
                  <c:v>0.17013232514177692</c:v>
                </c:pt>
                <c:pt idx="131">
                  <c:v>0.17183098591549295</c:v>
                </c:pt>
                <c:pt idx="132">
                  <c:v>0.17209302325581396</c:v>
                </c:pt>
                <c:pt idx="133">
                  <c:v>0.17359187442289936</c:v>
                </c:pt>
                <c:pt idx="134">
                  <c:v>0.17367458866544791</c:v>
                </c:pt>
                <c:pt idx="135">
                  <c:v>0.17481884057971014</c:v>
                </c:pt>
                <c:pt idx="136">
                  <c:v>0.17387387387387387</c:v>
                </c:pt>
                <c:pt idx="137">
                  <c:v>0.1744186046511628</c:v>
                </c:pt>
                <c:pt idx="138">
                  <c:v>0.17422222222222222</c:v>
                </c:pt>
                <c:pt idx="139">
                  <c:v>0.17402826855123674</c:v>
                </c:pt>
                <c:pt idx="140">
                  <c:v>0.1736842105263158</c:v>
                </c:pt>
                <c:pt idx="141">
                  <c:v>0.17482517482517482</c:v>
                </c:pt>
                <c:pt idx="142">
                  <c:v>0.17519514310494363</c:v>
                </c:pt>
                <c:pt idx="143">
                  <c:v>0.17413793103448275</c:v>
                </c:pt>
                <c:pt idx="144">
                  <c:v>0.17395029991431019</c:v>
                </c:pt>
                <c:pt idx="145">
                  <c:v>0.17461669505962521</c:v>
                </c:pt>
                <c:pt idx="146">
                  <c:v>0.17487266553480477</c:v>
                </c:pt>
                <c:pt idx="147">
                  <c:v>0.17413355874894337</c:v>
                </c:pt>
                <c:pt idx="148">
                  <c:v>0.17369308600337269</c:v>
                </c:pt>
                <c:pt idx="149">
                  <c:v>0.17325483599663583</c:v>
                </c:pt>
                <c:pt idx="150">
                  <c:v>0.17322175732217573</c:v>
                </c:pt>
                <c:pt idx="151">
                  <c:v>0.17369727047146402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392992424242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れんたろう2!$I$3:$I$154</c:f>
              <c:numCache>
                <c:formatCode>0</c:formatCode>
                <c:ptCount val="152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  <c:pt idx="124">
                  <c:v>10697.526501766784</c:v>
                </c:pt>
                <c:pt idx="125">
                  <c:v>10697.526501766784</c:v>
                </c:pt>
                <c:pt idx="126">
                  <c:v>10702.112676056338</c:v>
                </c:pt>
                <c:pt idx="127">
                  <c:v>10827.177700348431</c:v>
                </c:pt>
                <c:pt idx="128">
                  <c:v>10831.25</c:v>
                </c:pt>
                <c:pt idx="129">
                  <c:v>10828.52233676976</c:v>
                </c:pt>
                <c:pt idx="130">
                  <c:v>10798.630136986301</c:v>
                </c:pt>
                <c:pt idx="131">
                  <c:v>10798.630136986301</c:v>
                </c:pt>
                <c:pt idx="132">
                  <c:v>10816.382252559726</c:v>
                </c:pt>
                <c:pt idx="133">
                  <c:v>10950</c:v>
                </c:pt>
                <c:pt idx="134">
                  <c:v>10948</c:v>
                </c:pt>
                <c:pt idx="135">
                  <c:v>10919.141914191419</c:v>
                </c:pt>
                <c:pt idx="136">
                  <c:v>10935.855263157895</c:v>
                </c:pt>
                <c:pt idx="137">
                  <c:v>10949.346405228758</c:v>
                </c:pt>
                <c:pt idx="138">
                  <c:v>10949.346405228758</c:v>
                </c:pt>
                <c:pt idx="139">
                  <c:v>10969.155844155845</c:v>
                </c:pt>
                <c:pt idx="140">
                  <c:v>11027.41935483871</c:v>
                </c:pt>
                <c:pt idx="141">
                  <c:v>11027.41935483871</c:v>
                </c:pt>
                <c:pt idx="142">
                  <c:v>11062.300319488819</c:v>
                </c:pt>
                <c:pt idx="143">
                  <c:v>11036.825396825398</c:v>
                </c:pt>
                <c:pt idx="144">
                  <c:v>11041.640378548896</c:v>
                </c:pt>
                <c:pt idx="145">
                  <c:v>11038.125</c:v>
                </c:pt>
                <c:pt idx="146">
                  <c:v>11038.125</c:v>
                </c:pt>
                <c:pt idx="147">
                  <c:v>11087.037037037036</c:v>
                </c:pt>
                <c:pt idx="148">
                  <c:v>11087.037037037036</c:v>
                </c:pt>
                <c:pt idx="149">
                  <c:v>11153.98773006135</c:v>
                </c:pt>
                <c:pt idx="150">
                  <c:v>11175</c:v>
                </c:pt>
                <c:pt idx="151">
                  <c:v>11139.2749244713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6.17860016090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れんたろう2!$J$3:$J$154</c:f>
              <c:numCache>
                <c:formatCode>0</c:formatCode>
                <c:ptCount val="152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  <c:pt idx="124">
                  <c:v>-7897.0930232558139</c:v>
                </c:pt>
                <c:pt idx="125">
                  <c:v>-8128.9017341040462</c:v>
                </c:pt>
                <c:pt idx="126">
                  <c:v>-8111.4285714285716</c:v>
                </c:pt>
                <c:pt idx="127">
                  <c:v>-8116.9491525423728</c:v>
                </c:pt>
                <c:pt idx="128">
                  <c:v>-8136.3128491620109</c:v>
                </c:pt>
                <c:pt idx="129">
                  <c:v>-8136.3128491620109</c:v>
                </c:pt>
                <c:pt idx="130">
                  <c:v>-8105.5555555555557</c:v>
                </c:pt>
                <c:pt idx="131">
                  <c:v>-8065.0273224043713</c:v>
                </c:pt>
                <c:pt idx="132">
                  <c:v>-8040.5405405405409</c:v>
                </c:pt>
                <c:pt idx="133">
                  <c:v>-7993.6170212765956</c:v>
                </c:pt>
                <c:pt idx="134">
                  <c:v>-7993.6842105263158</c:v>
                </c:pt>
                <c:pt idx="135">
                  <c:v>-7965.8031088082898</c:v>
                </c:pt>
                <c:pt idx="136">
                  <c:v>-7965.8031088082898</c:v>
                </c:pt>
                <c:pt idx="137">
                  <c:v>-7916.4102564102568</c:v>
                </c:pt>
                <c:pt idx="138">
                  <c:v>-7937.2448979591836</c:v>
                </c:pt>
                <c:pt idx="139">
                  <c:v>-7926.3959390862947</c:v>
                </c:pt>
                <c:pt idx="140">
                  <c:v>-7946.969696969697</c:v>
                </c:pt>
                <c:pt idx="141">
                  <c:v>-8017.5</c:v>
                </c:pt>
                <c:pt idx="142">
                  <c:v>-8076.2376237623766</c:v>
                </c:pt>
                <c:pt idx="143">
                  <c:v>-8076.2376237623766</c:v>
                </c:pt>
                <c:pt idx="144">
                  <c:v>-8272.9064039408859</c:v>
                </c:pt>
                <c:pt idx="145">
                  <c:v>-8269.7560975609758</c:v>
                </c:pt>
                <c:pt idx="146">
                  <c:v>-8384.9514563106804</c:v>
                </c:pt>
                <c:pt idx="147">
                  <c:v>-8384.9514563106804</c:v>
                </c:pt>
                <c:pt idx="148">
                  <c:v>-8384.9514563106804</c:v>
                </c:pt>
                <c:pt idx="149">
                  <c:v>-8384.9514563106804</c:v>
                </c:pt>
                <c:pt idx="150">
                  <c:v>-8402.4154589371974</c:v>
                </c:pt>
                <c:pt idx="151">
                  <c:v>-8387.1428571428569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0.03690036900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れんたろう2!$K$3:$K$154</c:f>
              <c:numCache>
                <c:formatCode>0.0%</c:formatCode>
                <c:ptCount val="152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  <c:pt idx="124">
                  <c:v>0.11290322580645161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  <c:pt idx="131">
                  <c:v>0.12213740458015267</c:v>
                </c:pt>
                <c:pt idx="132">
                  <c:v>0.12121212121212122</c:v>
                </c:pt>
                <c:pt idx="133">
                  <c:v>0.12030075187969924</c:v>
                </c:pt>
                <c:pt idx="134">
                  <c:v>0.11940298507462686</c:v>
                </c:pt>
                <c:pt idx="135">
                  <c:v>0.11851851851851852</c:v>
                </c:pt>
                <c:pt idx="136">
                  <c:v>0.11764705882352941</c:v>
                </c:pt>
                <c:pt idx="137">
                  <c:v>0.11678832116788321</c:v>
                </c:pt>
                <c:pt idx="138">
                  <c:v>0.11594202898550725</c:v>
                </c:pt>
                <c:pt idx="139">
                  <c:v>0.11510791366906475</c:v>
                </c:pt>
                <c:pt idx="140">
                  <c:v>0.11428571428571428</c:v>
                </c:pt>
                <c:pt idx="141">
                  <c:v>0.12056737588652482</c:v>
                </c:pt>
                <c:pt idx="142">
                  <c:v>0.11971830985915492</c:v>
                </c:pt>
                <c:pt idx="143">
                  <c:v>0.11888111888111888</c:v>
                </c:pt>
                <c:pt idx="144">
                  <c:v>0.125</c:v>
                </c:pt>
                <c:pt idx="145">
                  <c:v>0.12413793103448276</c:v>
                </c:pt>
                <c:pt idx="146">
                  <c:v>0.13013698630136986</c:v>
                </c:pt>
                <c:pt idx="147">
                  <c:v>0.12925170068027211</c:v>
                </c:pt>
                <c:pt idx="148">
                  <c:v>0.12837837837837837</c:v>
                </c:pt>
                <c:pt idx="149">
                  <c:v>0.12751677852348994</c:v>
                </c:pt>
                <c:pt idx="150">
                  <c:v>0.12666666666666668</c:v>
                </c:pt>
                <c:pt idx="151">
                  <c:v>0.12582781456953643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63313609467455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れんたろう2!$L$3:$L$154</c:f>
              <c:numCache>
                <c:formatCode>0.0%</c:formatCode>
                <c:ptCount val="152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  <c:pt idx="124">
                  <c:v>0.30700888450148073</c:v>
                </c:pt>
                <c:pt idx="125">
                  <c:v>0.30640394088669953</c:v>
                </c:pt>
                <c:pt idx="126">
                  <c:v>0.30430528375733856</c:v>
                </c:pt>
                <c:pt idx="127">
                  <c:v>0.30367504835589942</c:v>
                </c:pt>
                <c:pt idx="128">
                  <c:v>0.30363984674329503</c:v>
                </c:pt>
                <c:pt idx="129">
                  <c:v>0.30476190476190479</c:v>
                </c:pt>
                <c:pt idx="130">
                  <c:v>0.30434782608695654</c:v>
                </c:pt>
                <c:pt idx="131">
                  <c:v>0.30234741784037561</c:v>
                </c:pt>
                <c:pt idx="132">
                  <c:v>0.30139534883720931</c:v>
                </c:pt>
                <c:pt idx="133">
                  <c:v>0.30009233610341646</c:v>
                </c:pt>
                <c:pt idx="134">
                  <c:v>0.29981718464351004</c:v>
                </c:pt>
                <c:pt idx="135">
                  <c:v>0.29891304347826086</c:v>
                </c:pt>
                <c:pt idx="136">
                  <c:v>0.29819819819819821</c:v>
                </c:pt>
                <c:pt idx="137">
                  <c:v>0.29785330948121647</c:v>
                </c:pt>
                <c:pt idx="138">
                  <c:v>0.29599999999999999</c:v>
                </c:pt>
                <c:pt idx="139">
                  <c:v>0.29593639575971731</c:v>
                </c:pt>
                <c:pt idx="140">
                  <c:v>0.29736842105263156</c:v>
                </c:pt>
                <c:pt idx="141">
                  <c:v>0.29720279720279719</c:v>
                </c:pt>
                <c:pt idx="142">
                  <c:v>0.29835212489158719</c:v>
                </c:pt>
                <c:pt idx="143">
                  <c:v>0.29913793103448277</c:v>
                </c:pt>
                <c:pt idx="144">
                  <c:v>0.29820051413881749</c:v>
                </c:pt>
                <c:pt idx="145">
                  <c:v>0.29727427597955708</c:v>
                </c:pt>
                <c:pt idx="146">
                  <c:v>0.29626485568760613</c:v>
                </c:pt>
                <c:pt idx="147">
                  <c:v>0.2967032967032967</c:v>
                </c:pt>
                <c:pt idx="148">
                  <c:v>0.29595278246205736</c:v>
                </c:pt>
                <c:pt idx="149">
                  <c:v>0.29604709840201848</c:v>
                </c:pt>
                <c:pt idx="150">
                  <c:v>0.29623430962343095</c:v>
                </c:pt>
                <c:pt idx="151">
                  <c:v>0.29528535980148884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828598484848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れんたろう2!$M$3:$M$154</c:f>
              <c:numCache>
                <c:formatCode>0.0%</c:formatCode>
                <c:ptCount val="152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  <c:pt idx="124">
                  <c:v>0.18065153010858837</c:v>
                </c:pt>
                <c:pt idx="125">
                  <c:v>0.18029556650246306</c:v>
                </c:pt>
                <c:pt idx="126">
                  <c:v>0.18395303326810175</c:v>
                </c:pt>
                <c:pt idx="127">
                  <c:v>0.18568665377176016</c:v>
                </c:pt>
                <c:pt idx="128">
                  <c:v>0.18486590038314177</c:v>
                </c:pt>
                <c:pt idx="129">
                  <c:v>0.18380952380952381</c:v>
                </c:pt>
                <c:pt idx="130">
                  <c:v>0.18525519848771266</c:v>
                </c:pt>
                <c:pt idx="131">
                  <c:v>0.18497652582159624</c:v>
                </c:pt>
                <c:pt idx="132">
                  <c:v>0.18511627906976744</c:v>
                </c:pt>
                <c:pt idx="133">
                  <c:v>0.18374884579870729</c:v>
                </c:pt>
                <c:pt idx="134">
                  <c:v>0.18190127970749542</c:v>
                </c:pt>
                <c:pt idx="135">
                  <c:v>0.18115942028985507</c:v>
                </c:pt>
                <c:pt idx="136">
                  <c:v>0.18108108108108109</c:v>
                </c:pt>
                <c:pt idx="137">
                  <c:v>0.18067978533094811</c:v>
                </c:pt>
                <c:pt idx="138">
                  <c:v>0.18133333333333335</c:v>
                </c:pt>
                <c:pt idx="139">
                  <c:v>0.18197879858657243</c:v>
                </c:pt>
                <c:pt idx="140">
                  <c:v>0.18245614035087721</c:v>
                </c:pt>
                <c:pt idx="141">
                  <c:v>0.18269230769230768</c:v>
                </c:pt>
                <c:pt idx="142">
                  <c:v>0.18300086730268864</c:v>
                </c:pt>
                <c:pt idx="143">
                  <c:v>0.18362068965517242</c:v>
                </c:pt>
                <c:pt idx="144">
                  <c:v>0.18337617823479005</c:v>
                </c:pt>
                <c:pt idx="145">
                  <c:v>0.18483816013628621</c:v>
                </c:pt>
                <c:pt idx="146">
                  <c:v>0.18421052631578946</c:v>
                </c:pt>
                <c:pt idx="147">
                  <c:v>0.18427726120033813</c:v>
                </c:pt>
                <c:pt idx="148">
                  <c:v>0.18465430016863407</c:v>
                </c:pt>
                <c:pt idx="149">
                  <c:v>0.18418839360807401</c:v>
                </c:pt>
                <c:pt idx="150">
                  <c:v>0.18326359832635983</c:v>
                </c:pt>
                <c:pt idx="151">
                  <c:v>0.18527708850289495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534090909090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れんたろう2!$N$3:$N$154</c:f>
              <c:numCache>
                <c:formatCode>0.0%</c:formatCode>
                <c:ptCount val="152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  <c:pt idx="124">
                  <c:v>0.54983922829581988</c:v>
                </c:pt>
                <c:pt idx="125">
                  <c:v>0.54983922829581988</c:v>
                </c:pt>
                <c:pt idx="126">
                  <c:v>0.54983922829581988</c:v>
                </c:pt>
                <c:pt idx="127">
                  <c:v>0.55095541401273884</c:v>
                </c:pt>
                <c:pt idx="128">
                  <c:v>0.54889589905362779</c:v>
                </c:pt>
                <c:pt idx="129">
                  <c:v>0.55312499999999998</c:v>
                </c:pt>
                <c:pt idx="130">
                  <c:v>0.5496894409937888</c:v>
                </c:pt>
                <c:pt idx="131">
                  <c:v>0.5496894409937888</c:v>
                </c:pt>
                <c:pt idx="132">
                  <c:v>0.54938271604938271</c:v>
                </c:pt>
                <c:pt idx="133">
                  <c:v>0.55076923076923079</c:v>
                </c:pt>
                <c:pt idx="134">
                  <c:v>0.54878048780487809</c:v>
                </c:pt>
                <c:pt idx="135">
                  <c:v>0.54848484848484846</c:v>
                </c:pt>
                <c:pt idx="136">
                  <c:v>0.54682779456193353</c:v>
                </c:pt>
                <c:pt idx="137">
                  <c:v>0.5495495495495496</c:v>
                </c:pt>
                <c:pt idx="138">
                  <c:v>0.5495495495495496</c:v>
                </c:pt>
                <c:pt idx="139">
                  <c:v>0.54925373134328359</c:v>
                </c:pt>
                <c:pt idx="140">
                  <c:v>0.54867256637168138</c:v>
                </c:pt>
                <c:pt idx="141">
                  <c:v>0.54705882352941182</c:v>
                </c:pt>
                <c:pt idx="142">
                  <c:v>0.54360465116279066</c:v>
                </c:pt>
                <c:pt idx="143">
                  <c:v>0.5417867435158501</c:v>
                </c:pt>
                <c:pt idx="144">
                  <c:v>0.54022988505747127</c:v>
                </c:pt>
                <c:pt idx="145">
                  <c:v>0.5386819484240688</c:v>
                </c:pt>
                <c:pt idx="146">
                  <c:v>0.5386819484240688</c:v>
                </c:pt>
                <c:pt idx="147">
                  <c:v>0.54131054131054135</c:v>
                </c:pt>
                <c:pt idx="148">
                  <c:v>0.54131054131054135</c:v>
                </c:pt>
                <c:pt idx="149">
                  <c:v>0.54261363636363635</c:v>
                </c:pt>
                <c:pt idx="150">
                  <c:v>0.5423728813559322</c:v>
                </c:pt>
                <c:pt idx="151">
                  <c:v>0.54061624649859941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012269938650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れんたろう2!$O$3:$O$154</c:f>
              <c:numCache>
                <c:formatCode>0.0%</c:formatCode>
                <c:ptCount val="152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  <c:pt idx="124">
                  <c:v>0.39890710382513661</c:v>
                </c:pt>
                <c:pt idx="125">
                  <c:v>0.39890710382513661</c:v>
                </c:pt>
                <c:pt idx="126">
                  <c:v>0.39361702127659576</c:v>
                </c:pt>
                <c:pt idx="127">
                  <c:v>0.390625</c:v>
                </c:pt>
                <c:pt idx="128">
                  <c:v>0.38860103626943004</c:v>
                </c:pt>
                <c:pt idx="129">
                  <c:v>0.38860103626943004</c:v>
                </c:pt>
                <c:pt idx="130">
                  <c:v>0.38265306122448978</c:v>
                </c:pt>
                <c:pt idx="131">
                  <c:v>0.38071065989847713</c:v>
                </c:pt>
                <c:pt idx="132">
                  <c:v>0.37688442211055279</c:v>
                </c:pt>
                <c:pt idx="133">
                  <c:v>0.37688442211055279</c:v>
                </c:pt>
                <c:pt idx="134">
                  <c:v>0.37688442211055279</c:v>
                </c:pt>
                <c:pt idx="135">
                  <c:v>0.375</c:v>
                </c:pt>
                <c:pt idx="136">
                  <c:v>0.37313432835820898</c:v>
                </c:pt>
                <c:pt idx="137">
                  <c:v>0.37128712871287128</c:v>
                </c:pt>
                <c:pt idx="138">
                  <c:v>0.36764705882352944</c:v>
                </c:pt>
                <c:pt idx="139">
                  <c:v>0.36893203883495146</c:v>
                </c:pt>
                <c:pt idx="140">
                  <c:v>0.36538461538461536</c:v>
                </c:pt>
                <c:pt idx="141">
                  <c:v>0.36363636363636365</c:v>
                </c:pt>
                <c:pt idx="142">
                  <c:v>0.36966824644549762</c:v>
                </c:pt>
                <c:pt idx="143">
                  <c:v>0.37089201877934275</c:v>
                </c:pt>
                <c:pt idx="144">
                  <c:v>0.37383177570093457</c:v>
                </c:pt>
                <c:pt idx="145">
                  <c:v>0.38248847926267282</c:v>
                </c:pt>
                <c:pt idx="146">
                  <c:v>0.38248847926267282</c:v>
                </c:pt>
                <c:pt idx="147">
                  <c:v>0.38532110091743121</c:v>
                </c:pt>
                <c:pt idx="148">
                  <c:v>0.38356164383561642</c:v>
                </c:pt>
                <c:pt idx="149">
                  <c:v>0.38356164383561642</c:v>
                </c:pt>
                <c:pt idx="150">
                  <c:v>0.38356164383561642</c:v>
                </c:pt>
                <c:pt idx="151">
                  <c:v>0.38392857142857145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734151329243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れんたろう2!$A$3:$A$154</c:f>
              <c:numCache>
                <c:formatCode>0\ "回"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れんたろう2!$P$3:$P$154</c:f>
              <c:numCache>
                <c:formatCode>0.0%</c:formatCode>
                <c:ptCount val="152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  <c:pt idx="124">
                  <c:v>0.50176678445229683</c:v>
                </c:pt>
                <c:pt idx="125">
                  <c:v>0.50176678445229683</c:v>
                </c:pt>
                <c:pt idx="126">
                  <c:v>0.50352112676056338</c:v>
                </c:pt>
                <c:pt idx="127">
                  <c:v>0.50871080139372826</c:v>
                </c:pt>
                <c:pt idx="128">
                  <c:v>0.51041666666666663</c:v>
                </c:pt>
                <c:pt idx="129">
                  <c:v>0.51202749140893467</c:v>
                </c:pt>
                <c:pt idx="130">
                  <c:v>0.51369863013698636</c:v>
                </c:pt>
                <c:pt idx="131">
                  <c:v>0.51369863013698636</c:v>
                </c:pt>
                <c:pt idx="132">
                  <c:v>0.51194539249146753</c:v>
                </c:pt>
                <c:pt idx="133">
                  <c:v>0.51351351351351349</c:v>
                </c:pt>
                <c:pt idx="134">
                  <c:v>0.51</c:v>
                </c:pt>
                <c:pt idx="135">
                  <c:v>0.5082508250825083</c:v>
                </c:pt>
                <c:pt idx="136">
                  <c:v>0.50986842105263153</c:v>
                </c:pt>
                <c:pt idx="137">
                  <c:v>0.50980392156862742</c:v>
                </c:pt>
                <c:pt idx="138">
                  <c:v>0.50980392156862742</c:v>
                </c:pt>
                <c:pt idx="139">
                  <c:v>0.51298701298701299</c:v>
                </c:pt>
                <c:pt idx="140">
                  <c:v>0.5161290322580645</c:v>
                </c:pt>
                <c:pt idx="141">
                  <c:v>0.5161290322580645</c:v>
                </c:pt>
                <c:pt idx="142">
                  <c:v>0.51757188498402551</c:v>
                </c:pt>
                <c:pt idx="143">
                  <c:v>0.51746031746031751</c:v>
                </c:pt>
                <c:pt idx="144">
                  <c:v>0.51419558359621453</c:v>
                </c:pt>
                <c:pt idx="145">
                  <c:v>0.50937500000000002</c:v>
                </c:pt>
                <c:pt idx="146">
                  <c:v>0.50937500000000002</c:v>
                </c:pt>
                <c:pt idx="147">
                  <c:v>0.51543209876543206</c:v>
                </c:pt>
                <c:pt idx="148">
                  <c:v>0.51543209876543206</c:v>
                </c:pt>
                <c:pt idx="149">
                  <c:v>0.51533742331288346</c:v>
                </c:pt>
                <c:pt idx="150">
                  <c:v>0.51219512195121952</c:v>
                </c:pt>
                <c:pt idx="151">
                  <c:v>0.51057401812688818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120675784392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2B59D2-D86F-4E3C-B944-99C5B84C1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196C9D-0D2E-455E-BDE4-83F2241D0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48AAB9-4AEE-4271-AB12-0AF4990C2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CBD3F3-1826-4642-8058-C52FA368D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9EEA94-140A-4E28-9EB3-872AD53AF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DA4C944-BB2D-42B9-AD3C-5C811D298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36E724-9363-43F8-B778-91B628359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D01E4F-38CD-43A6-AB7A-4CDD45A14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62E0BF-83DF-4423-B7AB-678C468E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F665C0-3138-400B-B296-0D0137F76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180DCD-9189-4149-B07E-4050C33DB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0F48A3-EA53-46A0-91D2-577B19F0E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7E9DD3-459D-4394-B6AE-304909D92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2F0884-DDC1-41CE-B244-78F9AB3968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52191B4-410D-4C26-9C82-3BB1A29F3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E05458-B5AA-447F-AA46-F7F7E365B4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4D1110-3365-4AE3-A925-FB047C134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3A447B-4E03-4A36-8121-738DE6D45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0BECFA-E92A-4C0A-A9CF-FF2B2E057C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8B559A-E1DF-461A-894C-A88436DE49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702B427-12B3-453E-ADB1-22861848FA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148C3D-5949-4DA1-9A59-924298E3B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D11136-5FDA-4C22-8DA2-D47E69CF9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8B9177-D7BD-4CDE-BE85-4336448E8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4A8BFB-466A-4C9E-9918-691B855F2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C63B51-5F01-4E55-A500-BED15D098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C0BCA79-02ED-4AF2-8FB0-B5507FAE40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06DD1D-7801-44AC-A3A0-677F8CBD9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259854-0910-4778-AC5F-A3E08BA8A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0AE18D-17B1-4C74-91B6-0BC363F24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563B8B-C591-4075-B084-7F415A9DB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EF5FA3-E0DD-4230-AA78-A1AFC3A29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F150F1D-ACF7-45A6-AC52-91ABEDD40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845FE8-69B5-499C-AA4C-BA20A2965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15CEA9-95FF-43AE-8449-7FF679849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D13AF88-D5B1-4FCC-85AC-DFC499695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3861A6-E9A3-4F19-877E-74C966634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611D6A-4851-425A-B958-22108DE28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B47862-3361-46CD-99E1-390B271F0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A35061-4FF2-46A0-AB0F-FD29D73905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D70A75-6F92-493E-A9C4-79678EBEC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792A12-35F7-4977-9B2E-2E626E1AB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6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222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223</v>
      </c>
      <c r="B3" s="29">
        <v>43737.532500000001</v>
      </c>
      <c r="C3" s="28" t="s">
        <v>128</v>
      </c>
    </row>
    <row r="4" spans="1:12" x14ac:dyDescent="0.45">
      <c r="A4" s="28" t="s">
        <v>224</v>
      </c>
      <c r="B4" s="29">
        <v>43737.532500000001</v>
      </c>
      <c r="C4" s="28" t="s">
        <v>128</v>
      </c>
    </row>
    <row r="5" spans="1:12" x14ac:dyDescent="0.45">
      <c r="A5" s="28" t="s">
        <v>225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226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227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 x14ac:dyDescent="0.45">
      <c r="A8" s="28" t="s">
        <v>231</v>
      </c>
      <c r="B8" s="29">
        <v>43740.96733796296</v>
      </c>
      <c r="C8" s="28" t="s">
        <v>128</v>
      </c>
    </row>
    <row r="9" spans="1:12" x14ac:dyDescent="0.45">
      <c r="A9" s="28" t="s">
        <v>233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235</v>
      </c>
      <c r="B11" s="29">
        <v>43741.028969907406</v>
      </c>
      <c r="C11" s="28" t="s">
        <v>128</v>
      </c>
    </row>
    <row r="12" spans="1:12" x14ac:dyDescent="0.45">
      <c r="A12" s="28" t="s">
        <v>236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240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241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242</v>
      </c>
      <c r="B18" s="29">
        <v>43745.374525462961</v>
      </c>
      <c r="C18" s="28" t="s">
        <v>128</v>
      </c>
    </row>
    <row r="19" spans="1:12" x14ac:dyDescent="0.45">
      <c r="A19" s="28" t="s">
        <v>243</v>
      </c>
      <c r="B19" s="29">
        <v>43750.963090277779</v>
      </c>
      <c r="C19" s="28" t="s">
        <v>128</v>
      </c>
    </row>
    <row r="20" spans="1:12" x14ac:dyDescent="0.45">
      <c r="A20" s="28" t="s">
        <v>244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245</v>
      </c>
      <c r="B21" s="29">
        <v>43750.963090277779</v>
      </c>
      <c r="C21" s="28" t="s">
        <v>128</v>
      </c>
    </row>
    <row r="22" spans="1:12" x14ac:dyDescent="0.45">
      <c r="A22" s="28" t="s">
        <v>246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247</v>
      </c>
      <c r="B23" s="29">
        <v>43800.062326388892</v>
      </c>
      <c r="C23" s="28" t="s">
        <v>128</v>
      </c>
    </row>
    <row r="24" spans="1:12" x14ac:dyDescent="0.45">
      <c r="A24" s="28" t="s">
        <v>248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 x14ac:dyDescent="0.45">
      <c r="A26" s="28" t="s">
        <v>250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251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 x14ac:dyDescent="0.45">
      <c r="A28" s="28" t="s">
        <v>252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 x14ac:dyDescent="0.45">
      <c r="A29" s="28" t="s">
        <v>253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254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255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257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258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259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260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261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262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263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264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265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266</v>
      </c>
      <c r="B41" s="29">
        <v>43766.037835648145</v>
      </c>
      <c r="C41" s="28" t="s">
        <v>128</v>
      </c>
    </row>
    <row r="42" spans="1:9" x14ac:dyDescent="0.45">
      <c r="A42" s="28" t="s">
        <v>267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268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269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270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271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272</v>
      </c>
      <c r="B47" s="29">
        <v>43770.815983796296</v>
      </c>
      <c r="C47" s="28" t="s">
        <v>128</v>
      </c>
    </row>
    <row r="48" spans="1:9" x14ac:dyDescent="0.45">
      <c r="A48" s="28" t="s">
        <v>273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274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275</v>
      </c>
      <c r="B50" s="29">
        <v>43773.722453703704</v>
      </c>
      <c r="C50" s="28" t="s">
        <v>128</v>
      </c>
    </row>
    <row r="51" spans="1:9" x14ac:dyDescent="0.45">
      <c r="A51" s="28" t="s">
        <v>276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277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278</v>
      </c>
      <c r="B53" s="29">
        <v>43781.637499999997</v>
      </c>
      <c r="C53" s="28" t="s">
        <v>128</v>
      </c>
    </row>
    <row r="54" spans="1:9" x14ac:dyDescent="0.45">
      <c r="A54" s="28" t="s">
        <v>279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280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281</v>
      </c>
      <c r="B56" s="29">
        <v>43783.744745370372</v>
      </c>
      <c r="C56" s="28" t="s">
        <v>128</v>
      </c>
    </row>
    <row r="57" spans="1:9" x14ac:dyDescent="0.45">
      <c r="A57" s="28" t="s">
        <v>282</v>
      </c>
      <c r="B57" s="29">
        <v>43784.974247685182</v>
      </c>
      <c r="C57" s="28" t="s">
        <v>128</v>
      </c>
    </row>
    <row r="58" spans="1:9" x14ac:dyDescent="0.45">
      <c r="A58" s="28" t="s">
        <v>283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284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285</v>
      </c>
      <c r="B60" s="29">
        <v>43787.745706018519</v>
      </c>
      <c r="C60" s="28" t="s">
        <v>128</v>
      </c>
    </row>
    <row r="61" spans="1:9" x14ac:dyDescent="0.45">
      <c r="A61" s="28" t="s">
        <v>286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287</v>
      </c>
      <c r="B62" s="29">
        <v>43789.730671296296</v>
      </c>
      <c r="C62" s="28" t="s">
        <v>128</v>
      </c>
    </row>
    <row r="63" spans="1:9" x14ac:dyDescent="0.45">
      <c r="A63" s="28" t="s">
        <v>288</v>
      </c>
      <c r="B63" s="29">
        <v>43790.974027777775</v>
      </c>
      <c r="C63" s="28" t="s">
        <v>128</v>
      </c>
    </row>
    <row r="64" spans="1:9" x14ac:dyDescent="0.45">
      <c r="A64" s="28" t="s">
        <v>289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290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291</v>
      </c>
      <c r="B66" s="29">
        <v>43795.03466435185</v>
      </c>
      <c r="C66" s="28" t="s">
        <v>128</v>
      </c>
    </row>
    <row r="67" spans="1:12" x14ac:dyDescent="0.45">
      <c r="A67" s="28" t="s">
        <v>292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 x14ac:dyDescent="0.45">
      <c r="A68" s="28" t="s">
        <v>293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294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295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296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297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298</v>
      </c>
      <c r="B73" s="29">
        <v>43805.880937499998</v>
      </c>
      <c r="C73" s="28" t="s">
        <v>128</v>
      </c>
    </row>
    <row r="74" spans="1:12" x14ac:dyDescent="0.45">
      <c r="A74" s="28" t="s">
        <v>299</v>
      </c>
      <c r="B74" s="29">
        <v>43806.068379629629</v>
      </c>
      <c r="C74" s="28" t="s">
        <v>128</v>
      </c>
    </row>
    <row r="75" spans="1:12" x14ac:dyDescent="0.45">
      <c r="A75" s="28" t="s">
        <v>300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302</v>
      </c>
      <c r="B76" s="29">
        <v>43809.906898148147</v>
      </c>
      <c r="C76" s="28" t="s">
        <v>128</v>
      </c>
    </row>
    <row r="77" spans="1:12" x14ac:dyDescent="0.45">
      <c r="A77" s="28" t="s">
        <v>303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304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305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306</v>
      </c>
      <c r="B80" s="29">
        <v>43812.000752314816</v>
      </c>
      <c r="C80" s="28" t="s">
        <v>128</v>
      </c>
    </row>
    <row r="81" spans="1:9" x14ac:dyDescent="0.45">
      <c r="A81" s="28" t="s">
        <v>307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308</v>
      </c>
      <c r="B82" s="29">
        <v>43814.578449074077</v>
      </c>
      <c r="C82" s="28" t="s">
        <v>128</v>
      </c>
    </row>
    <row r="83" spans="1:9" x14ac:dyDescent="0.45">
      <c r="A83" s="28" t="s">
        <v>309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310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311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312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202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203</v>
      </c>
      <c r="B88" s="29">
        <v>43838.76290509259</v>
      </c>
      <c r="C88" s="28" t="s">
        <v>128</v>
      </c>
    </row>
    <row r="89" spans="1:9" x14ac:dyDescent="0.45">
      <c r="A89" s="28" t="s">
        <v>204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205</v>
      </c>
      <c r="B90" s="29">
        <v>43840.436331018522</v>
      </c>
      <c r="C90" s="28" t="s">
        <v>128</v>
      </c>
    </row>
    <row r="91" spans="1:9" x14ac:dyDescent="0.45">
      <c r="A91" s="28" t="s">
        <v>206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207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208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209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210</v>
      </c>
      <c r="B95" s="29">
        <v>43846.004641203705</v>
      </c>
      <c r="C95" s="28" t="s">
        <v>128</v>
      </c>
    </row>
    <row r="96" spans="1:9" x14ac:dyDescent="0.45">
      <c r="A96" s="28" t="s">
        <v>211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212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213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214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215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216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217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218</v>
      </c>
      <c r="B103" s="29">
        <v>43862.05269675926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 x14ac:dyDescent="0.45">
      <c r="A104" s="28" t="s">
        <v>219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220</v>
      </c>
      <c r="B105" s="29">
        <v>43862.053043981483</v>
      </c>
      <c r="C105" s="28" t="s">
        <v>128</v>
      </c>
      <c r="D105" s="28" t="s">
        <v>129</v>
      </c>
    </row>
    <row r="106" spans="1:7" x14ac:dyDescent="0.45">
      <c r="A106" s="28" t="s">
        <v>221</v>
      </c>
      <c r="B106" s="29">
        <v>43862.101307870369</v>
      </c>
      <c r="C106" s="28" t="s">
        <v>128</v>
      </c>
      <c r="D106" s="28" t="s">
        <v>129</v>
      </c>
      <c r="E106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1014</v>
      </c>
    </row>
    <row r="2" spans="1:2" x14ac:dyDescent="0.45">
      <c r="A2" t="s">
        <v>161</v>
      </c>
      <c r="B2">
        <v>88</v>
      </c>
    </row>
    <row r="3" spans="1:2" x14ac:dyDescent="0.45">
      <c r="A3" t="s">
        <v>126</v>
      </c>
      <c r="B3">
        <v>202</v>
      </c>
    </row>
    <row r="4" spans="1:2" x14ac:dyDescent="0.45">
      <c r="A4" t="s">
        <v>127</v>
      </c>
      <c r="B4">
        <v>178</v>
      </c>
    </row>
    <row r="5" spans="1:2" x14ac:dyDescent="0.45">
      <c r="A5" t="s">
        <v>172</v>
      </c>
      <c r="B5">
        <v>100</v>
      </c>
    </row>
    <row r="6" spans="1:2" x14ac:dyDescent="0.45">
      <c r="A6" t="s">
        <v>170</v>
      </c>
      <c r="B6">
        <v>151</v>
      </c>
    </row>
    <row r="7" spans="1:2" x14ac:dyDescent="0.45">
      <c r="A7" t="s">
        <v>171</v>
      </c>
      <c r="B7">
        <v>156</v>
      </c>
    </row>
    <row r="8" spans="1:2" x14ac:dyDescent="0.45">
      <c r="A8" t="s">
        <v>197</v>
      </c>
      <c r="B8">
        <v>67</v>
      </c>
    </row>
    <row r="9" spans="1:2" x14ac:dyDescent="0.45">
      <c r="A9" t="s">
        <v>196</v>
      </c>
      <c r="B9">
        <v>30</v>
      </c>
    </row>
    <row r="10" spans="1:2" x14ac:dyDescent="0.45">
      <c r="A10" t="s">
        <v>232</v>
      </c>
      <c r="B10">
        <v>7</v>
      </c>
    </row>
    <row r="11" spans="1:2" x14ac:dyDescent="0.45">
      <c r="A11" t="s">
        <v>256</v>
      </c>
      <c r="B11">
        <v>2</v>
      </c>
    </row>
    <row r="12" spans="1:2" x14ac:dyDescent="0.45">
      <c r="A12" t="s">
        <v>200</v>
      </c>
      <c r="B12">
        <v>18</v>
      </c>
    </row>
    <row r="13" spans="1:2" x14ac:dyDescent="0.45">
      <c r="A13" t="s">
        <v>201</v>
      </c>
      <c r="B13">
        <v>10</v>
      </c>
    </row>
    <row r="14" spans="1:2" x14ac:dyDescent="0.45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0.98215947296574402</v>
      </c>
      <c r="G2" s="163"/>
      <c r="H2" s="162">
        <v>0.81090020240063798</v>
      </c>
      <c r="I2" s="163"/>
      <c r="J2" s="162">
        <v>0.63928099163100249</v>
      </c>
      <c r="K2" s="163"/>
      <c r="L2" s="162">
        <v>0.57165515742088213</v>
      </c>
      <c r="M2" s="163"/>
      <c r="N2" s="162">
        <v>0.24554305754207534</v>
      </c>
      <c r="O2" s="163"/>
      <c r="P2" s="162">
        <v>0.46890665613896881</v>
      </c>
      <c r="Q2" s="163"/>
      <c r="R2" s="162">
        <v>-7.19414261378689E-2</v>
      </c>
      <c r="S2" s="163"/>
      <c r="T2" s="162">
        <v>0.23413866170457581</v>
      </c>
      <c r="U2" s="163"/>
      <c r="V2" s="162">
        <v>0.37097839323621734</v>
      </c>
      <c r="W2" s="163"/>
      <c r="X2" s="162">
        <v>3.0973808561441035E-2</v>
      </c>
      <c r="Y2" s="163"/>
      <c r="Z2" s="162">
        <v>0.40536627997686858</v>
      </c>
      <c r="AA2" s="163"/>
      <c r="AB2" s="162">
        <v>2.8460948452793945E-2</v>
      </c>
      <c r="AC2" s="163"/>
      <c r="AD2" s="162">
        <v>-0.15787153912868709</v>
      </c>
      <c r="AE2" s="163"/>
      <c r="AF2" s="162">
        <v>0.75157689249523796</v>
      </c>
      <c r="AG2" s="163"/>
    </row>
    <row r="3" spans="1:33" x14ac:dyDescent="0.45">
      <c r="A3" s="70">
        <v>1</v>
      </c>
      <c r="B3" s="71" t="s">
        <v>126</v>
      </c>
      <c r="C3" s="72">
        <v>1853.4999999999995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11139.2749244713</v>
      </c>
      <c r="R3" s="73" t="s">
        <v>196</v>
      </c>
      <c r="S3" s="77">
        <v>-7002.0408163265311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0.58333333333333337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593.50000000000057</v>
      </c>
      <c r="D4" s="81" t="s">
        <v>126</v>
      </c>
      <c r="E4" s="93">
        <v>9.1757425742574235</v>
      </c>
      <c r="F4" s="81" t="s">
        <v>126</v>
      </c>
      <c r="G4" s="82">
        <v>1.7722772277227723</v>
      </c>
      <c r="H4" s="81" t="s">
        <v>256</v>
      </c>
      <c r="I4" s="83">
        <v>0.5</v>
      </c>
      <c r="J4" s="81" t="s">
        <v>126</v>
      </c>
      <c r="K4" s="83">
        <v>0.24257425742574257</v>
      </c>
      <c r="L4" s="81" t="s">
        <v>200</v>
      </c>
      <c r="M4" s="84">
        <v>0.34838709677419355</v>
      </c>
      <c r="N4" s="81" t="s">
        <v>126</v>
      </c>
      <c r="O4" s="84">
        <v>0.12522361359570661</v>
      </c>
      <c r="P4" s="81" t="s">
        <v>201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4.4554455445544552E-2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196</v>
      </c>
      <c r="AA4" s="84">
        <v>0.58666666666666667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256</v>
      </c>
      <c r="C5" s="80">
        <v>26.2</v>
      </c>
      <c r="D5" s="81" t="s">
        <v>170</v>
      </c>
      <c r="E5" s="93">
        <v>3.9304635761589442</v>
      </c>
      <c r="F5" s="81" t="s">
        <v>170</v>
      </c>
      <c r="G5" s="82">
        <v>1.9271523178807948</v>
      </c>
      <c r="H5" s="81" t="s">
        <v>126</v>
      </c>
      <c r="I5" s="83">
        <v>0.47029702970297027</v>
      </c>
      <c r="J5" s="81" t="s">
        <v>171</v>
      </c>
      <c r="K5" s="83">
        <v>0.30128205128205127</v>
      </c>
      <c r="L5" s="81" t="s">
        <v>126</v>
      </c>
      <c r="M5" s="84">
        <v>0.34048896839594511</v>
      </c>
      <c r="N5" s="81" t="s">
        <v>171</v>
      </c>
      <c r="O5" s="84">
        <v>0.14025356576862125</v>
      </c>
      <c r="P5" s="81" t="s">
        <v>301</v>
      </c>
      <c r="Q5" s="85">
        <v>8512.5</v>
      </c>
      <c r="R5" s="81" t="s">
        <v>161</v>
      </c>
      <c r="S5" s="85">
        <v>-7540.9448818897636</v>
      </c>
      <c r="T5" s="81" t="s">
        <v>161</v>
      </c>
      <c r="U5" s="83">
        <v>7.9545454545454544E-2</v>
      </c>
      <c r="V5" s="81" t="s">
        <v>200</v>
      </c>
      <c r="W5" s="84">
        <v>0.34838709677419355</v>
      </c>
      <c r="X5" s="81" t="s">
        <v>127</v>
      </c>
      <c r="Y5" s="84">
        <v>0.29912221471978395</v>
      </c>
      <c r="Z5" s="81" t="s">
        <v>126</v>
      </c>
      <c r="AA5" s="84">
        <v>0.58013544018058694</v>
      </c>
      <c r="AB5" s="81" t="s">
        <v>126</v>
      </c>
      <c r="AC5" s="84">
        <v>0.47858942065491183</v>
      </c>
      <c r="AD5" s="81" t="s">
        <v>170</v>
      </c>
      <c r="AE5" s="84">
        <v>0.51057401812688818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1.9831460674157304</v>
      </c>
      <c r="H6" s="81" t="s">
        <v>232</v>
      </c>
      <c r="I6" s="83">
        <v>0.42857142857142855</v>
      </c>
      <c r="J6" s="81" t="s">
        <v>170</v>
      </c>
      <c r="K6" s="83">
        <v>0.31788079470198677</v>
      </c>
      <c r="L6" s="81" t="s">
        <v>201</v>
      </c>
      <c r="M6" s="84">
        <v>0.33333333333333331</v>
      </c>
      <c r="N6" s="81" t="s">
        <v>141</v>
      </c>
      <c r="O6" s="84">
        <v>0.16039299242424243</v>
      </c>
      <c r="P6" s="81" t="s">
        <v>171</v>
      </c>
      <c r="Q6" s="85">
        <v>8511.1428571428569</v>
      </c>
      <c r="R6" s="81" t="s">
        <v>126</v>
      </c>
      <c r="S6" s="85">
        <v>-7655.2380952380954</v>
      </c>
      <c r="T6" s="81" t="s">
        <v>172</v>
      </c>
      <c r="U6" s="83">
        <v>0.08</v>
      </c>
      <c r="V6" s="81" t="s">
        <v>170</v>
      </c>
      <c r="W6" s="84">
        <v>0.29528535980148884</v>
      </c>
      <c r="X6" s="81" t="s">
        <v>161</v>
      </c>
      <c r="Y6" s="84">
        <v>0.26282051282051283</v>
      </c>
      <c r="Z6" s="81" t="s">
        <v>200</v>
      </c>
      <c r="AA6" s="84">
        <v>0.57407407407407407</v>
      </c>
      <c r="AB6" s="81" t="s">
        <v>197</v>
      </c>
      <c r="AC6" s="84">
        <v>0.44444444444444442</v>
      </c>
      <c r="AD6" s="81" t="s">
        <v>172</v>
      </c>
      <c r="AE6" s="84">
        <v>0.46724890829694321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-7.5495165674510645E-14</v>
      </c>
      <c r="D7" s="81" t="s">
        <v>141</v>
      </c>
      <c r="E7" s="93">
        <v>-7.4452826108984855E-17</v>
      </c>
      <c r="F7" s="81" t="s">
        <v>201</v>
      </c>
      <c r="G7" s="82">
        <v>2</v>
      </c>
      <c r="H7" s="81" t="s">
        <v>170</v>
      </c>
      <c r="I7" s="83">
        <v>0.39072847682119205</v>
      </c>
      <c r="J7" s="81" t="s">
        <v>127</v>
      </c>
      <c r="K7" s="83">
        <v>0.3202247191011236</v>
      </c>
      <c r="L7" s="81" t="s">
        <v>127</v>
      </c>
      <c r="M7" s="84">
        <v>0.31532748143146522</v>
      </c>
      <c r="N7" s="81" t="s">
        <v>200</v>
      </c>
      <c r="O7" s="84">
        <v>0.16129032258064516</v>
      </c>
      <c r="P7" s="81" t="s">
        <v>141</v>
      </c>
      <c r="Q7" s="85">
        <v>8446.1786001609016</v>
      </c>
      <c r="R7" s="81" t="s">
        <v>172</v>
      </c>
      <c r="S7" s="85">
        <v>-7813.9240506329115</v>
      </c>
      <c r="T7" s="81" t="s">
        <v>171</v>
      </c>
      <c r="U7" s="83">
        <v>8.3333333333333329E-2</v>
      </c>
      <c r="V7" s="81" t="s">
        <v>172</v>
      </c>
      <c r="W7" s="84">
        <v>0.27346465816917731</v>
      </c>
      <c r="X7" s="81" t="s">
        <v>126</v>
      </c>
      <c r="Y7" s="84">
        <v>0.23673225998807393</v>
      </c>
      <c r="Z7" s="81" t="s">
        <v>171</v>
      </c>
      <c r="AA7" s="84">
        <v>0.54798761609907121</v>
      </c>
      <c r="AB7" s="81" t="s">
        <v>141</v>
      </c>
      <c r="AC7" s="84">
        <v>0.41973415132924335</v>
      </c>
      <c r="AD7" s="81" t="s">
        <v>201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-47.000000000000206</v>
      </c>
      <c r="D8" s="81" t="s">
        <v>127</v>
      </c>
      <c r="E8" s="93">
        <v>-0.26404494382022586</v>
      </c>
      <c r="F8" s="81" t="s">
        <v>141</v>
      </c>
      <c r="G8" s="82">
        <v>2</v>
      </c>
      <c r="H8" s="81" t="s">
        <v>196</v>
      </c>
      <c r="I8" s="83">
        <v>0.36666666666666664</v>
      </c>
      <c r="J8" s="81" t="s">
        <v>141</v>
      </c>
      <c r="K8" s="83">
        <v>0.33333333333333331</v>
      </c>
      <c r="L8" s="81" t="s">
        <v>141</v>
      </c>
      <c r="M8" s="84">
        <v>0.29427083333333331</v>
      </c>
      <c r="N8" s="81" t="s">
        <v>161</v>
      </c>
      <c r="O8" s="84">
        <v>0.16282051282051282</v>
      </c>
      <c r="P8" s="81" t="s">
        <v>197</v>
      </c>
      <c r="Q8" s="85">
        <v>8298.6013986013986</v>
      </c>
      <c r="R8" s="81" t="s">
        <v>141</v>
      </c>
      <c r="S8" s="85">
        <v>-7870.0369003690039</v>
      </c>
      <c r="T8" s="81" t="s">
        <v>141</v>
      </c>
      <c r="U8" s="83">
        <v>9.7633136094674555E-2</v>
      </c>
      <c r="V8" s="81" t="s">
        <v>196</v>
      </c>
      <c r="W8" s="84">
        <v>0.27075812274368233</v>
      </c>
      <c r="X8" s="81" t="s">
        <v>141</v>
      </c>
      <c r="Y8" s="84">
        <v>0.23153409090909091</v>
      </c>
      <c r="Z8" s="81" t="s">
        <v>141</v>
      </c>
      <c r="AA8" s="84">
        <v>0.54601226993865026</v>
      </c>
      <c r="AB8" s="81" t="s">
        <v>171</v>
      </c>
      <c r="AC8" s="84">
        <v>0.41811846689895471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200</v>
      </c>
      <c r="C9" s="80">
        <v>-55.6</v>
      </c>
      <c r="D9" s="81" t="s">
        <v>171</v>
      </c>
      <c r="E9" s="93">
        <v>-0.5262820512820513</v>
      </c>
      <c r="F9" s="81" t="s">
        <v>196</v>
      </c>
      <c r="G9" s="82">
        <v>2.0333333333333332</v>
      </c>
      <c r="H9" s="81" t="s">
        <v>127</v>
      </c>
      <c r="I9" s="83">
        <v>0.33707865168539325</v>
      </c>
      <c r="J9" s="81" t="s">
        <v>200</v>
      </c>
      <c r="K9" s="83">
        <v>0.3888888888888889</v>
      </c>
      <c r="L9" s="81" t="s">
        <v>171</v>
      </c>
      <c r="M9" s="84">
        <v>0.27733755942947702</v>
      </c>
      <c r="N9" s="81" t="s">
        <v>170</v>
      </c>
      <c r="O9" s="84">
        <v>0.17369727047146402</v>
      </c>
      <c r="P9" s="81" t="s">
        <v>126</v>
      </c>
      <c r="Q9" s="85">
        <v>8282.6619964973725</v>
      </c>
      <c r="R9" s="81" t="s">
        <v>127</v>
      </c>
      <c r="S9" s="85">
        <v>-7936.259541984733</v>
      </c>
      <c r="T9" s="81" t="s">
        <v>127</v>
      </c>
      <c r="U9" s="83">
        <v>0.10112359550561797</v>
      </c>
      <c r="V9" s="81" t="s">
        <v>256</v>
      </c>
      <c r="W9" s="84">
        <v>0.26666666666666666</v>
      </c>
      <c r="X9" s="81" t="s">
        <v>197</v>
      </c>
      <c r="Y9" s="84">
        <v>0.22950819672131148</v>
      </c>
      <c r="Z9" s="81" t="s">
        <v>170</v>
      </c>
      <c r="AA9" s="84">
        <v>0.54061624649859941</v>
      </c>
      <c r="AB9" s="81" t="s">
        <v>172</v>
      </c>
      <c r="AC9" s="84">
        <v>0.40606060606060607</v>
      </c>
      <c r="AD9" s="81" t="s">
        <v>197</v>
      </c>
      <c r="AE9" s="84">
        <v>0.45454545454545453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301</v>
      </c>
      <c r="C10" s="80">
        <v>-80.800000000000011</v>
      </c>
      <c r="D10" s="81" t="s">
        <v>200</v>
      </c>
      <c r="E10" s="93">
        <v>-3.088888888888889</v>
      </c>
      <c r="F10" s="81" t="s">
        <v>171</v>
      </c>
      <c r="G10" s="82">
        <v>2.0448717948717947</v>
      </c>
      <c r="H10" s="81" t="s">
        <v>200</v>
      </c>
      <c r="I10" s="83">
        <v>0.33333333333333331</v>
      </c>
      <c r="J10" s="81" t="s">
        <v>172</v>
      </c>
      <c r="K10" s="83">
        <v>0.4</v>
      </c>
      <c r="L10" s="81" t="s">
        <v>170</v>
      </c>
      <c r="M10" s="84">
        <v>0.27377998345740279</v>
      </c>
      <c r="N10" s="81" t="s">
        <v>197</v>
      </c>
      <c r="O10" s="84">
        <v>0.1766848816029144</v>
      </c>
      <c r="P10" s="81" t="s">
        <v>196</v>
      </c>
      <c r="Q10" s="85">
        <v>8126.3888888888887</v>
      </c>
      <c r="R10" s="81" t="s">
        <v>301</v>
      </c>
      <c r="S10" s="85">
        <v>-7987.5</v>
      </c>
      <c r="T10" s="81" t="s">
        <v>170</v>
      </c>
      <c r="U10" s="83">
        <v>0.12582781456953643</v>
      </c>
      <c r="V10" s="81" t="s">
        <v>126</v>
      </c>
      <c r="W10" s="84">
        <v>0.26416219439475253</v>
      </c>
      <c r="X10" s="81" t="s">
        <v>171</v>
      </c>
      <c r="Y10" s="84">
        <v>0.22741679873217116</v>
      </c>
      <c r="Z10" s="81" t="s">
        <v>172</v>
      </c>
      <c r="AA10" s="84">
        <v>0.53813559322033899</v>
      </c>
      <c r="AB10" s="81" t="s">
        <v>127</v>
      </c>
      <c r="AC10" s="84">
        <v>0.39729119638826182</v>
      </c>
      <c r="AD10" s="81" t="s">
        <v>141</v>
      </c>
      <c r="AE10" s="84">
        <v>0.45012067578439258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171</v>
      </c>
      <c r="C11" s="80">
        <v>-82.1</v>
      </c>
      <c r="D11" s="81" t="s">
        <v>196</v>
      </c>
      <c r="E11" s="93">
        <v>-3.546666666666666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196</v>
      </c>
      <c r="K11" s="83">
        <v>0.4</v>
      </c>
      <c r="L11" s="81" t="s">
        <v>161</v>
      </c>
      <c r="M11" s="84">
        <v>0.27307692307692305</v>
      </c>
      <c r="N11" s="81" t="s">
        <v>196</v>
      </c>
      <c r="O11" s="84">
        <v>0.17689530685920576</v>
      </c>
      <c r="P11" s="81" t="s">
        <v>127</v>
      </c>
      <c r="Q11" s="85">
        <v>7886.0813704496786</v>
      </c>
      <c r="R11" s="81" t="s">
        <v>256</v>
      </c>
      <c r="S11" s="85">
        <v>-8000</v>
      </c>
      <c r="T11" s="81" t="s">
        <v>197</v>
      </c>
      <c r="U11" s="83">
        <v>0.14925373134328357</v>
      </c>
      <c r="V11" s="81" t="s">
        <v>171</v>
      </c>
      <c r="W11" s="84">
        <v>0.25594294770206022</v>
      </c>
      <c r="X11" s="81" t="s">
        <v>172</v>
      </c>
      <c r="Y11" s="84">
        <v>0.19119351100811124</v>
      </c>
      <c r="Z11" s="81" t="s">
        <v>161</v>
      </c>
      <c r="AA11" s="84">
        <v>0.53636363636363638</v>
      </c>
      <c r="AB11" s="81" t="s">
        <v>161</v>
      </c>
      <c r="AC11" s="84">
        <v>0.39512195121951221</v>
      </c>
      <c r="AD11" s="81" t="s">
        <v>161</v>
      </c>
      <c r="AE11" s="84">
        <v>0.43661971830985913</v>
      </c>
      <c r="AF11" s="81" t="s">
        <v>201</v>
      </c>
      <c r="AG11" s="88">
        <v>70900</v>
      </c>
    </row>
    <row r="12" spans="1:33" x14ac:dyDescent="0.45">
      <c r="A12" s="78">
        <v>10</v>
      </c>
      <c r="B12" s="79" t="s">
        <v>232</v>
      </c>
      <c r="C12" s="80">
        <v>-104.80000000000001</v>
      </c>
      <c r="D12" s="81" t="s">
        <v>161</v>
      </c>
      <c r="E12" s="93">
        <v>-6.792045454545458</v>
      </c>
      <c r="F12" s="81" t="s">
        <v>232</v>
      </c>
      <c r="G12" s="82">
        <v>2.1428571428571428</v>
      </c>
      <c r="H12" s="81" t="s">
        <v>161</v>
      </c>
      <c r="I12" s="83">
        <v>0.28409090909090912</v>
      </c>
      <c r="J12" s="81" t="s">
        <v>301</v>
      </c>
      <c r="K12" s="83">
        <v>0.4</v>
      </c>
      <c r="L12" s="81" t="s">
        <v>172</v>
      </c>
      <c r="M12" s="84">
        <v>0.26535341830822712</v>
      </c>
      <c r="N12" s="81" t="s">
        <v>127</v>
      </c>
      <c r="O12" s="84">
        <v>0.17690749493585414</v>
      </c>
      <c r="P12" s="81" t="s">
        <v>172</v>
      </c>
      <c r="Q12" s="85">
        <v>7835.8078602620089</v>
      </c>
      <c r="R12" s="81" t="s">
        <v>200</v>
      </c>
      <c r="S12" s="85">
        <v>-8220</v>
      </c>
      <c r="T12" s="81" t="s">
        <v>196</v>
      </c>
      <c r="U12" s="83">
        <v>0.16666666666666666</v>
      </c>
      <c r="V12" s="81" t="s">
        <v>141</v>
      </c>
      <c r="W12" s="84">
        <v>0.25082859848484851</v>
      </c>
      <c r="X12" s="81" t="s">
        <v>170</v>
      </c>
      <c r="Y12" s="84">
        <v>0.18527708850289495</v>
      </c>
      <c r="Z12" s="81" t="s">
        <v>232</v>
      </c>
      <c r="AA12" s="84">
        <v>0.53333333333333333</v>
      </c>
      <c r="AB12" s="81" t="s">
        <v>201</v>
      </c>
      <c r="AC12" s="84">
        <v>0.38461538461538464</v>
      </c>
      <c r="AD12" s="81" t="s">
        <v>126</v>
      </c>
      <c r="AE12" s="84">
        <v>0.41856392294220668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196</v>
      </c>
      <c r="C13" s="80">
        <v>-106.39999999999998</v>
      </c>
      <c r="D13" s="81" t="s">
        <v>172</v>
      </c>
      <c r="E13" s="93">
        <v>-7.5269999999999992</v>
      </c>
      <c r="F13" s="81" t="s">
        <v>161</v>
      </c>
      <c r="G13" s="82">
        <v>2.1590909090909092</v>
      </c>
      <c r="H13" s="81" t="s">
        <v>171</v>
      </c>
      <c r="I13" s="83">
        <v>0.25641025641025639</v>
      </c>
      <c r="J13" s="81" t="s">
        <v>197</v>
      </c>
      <c r="K13" s="83">
        <v>0.41791044776119401</v>
      </c>
      <c r="L13" s="81" t="s">
        <v>197</v>
      </c>
      <c r="M13" s="84">
        <v>0.26047358834244078</v>
      </c>
      <c r="N13" s="81" t="s">
        <v>172</v>
      </c>
      <c r="O13" s="84">
        <v>0.18308227114716108</v>
      </c>
      <c r="P13" s="81" t="s">
        <v>232</v>
      </c>
      <c r="Q13" s="85">
        <v>7473.333333333333</v>
      </c>
      <c r="R13" s="81" t="s">
        <v>170</v>
      </c>
      <c r="S13" s="85">
        <v>-8387.1428571428569</v>
      </c>
      <c r="T13" s="81" t="s">
        <v>200</v>
      </c>
      <c r="U13" s="83">
        <v>0.16666666666666666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197</v>
      </c>
      <c r="AA13" s="84">
        <v>0.51282051282051277</v>
      </c>
      <c r="AB13" s="81" t="s">
        <v>170</v>
      </c>
      <c r="AC13" s="84">
        <v>0.38392857142857145</v>
      </c>
      <c r="AD13" s="81" t="s">
        <v>127</v>
      </c>
      <c r="AE13" s="84">
        <v>0.41327623126338331</v>
      </c>
      <c r="AF13" s="81" t="s">
        <v>200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-597.70000000000027</v>
      </c>
      <c r="D14" s="81" t="s">
        <v>197</v>
      </c>
      <c r="E14" s="93">
        <v>-9.7820895522388067</v>
      </c>
      <c r="F14" s="81" t="s">
        <v>172</v>
      </c>
      <c r="G14" s="82">
        <v>2.19</v>
      </c>
      <c r="H14" s="81" t="s">
        <v>172</v>
      </c>
      <c r="I14" s="83">
        <v>0.21</v>
      </c>
      <c r="J14" s="81" t="s">
        <v>161</v>
      </c>
      <c r="K14" s="83">
        <v>0.44318181818181818</v>
      </c>
      <c r="L14" s="81" t="s">
        <v>196</v>
      </c>
      <c r="M14" s="84">
        <v>0.25992779783393499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-8558.7628865979386</v>
      </c>
      <c r="T14" s="81" t="s">
        <v>201</v>
      </c>
      <c r="U14" s="83">
        <v>0.2</v>
      </c>
      <c r="V14" s="81" t="s">
        <v>127</v>
      </c>
      <c r="W14" s="84">
        <v>0.22957461174881835</v>
      </c>
      <c r="X14" s="81" t="s">
        <v>196</v>
      </c>
      <c r="Y14" s="84">
        <v>0.1588447653429603</v>
      </c>
      <c r="Z14" s="81" t="s">
        <v>127</v>
      </c>
      <c r="AA14" s="84">
        <v>0.5117647058823529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-655.40000000000009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7107.9812206572769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0.21311475409836064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0.31818181818181818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-752.69999999999993</v>
      </c>
      <c r="D16" s="81" t="s">
        <v>301</v>
      </c>
      <c r="E16" s="93">
        <v>-16.160000000000004</v>
      </c>
      <c r="F16" s="81" t="s">
        <v>197</v>
      </c>
      <c r="G16" s="82">
        <v>2.2537313432835822</v>
      </c>
      <c r="H16" s="81" t="s">
        <v>197</v>
      </c>
      <c r="I16" s="83">
        <v>0.16417910447761194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0.14102564102564102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CD1-0E0B-4376-B93B-7F5BE675568C}">
  <sheetPr codeName="Sheet4"/>
  <dimension ref="A1:Q101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1014</v>
      </c>
      <c r="C2" s="155"/>
      <c r="E2" s="58" t="s">
        <v>66</v>
      </c>
      <c r="F2" s="55" t="s">
        <v>22</v>
      </c>
      <c r="G2" s="43">
        <v>1854</v>
      </c>
      <c r="H2" s="128">
        <f>IF(B$15=0,0,G2/B$15)</f>
        <v>0.7457763475462591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-26.785714285714285</v>
      </c>
      <c r="P2" s="114">
        <v>1008</v>
      </c>
      <c r="Q2" s="98">
        <v>-27000</v>
      </c>
    </row>
    <row r="3" spans="1:17" x14ac:dyDescent="0.45">
      <c r="A3" s="51" t="s">
        <v>8</v>
      </c>
      <c r="B3" s="156">
        <v>8448</v>
      </c>
      <c r="C3" s="157"/>
      <c r="E3" s="59" t="s">
        <v>72</v>
      </c>
      <c r="F3" s="56" t="s">
        <v>27</v>
      </c>
      <c r="G3" s="44">
        <v>1348</v>
      </c>
      <c r="H3" s="129">
        <f>IF(B$15=0,0,G3/B$15)</f>
        <v>0.54223652453740945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7.049345417925478</v>
      </c>
      <c r="P3" s="115">
        <v>993</v>
      </c>
      <c r="Q3" s="99">
        <v>7000</v>
      </c>
    </row>
    <row r="4" spans="1:17" x14ac:dyDescent="0.45">
      <c r="A4" s="51" t="s">
        <v>6</v>
      </c>
      <c r="B4" s="158">
        <v>-7.5495165674510645E-14</v>
      </c>
      <c r="C4" s="159"/>
      <c r="E4" s="59" t="s">
        <v>64</v>
      </c>
      <c r="F4" s="56" t="s">
        <v>20</v>
      </c>
      <c r="G4" s="44">
        <v>1121</v>
      </c>
      <c r="H4" s="129">
        <f>IF(B$15=0,0,G4/B$15)</f>
        <v>0.45092518101367657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0</v>
      </c>
      <c r="P4" s="115">
        <v>933</v>
      </c>
      <c r="Q4" s="99">
        <v>0</v>
      </c>
    </row>
    <row r="5" spans="1:17" x14ac:dyDescent="0.45">
      <c r="A5" s="51" t="s">
        <v>7</v>
      </c>
      <c r="B5" s="160">
        <f>IF(B$2=0,0,B$4/B$2)</f>
        <v>-7.4452826108984855E-17</v>
      </c>
      <c r="C5" s="161"/>
      <c r="E5" s="59" t="s">
        <v>166</v>
      </c>
      <c r="F5" s="56" t="s">
        <v>167</v>
      </c>
      <c r="G5" s="44">
        <v>977</v>
      </c>
      <c r="H5" s="129">
        <f>IF(B$15=0,0,G5/B$15)</f>
        <v>0.39300080450522928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-2.2988505747126435</v>
      </c>
      <c r="P5" s="115">
        <v>870</v>
      </c>
      <c r="Q5" s="99">
        <v>-2000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776</v>
      </c>
      <c r="H6" s="129">
        <f>IF(B$15=0,0,G6/B$15)</f>
        <v>0.31214802896218824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9.9502487562189046</v>
      </c>
      <c r="P6" s="115">
        <v>804</v>
      </c>
      <c r="Q6" s="99">
        <v>8000</v>
      </c>
    </row>
    <row r="7" spans="1:17" x14ac:dyDescent="0.45">
      <c r="A7" s="51" t="s">
        <v>2</v>
      </c>
      <c r="B7" s="44">
        <v>338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686</v>
      </c>
      <c r="H7" s="129">
        <f>IF(B$15=0,0,G7/B$15)</f>
        <v>0.27594529364440867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19.431988041853511</v>
      </c>
      <c r="P7" s="116">
        <v>669</v>
      </c>
      <c r="Q7" s="100">
        <v>13000</v>
      </c>
    </row>
    <row r="8" spans="1:17" x14ac:dyDescent="0.45">
      <c r="A8" s="51" t="s">
        <v>3</v>
      </c>
      <c r="B8" s="44">
        <v>338</v>
      </c>
      <c r="C8" s="37">
        <f t="shared" si="1"/>
        <v>0.33333333333333331</v>
      </c>
      <c r="E8" s="59" t="s">
        <v>89</v>
      </c>
      <c r="F8" s="56" t="s">
        <v>44</v>
      </c>
      <c r="G8" s="44">
        <v>349</v>
      </c>
      <c r="H8" s="129">
        <f>IF(B$15=0,0,G8/B$15)</f>
        <v>0.14038616251005631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338</v>
      </c>
      <c r="C9" s="38">
        <f t="shared" si="1"/>
        <v>0.33333333333333331</v>
      </c>
      <c r="E9" s="59" t="s">
        <v>69</v>
      </c>
      <c r="F9" s="56" t="s">
        <v>24</v>
      </c>
      <c r="G9" s="44">
        <v>347</v>
      </c>
      <c r="H9" s="129">
        <f>IF(B$15=0,0,G9/B$15)</f>
        <v>0.13958165728077232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99</v>
      </c>
      <c r="C10" s="40">
        <f t="shared" si="1"/>
        <v>9.7633136094674555E-2</v>
      </c>
      <c r="E10" s="59" t="s">
        <v>65</v>
      </c>
      <c r="F10" s="56" t="s">
        <v>21</v>
      </c>
      <c r="G10" s="44">
        <v>257</v>
      </c>
      <c r="H10" s="129">
        <f>IF(B$15=0,0,G10/B$15)</f>
        <v>0.10337892196299275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-3.9408284023668645</v>
      </c>
      <c r="P10" s="114">
        <v>338</v>
      </c>
      <c r="Q10" s="102">
        <v>-1332.0000000000002</v>
      </c>
    </row>
    <row r="11" spans="1:17" x14ac:dyDescent="0.45">
      <c r="A11" s="54" t="s">
        <v>121</v>
      </c>
      <c r="B11" s="47">
        <v>2119</v>
      </c>
      <c r="C11" s="42">
        <f>IF(B$3=0,0,B11/B$3)</f>
        <v>0.25082859848484851</v>
      </c>
      <c r="E11" s="59" t="s">
        <v>70</v>
      </c>
      <c r="F11" s="56" t="s">
        <v>25</v>
      </c>
      <c r="G11" s="44">
        <v>235</v>
      </c>
      <c r="H11" s="129">
        <f>IF(B$15=0,0,G11/B$15)</f>
        <v>9.452936444086886E-2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0.93165680473372792</v>
      </c>
      <c r="P11" s="115">
        <v>338</v>
      </c>
      <c r="Q11" s="103">
        <v>314.90000000000003</v>
      </c>
    </row>
    <row r="12" spans="1:17" x14ac:dyDescent="0.45">
      <c r="A12" s="51" t="s">
        <v>118</v>
      </c>
      <c r="B12" s="44">
        <v>1956</v>
      </c>
      <c r="C12" s="37">
        <f>IF(B$3=0,0,B12/B$3)</f>
        <v>0.23153409090909091</v>
      </c>
      <c r="E12" s="59" t="s">
        <v>71</v>
      </c>
      <c r="F12" s="56" t="s">
        <v>26</v>
      </c>
      <c r="G12" s="44">
        <v>199</v>
      </c>
      <c r="H12" s="129">
        <f>IF(B$15=0,0,G12/B$15)</f>
        <v>8.0048270313757039E-2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3.0091715976331348</v>
      </c>
      <c r="P12" s="116">
        <v>338</v>
      </c>
      <c r="Q12" s="104">
        <v>1017.0999999999996</v>
      </c>
    </row>
    <row r="13" spans="1:17" x14ac:dyDescent="0.45">
      <c r="A13" s="50" t="s">
        <v>123</v>
      </c>
      <c r="B13" s="43">
        <f>B19</f>
        <v>1157</v>
      </c>
      <c r="C13" s="35">
        <f>IF(B$11=0,0,B13/B$11)</f>
        <v>0.54601226993865026</v>
      </c>
      <c r="E13" s="59" t="s">
        <v>86</v>
      </c>
      <c r="F13" s="56" t="s">
        <v>41</v>
      </c>
      <c r="G13" s="44">
        <v>123</v>
      </c>
      <c r="H13" s="129">
        <f>IF(B$15=0,0,G13/B$15)</f>
        <v>4.9477071600965407E-2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821</v>
      </c>
      <c r="C14" s="35">
        <f>IF(B$12=0,0,B14/B$12)</f>
        <v>0.41973415132924335</v>
      </c>
      <c r="E14" s="59" t="s">
        <v>83</v>
      </c>
      <c r="F14" s="56" t="s">
        <v>38</v>
      </c>
      <c r="G14" s="44">
        <v>121</v>
      </c>
      <c r="H14" s="129">
        <f>IF(B$15=0,0,G14/B$15)</f>
        <v>4.8672566371681415E-2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2486</v>
      </c>
      <c r="C15" s="35">
        <f>IF(B$3=0,0,B15/B$3)</f>
        <v>0.29427083333333331</v>
      </c>
      <c r="E15" s="59" t="s">
        <v>78</v>
      </c>
      <c r="F15" s="56" t="s">
        <v>33</v>
      </c>
      <c r="G15" s="44">
        <v>68</v>
      </c>
      <c r="H15" s="129">
        <f>IF(B$15=0,0,G15/B$15)</f>
        <v>2.7353177795655673E-2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1355</v>
      </c>
      <c r="C16" s="37">
        <f>IF(B$3=0,0,B16/B$3)</f>
        <v>0.16039299242424243</v>
      </c>
      <c r="E16" s="59" t="s">
        <v>81</v>
      </c>
      <c r="F16" s="56" t="s">
        <v>36</v>
      </c>
      <c r="G16" s="44">
        <v>56</v>
      </c>
      <c r="H16" s="129">
        <f>IF(B$15=0,0,G16/B$15)</f>
        <v>2.252614641995173E-2</v>
      </c>
      <c r="I16" s="90">
        <v>5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1119</v>
      </c>
      <c r="C17" s="37">
        <f>IF(B$15=0,0,B17/B$15)</f>
        <v>0.45012067578439258</v>
      </c>
      <c r="E17" s="59" t="s">
        <v>162</v>
      </c>
      <c r="F17" s="56" t="s">
        <v>163</v>
      </c>
      <c r="G17" s="44">
        <v>49</v>
      </c>
      <c r="H17" s="129">
        <f>IF(B$15=0,0,G17/B$15)</f>
        <v>1.9710378117457763E-2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14.673134328358193</v>
      </c>
      <c r="P17" s="115">
        <v>134</v>
      </c>
      <c r="Q17" s="103">
        <v>1966.199999999998</v>
      </c>
    </row>
    <row r="18" spans="1:17" x14ac:dyDescent="0.45">
      <c r="A18" s="51" t="s">
        <v>11</v>
      </c>
      <c r="B18" s="44">
        <v>1367</v>
      </c>
      <c r="C18" s="37">
        <f>IF(B$15=0,0,B18/B$15)</f>
        <v>0.54987932421560737</v>
      </c>
      <c r="E18" s="59" t="s">
        <v>91</v>
      </c>
      <c r="F18" s="56" t="s">
        <v>46</v>
      </c>
      <c r="G18" s="44">
        <v>40</v>
      </c>
      <c r="H18" s="129">
        <f>IF(B$15=0,0,G18/B$15)</f>
        <v>1.6090104585679808E-2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11.290499999999994</v>
      </c>
      <c r="P18" s="115">
        <v>200</v>
      </c>
      <c r="Q18" s="103">
        <v>2258.099999999999</v>
      </c>
    </row>
    <row r="19" spans="1:17" x14ac:dyDescent="0.45">
      <c r="A19" s="51" t="s">
        <v>195</v>
      </c>
      <c r="B19" s="44">
        <v>1157</v>
      </c>
      <c r="C19" s="37">
        <f>IF(B$15=0,0,B19/B$15)</f>
        <v>0.46540627514078842</v>
      </c>
      <c r="E19" s="59" t="s">
        <v>79</v>
      </c>
      <c r="F19" s="56" t="s">
        <v>34</v>
      </c>
      <c r="G19" s="44">
        <v>36</v>
      </c>
      <c r="H19" s="129">
        <f>IF(B$15=0,0,G19/B$15)</f>
        <v>1.4481094127111826E-2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9.0061224489795855</v>
      </c>
      <c r="P19" s="115">
        <v>196</v>
      </c>
      <c r="Q19" s="103">
        <v>1765.1999999999989</v>
      </c>
    </row>
    <row r="20" spans="1:17" x14ac:dyDescent="0.45">
      <c r="A20" s="51" t="s">
        <v>193</v>
      </c>
      <c r="B20" s="44">
        <v>821</v>
      </c>
      <c r="C20" s="37">
        <f>IF(B$15=0,0,B20/B$15)</f>
        <v>0.33024939662107805</v>
      </c>
      <c r="E20" s="59" t="s">
        <v>75</v>
      </c>
      <c r="F20" s="56" t="s">
        <v>30</v>
      </c>
      <c r="G20" s="44">
        <v>19</v>
      </c>
      <c r="H20" s="129">
        <f>IF(B$15=0,0,G20/B$15)</f>
        <v>7.642799678197908E-3</v>
      </c>
      <c r="I20" s="90">
        <v>6</v>
      </c>
      <c r="K20" s="36">
        <v>18</v>
      </c>
      <c r="L20" s="95">
        <v>0</v>
      </c>
      <c r="N20" s="111" t="s">
        <v>196</v>
      </c>
      <c r="O20" s="121">
        <f>IF(P20=0,0,Q20/P20)</f>
        <v>5.3200000000000029</v>
      </c>
      <c r="P20" s="115">
        <v>60</v>
      </c>
      <c r="Q20" s="103">
        <v>319.20000000000016</v>
      </c>
    </row>
    <row r="21" spans="1:17" x14ac:dyDescent="0.45">
      <c r="A21" s="51" t="s">
        <v>194</v>
      </c>
      <c r="B21" s="44">
        <v>508</v>
      </c>
      <c r="C21" s="37">
        <f>IF(B$15=0,0,B21/B$15)</f>
        <v>0.20434432823813356</v>
      </c>
      <c r="E21" s="59" t="s">
        <v>92</v>
      </c>
      <c r="F21" s="56" t="s">
        <v>47</v>
      </c>
      <c r="G21" s="44">
        <v>19</v>
      </c>
      <c r="H21" s="129">
        <f>IF(B$15=0,0,G21/B$15)</f>
        <v>7.642799678197908E-3</v>
      </c>
      <c r="I21" s="90">
        <v>4</v>
      </c>
      <c r="K21" s="36">
        <v>19</v>
      </c>
      <c r="L21" s="95">
        <v>-22.4</v>
      </c>
      <c r="N21" s="111" t="s">
        <v>200</v>
      </c>
      <c r="O21" s="121">
        <f>IF(P21=0,0,Q21/P21)</f>
        <v>4.6333333333333302</v>
      </c>
      <c r="P21" s="115">
        <v>36</v>
      </c>
      <c r="Q21" s="103">
        <v>166.7999999999999</v>
      </c>
    </row>
    <row r="22" spans="1:17" x14ac:dyDescent="0.45">
      <c r="A22" s="51" t="s">
        <v>5</v>
      </c>
      <c r="B22" s="48">
        <f>IF(B$15=0,0,C22/B$15)</f>
        <v>8446.1786001609016</v>
      </c>
      <c r="C22" s="39">
        <v>20997200</v>
      </c>
      <c r="E22" s="59" t="s">
        <v>85</v>
      </c>
      <c r="F22" s="56" t="s">
        <v>40</v>
      </c>
      <c r="G22" s="44">
        <v>14</v>
      </c>
      <c r="H22" s="129">
        <f>IF(B$15=0,0,G22/B$15)</f>
        <v>5.6315366049879325E-3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0.78942307692307723</v>
      </c>
      <c r="P22" s="115">
        <v>312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9142.2822822822818</v>
      </c>
      <c r="C23" s="137">
        <v>15221900</v>
      </c>
      <c r="E23" s="59" t="s">
        <v>73</v>
      </c>
      <c r="F23" s="56" t="s">
        <v>28</v>
      </c>
      <c r="G23" s="44">
        <v>9</v>
      </c>
      <c r="H23" s="129">
        <f>IF(B$15=0,0,G23/B$15)</f>
        <v>3.6202735317779565E-3</v>
      </c>
      <c r="I23" s="90">
        <v>4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0.39606741573033372</v>
      </c>
      <c r="P23" s="115">
        <v>356</v>
      </c>
      <c r="Q23" s="103">
        <v>140.99999999999881</v>
      </c>
    </row>
    <row r="24" spans="1:17" x14ac:dyDescent="0.45">
      <c r="A24" s="52" t="s">
        <v>178</v>
      </c>
      <c r="B24" s="136">
        <f>IF(B$14=0,0,C24/B$14)</f>
        <v>7034.4701583434835</v>
      </c>
      <c r="C24" s="137">
        <v>5775300</v>
      </c>
      <c r="E24" s="59" t="s">
        <v>74</v>
      </c>
      <c r="F24" s="56" t="s">
        <v>29</v>
      </c>
      <c r="G24" s="44">
        <v>8</v>
      </c>
      <c r="H24" s="129">
        <f>IF(B$15=0,0,G24/B$15)</f>
        <v>3.2180209171359612E-3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-5.8956953642384038</v>
      </c>
      <c r="P24" s="115">
        <v>302</v>
      </c>
      <c r="Q24" s="103">
        <v>-1780.499999999998</v>
      </c>
    </row>
    <row r="25" spans="1:17" x14ac:dyDescent="0.45">
      <c r="A25" s="52" t="s">
        <v>176</v>
      </c>
      <c r="B25" s="136">
        <f>IF(B$16=0,0,C25/B$16)</f>
        <v>-7870.0369003690039</v>
      </c>
      <c r="C25" s="137">
        <v>-10663900</v>
      </c>
      <c r="E25" s="59" t="s">
        <v>84</v>
      </c>
      <c r="F25" s="56" t="s">
        <v>39</v>
      </c>
      <c r="G25" s="44">
        <v>8</v>
      </c>
      <c r="H25" s="129">
        <f>IF(B$15=0,0,G25/B$15)</f>
        <v>3.2180209171359612E-3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-13.763613861386141</v>
      </c>
      <c r="P25" s="115">
        <v>404</v>
      </c>
      <c r="Q25" s="103">
        <v>-5560.5000000000009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7</v>
      </c>
      <c r="H26" s="129">
        <f>IF(B$15=0,0,G26/B$15)</f>
        <v>2.8157683024939663E-3</v>
      </c>
      <c r="I26" s="90">
        <v>5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77</v>
      </c>
      <c r="F27" s="56" t="s">
        <v>32</v>
      </c>
      <c r="G27" s="44">
        <v>6</v>
      </c>
      <c r="H27" s="129">
        <f>IF(B$15=0,0,G27/B$15)</f>
        <v>2.4135156878519709E-3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2.011263073209976E-3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2.011263073209976E-3</v>
      </c>
      <c r="I29" s="90">
        <v>3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24</v>
      </c>
      <c r="C30" s="40">
        <f>IF(B$3=0,0,B30/B$3)</f>
        <v>2.840909090909091E-3</v>
      </c>
      <c r="E30" s="59" t="s">
        <v>95</v>
      </c>
      <c r="F30" s="56" t="s">
        <v>50</v>
      </c>
      <c r="G30" s="44">
        <v>5</v>
      </c>
      <c r="H30" s="129">
        <f>IF(B$15=0,0,G30/B$15)</f>
        <v>2.011263073209976E-3</v>
      </c>
      <c r="I30" s="90">
        <v>5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1.6090104585679806E-3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195</v>
      </c>
      <c r="C32" s="141">
        <f>IF(B$15=0,0,B32/B$15)</f>
        <v>7.8439259855189056E-2</v>
      </c>
      <c r="E32" s="59" t="s">
        <v>97</v>
      </c>
      <c r="F32" s="56" t="s">
        <v>52</v>
      </c>
      <c r="G32" s="44">
        <v>1</v>
      </c>
      <c r="H32" s="129">
        <f>IF(B$15=0,0,G32/B$15)</f>
        <v>4.0225261464199515E-4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427</v>
      </c>
      <c r="C33" s="37">
        <f t="shared" ref="C33:C44" si="2">IF(B$15=0,0,B33/B$15)</f>
        <v>0.17176186645213193</v>
      </c>
      <c r="E33" s="59" t="s">
        <v>101</v>
      </c>
      <c r="F33" s="56" t="s">
        <v>56</v>
      </c>
      <c r="G33" s="44">
        <v>1</v>
      </c>
      <c r="H33" s="129">
        <f>IF(B$15=0,0,G33/B$15)</f>
        <v>4.0225261464199515E-4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479</v>
      </c>
      <c r="C34" s="37">
        <f>IF(B$15=0,0,B34/B$15)</f>
        <v>0.19267900241351568</v>
      </c>
      <c r="E34" s="59" t="s">
        <v>106</v>
      </c>
      <c r="F34" s="56" t="s">
        <v>113</v>
      </c>
      <c r="G34" s="44">
        <v>1</v>
      </c>
      <c r="H34" s="129">
        <f>IF(B$15=0,0,G34/B$15)</f>
        <v>4.0225261464199515E-4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441</v>
      </c>
      <c r="C35" s="37">
        <f t="shared" si="2"/>
        <v>0.17739340305711987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388</v>
      </c>
      <c r="C36" s="37">
        <f t="shared" si="2"/>
        <v>0.15607401448109412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265</v>
      </c>
      <c r="C37" s="37">
        <f t="shared" si="2"/>
        <v>0.10659694288012872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129</v>
      </c>
      <c r="C38" s="37">
        <f t="shared" si="2"/>
        <v>5.1890587288817375E-2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71</v>
      </c>
      <c r="C39" s="37">
        <f t="shared" si="2"/>
        <v>2.8559935639581657E-2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32</v>
      </c>
      <c r="C40" s="37">
        <f t="shared" si="2"/>
        <v>1.2872083668543845E-2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12</v>
      </c>
      <c r="C41" s="37">
        <f t="shared" si="2"/>
        <v>4.8270313757039418E-3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8</v>
      </c>
      <c r="C42" s="37">
        <f t="shared" si="2"/>
        <v>3.2180209171359612E-3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2.4135156878519709E-3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1.3274336283185841E-2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30.399999999999928</v>
      </c>
    </row>
    <row r="988" spans="11:12" x14ac:dyDescent="0.45">
      <c r="K988" s="36">
        <v>986</v>
      </c>
      <c r="L988" s="95">
        <v>45.499999999999929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34.59999999999993</v>
      </c>
    </row>
    <row r="991" spans="11:12" x14ac:dyDescent="0.45">
      <c r="K991" s="36">
        <v>989</v>
      </c>
      <c r="L991" s="95">
        <v>-11.500000000000071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1.299999999999929</v>
      </c>
    </row>
    <row r="994" spans="11:12" x14ac:dyDescent="0.45">
      <c r="K994" s="36">
        <v>992</v>
      </c>
      <c r="L994" s="95">
        <v>-15.800000000000072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74.099999999999923</v>
      </c>
    </row>
    <row r="997" spans="11:12" x14ac:dyDescent="0.45">
      <c r="K997" s="36">
        <v>995</v>
      </c>
      <c r="L997" s="95">
        <v>27.499999999999922</v>
      </c>
    </row>
    <row r="998" spans="11:12" x14ac:dyDescent="0.45">
      <c r="K998" s="36">
        <v>996</v>
      </c>
      <c r="L998" s="95">
        <v>-7.815970093361102E-14</v>
      </c>
    </row>
    <row r="999" spans="11:12" x14ac:dyDescent="0.45">
      <c r="K999" s="36">
        <v>997</v>
      </c>
      <c r="L999" s="95">
        <v>62.599999999999923</v>
      </c>
    </row>
    <row r="1000" spans="11:12" x14ac:dyDescent="0.45">
      <c r="K1000" s="36">
        <v>998</v>
      </c>
      <c r="L1000" s="95">
        <v>9.4999999999999218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-52.000000000000078</v>
      </c>
    </row>
    <row r="1003" spans="11:12" x14ac:dyDescent="0.45">
      <c r="K1003" s="36">
        <v>1001</v>
      </c>
      <c r="L1003" s="95">
        <v>-55.500000000000078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-45.200000000000081</v>
      </c>
    </row>
    <row r="1006" spans="11:12" x14ac:dyDescent="0.45">
      <c r="K1006" s="36">
        <v>1004</v>
      </c>
      <c r="L1006" s="95">
        <v>-28.200000000000081</v>
      </c>
    </row>
    <row r="1007" spans="11:12" x14ac:dyDescent="0.45">
      <c r="K1007" s="36">
        <v>1005</v>
      </c>
      <c r="L1007" s="95">
        <v>-8.1712414612411521E-14</v>
      </c>
    </row>
    <row r="1008" spans="11:12" x14ac:dyDescent="0.45">
      <c r="K1008" s="36">
        <v>1006</v>
      </c>
      <c r="L1008" s="95">
        <v>24.09999999999992</v>
      </c>
    </row>
    <row r="1009" spans="11:12" x14ac:dyDescent="0.45">
      <c r="K1009" s="36">
        <v>1007</v>
      </c>
      <c r="L1009" s="95">
        <v>24.89999999999992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22.39999999999992</v>
      </c>
    </row>
    <row r="1012" spans="11:12" x14ac:dyDescent="0.45">
      <c r="K1012" s="36">
        <v>1010</v>
      </c>
      <c r="L1012" s="95">
        <v>17.39999999999992</v>
      </c>
    </row>
    <row r="1013" spans="11:12" x14ac:dyDescent="0.45">
      <c r="K1013" s="36">
        <v>1011</v>
      </c>
      <c r="L1013" s="95">
        <v>-7.815970093361102E-14</v>
      </c>
    </row>
    <row r="1014" spans="11:12" x14ac:dyDescent="0.45">
      <c r="K1014" s="36">
        <v>1012</v>
      </c>
      <c r="L1014" s="95">
        <v>-36.000000000000078</v>
      </c>
    </row>
    <row r="1015" spans="11:12" x14ac:dyDescent="0.45">
      <c r="K1015" s="36">
        <v>1013</v>
      </c>
      <c r="L1015" s="95">
        <v>4.6999999999999247</v>
      </c>
    </row>
    <row r="1016" spans="11:12" x14ac:dyDescent="0.45">
      <c r="K1016" s="36">
        <v>1014</v>
      </c>
      <c r="L1016" s="95">
        <v>-7.5495165674510645E-14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5295D-2035-443F-B0BC-22B5BF236682}">
  <sheetPr codeName="Sheet7"/>
  <dimension ref="A1:Q9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88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0.68075117370892024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1920.4545454545455</v>
      </c>
      <c r="P2" s="114">
        <v>88</v>
      </c>
      <c r="Q2" s="98">
        <v>169000</v>
      </c>
    </row>
    <row r="3" spans="1:17" x14ac:dyDescent="0.45">
      <c r="A3" s="51" t="s">
        <v>8</v>
      </c>
      <c r="B3" s="156">
        <v>780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0.55868544600938963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-597.70000000000027</v>
      </c>
      <c r="C4" s="159"/>
      <c r="E4" s="59" t="s">
        <v>166</v>
      </c>
      <c r="F4" s="56" t="s">
        <v>167</v>
      </c>
      <c r="G4" s="44">
        <v>73</v>
      </c>
      <c r="H4" s="129">
        <f>IF(B$15=0,0,G4/B$15)</f>
        <v>0.34272300469483569</v>
      </c>
      <c r="I4" s="90">
        <v>11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5">
      <c r="A5" s="51" t="s">
        <v>7</v>
      </c>
      <c r="B5" s="160">
        <f>IF(B$2=0,0,B$4/B$2)</f>
        <v>-6.792045454545458</v>
      </c>
      <c r="C5" s="161"/>
      <c r="E5" s="59" t="s">
        <v>68</v>
      </c>
      <c r="F5" s="56" t="s">
        <v>12</v>
      </c>
      <c r="G5" s="44">
        <v>60</v>
      </c>
      <c r="H5" s="129">
        <f>IF(B$15=0,0,G5/B$15)</f>
        <v>0.28169014084507044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2.1590909090909092</v>
      </c>
      <c r="C6" s="151"/>
      <c r="E6" s="59" t="s">
        <v>64</v>
      </c>
      <c r="F6" s="56" t="s">
        <v>20</v>
      </c>
      <c r="G6" s="44">
        <v>58</v>
      </c>
      <c r="H6" s="129">
        <f>IF(B$15=0,0,G6/B$15)</f>
        <v>0.27230046948356806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0.28409090909090912</v>
      </c>
      <c r="E7" s="59" t="s">
        <v>67</v>
      </c>
      <c r="F7" s="56" t="s">
        <v>23</v>
      </c>
      <c r="G7" s="44">
        <v>38</v>
      </c>
      <c r="H7" s="129">
        <f>IF(B$15=0,0,G7/B$15)</f>
        <v>0.17840375586854459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24</v>
      </c>
      <c r="C8" s="37">
        <f t="shared" si="1"/>
        <v>0.27272727272727271</v>
      </c>
      <c r="E8" s="59" t="s">
        <v>69</v>
      </c>
      <c r="F8" s="56" t="s">
        <v>24</v>
      </c>
      <c r="G8" s="44">
        <v>36</v>
      </c>
      <c r="H8" s="129">
        <f>IF(B$15=0,0,G8/B$15)</f>
        <v>0.16901408450704225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0.44318181818181818</v>
      </c>
      <c r="E9" s="59" t="s">
        <v>71</v>
      </c>
      <c r="F9" s="56" t="s">
        <v>26</v>
      </c>
      <c r="G9" s="44">
        <v>27</v>
      </c>
      <c r="H9" s="129">
        <f>IF(B$15=0,0,G9/B$15)</f>
        <v>0.12676056338028169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7.9545454545454544E-2</v>
      </c>
      <c r="E10" s="59" t="s">
        <v>70</v>
      </c>
      <c r="F10" s="56" t="s">
        <v>25</v>
      </c>
      <c r="G10" s="44">
        <v>25</v>
      </c>
      <c r="H10" s="129">
        <f>IF(B$15=0,0,G10/B$15)</f>
        <v>0.11737089201877934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-12.716129032258063</v>
      </c>
      <c r="P10" s="114">
        <v>31</v>
      </c>
      <c r="Q10" s="102">
        <v>-394.2</v>
      </c>
    </row>
    <row r="11" spans="1:17" x14ac:dyDescent="0.45">
      <c r="A11" s="54" t="s">
        <v>121</v>
      </c>
      <c r="B11" s="47">
        <v>110</v>
      </c>
      <c r="C11" s="42">
        <f>IF(B$3=0,0,B11/B$3)</f>
        <v>0.14102564102564102</v>
      </c>
      <c r="E11" s="59" t="s">
        <v>83</v>
      </c>
      <c r="F11" s="56" t="s">
        <v>38</v>
      </c>
      <c r="G11" s="44">
        <v>19</v>
      </c>
      <c r="H11" s="129">
        <f>IF(B$15=0,0,G11/B$15)</f>
        <v>8.9201877934272297E-2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205</v>
      </c>
      <c r="C12" s="37">
        <f>IF(B$3=0,0,B12/B$3)</f>
        <v>0.26282051282051283</v>
      </c>
      <c r="E12" s="59" t="s">
        <v>89</v>
      </c>
      <c r="F12" s="56" t="s">
        <v>44</v>
      </c>
      <c r="G12" s="44">
        <v>15</v>
      </c>
      <c r="H12" s="129">
        <f>IF(B$15=0,0,G12/B$15)</f>
        <v>7.0422535211267609E-2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59</v>
      </c>
      <c r="C13" s="35">
        <f>IF(B$11=0,0,B13/B$11)</f>
        <v>0.53636363636363638</v>
      </c>
      <c r="E13" s="59" t="s">
        <v>65</v>
      </c>
      <c r="F13" s="56" t="s">
        <v>21</v>
      </c>
      <c r="G13" s="44">
        <v>13</v>
      </c>
      <c r="H13" s="129">
        <f>IF(B$15=0,0,G13/B$15)</f>
        <v>6.1032863849765258E-2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0.39512195121951221</v>
      </c>
      <c r="E14" s="59" t="s">
        <v>81</v>
      </c>
      <c r="F14" s="56" t="s">
        <v>36</v>
      </c>
      <c r="G14" s="44">
        <v>10</v>
      </c>
      <c r="H14" s="129">
        <f>IF(B$15=0,0,G14/B$15)</f>
        <v>4.6948356807511735E-2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213</v>
      </c>
      <c r="C15" s="35">
        <f>IF(B$3=0,0,B15/B$3)</f>
        <v>0.27307692307692305</v>
      </c>
      <c r="E15" s="59" t="s">
        <v>86</v>
      </c>
      <c r="F15" s="56" t="s">
        <v>41</v>
      </c>
      <c r="G15" s="44">
        <v>7</v>
      </c>
      <c r="H15" s="129">
        <f>IF(B$15=0,0,G15/B$15)</f>
        <v>3.2863849765258218E-2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127</v>
      </c>
      <c r="C16" s="37">
        <f>IF(B$3=0,0,B16/B$3)</f>
        <v>0.16282051282051282</v>
      </c>
      <c r="E16" s="59" t="s">
        <v>79</v>
      </c>
      <c r="F16" s="56" t="s">
        <v>34</v>
      </c>
      <c r="G16" s="44">
        <v>5</v>
      </c>
      <c r="H16" s="129">
        <f>IF(B$15=0,0,G16/B$15)</f>
        <v>2.3474178403755867E-2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93</v>
      </c>
      <c r="C17" s="37">
        <f>IF(B$15=0,0,B17/B$15)</f>
        <v>0.43661971830985913</v>
      </c>
      <c r="E17" s="59" t="s">
        <v>91</v>
      </c>
      <c r="F17" s="56" t="s">
        <v>46</v>
      </c>
      <c r="G17" s="44">
        <v>4</v>
      </c>
      <c r="H17" s="129">
        <f>IF(B$15=0,0,G17/B$15)</f>
        <v>1.8779342723004695E-2</v>
      </c>
      <c r="I17" s="90">
        <v>4</v>
      </c>
      <c r="K17" s="36">
        <v>15</v>
      </c>
      <c r="L17" s="95">
        <v>-65.2</v>
      </c>
      <c r="N17" s="111" t="s">
        <v>172</v>
      </c>
      <c r="O17" s="121">
        <f>IF(P17=0,0,Q17/P17)</f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120</v>
      </c>
      <c r="C18" s="37">
        <f>IF(B$15=0,0,B18/B$15)</f>
        <v>0.56338028169014087</v>
      </c>
      <c r="E18" s="59" t="s">
        <v>74</v>
      </c>
      <c r="F18" s="56" t="s">
        <v>29</v>
      </c>
      <c r="G18" s="44">
        <v>2</v>
      </c>
      <c r="H18" s="129">
        <f>IF(B$15=0,0,G18/B$15)</f>
        <v>9.3896713615023476E-3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>IF(P18=0,0,Q18/P18)</f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59</v>
      </c>
      <c r="C19" s="37">
        <f>IF(B$15=0,0,B19/B$15)</f>
        <v>0.27699530516431925</v>
      </c>
      <c r="E19" s="59" t="s">
        <v>75</v>
      </c>
      <c r="F19" s="56" t="s">
        <v>30</v>
      </c>
      <c r="G19" s="44">
        <v>2</v>
      </c>
      <c r="H19" s="129">
        <f>IF(B$15=0,0,G19/B$15)</f>
        <v>9.3896713615023476E-3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>IF(P19=0,0,Q19/P19)</f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81</v>
      </c>
      <c r="C20" s="37">
        <f>IF(B$15=0,0,B20/B$15)</f>
        <v>0.38028169014084506</v>
      </c>
      <c r="E20" s="59" t="s">
        <v>78</v>
      </c>
      <c r="F20" s="56" t="s">
        <v>33</v>
      </c>
      <c r="G20" s="44">
        <v>2</v>
      </c>
      <c r="H20" s="129">
        <f>IF(B$15=0,0,G20/B$15)</f>
        <v>9.3896713615023476E-3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>IF(P20=0,0,Q20/P20)</f>
        <v>-12.675609756097565</v>
      </c>
      <c r="P20" s="115">
        <v>41</v>
      </c>
      <c r="Q20" s="103">
        <v>-519.70000000000016</v>
      </c>
    </row>
    <row r="21" spans="1:17" x14ac:dyDescent="0.45">
      <c r="A21" s="51" t="s">
        <v>194</v>
      </c>
      <c r="B21" s="44">
        <v>73</v>
      </c>
      <c r="C21" s="37">
        <f>IF(B$15=0,0,B21/B$15)</f>
        <v>0.34272300469483569</v>
      </c>
      <c r="E21" s="59" t="s">
        <v>88</v>
      </c>
      <c r="F21" s="56" t="s">
        <v>43</v>
      </c>
      <c r="G21" s="44">
        <v>2</v>
      </c>
      <c r="H21" s="129">
        <f>IF(B$15=0,0,G21/B$15)</f>
        <v>9.3896713615023476E-3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7107.9812206572769</v>
      </c>
      <c r="C22" s="39">
        <v>1514000</v>
      </c>
      <c r="E22" s="59" t="s">
        <v>93</v>
      </c>
      <c r="F22" s="56" t="s">
        <v>48</v>
      </c>
      <c r="G22" s="44">
        <v>2</v>
      </c>
      <c r="H22" s="129">
        <f>IF(B$15=0,0,G22/B$15)</f>
        <v>9.3896713615023476E-3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>IF(P22=0,0,Q22/P22)</f>
        <v>-26.54137931034483</v>
      </c>
      <c r="P22" s="115">
        <v>29</v>
      </c>
      <c r="Q22" s="103">
        <v>-769.7</v>
      </c>
    </row>
    <row r="23" spans="1:17" x14ac:dyDescent="0.45">
      <c r="A23" s="52" t="s">
        <v>177</v>
      </c>
      <c r="B23" s="136">
        <f>IF($B$15-B$14=0,0,C23/($B$15-B$14))</f>
        <v>7612.121212121212</v>
      </c>
      <c r="C23" s="137">
        <v>1004800</v>
      </c>
      <c r="E23" s="59" t="s">
        <v>77</v>
      </c>
      <c r="F23" s="56" t="s">
        <v>32</v>
      </c>
      <c r="G23" s="44">
        <v>1</v>
      </c>
      <c r="H23" s="129">
        <f>IF(B$15=0,0,G23/B$15)</f>
        <v>4.6948356807511738E-3</v>
      </c>
      <c r="I23" s="90">
        <v>2</v>
      </c>
      <c r="K23" s="36">
        <v>21</v>
      </c>
      <c r="L23" s="95">
        <v>-111.4</v>
      </c>
      <c r="N23" s="111" t="s">
        <v>201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6286.4197530864194</v>
      </c>
      <c r="C24" s="137">
        <v>509200</v>
      </c>
      <c r="E24" s="59" t="s">
        <v>84</v>
      </c>
      <c r="F24" s="56" t="s">
        <v>39</v>
      </c>
      <c r="G24" s="44">
        <v>1</v>
      </c>
      <c r="H24" s="129">
        <f>IF(B$15=0,0,G24/B$15)</f>
        <v>4.6948356807511738E-3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-7540.9448818897636</v>
      </c>
      <c r="C25" s="137">
        <v>-957700</v>
      </c>
      <c r="E25" s="59" t="s">
        <v>87</v>
      </c>
      <c r="F25" s="56" t="s">
        <v>42</v>
      </c>
      <c r="G25" s="44">
        <v>1</v>
      </c>
      <c r="H25" s="129">
        <f>IF(B$15=0,0,G25/B$15)</f>
        <v>4.6948356807511738E-3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6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2.5641025641025641E-3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0.12676056338028169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44</v>
      </c>
      <c r="C33" s="37">
        <f t="shared" ref="C33:C44" si="2">IF(B$15=0,0,B33/B$15)</f>
        <v>0.20657276995305165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0.20657276995305165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39</v>
      </c>
      <c r="C35" s="37">
        <f t="shared" si="2"/>
        <v>0.18309859154929578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2"/>
        <v>0.10328638497652583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2"/>
        <v>7.9812206572769953E-2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2"/>
        <v>5.1643192488262914E-2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2"/>
        <v>2.8169014084507043E-2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2"/>
        <v>4.6948356807511738E-3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2"/>
        <v>9.3896713615023476E-3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</sheetData>
  <sortState xmlns:xlrd2="http://schemas.microsoft.com/office/spreadsheetml/2017/richdata2" ref="E2:I9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F220-9DEA-473A-BBCB-13343057EA62}">
  <sheetPr codeName="Sheet9"/>
  <dimension ref="A1:Q2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202</v>
      </c>
      <c r="C2" s="155"/>
      <c r="E2" s="58" t="s">
        <v>66</v>
      </c>
      <c r="F2" s="55" t="s">
        <v>22</v>
      </c>
      <c r="G2" s="43">
        <v>388</v>
      </c>
      <c r="H2" s="128">
        <f>IF(B$15=0,0,G2/B$15)</f>
        <v>0.67950963222416816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1395.5223880597016</v>
      </c>
      <c r="P2" s="114">
        <v>201</v>
      </c>
      <c r="Q2" s="98">
        <v>280500</v>
      </c>
    </row>
    <row r="3" spans="1:17" x14ac:dyDescent="0.45">
      <c r="A3" s="51" t="s">
        <v>8</v>
      </c>
      <c r="B3" s="156">
        <v>1677</v>
      </c>
      <c r="C3" s="157"/>
      <c r="E3" s="59" t="s">
        <v>72</v>
      </c>
      <c r="F3" s="56" t="s">
        <v>27</v>
      </c>
      <c r="G3" s="44">
        <v>306</v>
      </c>
      <c r="H3" s="129">
        <f>IF(B$15=0,0,G3/B$15)</f>
        <v>0.53590192644483359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1326.7676767676767</v>
      </c>
      <c r="P3" s="115">
        <v>198</v>
      </c>
      <c r="Q3" s="99">
        <v>262700</v>
      </c>
    </row>
    <row r="4" spans="1:17" x14ac:dyDescent="0.45">
      <c r="A4" s="51" t="s">
        <v>6</v>
      </c>
      <c r="B4" s="158">
        <v>1853.4999999999995</v>
      </c>
      <c r="C4" s="159"/>
      <c r="E4" s="59" t="s">
        <v>64</v>
      </c>
      <c r="F4" s="56" t="s">
        <v>20</v>
      </c>
      <c r="G4" s="44">
        <v>245</v>
      </c>
      <c r="H4" s="129">
        <f>IF(B$15=0,0,G4/B$15)</f>
        <v>0.42907180385288968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1183.1578947368421</v>
      </c>
      <c r="P4" s="115">
        <v>190</v>
      </c>
      <c r="Q4" s="99">
        <v>224800</v>
      </c>
    </row>
    <row r="5" spans="1:17" x14ac:dyDescent="0.45">
      <c r="A5" s="51" t="s">
        <v>7</v>
      </c>
      <c r="B5" s="160">
        <f>IF(B$2=0,0,B$4/B$2)</f>
        <v>9.1757425742574235</v>
      </c>
      <c r="C5" s="161"/>
      <c r="E5" s="59" t="s">
        <v>166</v>
      </c>
      <c r="F5" s="56" t="s">
        <v>167</v>
      </c>
      <c r="G5" s="44">
        <v>223</v>
      </c>
      <c r="H5" s="129">
        <f>IF(B$15=0,0,G5/B$15)</f>
        <v>0.39054290718038531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109.03954802259886</v>
      </c>
      <c r="P5" s="115">
        <v>177</v>
      </c>
      <c r="Q5" s="99">
        <v>19300</v>
      </c>
    </row>
    <row r="6" spans="1:17" x14ac:dyDescent="0.45">
      <c r="A6" s="51" t="s">
        <v>1</v>
      </c>
      <c r="B6" s="150">
        <f>IF(B$2=0,0,(B$7*1+B$8*2+B$9*3)/B$2)</f>
        <v>1.7722772277227723</v>
      </c>
      <c r="C6" s="151"/>
      <c r="E6" s="59" t="s">
        <v>68</v>
      </c>
      <c r="F6" s="56" t="s">
        <v>12</v>
      </c>
      <c r="G6" s="44">
        <v>159</v>
      </c>
      <c r="H6" s="129">
        <f>IF(B$15=0,0,G6/B$15)</f>
        <v>0.27845884413309985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1783.6363636363637</v>
      </c>
      <c r="P6" s="115">
        <v>165</v>
      </c>
      <c r="Q6" s="99">
        <v>294300</v>
      </c>
    </row>
    <row r="7" spans="1:17" x14ac:dyDescent="0.45">
      <c r="A7" s="51" t="s">
        <v>2</v>
      </c>
      <c r="B7" s="44">
        <v>95</v>
      </c>
      <c r="C7" s="37">
        <f t="shared" ref="C7:C10" si="1">IF(B$2=0,0,B7/B$2)</f>
        <v>0.47029702970297027</v>
      </c>
      <c r="E7" s="59" t="s">
        <v>67</v>
      </c>
      <c r="F7" s="56" t="s">
        <v>23</v>
      </c>
      <c r="G7" s="44">
        <v>135</v>
      </c>
      <c r="H7" s="129">
        <f>IF(B$15=0,0,G7/B$15)</f>
        <v>0.23642732049036777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2134.5588235294117</v>
      </c>
      <c r="P7" s="116">
        <v>136</v>
      </c>
      <c r="Q7" s="100">
        <v>290300</v>
      </c>
    </row>
    <row r="8" spans="1:17" x14ac:dyDescent="0.45">
      <c r="A8" s="51" t="s">
        <v>3</v>
      </c>
      <c r="B8" s="44">
        <v>58</v>
      </c>
      <c r="C8" s="37">
        <f t="shared" si="1"/>
        <v>0.28712871287128711</v>
      </c>
      <c r="E8" s="59" t="s">
        <v>89</v>
      </c>
      <c r="F8" s="56" t="s">
        <v>44</v>
      </c>
      <c r="G8" s="44">
        <v>86</v>
      </c>
      <c r="H8" s="129">
        <f>IF(B$15=0,0,G8/B$15)</f>
        <v>0.15061295971978983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0.24257425742574257</v>
      </c>
      <c r="E9" s="59" t="s">
        <v>69</v>
      </c>
      <c r="F9" s="56" t="s">
        <v>24</v>
      </c>
      <c r="G9" s="44">
        <v>72</v>
      </c>
      <c r="H9" s="129">
        <f>IF(B$15=0,0,G9/B$15)</f>
        <v>0.12609457092819615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4.4554455445544552E-2</v>
      </c>
      <c r="E10" s="59" t="s">
        <v>65</v>
      </c>
      <c r="F10" s="56" t="s">
        <v>21</v>
      </c>
      <c r="G10" s="44">
        <v>63</v>
      </c>
      <c r="H10" s="129">
        <f>IF(B$15=0,0,G10/B$15)</f>
        <v>0.11033274956217162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5">
      <c r="A11" s="54" t="s">
        <v>121</v>
      </c>
      <c r="B11" s="47">
        <v>443</v>
      </c>
      <c r="C11" s="42">
        <f>IF(B$3=0,0,B11/B$3)</f>
        <v>0.26416219439475253</v>
      </c>
      <c r="E11" s="59" t="s">
        <v>71</v>
      </c>
      <c r="F11" s="56" t="s">
        <v>26</v>
      </c>
      <c r="G11" s="44">
        <v>40</v>
      </c>
      <c r="H11" s="129">
        <f>IF(B$15=0,0,G11/B$15)</f>
        <v>7.0052539404553416E-2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5.3144927536231883</v>
      </c>
      <c r="P11" s="115">
        <v>69</v>
      </c>
      <c r="Q11" s="103">
        <v>366.7</v>
      </c>
    </row>
    <row r="12" spans="1:17" x14ac:dyDescent="0.45">
      <c r="A12" s="51" t="s">
        <v>118</v>
      </c>
      <c r="B12" s="44">
        <v>397</v>
      </c>
      <c r="C12" s="37">
        <f>IF(B$3=0,0,B12/B$3)</f>
        <v>0.23673225998807393</v>
      </c>
      <c r="E12" s="59" t="s">
        <v>70</v>
      </c>
      <c r="F12" s="56" t="s">
        <v>25</v>
      </c>
      <c r="G12" s="44">
        <v>38</v>
      </c>
      <c r="H12" s="129">
        <f>IF(B$15=0,0,G12/B$15)</f>
        <v>6.6549912434325745E-2</v>
      </c>
      <c r="I12" s="90">
        <v>13</v>
      </c>
      <c r="K12" s="36">
        <v>10</v>
      </c>
      <c r="L12" s="95">
        <v>158.19999999999999</v>
      </c>
      <c r="N12" s="112" t="s">
        <v>159</v>
      </c>
      <c r="O12" s="122">
        <f>IF(P12=0,0,Q12/P12)</f>
        <v>10.489189189189187</v>
      </c>
      <c r="P12" s="116">
        <v>74</v>
      </c>
      <c r="Q12" s="104">
        <v>776.19999999999982</v>
      </c>
    </row>
    <row r="13" spans="1:17" x14ac:dyDescent="0.45">
      <c r="A13" s="50" t="s">
        <v>123</v>
      </c>
      <c r="B13" s="43">
        <f>B19</f>
        <v>257</v>
      </c>
      <c r="C13" s="35">
        <f>IF(B$11=0,0,B13/B$11)</f>
        <v>0.58013544018058694</v>
      </c>
      <c r="E13" s="59" t="s">
        <v>86</v>
      </c>
      <c r="F13" s="56" t="s">
        <v>41</v>
      </c>
      <c r="G13" s="44">
        <v>36</v>
      </c>
      <c r="H13" s="129">
        <f>IF(B$15=0,0,G13/B$15)</f>
        <v>6.3047285464098074E-2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190</v>
      </c>
      <c r="C14" s="35">
        <f>IF(B$12=0,0,B14/B$12)</f>
        <v>0.47858942065491183</v>
      </c>
      <c r="E14" s="59" t="s">
        <v>83</v>
      </c>
      <c r="F14" s="56" t="s">
        <v>38</v>
      </c>
      <c r="G14" s="44">
        <v>27</v>
      </c>
      <c r="H14" s="129">
        <f>IF(B$15=0,0,G14/B$15)</f>
        <v>4.7285464098073555E-2</v>
      </c>
      <c r="I14" s="90">
        <v>7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571</v>
      </c>
      <c r="C15" s="35">
        <f>IF(B$3=0,0,B15/B$3)</f>
        <v>0.34048896839594511</v>
      </c>
      <c r="E15" s="59" t="s">
        <v>78</v>
      </c>
      <c r="F15" s="56" t="s">
        <v>33</v>
      </c>
      <c r="G15" s="44">
        <v>21</v>
      </c>
      <c r="H15" s="129">
        <f>IF(B$15=0,0,G15/B$15)</f>
        <v>3.6777583187390543E-2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>IF(P15=0,0,Q15/P15)</f>
        <v>42.716666666666661</v>
      </c>
      <c r="P15" s="114">
        <v>6</v>
      </c>
      <c r="Q15" s="102">
        <v>256.29999999999995</v>
      </c>
    </row>
    <row r="16" spans="1:17" x14ac:dyDescent="0.45">
      <c r="A16" s="51" t="s">
        <v>13</v>
      </c>
      <c r="B16" s="44">
        <v>210</v>
      </c>
      <c r="C16" s="37">
        <f>IF(B$3=0,0,B16/B$3)</f>
        <v>0.12522361359570661</v>
      </c>
      <c r="E16" s="59" t="s">
        <v>162</v>
      </c>
      <c r="F16" s="56" t="s">
        <v>163</v>
      </c>
      <c r="G16" s="44">
        <v>15</v>
      </c>
      <c r="H16" s="129">
        <f>IF(B$15=0,0,G16/B$15)</f>
        <v>2.6269702276707531E-2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26.027272727272738</v>
      </c>
      <c r="P16" s="115">
        <v>11</v>
      </c>
      <c r="Q16" s="103">
        <v>286.30000000000013</v>
      </c>
    </row>
    <row r="17" spans="1:17" x14ac:dyDescent="0.45">
      <c r="A17" s="51" t="s">
        <v>12</v>
      </c>
      <c r="B17" s="44">
        <v>239</v>
      </c>
      <c r="C17" s="37">
        <f>IF(B$15=0,0,B17/B$15)</f>
        <v>0.41856392294220668</v>
      </c>
      <c r="E17" s="59" t="s">
        <v>81</v>
      </c>
      <c r="F17" s="56" t="s">
        <v>36</v>
      </c>
      <c r="G17" s="44">
        <v>9</v>
      </c>
      <c r="H17" s="129">
        <f>IF(B$15=0,0,G17/B$15)</f>
        <v>1.5761821366024518E-2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24.157142857142862</v>
      </c>
      <c r="P17" s="115">
        <v>21</v>
      </c>
      <c r="Q17" s="103">
        <v>507.30000000000007</v>
      </c>
    </row>
    <row r="18" spans="1:17" x14ac:dyDescent="0.45">
      <c r="A18" s="51" t="s">
        <v>11</v>
      </c>
      <c r="B18" s="44">
        <v>332</v>
      </c>
      <c r="C18" s="37">
        <f>IF(B$15=0,0,B18/B$15)</f>
        <v>0.58143607705779332</v>
      </c>
      <c r="E18" s="59" t="s">
        <v>91</v>
      </c>
      <c r="F18" s="56" t="s">
        <v>46</v>
      </c>
      <c r="G18" s="44">
        <v>6</v>
      </c>
      <c r="H18" s="129">
        <f>IF(B$15=0,0,G18/B$15)</f>
        <v>1.0507880910683012E-2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15.762499999999999</v>
      </c>
      <c r="P18" s="115">
        <v>64</v>
      </c>
      <c r="Q18" s="103">
        <v>1008.8</v>
      </c>
    </row>
    <row r="19" spans="1:17" x14ac:dyDescent="0.45">
      <c r="A19" s="51" t="s">
        <v>195</v>
      </c>
      <c r="B19" s="44">
        <v>257</v>
      </c>
      <c r="C19" s="37">
        <f>IF(B$15=0,0,B19/B$15)</f>
        <v>0.45008756567425567</v>
      </c>
      <c r="E19" s="59" t="s">
        <v>92</v>
      </c>
      <c r="F19" s="56" t="s">
        <v>47</v>
      </c>
      <c r="G19" s="44">
        <v>6</v>
      </c>
      <c r="H19" s="129">
        <f>IF(B$15=0,0,G19/B$15)</f>
        <v>1.0507880910683012E-2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13.496610169491529</v>
      </c>
      <c r="P19" s="115">
        <v>118</v>
      </c>
      <c r="Q19" s="103">
        <v>1592.6000000000004</v>
      </c>
    </row>
    <row r="20" spans="1:17" x14ac:dyDescent="0.45">
      <c r="A20" s="51" t="s">
        <v>193</v>
      </c>
      <c r="B20" s="44">
        <v>190</v>
      </c>
      <c r="C20" s="37">
        <f>IF(B$15=0,0,B20/B$15)</f>
        <v>0.33274956217162871</v>
      </c>
      <c r="E20" s="59" t="s">
        <v>75</v>
      </c>
      <c r="F20" s="56" t="s">
        <v>30</v>
      </c>
      <c r="G20" s="44">
        <v>5</v>
      </c>
      <c r="H20" s="129">
        <f>IF(B$15=0,0,G20/B$15)</f>
        <v>8.7565674255691769E-3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>IF(P20=0,0,Q20/P20)</f>
        <v>13.116666666666665</v>
      </c>
      <c r="P20" s="115">
        <v>42</v>
      </c>
      <c r="Q20" s="103">
        <v>550.9</v>
      </c>
    </row>
    <row r="21" spans="1:17" x14ac:dyDescent="0.45">
      <c r="A21" s="51" t="s">
        <v>194</v>
      </c>
      <c r="B21" s="44">
        <v>124</v>
      </c>
      <c r="C21" s="37">
        <f>IF(B$15=0,0,B21/B$15)</f>
        <v>0.21716287215411559</v>
      </c>
      <c r="E21" s="59" t="s">
        <v>79</v>
      </c>
      <c r="F21" s="56" t="s">
        <v>34</v>
      </c>
      <c r="G21" s="44">
        <v>4</v>
      </c>
      <c r="H21" s="129">
        <f>IF(B$15=0,0,G21/B$15)</f>
        <v>7.0052539404553416E-3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12.803896103896106</v>
      </c>
      <c r="P21" s="115">
        <v>77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8282.6619964973725</v>
      </c>
      <c r="C22" s="39">
        <v>4729400</v>
      </c>
      <c r="E22" s="59" t="s">
        <v>85</v>
      </c>
      <c r="F22" s="56" t="s">
        <v>40</v>
      </c>
      <c r="G22" s="44">
        <v>4</v>
      </c>
      <c r="H22" s="129">
        <f>IF(B$15=0,0,G22/B$15)</f>
        <v>7.0052539404553416E-3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6.9203124999999996</v>
      </c>
      <c r="P22" s="115">
        <v>64</v>
      </c>
      <c r="Q22" s="103">
        <v>442.9</v>
      </c>
    </row>
    <row r="23" spans="1:17" x14ac:dyDescent="0.45">
      <c r="A23" s="52" t="s">
        <v>177</v>
      </c>
      <c r="B23" s="136">
        <f>IF($B$15-B$14=0,0,C23/($B$15-B$14))</f>
        <v>8866.404199475066</v>
      </c>
      <c r="C23" s="137">
        <v>3378100</v>
      </c>
      <c r="E23" s="59" t="s">
        <v>77</v>
      </c>
      <c r="F23" s="56" t="s">
        <v>32</v>
      </c>
      <c r="G23" s="44">
        <v>3</v>
      </c>
      <c r="H23" s="129">
        <f>IF(B$15=0,0,G23/B$15)</f>
        <v>5.2539404553415062E-3</v>
      </c>
      <c r="I23" s="90">
        <v>1</v>
      </c>
      <c r="K23" s="36">
        <v>21</v>
      </c>
      <c r="L23" s="95">
        <v>371.39999999999992</v>
      </c>
      <c r="N23" s="111" t="s">
        <v>256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7112.105263157895</v>
      </c>
      <c r="C24" s="137">
        <v>1351300</v>
      </c>
      <c r="E24" s="59" t="s">
        <v>84</v>
      </c>
      <c r="F24" s="56" t="s">
        <v>39</v>
      </c>
      <c r="G24" s="44">
        <v>3</v>
      </c>
      <c r="H24" s="129">
        <f>IF(B$15=0,0,G24/B$15)</f>
        <v>5.2539404553415062E-3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-7655.2380952380954</v>
      </c>
      <c r="C25" s="137">
        <v>-1607600</v>
      </c>
      <c r="E25" s="59" t="s">
        <v>74</v>
      </c>
      <c r="F25" s="56" t="s">
        <v>29</v>
      </c>
      <c r="G25" s="44">
        <v>2</v>
      </c>
      <c r="H25" s="129">
        <f>IF(B$15=0,0,G25/B$15)</f>
        <v>3.5026269702276708E-3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3.5026269702276708E-3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7</v>
      </c>
      <c r="E27" s="59" t="s">
        <v>95</v>
      </c>
      <c r="F27" s="56" t="s">
        <v>50</v>
      </c>
      <c r="G27" s="44">
        <v>2</v>
      </c>
      <c r="H27" s="129">
        <f>IF(B$15=0,0,G27/B$15)</f>
        <v>3.5026269702276708E-3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1.7513134851138354E-3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1.7513134851138354E-3</v>
      </c>
      <c r="I29" s="90">
        <v>4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1.1926058437686344E-3</v>
      </c>
      <c r="E30" s="59" t="s">
        <v>106</v>
      </c>
      <c r="F30" s="56" t="s">
        <v>113</v>
      </c>
      <c r="G30" s="44">
        <v>1</v>
      </c>
      <c r="H30" s="129">
        <f>IF(B$15=0,0,G30/B$15)</f>
        <v>1.7513134851138354E-3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54</v>
      </c>
      <c r="C32" s="141">
        <f>IF(B$15=0,0,B32/B$15)</f>
        <v>9.4570928196147111E-2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106</v>
      </c>
      <c r="C33" s="37">
        <f t="shared" ref="C33:C44" si="2">IF(B$15=0,0,B33/B$15)</f>
        <v>0.18563922942206654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111</v>
      </c>
      <c r="C34" s="37">
        <f>IF(B$15=0,0,B34/B$15)</f>
        <v>0.19439579684763572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100</v>
      </c>
      <c r="C35" s="37">
        <f t="shared" si="2"/>
        <v>0.17513134851138354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84</v>
      </c>
      <c r="C36" s="37">
        <f t="shared" si="2"/>
        <v>0.14711033274956217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56</v>
      </c>
      <c r="C37" s="37">
        <f t="shared" si="2"/>
        <v>9.8073555166374782E-2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25</v>
      </c>
      <c r="C38" s="37">
        <f t="shared" si="2"/>
        <v>4.3782837127845885E-2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11</v>
      </c>
      <c r="C39" s="37">
        <f t="shared" si="2"/>
        <v>1.9264448336252189E-2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11</v>
      </c>
      <c r="C40" s="37">
        <f t="shared" si="2"/>
        <v>1.9264448336252189E-2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5.2539404553415062E-3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1.7513134851138354E-3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1.5761821366024518E-2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1806.0999999999997</v>
      </c>
    </row>
    <row r="202" spans="11:12" x14ac:dyDescent="0.45">
      <c r="K202" s="36">
        <v>200</v>
      </c>
      <c r="L202" s="95">
        <v>1830.1999999999996</v>
      </c>
    </row>
    <row r="203" spans="11:12" x14ac:dyDescent="0.45">
      <c r="K203" s="36">
        <v>201</v>
      </c>
      <c r="L203" s="95">
        <v>1812.7999999999995</v>
      </c>
    </row>
    <row r="204" spans="11:12" x14ac:dyDescent="0.45">
      <c r="K204" s="36">
        <v>202</v>
      </c>
      <c r="L204" s="95">
        <v>1853.4999999999995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4244-9B1E-49A8-9349-D3DE3A6B45C4}">
  <sheetPr codeName="Sheet11"/>
  <dimension ref="A1:Q18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178</v>
      </c>
      <c r="C2" s="155"/>
      <c r="E2" s="58" t="s">
        <v>66</v>
      </c>
      <c r="F2" s="55" t="s">
        <v>22</v>
      </c>
      <c r="G2" s="43">
        <v>349</v>
      </c>
      <c r="H2" s="128">
        <f>IF(B$15=0,0,G2/B$15)</f>
        <v>0.74732334047109206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-1052.840909090909</v>
      </c>
      <c r="P2" s="114">
        <v>176</v>
      </c>
      <c r="Q2" s="98">
        <v>-185300</v>
      </c>
    </row>
    <row r="3" spans="1:17" x14ac:dyDescent="0.45">
      <c r="A3" s="51" t="s">
        <v>8</v>
      </c>
      <c r="B3" s="156">
        <v>1481</v>
      </c>
      <c r="C3" s="157"/>
      <c r="E3" s="59" t="s">
        <v>72</v>
      </c>
      <c r="F3" s="56" t="s">
        <v>27</v>
      </c>
      <c r="G3" s="44">
        <v>267</v>
      </c>
      <c r="H3" s="129">
        <f>IF(B$15=0,0,G3/B$15)</f>
        <v>0.57173447537473232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1165.3179190751446</v>
      </c>
      <c r="P3" s="115">
        <v>173</v>
      </c>
      <c r="Q3" s="99">
        <v>201600</v>
      </c>
    </row>
    <row r="4" spans="1:17" x14ac:dyDescent="0.45">
      <c r="A4" s="51" t="s">
        <v>6</v>
      </c>
      <c r="B4" s="158">
        <v>-47.000000000000206</v>
      </c>
      <c r="C4" s="159"/>
      <c r="E4" s="59" t="s">
        <v>166</v>
      </c>
      <c r="F4" s="56" t="s">
        <v>167</v>
      </c>
      <c r="G4" s="44">
        <v>191</v>
      </c>
      <c r="H4" s="129">
        <f>IF(B$15=0,0,G4/B$15)</f>
        <v>0.4089935760171306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-245.96273291925465</v>
      </c>
      <c r="P4" s="115">
        <v>161</v>
      </c>
      <c r="Q4" s="99">
        <v>-39600</v>
      </c>
    </row>
    <row r="5" spans="1:17" x14ac:dyDescent="0.45">
      <c r="A5" s="51" t="s">
        <v>7</v>
      </c>
      <c r="B5" s="160">
        <f>IF(B$2=0,0,B$4/B$2)</f>
        <v>-0.26404494382022586</v>
      </c>
      <c r="C5" s="161"/>
      <c r="E5" s="59" t="s">
        <v>64</v>
      </c>
      <c r="F5" s="56" t="s">
        <v>20</v>
      </c>
      <c r="G5" s="44">
        <v>174</v>
      </c>
      <c r="H5" s="129">
        <f>IF(B$15=0,0,G5/B$15)</f>
        <v>0.37259100642398285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107.84313725490196</v>
      </c>
      <c r="P5" s="115">
        <v>153</v>
      </c>
      <c r="Q5" s="99">
        <v>16500</v>
      </c>
    </row>
    <row r="6" spans="1:17" x14ac:dyDescent="0.45">
      <c r="A6" s="51" t="s">
        <v>1</v>
      </c>
      <c r="B6" s="150">
        <f>IF(B$2=0,0,(B$7*1+B$8*2+B$9*3)/B$2)</f>
        <v>1.9831460674157304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0.27194860813704497</v>
      </c>
      <c r="I6" s="90">
        <v>11</v>
      </c>
      <c r="K6" s="36">
        <v>4</v>
      </c>
      <c r="L6" s="95">
        <v>-38.099999999999994</v>
      </c>
      <c r="N6" s="111" t="s">
        <v>134</v>
      </c>
      <c r="O6" s="118">
        <f t="shared" si="0"/>
        <v>-1502.1428571428571</v>
      </c>
      <c r="P6" s="115">
        <v>140</v>
      </c>
      <c r="Q6" s="99">
        <v>-210300</v>
      </c>
    </row>
    <row r="7" spans="1:17" x14ac:dyDescent="0.45">
      <c r="A7" s="51" t="s">
        <v>2</v>
      </c>
      <c r="B7" s="44">
        <v>60</v>
      </c>
      <c r="C7" s="37">
        <f t="shared" ref="C7:C10" si="1">IF(B$2=0,0,B7/B$2)</f>
        <v>0.33707865168539325</v>
      </c>
      <c r="E7" s="59" t="s">
        <v>67</v>
      </c>
      <c r="F7" s="56" t="s">
        <v>23</v>
      </c>
      <c r="G7" s="44">
        <v>94</v>
      </c>
      <c r="H7" s="129">
        <f>IF(B$15=0,0,G7/B$15)</f>
        <v>0.2012847965738758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1161.3445378151262</v>
      </c>
      <c r="P7" s="116">
        <v>119</v>
      </c>
      <c r="Q7" s="100">
        <v>138200</v>
      </c>
    </row>
    <row r="8" spans="1:17" x14ac:dyDescent="0.45">
      <c r="A8" s="51" t="s">
        <v>3</v>
      </c>
      <c r="B8" s="44">
        <v>61</v>
      </c>
      <c r="C8" s="37">
        <f t="shared" si="1"/>
        <v>0.34269662921348315</v>
      </c>
      <c r="E8" s="59" t="s">
        <v>69</v>
      </c>
      <c r="F8" s="56" t="s">
        <v>24</v>
      </c>
      <c r="G8" s="44">
        <v>51</v>
      </c>
      <c r="H8" s="129">
        <f>IF(B$15=0,0,G8/B$15)</f>
        <v>0.10920770877944326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57</v>
      </c>
      <c r="C9" s="38">
        <f t="shared" si="1"/>
        <v>0.3202247191011236</v>
      </c>
      <c r="E9" s="59" t="s">
        <v>89</v>
      </c>
      <c r="F9" s="56" t="s">
        <v>44</v>
      </c>
      <c r="G9" s="44">
        <v>49</v>
      </c>
      <c r="H9" s="129">
        <f>IF(B$15=0,0,G9/B$15)</f>
        <v>0.10492505353319058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0.10112359550561797</v>
      </c>
      <c r="E10" s="59" t="s">
        <v>70</v>
      </c>
      <c r="F10" s="56" t="s">
        <v>25</v>
      </c>
      <c r="G10" s="44">
        <v>45</v>
      </c>
      <c r="H10" s="129">
        <f>IF(B$15=0,0,G10/B$15)</f>
        <v>9.6359743040685231E-2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-1.999999999999964E-2</v>
      </c>
      <c r="P10" s="114">
        <v>55</v>
      </c>
      <c r="Q10" s="102">
        <v>-1.0999999999999801</v>
      </c>
    </row>
    <row r="11" spans="1:17" x14ac:dyDescent="0.45">
      <c r="A11" s="54" t="s">
        <v>121</v>
      </c>
      <c r="B11" s="47">
        <v>340</v>
      </c>
      <c r="C11" s="42">
        <f>IF(B$3=0,0,B11/B$3)</f>
        <v>0.22957461174881835</v>
      </c>
      <c r="E11" s="59" t="s">
        <v>71</v>
      </c>
      <c r="F11" s="56" t="s">
        <v>26</v>
      </c>
      <c r="G11" s="44">
        <v>42</v>
      </c>
      <c r="H11" s="129">
        <f>IF(B$15=0,0,G11/B$15)</f>
        <v>8.9935760171306209E-2</v>
      </c>
      <c r="I11" s="90">
        <v>6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 x14ac:dyDescent="0.45">
      <c r="A12" s="51" t="s">
        <v>118</v>
      </c>
      <c r="B12" s="44">
        <v>443</v>
      </c>
      <c r="C12" s="37">
        <f>IF(B$3=0,0,B12/B$3)</f>
        <v>0.29912221471978395</v>
      </c>
      <c r="E12" s="59" t="s">
        <v>65</v>
      </c>
      <c r="F12" s="56" t="s">
        <v>21</v>
      </c>
      <c r="G12" s="44">
        <v>35</v>
      </c>
      <c r="H12" s="129">
        <f>IF(B$15=0,0,G12/B$15)</f>
        <v>7.4946466809421838E-2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174</v>
      </c>
      <c r="C13" s="35">
        <f>IF(B$11=0,0,B13/B$11)</f>
        <v>0.5117647058823529</v>
      </c>
      <c r="E13" s="59" t="s">
        <v>86</v>
      </c>
      <c r="F13" s="56" t="s">
        <v>41</v>
      </c>
      <c r="G13" s="44">
        <v>26</v>
      </c>
      <c r="H13" s="129">
        <f>IF(B$15=0,0,G13/B$15)</f>
        <v>5.5674518201284794E-2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176</v>
      </c>
      <c r="C14" s="35">
        <f>IF(B$12=0,0,B14/B$12)</f>
        <v>0.39729119638826182</v>
      </c>
      <c r="E14" s="59" t="s">
        <v>83</v>
      </c>
      <c r="F14" s="56" t="s">
        <v>38</v>
      </c>
      <c r="G14" s="44">
        <v>22</v>
      </c>
      <c r="H14" s="129">
        <f>IF(B$15=0,0,G14/B$15)</f>
        <v>4.7109207708779445E-2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467</v>
      </c>
      <c r="C15" s="35">
        <f>IF(B$3=0,0,B15/B$3)</f>
        <v>0.31532748143146522</v>
      </c>
      <c r="E15" s="59" t="s">
        <v>78</v>
      </c>
      <c r="F15" s="56" t="s">
        <v>33</v>
      </c>
      <c r="G15" s="44">
        <v>18</v>
      </c>
      <c r="H15" s="129">
        <f>IF(B$15=0,0,G15/B$15)</f>
        <v>3.8543897216274089E-2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262</v>
      </c>
      <c r="C16" s="37">
        <f>IF(B$3=0,0,B16/B$3)</f>
        <v>0.17690749493585414</v>
      </c>
      <c r="E16" s="59" t="s">
        <v>91</v>
      </c>
      <c r="F16" s="56" t="s">
        <v>46</v>
      </c>
      <c r="G16" s="44">
        <v>14</v>
      </c>
      <c r="H16" s="129">
        <f>IF(B$15=0,0,G16/B$15)</f>
        <v>2.9978586723768737E-2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>IF(P16=0,0,Q16/P16)</f>
        <v>21.862499999999997</v>
      </c>
      <c r="P16" s="115">
        <v>8</v>
      </c>
      <c r="Q16" s="103">
        <v>174.89999999999998</v>
      </c>
    </row>
    <row r="17" spans="1:17" x14ac:dyDescent="0.45">
      <c r="A17" s="51" t="s">
        <v>12</v>
      </c>
      <c r="B17" s="44">
        <v>193</v>
      </c>
      <c r="C17" s="37">
        <f>IF(B$15=0,0,B17/B$15)</f>
        <v>0.41327623126338331</v>
      </c>
      <c r="E17" s="59" t="s">
        <v>81</v>
      </c>
      <c r="F17" s="56" t="s">
        <v>36</v>
      </c>
      <c r="G17" s="44">
        <v>11</v>
      </c>
      <c r="H17" s="129">
        <f>IF(B$15=0,0,G17/B$15)</f>
        <v>2.3554603854389723E-2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274</v>
      </c>
      <c r="C18" s="37">
        <f>IF(B$15=0,0,B18/B$15)</f>
        <v>0.58672376873661669</v>
      </c>
      <c r="E18" s="59" t="s">
        <v>79</v>
      </c>
      <c r="F18" s="56" t="s">
        <v>34</v>
      </c>
      <c r="G18" s="44">
        <v>8</v>
      </c>
      <c r="H18" s="129">
        <f>IF(B$15=0,0,G18/B$15)</f>
        <v>1.7130620985010708E-2</v>
      </c>
      <c r="I18" s="90">
        <v>6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174</v>
      </c>
      <c r="C19" s="37">
        <f>IF(B$15=0,0,B19/B$15)</f>
        <v>0.37259100642398285</v>
      </c>
      <c r="E19" s="59" t="s">
        <v>162</v>
      </c>
      <c r="F19" s="56" t="s">
        <v>163</v>
      </c>
      <c r="G19" s="44">
        <v>5</v>
      </c>
      <c r="H19" s="129">
        <f>IF(B$15=0,0,G19/B$15)</f>
        <v>1.0706638115631691E-2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176</v>
      </c>
      <c r="C20" s="37">
        <f>IF(B$15=0,0,B20/B$15)</f>
        <v>0.37687366167023556</v>
      </c>
      <c r="E20" s="59" t="s">
        <v>92</v>
      </c>
      <c r="F20" s="56" t="s">
        <v>47</v>
      </c>
      <c r="G20" s="44">
        <v>3</v>
      </c>
      <c r="H20" s="129">
        <f>IF(B$15=0,0,G20/B$15)</f>
        <v>6.4239828693790149E-3</v>
      </c>
      <c r="I20" s="90">
        <v>6</v>
      </c>
      <c r="K20" s="36">
        <v>18</v>
      </c>
      <c r="L20" s="95">
        <v>-112.90000000000002</v>
      </c>
      <c r="N20" s="111" t="s">
        <v>171</v>
      </c>
      <c r="O20" s="121">
        <f>IF(P20=0,0,Q20/P20)</f>
        <v>-2.8540983606557364</v>
      </c>
      <c r="P20" s="115">
        <v>61</v>
      </c>
      <c r="Q20" s="103">
        <v>-174.09999999999991</v>
      </c>
    </row>
    <row r="21" spans="1:17" x14ac:dyDescent="0.45">
      <c r="A21" s="51" t="s">
        <v>194</v>
      </c>
      <c r="B21" s="44">
        <v>117</v>
      </c>
      <c r="C21" s="37">
        <f>IF(B$15=0,0,B21/B$15)</f>
        <v>0.25053533190578159</v>
      </c>
      <c r="E21" s="59" t="s">
        <v>74</v>
      </c>
      <c r="F21" s="56" t="s">
        <v>29</v>
      </c>
      <c r="G21" s="44">
        <v>2</v>
      </c>
      <c r="H21" s="129">
        <f>IF(B$15=0,0,G21/B$15)</f>
        <v>4.2826552462526769E-3</v>
      </c>
      <c r="I21" s="90">
        <v>3</v>
      </c>
      <c r="K21" s="36">
        <v>19</v>
      </c>
      <c r="L21" s="95">
        <v>-162.40000000000003</v>
      </c>
      <c r="N21" s="111" t="s">
        <v>200</v>
      </c>
      <c r="O21" s="121">
        <f>IF(P21=0,0,Q21/P21)</f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7886.0813704496786</v>
      </c>
      <c r="C22" s="39">
        <v>3682800</v>
      </c>
      <c r="E22" s="59" t="s">
        <v>75</v>
      </c>
      <c r="F22" s="56" t="s">
        <v>30</v>
      </c>
      <c r="G22" s="44">
        <v>2</v>
      </c>
      <c r="H22" s="129">
        <f>IF(B$15=0,0,G22/B$15)</f>
        <v>4.2826552462526769E-3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-3.0083333333333306</v>
      </c>
      <c r="P22" s="115">
        <v>60</v>
      </c>
      <c r="Q22" s="103">
        <v>-180.49999999999983</v>
      </c>
    </row>
    <row r="23" spans="1:17" x14ac:dyDescent="0.45">
      <c r="A23" s="52" t="s">
        <v>177</v>
      </c>
      <c r="B23" s="136">
        <f>IF($B$15-B$14=0,0,C23/($B$15-B$14))</f>
        <v>8494.1580756013755</v>
      </c>
      <c r="C23" s="137">
        <v>2471800</v>
      </c>
      <c r="E23" s="59" t="s">
        <v>90</v>
      </c>
      <c r="F23" s="56" t="s">
        <v>45</v>
      </c>
      <c r="G23" s="44">
        <v>2</v>
      </c>
      <c r="H23" s="129">
        <f>IF(B$15=0,0,G23/B$15)</f>
        <v>4.2826552462526769E-3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>IF(P23=0,0,Q23/P23)</f>
        <v>-13.496610169491529</v>
      </c>
      <c r="P23" s="115">
        <v>118</v>
      </c>
      <c r="Q23" s="103">
        <v>-1592.6000000000004</v>
      </c>
    </row>
    <row r="24" spans="1:17" x14ac:dyDescent="0.45">
      <c r="A24" s="52" t="s">
        <v>178</v>
      </c>
      <c r="B24" s="136">
        <f>IF(B$14=0,0,C24/B$14)</f>
        <v>6880.681818181818</v>
      </c>
      <c r="C24" s="137">
        <v>1211000</v>
      </c>
      <c r="E24" s="59" t="s">
        <v>73</v>
      </c>
      <c r="F24" s="56" t="s">
        <v>28</v>
      </c>
      <c r="G24" s="44">
        <v>1</v>
      </c>
      <c r="H24" s="129">
        <f>IF(B$15=0,0,G24/B$15)</f>
        <v>2.1413276231263384E-3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-7936.259541984733</v>
      </c>
      <c r="C25" s="137">
        <v>-2079300</v>
      </c>
      <c r="E25" s="59" t="s">
        <v>77</v>
      </c>
      <c r="F25" s="56" t="s">
        <v>32</v>
      </c>
      <c r="G25" s="44">
        <v>1</v>
      </c>
      <c r="H25" s="129">
        <f>IF(B$15=0,0,G25/B$15)</f>
        <v>2.1413276231263384E-3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84</v>
      </c>
      <c r="F26" s="56" t="s">
        <v>39</v>
      </c>
      <c r="G26" s="44">
        <v>1</v>
      </c>
      <c r="H26" s="129">
        <f>IF(B$15=0,0,G26/B$15)</f>
        <v>2.1413276231263384E-3</v>
      </c>
      <c r="I26" s="90">
        <v>5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36</v>
      </c>
      <c r="C27" s="131">
        <v>3</v>
      </c>
      <c r="E27" s="59" t="s">
        <v>95</v>
      </c>
      <c r="F27" s="56" t="s">
        <v>50</v>
      </c>
      <c r="G27" s="44">
        <v>1</v>
      </c>
      <c r="H27" s="129">
        <f>IF(B$15=0,0,G27/B$15)</f>
        <v>2.1413276231263384E-3</v>
      </c>
      <c r="I27" s="90">
        <v>4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6</v>
      </c>
      <c r="C30" s="40">
        <f>IF(B$3=0,0,B30/B$3)</f>
        <v>4.0513166779203242E-3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7.922912205567452E-2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90</v>
      </c>
      <c r="C33" s="37">
        <f t="shared" ref="C33:C44" si="2">IF(B$15=0,0,B33/B$15)</f>
        <v>0.19271948608137046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100</v>
      </c>
      <c r="C34" s="37">
        <f>IF(B$15=0,0,B34/B$15)</f>
        <v>0.21413276231263384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93</v>
      </c>
      <c r="C35" s="37">
        <f t="shared" si="2"/>
        <v>0.19914346895074947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65</v>
      </c>
      <c r="C36" s="37">
        <f t="shared" si="2"/>
        <v>0.13918629550321199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2"/>
        <v>9.421841541755889E-2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3.2119914346895075E-2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1.9271948608137045E-2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1.284796573875803E-2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2.1413276231263384E-3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6.4239828693790149E-3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8.5653104925053538E-3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-68.600000000000207</v>
      </c>
    </row>
    <row r="178" spans="11:12" x14ac:dyDescent="0.45">
      <c r="K178" s="36">
        <v>176</v>
      </c>
      <c r="L178" s="95">
        <v>-6.0000000000002061</v>
      </c>
    </row>
    <row r="179" spans="11:12" x14ac:dyDescent="0.45">
      <c r="K179" s="36">
        <v>177</v>
      </c>
      <c r="L179" s="95">
        <v>-11.000000000000206</v>
      </c>
    </row>
    <row r="180" spans="11:12" x14ac:dyDescent="0.45">
      <c r="K180" s="36">
        <v>178</v>
      </c>
      <c r="L180" s="95">
        <v>-47.000000000000206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87FD-D8CB-4D8C-8262-C26FE9BC2246}">
  <sheetPr codeName="Sheet13"/>
  <dimension ref="A1:Q10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100</v>
      </c>
      <c r="C2" s="155"/>
      <c r="E2" s="58" t="s">
        <v>66</v>
      </c>
      <c r="F2" s="55" t="s">
        <v>22</v>
      </c>
      <c r="G2" s="43">
        <v>176</v>
      </c>
      <c r="H2" s="128">
        <f>IF(B$15=0,0,G2/B$15)</f>
        <v>0.76855895196506552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-637.37373737373741</v>
      </c>
      <c r="P2" s="114">
        <v>99</v>
      </c>
      <c r="Q2" s="98">
        <v>-63100</v>
      </c>
    </row>
    <row r="3" spans="1:17" x14ac:dyDescent="0.45">
      <c r="A3" s="51" t="s">
        <v>8</v>
      </c>
      <c r="B3" s="156">
        <v>863</v>
      </c>
      <c r="C3" s="157"/>
      <c r="E3" s="59" t="s">
        <v>64</v>
      </c>
      <c r="F3" s="56" t="s">
        <v>20</v>
      </c>
      <c r="G3" s="44">
        <v>127</v>
      </c>
      <c r="H3" s="129">
        <f>IF(B$15=0,0,G3/B$15)</f>
        <v>0.55458515283842791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-893.93939393939399</v>
      </c>
      <c r="P3" s="115">
        <v>99</v>
      </c>
      <c r="Q3" s="99">
        <v>-88500</v>
      </c>
    </row>
    <row r="4" spans="1:17" x14ac:dyDescent="0.45">
      <c r="A4" s="51" t="s">
        <v>6</v>
      </c>
      <c r="B4" s="158">
        <v>-752.69999999999993</v>
      </c>
      <c r="C4" s="159"/>
      <c r="E4" s="59" t="s">
        <v>72</v>
      </c>
      <c r="F4" s="56" t="s">
        <v>27</v>
      </c>
      <c r="G4" s="44">
        <v>114</v>
      </c>
      <c r="H4" s="129">
        <f>IF(B$15=0,0,G4/B$15)</f>
        <v>0.49781659388646288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469.89247311827955</v>
      </c>
      <c r="P4" s="115">
        <v>93</v>
      </c>
      <c r="Q4" s="99">
        <v>43700</v>
      </c>
    </row>
    <row r="5" spans="1:17" x14ac:dyDescent="0.45">
      <c r="A5" s="51" t="s">
        <v>7</v>
      </c>
      <c r="B5" s="160">
        <f>IF(B$2=0,0,B$4/B$2)</f>
        <v>-7.5269999999999992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0.41921397379912662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-779.12087912087907</v>
      </c>
      <c r="P5" s="115">
        <v>91</v>
      </c>
      <c r="Q5" s="99">
        <v>-70900</v>
      </c>
    </row>
    <row r="6" spans="1:17" x14ac:dyDescent="0.45">
      <c r="A6" s="51" t="s">
        <v>1</v>
      </c>
      <c r="B6" s="150">
        <f>IF(B$2=0,0,(B$7*1+B$8*2+B$9*3)/B$2)</f>
        <v>2.19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0.34934497816593885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-2894.1860465116279</v>
      </c>
      <c r="P6" s="115">
        <v>86</v>
      </c>
      <c r="Q6" s="99">
        <v>-248900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</v>
      </c>
      <c r="E7" s="59" t="s">
        <v>67</v>
      </c>
      <c r="F7" s="56" t="s">
        <v>23</v>
      </c>
      <c r="G7" s="44">
        <v>70</v>
      </c>
      <c r="H7" s="129">
        <f>IF(B$15=0,0,G7/B$15)</f>
        <v>0.3056768558951965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-1877.3333333333333</v>
      </c>
      <c r="P7" s="116">
        <v>75</v>
      </c>
      <c r="Q7" s="100">
        <v>-140800</v>
      </c>
    </row>
    <row r="8" spans="1:17" x14ac:dyDescent="0.45">
      <c r="A8" s="51" t="s">
        <v>3</v>
      </c>
      <c r="B8" s="44">
        <v>39</v>
      </c>
      <c r="C8" s="37">
        <f t="shared" si="1"/>
        <v>0.39</v>
      </c>
      <c r="E8" s="59" t="s">
        <v>69</v>
      </c>
      <c r="F8" s="56" t="s">
        <v>24</v>
      </c>
      <c r="G8" s="44">
        <v>33</v>
      </c>
      <c r="H8" s="129">
        <f>IF(B$15=0,0,G8/B$15)</f>
        <v>0.14410480349344978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0.4</v>
      </c>
      <c r="E9" s="59" t="s">
        <v>65</v>
      </c>
      <c r="F9" s="56" t="s">
        <v>21</v>
      </c>
      <c r="G9" s="44">
        <v>28</v>
      </c>
      <c r="H9" s="129">
        <f>IF(B$15=0,0,G9/B$15)</f>
        <v>0.1222707423580786</v>
      </c>
      <c r="I9" s="90">
        <v>7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0.08</v>
      </c>
      <c r="E10" s="59" t="s">
        <v>70</v>
      </c>
      <c r="F10" s="56" t="s">
        <v>25</v>
      </c>
      <c r="G10" s="44">
        <v>28</v>
      </c>
      <c r="H10" s="129">
        <f>IF(B$15=0,0,G10/B$15)</f>
        <v>0.1222707423580786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-6.9425000000000026</v>
      </c>
      <c r="P10" s="114">
        <v>40</v>
      </c>
      <c r="Q10" s="102">
        <v>-277.7000000000001</v>
      </c>
    </row>
    <row r="11" spans="1:17" x14ac:dyDescent="0.45">
      <c r="A11" s="54" t="s">
        <v>121</v>
      </c>
      <c r="B11" s="47">
        <v>236</v>
      </c>
      <c r="C11" s="42">
        <f>IF(B$3=0,0,B11/B$3)</f>
        <v>0.27346465816917731</v>
      </c>
      <c r="E11" s="59" t="s">
        <v>89</v>
      </c>
      <c r="F11" s="56" t="s">
        <v>44</v>
      </c>
      <c r="G11" s="44">
        <v>26</v>
      </c>
      <c r="H11" s="129">
        <f>IF(B$15=0,0,G11/B$15)</f>
        <v>0.11353711790393013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165</v>
      </c>
      <c r="C12" s="37">
        <f>IF(B$3=0,0,B12/B$3)</f>
        <v>0.19119351100811124</v>
      </c>
      <c r="E12" s="59" t="s">
        <v>83</v>
      </c>
      <c r="F12" s="56" t="s">
        <v>38</v>
      </c>
      <c r="G12" s="44">
        <v>14</v>
      </c>
      <c r="H12" s="129">
        <f>IF(B$15=0,0,G12/B$15)</f>
        <v>6.1135371179039298E-2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0.53813559322033899</v>
      </c>
      <c r="E13" s="59" t="s">
        <v>86</v>
      </c>
      <c r="F13" s="56" t="s">
        <v>41</v>
      </c>
      <c r="G13" s="44">
        <v>10</v>
      </c>
      <c r="H13" s="129">
        <f>IF(B$15=0,0,G13/B$15)</f>
        <v>4.3668122270742356E-2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0.40606060606060607</v>
      </c>
      <c r="E14" s="59" t="s">
        <v>71</v>
      </c>
      <c r="F14" s="56" t="s">
        <v>26</v>
      </c>
      <c r="G14" s="44">
        <v>9</v>
      </c>
      <c r="H14" s="129">
        <f>IF(B$15=0,0,G14/B$15)</f>
        <v>3.9301310043668124E-2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229</v>
      </c>
      <c r="C15" s="35">
        <f>IF(B$3=0,0,B15/B$3)</f>
        <v>0.26535341830822712</v>
      </c>
      <c r="E15" s="59" t="s">
        <v>78</v>
      </c>
      <c r="F15" s="56" t="s">
        <v>33</v>
      </c>
      <c r="G15" s="44">
        <v>8</v>
      </c>
      <c r="H15" s="129">
        <f>IF(B$15=0,0,G15/B$15)</f>
        <v>3.4934497816593885E-2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158</v>
      </c>
      <c r="C16" s="37">
        <f>IF(B$3=0,0,B16/B$3)</f>
        <v>0.18308227114716108</v>
      </c>
      <c r="E16" s="59" t="s">
        <v>79</v>
      </c>
      <c r="F16" s="56" t="s">
        <v>34</v>
      </c>
      <c r="G16" s="44">
        <v>4</v>
      </c>
      <c r="H16" s="129">
        <f>IF(B$15=0,0,G16/B$15)</f>
        <v>1.7467248908296942E-2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>IF(P16=0,0,Q16/P16)</f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107</v>
      </c>
      <c r="C17" s="37">
        <f>IF(B$15=0,0,B17/B$15)</f>
        <v>0.46724890829694321</v>
      </c>
      <c r="E17" s="59" t="s">
        <v>81</v>
      </c>
      <c r="F17" s="56" t="s">
        <v>36</v>
      </c>
      <c r="G17" s="44">
        <v>4</v>
      </c>
      <c r="H17" s="129">
        <f>IF(B$15=0,0,G17/B$15)</f>
        <v>1.7467248908296942E-2</v>
      </c>
      <c r="I17" s="90">
        <v>7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0.53275109170305679</v>
      </c>
      <c r="E18" s="59" t="s">
        <v>162</v>
      </c>
      <c r="F18" s="56" t="s">
        <v>163</v>
      </c>
      <c r="G18" s="44">
        <v>4</v>
      </c>
      <c r="H18" s="129">
        <f>IF(B$15=0,0,G18/B$15)</f>
        <v>1.7467248908296942E-2</v>
      </c>
      <c r="I18" s="90">
        <v>4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127</v>
      </c>
      <c r="C19" s="37">
        <f>IF(B$15=0,0,B19/B$15)</f>
        <v>0.55458515283842791</v>
      </c>
      <c r="E19" s="59" t="s">
        <v>75</v>
      </c>
      <c r="F19" s="56" t="s">
        <v>30</v>
      </c>
      <c r="G19" s="44">
        <v>3</v>
      </c>
      <c r="H19" s="129">
        <f>IF(B$15=0,0,G19/B$15)</f>
        <v>1.3100436681222707E-2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>IF(P19=0,0,Q19/P19)</f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0.29257641921397382</v>
      </c>
      <c r="E20" s="59" t="s">
        <v>85</v>
      </c>
      <c r="F20" s="56" t="s">
        <v>40</v>
      </c>
      <c r="G20" s="44">
        <v>1</v>
      </c>
      <c r="H20" s="129">
        <f>IF(B$15=0,0,G20/B$15)</f>
        <v>4.3668122270742356E-3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>IF(P20=0,0,Q20/P20)</f>
        <v>-15.762500000000001</v>
      </c>
      <c r="P20" s="115">
        <v>64</v>
      </c>
      <c r="Q20" s="103">
        <v>-1008.8000000000001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0.15283842794759825</v>
      </c>
      <c r="E21" s="59" t="s">
        <v>91</v>
      </c>
      <c r="F21" s="56" t="s">
        <v>46</v>
      </c>
      <c r="G21" s="44">
        <v>1</v>
      </c>
      <c r="H21" s="129">
        <f>IF(B$15=0,0,G21/B$15)</f>
        <v>4.3668122270742356E-3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>IF(P21=0,0,Q21/P21)</f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7835.8078602620089</v>
      </c>
      <c r="C22" s="39">
        <v>1794400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8448.1481481481478</v>
      </c>
      <c r="C23" s="137">
        <v>1368600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-7813.9240506329115</v>
      </c>
      <c r="C25" s="137">
        <v>-1234600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3.4762456546929316E-3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7.4235807860262015E-2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0.1703056768558952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0.22707423580786026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35</v>
      </c>
      <c r="C35" s="37">
        <f t="shared" si="2"/>
        <v>0.15283842794759825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2"/>
        <v>0.1703056768558952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2"/>
        <v>0.10043668122270742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2"/>
        <v>6.1135371179039298E-2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2"/>
        <v>2.6200873362445413E-2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2"/>
        <v>4.3668122270742356E-3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4.3668122270742356E-3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8.7336244541484712E-3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FB1D-B857-407D-974E-6FD1B46B4F40}">
  <sheetPr codeName="Sheet15"/>
  <dimension ref="A1:Q15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151</v>
      </c>
      <c r="C2" s="155"/>
      <c r="E2" s="58" t="s">
        <v>66</v>
      </c>
      <c r="F2" s="55" t="s">
        <v>22</v>
      </c>
      <c r="G2" s="43">
        <v>301</v>
      </c>
      <c r="H2" s="128">
        <f>IF(B$15=0,0,G2/B$15)</f>
        <v>0.90936555891238668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1629.3333333333333</v>
      </c>
      <c r="P2" s="114">
        <v>150</v>
      </c>
      <c r="Q2" s="98">
        <v>244400</v>
      </c>
    </row>
    <row r="3" spans="1:17" x14ac:dyDescent="0.45">
      <c r="A3" s="51" t="s">
        <v>8</v>
      </c>
      <c r="B3" s="156">
        <v>1209</v>
      </c>
      <c r="C3" s="157"/>
      <c r="E3" s="59" t="s">
        <v>72</v>
      </c>
      <c r="F3" s="56" t="s">
        <v>27</v>
      </c>
      <c r="G3" s="44">
        <v>184</v>
      </c>
      <c r="H3" s="129">
        <f>IF(B$15=0,0,G3/B$15)</f>
        <v>0.5558912386706949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-2154.4217687074829</v>
      </c>
      <c r="P3" s="115">
        <v>147</v>
      </c>
      <c r="Q3" s="99">
        <v>-316700</v>
      </c>
    </row>
    <row r="4" spans="1:17" x14ac:dyDescent="0.45">
      <c r="A4" s="51" t="s">
        <v>6</v>
      </c>
      <c r="B4" s="158">
        <v>593.50000000000057</v>
      </c>
      <c r="C4" s="159"/>
      <c r="E4" s="59" t="s">
        <v>64</v>
      </c>
      <c r="F4" s="56" t="s">
        <v>20</v>
      </c>
      <c r="G4" s="44">
        <v>178</v>
      </c>
      <c r="H4" s="129">
        <f>IF(B$15=0,0,G4/B$15)</f>
        <v>0.53776435045317217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118.79699248120301</v>
      </c>
      <c r="P4" s="115">
        <v>133</v>
      </c>
      <c r="Q4" s="99">
        <v>15800</v>
      </c>
    </row>
    <row r="5" spans="1:17" x14ac:dyDescent="0.45">
      <c r="A5" s="51" t="s">
        <v>7</v>
      </c>
      <c r="B5" s="160">
        <f>IF(B$2=0,0,B$4/B$2)</f>
        <v>3.9304635761589442</v>
      </c>
      <c r="C5" s="161"/>
      <c r="E5" s="59" t="s">
        <v>67</v>
      </c>
      <c r="F5" s="56" t="s">
        <v>23</v>
      </c>
      <c r="G5" s="44">
        <v>130</v>
      </c>
      <c r="H5" s="129">
        <f>IF(B$15=0,0,G5/B$15)</f>
        <v>0.39274924471299094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2176.2295081967213</v>
      </c>
      <c r="P5" s="115">
        <v>122</v>
      </c>
      <c r="Q5" s="99">
        <v>265500</v>
      </c>
    </row>
    <row r="6" spans="1:17" x14ac:dyDescent="0.45">
      <c r="A6" s="51" t="s">
        <v>1</v>
      </c>
      <c r="B6" s="150">
        <f>IF(B$2=0,0,(B$7*1+B$8*2+B$9*3)/B$2)</f>
        <v>1.9271523178807948</v>
      </c>
      <c r="C6" s="151"/>
      <c r="E6" s="59" t="s">
        <v>68</v>
      </c>
      <c r="F6" s="56" t="s">
        <v>12</v>
      </c>
      <c r="G6" s="44">
        <v>129</v>
      </c>
      <c r="H6" s="129">
        <f>IF(B$15=0,0,G6/B$15)</f>
        <v>0.38972809667673713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1425.4545454545455</v>
      </c>
      <c r="P6" s="115">
        <v>110</v>
      </c>
      <c r="Q6" s="99">
        <v>156800</v>
      </c>
    </row>
    <row r="7" spans="1:17" x14ac:dyDescent="0.45">
      <c r="A7" s="51" t="s">
        <v>2</v>
      </c>
      <c r="B7" s="44">
        <v>59</v>
      </c>
      <c r="C7" s="37">
        <f t="shared" ref="C7:C10" si="1">IF(B$2=0,0,B7/B$2)</f>
        <v>0.39072847682119205</v>
      </c>
      <c r="E7" s="59" t="s">
        <v>166</v>
      </c>
      <c r="F7" s="56" t="s">
        <v>167</v>
      </c>
      <c r="G7" s="44">
        <v>126</v>
      </c>
      <c r="H7" s="129">
        <f>IF(B$15=0,0,G7/B$15)</f>
        <v>0.38066465256797583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472.61904761904759</v>
      </c>
      <c r="P7" s="116">
        <v>84</v>
      </c>
      <c r="Q7" s="100">
        <v>39700</v>
      </c>
    </row>
    <row r="8" spans="1:17" x14ac:dyDescent="0.45">
      <c r="A8" s="51" t="s">
        <v>3</v>
      </c>
      <c r="B8" s="44">
        <v>44</v>
      </c>
      <c r="C8" s="37">
        <f t="shared" si="1"/>
        <v>0.29139072847682118</v>
      </c>
      <c r="E8" s="59" t="s">
        <v>89</v>
      </c>
      <c r="F8" s="56" t="s">
        <v>44</v>
      </c>
      <c r="G8" s="44">
        <v>83</v>
      </c>
      <c r="H8" s="129">
        <f>IF(B$15=0,0,G8/B$15)</f>
        <v>0.25075528700906347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0.31788079470198677</v>
      </c>
      <c r="E9" s="59" t="s">
        <v>69</v>
      </c>
      <c r="F9" s="56" t="s">
        <v>24</v>
      </c>
      <c r="G9" s="44">
        <v>68</v>
      </c>
      <c r="H9" s="129">
        <f>IF(B$15=0,0,G9/B$15)</f>
        <v>0.20543806646525681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0.12582781456953643</v>
      </c>
      <c r="E10" s="59" t="s">
        <v>65</v>
      </c>
      <c r="F10" s="56" t="s">
        <v>21</v>
      </c>
      <c r="G10" s="44">
        <v>47</v>
      </c>
      <c r="H10" s="129">
        <f>IF(B$15=0,0,G10/B$15)</f>
        <v>0.1419939577039275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-8.7357142857142858</v>
      </c>
      <c r="P10" s="114">
        <v>42</v>
      </c>
      <c r="Q10" s="102">
        <v>-366.9</v>
      </c>
    </row>
    <row r="11" spans="1:17" x14ac:dyDescent="0.45">
      <c r="A11" s="54" t="s">
        <v>121</v>
      </c>
      <c r="B11" s="47">
        <v>357</v>
      </c>
      <c r="C11" s="42">
        <f>IF(B$3=0,0,B11/B$3)</f>
        <v>0.29528535980148884</v>
      </c>
      <c r="E11" s="59" t="s">
        <v>70</v>
      </c>
      <c r="F11" s="56" t="s">
        <v>25</v>
      </c>
      <c r="G11" s="44">
        <v>41</v>
      </c>
      <c r="H11" s="129">
        <f>IF(B$15=0,0,G11/B$15)</f>
        <v>0.12386706948640483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6.2339285714285699</v>
      </c>
      <c r="P11" s="115">
        <v>56</v>
      </c>
      <c r="Q11" s="103">
        <v>349.09999999999991</v>
      </c>
    </row>
    <row r="12" spans="1:17" x14ac:dyDescent="0.45">
      <c r="A12" s="51" t="s">
        <v>118</v>
      </c>
      <c r="B12" s="44">
        <v>224</v>
      </c>
      <c r="C12" s="37">
        <f>IF(B$3=0,0,B12/B$3)</f>
        <v>0.18527708850289495</v>
      </c>
      <c r="E12" s="59" t="s">
        <v>71</v>
      </c>
      <c r="F12" s="56" t="s">
        <v>26</v>
      </c>
      <c r="G12" s="44">
        <v>20</v>
      </c>
      <c r="H12" s="129">
        <f>IF(B$15=0,0,G12/B$15)</f>
        <v>6.0422960725075532E-2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11.533962264150945</v>
      </c>
      <c r="P12" s="116">
        <v>53</v>
      </c>
      <c r="Q12" s="104">
        <v>611.30000000000007</v>
      </c>
    </row>
    <row r="13" spans="1:17" x14ac:dyDescent="0.45">
      <c r="A13" s="50" t="s">
        <v>123</v>
      </c>
      <c r="B13" s="43">
        <f>B19</f>
        <v>193</v>
      </c>
      <c r="C13" s="35">
        <f>IF(B$11=0,0,B13/B$11)</f>
        <v>0.54061624649859941</v>
      </c>
      <c r="E13" s="59" t="s">
        <v>162</v>
      </c>
      <c r="F13" s="56" t="s">
        <v>163</v>
      </c>
      <c r="G13" s="44">
        <v>17</v>
      </c>
      <c r="H13" s="129">
        <f>IF(B$15=0,0,G13/B$15)</f>
        <v>5.1359516616314202E-2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86</v>
      </c>
      <c r="C14" s="35">
        <f>IF(B$12=0,0,B14/B$12)</f>
        <v>0.38392857142857145</v>
      </c>
      <c r="E14" s="59" t="s">
        <v>86</v>
      </c>
      <c r="F14" s="56" t="s">
        <v>41</v>
      </c>
      <c r="G14" s="44">
        <v>12</v>
      </c>
      <c r="H14" s="129">
        <f>IF(B$15=0,0,G14/B$15)</f>
        <v>3.6253776435045321E-2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331</v>
      </c>
      <c r="C15" s="35">
        <f>IF(B$3=0,0,B15/B$3)</f>
        <v>0.27377998345740279</v>
      </c>
      <c r="E15" s="59" t="s">
        <v>83</v>
      </c>
      <c r="F15" s="56" t="s">
        <v>38</v>
      </c>
      <c r="G15" s="44">
        <v>10</v>
      </c>
      <c r="H15" s="129">
        <f>IF(B$15=0,0,G15/B$15)</f>
        <v>3.0211480362537766E-2</v>
      </c>
      <c r="I15" s="90">
        <v>11</v>
      </c>
      <c r="K15" s="36">
        <v>13</v>
      </c>
      <c r="L15" s="95">
        <v>-132.39999999999998</v>
      </c>
      <c r="N15" s="110" t="s">
        <v>232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210</v>
      </c>
      <c r="C16" s="37">
        <f>IF(B$3=0,0,B16/B$3)</f>
        <v>0.17369727047146402</v>
      </c>
      <c r="E16" s="59" t="s">
        <v>91</v>
      </c>
      <c r="F16" s="56" t="s">
        <v>46</v>
      </c>
      <c r="G16" s="44">
        <v>8</v>
      </c>
      <c r="H16" s="129">
        <f>IF(B$15=0,0,G16/B$15)</f>
        <v>2.4169184290030211E-2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30.664516129032261</v>
      </c>
      <c r="P16" s="115">
        <v>31</v>
      </c>
      <c r="Q16" s="103">
        <v>950.60000000000014</v>
      </c>
    </row>
    <row r="17" spans="1:17" x14ac:dyDescent="0.45">
      <c r="A17" s="51" t="s">
        <v>12</v>
      </c>
      <c r="B17" s="44">
        <v>169</v>
      </c>
      <c r="C17" s="37">
        <f>IF(B$15=0,0,B17/B$15)</f>
        <v>0.51057401812688818</v>
      </c>
      <c r="E17" s="59" t="s">
        <v>81</v>
      </c>
      <c r="F17" s="56" t="s">
        <v>36</v>
      </c>
      <c r="G17" s="44">
        <v>6</v>
      </c>
      <c r="H17" s="129">
        <f>IF(B$15=0,0,G17/B$15)</f>
        <v>1.812688821752266E-2</v>
      </c>
      <c r="I17" s="90">
        <v>6</v>
      </c>
      <c r="K17" s="36">
        <v>15</v>
      </c>
      <c r="L17" s="95">
        <v>-101.79999999999997</v>
      </c>
      <c r="N17" s="111" t="s">
        <v>197</v>
      </c>
      <c r="O17" s="121">
        <f>IF(P17=0,0,Q17/P17)</f>
        <v>13.593548387096776</v>
      </c>
      <c r="P17" s="115">
        <v>31</v>
      </c>
      <c r="Q17" s="103">
        <v>421.40000000000003</v>
      </c>
    </row>
    <row r="18" spans="1:17" x14ac:dyDescent="0.45">
      <c r="A18" s="51" t="s">
        <v>11</v>
      </c>
      <c r="B18" s="44">
        <v>162</v>
      </c>
      <c r="C18" s="37">
        <f>IF(B$15=0,0,B18/B$15)</f>
        <v>0.48942598187311176</v>
      </c>
      <c r="E18" s="59" t="s">
        <v>92</v>
      </c>
      <c r="F18" s="56" t="s">
        <v>47</v>
      </c>
      <c r="G18" s="44">
        <v>6</v>
      </c>
      <c r="H18" s="129">
        <f>IF(B$15=0,0,G18/B$15)</f>
        <v>1.812688821752266E-2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193</v>
      </c>
      <c r="C19" s="37">
        <f>IF(B$15=0,0,B19/B$15)</f>
        <v>0.58308157099697888</v>
      </c>
      <c r="E19" s="59" t="s">
        <v>78</v>
      </c>
      <c r="F19" s="56" t="s">
        <v>33</v>
      </c>
      <c r="G19" s="44">
        <v>5</v>
      </c>
      <c r="H19" s="129">
        <f>IF(B$15=0,0,G19/B$15)</f>
        <v>1.5105740181268883E-2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86</v>
      </c>
      <c r="C20" s="37">
        <f>IF(B$15=0,0,B20/B$15)</f>
        <v>0.25981873111782477</v>
      </c>
      <c r="E20" s="59" t="s">
        <v>79</v>
      </c>
      <c r="F20" s="56" t="s">
        <v>34</v>
      </c>
      <c r="G20" s="44">
        <v>4</v>
      </c>
      <c r="H20" s="129">
        <f>IF(B$15=0,0,G20/B$15)</f>
        <v>1.2084592145015106E-2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3.008333333333332</v>
      </c>
      <c r="P20" s="115">
        <v>60</v>
      </c>
      <c r="Q20" s="103">
        <v>180.49999999999991</v>
      </c>
    </row>
    <row r="21" spans="1:17" x14ac:dyDescent="0.45">
      <c r="A21" s="51" t="s">
        <v>194</v>
      </c>
      <c r="B21" s="44">
        <v>52</v>
      </c>
      <c r="C21" s="37">
        <f>IF(B$15=0,0,B21/B$15)</f>
        <v>0.15709969788519637</v>
      </c>
      <c r="E21" s="59" t="s">
        <v>84</v>
      </c>
      <c r="F21" s="56" t="s">
        <v>39</v>
      </c>
      <c r="G21" s="44">
        <v>3</v>
      </c>
      <c r="H21" s="129">
        <f>IF(B$15=0,0,G21/B$15)</f>
        <v>9.0634441087613302E-3</v>
      </c>
      <c r="I21" s="90">
        <v>1</v>
      </c>
      <c r="K21" s="36">
        <v>19</v>
      </c>
      <c r="L21" s="95">
        <v>-27.799999999999969</v>
      </c>
      <c r="N21" s="111" t="s">
        <v>200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11139.2749244713</v>
      </c>
      <c r="C22" s="39">
        <v>3687100</v>
      </c>
      <c r="E22" s="59" t="s">
        <v>85</v>
      </c>
      <c r="F22" s="56" t="s">
        <v>40</v>
      </c>
      <c r="G22" s="44">
        <v>3</v>
      </c>
      <c r="H22" s="129">
        <f>IF(B$15=0,0,G22/B$15)</f>
        <v>9.0634441087613302E-3</v>
      </c>
      <c r="I22" s="90">
        <v>3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11802.040816326531</v>
      </c>
      <c r="C23" s="137">
        <v>2891500</v>
      </c>
      <c r="E23" s="59" t="s">
        <v>73</v>
      </c>
      <c r="F23" s="56" t="s">
        <v>28</v>
      </c>
      <c r="G23" s="44">
        <v>2</v>
      </c>
      <c r="H23" s="129">
        <f>IF(B$15=0,0,G23/B$15)</f>
        <v>6.0422960725075529E-3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-6.9203125000000014</v>
      </c>
      <c r="P23" s="115">
        <v>64</v>
      </c>
      <c r="Q23" s="103">
        <v>-442.90000000000009</v>
      </c>
    </row>
    <row r="24" spans="1:17" x14ac:dyDescent="0.45">
      <c r="A24" s="52" t="s">
        <v>178</v>
      </c>
      <c r="B24" s="136">
        <f>IF(B$14=0,0,C24/B$14)</f>
        <v>9251.1627906976737</v>
      </c>
      <c r="C24" s="137">
        <v>795600</v>
      </c>
      <c r="E24" s="59" t="s">
        <v>75</v>
      </c>
      <c r="F24" s="56" t="s">
        <v>30</v>
      </c>
      <c r="G24" s="44">
        <v>2</v>
      </c>
      <c r="H24" s="129">
        <f>IF(B$15=0,0,G24/B$15)</f>
        <v>6.0422960725075529E-3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-8387.1428571428569</v>
      </c>
      <c r="C25" s="137">
        <v>-1761300</v>
      </c>
      <c r="E25" s="59" t="s">
        <v>90</v>
      </c>
      <c r="F25" s="56" t="s">
        <v>45</v>
      </c>
      <c r="G25" s="44">
        <v>2</v>
      </c>
      <c r="H25" s="129">
        <f>IF(B$15=0,0,G25/B$15)</f>
        <v>6.0422960725075529E-3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3.0211480362537764E-3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88</v>
      </c>
      <c r="F27" s="56" t="s">
        <v>43</v>
      </c>
      <c r="G27" s="44">
        <v>1</v>
      </c>
      <c r="H27" s="129">
        <f>IF(B$15=0,0,G27/B$15)</f>
        <v>3.0211480362537764E-3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3.0211480362537764E-3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3.0211480362537764E-3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1.6542597187758478E-3</v>
      </c>
      <c r="E30" s="59" t="s">
        <v>97</v>
      </c>
      <c r="F30" s="56" t="s">
        <v>52</v>
      </c>
      <c r="G30" s="44">
        <v>1</v>
      </c>
      <c r="H30" s="129">
        <f>IF(B$15=0,0,G30/B$15)</f>
        <v>3.0211480362537764E-3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9</v>
      </c>
      <c r="C32" s="141">
        <f>IF(B$15=0,0,B32/B$15)</f>
        <v>2.7190332326283987E-2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25</v>
      </c>
      <c r="C33" s="37">
        <f t="shared" ref="C33:C44" si="2">IF(B$15=0,0,B33/B$15)</f>
        <v>7.5528700906344406E-2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44</v>
      </c>
      <c r="C34" s="37">
        <f>IF(B$15=0,0,B34/B$15)</f>
        <v>0.13293051359516617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61</v>
      </c>
      <c r="C35" s="37">
        <f t="shared" si="2"/>
        <v>0.18429003021148035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72</v>
      </c>
      <c r="C36" s="37">
        <f t="shared" si="2"/>
        <v>0.2175226586102719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47</v>
      </c>
      <c r="C37" s="37">
        <f t="shared" si="2"/>
        <v>0.1419939577039275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25</v>
      </c>
      <c r="C38" s="37">
        <f t="shared" si="2"/>
        <v>7.5528700906344406E-2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21</v>
      </c>
      <c r="C39" s="37">
        <f t="shared" si="2"/>
        <v>6.3444108761329304E-2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9</v>
      </c>
      <c r="C40" s="37">
        <f t="shared" si="2"/>
        <v>2.7190332326283987E-2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9.0634441087613302E-3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2"/>
        <v>9.0634441087613302E-3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3.0211480362537764E-3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2"/>
        <v>3.3232628398791542E-2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598.20000000000061</v>
      </c>
    </row>
    <row r="153" spans="11:12" x14ac:dyDescent="0.45">
      <c r="K153" s="36">
        <v>151</v>
      </c>
      <c r="L153" s="95">
        <v>593.50000000000057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957E-DF58-4023-8538-060820AA4179}">
  <sheetPr codeName="Sheet17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-0.5262820512820513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2.0448717948717947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40</v>
      </c>
      <c r="C7" s="37">
        <f t="shared" ref="C7:C10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5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8.3333333333333329E-2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5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2.8540983606557373</v>
      </c>
      <c r="P21" s="115">
        <v>61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>IF(P22=0,0,Q22/P22)</f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>IF(P23=0,0,Q23/P23)</f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>IF(P24=0,0,Q24/P24)</f>
        <v>-12.803896103896108</v>
      </c>
      <c r="P24" s="115">
        <v>77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>IF(P25=0,0,Q25/P25)</f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2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2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2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2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2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2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2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-116.69999999999999</v>
      </c>
    </row>
    <row r="158" spans="11:12" x14ac:dyDescent="0.45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E99D-43A3-4724-B803-33133A565841}">
  <sheetPr codeName="Sheet19"/>
  <dimension ref="A1:Q6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67</v>
      </c>
      <c r="C2" s="155"/>
      <c r="E2" s="58" t="s">
        <v>66</v>
      </c>
      <c r="F2" s="55" t="s">
        <v>22</v>
      </c>
      <c r="G2" s="43">
        <v>100</v>
      </c>
      <c r="H2" s="128">
        <f>IF(B$15=0,0,G2/B$15)</f>
        <v>0.69930069930069927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-3300</v>
      </c>
      <c r="P2" s="114">
        <v>67</v>
      </c>
      <c r="Q2" s="98">
        <v>-221100</v>
      </c>
    </row>
    <row r="3" spans="1:17" x14ac:dyDescent="0.45">
      <c r="A3" s="51" t="s">
        <v>8</v>
      </c>
      <c r="B3" s="156">
        <v>549</v>
      </c>
      <c r="C3" s="157"/>
      <c r="E3" s="59" t="s">
        <v>72</v>
      </c>
      <c r="F3" s="56" t="s">
        <v>27</v>
      </c>
      <c r="G3" s="44">
        <v>96</v>
      </c>
      <c r="H3" s="129">
        <f>IF(B$15=0,0,G3/B$15)</f>
        <v>0.67132867132867136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1758.2089552238806</v>
      </c>
      <c r="P3" s="115">
        <v>67</v>
      </c>
      <c r="Q3" s="99">
        <v>117800</v>
      </c>
    </row>
    <row r="4" spans="1:17" x14ac:dyDescent="0.45">
      <c r="A4" s="51" t="s">
        <v>6</v>
      </c>
      <c r="B4" s="158">
        <v>-655.40000000000009</v>
      </c>
      <c r="C4" s="159"/>
      <c r="E4" s="59" t="s">
        <v>64</v>
      </c>
      <c r="F4" s="56" t="s">
        <v>20</v>
      </c>
      <c r="G4" s="44">
        <v>57</v>
      </c>
      <c r="H4" s="129">
        <f>IF(B$15=0,0,G4/B$15)</f>
        <v>0.39860139860139859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-865.07936507936506</v>
      </c>
      <c r="P4" s="115">
        <v>63</v>
      </c>
      <c r="Q4" s="99">
        <v>-54500</v>
      </c>
    </row>
    <row r="5" spans="1:17" x14ac:dyDescent="0.45">
      <c r="A5" s="51" t="s">
        <v>7</v>
      </c>
      <c r="B5" s="160">
        <f>IF(B$2=0,0,B$4/B$2)</f>
        <v>-9.7820895522388067</v>
      </c>
      <c r="C5" s="161"/>
      <c r="E5" s="59" t="s">
        <v>166</v>
      </c>
      <c r="F5" s="56" t="s">
        <v>167</v>
      </c>
      <c r="G5" s="44">
        <v>50</v>
      </c>
      <c r="H5" s="129">
        <f>IF(B$15=0,0,G5/B$15)</f>
        <v>0.34965034965034963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-1503.5714285714287</v>
      </c>
      <c r="P5" s="115">
        <v>56</v>
      </c>
      <c r="Q5" s="99">
        <v>-84200</v>
      </c>
    </row>
    <row r="6" spans="1:17" x14ac:dyDescent="0.45">
      <c r="A6" s="51" t="s">
        <v>1</v>
      </c>
      <c r="B6" s="150">
        <f>IF(B$2=0,0,(B$7*1+B$8*2+B$9*3)/B$2)</f>
        <v>2.2537313432835822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0.26573426573426573</v>
      </c>
      <c r="I6" s="90">
        <v>12</v>
      </c>
      <c r="K6" s="36">
        <v>4</v>
      </c>
      <c r="L6" s="95">
        <v>-80.5</v>
      </c>
      <c r="N6" s="111" t="s">
        <v>134</v>
      </c>
      <c r="O6" s="118">
        <f t="shared" si="0"/>
        <v>-1926.4150943396226</v>
      </c>
      <c r="P6" s="115">
        <v>53</v>
      </c>
      <c r="Q6" s="99">
        <v>-102100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0.16417910447761194</v>
      </c>
      <c r="E7" s="59" t="s">
        <v>67</v>
      </c>
      <c r="F7" s="56" t="s">
        <v>23</v>
      </c>
      <c r="G7" s="44">
        <v>34</v>
      </c>
      <c r="H7" s="129">
        <f>IF(B$15=0,0,G7/B$15)</f>
        <v>0.23776223776223776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-2125</v>
      </c>
      <c r="P7" s="116">
        <v>44</v>
      </c>
      <c r="Q7" s="100">
        <v>-93500</v>
      </c>
    </row>
    <row r="8" spans="1:17" x14ac:dyDescent="0.45">
      <c r="A8" s="51" t="s">
        <v>3</v>
      </c>
      <c r="B8" s="44">
        <v>28</v>
      </c>
      <c r="C8" s="37">
        <f t="shared" si="1"/>
        <v>0.41791044776119401</v>
      </c>
      <c r="E8" s="59" t="s">
        <v>89</v>
      </c>
      <c r="F8" s="56" t="s">
        <v>44</v>
      </c>
      <c r="G8" s="44">
        <v>24</v>
      </c>
      <c r="H8" s="129">
        <f>IF(B$15=0,0,G8/B$15)</f>
        <v>0.16783216783216784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28</v>
      </c>
      <c r="C9" s="38">
        <f t="shared" si="1"/>
        <v>0.41791044776119401</v>
      </c>
      <c r="E9" s="59" t="s">
        <v>65</v>
      </c>
      <c r="F9" s="56" t="s">
        <v>21</v>
      </c>
      <c r="G9" s="44">
        <v>16</v>
      </c>
      <c r="H9" s="129">
        <f>IF(B$15=0,0,G9/B$15)</f>
        <v>0.11188811188811189</v>
      </c>
      <c r="I9" s="90">
        <v>8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0.14925373134328357</v>
      </c>
      <c r="E10" s="59" t="s">
        <v>71</v>
      </c>
      <c r="F10" s="56" t="s">
        <v>26</v>
      </c>
      <c r="G10" s="44">
        <v>13</v>
      </c>
      <c r="H10" s="129">
        <f>IF(B$15=0,0,G10/B$15)</f>
        <v>9.0909090909090912E-2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-18.792857142857141</v>
      </c>
      <c r="P10" s="114">
        <v>28</v>
      </c>
      <c r="Q10" s="102">
        <v>-526.19999999999993</v>
      </c>
    </row>
    <row r="11" spans="1:17" x14ac:dyDescent="0.45">
      <c r="A11" s="54" t="s">
        <v>121</v>
      </c>
      <c r="B11" s="47">
        <v>117</v>
      </c>
      <c r="C11" s="42">
        <f>IF(B$3=0,0,B11/B$3)</f>
        <v>0.21311475409836064</v>
      </c>
      <c r="E11" s="59" t="s">
        <v>69</v>
      </c>
      <c r="F11" s="56" t="s">
        <v>24</v>
      </c>
      <c r="G11" s="44">
        <v>12</v>
      </c>
      <c r="H11" s="129">
        <f>IF(B$15=0,0,G11/B$15)</f>
        <v>8.3916083916083919E-2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-9.0476190476190071E-2</v>
      </c>
      <c r="P11" s="115">
        <v>21</v>
      </c>
      <c r="Q11" s="103">
        <v>-1.8999999999999915</v>
      </c>
    </row>
    <row r="12" spans="1:17" x14ac:dyDescent="0.45">
      <c r="A12" s="51" t="s">
        <v>118</v>
      </c>
      <c r="B12" s="44">
        <v>126</v>
      </c>
      <c r="C12" s="37">
        <f>IF(B$3=0,0,B12/B$3)</f>
        <v>0.22950819672131148</v>
      </c>
      <c r="E12" s="59" t="s">
        <v>70</v>
      </c>
      <c r="F12" s="56" t="s">
        <v>25</v>
      </c>
      <c r="G12" s="44">
        <v>12</v>
      </c>
      <c r="H12" s="129">
        <f>IF(B$15=0,0,G12/B$15)</f>
        <v>8.3916083916083919E-2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60</v>
      </c>
      <c r="C13" s="35">
        <f>IF(B$11=0,0,B13/B$11)</f>
        <v>0.51282051282051277</v>
      </c>
      <c r="E13" s="59" t="s">
        <v>83</v>
      </c>
      <c r="F13" s="56" t="s">
        <v>38</v>
      </c>
      <c r="G13" s="44">
        <v>9</v>
      </c>
      <c r="H13" s="129">
        <f>IF(B$15=0,0,G13/B$15)</f>
        <v>6.2937062937062943E-2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</v>
      </c>
      <c r="C14" s="35">
        <f>IF(B$12=0,0,B14/B$12)</f>
        <v>0.44444444444444442</v>
      </c>
      <c r="E14" s="59" t="s">
        <v>81</v>
      </c>
      <c r="F14" s="56" t="s">
        <v>36</v>
      </c>
      <c r="G14" s="44">
        <v>8</v>
      </c>
      <c r="H14" s="129">
        <f>IF(B$15=0,0,G14/B$15)</f>
        <v>5.5944055944055944E-2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143</v>
      </c>
      <c r="C15" s="35">
        <f>IF(B$3=0,0,B15/B$3)</f>
        <v>0.26047358834244078</v>
      </c>
      <c r="E15" s="59" t="s">
        <v>86</v>
      </c>
      <c r="F15" s="56" t="s">
        <v>41</v>
      </c>
      <c r="G15" s="44">
        <v>8</v>
      </c>
      <c r="H15" s="129">
        <f>IF(B$15=0,0,G15/B$15)</f>
        <v>5.5944055944055944E-2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10.549999999999997</v>
      </c>
      <c r="P15" s="114">
        <v>20</v>
      </c>
      <c r="Q15" s="102">
        <v>210.99999999999994</v>
      </c>
    </row>
    <row r="16" spans="1:17" x14ac:dyDescent="0.45">
      <c r="A16" s="51" t="s">
        <v>13</v>
      </c>
      <c r="B16" s="44">
        <v>97</v>
      </c>
      <c r="C16" s="37">
        <f>IF(B$3=0,0,B16/B$3)</f>
        <v>0.1766848816029144</v>
      </c>
      <c r="E16" s="59" t="s">
        <v>91</v>
      </c>
      <c r="F16" s="56" t="s">
        <v>46</v>
      </c>
      <c r="G16" s="44">
        <v>2</v>
      </c>
      <c r="H16" s="129">
        <f>IF(B$15=0,0,G16/B$15)</f>
        <v>1.3986013986013986E-2</v>
      </c>
      <c r="I16" s="90">
        <v>6</v>
      </c>
      <c r="K16" s="36">
        <v>14</v>
      </c>
      <c r="L16" s="95">
        <v>-266.90000000000003</v>
      </c>
      <c r="N16" s="111" t="s">
        <v>301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65</v>
      </c>
      <c r="C17" s="37">
        <f>IF(B$15=0,0,B17/B$15)</f>
        <v>0.45454545454545453</v>
      </c>
      <c r="E17" s="59" t="s">
        <v>73</v>
      </c>
      <c r="F17" s="56" t="s">
        <v>28</v>
      </c>
      <c r="G17" s="44">
        <v>1</v>
      </c>
      <c r="H17" s="129">
        <f>IF(B$15=0,0,G17/B$15)</f>
        <v>6.993006993006993E-3</v>
      </c>
      <c r="I17" s="90">
        <v>2</v>
      </c>
      <c r="K17" s="36">
        <v>15</v>
      </c>
      <c r="L17" s="95">
        <v>-272.50000000000006</v>
      </c>
      <c r="N17" s="111" t="s">
        <v>127</v>
      </c>
      <c r="O17" s="121">
        <f>IF(P17=0,0,Q17/P17)</f>
        <v>-12.000000000000002</v>
      </c>
      <c r="P17" s="115">
        <v>17</v>
      </c>
      <c r="Q17" s="103">
        <v>-204.00000000000003</v>
      </c>
    </row>
    <row r="18" spans="1:17" x14ac:dyDescent="0.45">
      <c r="A18" s="51" t="s">
        <v>11</v>
      </c>
      <c r="B18" s="44">
        <v>78</v>
      </c>
      <c r="C18" s="37">
        <f>IF(B$15=0,0,B18/B$15)</f>
        <v>0.54545454545454541</v>
      </c>
      <c r="E18" s="59" t="s">
        <v>74</v>
      </c>
      <c r="F18" s="56" t="s">
        <v>29</v>
      </c>
      <c r="G18" s="44">
        <v>1</v>
      </c>
      <c r="H18" s="129">
        <f>IF(B$15=0,0,G18/B$15)</f>
        <v>6.993006993006993E-3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60</v>
      </c>
      <c r="C19" s="37">
        <f>IF(B$15=0,0,B19/B$15)</f>
        <v>0.41958041958041958</v>
      </c>
      <c r="E19" s="59" t="s">
        <v>78</v>
      </c>
      <c r="F19" s="56" t="s">
        <v>33</v>
      </c>
      <c r="G19" s="44">
        <v>1</v>
      </c>
      <c r="H19" s="129">
        <f>IF(B$15=0,0,G19/B$15)</f>
        <v>6.993006993006993E-3</v>
      </c>
      <c r="I19" s="90">
        <v>10</v>
      </c>
      <c r="K19" s="36">
        <v>17</v>
      </c>
      <c r="L19" s="95">
        <v>-352.60000000000008</v>
      </c>
      <c r="N19" s="111" t="s">
        <v>170</v>
      </c>
      <c r="O19" s="121">
        <f>IF(P19=0,0,Q19/P19)</f>
        <v>-13.593548387096773</v>
      </c>
      <c r="P19" s="115">
        <v>31</v>
      </c>
      <c r="Q19" s="103">
        <v>-421.4</v>
      </c>
    </row>
    <row r="20" spans="1:17" x14ac:dyDescent="0.45">
      <c r="A20" s="51" t="s">
        <v>193</v>
      </c>
      <c r="B20" s="44">
        <v>56</v>
      </c>
      <c r="C20" s="37">
        <f>IF(B$15=0,0,B20/B$15)</f>
        <v>0.39160839160839161</v>
      </c>
      <c r="E20" s="59" t="s">
        <v>79</v>
      </c>
      <c r="F20" s="56" t="s">
        <v>34</v>
      </c>
      <c r="G20" s="44">
        <v>1</v>
      </c>
      <c r="H20" s="129">
        <f>IF(B$15=0,0,G20/B$15)</f>
        <v>6.993006993006993E-3</v>
      </c>
      <c r="I20" s="90">
        <v>10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27</v>
      </c>
      <c r="C21" s="37">
        <f>IF(B$15=0,0,B21/B$15)</f>
        <v>0.1888111888111888</v>
      </c>
      <c r="E21" s="59" t="s">
        <v>92</v>
      </c>
      <c r="F21" s="56" t="s">
        <v>47</v>
      </c>
      <c r="G21" s="44">
        <v>1</v>
      </c>
      <c r="H21" s="129">
        <f>IF(B$15=0,0,G21/B$15)</f>
        <v>6.993006993006993E-3</v>
      </c>
      <c r="I21" s="90">
        <v>5</v>
      </c>
      <c r="K21" s="36">
        <v>19</v>
      </c>
      <c r="L21" s="95">
        <v>-400.60000000000008</v>
      </c>
      <c r="N21" s="111" t="s">
        <v>256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8298.6013986013986</v>
      </c>
      <c r="C22" s="39">
        <v>1186700</v>
      </c>
      <c r="E22" s="59" t="s">
        <v>95</v>
      </c>
      <c r="F22" s="56" t="s">
        <v>50</v>
      </c>
      <c r="G22" s="44">
        <v>1</v>
      </c>
      <c r="H22" s="129">
        <f>IF(B$15=0,0,G22/B$15)</f>
        <v>6.993006993006993E-3</v>
      </c>
      <c r="I22" s="90">
        <v>1</v>
      </c>
      <c r="K22" s="36">
        <v>20</v>
      </c>
      <c r="L22" s="95">
        <v>-428.10000000000008</v>
      </c>
      <c r="N22" s="111" t="s">
        <v>126</v>
      </c>
      <c r="O22" s="121">
        <f>IF(P22=0,0,Q22/P22)</f>
        <v>-24.157142857142865</v>
      </c>
      <c r="P22" s="115">
        <v>21</v>
      </c>
      <c r="Q22" s="103">
        <v>-507.30000000000018</v>
      </c>
    </row>
    <row r="23" spans="1:17" x14ac:dyDescent="0.45">
      <c r="A23" s="52" t="s">
        <v>177</v>
      </c>
      <c r="B23" s="136">
        <f>IF($B$15-B$14=0,0,C23/($B$15-B$14))</f>
        <v>8790.8045977011498</v>
      </c>
      <c r="C23" s="137">
        <v>764800</v>
      </c>
      <c r="E23" s="59" t="s">
        <v>162</v>
      </c>
      <c r="F23" s="56" t="s">
        <v>163</v>
      </c>
      <c r="G23" s="44">
        <v>1</v>
      </c>
      <c r="H23" s="129">
        <f>IF(B$15=0,0,G23/B$15)</f>
        <v>6.993006993006993E-3</v>
      </c>
      <c r="I23" s="90">
        <v>8</v>
      </c>
      <c r="K23" s="36">
        <v>21</v>
      </c>
      <c r="L23" s="95">
        <v>-423.7000000000001</v>
      </c>
      <c r="N23" s="111" t="s">
        <v>172</v>
      </c>
      <c r="O23" s="121">
        <f>IF(P23=0,0,Q23/P23)</f>
        <v>-24.274999999999999</v>
      </c>
      <c r="P23" s="115">
        <v>4</v>
      </c>
      <c r="Q23" s="103">
        <v>-97.1</v>
      </c>
    </row>
    <row r="24" spans="1:17" x14ac:dyDescent="0.45">
      <c r="A24" s="52" t="s">
        <v>178</v>
      </c>
      <c r="B24" s="136">
        <f>IF(B$14=0,0,C24/B$14)</f>
        <v>7533.9285714285716</v>
      </c>
      <c r="C24" s="137">
        <v>421900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-8558.7628865979386</v>
      </c>
      <c r="C25" s="137">
        <v>-830200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232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5.4644808743169399E-3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8.3916083916083919E-2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2">IF(B$15=0,0,B33/B$15)</f>
        <v>0.18181818181818182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29</v>
      </c>
      <c r="C34" s="37">
        <f>IF(B$15=0,0,B34/B$15)</f>
        <v>0.20279720279720279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24</v>
      </c>
      <c r="C35" s="37">
        <f t="shared" si="2"/>
        <v>0.16783216783216784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21</v>
      </c>
      <c r="C36" s="37">
        <f t="shared" si="2"/>
        <v>0.14685314685314685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2"/>
        <v>8.3916083916083919E-2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2"/>
        <v>6.9930069930069935E-2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2"/>
        <v>4.195804195804196E-2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6.993006993006993E-3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1.3986013986013986E-2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-655.40000000000009</v>
      </c>
    </row>
  </sheetData>
  <sortState xmlns:xlrd2="http://schemas.microsoft.com/office/spreadsheetml/2017/richdata2" ref="E2:I7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C94-9A1C-4140-8A05-224BA4C90134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30</v>
      </c>
      <c r="C2" s="155"/>
      <c r="E2" s="58" t="s">
        <v>66</v>
      </c>
      <c r="F2" s="55" t="s">
        <v>22</v>
      </c>
      <c r="G2" s="43">
        <v>64</v>
      </c>
      <c r="H2" s="128">
        <f>IF(B$15=0,0,G2/B$15)</f>
        <v>0.88888888888888884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-3437.9310344827586</v>
      </c>
      <c r="P2" s="114">
        <v>29</v>
      </c>
      <c r="Q2" s="98">
        <v>-99700</v>
      </c>
    </row>
    <row r="3" spans="1:17" x14ac:dyDescent="0.45">
      <c r="A3" s="51" t="s">
        <v>8</v>
      </c>
      <c r="B3" s="156">
        <v>277</v>
      </c>
      <c r="C3" s="157"/>
      <c r="E3" s="59" t="s">
        <v>64</v>
      </c>
      <c r="F3" s="56" t="s">
        <v>20</v>
      </c>
      <c r="G3" s="44">
        <v>44</v>
      </c>
      <c r="H3" s="129">
        <f>IF(B$15=0,0,G3/B$15)</f>
        <v>0.61111111111111116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-767.85714285714289</v>
      </c>
      <c r="P3" s="115">
        <v>28</v>
      </c>
      <c r="Q3" s="99">
        <v>-21500</v>
      </c>
    </row>
    <row r="4" spans="1:17" x14ac:dyDescent="0.45">
      <c r="A4" s="51" t="s">
        <v>6</v>
      </c>
      <c r="B4" s="158">
        <v>-106.39999999999998</v>
      </c>
      <c r="C4" s="159"/>
      <c r="E4" s="59" t="s">
        <v>68</v>
      </c>
      <c r="F4" s="56" t="s">
        <v>12</v>
      </c>
      <c r="G4" s="44">
        <v>33</v>
      </c>
      <c r="H4" s="129">
        <f>IF(B$15=0,0,G4/B$15)</f>
        <v>0.45833333333333331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1518.5185185185185</v>
      </c>
      <c r="P4" s="115">
        <v>27</v>
      </c>
      <c r="Q4" s="99">
        <v>41000</v>
      </c>
    </row>
    <row r="5" spans="1:17" x14ac:dyDescent="0.45">
      <c r="A5" s="51" t="s">
        <v>7</v>
      </c>
      <c r="B5" s="160">
        <f>IF(B$2=0,0,B$4/B$2)</f>
        <v>-3.546666666666666</v>
      </c>
      <c r="C5" s="161"/>
      <c r="E5" s="59" t="s">
        <v>166</v>
      </c>
      <c r="F5" s="56" t="s">
        <v>167</v>
      </c>
      <c r="G5" s="44">
        <v>28</v>
      </c>
      <c r="H5" s="129">
        <f>IF(B$15=0,0,G5/B$15)</f>
        <v>0.3888888888888889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-2825.9259259259261</v>
      </c>
      <c r="P5" s="115">
        <v>27</v>
      </c>
      <c r="Q5" s="99">
        <v>-76300</v>
      </c>
    </row>
    <row r="6" spans="1:17" x14ac:dyDescent="0.45">
      <c r="A6" s="51" t="s">
        <v>1</v>
      </c>
      <c r="B6" s="150">
        <f>IF(B$2=0,0,(B$7*1+B$8*2+B$9*3)/B$2)</f>
        <v>2.0333333333333332</v>
      </c>
      <c r="C6" s="151"/>
      <c r="E6" s="59" t="s">
        <v>72</v>
      </c>
      <c r="F6" s="56" t="s">
        <v>27</v>
      </c>
      <c r="G6" s="44">
        <v>25</v>
      </c>
      <c r="H6" s="129">
        <f>IF(B$15=0,0,G6/B$15)</f>
        <v>0.34722222222222221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4252</v>
      </c>
      <c r="P6" s="115">
        <v>25</v>
      </c>
      <c r="Q6" s="99">
        <v>106300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0.36666666666666664</v>
      </c>
      <c r="E7" s="59" t="s">
        <v>67</v>
      </c>
      <c r="F7" s="56" t="s">
        <v>23</v>
      </c>
      <c r="G7" s="44">
        <v>16</v>
      </c>
      <c r="H7" s="129">
        <f>IF(B$15=0,0,G7/B$15)</f>
        <v>0.22222222222222221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419.04761904761904</v>
      </c>
      <c r="P7" s="116">
        <v>21</v>
      </c>
      <c r="Q7" s="100">
        <v>8800</v>
      </c>
    </row>
    <row r="8" spans="1:17" x14ac:dyDescent="0.45">
      <c r="A8" s="51" t="s">
        <v>3</v>
      </c>
      <c r="B8" s="44">
        <v>7</v>
      </c>
      <c r="C8" s="37">
        <f t="shared" si="1"/>
        <v>0.23333333333333334</v>
      </c>
      <c r="E8" s="59" t="s">
        <v>69</v>
      </c>
      <c r="F8" s="56" t="s">
        <v>24</v>
      </c>
      <c r="G8" s="44">
        <v>15</v>
      </c>
      <c r="H8" s="129">
        <f>IF(B$15=0,0,G8/B$15)</f>
        <v>0.20833333333333334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0.125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0.16666666666666666</v>
      </c>
      <c r="E10" s="59" t="s">
        <v>70</v>
      </c>
      <c r="F10" s="56" t="s">
        <v>25</v>
      </c>
      <c r="G10" s="44">
        <v>8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5">
      <c r="A11" s="54" t="s">
        <v>121</v>
      </c>
      <c r="B11" s="47">
        <v>75</v>
      </c>
      <c r="C11" s="42">
        <f>IF(B$3=0,0,B11/B$3)</f>
        <v>0.27075812274368233</v>
      </c>
      <c r="E11" s="59" t="s">
        <v>71</v>
      </c>
      <c r="F11" s="56" t="s">
        <v>26</v>
      </c>
      <c r="G11" s="44">
        <v>6</v>
      </c>
      <c r="H11" s="129">
        <f>IF(B$15=0,0,G11/B$15)</f>
        <v>8.3333333333333329E-2</v>
      </c>
      <c r="I11" s="90">
        <v>7</v>
      </c>
      <c r="K11" s="36">
        <v>9</v>
      </c>
      <c r="L11" s="95">
        <v>141.5</v>
      </c>
      <c r="N11" s="111" t="s">
        <v>158</v>
      </c>
      <c r="O11" s="121">
        <f>IF(P11=0,0,Q11/P11)</f>
        <v>-11.755555555555556</v>
      </c>
      <c r="P11" s="115">
        <v>9</v>
      </c>
      <c r="Q11" s="103">
        <v>-105.80000000000001</v>
      </c>
    </row>
    <row r="12" spans="1:17" x14ac:dyDescent="0.45">
      <c r="A12" s="51" t="s">
        <v>118</v>
      </c>
      <c r="B12" s="44">
        <v>44</v>
      </c>
      <c r="C12" s="37">
        <f>IF(B$3=0,0,B12/B$3)</f>
        <v>0.1588447653429603</v>
      </c>
      <c r="E12" s="59" t="s">
        <v>89</v>
      </c>
      <c r="F12" s="56" t="s">
        <v>44</v>
      </c>
      <c r="G12" s="44">
        <v>6</v>
      </c>
      <c r="H12" s="129">
        <f>IF(B$15=0,0,G12/B$15)</f>
        <v>8.3333333333333329E-2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8.5888888888888886</v>
      </c>
      <c r="P12" s="116">
        <v>9</v>
      </c>
      <c r="Q12" s="104">
        <v>77.3</v>
      </c>
    </row>
    <row r="13" spans="1:17" x14ac:dyDescent="0.45">
      <c r="A13" s="50" t="s">
        <v>123</v>
      </c>
      <c r="B13" s="43">
        <f>B19</f>
        <v>44</v>
      </c>
      <c r="C13" s="35">
        <f>IF(B$11=0,0,B13/B$11)</f>
        <v>0.58666666666666667</v>
      </c>
      <c r="E13" s="59" t="s">
        <v>78</v>
      </c>
      <c r="F13" s="56" t="s">
        <v>33</v>
      </c>
      <c r="G13" s="44">
        <v>4</v>
      </c>
      <c r="H13" s="129">
        <f>IF(B$15=0,0,G13/B$15)</f>
        <v>5.5555555555555552E-2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</v>
      </c>
      <c r="C14" s="35">
        <f>IF(B$12=0,0,B14/B$12)</f>
        <v>0.31818181818181818</v>
      </c>
      <c r="E14" s="59" t="s">
        <v>86</v>
      </c>
      <c r="F14" s="56" t="s">
        <v>41</v>
      </c>
      <c r="G14" s="44">
        <v>4</v>
      </c>
      <c r="H14" s="129">
        <f>IF(B$15=0,0,G14/B$15)</f>
        <v>5.5555555555555552E-2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72</v>
      </c>
      <c r="C15" s="35">
        <f>IF(B$3=0,0,B15/B$3)</f>
        <v>0.25992779783393499</v>
      </c>
      <c r="E15" s="59" t="s">
        <v>83</v>
      </c>
      <c r="F15" s="56" t="s">
        <v>38</v>
      </c>
      <c r="G15" s="44">
        <v>2</v>
      </c>
      <c r="H15" s="129">
        <f>IF(B$15=0,0,G15/B$15)</f>
        <v>2.7777777777777776E-2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49</v>
      </c>
      <c r="C16" s="37">
        <f>IF(B$3=0,0,B16/B$3)</f>
        <v>0.17689530685920576</v>
      </c>
      <c r="E16" s="59" t="s">
        <v>75</v>
      </c>
      <c r="F16" s="56" t="s">
        <v>30</v>
      </c>
      <c r="G16" s="44">
        <v>1</v>
      </c>
      <c r="H16" s="129">
        <f>IF(B$15=0,0,G16/B$15)</f>
        <v>1.3888888888888888E-2</v>
      </c>
      <c r="I16" s="90">
        <v>2</v>
      </c>
      <c r="K16" s="36">
        <v>14</v>
      </c>
      <c r="L16" s="95">
        <v>49.900000000000006</v>
      </c>
      <c r="N16" s="111" t="s">
        <v>200</v>
      </c>
      <c r="O16" s="121">
        <f>IF(P16=0,0,Q16/P16)</f>
        <v>0.16666666666666785</v>
      </c>
      <c r="P16" s="115">
        <v>3</v>
      </c>
      <c r="Q16" s="103">
        <v>0.50000000000000355</v>
      </c>
    </row>
    <row r="17" spans="1:17" x14ac:dyDescent="0.45">
      <c r="A17" s="51" t="s">
        <v>12</v>
      </c>
      <c r="B17" s="44">
        <v>42</v>
      </c>
      <c r="C17" s="37">
        <f>IF(B$15=0,0,B17/B$15)</f>
        <v>0.58333333333333337</v>
      </c>
      <c r="E17" s="59" t="s">
        <v>81</v>
      </c>
      <c r="F17" s="56" t="s">
        <v>36</v>
      </c>
      <c r="G17" s="44">
        <v>1</v>
      </c>
      <c r="H17" s="129">
        <f>IF(B$15=0,0,G17/B$15)</f>
        <v>1.3888888888888888E-2</v>
      </c>
      <c r="I17" s="90">
        <v>10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30</v>
      </c>
      <c r="C18" s="37">
        <f>IF(B$15=0,0,B18/B$15)</f>
        <v>0.41666666666666669</v>
      </c>
      <c r="E18" s="59" t="s">
        <v>85</v>
      </c>
      <c r="F18" s="56" t="s">
        <v>40</v>
      </c>
      <c r="G18" s="44">
        <v>1</v>
      </c>
      <c r="H18" s="129">
        <f>IF(B$15=0,0,G18/B$15)</f>
        <v>1.3888888888888888E-2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>IF(P18=0,0,Q18/P18)</f>
        <v>-5.15</v>
      </c>
      <c r="P18" s="115">
        <v>10</v>
      </c>
      <c r="Q18" s="103">
        <v>-51.500000000000007</v>
      </c>
    </row>
    <row r="19" spans="1:17" x14ac:dyDescent="0.45">
      <c r="A19" s="51" t="s">
        <v>195</v>
      </c>
      <c r="B19" s="44">
        <v>44</v>
      </c>
      <c r="C19" s="37">
        <f>IF(B$15=0,0,B19/B$15)</f>
        <v>0.61111111111111116</v>
      </c>
      <c r="E19" s="59" t="s">
        <v>87</v>
      </c>
      <c r="F19" s="56" t="s">
        <v>42</v>
      </c>
      <c r="G19" s="44">
        <v>1</v>
      </c>
      <c r="H19" s="129">
        <f>IF(B$15=0,0,G19/B$15)</f>
        <v>1.3888888888888888E-2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>IF(P19=0,0,Q19/P19)</f>
        <v>-5.7000000000000011</v>
      </c>
      <c r="P19" s="115">
        <v>5</v>
      </c>
      <c r="Q19" s="103">
        <v>-28.500000000000004</v>
      </c>
    </row>
    <row r="20" spans="1:17" x14ac:dyDescent="0.45">
      <c r="A20" s="51" t="s">
        <v>193</v>
      </c>
      <c r="B20" s="44">
        <v>14</v>
      </c>
      <c r="C20" s="37">
        <f>IF(B$15=0,0,B20/B$15)</f>
        <v>0.19444444444444445</v>
      </c>
      <c r="E20" s="59" t="s">
        <v>162</v>
      </c>
      <c r="F20" s="56" t="s">
        <v>163</v>
      </c>
      <c r="G20" s="44">
        <v>1</v>
      </c>
      <c r="H20" s="129">
        <f>IF(B$15=0,0,G20/B$15)</f>
        <v>1.3888888888888888E-2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>IF(P20=0,0,Q20/P20)</f>
        <v>-7.4333333333333336</v>
      </c>
      <c r="P20" s="115">
        <v>6</v>
      </c>
      <c r="Q20" s="103">
        <v>-44.6</v>
      </c>
    </row>
    <row r="21" spans="1:17" x14ac:dyDescent="0.45">
      <c r="A21" s="51" t="s">
        <v>194</v>
      </c>
      <c r="B21" s="44">
        <v>14</v>
      </c>
      <c r="C21" s="37">
        <f>IF(B$15=0,0,B21/B$15)</f>
        <v>0.19444444444444445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8126.3888888888887</v>
      </c>
      <c r="C22" s="39">
        <v>585100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>IF(P22=0,0,Q22/P22)</f>
        <v>-21.862499999999997</v>
      </c>
      <c r="P22" s="115">
        <v>8</v>
      </c>
      <c r="Q22" s="103">
        <v>-174.89999999999998</v>
      </c>
    </row>
    <row r="23" spans="1:17" x14ac:dyDescent="0.45">
      <c r="A23" s="52" t="s">
        <v>177</v>
      </c>
      <c r="B23" s="136">
        <f>IF($B$15-B$14=0,0,C23/($B$15-B$14))</f>
        <v>8555.1724137931033</v>
      </c>
      <c r="C23" s="137">
        <v>496200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>IF(P23=0,0,Q23/P23)</f>
        <v>-26.027272727272738</v>
      </c>
      <c r="P23" s="115">
        <v>11</v>
      </c>
      <c r="Q23" s="103">
        <v>-286.30000000000013</v>
      </c>
    </row>
    <row r="24" spans="1:17" x14ac:dyDescent="0.45">
      <c r="A24" s="52" t="s">
        <v>178</v>
      </c>
      <c r="B24" s="136">
        <f>IF(B$14=0,0,C24/B$14)</f>
        <v>6350</v>
      </c>
      <c r="C24" s="137">
        <v>88900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-7002.0408163265311</v>
      </c>
      <c r="C25" s="137">
        <v>-343100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2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3.6101083032490976E-3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 x14ac:dyDescent="0.45">
      <c r="A32" s="86" t="s">
        <v>183</v>
      </c>
      <c r="B32" s="144">
        <v>9</v>
      </c>
      <c r="C32" s="141">
        <f>IF(B$15=0,0,B32/B$15)</f>
        <v>0.125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9" x14ac:dyDescent="0.45">
      <c r="A33" s="51" t="s">
        <v>179</v>
      </c>
      <c r="B33" s="44">
        <v>10</v>
      </c>
      <c r="C33" s="37">
        <f t="shared" ref="C33:C44" si="2">IF(B$15=0,0,B33/B$15)</f>
        <v>0.1388888888888889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13</v>
      </c>
      <c r="C34" s="37">
        <f>IF(B$15=0,0,B34/B$15)</f>
        <v>0.18055555555555555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2"/>
        <v>0.125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9" x14ac:dyDescent="0.45">
      <c r="A36" s="51" t="s">
        <v>182</v>
      </c>
      <c r="B36" s="145">
        <v>11</v>
      </c>
      <c r="C36" s="37">
        <f t="shared" si="2"/>
        <v>0.15277777777777779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13</v>
      </c>
      <c r="C37" s="37">
        <f t="shared" si="2"/>
        <v>0.18055555555555555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4</v>
      </c>
      <c r="C38" s="37">
        <f t="shared" si="2"/>
        <v>5.5555555555555552E-2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2"/>
        <v>2.7777777777777776E-2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2"/>
        <v>1.3888888888888888E-2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E19A-F94F-44BF-AACA-A978A9152EA8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4CDD4-198D-4FFF-BD0A-1737F269EB6C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8BC95-B629-407D-8C84-22877C2E922E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5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5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5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5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5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5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>IF(P16=0,0,Q16/P16)</f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>IF(P17=0,0,Q17/P17)</f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>IF(P18=0,0,Q18/P18)</f>
        <v>2.910000000000001</v>
      </c>
      <c r="P18" s="115">
        <v>10</v>
      </c>
      <c r="Q18" s="103">
        <v>29.100000000000009</v>
      </c>
    </row>
    <row r="19" spans="1:17" x14ac:dyDescent="0.45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>IF(P19=0,0,Q19/P19)</f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K20" s="36">
        <v>18</v>
      </c>
      <c r="L20" s="95">
        <v>-55.6</v>
      </c>
      <c r="N20" s="111" t="s">
        <v>196</v>
      </c>
      <c r="O20" s="121">
        <f>IF(P20=0,0,Q20/P20)</f>
        <v>-0.16666666666666882</v>
      </c>
      <c r="P20" s="115">
        <v>3</v>
      </c>
      <c r="Q20" s="103">
        <v>-0.50000000000000644</v>
      </c>
    </row>
    <row r="21" spans="1:17" x14ac:dyDescent="0.45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-42.716666666666669</v>
      </c>
      <c r="P21" s="115">
        <v>6</v>
      </c>
      <c r="Q21" s="103">
        <v>-256.3</v>
      </c>
    </row>
    <row r="22" spans="1:17" x14ac:dyDescent="0.45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15</v>
      </c>
      <c r="C33" s="37">
        <f t="shared" ref="C33:C44" si="2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2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2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2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1</v>
      </c>
      <c r="C41" s="37">
        <f t="shared" si="2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9E61-8335-4BDF-8082-8516406D7F15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1.0625</v>
      </c>
      <c r="P17" s="115">
        <v>8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>IF(P20=0,0,Q20/P20)</f>
        <v>-90.449999999999989</v>
      </c>
      <c r="P20" s="115">
        <v>2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66263-97E6-44A3-AB84-55DBF23BBD5C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4A60-502A-41D6-86A6-E33635DFCE9B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C3E7-0217-4EA3-A65A-DF1ED3D8AC7B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A943-FE00-4B22-A7DB-9DF5E64CE9AA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5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8654-3E43-4362-A693-8843650322EE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8BF5-546F-473D-91FF-C4D90007158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CB68-EB3D-4937-8295-9899C99E1F0A}">
  <sheetPr codeName="Sheet22"/>
  <dimension ref="A1:Q3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5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5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783-0D0A-4144-BD26-DE4F76DBADD5}">
  <sheetPr codeName="Sheet20"/>
  <dimension ref="A1:Q7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36AD-EBC4-4024-8886-9D4E027F08E8}">
  <sheetPr codeName="Sheet18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5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1E9C-05CF-4415-B844-FBE1D9FD5245}">
  <sheetPr codeName="Sheet16"/>
  <dimension ref="A1:Q15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5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33D2-537B-49D8-9312-DA8AD39FE737}">
  <sheetPr codeName="Sheet14"/>
  <dimension ref="A1:Q10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392-6715-4E25-8D4E-AF79D6B2F398}">
  <sheetPr codeName="Sheet12"/>
  <dimension ref="A1:Q18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5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5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5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6637-A616-4943-81C4-BA82095FC88E}">
  <sheetPr codeName="Sheet10"/>
  <dimension ref="A1:Q20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5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5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5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8BE9-CB30-4768-B77F-9BC2DBDF8E07}">
  <sheetPr codeName="Sheet8"/>
  <dimension ref="A1:Q9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BA59-4BFE-43DD-B559-D7033676116D}">
  <sheetPr codeName="Sheet6"/>
  <dimension ref="A1:Q34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5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5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5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5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2020-01-31T17:26:26Z</dcterms:modified>
</cp:coreProperties>
</file>