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C25D944-AD45-4D3D-8EEE-5483CD1EEBA4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7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5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7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6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1" i="5869"/>
  <c r="H6" i="5869"/>
  <c r="H10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2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1" i="5867"/>
  <c r="H7" i="5867"/>
  <c r="H9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7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19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<sst xmlns="http://schemas.openxmlformats.org/spreadsheetml/2006/main" count="2855" uniqueCount="248">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</sst>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全体!$K$2:$K$572</c:f>
              <c:numCache>
                <c:formatCode>General</c:formatCode>
                <c:ptCount val="5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</c:numCache>
            </c:numRef>
          </c:xVal>
          <c:yVal>
            <c:numRef>
              <c:f>全体!$L$2:$L$572</c:f>
              <c:numCache>
                <c:formatCode>\+0.0;\-0.0;\±0</c:formatCode>
                <c:ptCount val="57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-22.927689594356259</c:v>
                </c:pt>
                <c:pt idx="1">
                  <c:v>9.0090090090090094</c:v>
                </c:pt>
                <c:pt idx="2">
                  <c:v>-13.257575757575758</c:v>
                </c:pt>
                <c:pt idx="3">
                  <c:v>8.0321285140562253</c:v>
                </c:pt>
                <c:pt idx="4">
                  <c:v>12.987012987012987</c:v>
                </c:pt>
                <c:pt idx="5">
                  <c:v>13.227513227513228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1382.3529411764705</c:v>
                </c:pt>
                <c:pt idx="1">
                  <c:v>-948</c:v>
                </c:pt>
                <c:pt idx="2">
                  <c:v>-1997.9166666666667</c:v>
                </c:pt>
                <c:pt idx="3">
                  <c:v>-1374.4680851063829</c:v>
                </c:pt>
                <c:pt idx="4">
                  <c:v>-121.27659574468085</c:v>
                </c:pt>
                <c:pt idx="5">
                  <c:v>-1772.5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1340.8333333333333</c:v>
                </c:pt>
                <c:pt idx="1">
                  <c:v>922.22222222222217</c:v>
                </c:pt>
                <c:pt idx="2">
                  <c:v>986.72566371681421</c:v>
                </c:pt>
                <c:pt idx="3">
                  <c:v>175.96153846153845</c:v>
                </c:pt>
                <c:pt idx="4">
                  <c:v>1991.7525773195875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ただ!$L$2:$L$107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-1930.7692307692307</c:v>
                </c:pt>
                <c:pt idx="1">
                  <c:v>1042.1568627450981</c:v>
                </c:pt>
                <c:pt idx="2">
                  <c:v>220.83333333333334</c:v>
                </c:pt>
                <c:pt idx="3">
                  <c:v>693.33333333333337</c:v>
                </c:pt>
                <c:pt idx="4">
                  <c:v>-1071.0843373493976</c:v>
                </c:pt>
                <c:pt idx="5">
                  <c:v>1361.4285714285713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りくと!$L$2:$L$68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-70.769230769230774</c:v>
                </c:pt>
                <c:pt idx="1">
                  <c:v>-932.30769230769226</c:v>
                </c:pt>
                <c:pt idx="2">
                  <c:v>583.60655737704917</c:v>
                </c:pt>
                <c:pt idx="3">
                  <c:v>-1466.6666666666667</c:v>
                </c:pt>
                <c:pt idx="4">
                  <c:v>-3191.2280701754385</c:v>
                </c:pt>
                <c:pt idx="5">
                  <c:v>-1190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1707.6923076923076</c:v>
                </c:pt>
                <c:pt idx="1">
                  <c:v>-2049.2063492063494</c:v>
                </c:pt>
                <c:pt idx="2">
                  <c:v>483.05084745762713</c:v>
                </c:pt>
                <c:pt idx="3">
                  <c:v>3689.2857142857142</c:v>
                </c:pt>
                <c:pt idx="4">
                  <c:v>934.61538461538464</c:v>
                </c:pt>
                <c:pt idx="5">
                  <c:v>-305.12820512820514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まっつん!$L$2:$L$94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932.60869565217388</c:v>
                </c:pt>
                <c:pt idx="1">
                  <c:v>582.02247191011236</c:v>
                </c:pt>
                <c:pt idx="2">
                  <c:v>-631.32530120481931</c:v>
                </c:pt>
                <c:pt idx="3">
                  <c:v>-15.789473684210526</c:v>
                </c:pt>
                <c:pt idx="4">
                  <c:v>-676.11940298507466</c:v>
                </c:pt>
                <c:pt idx="5">
                  <c:v>-814.03508771929819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のり!$L$2:$L$39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-3375.6756756756758</c:v>
                </c:pt>
                <c:pt idx="1">
                  <c:v>240.54054054054055</c:v>
                </c:pt>
                <c:pt idx="2">
                  <c:v>-1297.2972972972973</c:v>
                </c:pt>
                <c:pt idx="3">
                  <c:v>-2179.4117647058824</c:v>
                </c:pt>
                <c:pt idx="4">
                  <c:v>-1615.1515151515152</c:v>
                </c:pt>
                <c:pt idx="5">
                  <c:v>-3600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ぱぱ2!$B$3:$B$27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ぱぱ2!$C$3:$C$27</c:f>
              <c:numCache>
                <c:formatCode>\+0.0;\-0.0;\±0</c:formatCode>
                <c:ptCount val="25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  <c:pt idx="15">
                  <c:v>4.9133333333333331</c:v>
                </c:pt>
                <c:pt idx="16">
                  <c:v>1.7687500000000003</c:v>
                </c:pt>
                <c:pt idx="17">
                  <c:v>2.9294117647058826</c:v>
                </c:pt>
                <c:pt idx="18">
                  <c:v>1.3722222222222225</c:v>
                </c:pt>
                <c:pt idx="19">
                  <c:v>0.45789473684210541</c:v>
                </c:pt>
                <c:pt idx="20">
                  <c:v>-1.65</c:v>
                </c:pt>
                <c:pt idx="21">
                  <c:v>-1.6857142857142857</c:v>
                </c:pt>
                <c:pt idx="22">
                  <c:v>-0.61363636363636365</c:v>
                </c:pt>
                <c:pt idx="23">
                  <c:v>1.1869565217391302</c:v>
                </c:pt>
                <c:pt idx="24">
                  <c:v>9.1666666666666494E-2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328310154394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ぱぱ2!$D$3:$D$27</c:f>
              <c:numCache>
                <c:formatCode>0.00\ "位"</c:formatCode>
                <c:ptCount val="25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1.9375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ぱぱ2!$E$3:$E$27</c:f>
              <c:numCache>
                <c:formatCode>0.0%</c:formatCode>
                <c:ptCount val="2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ぱぱ2!$F$3:$F$27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ぱぱ2!$G$3:$G$27</c:f>
              <c:numCache>
                <c:formatCode>0.0%</c:formatCode>
                <c:ptCount val="25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  <c:pt idx="15">
                  <c:v>0.29530201342281881</c:v>
                </c:pt>
                <c:pt idx="16">
                  <c:v>0.29220779220779219</c:v>
                </c:pt>
                <c:pt idx="17">
                  <c:v>0.30625000000000002</c:v>
                </c:pt>
                <c:pt idx="18">
                  <c:v>0.29166666666666669</c:v>
                </c:pt>
                <c:pt idx="19">
                  <c:v>0.28409090909090912</c:v>
                </c:pt>
                <c:pt idx="20">
                  <c:v>0.27173913043478259</c:v>
                </c:pt>
                <c:pt idx="21">
                  <c:v>0.27368421052631581</c:v>
                </c:pt>
                <c:pt idx="22">
                  <c:v>0.27941176470588236</c:v>
                </c:pt>
                <c:pt idx="23">
                  <c:v>0.27853881278538811</c:v>
                </c:pt>
                <c:pt idx="24">
                  <c:v>0.27074235807860264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004198152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ぱぱ2!$H$3:$H$27</c:f>
              <c:numCache>
                <c:formatCode>0.0%</c:formatCode>
                <c:ptCount val="25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  <c:pt idx="15">
                  <c:v>0.13422818791946309</c:v>
                </c:pt>
                <c:pt idx="16">
                  <c:v>0.12987012987012986</c:v>
                </c:pt>
                <c:pt idx="17">
                  <c:v>0.125</c:v>
                </c:pt>
                <c:pt idx="18">
                  <c:v>0.125</c:v>
                </c:pt>
                <c:pt idx="19">
                  <c:v>0.13636363636363635</c:v>
                </c:pt>
                <c:pt idx="20">
                  <c:v>0.14673913043478262</c:v>
                </c:pt>
                <c:pt idx="21">
                  <c:v>0.14736842105263157</c:v>
                </c:pt>
                <c:pt idx="22">
                  <c:v>0.15196078431372548</c:v>
                </c:pt>
                <c:pt idx="23">
                  <c:v>0.15525114155251141</c:v>
                </c:pt>
                <c:pt idx="24">
                  <c:v>0.16593886462882096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098236775818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ぱぱ2!$I$3:$I$27</c:f>
              <c:numCache>
                <c:formatCode>0</c:formatCode>
                <c:ptCount val="25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  <c:pt idx="15">
                  <c:v>7729.545454545455</c:v>
                </c:pt>
                <c:pt idx="16">
                  <c:v>7646.666666666667</c:v>
                </c:pt>
                <c:pt idx="17">
                  <c:v>7440.8163265306121</c:v>
                </c:pt>
                <c:pt idx="18">
                  <c:v>7440.8163265306121</c:v>
                </c:pt>
                <c:pt idx="19">
                  <c:v>7652</c:v>
                </c:pt>
                <c:pt idx="20">
                  <c:v>7652</c:v>
                </c:pt>
                <c:pt idx="21">
                  <c:v>7742.3076923076924</c:v>
                </c:pt>
                <c:pt idx="22">
                  <c:v>8115.7894736842109</c:v>
                </c:pt>
                <c:pt idx="23">
                  <c:v>8398.3606557377043</c:v>
                </c:pt>
                <c:pt idx="24">
                  <c:v>8456.4516129032254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7.7975766215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ぱぱ2!$J$3:$J$27</c:f>
              <c:numCache>
                <c:formatCode>0</c:formatCode>
                <c:ptCount val="25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  <c:pt idx="15">
                  <c:v>-6845</c:v>
                </c:pt>
                <c:pt idx="16">
                  <c:v>-6845</c:v>
                </c:pt>
                <c:pt idx="17">
                  <c:v>-6845</c:v>
                </c:pt>
                <c:pt idx="18">
                  <c:v>-6885.7142857142853</c:v>
                </c:pt>
                <c:pt idx="19">
                  <c:v>-6650</c:v>
                </c:pt>
                <c:pt idx="20">
                  <c:v>-6748.1481481481478</c:v>
                </c:pt>
                <c:pt idx="21">
                  <c:v>-6646.4285714285716</c:v>
                </c:pt>
                <c:pt idx="22">
                  <c:v>-7151.6129032258068</c:v>
                </c:pt>
                <c:pt idx="23">
                  <c:v>-7058.8235294117649</c:v>
                </c:pt>
                <c:pt idx="24">
                  <c:v>-6836.8421052631575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6.80823680823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ぱぱ2!$K$3:$K$27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73684210526316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ぱぱ2!$L$3:$L$27</c:f>
              <c:numCache>
                <c:formatCode>0.0%</c:formatCode>
                <c:ptCount val="2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0.13043478260869565</c:v>
                </c:pt>
                <c:pt idx="24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73684210526316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ぱぱ2!$M$3:$M$27</c:f>
              <c:numCache>
                <c:formatCode>0.0%</c:formatCode>
                <c:ptCount val="25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  <c:pt idx="15">
                  <c:v>0.28187919463087246</c:v>
                </c:pt>
                <c:pt idx="16">
                  <c:v>0.29220779220779219</c:v>
                </c:pt>
                <c:pt idx="17">
                  <c:v>0.28749999999999998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0.27717391304347827</c:v>
                </c:pt>
                <c:pt idx="21">
                  <c:v>0.27368421052631581</c:v>
                </c:pt>
                <c:pt idx="22">
                  <c:v>0.26470588235294118</c:v>
                </c:pt>
                <c:pt idx="23">
                  <c:v>0.26940639269406391</c:v>
                </c:pt>
                <c:pt idx="24">
                  <c:v>0.26637554585152839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938706968933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ぱぱ2!$N$3:$N$27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  <c:pt idx="15">
                  <c:v>0.1476510067114094</c:v>
                </c:pt>
                <c:pt idx="16">
                  <c:v>0.14285714285714285</c:v>
                </c:pt>
                <c:pt idx="17">
                  <c:v>0.14374999999999999</c:v>
                </c:pt>
                <c:pt idx="18">
                  <c:v>0.13690476190476192</c:v>
                </c:pt>
                <c:pt idx="19">
                  <c:v>0.13068181818181818</c:v>
                </c:pt>
                <c:pt idx="20">
                  <c:v>0.14130434782608695</c:v>
                </c:pt>
                <c:pt idx="21">
                  <c:v>0.14210526315789473</c:v>
                </c:pt>
                <c:pt idx="22">
                  <c:v>0.15686274509803921</c:v>
                </c:pt>
                <c:pt idx="23">
                  <c:v>0.15525114155251141</c:v>
                </c:pt>
                <c:pt idx="24">
                  <c:v>0.15283842794759825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169605373635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ぱぱ2!$O$3:$O$27</c:f>
              <c:numCache>
                <c:formatCode>0.0%</c:formatCode>
                <c:ptCount val="25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  <c:pt idx="15">
                  <c:v>0.6428571428571429</c:v>
                </c:pt>
                <c:pt idx="16">
                  <c:v>0.62222222222222223</c:v>
                </c:pt>
                <c:pt idx="17">
                  <c:v>0.63043478260869568</c:v>
                </c:pt>
                <c:pt idx="18">
                  <c:v>0.63043478260869568</c:v>
                </c:pt>
                <c:pt idx="19">
                  <c:v>0.61224489795918369</c:v>
                </c:pt>
                <c:pt idx="20">
                  <c:v>0.58823529411764708</c:v>
                </c:pt>
                <c:pt idx="21">
                  <c:v>0.59615384615384615</c:v>
                </c:pt>
                <c:pt idx="22">
                  <c:v>0.61111111111111116</c:v>
                </c:pt>
                <c:pt idx="23">
                  <c:v>0.59322033898305082</c:v>
                </c:pt>
                <c:pt idx="24">
                  <c:v>0.5901639344262295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1825726141078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ぱぱ2!$P$3:$P$27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  <c:pt idx="15">
                  <c:v>0.31818181818181818</c:v>
                </c:pt>
                <c:pt idx="16">
                  <c:v>0.31818181818181818</c:v>
                </c:pt>
                <c:pt idx="17">
                  <c:v>0.34782608695652173</c:v>
                </c:pt>
                <c:pt idx="18">
                  <c:v>0.34782608695652173</c:v>
                </c:pt>
                <c:pt idx="19">
                  <c:v>0.34782608695652173</c:v>
                </c:pt>
                <c:pt idx="20">
                  <c:v>0.30769230769230771</c:v>
                </c:pt>
                <c:pt idx="21">
                  <c:v>0.33333333333333331</c:v>
                </c:pt>
                <c:pt idx="22">
                  <c:v>0.375</c:v>
                </c:pt>
                <c:pt idx="23">
                  <c:v>0.35294117647058826</c:v>
                </c:pt>
                <c:pt idx="24">
                  <c:v>0.34285714285714286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383624655013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ぱぱ2!$Q$3:$Q$27</c:f>
              <c:numCache>
                <c:formatCode>0.0%</c:formatCode>
                <c:ptCount val="25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  <c:pt idx="15">
                  <c:v>0.52272727272727271</c:v>
                </c:pt>
                <c:pt idx="16">
                  <c:v>0.53333333333333333</c:v>
                </c:pt>
                <c:pt idx="17">
                  <c:v>0.55102040816326525</c:v>
                </c:pt>
                <c:pt idx="18">
                  <c:v>0.55102040816326525</c:v>
                </c:pt>
                <c:pt idx="19">
                  <c:v>0.56000000000000005</c:v>
                </c:pt>
                <c:pt idx="20">
                  <c:v>0.56000000000000005</c:v>
                </c:pt>
                <c:pt idx="21">
                  <c:v>0.53846153846153844</c:v>
                </c:pt>
                <c:pt idx="22">
                  <c:v>0.54385964912280704</c:v>
                </c:pt>
                <c:pt idx="23">
                  <c:v>0.55737704918032782</c:v>
                </c:pt>
                <c:pt idx="24">
                  <c:v>0.56451612903225812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197434069850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6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  <row r="54" spans="1:7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7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7" x14ac:dyDescent="0.4">
      <c r="A56" s="28" t="s">
        <v>247</v>
      </c>
      <c r="B56" s="29">
        <v>43783.744745370372</v>
      </c>
      <c r="C56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570</v>
      </c>
    </row>
    <row r="2" spans="1:2" x14ac:dyDescent="0.4">
      <c r="A2" t="s">
        <v>166</v>
      </c>
      <c r="B2">
        <v>51</v>
      </c>
    </row>
    <row r="3" spans="1:2" x14ac:dyDescent="0.4">
      <c r="A3" t="s">
        <v>126</v>
      </c>
      <c r="B3">
        <v>121</v>
      </c>
    </row>
    <row r="4" spans="1:2" x14ac:dyDescent="0.4">
      <c r="A4" t="s">
        <v>127</v>
      </c>
      <c r="B4">
        <v>105</v>
      </c>
    </row>
    <row r="5" spans="1:2" x14ac:dyDescent="0.4">
      <c r="A5" t="s">
        <v>179</v>
      </c>
      <c r="B5">
        <v>66</v>
      </c>
    </row>
    <row r="6" spans="1:2" x14ac:dyDescent="0.4">
      <c r="A6" t="s">
        <v>177</v>
      </c>
      <c r="B6">
        <v>65</v>
      </c>
    </row>
    <row r="7" spans="1:2" x14ac:dyDescent="0.4">
      <c r="A7" t="s">
        <v>178</v>
      </c>
      <c r="B7">
        <v>92</v>
      </c>
    </row>
    <row r="8" spans="1:2" x14ac:dyDescent="0.4">
      <c r="A8" t="s">
        <v>182</v>
      </c>
      <c r="B8">
        <v>37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0.99311411367236624</v>
      </c>
      <c r="G2" s="157"/>
      <c r="H2" s="156">
        <v>0.89645537274165188</v>
      </c>
      <c r="I2" s="157"/>
      <c r="J2" s="156">
        <v>0.91686522547362814</v>
      </c>
      <c r="K2" s="157"/>
      <c r="L2" s="156">
        <v>0.84977838577735887</v>
      </c>
      <c r="M2" s="157"/>
      <c r="N2" s="156">
        <v>0.61236846362914898</v>
      </c>
      <c r="O2" s="157"/>
      <c r="P2" s="156">
        <v>0.56976019813468815</v>
      </c>
      <c r="Q2" s="157"/>
      <c r="R2" s="156">
        <v>-0.1551301218527435</v>
      </c>
      <c r="S2" s="157"/>
      <c r="T2" s="156">
        <v>0.54691960146365548</v>
      </c>
      <c r="U2" s="157"/>
      <c r="V2" s="156">
        <v>0.83823581620457588</v>
      </c>
      <c r="W2" s="157"/>
      <c r="X2" s="156">
        <v>0.60663897927909394</v>
      </c>
      <c r="Y2" s="157"/>
      <c r="Z2" s="156">
        <v>-0.10526742320147461</v>
      </c>
      <c r="AA2" s="157"/>
      <c r="AB2" s="156">
        <v>0.36175407568681683</v>
      </c>
      <c r="AC2" s="157"/>
      <c r="AD2" s="156">
        <v>0.5165251929921445</v>
      </c>
      <c r="AE2" s="157"/>
      <c r="AF2" s="156">
        <v>-0.11878208695488122</v>
      </c>
      <c r="AG2" s="157"/>
      <c r="AH2" s="156">
        <v>0.74692502145840112</v>
      </c>
      <c r="AI2" s="157"/>
    </row>
    <row r="3" spans="1:35" x14ac:dyDescent="0.4">
      <c r="A3" s="70">
        <v>1</v>
      </c>
      <c r="B3" s="71" t="s">
        <v>126</v>
      </c>
      <c r="C3" s="72">
        <v>1071.8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10343.225806451614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0.18461538461538463</v>
      </c>
      <c r="X3" s="73" t="s">
        <v>177</v>
      </c>
      <c r="Y3" s="76">
        <v>0.31826741996233521</v>
      </c>
      <c r="Z3" s="73" t="s">
        <v>195</v>
      </c>
      <c r="AA3" s="76">
        <v>0.35483870967741937</v>
      </c>
      <c r="AB3" s="73" t="s">
        <v>126</v>
      </c>
      <c r="AC3" s="76">
        <v>0.59774436090225569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333.00000000000006</v>
      </c>
      <c r="D4" s="81" t="s">
        <v>126</v>
      </c>
      <c r="E4" s="93">
        <v>8.8578512396694205</v>
      </c>
      <c r="F4" s="81" t="s">
        <v>126</v>
      </c>
      <c r="G4" s="82">
        <v>1.7851239669421488</v>
      </c>
      <c r="H4" s="81" t="s">
        <v>126</v>
      </c>
      <c r="I4" s="83">
        <v>0.45454545454545453</v>
      </c>
      <c r="J4" s="81" t="s">
        <v>126</v>
      </c>
      <c r="K4" s="83">
        <v>0.23966942148760331</v>
      </c>
      <c r="L4" s="81" t="s">
        <v>126</v>
      </c>
      <c r="M4" s="84">
        <v>0.34282807731434384</v>
      </c>
      <c r="N4" s="81" t="s">
        <v>126</v>
      </c>
      <c r="O4" s="84">
        <v>0.12919633774160733</v>
      </c>
      <c r="P4" s="81" t="s">
        <v>127</v>
      </c>
      <c r="Q4" s="85">
        <v>8553.9923954372625</v>
      </c>
      <c r="R4" s="81" t="s">
        <v>166</v>
      </c>
      <c r="S4" s="85">
        <v>-6974.2857142857147</v>
      </c>
      <c r="T4" s="81" t="s">
        <v>166</v>
      </c>
      <c r="U4" s="83">
        <v>1.9607843137254902E-2</v>
      </c>
      <c r="V4" s="81" t="s">
        <v>195</v>
      </c>
      <c r="W4" s="83">
        <v>0.14285714285714285</v>
      </c>
      <c r="X4" s="81" t="s">
        <v>179</v>
      </c>
      <c r="Y4" s="84">
        <v>0.28520499108734404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0.48636363636363639</v>
      </c>
      <c r="AF4" s="81" t="s">
        <v>182</v>
      </c>
      <c r="AG4" s="84">
        <v>0.48684210526315791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222</v>
      </c>
      <c r="C5" s="80">
        <v>26.2</v>
      </c>
      <c r="D5" s="81" t="s">
        <v>177</v>
      </c>
      <c r="E5" s="93">
        <v>5.1230769230769235</v>
      </c>
      <c r="F5" s="81" t="s">
        <v>177</v>
      </c>
      <c r="G5" s="82">
        <v>1.8923076923076922</v>
      </c>
      <c r="H5" s="81" t="s">
        <v>195</v>
      </c>
      <c r="I5" s="83">
        <v>0.42857142857142855</v>
      </c>
      <c r="J5" s="81" t="s">
        <v>178</v>
      </c>
      <c r="K5" s="83">
        <v>0.27173913043478259</v>
      </c>
      <c r="L5" s="81" t="s">
        <v>127</v>
      </c>
      <c r="M5" s="84">
        <v>0.29852440408626563</v>
      </c>
      <c r="N5" s="81" t="s">
        <v>178</v>
      </c>
      <c r="O5" s="84">
        <v>0.13469387755102041</v>
      </c>
      <c r="P5" s="81" t="s">
        <v>181</v>
      </c>
      <c r="Q5" s="85">
        <v>8456.4516129032254</v>
      </c>
      <c r="R5" s="81" t="s">
        <v>179</v>
      </c>
      <c r="S5" s="85">
        <v>-7657.0175438596489</v>
      </c>
      <c r="T5" s="81" t="s">
        <v>126</v>
      </c>
      <c r="U5" s="83">
        <v>4.1322314049586778E-2</v>
      </c>
      <c r="V5" s="81" t="s">
        <v>181</v>
      </c>
      <c r="W5" s="83">
        <v>0.125</v>
      </c>
      <c r="X5" s="81" t="s">
        <v>126</v>
      </c>
      <c r="Y5" s="84">
        <v>0.27060020345879959</v>
      </c>
      <c r="Z5" s="81" t="s">
        <v>127</v>
      </c>
      <c r="AA5" s="84">
        <v>0.30192962542565266</v>
      </c>
      <c r="AB5" s="81" t="s">
        <v>179</v>
      </c>
      <c r="AC5" s="84">
        <v>0.58750000000000002</v>
      </c>
      <c r="AD5" s="81" t="s">
        <v>177</v>
      </c>
      <c r="AE5" s="84">
        <v>0.44210526315789472</v>
      </c>
      <c r="AF5" s="81" t="s">
        <v>177</v>
      </c>
      <c r="AG5" s="84">
        <v>0.47741935483870968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181</v>
      </c>
      <c r="C6" s="80">
        <v>2.1999999999999957</v>
      </c>
      <c r="D6" s="81" t="s">
        <v>181</v>
      </c>
      <c r="E6" s="93">
        <v>9.1666666666666494E-2</v>
      </c>
      <c r="F6" s="81" t="s">
        <v>127</v>
      </c>
      <c r="G6" s="82">
        <v>1.980952380952381</v>
      </c>
      <c r="H6" s="81" t="s">
        <v>177</v>
      </c>
      <c r="I6" s="83">
        <v>0.41538461538461541</v>
      </c>
      <c r="J6" s="81" t="s">
        <v>177</v>
      </c>
      <c r="K6" s="83">
        <v>0.30769230769230771</v>
      </c>
      <c r="L6" s="81" t="s">
        <v>143</v>
      </c>
      <c r="M6" s="84">
        <v>0.2945004198152813</v>
      </c>
      <c r="N6" s="81" t="s">
        <v>166</v>
      </c>
      <c r="O6" s="84">
        <v>0.15250544662309368</v>
      </c>
      <c r="P6" s="81" t="s">
        <v>178</v>
      </c>
      <c r="Q6" s="85">
        <v>8431.9047619047615</v>
      </c>
      <c r="R6" s="81" t="s">
        <v>143</v>
      </c>
      <c r="S6" s="85">
        <v>-7836.8082368082369</v>
      </c>
      <c r="T6" s="81" t="s">
        <v>181</v>
      </c>
      <c r="U6" s="83">
        <v>8.3333333333333329E-2</v>
      </c>
      <c r="V6" s="81" t="s">
        <v>126</v>
      </c>
      <c r="W6" s="83">
        <v>0.12396694214876033</v>
      </c>
      <c r="X6" s="81" t="s">
        <v>178</v>
      </c>
      <c r="Y6" s="84">
        <v>0.26666666666666666</v>
      </c>
      <c r="Z6" s="81" t="s">
        <v>166</v>
      </c>
      <c r="AA6" s="84">
        <v>0.22875816993464052</v>
      </c>
      <c r="AB6" s="81" t="s">
        <v>178</v>
      </c>
      <c r="AC6" s="84">
        <v>0.57653061224489799</v>
      </c>
      <c r="AD6" s="81" t="s">
        <v>178</v>
      </c>
      <c r="AE6" s="84">
        <v>0.41358024691358025</v>
      </c>
      <c r="AF6" s="81" t="s">
        <v>179</v>
      </c>
      <c r="AG6" s="84">
        <v>0.46202531645569622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-3.5527136788005009E-14</v>
      </c>
      <c r="D7" s="81" t="s">
        <v>143</v>
      </c>
      <c r="E7" s="93">
        <v>-6.232831015439475E-17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127</v>
      </c>
      <c r="K7" s="83">
        <v>0.32380952380952382</v>
      </c>
      <c r="L7" s="81" t="s">
        <v>177</v>
      </c>
      <c r="M7" s="84">
        <v>0.29190207156308851</v>
      </c>
      <c r="N7" s="81" t="s">
        <v>177</v>
      </c>
      <c r="O7" s="84">
        <v>0.160075329566855</v>
      </c>
      <c r="P7" s="81" t="s">
        <v>143</v>
      </c>
      <c r="Q7" s="85">
        <v>8427.7975766215259</v>
      </c>
      <c r="R7" s="81" t="s">
        <v>126</v>
      </c>
      <c r="S7" s="85">
        <v>-7880.3149606299212</v>
      </c>
      <c r="T7" s="81" t="s">
        <v>178</v>
      </c>
      <c r="U7" s="83">
        <v>8.6956521739130432E-2</v>
      </c>
      <c r="V7" s="81" t="s">
        <v>127</v>
      </c>
      <c r="W7" s="83">
        <v>9.5238095238095233E-2</v>
      </c>
      <c r="X7" s="81" t="s">
        <v>222</v>
      </c>
      <c r="Y7" s="84">
        <v>0.26666666666666666</v>
      </c>
      <c r="Z7" s="81" t="s">
        <v>143</v>
      </c>
      <c r="AA7" s="84">
        <v>0.22816960537363559</v>
      </c>
      <c r="AB7" s="81" t="s">
        <v>143</v>
      </c>
      <c r="AC7" s="84">
        <v>0.56182572614107884</v>
      </c>
      <c r="AD7" s="81" t="s">
        <v>143</v>
      </c>
      <c r="AE7" s="84">
        <v>0.40938362465501382</v>
      </c>
      <c r="AF7" s="81" t="s">
        <v>178</v>
      </c>
      <c r="AG7" s="84">
        <v>0.45714285714285713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178</v>
      </c>
      <c r="C8" s="80">
        <v>-17.100000000000009</v>
      </c>
      <c r="D8" s="81" t="s">
        <v>178</v>
      </c>
      <c r="E8" s="93">
        <v>-0.1858695652173914</v>
      </c>
      <c r="F8" s="81" t="s">
        <v>143</v>
      </c>
      <c r="G8" s="82">
        <v>2</v>
      </c>
      <c r="H8" s="81" t="s">
        <v>127</v>
      </c>
      <c r="I8" s="83">
        <v>0.34285714285714286</v>
      </c>
      <c r="J8" s="81" t="s">
        <v>143</v>
      </c>
      <c r="K8" s="83">
        <v>0.33333333333333331</v>
      </c>
      <c r="L8" s="81" t="s">
        <v>178</v>
      </c>
      <c r="M8" s="84">
        <v>0.2857142857142857</v>
      </c>
      <c r="N8" s="81" t="s">
        <v>143</v>
      </c>
      <c r="O8" s="84">
        <v>0.16309823677581864</v>
      </c>
      <c r="P8" s="81" t="s">
        <v>126</v>
      </c>
      <c r="Q8" s="85">
        <v>8289.0207715133529</v>
      </c>
      <c r="R8" s="81" t="s">
        <v>182</v>
      </c>
      <c r="S8" s="85">
        <v>-7920.6896551724139</v>
      </c>
      <c r="T8" s="81" t="s">
        <v>179</v>
      </c>
      <c r="U8" s="83">
        <v>9.0909090909090912E-2</v>
      </c>
      <c r="V8" s="81" t="s">
        <v>143</v>
      </c>
      <c r="W8" s="83">
        <v>9.4736842105263161E-2</v>
      </c>
      <c r="X8" s="81" t="s">
        <v>181</v>
      </c>
      <c r="Y8" s="84">
        <v>0.26637554585152839</v>
      </c>
      <c r="Z8" s="81" t="s">
        <v>182</v>
      </c>
      <c r="AA8" s="84">
        <v>0.22727272727272727</v>
      </c>
      <c r="AB8" s="81" t="s">
        <v>177</v>
      </c>
      <c r="AC8" s="84">
        <v>0.55621301775147924</v>
      </c>
      <c r="AD8" s="81" t="s">
        <v>182</v>
      </c>
      <c r="AE8" s="84">
        <v>0.4</v>
      </c>
      <c r="AF8" s="81" t="s">
        <v>143</v>
      </c>
      <c r="AG8" s="84">
        <v>0.44119743406985035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127</v>
      </c>
      <c r="C9" s="80">
        <v>-48.80000000000021</v>
      </c>
      <c r="D9" s="81" t="s">
        <v>127</v>
      </c>
      <c r="E9" s="93">
        <v>-0.46476190476190676</v>
      </c>
      <c r="F9" s="81" t="s">
        <v>178</v>
      </c>
      <c r="G9" s="82">
        <v>2.0326086956521738</v>
      </c>
      <c r="H9" s="81" t="s">
        <v>166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0.28163992869875221</v>
      </c>
      <c r="N9" s="81" t="s">
        <v>181</v>
      </c>
      <c r="O9" s="84">
        <v>0.16593886462882096</v>
      </c>
      <c r="P9" s="81" t="s">
        <v>179</v>
      </c>
      <c r="Q9" s="85">
        <v>8005.0632911392404</v>
      </c>
      <c r="R9" s="81" t="s">
        <v>178</v>
      </c>
      <c r="S9" s="85">
        <v>-7936.363636363636</v>
      </c>
      <c r="T9" s="81" t="s">
        <v>177</v>
      </c>
      <c r="U9" s="83">
        <v>9.2307692307692313E-2</v>
      </c>
      <c r="V9" s="81" t="s">
        <v>178</v>
      </c>
      <c r="W9" s="83">
        <v>8.6956521739130432E-2</v>
      </c>
      <c r="X9" s="81" t="s">
        <v>143</v>
      </c>
      <c r="Y9" s="84">
        <v>0.25293870696893367</v>
      </c>
      <c r="Z9" s="81" t="s">
        <v>126</v>
      </c>
      <c r="AA9" s="84">
        <v>0.22380467955239064</v>
      </c>
      <c r="AB9" s="81" t="s">
        <v>182</v>
      </c>
      <c r="AC9" s="84">
        <v>0.5423728813559322</v>
      </c>
      <c r="AD9" s="81" t="s">
        <v>179</v>
      </c>
      <c r="AE9" s="84">
        <v>0.3925233644859813</v>
      </c>
      <c r="AF9" s="81" t="s">
        <v>126</v>
      </c>
      <c r="AG9" s="84">
        <v>0.42433234421364985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-5.3647058823529425</v>
      </c>
      <c r="F10" s="81" t="s">
        <v>166</v>
      </c>
      <c r="G10" s="82">
        <v>2.1176470588235294</v>
      </c>
      <c r="H10" s="81" t="s">
        <v>143</v>
      </c>
      <c r="I10" s="83">
        <v>0.33333333333333331</v>
      </c>
      <c r="J10" s="81" t="s">
        <v>179</v>
      </c>
      <c r="K10" s="83">
        <v>0.39393939393939392</v>
      </c>
      <c r="L10" s="81" t="s">
        <v>181</v>
      </c>
      <c r="M10" s="84">
        <v>0.27074235807860264</v>
      </c>
      <c r="N10" s="81" t="s">
        <v>182</v>
      </c>
      <c r="O10" s="84">
        <v>0.18831168831168832</v>
      </c>
      <c r="P10" s="81" t="s">
        <v>182</v>
      </c>
      <c r="Q10" s="85">
        <v>7810.5263157894733</v>
      </c>
      <c r="R10" s="81" t="s">
        <v>222</v>
      </c>
      <c r="S10" s="85">
        <v>-8000</v>
      </c>
      <c r="T10" s="81" t="s">
        <v>143</v>
      </c>
      <c r="U10" s="83">
        <v>9.4736842105263161E-2</v>
      </c>
      <c r="V10" s="81" t="s">
        <v>166</v>
      </c>
      <c r="W10" s="83">
        <v>3.9215686274509803E-2</v>
      </c>
      <c r="X10" s="81" t="s">
        <v>195</v>
      </c>
      <c r="Y10" s="84">
        <v>0.24193548387096775</v>
      </c>
      <c r="Z10" s="81" t="s">
        <v>178</v>
      </c>
      <c r="AA10" s="84">
        <v>0.22040816326530613</v>
      </c>
      <c r="AB10" s="81" t="s">
        <v>195</v>
      </c>
      <c r="AC10" s="84">
        <v>0.53333333333333333</v>
      </c>
      <c r="AD10" s="81" t="s">
        <v>166</v>
      </c>
      <c r="AE10" s="84">
        <v>0.37142857142857144</v>
      </c>
      <c r="AF10" s="81" t="s">
        <v>166</v>
      </c>
      <c r="AG10" s="84">
        <v>0.40833333333333333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-273.60000000000008</v>
      </c>
      <c r="D11" s="81" t="s">
        <v>179</v>
      </c>
      <c r="E11" s="93">
        <v>-6.6954545454545453</v>
      </c>
      <c r="F11" s="81" t="s">
        <v>195</v>
      </c>
      <c r="G11" s="82">
        <v>2.1428571428571428</v>
      </c>
      <c r="H11" s="81" t="s">
        <v>178</v>
      </c>
      <c r="I11" s="83">
        <v>0.2391304347826087</v>
      </c>
      <c r="J11" s="81" t="s">
        <v>166</v>
      </c>
      <c r="K11" s="83">
        <v>0.45098039215686275</v>
      </c>
      <c r="L11" s="81" t="s">
        <v>166</v>
      </c>
      <c r="M11" s="84">
        <v>0.26143790849673204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-8100</v>
      </c>
      <c r="T11" s="81" t="s">
        <v>127</v>
      </c>
      <c r="U11" s="83">
        <v>0.14285714285714285</v>
      </c>
      <c r="V11" s="81" t="s">
        <v>179</v>
      </c>
      <c r="W11" s="83">
        <v>3.0303030303030304E-2</v>
      </c>
      <c r="X11" s="81" t="s">
        <v>127</v>
      </c>
      <c r="Y11" s="84">
        <v>0.23269012485811577</v>
      </c>
      <c r="Z11" s="81" t="s">
        <v>179</v>
      </c>
      <c r="AA11" s="84">
        <v>0.19073083778966132</v>
      </c>
      <c r="AB11" s="81" t="s">
        <v>127</v>
      </c>
      <c r="AC11" s="84">
        <v>0.50731707317073171</v>
      </c>
      <c r="AD11" s="81" t="s">
        <v>127</v>
      </c>
      <c r="AE11" s="84">
        <v>0.36466165413533835</v>
      </c>
      <c r="AF11" s="81" t="s">
        <v>127</v>
      </c>
      <c r="AG11" s="84">
        <v>0.39923954372623577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-441.9</v>
      </c>
      <c r="D12" s="81" t="s">
        <v>182</v>
      </c>
      <c r="E12" s="93">
        <v>-14.783783783783786</v>
      </c>
      <c r="F12" s="81" t="s">
        <v>179</v>
      </c>
      <c r="G12" s="82">
        <v>2.1666666666666665</v>
      </c>
      <c r="H12" s="81" t="s">
        <v>179</v>
      </c>
      <c r="I12" s="83">
        <v>0.22727272727272727</v>
      </c>
      <c r="J12" s="81" t="s">
        <v>182</v>
      </c>
      <c r="K12" s="83">
        <v>0.54054054054054057</v>
      </c>
      <c r="L12" s="81" t="s">
        <v>182</v>
      </c>
      <c r="M12" s="84">
        <v>0.24675324675324675</v>
      </c>
      <c r="N12" s="81" t="s">
        <v>127</v>
      </c>
      <c r="O12" s="84">
        <v>0.1963677639046538</v>
      </c>
      <c r="P12" s="81" t="s">
        <v>222</v>
      </c>
      <c r="Q12" s="85">
        <v>7385.7142857142853</v>
      </c>
      <c r="R12" s="81" t="s">
        <v>127</v>
      </c>
      <c r="S12" s="85">
        <v>-8190.7514450867056</v>
      </c>
      <c r="T12" s="81" t="s">
        <v>182</v>
      </c>
      <c r="U12" s="83">
        <v>0.1891891891891892</v>
      </c>
      <c r="V12" s="81" t="s">
        <v>182</v>
      </c>
      <c r="W12" s="83">
        <v>2.7027027027027029E-2</v>
      </c>
      <c r="X12" s="81" t="s">
        <v>182</v>
      </c>
      <c r="Y12" s="84">
        <v>0.19155844155844157</v>
      </c>
      <c r="Z12" s="81" t="s">
        <v>177</v>
      </c>
      <c r="AA12" s="84">
        <v>0.17890772128060264</v>
      </c>
      <c r="AB12" s="81" t="s">
        <v>166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-547.00000000000011</v>
      </c>
      <c r="D13" s="81" t="s">
        <v>195</v>
      </c>
      <c r="E13" s="93">
        <v>-14.971428571428573</v>
      </c>
      <c r="F13" s="81" t="s">
        <v>182</v>
      </c>
      <c r="G13" s="82">
        <v>2.4054054054054053</v>
      </c>
      <c r="H13" s="81" t="s">
        <v>182</v>
      </c>
      <c r="I13" s="83">
        <v>0.13513513513513514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0.20320855614973263</v>
      </c>
      <c r="P13" s="81" t="s">
        <v>166</v>
      </c>
      <c r="Q13" s="85">
        <v>7172.5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0.15250544662309368</v>
      </c>
      <c r="Z13" s="81" t="s">
        <v>181</v>
      </c>
      <c r="AA13" s="84">
        <v>0.15283842794759825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7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570</v>
      </c>
      <c r="C2" s="149"/>
      <c r="E2" s="58" t="s">
        <v>66</v>
      </c>
      <c r="F2" s="55" t="s">
        <v>22</v>
      </c>
      <c r="G2" s="43">
        <v>1091</v>
      </c>
      <c r="H2" s="128">
        <f>IF(B$17=0,0,G2/B$17)</f>
        <v>0.77761938702779754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-22.927689594356259</v>
      </c>
      <c r="P2" s="114">
        <v>567</v>
      </c>
      <c r="Q2" s="98">
        <v>-13000</v>
      </c>
    </row>
    <row r="3" spans="1:17" x14ac:dyDescent="0.4">
      <c r="A3" s="51" t="s">
        <v>8</v>
      </c>
      <c r="B3" s="150">
        <v>4764</v>
      </c>
      <c r="C3" s="151"/>
      <c r="E3" s="59" t="s">
        <v>72</v>
      </c>
      <c r="F3" s="56" t="s">
        <v>27</v>
      </c>
      <c r="G3" s="44">
        <v>752</v>
      </c>
      <c r="H3" s="129">
        <f>IF(B$17=0,0,G3/B$17)</f>
        <v>0.53599429793300069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9.0090090090090094</v>
      </c>
      <c r="P3" s="115">
        <v>555</v>
      </c>
      <c r="Q3" s="99">
        <v>5000</v>
      </c>
    </row>
    <row r="4" spans="1:17" x14ac:dyDescent="0.4">
      <c r="A4" s="51" t="s">
        <v>6</v>
      </c>
      <c r="B4" s="152">
        <v>-3.5527136788005009E-14</v>
      </c>
      <c r="C4" s="153"/>
      <c r="E4" s="59" t="s">
        <v>64</v>
      </c>
      <c r="F4" s="56" t="s">
        <v>20</v>
      </c>
      <c r="G4" s="44">
        <v>650</v>
      </c>
      <c r="H4" s="129">
        <f>IF(B$17=0,0,G4/B$17)</f>
        <v>0.4632929436920884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-13.257575757575758</v>
      </c>
      <c r="P4" s="115">
        <v>528</v>
      </c>
      <c r="Q4" s="99">
        <v>-7000</v>
      </c>
    </row>
    <row r="5" spans="1:17" x14ac:dyDescent="0.4">
      <c r="A5" s="51" t="s">
        <v>7</v>
      </c>
      <c r="B5" s="154">
        <f>IF(B$2=0,0,B$4/B$2)</f>
        <v>-6.232831015439475E-17</v>
      </c>
      <c r="C5" s="155"/>
      <c r="E5" s="59" t="s">
        <v>171</v>
      </c>
      <c r="F5" s="56" t="s">
        <v>172</v>
      </c>
      <c r="G5" s="44">
        <v>562</v>
      </c>
      <c r="H5" s="129">
        <f>IF(B$17=0,0,G5/B$17)</f>
        <v>0.40057020669992871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8.0321285140562253</v>
      </c>
      <c r="P5" s="115">
        <v>498</v>
      </c>
      <c r="Q5" s="99">
        <v>4000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443</v>
      </c>
      <c r="H6" s="129">
        <f>IF(B$17=0,0,G6/B$17)</f>
        <v>0.31575196008553102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12.987012987012987</v>
      </c>
      <c r="P6" s="115">
        <v>462</v>
      </c>
      <c r="Q6" s="99">
        <v>6000</v>
      </c>
    </row>
    <row r="7" spans="1:17" x14ac:dyDescent="0.4">
      <c r="A7" s="51" t="s">
        <v>2</v>
      </c>
      <c r="B7" s="44">
        <v>190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398</v>
      </c>
      <c r="H7" s="129">
        <f>IF(B$17=0,0,G7/B$17)</f>
        <v>0.28367783321454026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13.227513227513228</v>
      </c>
      <c r="P7" s="116">
        <v>378</v>
      </c>
      <c r="Q7" s="100">
        <v>5000</v>
      </c>
    </row>
    <row r="8" spans="1:17" x14ac:dyDescent="0.4">
      <c r="A8" s="51" t="s">
        <v>3</v>
      </c>
      <c r="B8" s="44">
        <v>190</v>
      </c>
      <c r="C8" s="37">
        <f t="shared" si="1"/>
        <v>0.33333333333333331</v>
      </c>
      <c r="E8" s="59" t="s">
        <v>69</v>
      </c>
      <c r="F8" s="56" t="s">
        <v>24</v>
      </c>
      <c r="G8" s="44">
        <v>213</v>
      </c>
      <c r="H8" s="129">
        <f>IF(B$17=0,0,G8/B$17)</f>
        <v>0.15181753385602281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190</v>
      </c>
      <c r="C9" s="38">
        <f t="shared" si="1"/>
        <v>0.33333333333333331</v>
      </c>
      <c r="E9" s="59" t="s">
        <v>89</v>
      </c>
      <c r="F9" s="56" t="s">
        <v>44</v>
      </c>
      <c r="G9" s="44">
        <v>183</v>
      </c>
      <c r="H9" s="129">
        <f>IF(B$17=0,0,G9/B$17)</f>
        <v>0.13043478260869565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54</v>
      </c>
      <c r="C10" s="38">
        <f t="shared" si="1"/>
        <v>9.4736842105263161E-2</v>
      </c>
      <c r="E10" s="59" t="s">
        <v>65</v>
      </c>
      <c r="F10" s="56" t="s">
        <v>21</v>
      </c>
      <c r="G10" s="44">
        <v>147</v>
      </c>
      <c r="H10" s="129">
        <f>IF(B$17=0,0,G10/B$17)</f>
        <v>0.10477548111190306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-0.79263157894736869</v>
      </c>
      <c r="P10" s="114">
        <v>190</v>
      </c>
      <c r="Q10" s="102">
        <v>-150.60000000000005</v>
      </c>
    </row>
    <row r="11" spans="1:17" x14ac:dyDescent="0.4">
      <c r="A11" s="52" t="s">
        <v>138</v>
      </c>
      <c r="B11" s="45">
        <v>54</v>
      </c>
      <c r="C11" s="38">
        <f t="shared" si="1"/>
        <v>9.4736842105263161E-2</v>
      </c>
      <c r="E11" s="59" t="s">
        <v>70</v>
      </c>
      <c r="F11" s="56" t="s">
        <v>25</v>
      </c>
      <c r="G11" s="44">
        <v>136</v>
      </c>
      <c r="H11" s="129">
        <f>IF(B$17=0,0,G11/B$17)</f>
        <v>9.6935138987883113E-2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0.90157894736842081</v>
      </c>
      <c r="P11" s="115">
        <v>190</v>
      </c>
      <c r="Q11" s="103">
        <v>171.29999999999995</v>
      </c>
    </row>
    <row r="12" spans="1:17" x14ac:dyDescent="0.4">
      <c r="A12" s="53" t="s">
        <v>158</v>
      </c>
      <c r="B12" s="46">
        <v>57</v>
      </c>
      <c r="C12" s="40">
        <f t="shared" si="1"/>
        <v>0.1</v>
      </c>
      <c r="E12" s="59" t="s">
        <v>71</v>
      </c>
      <c r="F12" s="56" t="s">
        <v>26</v>
      </c>
      <c r="G12" s="44">
        <v>109</v>
      </c>
      <c r="H12" s="129">
        <f>IF(B$17=0,0,G12/B$17)</f>
        <v>7.7690662865288668E-2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-0.10894736842105332</v>
      </c>
      <c r="P12" s="116">
        <v>190</v>
      </c>
      <c r="Q12" s="104">
        <v>-20.700000000000131</v>
      </c>
    </row>
    <row r="13" spans="1:17" x14ac:dyDescent="0.4">
      <c r="A13" s="54" t="s">
        <v>121</v>
      </c>
      <c r="B13" s="47">
        <v>1205</v>
      </c>
      <c r="C13" s="42">
        <f>IF(B$3=0,0,B13/B$3)</f>
        <v>0.25293870696893367</v>
      </c>
      <c r="E13" s="59" t="s">
        <v>83</v>
      </c>
      <c r="F13" s="56" t="s">
        <v>38</v>
      </c>
      <c r="G13" s="44">
        <v>75</v>
      </c>
      <c r="H13" s="129">
        <f>IF(B$17=0,0,G13/B$17)</f>
        <v>5.345687811831789E-2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1087</v>
      </c>
      <c r="C14" s="37">
        <f>IF(B$3=0,0,B14/B$3)</f>
        <v>0.22816960537363559</v>
      </c>
      <c r="E14" s="59" t="s">
        <v>86</v>
      </c>
      <c r="F14" s="56" t="s">
        <v>41</v>
      </c>
      <c r="G14" s="44">
        <v>70</v>
      </c>
      <c r="H14" s="129">
        <f>IF(B$17=0,0,G14/B$17)</f>
        <v>4.9893086243763367E-2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677</v>
      </c>
      <c r="C15" s="35">
        <f>IF(B$13=0,0,B15/B$13)</f>
        <v>0.56182572614107884</v>
      </c>
      <c r="E15" s="59" t="s">
        <v>78</v>
      </c>
      <c r="F15" s="56" t="s">
        <v>33</v>
      </c>
      <c r="G15" s="44">
        <v>36</v>
      </c>
      <c r="H15" s="129">
        <f>IF(B$17=0,0,G15/B$17)</f>
        <v>2.5659301496792589E-2</v>
      </c>
      <c r="I15" s="90">
        <v>5</v>
      </c>
      <c r="K15" s="36">
        <v>13</v>
      </c>
      <c r="L15" s="95">
        <v>-1.7</v>
      </c>
      <c r="N15" s="110" t="s">
        <v>195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0" t="s">
        <v>124</v>
      </c>
      <c r="B16" s="43">
        <v>445</v>
      </c>
      <c r="C16" s="35">
        <f>IF(B$14=0,0,B16/B$14)</f>
        <v>0.40938362465501382</v>
      </c>
      <c r="E16" s="59" t="s">
        <v>167</v>
      </c>
      <c r="F16" s="56" t="s">
        <v>168</v>
      </c>
      <c r="G16" s="44">
        <v>33</v>
      </c>
      <c r="H16" s="129">
        <f>IF(B$17=0,0,G16/B$17)</f>
        <v>2.3521026372059873E-2</v>
      </c>
      <c r="I16" s="90">
        <v>3</v>
      </c>
      <c r="K16" s="36">
        <v>14</v>
      </c>
      <c r="L16" s="95">
        <v>24.3</v>
      </c>
      <c r="N16" s="111" t="s">
        <v>182</v>
      </c>
      <c r="O16" s="121">
        <f>IF(P16=0,0,Q16/P16)</f>
        <v>22.175675675675659</v>
      </c>
      <c r="P16" s="115">
        <v>74</v>
      </c>
      <c r="Q16" s="103">
        <v>1640.9999999999989</v>
      </c>
    </row>
    <row r="17" spans="1:17" x14ac:dyDescent="0.4">
      <c r="A17" s="50" t="s">
        <v>10</v>
      </c>
      <c r="B17" s="43">
        <f>B19+B18</f>
        <v>1403</v>
      </c>
      <c r="C17" s="35">
        <f>IF(B$3=0,0,B17/B$3)</f>
        <v>0.2945004198152813</v>
      </c>
      <c r="E17" s="59" t="s">
        <v>81</v>
      </c>
      <c r="F17" s="56" t="s">
        <v>36</v>
      </c>
      <c r="G17" s="44">
        <v>23</v>
      </c>
      <c r="H17" s="129">
        <f>IF(B$17=0,0,G17/B$17)</f>
        <v>1.6393442622950821E-2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10.043181818181816</v>
      </c>
      <c r="P17" s="115">
        <v>132</v>
      </c>
      <c r="Q17" s="103">
        <v>1325.6999999999998</v>
      </c>
    </row>
    <row r="18" spans="1:17" x14ac:dyDescent="0.4">
      <c r="A18" s="51" t="s">
        <v>12</v>
      </c>
      <c r="B18" s="44">
        <v>619</v>
      </c>
      <c r="C18" s="37">
        <f>IF(B$17=0,0,B18/B$17)</f>
        <v>0.44119743406985035</v>
      </c>
      <c r="E18" s="59" t="s">
        <v>91</v>
      </c>
      <c r="F18" s="56" t="s">
        <v>46</v>
      </c>
      <c r="G18" s="44">
        <v>18</v>
      </c>
      <c r="H18" s="129">
        <f>IF(B$17=0,0,G18/B$17)</f>
        <v>1.2829650748396294E-2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8.0470588235294098</v>
      </c>
      <c r="P18" s="115">
        <v>102</v>
      </c>
      <c r="Q18" s="103">
        <v>820.79999999999973</v>
      </c>
    </row>
    <row r="19" spans="1:17" x14ac:dyDescent="0.4">
      <c r="A19" s="51" t="s">
        <v>11</v>
      </c>
      <c r="B19" s="44">
        <v>784</v>
      </c>
      <c r="C19" s="37">
        <f>IF(B$17=0,0,B19/B$17)</f>
        <v>0.55880256593014965</v>
      </c>
      <c r="E19" s="59" t="s">
        <v>79</v>
      </c>
      <c r="F19" s="56" t="s">
        <v>34</v>
      </c>
      <c r="G19" s="44">
        <v>16</v>
      </c>
      <c r="H19" s="129">
        <f>IF(B$17=0,0,G19/B$17)</f>
        <v>1.1404133998574484E-2</v>
      </c>
      <c r="I19" s="90">
        <v>5</v>
      </c>
      <c r="K19" s="36">
        <v>17</v>
      </c>
      <c r="L19" s="95">
        <v>-20.5</v>
      </c>
      <c r="N19" s="111" t="s">
        <v>127</v>
      </c>
      <c r="O19" s="121">
        <f>IF(P19=0,0,Q19/P19)</f>
        <v>0.69714285714285151</v>
      </c>
      <c r="P19" s="115">
        <v>210</v>
      </c>
      <c r="Q19" s="103">
        <v>146.39999999999881</v>
      </c>
    </row>
    <row r="20" spans="1:17" x14ac:dyDescent="0.4">
      <c r="A20" s="51" t="s">
        <v>13</v>
      </c>
      <c r="B20" s="44">
        <v>777</v>
      </c>
      <c r="C20" s="37">
        <f>IF(B$3=0,0,B20/B$3)</f>
        <v>0.16309823677581864</v>
      </c>
      <c r="E20" s="59" t="s">
        <v>75</v>
      </c>
      <c r="F20" s="56" t="s">
        <v>30</v>
      </c>
      <c r="G20" s="44">
        <v>9</v>
      </c>
      <c r="H20" s="129">
        <f>IF(B$17=0,0,G20/B$17)</f>
        <v>6.4148253741981472E-3</v>
      </c>
      <c r="I20" s="90">
        <v>5</v>
      </c>
      <c r="K20" s="36">
        <v>18</v>
      </c>
      <c r="L20" s="95">
        <v>0</v>
      </c>
      <c r="N20" s="111" t="s">
        <v>178</v>
      </c>
      <c r="O20" s="121">
        <f>IF(P20=0,0,Q20/P20)</f>
        <v>0.27880434782608604</v>
      </c>
      <c r="P20" s="115">
        <v>184</v>
      </c>
      <c r="Q20" s="103">
        <v>51.299999999999827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4.9893086243763367E-3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-0.13750000000000018</v>
      </c>
      <c r="P21" s="115">
        <v>48</v>
      </c>
      <c r="Q21" s="103">
        <v>-6.6000000000000085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6</v>
      </c>
      <c r="H22" s="129">
        <f>IF(B$17=0,0,G22/B$17)</f>
        <v>4.2765502494654314E-3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-7.6846153846153822</v>
      </c>
      <c r="P22" s="115">
        <v>130</v>
      </c>
      <c r="Q22" s="103">
        <v>-998.99999999999966</v>
      </c>
    </row>
    <row r="23" spans="1:17" x14ac:dyDescent="0.4">
      <c r="A23" s="51" t="s">
        <v>5</v>
      </c>
      <c r="B23" s="48">
        <f>IF(B$17=0,0,C23/B$17)</f>
        <v>8427.7975766215259</v>
      </c>
      <c r="C23" s="39">
        <v>11824200</v>
      </c>
      <c r="E23" s="59" t="s">
        <v>77</v>
      </c>
      <c r="F23" s="56" t="s">
        <v>32</v>
      </c>
      <c r="G23" s="44">
        <v>5</v>
      </c>
      <c r="H23" s="129">
        <f>IF(B$17=0,0,G23/B$17)</f>
        <v>3.5637918745545262E-3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-13.286776859504132</v>
      </c>
      <c r="P23" s="115">
        <v>242</v>
      </c>
      <c r="Q23" s="103">
        <v>-3215.3999999999996</v>
      </c>
    </row>
    <row r="24" spans="1:17" x14ac:dyDescent="0.4">
      <c r="A24" s="52" t="s">
        <v>216</v>
      </c>
      <c r="B24" s="136">
        <f>IF($B$17-B$16=0,0,C24/($B$17-B$16))</f>
        <v>8943.3194154488519</v>
      </c>
      <c r="C24" s="137">
        <v>8567700</v>
      </c>
      <c r="E24" s="59" t="s">
        <v>85</v>
      </c>
      <c r="F24" s="56" t="s">
        <v>40</v>
      </c>
      <c r="G24" s="44">
        <v>5</v>
      </c>
      <c r="H24" s="129">
        <f>IF(B$17=0,0,G24/B$17)</f>
        <v>3.5637918745545262E-3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7317.9775280898875</v>
      </c>
      <c r="C25" s="137">
        <v>3256500</v>
      </c>
      <c r="E25" s="59" t="s">
        <v>88</v>
      </c>
      <c r="F25" s="56" t="s">
        <v>43</v>
      </c>
      <c r="G25" s="44">
        <v>5</v>
      </c>
      <c r="H25" s="129">
        <f>IF(B$17=0,0,G25/B$17)</f>
        <v>3.5637918745545262E-3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-7836.8082368082369</v>
      </c>
      <c r="C26" s="137">
        <v>-6089200</v>
      </c>
      <c r="E26" s="59" t="s">
        <v>73</v>
      </c>
      <c r="F26" s="56" t="s">
        <v>28</v>
      </c>
      <c r="G26" s="44">
        <v>4</v>
      </c>
      <c r="H26" s="129">
        <f>IF(B$17=0,0,G26/B$17)</f>
        <v>2.851033499643621E-3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2.851033499643621E-3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2.1382751247327157E-3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2.9387069689336691E-3</v>
      </c>
      <c r="E29" s="59" t="s">
        <v>95</v>
      </c>
      <c r="F29" s="56" t="s">
        <v>50</v>
      </c>
      <c r="G29" s="44">
        <v>3</v>
      </c>
      <c r="H29" s="129">
        <f>IF(B$17=0,0,G29/B$17)</f>
        <v>2.1382751247327157E-3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1.4255167498218105E-3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1.4255167498218105E-3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7.1275837491090524E-4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7.1275837491090524E-4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7.1275837491090524E-4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</v>
      </c>
      <c r="C2" s="149"/>
      <c r="E2" s="58" t="s">
        <v>66</v>
      </c>
      <c r="F2" s="55" t="s">
        <v>22</v>
      </c>
      <c r="G2" s="43">
        <v>83</v>
      </c>
      <c r="H2" s="128">
        <f>IF(B$17=0,0,G2/B$17)</f>
        <v>0.69166666666666665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1382.3529411764705</v>
      </c>
      <c r="P2" s="114">
        <v>51</v>
      </c>
      <c r="Q2" s="98">
        <v>70500</v>
      </c>
    </row>
    <row r="3" spans="1:17" x14ac:dyDescent="0.4">
      <c r="A3" s="51" t="s">
        <v>8</v>
      </c>
      <c r="B3" s="150">
        <v>459</v>
      </c>
      <c r="C3" s="151"/>
      <c r="E3" s="59" t="s">
        <v>72</v>
      </c>
      <c r="F3" s="56" t="s">
        <v>27</v>
      </c>
      <c r="G3" s="44">
        <v>64</v>
      </c>
      <c r="H3" s="129">
        <f>IF(B$17=0,0,G3/B$17)</f>
        <v>0.53333333333333333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-948</v>
      </c>
      <c r="P3" s="115">
        <v>50</v>
      </c>
      <c r="Q3" s="99">
        <v>-47400</v>
      </c>
    </row>
    <row r="4" spans="1:17" x14ac:dyDescent="0.4">
      <c r="A4" s="51" t="s">
        <v>6</v>
      </c>
      <c r="B4" s="152">
        <v>-273.60000000000008</v>
      </c>
      <c r="C4" s="153"/>
      <c r="E4" s="59" t="s">
        <v>171</v>
      </c>
      <c r="F4" s="56" t="s">
        <v>172</v>
      </c>
      <c r="G4" s="44">
        <v>46</v>
      </c>
      <c r="H4" s="129">
        <f>IF(B$17=0,0,G4/B$17)</f>
        <v>0.38333333333333336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-1997.9166666666667</v>
      </c>
      <c r="P4" s="115">
        <v>48</v>
      </c>
      <c r="Q4" s="99">
        <v>-95900</v>
      </c>
    </row>
    <row r="5" spans="1:17" x14ac:dyDescent="0.4">
      <c r="A5" s="51" t="s">
        <v>7</v>
      </c>
      <c r="B5" s="154">
        <f>IF(B$2=0,0,B$4/B$2)</f>
        <v>-5.3647058823529425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0.28333333333333333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-1374.4680851063829</v>
      </c>
      <c r="P5" s="115">
        <v>47</v>
      </c>
      <c r="Q5" s="99">
        <v>-64600</v>
      </c>
    </row>
    <row r="6" spans="1:17" x14ac:dyDescent="0.4">
      <c r="A6" s="51" t="s">
        <v>1</v>
      </c>
      <c r="B6" s="144">
        <f>IF(B$2=0,0,(B$7*1+B$8*2+B$9*3)/B$2)</f>
        <v>2.1176470588235294</v>
      </c>
      <c r="C6" s="145"/>
      <c r="E6" s="59" t="s">
        <v>68</v>
      </c>
      <c r="F6" s="56" t="s">
        <v>12</v>
      </c>
      <c r="G6" s="44">
        <v>33</v>
      </c>
      <c r="H6" s="129">
        <f>IF(B$17=0,0,G6/B$17)</f>
        <v>0.27500000000000002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-121.27659574468085</v>
      </c>
      <c r="P6" s="115">
        <v>47</v>
      </c>
      <c r="Q6" s="99">
        <v>-5700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0.33333333333333331</v>
      </c>
      <c r="E7" s="59" t="s">
        <v>69</v>
      </c>
      <c r="F7" s="56" t="s">
        <v>24</v>
      </c>
      <c r="G7" s="44">
        <v>25</v>
      </c>
      <c r="H7" s="129">
        <f>IF(B$17=0,0,G7/B$17)</f>
        <v>0.20833333333333334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-1772.5</v>
      </c>
      <c r="P7" s="116">
        <v>40</v>
      </c>
      <c r="Q7" s="100">
        <v>-70900</v>
      </c>
    </row>
    <row r="8" spans="1:17" x14ac:dyDescent="0.4">
      <c r="A8" s="51" t="s">
        <v>3</v>
      </c>
      <c r="B8" s="44">
        <v>11</v>
      </c>
      <c r="C8" s="37">
        <f t="shared" si="1"/>
        <v>0.21568627450980393</v>
      </c>
      <c r="E8" s="59" t="s">
        <v>67</v>
      </c>
      <c r="F8" s="56" t="s">
        <v>23</v>
      </c>
      <c r="G8" s="44">
        <v>18</v>
      </c>
      <c r="H8" s="129">
        <f>IF(B$17=0,0,G8/B$17)</f>
        <v>0.15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0.45098039215686275</v>
      </c>
      <c r="E9" s="59" t="s">
        <v>70</v>
      </c>
      <c r="F9" s="56" t="s">
        <v>25</v>
      </c>
      <c r="G9" s="44">
        <v>18</v>
      </c>
      <c r="H9" s="129">
        <f>IF(B$17=0,0,G9/B$17)</f>
        <v>0.15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1.9607843137254902E-2</v>
      </c>
      <c r="E10" s="59" t="s">
        <v>71</v>
      </c>
      <c r="F10" s="56" t="s">
        <v>26</v>
      </c>
      <c r="G10" s="44">
        <v>12</v>
      </c>
      <c r="H10" s="129">
        <f>IF(B$17=0,0,G10/B$17)</f>
        <v>0.1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-7.0944444444444432</v>
      </c>
      <c r="P10" s="114">
        <v>18</v>
      </c>
      <c r="Q10" s="102">
        <v>-127.69999999999997</v>
      </c>
    </row>
    <row r="11" spans="1:17" x14ac:dyDescent="0.4">
      <c r="A11" s="52" t="s">
        <v>138</v>
      </c>
      <c r="B11" s="45">
        <v>2</v>
      </c>
      <c r="C11" s="38">
        <f t="shared" si="1"/>
        <v>3.9215686274509803E-2</v>
      </c>
      <c r="E11" s="59" t="s">
        <v>83</v>
      </c>
      <c r="F11" s="56" t="s">
        <v>38</v>
      </c>
      <c r="G11" s="44">
        <v>12</v>
      </c>
      <c r="H11" s="129">
        <f>IF(B$17=0,0,G11/B$17)</f>
        <v>0.1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0.15686274509803921</v>
      </c>
      <c r="E12" s="59" t="s">
        <v>65</v>
      </c>
      <c r="F12" s="56" t="s">
        <v>21</v>
      </c>
      <c r="G12" s="44">
        <v>9</v>
      </c>
      <c r="H12" s="129">
        <f>IF(B$17=0,0,G12/B$17)</f>
        <v>7.4999999999999997E-2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-5.3055555555555545</v>
      </c>
      <c r="P12" s="116">
        <v>18</v>
      </c>
      <c r="Q12" s="104">
        <v>-95.499999999999986</v>
      </c>
    </row>
    <row r="13" spans="1:17" x14ac:dyDescent="0.4">
      <c r="A13" s="54" t="s">
        <v>121</v>
      </c>
      <c r="B13" s="47">
        <v>70</v>
      </c>
      <c r="C13" s="42">
        <f>IF(B$3=0,0,B13/B$3)</f>
        <v>0.15250544662309368</v>
      </c>
      <c r="E13" s="59" t="s">
        <v>89</v>
      </c>
      <c r="F13" s="56" t="s">
        <v>44</v>
      </c>
      <c r="G13" s="44">
        <v>8</v>
      </c>
      <c r="H13" s="129">
        <f>IF(B$17=0,0,G13/B$17)</f>
        <v>6.6666666666666666E-2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105</v>
      </c>
      <c r="C14" s="37">
        <f>IF(B$3=0,0,B14/B$3)</f>
        <v>0.22875816993464052</v>
      </c>
      <c r="E14" s="59" t="s">
        <v>81</v>
      </c>
      <c r="F14" s="56" t="s">
        <v>36</v>
      </c>
      <c r="G14" s="44">
        <v>4</v>
      </c>
      <c r="H14" s="129">
        <f>IF(B$17=0,0,G14/B$17)</f>
        <v>3.3333333333333333E-2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</v>
      </c>
      <c r="E15" s="59" t="s">
        <v>86</v>
      </c>
      <c r="F15" s="56" t="s">
        <v>41</v>
      </c>
      <c r="G15" s="44">
        <v>4</v>
      </c>
      <c r="H15" s="129">
        <f>IF(B$17=0,0,G15/B$17)</f>
        <v>3.3333333333333333E-2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39</v>
      </c>
      <c r="C16" s="35">
        <f>IF(B$14=0,0,B16/B$14)</f>
        <v>0.37142857142857144</v>
      </c>
      <c r="E16" s="59" t="s">
        <v>91</v>
      </c>
      <c r="F16" s="56" t="s">
        <v>46</v>
      </c>
      <c r="G16" s="44">
        <v>3</v>
      </c>
      <c r="H16" s="129">
        <f>IF(B$17=0,0,G16/B$17)</f>
        <v>2.5000000000000001E-2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-2.5681818181818188</v>
      </c>
      <c r="P16" s="115">
        <v>22</v>
      </c>
      <c r="Q16" s="103">
        <v>-56.500000000000014</v>
      </c>
    </row>
    <row r="17" spans="1:17" x14ac:dyDescent="0.4">
      <c r="A17" s="50" t="s">
        <v>10</v>
      </c>
      <c r="B17" s="43">
        <f>B19+B18</f>
        <v>120</v>
      </c>
      <c r="C17" s="35">
        <f>IF(B$3=0,0,B17/B$3)</f>
        <v>0.26143790849673204</v>
      </c>
      <c r="E17" s="59" t="s">
        <v>88</v>
      </c>
      <c r="F17" s="56" t="s">
        <v>43</v>
      </c>
      <c r="G17" s="44">
        <v>2</v>
      </c>
      <c r="H17" s="129">
        <f>IF(B$17=0,0,G17/B$17)</f>
        <v>1.6666666666666666E-2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 t="shared" si="2"/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49</v>
      </c>
      <c r="C18" s="37">
        <f>IF(B$17=0,0,B18/B$17)</f>
        <v>0.40833333333333333</v>
      </c>
      <c r="E18" s="59" t="s">
        <v>74</v>
      </c>
      <c r="F18" s="56" t="s">
        <v>29</v>
      </c>
      <c r="G18" s="44">
        <v>1</v>
      </c>
      <c r="H18" s="129">
        <f>IF(B$17=0,0,G18/B$17)</f>
        <v>8.3333333333333332E-3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 t="shared" si="2"/>
        <v>-5.2892857142857155</v>
      </c>
      <c r="P18" s="115">
        <v>28</v>
      </c>
      <c r="Q18" s="103">
        <v>-148.10000000000002</v>
      </c>
    </row>
    <row r="19" spans="1:17" x14ac:dyDescent="0.4">
      <c r="A19" s="51" t="s">
        <v>11</v>
      </c>
      <c r="B19" s="44">
        <v>71</v>
      </c>
      <c r="C19" s="37">
        <f>IF(B$17=0,0,B19/B$17)</f>
        <v>0.59166666666666667</v>
      </c>
      <c r="E19" s="59" t="s">
        <v>75</v>
      </c>
      <c r="F19" s="56" t="s">
        <v>30</v>
      </c>
      <c r="G19" s="44">
        <v>1</v>
      </c>
      <c r="H19" s="129">
        <f>IF(B$17=0,0,G19/B$17)</f>
        <v>8.3333333333333332E-3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70</v>
      </c>
      <c r="C20" s="37">
        <f>IF(B$3=0,0,B20/B$3)</f>
        <v>0.15250544662309368</v>
      </c>
      <c r="E20" s="59" t="s">
        <v>77</v>
      </c>
      <c r="F20" s="56" t="s">
        <v>32</v>
      </c>
      <c r="G20" s="44">
        <v>1</v>
      </c>
      <c r="H20" s="129">
        <f>IF(B$17=0,0,G20/B$17)</f>
        <v>8.3333333333333332E-3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-27.133333333333329</v>
      </c>
      <c r="P20" s="115">
        <v>9</v>
      </c>
      <c r="Q20" s="103">
        <v>-244.19999999999996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93</v>
      </c>
      <c r="F21" s="56" t="s">
        <v>48</v>
      </c>
      <c r="G21" s="44">
        <v>1</v>
      </c>
      <c r="H21" s="129">
        <f>IF(B$17=0,0,G21/B$17)</f>
        <v>8.3333333333333332E-3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-27.433333333333326</v>
      </c>
      <c r="P21" s="115">
        <v>6</v>
      </c>
      <c r="Q21" s="103">
        <v>-164.59999999999997</v>
      </c>
    </row>
    <row r="22" spans="1:17" x14ac:dyDescent="0.4">
      <c r="A22" s="51" t="s">
        <v>170</v>
      </c>
      <c r="B22" s="44">
        <v>32</v>
      </c>
      <c r="C22" s="131">
        <v>5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7172.5</v>
      </c>
      <c r="C23" s="39">
        <v>860700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7424.691358024691</v>
      </c>
      <c r="C24" s="137">
        <v>601400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6648.7179487179483</v>
      </c>
      <c r="C25" s="137">
        <v>259300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-6974.2857142857147</v>
      </c>
      <c r="C26" s="137">
        <v>-488200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4.3572984749455342E-3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</sheetData>
  <sortState xmlns:xlrd2="http://schemas.microsoft.com/office/spreadsheetml/2017/richdata2" ref="E2:I5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121</v>
      </c>
      <c r="C2" s="149"/>
      <c r="E2" s="58" t="s">
        <v>66</v>
      </c>
      <c r="F2" s="55" t="s">
        <v>22</v>
      </c>
      <c r="G2" s="43">
        <v>227</v>
      </c>
      <c r="H2" s="128">
        <f>IF(B$17=0,0,G2/B$17)</f>
        <v>0.67359050445103863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1340.8333333333333</v>
      </c>
      <c r="P2" s="114">
        <v>120</v>
      </c>
      <c r="Q2" s="98">
        <v>160900</v>
      </c>
    </row>
    <row r="3" spans="1:17" x14ac:dyDescent="0.4">
      <c r="A3" s="51" t="s">
        <v>8</v>
      </c>
      <c r="B3" s="150">
        <v>983</v>
      </c>
      <c r="C3" s="151"/>
      <c r="E3" s="59" t="s">
        <v>72</v>
      </c>
      <c r="F3" s="56" t="s">
        <v>27</v>
      </c>
      <c r="G3" s="44">
        <v>169</v>
      </c>
      <c r="H3" s="129">
        <f>IF(B$17=0,0,G3/B$17)</f>
        <v>0.50148367952522255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922.22222222222217</v>
      </c>
      <c r="P3" s="115">
        <v>117</v>
      </c>
      <c r="Q3" s="99">
        <v>107900</v>
      </c>
    </row>
    <row r="4" spans="1:17" x14ac:dyDescent="0.4">
      <c r="A4" s="51" t="s">
        <v>6</v>
      </c>
      <c r="B4" s="152">
        <v>1071.8</v>
      </c>
      <c r="C4" s="153"/>
      <c r="E4" s="59" t="s">
        <v>64</v>
      </c>
      <c r="F4" s="56" t="s">
        <v>20</v>
      </c>
      <c r="G4" s="44">
        <v>149</v>
      </c>
      <c r="H4" s="129">
        <f>IF(B$17=0,0,G4/B$17)</f>
        <v>0.44213649851632048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986.72566371681421</v>
      </c>
      <c r="P4" s="115">
        <v>113</v>
      </c>
      <c r="Q4" s="99">
        <v>111500</v>
      </c>
    </row>
    <row r="5" spans="1:17" x14ac:dyDescent="0.4">
      <c r="A5" s="51" t="s">
        <v>7</v>
      </c>
      <c r="B5" s="154">
        <f>IF(B$2=0,0,B$4/B$2)</f>
        <v>8.8578512396694205</v>
      </c>
      <c r="C5" s="155"/>
      <c r="E5" s="59" t="s">
        <v>171</v>
      </c>
      <c r="F5" s="56" t="s">
        <v>172</v>
      </c>
      <c r="G5" s="44">
        <v>127</v>
      </c>
      <c r="H5" s="129">
        <f>IF(B$17=0,0,G5/B$17)</f>
        <v>0.37685459940652821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175.96153846153845</v>
      </c>
      <c r="P5" s="115">
        <v>104</v>
      </c>
      <c r="Q5" s="99">
        <v>18300</v>
      </c>
    </row>
    <row r="6" spans="1:17" x14ac:dyDescent="0.4">
      <c r="A6" s="51" t="s">
        <v>1</v>
      </c>
      <c r="B6" s="144">
        <f>IF(B$2=0,0,(B$7*1+B$8*2+B$9*3)/B$2)</f>
        <v>1.7851239669421488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0.29376854599406527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1991.7525773195875</v>
      </c>
      <c r="P6" s="115">
        <v>97</v>
      </c>
      <c r="Q6" s="99">
        <v>193200</v>
      </c>
    </row>
    <row r="7" spans="1:17" x14ac:dyDescent="0.4">
      <c r="A7" s="51" t="s">
        <v>2</v>
      </c>
      <c r="B7" s="44">
        <v>55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83</v>
      </c>
      <c r="H7" s="129">
        <f>IF(B$17=0,0,G7/B$17)</f>
        <v>0.24629080118694363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37</v>
      </c>
      <c r="C8" s="37">
        <f t="shared" si="1"/>
        <v>0.30578512396694213</v>
      </c>
      <c r="E8" s="59" t="s">
        <v>89</v>
      </c>
      <c r="F8" s="56" t="s">
        <v>44</v>
      </c>
      <c r="G8" s="44">
        <v>53</v>
      </c>
      <c r="H8" s="129">
        <f>IF(B$17=0,0,G8/B$17)</f>
        <v>0.15727002967359049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0.23966942148760331</v>
      </c>
      <c r="E9" s="59" t="s">
        <v>69</v>
      </c>
      <c r="F9" s="56" t="s">
        <v>24</v>
      </c>
      <c r="G9" s="44">
        <v>52</v>
      </c>
      <c r="H9" s="129">
        <f>IF(B$17=0,0,G9/B$17)</f>
        <v>0.1543026706231454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4.1322314049586778E-2</v>
      </c>
      <c r="E10" s="59" t="s">
        <v>65</v>
      </c>
      <c r="F10" s="56" t="s">
        <v>21</v>
      </c>
      <c r="G10" s="44">
        <v>40</v>
      </c>
      <c r="H10" s="129">
        <f>IF(B$17=0,0,G10/B$17)</f>
        <v>0.11869436201780416</v>
      </c>
      <c r="I10" s="90">
        <v>3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0.12396694214876033</v>
      </c>
      <c r="E11" s="59" t="s">
        <v>71</v>
      </c>
      <c r="F11" s="56" t="s">
        <v>26</v>
      </c>
      <c r="G11" s="44">
        <v>23</v>
      </c>
      <c r="H11" s="129">
        <f>IF(B$17=0,0,G11/B$17)</f>
        <v>6.8249258160237386E-2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13</v>
      </c>
      <c r="C12" s="40">
        <f t="shared" si="1"/>
        <v>0.10743801652892562</v>
      </c>
      <c r="E12" s="59" t="s">
        <v>86</v>
      </c>
      <c r="F12" s="56" t="s">
        <v>41</v>
      </c>
      <c r="G12" s="44">
        <v>19</v>
      </c>
      <c r="H12" s="129">
        <f>IF(B$17=0,0,G12/B$17)</f>
        <v>5.637982195845697E-2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11.630232558139532</v>
      </c>
      <c r="P12" s="116">
        <v>43</v>
      </c>
      <c r="Q12" s="104">
        <v>500.09999999999985</v>
      </c>
    </row>
    <row r="13" spans="1:17" x14ac:dyDescent="0.4">
      <c r="A13" s="54" t="s">
        <v>121</v>
      </c>
      <c r="B13" s="47">
        <v>266</v>
      </c>
      <c r="C13" s="42">
        <f>IF(B$3=0,0,B13/B$3)</f>
        <v>0.27060020345879959</v>
      </c>
      <c r="E13" s="59" t="s">
        <v>70</v>
      </c>
      <c r="F13" s="56" t="s">
        <v>25</v>
      </c>
      <c r="G13" s="44">
        <v>18</v>
      </c>
      <c r="H13" s="129">
        <f>IF(B$17=0,0,G13/B$17)</f>
        <v>5.3412462908011868E-2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220</v>
      </c>
      <c r="C14" s="37">
        <f>IF(B$3=0,0,B14/B$3)</f>
        <v>0.22380467955239064</v>
      </c>
      <c r="E14" s="59" t="s">
        <v>83</v>
      </c>
      <c r="F14" s="56" t="s">
        <v>38</v>
      </c>
      <c r="G14" s="44">
        <v>15</v>
      </c>
      <c r="H14" s="129">
        <f>IF(B$17=0,0,G14/B$17)</f>
        <v>4.4510385756676561E-2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159</v>
      </c>
      <c r="C15" s="35">
        <f>IF(B$13=0,0,B15/B$13)</f>
        <v>0.59774436090225569</v>
      </c>
      <c r="E15" s="59" t="s">
        <v>78</v>
      </c>
      <c r="F15" s="56" t="s">
        <v>33</v>
      </c>
      <c r="G15" s="44">
        <v>14</v>
      </c>
      <c r="H15" s="129">
        <f>IF(B$17=0,0,G15/B$17)</f>
        <v>4.1543026706231452E-2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107</v>
      </c>
      <c r="C16" s="35">
        <f>IF(B$14=0,0,B16/B$14)</f>
        <v>0.48636363636363639</v>
      </c>
      <c r="E16" s="59" t="s">
        <v>167</v>
      </c>
      <c r="F16" s="56" t="s">
        <v>168</v>
      </c>
      <c r="G16" s="44">
        <v>13</v>
      </c>
      <c r="H16" s="129">
        <f>IF(B$17=0,0,G16/B$17)</f>
        <v>3.857566765578635E-2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337</v>
      </c>
      <c r="C17" s="35">
        <f>IF(B$3=0,0,B17/B$3)</f>
        <v>0.34282807731434384</v>
      </c>
      <c r="E17" s="59" t="s">
        <v>77</v>
      </c>
      <c r="F17" s="56" t="s">
        <v>32</v>
      </c>
      <c r="G17" s="44">
        <v>3</v>
      </c>
      <c r="H17" s="129">
        <f>IF(B$17=0,0,G17/B$17)</f>
        <v>8.9020771513353119E-3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143</v>
      </c>
      <c r="C18" s="37">
        <f>IF(B$17=0,0,B18/B$17)</f>
        <v>0.42433234421364985</v>
      </c>
      <c r="E18" s="59" t="s">
        <v>84</v>
      </c>
      <c r="F18" s="56" t="s">
        <v>39</v>
      </c>
      <c r="G18" s="44">
        <v>3</v>
      </c>
      <c r="H18" s="129">
        <f>IF(B$17=0,0,G18/B$17)</f>
        <v>8.9020771513353119E-3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194</v>
      </c>
      <c r="C19" s="37">
        <f>IF(B$17=0,0,B19/B$17)</f>
        <v>0.57566765578635015</v>
      </c>
      <c r="E19" s="59" t="s">
        <v>92</v>
      </c>
      <c r="F19" s="56" t="s">
        <v>47</v>
      </c>
      <c r="G19" s="44">
        <v>3</v>
      </c>
      <c r="H19" s="129">
        <f>IF(B$17=0,0,G19/B$17)</f>
        <v>8.9020771513353119E-3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127</v>
      </c>
      <c r="C20" s="37">
        <f>IF(B$3=0,0,B20/B$3)</f>
        <v>0.12919633774160733</v>
      </c>
      <c r="E20" s="59" t="s">
        <v>75</v>
      </c>
      <c r="F20" s="56" t="s">
        <v>30</v>
      </c>
      <c r="G20" s="44">
        <v>2</v>
      </c>
      <c r="H20" s="129">
        <f>IF(B$17=0,0,G20/B$17)</f>
        <v>5.9347181008902079E-3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5.9347181008902079E-3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-8.0814814814814806</v>
      </c>
      <c r="P21" s="115">
        <v>27</v>
      </c>
      <c r="Q21" s="103">
        <v>-218.2</v>
      </c>
    </row>
    <row r="22" spans="1:17" x14ac:dyDescent="0.4">
      <c r="A22" s="51" t="s">
        <v>170</v>
      </c>
      <c r="B22" s="44">
        <v>43</v>
      </c>
      <c r="C22" s="131">
        <v>6</v>
      </c>
      <c r="E22" s="59" t="s">
        <v>81</v>
      </c>
      <c r="F22" s="56" t="s">
        <v>36</v>
      </c>
      <c r="G22" s="44">
        <v>2</v>
      </c>
      <c r="H22" s="129">
        <f>IF(B$17=0,0,G22/B$17)</f>
        <v>5.9347181008902079E-3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8289.0207715133529</v>
      </c>
      <c r="C23" s="39">
        <v>2793400</v>
      </c>
      <c r="E23" s="59" t="s">
        <v>85</v>
      </c>
      <c r="F23" s="56" t="s">
        <v>40</v>
      </c>
      <c r="G23" s="44">
        <v>2</v>
      </c>
      <c r="H23" s="129">
        <f>IF(B$17=0,0,G23/B$17)</f>
        <v>5.9347181008902079E-3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8550.434782608696</v>
      </c>
      <c r="C24" s="137">
        <v>1966600</v>
      </c>
      <c r="E24" s="59" t="s">
        <v>88</v>
      </c>
      <c r="F24" s="56" t="s">
        <v>43</v>
      </c>
      <c r="G24" s="44">
        <v>2</v>
      </c>
      <c r="H24" s="129">
        <f>IF(B$17=0,0,G24/B$17)</f>
        <v>5.9347181008902079E-3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7727.1028037383176</v>
      </c>
      <c r="C25" s="137">
        <v>826800</v>
      </c>
      <c r="E25" s="59" t="s">
        <v>91</v>
      </c>
      <c r="F25" s="56" t="s">
        <v>46</v>
      </c>
      <c r="G25" s="44">
        <v>2</v>
      </c>
      <c r="H25" s="129">
        <f>IF(B$17=0,0,G25/B$17)</f>
        <v>5.9347181008902079E-3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-7880.3149606299212</v>
      </c>
      <c r="C26" s="137">
        <v>-1000800</v>
      </c>
      <c r="E26" s="59" t="s">
        <v>74</v>
      </c>
      <c r="F26" s="56" t="s">
        <v>29</v>
      </c>
      <c r="G26" s="44">
        <v>1</v>
      </c>
      <c r="H26" s="129">
        <f>IF(B$17=0,0,G26/B$17)</f>
        <v>2.967359050445104E-3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2.967359050445104E-3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2.967359050445104E-3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1.017293997965412E-3</v>
      </c>
      <c r="E29" s="59" t="s">
        <v>106</v>
      </c>
      <c r="F29" s="56" t="s">
        <v>113</v>
      </c>
      <c r="G29" s="44">
        <v>1</v>
      </c>
      <c r="H29" s="129">
        <f>IF(B$17=0,0,G29/B$17)</f>
        <v>2.967359050445104E-3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105</v>
      </c>
      <c r="C2" s="149"/>
      <c r="E2" s="58" t="s">
        <v>66</v>
      </c>
      <c r="F2" s="55" t="s">
        <v>22</v>
      </c>
      <c r="G2" s="43">
        <v>239</v>
      </c>
      <c r="H2" s="128">
        <f>IF(B$17=0,0,G2/B$17)</f>
        <v>0.90874524714828897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-1930.7692307692307</v>
      </c>
      <c r="P2" s="114">
        <v>104</v>
      </c>
      <c r="Q2" s="98">
        <v>-200800</v>
      </c>
    </row>
    <row r="3" spans="1:17" x14ac:dyDescent="0.4">
      <c r="A3" s="51" t="s">
        <v>8</v>
      </c>
      <c r="B3" s="150">
        <v>881</v>
      </c>
      <c r="C3" s="151"/>
      <c r="E3" s="59" t="s">
        <v>72</v>
      </c>
      <c r="F3" s="56" t="s">
        <v>27</v>
      </c>
      <c r="G3" s="44">
        <v>153</v>
      </c>
      <c r="H3" s="129">
        <f>IF(B$17=0,0,G3/B$17)</f>
        <v>0.58174904942965777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1042.1568627450981</v>
      </c>
      <c r="P3" s="115">
        <v>102</v>
      </c>
      <c r="Q3" s="99">
        <v>106300</v>
      </c>
    </row>
    <row r="4" spans="1:17" x14ac:dyDescent="0.4">
      <c r="A4" s="51" t="s">
        <v>6</v>
      </c>
      <c r="B4" s="152">
        <v>-48.80000000000021</v>
      </c>
      <c r="C4" s="153"/>
      <c r="E4" s="59" t="s">
        <v>171</v>
      </c>
      <c r="F4" s="56" t="s">
        <v>172</v>
      </c>
      <c r="G4" s="44">
        <v>111</v>
      </c>
      <c r="H4" s="129">
        <f>IF(B$17=0,0,G4/B$17)</f>
        <v>0.4220532319391635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220.83333333333334</v>
      </c>
      <c r="P4" s="115">
        <v>96</v>
      </c>
      <c r="Q4" s="99">
        <v>21200</v>
      </c>
    </row>
    <row r="5" spans="1:17" x14ac:dyDescent="0.4">
      <c r="A5" s="51" t="s">
        <v>7</v>
      </c>
      <c r="B5" s="154">
        <f>IF(B$2=0,0,B$4/B$2)</f>
        <v>-0.46476190476190676</v>
      </c>
      <c r="C5" s="155"/>
      <c r="E5" s="59" t="s">
        <v>64</v>
      </c>
      <c r="F5" s="56" t="s">
        <v>20</v>
      </c>
      <c r="G5" s="44">
        <v>105</v>
      </c>
      <c r="H5" s="129">
        <f>IF(B$17=0,0,G5/B$17)</f>
        <v>0.39923954372623577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693.33333333333337</v>
      </c>
      <c r="P5" s="115">
        <v>90</v>
      </c>
      <c r="Q5" s="99">
        <v>62400</v>
      </c>
    </row>
    <row r="6" spans="1:17" x14ac:dyDescent="0.4">
      <c r="A6" s="51" t="s">
        <v>1</v>
      </c>
      <c r="B6" s="144">
        <f>IF(B$2=0,0,(B$7*1+B$8*2+B$9*3)/B$2)</f>
        <v>1.980952380952381</v>
      </c>
      <c r="C6" s="145"/>
      <c r="E6" s="59" t="s">
        <v>68</v>
      </c>
      <c r="F6" s="56" t="s">
        <v>12</v>
      </c>
      <c r="G6" s="44">
        <v>73</v>
      </c>
      <c r="H6" s="129">
        <f>IF(B$17=0,0,G6/B$17)</f>
        <v>0.27756653992395436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-1071.0843373493976</v>
      </c>
      <c r="P6" s="115">
        <v>83</v>
      </c>
      <c r="Q6" s="99">
        <v>-88900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0.34285714285714286</v>
      </c>
      <c r="E7" s="59" t="s">
        <v>67</v>
      </c>
      <c r="F7" s="56" t="s">
        <v>23</v>
      </c>
      <c r="G7" s="44">
        <v>56</v>
      </c>
      <c r="H7" s="129">
        <f>IF(B$17=0,0,G7/B$17)</f>
        <v>0.21292775665399238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1361.4285714285713</v>
      </c>
      <c r="P7" s="116">
        <v>70</v>
      </c>
      <c r="Q7" s="100">
        <v>95300</v>
      </c>
    </row>
    <row r="8" spans="1:17" x14ac:dyDescent="0.4">
      <c r="A8" s="51" t="s">
        <v>3</v>
      </c>
      <c r="B8" s="44">
        <v>35</v>
      </c>
      <c r="C8" s="37">
        <f t="shared" si="1"/>
        <v>0.33333333333333331</v>
      </c>
      <c r="E8" s="59" t="s">
        <v>89</v>
      </c>
      <c r="F8" s="56" t="s">
        <v>44</v>
      </c>
      <c r="G8" s="44">
        <v>32</v>
      </c>
      <c r="H8" s="129">
        <f>IF(B$17=0,0,G8/B$17)</f>
        <v>0.12167300380228137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0.32380952380952382</v>
      </c>
      <c r="E9" s="59" t="s">
        <v>69</v>
      </c>
      <c r="F9" s="56" t="s">
        <v>24</v>
      </c>
      <c r="G9" s="44">
        <v>30</v>
      </c>
      <c r="H9" s="129">
        <f>IF(B$17=0,0,G9/B$17)</f>
        <v>0.11406844106463879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0.14285714285714285</v>
      </c>
      <c r="E10" s="59" t="s">
        <v>65</v>
      </c>
      <c r="F10" s="56" t="s">
        <v>21</v>
      </c>
      <c r="G10" s="44">
        <v>26</v>
      </c>
      <c r="H10" s="129">
        <f>IF(B$17=0,0,G10/B$17)</f>
        <v>9.8859315589353611E-2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1.3961538461538472</v>
      </c>
      <c r="P10" s="114">
        <v>26</v>
      </c>
      <c r="Q10" s="102">
        <v>36.300000000000026</v>
      </c>
    </row>
    <row r="11" spans="1:17" x14ac:dyDescent="0.4">
      <c r="A11" s="52" t="s">
        <v>138</v>
      </c>
      <c r="B11" s="45">
        <v>10</v>
      </c>
      <c r="C11" s="38">
        <f t="shared" si="1"/>
        <v>9.5238095238095233E-2</v>
      </c>
      <c r="E11" s="59" t="s">
        <v>70</v>
      </c>
      <c r="F11" s="56" t="s">
        <v>25</v>
      </c>
      <c r="G11" s="44">
        <v>23</v>
      </c>
      <c r="H11" s="129">
        <f>IF(B$17=0,0,G11/B$17)</f>
        <v>8.7452471482889732E-2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3.7781250000000011</v>
      </c>
      <c r="P11" s="115">
        <v>32</v>
      </c>
      <c r="Q11" s="103">
        <v>120.90000000000003</v>
      </c>
    </row>
    <row r="12" spans="1:17" x14ac:dyDescent="0.4">
      <c r="A12" s="53" t="s">
        <v>158</v>
      </c>
      <c r="B12" s="46">
        <v>17</v>
      </c>
      <c r="C12" s="40">
        <f t="shared" si="1"/>
        <v>0.16190476190476191</v>
      </c>
      <c r="E12" s="59" t="s">
        <v>71</v>
      </c>
      <c r="F12" s="56" t="s">
        <v>26</v>
      </c>
      <c r="G12" s="44">
        <v>22</v>
      </c>
      <c r="H12" s="129">
        <f>IF(B$17=0,0,G12/B$17)</f>
        <v>8.3650190114068435E-2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205</v>
      </c>
      <c r="C13" s="42">
        <f>IF(B$3=0,0,B13/B$3)</f>
        <v>0.23269012485811577</v>
      </c>
      <c r="E13" s="59" t="s">
        <v>86</v>
      </c>
      <c r="F13" s="56" t="s">
        <v>41</v>
      </c>
      <c r="G13" s="44">
        <v>18</v>
      </c>
      <c r="H13" s="129">
        <f>IF(B$17=0,0,G13/B$17)</f>
        <v>6.8441064638783272E-2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266</v>
      </c>
      <c r="C14" s="37">
        <f>IF(B$3=0,0,B14/B$3)</f>
        <v>0.30192962542565266</v>
      </c>
      <c r="E14" s="59" t="s">
        <v>83</v>
      </c>
      <c r="F14" s="56" t="s">
        <v>38</v>
      </c>
      <c r="G14" s="44">
        <v>15</v>
      </c>
      <c r="H14" s="129">
        <f>IF(B$17=0,0,G14/B$17)</f>
        <v>5.7034220532319393E-2</v>
      </c>
      <c r="I14" s="90">
        <v>5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104</v>
      </c>
      <c r="C15" s="35">
        <f>IF(B$13=0,0,B15/B$13)</f>
        <v>0.50731707317073171</v>
      </c>
      <c r="E15" s="59" t="s">
        <v>78</v>
      </c>
      <c r="F15" s="56" t="s">
        <v>33</v>
      </c>
      <c r="G15" s="44">
        <v>8</v>
      </c>
      <c r="H15" s="129">
        <f>IF(B$17=0,0,G15/B$17)</f>
        <v>3.0418250950570342E-2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97</v>
      </c>
      <c r="C16" s="35">
        <f>IF(B$14=0,0,B16/B$14)</f>
        <v>0.36466165413533835</v>
      </c>
      <c r="E16" s="59" t="s">
        <v>91</v>
      </c>
      <c r="F16" s="56" t="s">
        <v>46</v>
      </c>
      <c r="G16" s="44">
        <v>8</v>
      </c>
      <c r="H16" s="129">
        <f>IF(B$17=0,0,G16/B$17)</f>
        <v>3.0418250950570342E-2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2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263</v>
      </c>
      <c r="C17" s="35">
        <f>IF(B$3=0,0,B17/B$3)</f>
        <v>0.29852440408626563</v>
      </c>
      <c r="E17" s="59" t="s">
        <v>81</v>
      </c>
      <c r="F17" s="56" t="s">
        <v>36</v>
      </c>
      <c r="G17" s="44">
        <v>6</v>
      </c>
      <c r="H17" s="129">
        <f>IF(B$17=0,0,G17/B$17)</f>
        <v>2.2813688212927757E-2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105</v>
      </c>
      <c r="C18" s="37">
        <f>IF(B$17=0,0,B18/B$17)</f>
        <v>0.39923954372623577</v>
      </c>
      <c r="E18" s="59" t="s">
        <v>79</v>
      </c>
      <c r="F18" s="56" t="s">
        <v>34</v>
      </c>
      <c r="G18" s="44">
        <v>5</v>
      </c>
      <c r="H18" s="129">
        <f>IF(B$17=0,0,G18/B$17)</f>
        <v>1.9011406844106463E-2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 t="shared" si="2"/>
        <v>12.449999999999998</v>
      </c>
      <c r="P18" s="115">
        <v>32</v>
      </c>
      <c r="Q18" s="103">
        <v>398.39999999999992</v>
      </c>
    </row>
    <row r="19" spans="1:17" x14ac:dyDescent="0.4">
      <c r="A19" s="51" t="s">
        <v>11</v>
      </c>
      <c r="B19" s="44">
        <v>158</v>
      </c>
      <c r="C19" s="37">
        <f>IF(B$17=0,0,B19/B$17)</f>
        <v>0.60076045627376429</v>
      </c>
      <c r="E19" s="59" t="s">
        <v>167</v>
      </c>
      <c r="F19" s="56" t="s">
        <v>168</v>
      </c>
      <c r="G19" s="44">
        <v>3</v>
      </c>
      <c r="H19" s="129">
        <f>IF(B$17=0,0,G19/B$17)</f>
        <v>1.1406844106463879E-2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 t="shared" si="2"/>
        <v>4.3615384615384674</v>
      </c>
      <c r="P19" s="115">
        <v>26</v>
      </c>
      <c r="Q19" s="103">
        <v>113.40000000000016</v>
      </c>
    </row>
    <row r="20" spans="1:17" x14ac:dyDescent="0.4">
      <c r="A20" s="51" t="s">
        <v>13</v>
      </c>
      <c r="B20" s="44">
        <v>173</v>
      </c>
      <c r="C20" s="37">
        <f>IF(B$3=0,0,B20/B$3)</f>
        <v>0.1963677639046538</v>
      </c>
      <c r="E20" s="59" t="s">
        <v>74</v>
      </c>
      <c r="F20" s="56" t="s">
        <v>29</v>
      </c>
      <c r="G20" s="44">
        <v>2</v>
      </c>
      <c r="H20" s="129">
        <f>IF(B$17=0,0,G20/B$17)</f>
        <v>7.6045627376425855E-3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 t="shared" si="2"/>
        <v>2.5681818181818166</v>
      </c>
      <c r="P20" s="115">
        <v>22</v>
      </c>
      <c r="Q20" s="103">
        <v>56.499999999999964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3.8022813688212928E-3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 t="shared" si="2"/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16</v>
      </c>
      <c r="E22" s="59" t="s">
        <v>77</v>
      </c>
      <c r="F22" s="56" t="s">
        <v>32</v>
      </c>
      <c r="G22" s="44">
        <v>1</v>
      </c>
      <c r="H22" s="129">
        <f>IF(B$17=0,0,G22/B$17)</f>
        <v>3.8022813688212928E-3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 t="shared" si="2"/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8553.9923954372625</v>
      </c>
      <c r="C23" s="39">
        <v>2249700</v>
      </c>
      <c r="E23" s="59" t="s">
        <v>84</v>
      </c>
      <c r="F23" s="56" t="s">
        <v>39</v>
      </c>
      <c r="G23" s="44">
        <v>1</v>
      </c>
      <c r="H23" s="129">
        <f>IF(B$17=0,0,G23/B$17)</f>
        <v>3.8022813688212928E-3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8974.0963855421687</v>
      </c>
      <c r="C24" s="137">
        <v>1489700</v>
      </c>
      <c r="E24" s="59" t="s">
        <v>92</v>
      </c>
      <c r="F24" s="56" t="s">
        <v>47</v>
      </c>
      <c r="G24" s="44">
        <v>1</v>
      </c>
      <c r="H24" s="129">
        <f>IF(B$17=0,0,G24/B$17)</f>
        <v>3.8022813688212928E-3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7835.0515463917527</v>
      </c>
      <c r="C25" s="137">
        <v>760000</v>
      </c>
      <c r="E25" s="59" t="s">
        <v>95</v>
      </c>
      <c r="F25" s="56" t="s">
        <v>50</v>
      </c>
      <c r="G25" s="44">
        <v>1</v>
      </c>
      <c r="H25" s="129">
        <f>IF(B$17=0,0,G25/B$17)</f>
        <v>3.8022813688212928E-3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-8190.7514450867056</v>
      </c>
      <c r="C26" s="137">
        <v>-1417000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3.4052213393870601E-3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</sheetData>
  <sortState xmlns:xlrd2="http://schemas.microsoft.com/office/spreadsheetml/2017/richdata2" ref="E2:I10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66</v>
      </c>
      <c r="C2" s="149"/>
      <c r="E2" s="58" t="s">
        <v>66</v>
      </c>
      <c r="F2" s="55" t="s">
        <v>22</v>
      </c>
      <c r="G2" s="43">
        <v>123</v>
      </c>
      <c r="H2" s="128">
        <f>IF(B$17=0,0,G2/B$17)</f>
        <v>0.77848101265822789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-70.769230769230774</v>
      </c>
      <c r="P2" s="114">
        <v>65</v>
      </c>
      <c r="Q2" s="98">
        <v>-4600</v>
      </c>
    </row>
    <row r="3" spans="1:17" x14ac:dyDescent="0.4">
      <c r="A3" s="51" t="s">
        <v>8</v>
      </c>
      <c r="B3" s="150">
        <v>561</v>
      </c>
      <c r="C3" s="151"/>
      <c r="E3" s="59" t="s">
        <v>64</v>
      </c>
      <c r="F3" s="56" t="s">
        <v>20</v>
      </c>
      <c r="G3" s="44">
        <v>93</v>
      </c>
      <c r="H3" s="129">
        <f>IF(B$17=0,0,G3/B$17)</f>
        <v>0.58860759493670889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-932.30769230769226</v>
      </c>
      <c r="P3" s="115">
        <v>65</v>
      </c>
      <c r="Q3" s="99">
        <v>-60600</v>
      </c>
    </row>
    <row r="4" spans="1:17" x14ac:dyDescent="0.4">
      <c r="A4" s="51" t="s">
        <v>6</v>
      </c>
      <c r="B4" s="152">
        <v>-441.9</v>
      </c>
      <c r="C4" s="153"/>
      <c r="E4" s="59" t="s">
        <v>72</v>
      </c>
      <c r="F4" s="56" t="s">
        <v>27</v>
      </c>
      <c r="G4" s="44">
        <v>79</v>
      </c>
      <c r="H4" s="129">
        <f>IF(B$17=0,0,G4/B$17)</f>
        <v>0.5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583.60655737704917</v>
      </c>
      <c r="P4" s="115">
        <v>61</v>
      </c>
      <c r="Q4" s="99">
        <v>35600</v>
      </c>
    </row>
    <row r="5" spans="1:17" x14ac:dyDescent="0.4">
      <c r="A5" s="51" t="s">
        <v>7</v>
      </c>
      <c r="B5" s="154">
        <f>IF(B$2=0,0,B$4/B$2)</f>
        <v>-6.6954545454545453</v>
      </c>
      <c r="C5" s="155"/>
      <c r="E5" s="59" t="s">
        <v>171</v>
      </c>
      <c r="F5" s="56" t="s">
        <v>172</v>
      </c>
      <c r="G5" s="44">
        <v>68</v>
      </c>
      <c r="H5" s="129">
        <f>IF(B$17=0,0,G5/B$17)</f>
        <v>0.43037974683544306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-1466.6666666666667</v>
      </c>
      <c r="P5" s="115">
        <v>60</v>
      </c>
      <c r="Q5" s="99">
        <v>-88000</v>
      </c>
    </row>
    <row r="6" spans="1:17" x14ac:dyDescent="0.4">
      <c r="A6" s="51" t="s">
        <v>1</v>
      </c>
      <c r="B6" s="144">
        <f>IF(B$2=0,0,(B$7*1+B$8*2+B$9*3)/B$2)</f>
        <v>2.1666666666666665</v>
      </c>
      <c r="C6" s="145"/>
      <c r="E6" s="59" t="s">
        <v>68</v>
      </c>
      <c r="F6" s="56" t="s">
        <v>12</v>
      </c>
      <c r="G6" s="44">
        <v>55</v>
      </c>
      <c r="H6" s="129">
        <f>IF(B$17=0,0,G6/B$17)</f>
        <v>0.34810126582278483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-3191.2280701754385</v>
      </c>
      <c r="P6" s="115">
        <v>57</v>
      </c>
      <c r="Q6" s="99">
        <v>-181900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0.22727272727272727</v>
      </c>
      <c r="E7" s="59" t="s">
        <v>67</v>
      </c>
      <c r="F7" s="56" t="s">
        <v>23</v>
      </c>
      <c r="G7" s="44">
        <v>47</v>
      </c>
      <c r="H7" s="129">
        <f>IF(B$17=0,0,G7/B$17)</f>
        <v>0.29746835443037972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-1190</v>
      </c>
      <c r="P7" s="116">
        <v>50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0.37878787878787878</v>
      </c>
      <c r="E8" s="59" t="s">
        <v>70</v>
      </c>
      <c r="F8" s="56" t="s">
        <v>25</v>
      </c>
      <c r="G8" s="44">
        <v>25</v>
      </c>
      <c r="H8" s="129">
        <f>IF(B$17=0,0,G8/B$17)</f>
        <v>0.15822784810126583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0.39393939393939392</v>
      </c>
      <c r="E9" s="59" t="s">
        <v>69</v>
      </c>
      <c r="F9" s="56" t="s">
        <v>24</v>
      </c>
      <c r="G9" s="44">
        <v>23</v>
      </c>
      <c r="H9" s="129">
        <f>IF(B$17=0,0,G9/B$17)</f>
        <v>0.14556962025316456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9.0909090909090912E-2</v>
      </c>
      <c r="E10" s="59" t="s">
        <v>65</v>
      </c>
      <c r="F10" s="56" t="s">
        <v>21</v>
      </c>
      <c r="G10" s="44">
        <v>18</v>
      </c>
      <c r="H10" s="129">
        <f>IF(B$17=0,0,G10/B$17)</f>
        <v>0.11392405063291139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3.0303030303030304E-2</v>
      </c>
      <c r="E11" s="59" t="s">
        <v>89</v>
      </c>
      <c r="F11" s="56" t="s">
        <v>44</v>
      </c>
      <c r="G11" s="44">
        <v>16</v>
      </c>
      <c r="H11" s="129">
        <f>IF(B$17=0,0,G11/B$17)</f>
        <v>0.10126582278481013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7.575757575757576E-2</v>
      </c>
      <c r="E12" s="59" t="s">
        <v>83</v>
      </c>
      <c r="F12" s="56" t="s">
        <v>38</v>
      </c>
      <c r="G12" s="44">
        <v>9</v>
      </c>
      <c r="H12" s="129">
        <f>IF(B$17=0,0,G12/B$17)</f>
        <v>5.6962025316455694E-2</v>
      </c>
      <c r="I12" s="90">
        <v>6</v>
      </c>
      <c r="K12" s="36">
        <v>10</v>
      </c>
      <c r="L12" s="95">
        <v>-117.19999999999999</v>
      </c>
      <c r="N12" s="112" t="s">
        <v>164</v>
      </c>
      <c r="O12" s="122">
        <f>IF(P12=0,0,Q12/P12)</f>
        <v>-11.02</v>
      </c>
      <c r="P12" s="116">
        <v>20</v>
      </c>
      <c r="Q12" s="104">
        <v>-220.39999999999998</v>
      </c>
    </row>
    <row r="13" spans="1:17" x14ac:dyDescent="0.4">
      <c r="A13" s="54" t="s">
        <v>121</v>
      </c>
      <c r="B13" s="47">
        <v>160</v>
      </c>
      <c r="C13" s="42">
        <f>IF(B$3=0,0,B13/B$3)</f>
        <v>0.28520499108734404</v>
      </c>
      <c r="E13" s="59" t="s">
        <v>71</v>
      </c>
      <c r="F13" s="56" t="s">
        <v>26</v>
      </c>
      <c r="G13" s="44">
        <v>7</v>
      </c>
      <c r="H13" s="129">
        <f>IF(B$17=0,0,G13/B$17)</f>
        <v>4.4303797468354431E-2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107</v>
      </c>
      <c r="C14" s="37">
        <f>IF(B$3=0,0,B14/B$3)</f>
        <v>0.19073083778966132</v>
      </c>
      <c r="E14" s="59" t="s">
        <v>78</v>
      </c>
      <c r="F14" s="56" t="s">
        <v>33</v>
      </c>
      <c r="G14" s="44">
        <v>6</v>
      </c>
      <c r="H14" s="129">
        <f>IF(B$17=0,0,G14/B$17)</f>
        <v>3.7974683544303799E-2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94</v>
      </c>
      <c r="C15" s="35">
        <f>IF(B$13=0,0,B15/B$13)</f>
        <v>0.58750000000000002</v>
      </c>
      <c r="E15" s="59" t="s">
        <v>86</v>
      </c>
      <c r="F15" s="56" t="s">
        <v>41</v>
      </c>
      <c r="G15" s="44">
        <v>4</v>
      </c>
      <c r="H15" s="129">
        <f>IF(B$17=0,0,G15/B$17)</f>
        <v>2.5316455696202531E-2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42</v>
      </c>
      <c r="C16" s="35">
        <f>IF(B$14=0,0,B16/B$14)</f>
        <v>0.3925233644859813</v>
      </c>
      <c r="E16" s="59" t="s">
        <v>81</v>
      </c>
      <c r="F16" s="56" t="s">
        <v>36</v>
      </c>
      <c r="G16" s="44">
        <v>3</v>
      </c>
      <c r="H16" s="129">
        <f>IF(B$17=0,0,G16/B$17)</f>
        <v>1.8987341772151899E-2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158</v>
      </c>
      <c r="C17" s="35">
        <f>IF(B$3=0,0,B17/B$3)</f>
        <v>0.28163992869875221</v>
      </c>
      <c r="E17" s="59" t="s">
        <v>167</v>
      </c>
      <c r="F17" s="56" t="s">
        <v>168</v>
      </c>
      <c r="G17" s="44">
        <v>3</v>
      </c>
      <c r="H17" s="129">
        <f>IF(B$17=0,0,G17/B$17)</f>
        <v>1.8987341772151899E-2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>IF(P17=0,0,Q17/P17)</f>
        <v>0.14000000000000129</v>
      </c>
      <c r="P17" s="115">
        <v>10</v>
      </c>
      <c r="Q17" s="103">
        <v>1.4000000000000128</v>
      </c>
    </row>
    <row r="18" spans="1:17" x14ac:dyDescent="0.4">
      <c r="A18" s="51" t="s">
        <v>12</v>
      </c>
      <c r="B18" s="44">
        <v>73</v>
      </c>
      <c r="C18" s="37">
        <f>IF(B$17=0,0,B18/B$17)</f>
        <v>0.46202531645569622</v>
      </c>
      <c r="E18" s="59" t="s">
        <v>75</v>
      </c>
      <c r="F18" s="56" t="s">
        <v>30</v>
      </c>
      <c r="G18" s="44">
        <v>2</v>
      </c>
      <c r="H18" s="129">
        <f>IF(B$17=0,0,G18/B$17)</f>
        <v>1.2658227848101266E-2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>IF(P18=0,0,Q18/P18)</f>
        <v>-3.0499999999999985</v>
      </c>
      <c r="P18" s="115">
        <v>10</v>
      </c>
      <c r="Q18" s="103">
        <v>-30.499999999999986</v>
      </c>
    </row>
    <row r="19" spans="1:17" x14ac:dyDescent="0.4">
      <c r="A19" s="51" t="s">
        <v>11</v>
      </c>
      <c r="B19" s="44">
        <v>85</v>
      </c>
      <c r="C19" s="37">
        <f>IF(B$17=0,0,B19/B$17)</f>
        <v>0.53797468354430378</v>
      </c>
      <c r="E19" s="59" t="s">
        <v>79</v>
      </c>
      <c r="F19" s="56" t="s">
        <v>34</v>
      </c>
      <c r="G19" s="44">
        <v>2</v>
      </c>
      <c r="H19" s="129">
        <f>IF(B$17=0,0,G19/B$17)</f>
        <v>1.2658227848101266E-2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>IF(P19=0,0,Q19/P19)</f>
        <v>-12.449999999999998</v>
      </c>
      <c r="P19" s="115">
        <v>32</v>
      </c>
      <c r="Q19" s="103">
        <v>-398.39999999999992</v>
      </c>
    </row>
    <row r="20" spans="1:17" x14ac:dyDescent="0.4">
      <c r="A20" s="51" t="s">
        <v>13</v>
      </c>
      <c r="B20" s="44">
        <v>114</v>
      </c>
      <c r="C20" s="37">
        <f>IF(B$3=0,0,B20/B$3)</f>
        <v>0.20320855614973263</v>
      </c>
      <c r="E20" s="59" t="s">
        <v>91</v>
      </c>
      <c r="F20" s="56" t="s">
        <v>46</v>
      </c>
      <c r="G20" s="44">
        <v>1</v>
      </c>
      <c r="H20" s="129">
        <f>IF(B$17=0,0,G20/B$17)</f>
        <v>6.3291139240506328E-3</v>
      </c>
      <c r="I20" s="90">
        <v>6</v>
      </c>
      <c r="K20" s="36">
        <v>18</v>
      </c>
      <c r="L20" s="95">
        <v>-240</v>
      </c>
      <c r="N20" s="111" t="s">
        <v>178</v>
      </c>
      <c r="O20" s="121">
        <f>IF(P20=0,0,Q20/P20)</f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11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8005.0632911392404</v>
      </c>
      <c r="C23" s="39">
        <v>1264800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8437.9310344827591</v>
      </c>
      <c r="C24" s="137">
        <v>978800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6809.5238095238092</v>
      </c>
      <c r="C25" s="137">
        <v>286000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-7657.0175438596489</v>
      </c>
      <c r="C26" s="137">
        <v>-872900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5.3475935828877002E-3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65</v>
      </c>
      <c r="C2" s="149"/>
      <c r="E2" s="58" t="s">
        <v>66</v>
      </c>
      <c r="F2" s="55" t="s">
        <v>22</v>
      </c>
      <c r="G2" s="43">
        <v>133</v>
      </c>
      <c r="H2" s="128">
        <f>IF(B$17=0,0,G2/B$17)</f>
        <v>0.85806451612903223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1707.6923076923076</v>
      </c>
      <c r="P2" s="114">
        <v>65</v>
      </c>
      <c r="Q2" s="98">
        <v>111000</v>
      </c>
    </row>
    <row r="3" spans="1:17" x14ac:dyDescent="0.4">
      <c r="A3" s="51" t="s">
        <v>8</v>
      </c>
      <c r="B3" s="150">
        <v>531</v>
      </c>
      <c r="C3" s="151"/>
      <c r="E3" s="59" t="s">
        <v>72</v>
      </c>
      <c r="F3" s="56" t="s">
        <v>27</v>
      </c>
      <c r="G3" s="44">
        <v>87</v>
      </c>
      <c r="H3" s="129">
        <f>IF(B$17=0,0,G3/B$17)</f>
        <v>0.56129032258064515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-2049.2063492063494</v>
      </c>
      <c r="P3" s="115">
        <v>63</v>
      </c>
      <c r="Q3" s="99">
        <v>-129100</v>
      </c>
    </row>
    <row r="4" spans="1:17" x14ac:dyDescent="0.4">
      <c r="A4" s="51" t="s">
        <v>6</v>
      </c>
      <c r="B4" s="152">
        <v>333.00000000000006</v>
      </c>
      <c r="C4" s="153"/>
      <c r="E4" s="59" t="s">
        <v>64</v>
      </c>
      <c r="F4" s="56" t="s">
        <v>20</v>
      </c>
      <c r="G4" s="44">
        <v>84</v>
      </c>
      <c r="H4" s="129">
        <f>IF(B$17=0,0,G4/B$17)</f>
        <v>0.54193548387096779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483.05084745762713</v>
      </c>
      <c r="P4" s="115">
        <v>59</v>
      </c>
      <c r="Q4" s="99">
        <v>28500</v>
      </c>
    </row>
    <row r="5" spans="1:17" x14ac:dyDescent="0.4">
      <c r="A5" s="51" t="s">
        <v>7</v>
      </c>
      <c r="B5" s="154">
        <f>IF(B$2=0,0,B$4/B$2)</f>
        <v>5.1230769230769235</v>
      </c>
      <c r="C5" s="155"/>
      <c r="E5" s="59" t="s">
        <v>67</v>
      </c>
      <c r="F5" s="56" t="s">
        <v>23</v>
      </c>
      <c r="G5" s="44">
        <v>67</v>
      </c>
      <c r="H5" s="129">
        <f>IF(B$17=0,0,G5/B$17)</f>
        <v>0.43225806451612903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3689.2857142857142</v>
      </c>
      <c r="P5" s="115">
        <v>56</v>
      </c>
      <c r="Q5" s="99">
        <v>206600</v>
      </c>
    </row>
    <row r="6" spans="1:17" x14ac:dyDescent="0.4">
      <c r="A6" s="51" t="s">
        <v>1</v>
      </c>
      <c r="B6" s="144">
        <f>IF(B$2=0,0,(B$7*1+B$8*2+B$9*3)/B$2)</f>
        <v>1.8923076923076922</v>
      </c>
      <c r="C6" s="145"/>
      <c r="E6" s="59" t="s">
        <v>171</v>
      </c>
      <c r="F6" s="56" t="s">
        <v>172</v>
      </c>
      <c r="G6" s="44">
        <v>59</v>
      </c>
      <c r="H6" s="129">
        <f>IF(B$17=0,0,G6/B$17)</f>
        <v>0.38064516129032255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934.61538461538464</v>
      </c>
      <c r="P6" s="115">
        <v>52</v>
      </c>
      <c r="Q6" s="99">
        <v>48600</v>
      </c>
    </row>
    <row r="7" spans="1:17" x14ac:dyDescent="0.4">
      <c r="A7" s="51" t="s">
        <v>2</v>
      </c>
      <c r="B7" s="44">
        <v>27</v>
      </c>
      <c r="C7" s="37">
        <f t="shared" ref="C7:C12" si="1">IF(B$2=0,0,B7/B$2)</f>
        <v>0.41538461538461541</v>
      </c>
      <c r="E7" s="59" t="s">
        <v>68</v>
      </c>
      <c r="F7" s="56" t="s">
        <v>12</v>
      </c>
      <c r="G7" s="44">
        <v>58</v>
      </c>
      <c r="H7" s="129">
        <f>IF(B$17=0,0,G7/B$17)</f>
        <v>0.37419354838709679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-305.12820512820514</v>
      </c>
      <c r="P7" s="116">
        <v>39</v>
      </c>
      <c r="Q7" s="100">
        <v>-11900</v>
      </c>
    </row>
    <row r="8" spans="1:17" x14ac:dyDescent="0.4">
      <c r="A8" s="51" t="s">
        <v>3</v>
      </c>
      <c r="B8" s="44">
        <v>18</v>
      </c>
      <c r="C8" s="37">
        <f t="shared" si="1"/>
        <v>0.27692307692307694</v>
      </c>
      <c r="E8" s="59" t="s">
        <v>69</v>
      </c>
      <c r="F8" s="56" t="s">
        <v>24</v>
      </c>
      <c r="G8" s="44">
        <v>34</v>
      </c>
      <c r="H8" s="129">
        <f>IF(B$17=0,0,G8/B$17)</f>
        <v>0.21935483870967742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0.30769230769230771</v>
      </c>
      <c r="E9" s="59" t="s">
        <v>89</v>
      </c>
      <c r="F9" s="56" t="s">
        <v>44</v>
      </c>
      <c r="G9" s="44">
        <v>32</v>
      </c>
      <c r="H9" s="129">
        <f>IF(B$17=0,0,G9/B$17)</f>
        <v>0.20645161290322581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9.2307692307692313E-2</v>
      </c>
      <c r="E10" s="59" t="s">
        <v>65</v>
      </c>
      <c r="F10" s="56" t="s">
        <v>21</v>
      </c>
      <c r="G10" s="44">
        <v>18</v>
      </c>
      <c r="H10" s="129">
        <f>IF(B$17=0,0,G10/B$17)</f>
        <v>0.11612903225806452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7.7500000000000018</v>
      </c>
      <c r="P10" s="114">
        <v>18</v>
      </c>
      <c r="Q10" s="102">
        <v>139.50000000000003</v>
      </c>
    </row>
    <row r="11" spans="1:17" x14ac:dyDescent="0.4">
      <c r="A11" s="52" t="s">
        <v>138</v>
      </c>
      <c r="B11" s="45">
        <v>12</v>
      </c>
      <c r="C11" s="38">
        <f t="shared" si="1"/>
        <v>0.18461538461538463</v>
      </c>
      <c r="E11" s="59" t="s">
        <v>70</v>
      </c>
      <c r="F11" s="56" t="s">
        <v>25</v>
      </c>
      <c r="G11" s="44">
        <v>18</v>
      </c>
      <c r="H11" s="129">
        <f>IF(B$17=0,0,G11/B$17)</f>
        <v>0.11612903225806452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4.9677419354838701</v>
      </c>
      <c r="P11" s="115">
        <v>31</v>
      </c>
      <c r="Q11" s="103">
        <v>153.99999999999997</v>
      </c>
    </row>
    <row r="12" spans="1:17" x14ac:dyDescent="0.4">
      <c r="A12" s="53" t="s">
        <v>158</v>
      </c>
      <c r="B12" s="46">
        <v>7</v>
      </c>
      <c r="C12" s="40">
        <f t="shared" si="1"/>
        <v>0.1076923076923077</v>
      </c>
      <c r="E12" s="59" t="s">
        <v>167</v>
      </c>
      <c r="F12" s="56" t="s">
        <v>168</v>
      </c>
      <c r="G12" s="44">
        <v>9</v>
      </c>
      <c r="H12" s="129">
        <f>IF(B$17=0,0,G12/B$17)</f>
        <v>5.8064516129032261E-2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2.4687500000000004</v>
      </c>
      <c r="P12" s="116">
        <v>16</v>
      </c>
      <c r="Q12" s="104">
        <v>39.500000000000007</v>
      </c>
    </row>
    <row r="13" spans="1:17" x14ac:dyDescent="0.4">
      <c r="A13" s="54" t="s">
        <v>121</v>
      </c>
      <c r="B13" s="47">
        <v>169</v>
      </c>
      <c r="C13" s="42">
        <f>IF(B$3=0,0,B13/B$3)</f>
        <v>0.31826741996233521</v>
      </c>
      <c r="E13" s="59" t="s">
        <v>71</v>
      </c>
      <c r="F13" s="56" t="s">
        <v>26</v>
      </c>
      <c r="G13" s="44">
        <v>8</v>
      </c>
      <c r="H13" s="129">
        <f>IF(B$17=0,0,G13/B$17)</f>
        <v>5.1612903225806452E-2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95</v>
      </c>
      <c r="C14" s="37">
        <f>IF(B$3=0,0,B14/B$3)</f>
        <v>0.17890772128060264</v>
      </c>
      <c r="E14" s="59" t="s">
        <v>83</v>
      </c>
      <c r="F14" s="56" t="s">
        <v>38</v>
      </c>
      <c r="G14" s="44">
        <v>6</v>
      </c>
      <c r="H14" s="129">
        <f>IF(B$17=0,0,G14/B$17)</f>
        <v>3.870967741935484E-2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94</v>
      </c>
      <c r="C15" s="35">
        <f>IF(B$13=0,0,B15/B$13)</f>
        <v>0.55621301775147924</v>
      </c>
      <c r="E15" s="59" t="s">
        <v>86</v>
      </c>
      <c r="F15" s="56" t="s">
        <v>41</v>
      </c>
      <c r="G15" s="44">
        <v>5</v>
      </c>
      <c r="H15" s="129">
        <f>IF(B$17=0,0,G15/B$17)</f>
        <v>3.2258064516129031E-2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42</v>
      </c>
      <c r="C16" s="35">
        <f>IF(B$14=0,0,B16/B$14)</f>
        <v>0.44210526315789472</v>
      </c>
      <c r="E16" s="59" t="s">
        <v>81</v>
      </c>
      <c r="F16" s="56" t="s">
        <v>36</v>
      </c>
      <c r="G16" s="44">
        <v>3</v>
      </c>
      <c r="H16" s="129">
        <f>IF(B$17=0,0,G16/B$17)</f>
        <v>1.935483870967742E-2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27.133333333333333</v>
      </c>
      <c r="P16" s="115">
        <v>9</v>
      </c>
      <c r="Q16" s="103">
        <v>244.2</v>
      </c>
    </row>
    <row r="17" spans="1:17" x14ac:dyDescent="0.4">
      <c r="A17" s="50" t="s">
        <v>10</v>
      </c>
      <c r="B17" s="43">
        <f>B19+B18</f>
        <v>155</v>
      </c>
      <c r="C17" s="35">
        <f>IF(B$3=0,0,B17/B$3)</f>
        <v>0.29190207156308851</v>
      </c>
      <c r="E17" s="59" t="s">
        <v>92</v>
      </c>
      <c r="F17" s="56" t="s">
        <v>47</v>
      </c>
      <c r="G17" s="44">
        <v>3</v>
      </c>
      <c r="H17" s="129">
        <f>IF(B$17=0,0,G17/B$17)</f>
        <v>1.935483870967742E-2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15.864285714285712</v>
      </c>
      <c r="P17" s="115">
        <v>14</v>
      </c>
      <c r="Q17" s="103">
        <v>222.09999999999997</v>
      </c>
    </row>
    <row r="18" spans="1:17" x14ac:dyDescent="0.4">
      <c r="A18" s="51" t="s">
        <v>12</v>
      </c>
      <c r="B18" s="44">
        <v>74</v>
      </c>
      <c r="C18" s="37">
        <f>IF(B$17=0,0,B18/B$17)</f>
        <v>0.47741935483870968</v>
      </c>
      <c r="E18" s="59" t="s">
        <v>91</v>
      </c>
      <c r="F18" s="56" t="s">
        <v>46</v>
      </c>
      <c r="G18" s="44">
        <v>2</v>
      </c>
      <c r="H18" s="129">
        <f>IF(B$17=0,0,G18/B$17)</f>
        <v>1.2903225806451613E-2</v>
      </c>
      <c r="I18" s="90">
        <v>4</v>
      </c>
      <c r="K18" s="36">
        <v>16</v>
      </c>
      <c r="L18" s="95">
        <v>-63.099999999999966</v>
      </c>
      <c r="N18" s="111" t="s">
        <v>178</v>
      </c>
      <c r="O18" s="121">
        <f t="shared" si="2"/>
        <v>13.557142857142855</v>
      </c>
      <c r="P18" s="115">
        <v>35</v>
      </c>
      <c r="Q18" s="103">
        <v>474.49999999999994</v>
      </c>
    </row>
    <row r="19" spans="1:17" x14ac:dyDescent="0.4">
      <c r="A19" s="51" t="s">
        <v>11</v>
      </c>
      <c r="B19" s="44">
        <v>81</v>
      </c>
      <c r="C19" s="37">
        <f>IF(B$17=0,0,B19/B$17)</f>
        <v>0.52258064516129032</v>
      </c>
      <c r="E19" s="59" t="s">
        <v>73</v>
      </c>
      <c r="F19" s="56" t="s">
        <v>28</v>
      </c>
      <c r="G19" s="44">
        <v>1</v>
      </c>
      <c r="H19" s="129">
        <f>IF(B$17=0,0,G19/B$17)</f>
        <v>6.4516129032258064E-3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8.0814814814814788</v>
      </c>
      <c r="P19" s="115">
        <v>27</v>
      </c>
      <c r="Q19" s="103">
        <v>218.19999999999993</v>
      </c>
    </row>
    <row r="20" spans="1:17" x14ac:dyDescent="0.4">
      <c r="A20" s="51" t="s">
        <v>13</v>
      </c>
      <c r="B20" s="44">
        <v>85</v>
      </c>
      <c r="C20" s="37">
        <f>IF(B$3=0,0,B20/B$3)</f>
        <v>0.160075329566855</v>
      </c>
      <c r="E20" s="59" t="s">
        <v>75</v>
      </c>
      <c r="F20" s="56" t="s">
        <v>30</v>
      </c>
      <c r="G20" s="44">
        <v>1</v>
      </c>
      <c r="H20" s="129">
        <f>IF(B$17=0,0,G20/B$17)</f>
        <v>6.4516129032258064E-3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3.0499999999999985</v>
      </c>
      <c r="P20" s="115">
        <v>10</v>
      </c>
      <c r="Q20" s="103">
        <v>30.499999999999986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6.4516129032258064E-3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-4.3615384615384638</v>
      </c>
      <c r="P21" s="115">
        <v>26</v>
      </c>
      <c r="Q21" s="103">
        <v>-113.40000000000006</v>
      </c>
    </row>
    <row r="22" spans="1:17" x14ac:dyDescent="0.4">
      <c r="A22" s="51" t="s">
        <v>170</v>
      </c>
      <c r="B22" s="44">
        <v>25</v>
      </c>
      <c r="C22" s="131">
        <v>12</v>
      </c>
      <c r="E22" s="59" t="s">
        <v>85</v>
      </c>
      <c r="F22" s="56" t="s">
        <v>40</v>
      </c>
      <c r="G22" s="44">
        <v>1</v>
      </c>
      <c r="H22" s="129">
        <f>IF(B$17=0,0,G22/B$17)</f>
        <v>6.4516129032258064E-3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10343.225806451614</v>
      </c>
      <c r="C23" s="39">
        <v>1603200</v>
      </c>
      <c r="E23" s="59" t="s">
        <v>90</v>
      </c>
      <c r="F23" s="56" t="s">
        <v>45</v>
      </c>
      <c r="G23" s="44">
        <v>1</v>
      </c>
      <c r="H23" s="129">
        <f>IF(B$17=0,0,G23/B$17)</f>
        <v>6.4516129032258064E-3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11154.867256637168</v>
      </c>
      <c r="C24" s="137">
        <v>1260500</v>
      </c>
      <c r="E24" s="59" t="s">
        <v>93</v>
      </c>
      <c r="F24" s="56" t="s">
        <v>48</v>
      </c>
      <c r="G24" s="44">
        <v>1</v>
      </c>
      <c r="H24" s="129">
        <f>IF(B$17=0,0,G24/B$17)</f>
        <v>6.4516129032258064E-3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8159.5238095238092</v>
      </c>
      <c r="C25" s="137">
        <v>342700</v>
      </c>
      <c r="E25" s="59" t="s">
        <v>97</v>
      </c>
      <c r="F25" s="56" t="s">
        <v>52</v>
      </c>
      <c r="G25" s="44">
        <v>1</v>
      </c>
      <c r="H25" s="129">
        <f>IF(B$17=0,0,G25/B$17)</f>
        <v>6.4516129032258064E-3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-8100</v>
      </c>
      <c r="C26" s="137">
        <v>-688500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</sheetData>
  <sortState xmlns:xlrd2="http://schemas.microsoft.com/office/spreadsheetml/2017/richdata2" ref="E2:I6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157</v>
      </c>
      <c r="H2" s="128">
        <f>IF(B$17=0,0,G2/B$17)</f>
        <v>0.74761904761904763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932.60869565217388</v>
      </c>
      <c r="P2" s="114">
        <v>92</v>
      </c>
      <c r="Q2" s="98">
        <v>85800</v>
      </c>
    </row>
    <row r="3" spans="1:17" x14ac:dyDescent="0.4">
      <c r="A3" s="51" t="s">
        <v>8</v>
      </c>
      <c r="B3" s="150">
        <v>735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0.56666666666666665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582.02247191011236</v>
      </c>
      <c r="P3" s="115">
        <v>89</v>
      </c>
      <c r="Q3" s="99">
        <v>51800</v>
      </c>
    </row>
    <row r="4" spans="1:17" x14ac:dyDescent="0.4">
      <c r="A4" s="51" t="s">
        <v>6</v>
      </c>
      <c r="B4" s="152">
        <v>-17.100000000000009</v>
      </c>
      <c r="C4" s="153"/>
      <c r="E4" s="59" t="s">
        <v>64</v>
      </c>
      <c r="F4" s="56" t="s">
        <v>20</v>
      </c>
      <c r="G4" s="44">
        <v>108</v>
      </c>
      <c r="H4" s="129">
        <f>IF(B$17=0,0,G4/B$17)</f>
        <v>0.51428571428571423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-631.32530120481931</v>
      </c>
      <c r="P4" s="115">
        <v>83</v>
      </c>
      <c r="Q4" s="99">
        <v>-52400</v>
      </c>
    </row>
    <row r="5" spans="1:17" x14ac:dyDescent="0.4">
      <c r="A5" s="51" t="s">
        <v>7</v>
      </c>
      <c r="B5" s="154">
        <f>IF(B$2=0,0,B$4/B$2)</f>
        <v>-0.1858695652173914</v>
      </c>
      <c r="C5" s="155"/>
      <c r="E5" s="59" t="s">
        <v>171</v>
      </c>
      <c r="F5" s="56" t="s">
        <v>172</v>
      </c>
      <c r="G5" s="44">
        <v>98</v>
      </c>
      <c r="H5" s="129">
        <f>IF(B$17=0,0,G5/B$17)</f>
        <v>0.46666666666666667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-15.789473684210526</v>
      </c>
      <c r="P5" s="115">
        <v>76</v>
      </c>
      <c r="Q5" s="99">
        <v>-1200</v>
      </c>
    </row>
    <row r="6" spans="1:17" x14ac:dyDescent="0.4">
      <c r="A6" s="51" t="s">
        <v>1</v>
      </c>
      <c r="B6" s="144">
        <f>IF(B$2=0,0,(B$7*1+B$8*2+B$9*3)/B$2)</f>
        <v>2.0326086956521738</v>
      </c>
      <c r="C6" s="145"/>
      <c r="E6" s="59" t="s">
        <v>67</v>
      </c>
      <c r="F6" s="56" t="s">
        <v>23</v>
      </c>
      <c r="G6" s="44">
        <v>82</v>
      </c>
      <c r="H6" s="129">
        <f>IF(B$17=0,0,G6/B$17)</f>
        <v>0.39047619047619048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-676.11940298507466</v>
      </c>
      <c r="P6" s="115">
        <v>67</v>
      </c>
      <c r="Q6" s="99">
        <v>-45300</v>
      </c>
    </row>
    <row r="7" spans="1:17" x14ac:dyDescent="0.4">
      <c r="A7" s="51" t="s">
        <v>2</v>
      </c>
      <c r="B7" s="44">
        <v>22</v>
      </c>
      <c r="C7" s="37">
        <f t="shared" ref="C7:C12" si="1">IF(B$2=0,0,B7/B$2)</f>
        <v>0.2391304347826087</v>
      </c>
      <c r="E7" s="59" t="s">
        <v>68</v>
      </c>
      <c r="F7" s="56" t="s">
        <v>12</v>
      </c>
      <c r="G7" s="44">
        <v>71</v>
      </c>
      <c r="H7" s="129">
        <f>IF(B$17=0,0,G7/B$17)</f>
        <v>0.33809523809523812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-814.03508771929819</v>
      </c>
      <c r="P7" s="116">
        <v>57</v>
      </c>
      <c r="Q7" s="100">
        <v>-46400</v>
      </c>
    </row>
    <row r="8" spans="1:17" x14ac:dyDescent="0.4">
      <c r="A8" s="51" t="s">
        <v>3</v>
      </c>
      <c r="B8" s="44">
        <v>45</v>
      </c>
      <c r="C8" s="37">
        <f t="shared" si="1"/>
        <v>0.4891304347826087</v>
      </c>
      <c r="E8" s="59" t="s">
        <v>69</v>
      </c>
      <c r="F8" s="56" t="s">
        <v>24</v>
      </c>
      <c r="G8" s="44">
        <v>29</v>
      </c>
      <c r="H8" s="129">
        <f>IF(B$17=0,0,G8/B$17)</f>
        <v>0.1380952380952381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0.27173913043478259</v>
      </c>
      <c r="E9" s="59" t="s">
        <v>71</v>
      </c>
      <c r="F9" s="56" t="s">
        <v>26</v>
      </c>
      <c r="G9" s="44">
        <v>21</v>
      </c>
      <c r="H9" s="129">
        <f>IF(B$17=0,0,G9/B$17)</f>
        <v>0.1</v>
      </c>
      <c r="I9" s="90">
        <v>3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8.6956521739130432E-2</v>
      </c>
      <c r="E10" s="59" t="s">
        <v>89</v>
      </c>
      <c r="F10" s="56" t="s">
        <v>44</v>
      </c>
      <c r="G10" s="44">
        <v>21</v>
      </c>
      <c r="H10" s="129">
        <f>IF(B$17=0,0,G10/B$17)</f>
        <v>0.1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0.18974358974358951</v>
      </c>
      <c r="P10" s="114">
        <v>39</v>
      </c>
      <c r="Q10" s="102">
        <v>7.3999999999999915</v>
      </c>
    </row>
    <row r="11" spans="1:17" x14ac:dyDescent="0.4">
      <c r="A11" s="52" t="s">
        <v>138</v>
      </c>
      <c r="B11" s="45">
        <v>8</v>
      </c>
      <c r="C11" s="38">
        <f t="shared" si="1"/>
        <v>8.6956521739130432E-2</v>
      </c>
      <c r="E11" s="59" t="s">
        <v>65</v>
      </c>
      <c r="F11" s="56" t="s">
        <v>21</v>
      </c>
      <c r="G11" s="44">
        <v>17</v>
      </c>
      <c r="H11" s="129">
        <f>IF(B$17=0,0,G11/B$17)</f>
        <v>8.0952380952380956E-2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1.6333333333333331</v>
      </c>
      <c r="P11" s="115">
        <v>27</v>
      </c>
      <c r="Q11" s="103">
        <v>44.099999999999994</v>
      </c>
    </row>
    <row r="12" spans="1:17" x14ac:dyDescent="0.4">
      <c r="A12" s="53" t="s">
        <v>158</v>
      </c>
      <c r="B12" s="46">
        <v>5</v>
      </c>
      <c r="C12" s="40">
        <f t="shared" si="1"/>
        <v>5.434782608695652E-2</v>
      </c>
      <c r="E12" s="59" t="s">
        <v>70</v>
      </c>
      <c r="F12" s="56" t="s">
        <v>25</v>
      </c>
      <c r="G12" s="44">
        <v>17</v>
      </c>
      <c r="H12" s="129">
        <f>IF(B$17=0,0,G12/B$17)</f>
        <v>8.0952380952380956E-2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196</v>
      </c>
      <c r="C13" s="42">
        <f>IF(B$3=0,0,B13/B$3)</f>
        <v>0.26666666666666666</v>
      </c>
      <c r="E13" s="59" t="s">
        <v>86</v>
      </c>
      <c r="F13" s="56" t="s">
        <v>41</v>
      </c>
      <c r="G13" s="44">
        <v>11</v>
      </c>
      <c r="H13" s="129">
        <f>IF(B$17=0,0,G13/B$17)</f>
        <v>5.2380952380952382E-2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162</v>
      </c>
      <c r="C14" s="37">
        <f>IF(B$3=0,0,B14/B$3)</f>
        <v>0.22040816326530613</v>
      </c>
      <c r="E14" s="59" t="s">
        <v>83</v>
      </c>
      <c r="F14" s="56" t="s">
        <v>38</v>
      </c>
      <c r="G14" s="44">
        <v>7</v>
      </c>
      <c r="H14" s="129">
        <f>IF(B$17=0,0,G14/B$17)</f>
        <v>3.3333333333333333E-2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113</v>
      </c>
      <c r="C15" s="35">
        <f>IF(B$13=0,0,B15/B$13)</f>
        <v>0.57653061224489799</v>
      </c>
      <c r="E15" s="59" t="s">
        <v>79</v>
      </c>
      <c r="F15" s="56" t="s">
        <v>34</v>
      </c>
      <c r="G15" s="44">
        <v>6</v>
      </c>
      <c r="H15" s="129">
        <f>IF(B$17=0,0,G15/B$17)</f>
        <v>2.8571428571428571E-2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67</v>
      </c>
      <c r="C16" s="35">
        <f>IF(B$14=0,0,B16/B$14)</f>
        <v>0.41358024691358025</v>
      </c>
      <c r="E16" s="59" t="s">
        <v>167</v>
      </c>
      <c r="F16" s="56" t="s">
        <v>168</v>
      </c>
      <c r="G16" s="44">
        <v>4</v>
      </c>
      <c r="H16" s="129">
        <f>IF(B$17=0,0,G16/B$17)</f>
        <v>1.9047619047619049E-2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210</v>
      </c>
      <c r="C17" s="35">
        <f>IF(B$3=0,0,B17/B$3)</f>
        <v>0.2857142857142857</v>
      </c>
      <c r="E17" s="59" t="s">
        <v>73</v>
      </c>
      <c r="F17" s="56" t="s">
        <v>28</v>
      </c>
      <c r="G17" s="44">
        <v>3</v>
      </c>
      <c r="H17" s="129">
        <f>IF(B$17=0,0,G17/B$17)</f>
        <v>1.4285714285714285E-2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22.642105263157891</v>
      </c>
      <c r="P17" s="115">
        <v>19</v>
      </c>
      <c r="Q17" s="103">
        <v>430.19999999999993</v>
      </c>
    </row>
    <row r="18" spans="1:17" x14ac:dyDescent="0.4">
      <c r="A18" s="51" t="s">
        <v>12</v>
      </c>
      <c r="B18" s="44">
        <v>96</v>
      </c>
      <c r="C18" s="37">
        <f>IF(B$17=0,0,B18/B$17)</f>
        <v>0.45714285714285713</v>
      </c>
      <c r="E18" s="59" t="s">
        <v>78</v>
      </c>
      <c r="F18" s="56" t="s">
        <v>33</v>
      </c>
      <c r="G18" s="44">
        <v>3</v>
      </c>
      <c r="H18" s="129">
        <f>IF(B$17=0,0,G18/B$17)</f>
        <v>1.4285714285714285E-2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114</v>
      </c>
      <c r="C19" s="37">
        <f>IF(B$17=0,0,B19/B$17)</f>
        <v>0.54285714285714282</v>
      </c>
      <c r="E19" s="59" t="s">
        <v>81</v>
      </c>
      <c r="F19" s="56" t="s">
        <v>36</v>
      </c>
      <c r="G19" s="44">
        <v>2</v>
      </c>
      <c r="H19" s="129">
        <f>IF(B$17=0,0,G19/B$17)</f>
        <v>9.5238095238095247E-3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99</v>
      </c>
      <c r="C20" s="37">
        <f>IF(B$3=0,0,B20/B$3)</f>
        <v>0.13469387755102041</v>
      </c>
      <c r="E20" s="59" t="s">
        <v>74</v>
      </c>
      <c r="F20" s="56" t="s">
        <v>29</v>
      </c>
      <c r="G20" s="44">
        <v>1</v>
      </c>
      <c r="H20" s="129">
        <f>IF(B$17=0,0,G20/B$17)</f>
        <v>4.7619047619047623E-3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4.7619047619047623E-3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5</v>
      </c>
      <c r="E22" s="59" t="s">
        <v>85</v>
      </c>
      <c r="F22" s="56" t="s">
        <v>40</v>
      </c>
      <c r="G22" s="44">
        <v>1</v>
      </c>
      <c r="H22" s="129">
        <f>IF(B$17=0,0,G22/B$17)</f>
        <v>4.7619047619047623E-3</v>
      </c>
      <c r="I22" s="90">
        <v>4</v>
      </c>
      <c r="K22" s="36">
        <v>20</v>
      </c>
      <c r="L22" s="95">
        <v>-93.199999999999989</v>
      </c>
      <c r="N22" s="111" t="s">
        <v>177</v>
      </c>
      <c r="O22" s="121">
        <f t="shared" si="2"/>
        <v>-13.557142857142857</v>
      </c>
      <c r="P22" s="115">
        <v>35</v>
      </c>
      <c r="Q22" s="103">
        <v>-474.5</v>
      </c>
    </row>
    <row r="23" spans="1:17" x14ac:dyDescent="0.4">
      <c r="A23" s="51" t="s">
        <v>5</v>
      </c>
      <c r="B23" s="48">
        <f>IF(B$17=0,0,C23/B$17)</f>
        <v>8431.9047619047615</v>
      </c>
      <c r="C23" s="39">
        <v>1770700</v>
      </c>
      <c r="E23" s="59" t="s">
        <v>87</v>
      </c>
      <c r="F23" s="56" t="s">
        <v>42</v>
      </c>
      <c r="G23" s="44">
        <v>1</v>
      </c>
      <c r="H23" s="129">
        <f>IF(B$17=0,0,G23/B$17)</f>
        <v>4.7619047619047623E-3</v>
      </c>
      <c r="I23" s="90">
        <v>2</v>
      </c>
      <c r="K23" s="36">
        <v>21</v>
      </c>
      <c r="L23" s="95">
        <v>-123.69999999999999</v>
      </c>
      <c r="N23" s="111" t="s">
        <v>126</v>
      </c>
      <c r="O23" s="121">
        <f t="shared" si="2"/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9455.9440559440554</v>
      </c>
      <c r="C24" s="137">
        <v>1352200</v>
      </c>
      <c r="E24" s="59" t="s">
        <v>88</v>
      </c>
      <c r="F24" s="56" t="s">
        <v>43</v>
      </c>
      <c r="G24" s="44">
        <v>1</v>
      </c>
      <c r="H24" s="129">
        <f>IF(B$17=0,0,G24/B$17)</f>
        <v>4.7619047619047623E-3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6246.2686567164183</v>
      </c>
      <c r="C25" s="137">
        <v>418500</v>
      </c>
      <c r="E25" s="59" t="s">
        <v>91</v>
      </c>
      <c r="F25" s="56" t="s">
        <v>46</v>
      </c>
      <c r="G25" s="44">
        <v>1</v>
      </c>
      <c r="H25" s="129">
        <f>IF(B$17=0,0,G25/B$17)</f>
        <v>4.7619047619047623E-3</v>
      </c>
      <c r="I25" s="90">
        <v>8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-7936.363636363636</v>
      </c>
      <c r="C26" s="137">
        <v>-785700</v>
      </c>
      <c r="E26" s="59" t="s">
        <v>93</v>
      </c>
      <c r="F26" s="56" t="s">
        <v>48</v>
      </c>
      <c r="G26" s="44">
        <v>1</v>
      </c>
      <c r="H26" s="129">
        <f>IF(B$17=0,0,G26/B$17)</f>
        <v>4.7619047619047623E-3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4.7619047619047623E-3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2.7210884353741495E-3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</sheetData>
  <sortState xmlns:xlrd2="http://schemas.microsoft.com/office/spreadsheetml/2017/richdata2" ref="E2:I9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37</v>
      </c>
      <c r="C2" s="149"/>
      <c r="E2" s="58" t="s">
        <v>66</v>
      </c>
      <c r="F2" s="55" t="s">
        <v>22</v>
      </c>
      <c r="G2" s="43">
        <v>52</v>
      </c>
      <c r="H2" s="128">
        <f>IF(B$17=0,0,G2/B$17)</f>
        <v>0.68421052631578949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-3375.6756756756758</v>
      </c>
      <c r="P2" s="114">
        <v>37</v>
      </c>
      <c r="Q2" s="98">
        <v>-124900</v>
      </c>
    </row>
    <row r="3" spans="1:17" x14ac:dyDescent="0.4">
      <c r="A3" s="51" t="s">
        <v>8</v>
      </c>
      <c r="B3" s="150">
        <v>308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0.60526315789473684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240.54054054054055</v>
      </c>
      <c r="P3" s="115">
        <v>37</v>
      </c>
      <c r="Q3" s="99">
        <v>8900</v>
      </c>
    </row>
    <row r="4" spans="1:17" x14ac:dyDescent="0.4">
      <c r="A4" s="51" t="s">
        <v>6</v>
      </c>
      <c r="B4" s="152">
        <v>-547.00000000000011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0.40789473684210525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-1297.2972972972973</v>
      </c>
      <c r="P4" s="115">
        <v>37</v>
      </c>
      <c r="Q4" s="99">
        <v>-48000</v>
      </c>
    </row>
    <row r="5" spans="1:17" x14ac:dyDescent="0.4">
      <c r="A5" s="51" t="s">
        <v>7</v>
      </c>
      <c r="B5" s="154">
        <f>IF(B$2=0,0,B$4/B$2)</f>
        <v>-14.783783783783786</v>
      </c>
      <c r="C5" s="155"/>
      <c r="E5" s="59" t="s">
        <v>171</v>
      </c>
      <c r="F5" s="56" t="s">
        <v>172</v>
      </c>
      <c r="G5" s="44">
        <v>23</v>
      </c>
      <c r="H5" s="129">
        <f>IF(B$17=0,0,G5/B$17)</f>
        <v>0.30263157894736842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-2179.4117647058824</v>
      </c>
      <c r="P5" s="115">
        <v>34</v>
      </c>
      <c r="Q5" s="99">
        <v>-74100</v>
      </c>
    </row>
    <row r="6" spans="1:17" x14ac:dyDescent="0.4">
      <c r="A6" s="51" t="s">
        <v>1</v>
      </c>
      <c r="B6" s="144">
        <f>IF(B$2=0,0,(B$7*1+B$8*2+B$9*3)/B$2)</f>
        <v>2.4054054054054053</v>
      </c>
      <c r="C6" s="145"/>
      <c r="E6" s="59" t="s">
        <v>68</v>
      </c>
      <c r="F6" s="56" t="s">
        <v>12</v>
      </c>
      <c r="G6" s="44">
        <v>22</v>
      </c>
      <c r="H6" s="129">
        <f>IF(B$17=0,0,G6/B$17)</f>
        <v>0.28947368421052633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-1615.1515151515152</v>
      </c>
      <c r="P6" s="115">
        <v>33</v>
      </c>
      <c r="Q6" s="99">
        <v>-53300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0.13513513513513514</v>
      </c>
      <c r="E7" s="59" t="s">
        <v>67</v>
      </c>
      <c r="F7" s="56" t="s">
        <v>23</v>
      </c>
      <c r="G7" s="44">
        <v>19</v>
      </c>
      <c r="H7" s="129">
        <f>IF(B$17=0,0,G7/B$17)</f>
        <v>0.25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-3600</v>
      </c>
      <c r="P7" s="116">
        <v>26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0.32432432432432434</v>
      </c>
      <c r="E8" s="59" t="s">
        <v>89</v>
      </c>
      <c r="F8" s="56" t="s">
        <v>44</v>
      </c>
      <c r="G8" s="44">
        <v>11</v>
      </c>
      <c r="H8" s="129">
        <f>IF(B$17=0,0,G8/B$17)</f>
        <v>0.14473684210526316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0.54054054054054057</v>
      </c>
      <c r="E9" s="59" t="s">
        <v>70</v>
      </c>
      <c r="F9" s="56" t="s">
        <v>25</v>
      </c>
      <c r="G9" s="44">
        <v>9</v>
      </c>
      <c r="H9" s="129">
        <f>IF(B$17=0,0,G9/B$17)</f>
        <v>0.11842105263157894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0.1891891891891892</v>
      </c>
      <c r="E10" s="59" t="s">
        <v>71</v>
      </c>
      <c r="F10" s="56" t="s">
        <v>26</v>
      </c>
      <c r="G10" s="44">
        <v>8</v>
      </c>
      <c r="H10" s="129">
        <f>IF(B$17=0,0,G10/B$17)</f>
        <v>0.10526315789473684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2.7027027027027029E-2</v>
      </c>
      <c r="E11" s="59" t="s">
        <v>65</v>
      </c>
      <c r="F11" s="56" t="s">
        <v>21</v>
      </c>
      <c r="G11" s="44">
        <v>7</v>
      </c>
      <c r="H11" s="129">
        <f>IF(B$17=0,0,G11/B$17)</f>
        <v>9.2105263157894732E-2</v>
      </c>
      <c r="I11" s="90">
        <v>8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2.7027027027027029E-2</v>
      </c>
      <c r="E12" s="59" t="s">
        <v>69</v>
      </c>
      <c r="F12" s="56" t="s">
        <v>24</v>
      </c>
      <c r="G12" s="44">
        <v>6</v>
      </c>
      <c r="H12" s="129">
        <f>IF(B$17=0,0,G12/B$17)</f>
        <v>7.8947368421052627E-2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-1.3599999999999994</v>
      </c>
      <c r="P12" s="116">
        <v>10</v>
      </c>
      <c r="Q12" s="104">
        <v>-13.599999999999994</v>
      </c>
    </row>
    <row r="13" spans="1:17" x14ac:dyDescent="0.4">
      <c r="A13" s="54" t="s">
        <v>121</v>
      </c>
      <c r="B13" s="47">
        <v>59</v>
      </c>
      <c r="C13" s="42">
        <f>IF(B$3=0,0,B13/B$3)</f>
        <v>0.19155844155844157</v>
      </c>
      <c r="E13" s="59" t="s">
        <v>83</v>
      </c>
      <c r="F13" s="56" t="s">
        <v>38</v>
      </c>
      <c r="G13" s="44">
        <v>6</v>
      </c>
      <c r="H13" s="129">
        <f>IF(B$17=0,0,G13/B$17)</f>
        <v>7.8947368421052627E-2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70</v>
      </c>
      <c r="C14" s="37">
        <f>IF(B$3=0,0,B14/B$3)</f>
        <v>0.22727272727272727</v>
      </c>
      <c r="E14" s="59" t="s">
        <v>86</v>
      </c>
      <c r="F14" s="56" t="s">
        <v>41</v>
      </c>
      <c r="G14" s="44">
        <v>5</v>
      </c>
      <c r="H14" s="129">
        <f>IF(B$17=0,0,G14/B$17)</f>
        <v>6.5789473684210523E-2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32</v>
      </c>
      <c r="C15" s="35">
        <f>IF(B$13=0,0,B15/B$13)</f>
        <v>0.5423728813559322</v>
      </c>
      <c r="E15" s="59" t="s">
        <v>81</v>
      </c>
      <c r="F15" s="56" t="s">
        <v>36</v>
      </c>
      <c r="G15" s="44">
        <v>2</v>
      </c>
      <c r="H15" s="129">
        <f>IF(B$17=0,0,G15/B$17)</f>
        <v>2.6315789473684209E-2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28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1.3157894736842105E-2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-15.864285714285714</v>
      </c>
      <c r="P16" s="115">
        <v>14</v>
      </c>
      <c r="Q16" s="103">
        <v>-222.1</v>
      </c>
    </row>
    <row r="17" spans="1:17" x14ac:dyDescent="0.4">
      <c r="A17" s="50" t="s">
        <v>10</v>
      </c>
      <c r="B17" s="43">
        <f>B19+B18</f>
        <v>76</v>
      </c>
      <c r="C17" s="35">
        <f>IF(B$3=0,0,B17/B$3)</f>
        <v>0.24675324675324675</v>
      </c>
      <c r="E17" s="59" t="s">
        <v>78</v>
      </c>
      <c r="F17" s="56" t="s">
        <v>33</v>
      </c>
      <c r="G17" s="44">
        <v>1</v>
      </c>
      <c r="H17" s="129">
        <f>IF(B$17=0,0,G17/B$17)</f>
        <v>1.3157894736842105E-2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37</v>
      </c>
      <c r="C18" s="37">
        <f>IF(B$17=0,0,B18/B$17)</f>
        <v>0.48684210526315791</v>
      </c>
      <c r="E18" s="59" t="s">
        <v>91</v>
      </c>
      <c r="F18" s="56" t="s">
        <v>46</v>
      </c>
      <c r="G18" s="44">
        <v>1</v>
      </c>
      <c r="H18" s="129">
        <f>IF(B$17=0,0,G18/B$17)</f>
        <v>1.3157894736842105E-2</v>
      </c>
      <c r="I18" s="90">
        <v>3</v>
      </c>
      <c r="K18" s="36">
        <v>16</v>
      </c>
      <c r="L18" s="95">
        <v>-320.30000000000007</v>
      </c>
      <c r="N18" s="111" t="s">
        <v>178</v>
      </c>
      <c r="O18" s="121">
        <f t="shared" si="2"/>
        <v>-22.642105263157891</v>
      </c>
      <c r="P18" s="115">
        <v>19</v>
      </c>
      <c r="Q18" s="103">
        <v>-430.19999999999993</v>
      </c>
    </row>
    <row r="19" spans="1:17" x14ac:dyDescent="0.4">
      <c r="A19" s="51" t="s">
        <v>11</v>
      </c>
      <c r="B19" s="44">
        <v>39</v>
      </c>
      <c r="C19" s="37">
        <f>IF(B$17=0,0,B19/B$17)</f>
        <v>0.51315789473684215</v>
      </c>
      <c r="E19" s="59" t="s">
        <v>95</v>
      </c>
      <c r="F19" s="56" t="s">
        <v>50</v>
      </c>
      <c r="G19" s="44">
        <v>1</v>
      </c>
      <c r="H19" s="129">
        <f>IF(B$17=0,0,G19/B$17)</f>
        <v>1.3157894736842105E-2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58</v>
      </c>
      <c r="C20" s="37">
        <f>IF(B$3=0,0,B20/B$3)</f>
        <v>0.18831168831168832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16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7810.5263157894733</v>
      </c>
      <c r="C23" s="39">
        <v>593600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8183.333333333333</v>
      </c>
      <c r="C24" s="137">
        <v>392800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7171.4285714285716</v>
      </c>
      <c r="C25" s="137">
        <v>200800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-7920.6896551724139</v>
      </c>
      <c r="C26" s="137">
        <v>-459400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3.246753246753247E-3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7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9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2019-11-14T08:52:48Z</dcterms:modified>
</cp:coreProperties>
</file>