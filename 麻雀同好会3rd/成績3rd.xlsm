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DFC383A-E0F5-4847-A64E-18982FCE752F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1" i="5835" l="1"/>
  <c r="O16" i="5843"/>
  <c r="O15" i="5843" l="1"/>
  <c r="O19" i="5851"/>
  <c r="O15" i="5841" l="1"/>
  <c r="O20" i="5847"/>
  <c r="O16" i="5851" l="1"/>
  <c r="O22" i="5841"/>
  <c r="O20" i="5835" l="1"/>
  <c r="O16" i="5837"/>
  <c r="O15" i="5847"/>
  <c r="O19" i="5847"/>
  <c r="O23" i="5845" l="1"/>
  <c r="O17" i="5849"/>
  <c r="O16" i="5839" l="1"/>
  <c r="O17" i="5845"/>
  <c r="O21" i="5847"/>
  <c r="O17" i="5847"/>
  <c r="O18" i="5835" l="1"/>
  <c r="O19" i="5849"/>
  <c r="O18" i="5849"/>
  <c r="O17" i="5841"/>
  <c r="O18" i="5839" l="1"/>
  <c r="O21" i="5843"/>
  <c r="O20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0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19" i="5845"/>
  <c r="O21" i="5845"/>
  <c r="O15" i="5835"/>
  <c r="O19" i="5839"/>
  <c r="O16" i="5841"/>
  <c r="O18" i="5841"/>
  <c r="O19" i="5835"/>
  <c r="O17" i="5839"/>
  <c r="O15" i="5837"/>
  <c r="O21" i="5849"/>
  <c r="O22" i="5849"/>
  <c r="O22" i="5843" l="1"/>
  <c r="O17" i="5843"/>
  <c r="O16" i="5849"/>
  <c r="O15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1" i="5833"/>
  <c r="H4" i="5849" l="1"/>
  <c r="H15" i="5849"/>
  <c r="H39" i="5849"/>
  <c r="H21" i="5849"/>
  <c r="H11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9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4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3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2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19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20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0" i="5833"/>
  <c r="H44" i="5841" l="1"/>
  <c r="H20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5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1" i="5845"/>
  <c r="H3" i="5845"/>
  <c r="H14" i="5845"/>
  <c r="H22" i="5845"/>
  <c r="H2" i="5845"/>
  <c r="H8" i="5845"/>
  <c r="H19" i="5845"/>
  <c r="H28" i="5845"/>
  <c r="H23" i="5845"/>
  <c r="H51" i="5845"/>
  <c r="B24" i="5845"/>
  <c r="H36" i="5845"/>
  <c r="H52" i="5845"/>
  <c r="H47" i="5845"/>
  <c r="H30" i="5845"/>
  <c r="H21" i="5845"/>
  <c r="H34" i="5845"/>
  <c r="H24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2" i="5845"/>
  <c r="H29" i="5845"/>
  <c r="H20" i="5845"/>
  <c r="H32" i="5845"/>
  <c r="H38" i="5845"/>
  <c r="H45" i="5845"/>
  <c r="H23" i="5843"/>
  <c r="B23" i="5843"/>
  <c r="H2" i="5843"/>
  <c r="H44" i="5843"/>
  <c r="H16" i="5843"/>
  <c r="H11" i="5843"/>
  <c r="C18" i="5843"/>
  <c r="H48" i="5843"/>
  <c r="C17" i="5843"/>
  <c r="H5" i="5843"/>
  <c r="H14" i="5843"/>
  <c r="H8" i="5843"/>
  <c r="H4" i="5843"/>
  <c r="H3" i="5843"/>
  <c r="H28" i="5843"/>
  <c r="H36" i="5843"/>
  <c r="H25" i="5843"/>
  <c r="H40" i="5843"/>
  <c r="H21" i="5843"/>
  <c r="H22" i="5843"/>
  <c r="H37" i="5843"/>
  <c r="H45" i="5843"/>
  <c r="H6" i="5843"/>
  <c r="H26" i="5843"/>
  <c r="C19" i="5843"/>
  <c r="B24" i="5843"/>
  <c r="H38" i="5843"/>
  <c r="H46" i="5843"/>
  <c r="H52" i="5843"/>
  <c r="H10" i="5843"/>
  <c r="H7" i="5843"/>
  <c r="H12" i="5843"/>
  <c r="H24" i="5843"/>
  <c r="H17" i="5843"/>
  <c r="H15" i="5843"/>
  <c r="H18" i="5843"/>
  <c r="H39" i="5843"/>
  <c r="H47" i="5843"/>
  <c r="H29" i="5843"/>
  <c r="H31" i="5843"/>
  <c r="H33" i="5843"/>
  <c r="H41" i="5843"/>
  <c r="H49" i="5843"/>
  <c r="H9" i="5843"/>
  <c r="H19" i="5843"/>
  <c r="H13" i="5843"/>
  <c r="H34" i="5843"/>
  <c r="H42" i="5843"/>
  <c r="H50" i="5843"/>
  <c r="H27" i="5843"/>
  <c r="H30" i="5843"/>
  <c r="H32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4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2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5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1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2" i="5835"/>
  <c r="H26" i="5835"/>
  <c r="H4" i="5835"/>
  <c r="C17" i="5835"/>
  <c r="H6" i="5835"/>
  <c r="H5" i="5835"/>
  <c r="C19" i="5835"/>
  <c r="H32" i="5835"/>
  <c r="H52" i="5835"/>
  <c r="H18" i="5835"/>
  <c r="H14" i="5835"/>
  <c r="H16" i="5835"/>
  <c r="H15" i="5835"/>
  <c r="H38" i="5835"/>
  <c r="H46" i="5835"/>
  <c r="H33" i="5835"/>
  <c r="H41" i="5835"/>
  <c r="H49" i="5835"/>
  <c r="H30" i="5835"/>
  <c r="H48" i="5835"/>
  <c r="H19" i="5835"/>
  <c r="H10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5" i="5833"/>
  <c r="H13" i="5833"/>
  <c r="H3" i="5833"/>
  <c r="H8" i="5833"/>
  <c r="H15" i="5833"/>
  <c r="H2" i="5833"/>
  <c r="C17" i="5833"/>
  <c r="H21" i="5833"/>
  <c r="H19" i="5833"/>
  <c r="H41" i="5833"/>
  <c r="H20" i="5833"/>
  <c r="H48" i="5833"/>
  <c r="H23" i="5833"/>
  <c r="H28" i="5833"/>
  <c r="H43" i="5833"/>
  <c r="H51" i="5833"/>
  <c r="H7" i="5833"/>
  <c r="H27" i="5833"/>
  <c r="H33" i="5833"/>
  <c r="C18" i="5833"/>
  <c r="B23" i="5833"/>
  <c r="H9" i="5833"/>
  <c r="H37" i="5833"/>
  <c r="H44" i="5833"/>
  <c r="H16" i="5833"/>
  <c r="H4" i="5833"/>
  <c r="H11" i="5833"/>
  <c r="H34" i="5833"/>
  <c r="H26" i="5833"/>
  <c r="H30" i="5833"/>
  <c r="H38" i="5833"/>
  <c r="H45" i="5833"/>
  <c r="H5" i="5833"/>
  <c r="H24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<sst xmlns="http://schemas.openxmlformats.org/spreadsheetml/2006/main" count="2793" uniqueCount="232">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</sst>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全体!$K$2:$K$434</c:f>
              <c:numCache>
                <c:formatCode>General</c:formatCode>
                <c:ptCount val="4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</c:numCache>
            </c:numRef>
          </c:xVal>
          <c:yVal>
            <c:numRef>
              <c:f>全体!$L$2:$L$434</c:f>
              <c:numCache>
                <c:formatCode>\+0.0;\-0.0;\±0</c:formatCode>
                <c:ptCount val="43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-23.310023310023311</c:v>
                </c:pt>
                <c:pt idx="1">
                  <c:v>9.5923261390887298</c:v>
                </c:pt>
                <c:pt idx="2">
                  <c:v>-20.050125313283207</c:v>
                </c:pt>
                <c:pt idx="3">
                  <c:v>15.748031496062993</c:v>
                </c:pt>
                <c:pt idx="4">
                  <c:v>14.005602240896359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1634.1463414634147</c:v>
                </c:pt>
                <c:pt idx="1">
                  <c:v>-1080</c:v>
                </c:pt>
                <c:pt idx="2">
                  <c:v>-644.73684210526312</c:v>
                </c:pt>
                <c:pt idx="3">
                  <c:v>-1934.2105263157894</c:v>
                </c:pt>
                <c:pt idx="4">
                  <c:v>118.42105263157895</c:v>
                </c:pt>
                <c:pt idx="5">
                  <c:v>-1943.75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だいち!$L$2:$L$89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402.32558139534882</c:v>
                </c:pt>
                <c:pt idx="1">
                  <c:v>-7.2289156626506026</c:v>
                </c:pt>
                <c:pt idx="2">
                  <c:v>-549.38271604938268</c:v>
                </c:pt>
                <c:pt idx="3">
                  <c:v>-509.33333333333331</c:v>
                </c:pt>
                <c:pt idx="4">
                  <c:v>2818.3098591549297</c:v>
                </c:pt>
                <c:pt idx="5">
                  <c:v>3467.7966101694915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ただ!$L$2:$L$84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-1949.3827160493827</c:v>
                </c:pt>
                <c:pt idx="1">
                  <c:v>1487.3417721518988</c:v>
                </c:pt>
                <c:pt idx="2">
                  <c:v>769.33333333333337</c:v>
                </c:pt>
                <c:pt idx="3">
                  <c:v>2307.0422535211269</c:v>
                </c:pt>
                <c:pt idx="4">
                  <c:v>20.895522388059703</c:v>
                </c:pt>
                <c:pt idx="5">
                  <c:v>1643.859649122807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-512.5</c:v>
                </c:pt>
                <c:pt idx="1">
                  <c:v>-382.14285714285717</c:v>
                </c:pt>
                <c:pt idx="2">
                  <c:v>1120.7547169811321</c:v>
                </c:pt>
                <c:pt idx="3">
                  <c:v>-1419.2307692307693</c:v>
                </c:pt>
                <c:pt idx="4">
                  <c:v>-3500</c:v>
                </c:pt>
                <c:pt idx="5">
                  <c:v>-1368.1818181818182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れんたろう!$L$2:$L$48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2554.3478260869565</c:v>
                </c:pt>
                <c:pt idx="1">
                  <c:v>-3209.090909090909</c:v>
                </c:pt>
                <c:pt idx="2">
                  <c:v>1946.3414634146341</c:v>
                </c:pt>
                <c:pt idx="3">
                  <c:v>3335.897435897436</c:v>
                </c:pt>
                <c:pt idx="4">
                  <c:v>-1597.2222222222222</c:v>
                </c:pt>
                <c:pt idx="5">
                  <c:v>-268.9655172413793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1421.2121212121212</c:v>
                </c:pt>
                <c:pt idx="1">
                  <c:v>1533.3333333333333</c:v>
                </c:pt>
                <c:pt idx="2">
                  <c:v>-1267.7966101694915</c:v>
                </c:pt>
                <c:pt idx="3">
                  <c:v>274.54545454545456</c:v>
                </c:pt>
                <c:pt idx="4">
                  <c:v>-675.51020408163265</c:v>
                </c:pt>
                <c:pt idx="5">
                  <c:v>-1613.953488372093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のり!$L$2:$L$32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-2746.6666666666665</c:v>
                </c:pt>
                <c:pt idx="1">
                  <c:v>-383.33333333333331</c:v>
                </c:pt>
                <c:pt idx="2">
                  <c:v>-770</c:v>
                </c:pt>
                <c:pt idx="3">
                  <c:v>-2817.2413793103447</c:v>
                </c:pt>
                <c:pt idx="4">
                  <c:v>-1496.4285714285713</c:v>
                </c:pt>
                <c:pt idx="5">
                  <c:v>-3778.2608695652175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-2264.2857142857142</c:v>
                </c:pt>
                <c:pt idx="4">
                  <c:v>6215.3846153846152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まっつん2!$B$3:$B$69</c:f>
              <c:numCache>
                <c:formatCode>\+0.0;\-0.0;\±0</c:formatCode>
                <c:ptCount val="6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まっつん2!$C$3:$C$69</c:f>
              <c:numCache>
                <c:formatCode>\+0.0;\-0.0;\±0</c:formatCode>
                <c:ptCount val="67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289549702593056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まっつん2!$D$3:$D$69</c:f>
              <c:numCache>
                <c:formatCode>0.00\ "位"</c:formatCode>
                <c:ptCount val="67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まっつん2!$E$3:$E$69</c:f>
              <c:numCache>
                <c:formatCode>0.0%</c:formatCode>
                <c:ptCount val="6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まっつん2!$F$3:$F$69</c:f>
              <c:numCache>
                <c:formatCode>0.0%</c:formatCode>
                <c:ptCount val="6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まっつん2!$G$3:$G$69</c:f>
              <c:numCache>
                <c:formatCode>0.0%</c:formatCode>
                <c:ptCount val="67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6622369878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まっつん2!$H$3:$H$69</c:f>
              <c:numCache>
                <c:formatCode>0.0%</c:formatCode>
                <c:ptCount val="67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621262458471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まっつん2!$I$3:$I$69</c:f>
              <c:numCache>
                <c:formatCode>0</c:formatCode>
                <c:ptCount val="67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27.83018867924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まっつん2!$J$3:$J$69</c:f>
              <c:numCache>
                <c:formatCode>0</c:formatCode>
                <c:ptCount val="67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0.406091370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まっつん2!$K$3:$K$69</c:f>
              <c:numCache>
                <c:formatCode>0.0%</c:formatCode>
                <c:ptCount val="6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2777777777777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まっつん2!$L$3:$L$69</c:f>
              <c:numCache>
                <c:formatCode>0.0%</c:formatCode>
                <c:ptCount val="6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2777777777777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まっつん2!$M$3:$M$69</c:f>
              <c:numCache>
                <c:formatCode>0.0%</c:formatCode>
                <c:ptCount val="67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95459579180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まっつん2!$N$3:$N$69</c:f>
              <c:numCache>
                <c:formatCode>0.0%</c:formatCode>
                <c:ptCount val="67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818383167220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まっつん2!$O$3:$O$69</c:f>
              <c:numCache>
                <c:formatCode>0.0%</c:formatCode>
                <c:ptCount val="67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8385650224215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まっつん2!$P$3:$P$69</c:f>
              <c:numCache>
                <c:formatCode>0.0%</c:formatCode>
                <c:ptCount val="67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45052386495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まっつん2!$Q$3:$Q$69</c:f>
              <c:numCache>
                <c:formatCode>0.0%</c:formatCode>
                <c:ptCount val="67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79245283018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0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7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7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7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7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7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7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7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7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432</v>
      </c>
    </row>
    <row r="2" spans="1:2" x14ac:dyDescent="0.4">
      <c r="A2" t="s">
        <v>166</v>
      </c>
      <c r="B2">
        <v>41</v>
      </c>
    </row>
    <row r="3" spans="1:2" x14ac:dyDescent="0.4">
      <c r="A3" t="s">
        <v>126</v>
      </c>
      <c r="B3">
        <v>87</v>
      </c>
    </row>
    <row r="4" spans="1:2" x14ac:dyDescent="0.4">
      <c r="A4" t="s">
        <v>127</v>
      </c>
      <c r="B4">
        <v>82</v>
      </c>
    </row>
    <row r="5" spans="1:2" x14ac:dyDescent="0.4">
      <c r="A5" t="s">
        <v>179</v>
      </c>
      <c r="B5">
        <v>57</v>
      </c>
    </row>
    <row r="6" spans="1:2" x14ac:dyDescent="0.4">
      <c r="A6" t="s">
        <v>177</v>
      </c>
      <c r="B6">
        <v>46</v>
      </c>
    </row>
    <row r="7" spans="1:2" x14ac:dyDescent="0.4">
      <c r="A7" t="s">
        <v>178</v>
      </c>
      <c r="B7">
        <v>66</v>
      </c>
    </row>
    <row r="8" spans="1:2" x14ac:dyDescent="0.4">
      <c r="A8" t="s">
        <v>182</v>
      </c>
      <c r="B8">
        <v>30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0.98861063378630032</v>
      </c>
      <c r="G2" s="157"/>
      <c r="H2" s="156">
        <v>0.91994083311160557</v>
      </c>
      <c r="I2" s="157"/>
      <c r="J2" s="156">
        <v>0.96665955057614972</v>
      </c>
      <c r="K2" s="157"/>
      <c r="L2" s="156">
        <v>0.86891362321378052</v>
      </c>
      <c r="M2" s="157"/>
      <c r="N2" s="156">
        <v>0.49493573766534749</v>
      </c>
      <c r="O2" s="157"/>
      <c r="P2" s="156">
        <v>0.31197837203008855</v>
      </c>
      <c r="Q2" s="157"/>
      <c r="R2" s="156">
        <v>0.16665505604088698</v>
      </c>
      <c r="S2" s="157"/>
      <c r="T2" s="156">
        <v>0.3184093546970278</v>
      </c>
      <c r="U2" s="157"/>
      <c r="V2" s="156">
        <v>0.70365239646641808</v>
      </c>
      <c r="W2" s="157"/>
      <c r="X2" s="156">
        <v>0.47080438451434692</v>
      </c>
      <c r="Y2" s="157"/>
      <c r="Z2" s="156">
        <v>0.15895663730272819</v>
      </c>
      <c r="AA2" s="157"/>
      <c r="AB2" s="156">
        <v>0.18390677591766896</v>
      </c>
      <c r="AC2" s="157"/>
      <c r="AD2" s="156">
        <v>0.12828056083498218</v>
      </c>
      <c r="AE2" s="157"/>
      <c r="AF2" s="156">
        <v>-0.25074399467485359</v>
      </c>
      <c r="AG2" s="157"/>
      <c r="AH2" s="156">
        <v>0.5133314283593573</v>
      </c>
      <c r="AI2" s="157"/>
    </row>
    <row r="3" spans="1:35" x14ac:dyDescent="0.4">
      <c r="A3" s="70">
        <v>1</v>
      </c>
      <c r="B3" s="71" t="s">
        <v>126</v>
      </c>
      <c r="C3" s="72">
        <v>554.39999999999986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10172.897196261682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0.19565217391304349</v>
      </c>
      <c r="X3" s="73" t="s">
        <v>177</v>
      </c>
      <c r="Y3" s="76">
        <v>0.31016042780748665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344.69999999999987</v>
      </c>
      <c r="D4" s="81" t="s">
        <v>126</v>
      </c>
      <c r="E4" s="93">
        <v>6.3724137931034468</v>
      </c>
      <c r="F4" s="81" t="s">
        <v>126</v>
      </c>
      <c r="G4" s="82">
        <v>1.7931034482758621</v>
      </c>
      <c r="H4" s="81" t="s">
        <v>126</v>
      </c>
      <c r="I4" s="83">
        <v>0.45977011494252873</v>
      </c>
      <c r="J4" s="81" t="s">
        <v>126</v>
      </c>
      <c r="K4" s="83">
        <v>0.25287356321839083</v>
      </c>
      <c r="L4" s="81" t="s">
        <v>126</v>
      </c>
      <c r="M4" s="84">
        <v>0.33190271816881262</v>
      </c>
      <c r="N4" s="81" t="s">
        <v>178</v>
      </c>
      <c r="O4" s="84">
        <v>0.1266294227188082</v>
      </c>
      <c r="P4" s="81" t="s">
        <v>127</v>
      </c>
      <c r="Q4" s="85">
        <v>8750.454545454546</v>
      </c>
      <c r="R4" s="81" t="s">
        <v>181</v>
      </c>
      <c r="S4" s="85">
        <v>-6800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0.28541666666666665</v>
      </c>
      <c r="Z4" s="81" t="s">
        <v>222</v>
      </c>
      <c r="AA4" s="84">
        <v>0.33333333333333331</v>
      </c>
      <c r="AB4" s="81" t="s">
        <v>179</v>
      </c>
      <c r="AC4" s="84">
        <v>0.61313868613138689</v>
      </c>
      <c r="AD4" s="81" t="s">
        <v>126</v>
      </c>
      <c r="AE4" s="84">
        <v>0.4785276073619632</v>
      </c>
      <c r="AF4" s="81" t="s">
        <v>182</v>
      </c>
      <c r="AG4" s="84">
        <v>0.49122807017543857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154.90000000000006</v>
      </c>
      <c r="D5" s="81" t="s">
        <v>127</v>
      </c>
      <c r="E5" s="93">
        <v>4.2036585365853645</v>
      </c>
      <c r="F5" s="81" t="s">
        <v>127</v>
      </c>
      <c r="G5" s="82">
        <v>1.8780487804878048</v>
      </c>
      <c r="H5" s="81" t="s">
        <v>195</v>
      </c>
      <c r="I5" s="83">
        <v>0.42857142857142855</v>
      </c>
      <c r="J5" s="81" t="s">
        <v>127</v>
      </c>
      <c r="K5" s="83">
        <v>0.28048780487804881</v>
      </c>
      <c r="L5" s="81" t="s">
        <v>127</v>
      </c>
      <c r="M5" s="84">
        <v>0.31428571428571428</v>
      </c>
      <c r="N5" s="81" t="s">
        <v>181</v>
      </c>
      <c r="O5" s="84">
        <v>0.13380281690140844</v>
      </c>
      <c r="P5" s="81" t="s">
        <v>178</v>
      </c>
      <c r="Q5" s="85">
        <v>8461.4379084967313</v>
      </c>
      <c r="R5" s="81" t="s">
        <v>126</v>
      </c>
      <c r="S5" s="85">
        <v>-7563.541666666667</v>
      </c>
      <c r="T5" s="81" t="s">
        <v>126</v>
      </c>
      <c r="U5" s="83">
        <v>4.5977011494252873E-2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0.30285714285714288</v>
      </c>
      <c r="AB5" s="81" t="s">
        <v>126</v>
      </c>
      <c r="AC5" s="84">
        <v>0.59890109890109888</v>
      </c>
      <c r="AD5" s="81" t="s">
        <v>177</v>
      </c>
      <c r="AE5" s="84">
        <v>0.45333333333333331</v>
      </c>
      <c r="AF5" s="81" t="s">
        <v>179</v>
      </c>
      <c r="AG5" s="84">
        <v>0.47058823529411764</v>
      </c>
      <c r="AH5" s="81" t="s">
        <v>177</v>
      </c>
      <c r="AI5" s="88">
        <v>94100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1.9130434782608696</v>
      </c>
      <c r="H6" s="81" t="s">
        <v>177</v>
      </c>
      <c r="I6" s="83">
        <v>0.41304347826086957</v>
      </c>
      <c r="J6" s="81" t="s">
        <v>181</v>
      </c>
      <c r="K6" s="83">
        <v>0.2857142857142857</v>
      </c>
      <c r="L6" s="81" t="s">
        <v>143</v>
      </c>
      <c r="M6" s="84">
        <v>0.29346622369878184</v>
      </c>
      <c r="N6" s="81" t="s">
        <v>126</v>
      </c>
      <c r="O6" s="84">
        <v>0.13733905579399142</v>
      </c>
      <c r="P6" s="81" t="s">
        <v>143</v>
      </c>
      <c r="Q6" s="85">
        <v>8327.8301886792451</v>
      </c>
      <c r="R6" s="81" t="s">
        <v>179</v>
      </c>
      <c r="S6" s="85">
        <v>-7629</v>
      </c>
      <c r="T6" s="81" t="s">
        <v>179</v>
      </c>
      <c r="U6" s="83">
        <v>7.0175438596491224E-2</v>
      </c>
      <c r="V6" s="81" t="s">
        <v>127</v>
      </c>
      <c r="W6" s="83">
        <v>9.7560975609756101E-2</v>
      </c>
      <c r="X6" s="81" t="s">
        <v>222</v>
      </c>
      <c r="Y6" s="84">
        <v>0.26666666666666666</v>
      </c>
      <c r="Z6" s="81" t="s">
        <v>178</v>
      </c>
      <c r="AA6" s="84">
        <v>0.25139664804469275</v>
      </c>
      <c r="AB6" s="81" t="s">
        <v>178</v>
      </c>
      <c r="AC6" s="84">
        <v>0.58518518518518514</v>
      </c>
      <c r="AD6" s="81" t="s">
        <v>182</v>
      </c>
      <c r="AE6" s="84">
        <v>0.41509433962264153</v>
      </c>
      <c r="AF6" s="81" t="s">
        <v>177</v>
      </c>
      <c r="AG6" s="84">
        <v>0.46728971962616822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3.3673913043478274</v>
      </c>
      <c r="F7" s="81" t="s">
        <v>181</v>
      </c>
      <c r="G7" s="82">
        <v>1.9285714285714286</v>
      </c>
      <c r="H7" s="81" t="s">
        <v>127</v>
      </c>
      <c r="I7" s="83">
        <v>0.40243902439024393</v>
      </c>
      <c r="J7" s="81" t="s">
        <v>178</v>
      </c>
      <c r="K7" s="83">
        <v>0.30303030303030304</v>
      </c>
      <c r="L7" s="81" t="s">
        <v>181</v>
      </c>
      <c r="M7" s="84">
        <v>0.28873239436619719</v>
      </c>
      <c r="N7" s="81" t="s">
        <v>166</v>
      </c>
      <c r="O7" s="84">
        <v>0.14722222222222223</v>
      </c>
      <c r="P7" s="81" t="s">
        <v>179</v>
      </c>
      <c r="Q7" s="85">
        <v>8029.411764705882</v>
      </c>
      <c r="R7" s="81" t="s">
        <v>127</v>
      </c>
      <c r="S7" s="85">
        <v>-7723.5294117647063</v>
      </c>
      <c r="T7" s="81" t="s">
        <v>181</v>
      </c>
      <c r="U7" s="83">
        <v>7.1428571428571425E-2</v>
      </c>
      <c r="V7" s="81" t="s">
        <v>126</v>
      </c>
      <c r="W7" s="83">
        <v>9.1954022988505746E-2</v>
      </c>
      <c r="X7" s="81" t="s">
        <v>126</v>
      </c>
      <c r="Y7" s="84">
        <v>0.2603719599427754</v>
      </c>
      <c r="Z7" s="81" t="s">
        <v>143</v>
      </c>
      <c r="AA7" s="84">
        <v>0.23781838316722037</v>
      </c>
      <c r="AB7" s="81" t="s">
        <v>143</v>
      </c>
      <c r="AC7" s="84">
        <v>0.56838565022421528</v>
      </c>
      <c r="AD7" s="81" t="s">
        <v>143</v>
      </c>
      <c r="AE7" s="84">
        <v>0.40745052386495928</v>
      </c>
      <c r="AF7" s="81" t="s">
        <v>178</v>
      </c>
      <c r="AG7" s="84">
        <v>0.44444444444444442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-1.4210854715202004E-14</v>
      </c>
      <c r="D8" s="81" t="s">
        <v>143</v>
      </c>
      <c r="E8" s="93">
        <v>-3.2895497025930562E-17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0.32608695652173914</v>
      </c>
      <c r="L8" s="81" t="s">
        <v>177</v>
      </c>
      <c r="M8" s="84">
        <v>0.28609625668449196</v>
      </c>
      <c r="N8" s="81" t="s">
        <v>177</v>
      </c>
      <c r="O8" s="84">
        <v>0.16042780748663102</v>
      </c>
      <c r="P8" s="81" t="s">
        <v>182</v>
      </c>
      <c r="Q8" s="85">
        <v>7949.1228070175439</v>
      </c>
      <c r="R8" s="81" t="s">
        <v>143</v>
      </c>
      <c r="S8" s="85">
        <v>-7760.406091370558</v>
      </c>
      <c r="T8" s="81" t="s">
        <v>178</v>
      </c>
      <c r="U8" s="83">
        <v>7.575757575757576E-2</v>
      </c>
      <c r="V8" s="81" t="s">
        <v>178</v>
      </c>
      <c r="W8" s="83">
        <v>9.0909090909090912E-2</v>
      </c>
      <c r="X8" s="81" t="s">
        <v>178</v>
      </c>
      <c r="Y8" s="84">
        <v>0.25139664804469275</v>
      </c>
      <c r="Z8" s="81" t="s">
        <v>166</v>
      </c>
      <c r="AA8" s="84">
        <v>0.23333333333333334</v>
      </c>
      <c r="AB8" s="81" t="s">
        <v>127</v>
      </c>
      <c r="AC8" s="84">
        <v>0.54374999999999996</v>
      </c>
      <c r="AD8" s="81" t="s">
        <v>178</v>
      </c>
      <c r="AE8" s="84">
        <v>0.40740740740740738</v>
      </c>
      <c r="AF8" s="81" t="s">
        <v>143</v>
      </c>
      <c r="AG8" s="84">
        <v>0.43679245283018869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-6.2999999999999794</v>
      </c>
      <c r="D9" s="81" t="s">
        <v>178</v>
      </c>
      <c r="E9" s="93">
        <v>-9.5454545454545139E-2</v>
      </c>
      <c r="F9" s="81" t="s">
        <v>178</v>
      </c>
      <c r="G9" s="82">
        <v>2.0757575757575757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0.28491620111731841</v>
      </c>
      <c r="N9" s="81" t="s">
        <v>143</v>
      </c>
      <c r="O9" s="84">
        <v>0.16362126245847175</v>
      </c>
      <c r="P9" s="81" t="s">
        <v>126</v>
      </c>
      <c r="Q9" s="85">
        <v>7784.0517241379312</v>
      </c>
      <c r="R9" s="81" t="s">
        <v>222</v>
      </c>
      <c r="S9" s="85">
        <v>-8000</v>
      </c>
      <c r="T9" s="81" t="s">
        <v>143</v>
      </c>
      <c r="U9" s="83">
        <v>9.0277777777777776E-2</v>
      </c>
      <c r="V9" s="81" t="s">
        <v>143</v>
      </c>
      <c r="W9" s="83">
        <v>9.0277777777777776E-2</v>
      </c>
      <c r="X9" s="81" t="s">
        <v>143</v>
      </c>
      <c r="Y9" s="84">
        <v>0.24695459579180509</v>
      </c>
      <c r="Z9" s="81" t="s">
        <v>126</v>
      </c>
      <c r="AA9" s="84">
        <v>0.23319027181688126</v>
      </c>
      <c r="AB9" s="81" t="s">
        <v>182</v>
      </c>
      <c r="AC9" s="84">
        <v>0.54166666666666663</v>
      </c>
      <c r="AD9" s="81" t="s">
        <v>179</v>
      </c>
      <c r="AE9" s="84">
        <v>0.38636363636363635</v>
      </c>
      <c r="AF9" s="81" t="s">
        <v>126</v>
      </c>
      <c r="AG9" s="84">
        <v>0.42672413793103448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-4.1463414634146352</v>
      </c>
      <c r="F10" s="81" t="s">
        <v>166</v>
      </c>
      <c r="G10" s="82">
        <v>2.0975609756097562</v>
      </c>
      <c r="H10" s="81" t="s">
        <v>166</v>
      </c>
      <c r="I10" s="83">
        <v>0.31707317073170732</v>
      </c>
      <c r="J10" s="81" t="s">
        <v>179</v>
      </c>
      <c r="K10" s="83">
        <v>0.38596491228070173</v>
      </c>
      <c r="L10" s="81" t="s">
        <v>179</v>
      </c>
      <c r="M10" s="84">
        <v>0.28333333333333333</v>
      </c>
      <c r="N10" s="81" t="s">
        <v>182</v>
      </c>
      <c r="O10" s="84">
        <v>0.18930041152263374</v>
      </c>
      <c r="P10" s="81" t="s">
        <v>181</v>
      </c>
      <c r="Q10" s="85">
        <v>7782.9268292682927</v>
      </c>
      <c r="R10" s="81" t="s">
        <v>178</v>
      </c>
      <c r="S10" s="85">
        <v>-8179.411764705882</v>
      </c>
      <c r="T10" s="81" t="s">
        <v>177</v>
      </c>
      <c r="U10" s="83">
        <v>0.10869565217391304</v>
      </c>
      <c r="V10" s="81" t="s">
        <v>166</v>
      </c>
      <c r="W10" s="83">
        <v>4.878048780487805E-2</v>
      </c>
      <c r="X10" s="81" t="s">
        <v>195</v>
      </c>
      <c r="Y10" s="84">
        <v>0.24193548387096775</v>
      </c>
      <c r="Z10" s="81" t="s">
        <v>182</v>
      </c>
      <c r="AA10" s="84">
        <v>0.21810699588477367</v>
      </c>
      <c r="AB10" s="81" t="s">
        <v>195</v>
      </c>
      <c r="AC10" s="84">
        <v>0.53333333333333333</v>
      </c>
      <c r="AD10" s="81" t="s">
        <v>127</v>
      </c>
      <c r="AE10" s="84">
        <v>0.37735849056603776</v>
      </c>
      <c r="AF10" s="81" t="s">
        <v>166</v>
      </c>
      <c r="AG10" s="84">
        <v>0.41304347826086957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-170.00000000000003</v>
      </c>
      <c r="D11" s="81" t="s">
        <v>179</v>
      </c>
      <c r="E11" s="93">
        <v>-6.6052631578947363</v>
      </c>
      <c r="F11" s="81" t="s">
        <v>195</v>
      </c>
      <c r="G11" s="82">
        <v>2.1428571428571428</v>
      </c>
      <c r="H11" s="81" t="s">
        <v>178</v>
      </c>
      <c r="I11" s="83">
        <v>0.22727272727272727</v>
      </c>
      <c r="J11" s="81" t="s">
        <v>166</v>
      </c>
      <c r="K11" s="83">
        <v>0.41463414634146339</v>
      </c>
      <c r="L11" s="81" t="s">
        <v>166</v>
      </c>
      <c r="M11" s="84">
        <v>0.25555555555555554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182</v>
      </c>
      <c r="S11" s="85">
        <v>-8206.5217391304341</v>
      </c>
      <c r="T11" s="81" t="s">
        <v>127</v>
      </c>
      <c r="U11" s="83">
        <v>0.13414634146341464</v>
      </c>
      <c r="V11" s="81" t="s">
        <v>179</v>
      </c>
      <c r="W11" s="83">
        <v>3.5087719298245612E-2</v>
      </c>
      <c r="X11" s="81" t="s">
        <v>127</v>
      </c>
      <c r="Y11" s="84">
        <v>0.22857142857142856</v>
      </c>
      <c r="Z11" s="81" t="s">
        <v>177</v>
      </c>
      <c r="AA11" s="84">
        <v>0.20053475935828877</v>
      </c>
      <c r="AB11" s="81" t="s">
        <v>166</v>
      </c>
      <c r="AC11" s="84">
        <v>0.50909090909090904</v>
      </c>
      <c r="AD11" s="81" t="s">
        <v>166</v>
      </c>
      <c r="AE11" s="84">
        <v>0.34523809523809523</v>
      </c>
      <c r="AF11" s="81" t="s">
        <v>127</v>
      </c>
      <c r="AG11" s="84">
        <v>0.39545454545454545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-376.49999999999994</v>
      </c>
      <c r="D12" s="81" t="s">
        <v>195</v>
      </c>
      <c r="E12" s="93">
        <v>-14.971428571428573</v>
      </c>
      <c r="F12" s="81" t="s">
        <v>179</v>
      </c>
      <c r="G12" s="82">
        <v>2.1754385964912282</v>
      </c>
      <c r="H12" s="81" t="s">
        <v>179</v>
      </c>
      <c r="I12" s="83">
        <v>0.21052631578947367</v>
      </c>
      <c r="J12" s="81" t="s">
        <v>182</v>
      </c>
      <c r="K12" s="83">
        <v>0.56666666666666665</v>
      </c>
      <c r="L12" s="81" t="s">
        <v>195</v>
      </c>
      <c r="M12" s="84">
        <v>0.24193548387096775</v>
      </c>
      <c r="N12" s="81" t="s">
        <v>127</v>
      </c>
      <c r="O12" s="84">
        <v>0.19428571428571428</v>
      </c>
      <c r="P12" s="81" t="s">
        <v>166</v>
      </c>
      <c r="Q12" s="85">
        <v>7450</v>
      </c>
      <c r="R12" s="81" t="s">
        <v>177</v>
      </c>
      <c r="S12" s="85">
        <v>-8468.3333333333339</v>
      </c>
      <c r="T12" s="81" t="s">
        <v>182</v>
      </c>
      <c r="U12" s="83">
        <v>0.16666666666666666</v>
      </c>
      <c r="V12" s="81" t="s">
        <v>182</v>
      </c>
      <c r="W12" s="83">
        <v>3.3333333333333333E-2</v>
      </c>
      <c r="X12" s="81" t="s">
        <v>182</v>
      </c>
      <c r="Y12" s="84">
        <v>0.19753086419753085</v>
      </c>
      <c r="Z12" s="81" t="s">
        <v>179</v>
      </c>
      <c r="AA12" s="84">
        <v>0.18333333333333332</v>
      </c>
      <c r="AB12" s="81" t="s">
        <v>177</v>
      </c>
      <c r="AC12" s="84">
        <v>0.50862068965517238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-472.50000000000011</v>
      </c>
      <c r="D13" s="81" t="s">
        <v>182</v>
      </c>
      <c r="E13" s="93">
        <v>-15.750000000000004</v>
      </c>
      <c r="F13" s="81" t="s">
        <v>182</v>
      </c>
      <c r="G13" s="82">
        <v>2.4666666666666668</v>
      </c>
      <c r="H13" s="81" t="s">
        <v>182</v>
      </c>
      <c r="I13" s="83">
        <v>0.1</v>
      </c>
      <c r="J13" s="81" t="s">
        <v>195</v>
      </c>
      <c r="K13" s="83">
        <v>0.5714285714285714</v>
      </c>
      <c r="L13" s="81" t="s">
        <v>182</v>
      </c>
      <c r="M13" s="84">
        <v>0.23456790123456789</v>
      </c>
      <c r="N13" s="81" t="s">
        <v>179</v>
      </c>
      <c r="O13" s="84">
        <v>0.20833333333333334</v>
      </c>
      <c r="P13" s="81" t="s">
        <v>222</v>
      </c>
      <c r="Q13" s="85">
        <v>7385.7142857142853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0.15277777777777779</v>
      </c>
      <c r="Z13" s="81" t="s">
        <v>181</v>
      </c>
      <c r="AA13" s="84">
        <v>0.15492957746478872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3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432</v>
      </c>
      <c r="C2" s="149"/>
      <c r="E2" s="58" t="s">
        <v>66</v>
      </c>
      <c r="F2" s="55" t="s">
        <v>22</v>
      </c>
      <c r="G2" s="43">
        <v>823</v>
      </c>
      <c r="H2" s="128">
        <f>IF(B$17=0,0,G2/B$17)</f>
        <v>0.77641509433962264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-23.310023310023311</v>
      </c>
      <c r="P2" s="114">
        <v>429</v>
      </c>
      <c r="Q2" s="98">
        <v>-10000</v>
      </c>
    </row>
    <row r="3" spans="1:17" x14ac:dyDescent="0.4">
      <c r="A3" s="51" t="s">
        <v>8</v>
      </c>
      <c r="B3" s="150">
        <v>3612</v>
      </c>
      <c r="C3" s="151"/>
      <c r="E3" s="59" t="s">
        <v>72</v>
      </c>
      <c r="F3" s="56" t="s">
        <v>27</v>
      </c>
      <c r="G3" s="44">
        <v>575</v>
      </c>
      <c r="H3" s="129">
        <f>IF(B$17=0,0,G3/B$17)</f>
        <v>0.54245283018867929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9.5923261390887298</v>
      </c>
      <c r="P3" s="115">
        <v>417</v>
      </c>
      <c r="Q3" s="99">
        <v>4000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484</v>
      </c>
      <c r="H4" s="129">
        <f>IF(B$17=0,0,G4/B$17)</f>
        <v>0.45660377358490567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-20.050125313283207</v>
      </c>
      <c r="P4" s="115">
        <v>399</v>
      </c>
      <c r="Q4" s="99">
        <v>-8000</v>
      </c>
    </row>
    <row r="5" spans="1:17" x14ac:dyDescent="0.4">
      <c r="A5" s="51" t="s">
        <v>7</v>
      </c>
      <c r="B5" s="154">
        <f>IF(B$2=0,0,B$4/B$2)</f>
        <v>-3.2895497025930562E-17</v>
      </c>
      <c r="C5" s="155"/>
      <c r="E5" s="59" t="s">
        <v>171</v>
      </c>
      <c r="F5" s="56" t="s">
        <v>172</v>
      </c>
      <c r="G5" s="44">
        <v>416</v>
      </c>
      <c r="H5" s="129">
        <f>IF(B$17=0,0,G5/B$17)</f>
        <v>0.39245283018867927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15.748031496062993</v>
      </c>
      <c r="P5" s="115">
        <v>381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332</v>
      </c>
      <c r="H6" s="129">
        <f>IF(B$17=0,0,G6/B$17)</f>
        <v>0.31320754716981131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14.005602240896359</v>
      </c>
      <c r="P6" s="115">
        <v>357</v>
      </c>
      <c r="Q6" s="99">
        <v>5000</v>
      </c>
    </row>
    <row r="7" spans="1:17" x14ac:dyDescent="0.4">
      <c r="A7" s="51" t="s">
        <v>2</v>
      </c>
      <c r="B7" s="44">
        <v>144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313</v>
      </c>
      <c r="H7" s="129">
        <f>IF(B$17=0,0,G7/B$17)</f>
        <v>0.29528301886792452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10</v>
      </c>
      <c r="P7" s="116">
        <v>300</v>
      </c>
      <c r="Q7" s="100">
        <v>3000</v>
      </c>
    </row>
    <row r="8" spans="1:17" x14ac:dyDescent="0.4">
      <c r="A8" s="51" t="s">
        <v>3</v>
      </c>
      <c r="B8" s="44">
        <v>144</v>
      </c>
      <c r="C8" s="37">
        <f t="shared" si="1"/>
        <v>0.33333333333333331</v>
      </c>
      <c r="E8" s="59" t="s">
        <v>69</v>
      </c>
      <c r="F8" s="56" t="s">
        <v>24</v>
      </c>
      <c r="G8" s="44">
        <v>162</v>
      </c>
      <c r="H8" s="129">
        <f>IF(B$17=0,0,G8/B$17)</f>
        <v>0.15283018867924528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144</v>
      </c>
      <c r="C9" s="38">
        <f t="shared" si="1"/>
        <v>0.33333333333333331</v>
      </c>
      <c r="E9" s="59" t="s">
        <v>89</v>
      </c>
      <c r="F9" s="56" t="s">
        <v>44</v>
      </c>
      <c r="G9" s="44">
        <v>143</v>
      </c>
      <c r="H9" s="129">
        <f>IF(B$17=0,0,G9/B$17)</f>
        <v>0.13490566037735849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39</v>
      </c>
      <c r="C10" s="38">
        <f t="shared" si="1"/>
        <v>9.0277777777777776E-2</v>
      </c>
      <c r="E10" s="59" t="s">
        <v>65</v>
      </c>
      <c r="F10" s="56" t="s">
        <v>21</v>
      </c>
      <c r="G10" s="44">
        <v>105</v>
      </c>
      <c r="H10" s="129">
        <f>IF(B$17=0,0,G10/B$17)</f>
        <v>9.9056603773584911E-2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0.52361111111111081</v>
      </c>
      <c r="P10" s="114">
        <v>144</v>
      </c>
      <c r="Q10" s="102">
        <v>75.399999999999949</v>
      </c>
    </row>
    <row r="11" spans="1:17" x14ac:dyDescent="0.4">
      <c r="A11" s="52" t="s">
        <v>138</v>
      </c>
      <c r="B11" s="45">
        <v>39</v>
      </c>
      <c r="C11" s="38">
        <f t="shared" si="1"/>
        <v>9.0277777777777776E-2</v>
      </c>
      <c r="E11" s="59" t="s">
        <v>70</v>
      </c>
      <c r="F11" s="56" t="s">
        <v>25</v>
      </c>
      <c r="G11" s="44">
        <v>98</v>
      </c>
      <c r="H11" s="129">
        <f>IF(B$17=0,0,G11/B$17)</f>
        <v>9.2452830188679239E-2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0.83958333333333313</v>
      </c>
      <c r="P11" s="115">
        <v>144</v>
      </c>
      <c r="Q11" s="103">
        <v>120.89999999999998</v>
      </c>
    </row>
    <row r="12" spans="1:17" x14ac:dyDescent="0.4">
      <c r="A12" s="53" t="s">
        <v>158</v>
      </c>
      <c r="B12" s="46">
        <v>47</v>
      </c>
      <c r="C12" s="40">
        <f t="shared" si="1"/>
        <v>0.10879629629629629</v>
      </c>
      <c r="E12" s="59" t="s">
        <v>71</v>
      </c>
      <c r="F12" s="56" t="s">
        <v>26</v>
      </c>
      <c r="G12" s="44">
        <v>80</v>
      </c>
      <c r="H12" s="129">
        <f>IF(B$17=0,0,G12/B$17)</f>
        <v>7.5471698113207544E-2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-1.363194444444445</v>
      </c>
      <c r="P12" s="116">
        <v>144</v>
      </c>
      <c r="Q12" s="104">
        <v>-196.3000000000001</v>
      </c>
    </row>
    <row r="13" spans="1:17" x14ac:dyDescent="0.4">
      <c r="A13" s="54" t="s">
        <v>121</v>
      </c>
      <c r="B13" s="47">
        <v>892</v>
      </c>
      <c r="C13" s="42">
        <f>IF(B$3=0,0,B13/B$3)</f>
        <v>0.24695459579180509</v>
      </c>
      <c r="E13" s="59" t="s">
        <v>83</v>
      </c>
      <c r="F13" s="56" t="s">
        <v>38</v>
      </c>
      <c r="G13" s="44">
        <v>59</v>
      </c>
      <c r="H13" s="129">
        <f>IF(B$17=0,0,G13/B$17)</f>
        <v>5.5660377358490568E-2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859</v>
      </c>
      <c r="C14" s="37">
        <f>IF(B$3=0,0,B14/B$3)</f>
        <v>0.23781838316722037</v>
      </c>
      <c r="E14" s="59" t="s">
        <v>86</v>
      </c>
      <c r="F14" s="56" t="s">
        <v>41</v>
      </c>
      <c r="G14" s="44">
        <v>49</v>
      </c>
      <c r="H14" s="129">
        <f>IF(B$17=0,0,G14/B$17)</f>
        <v>4.6226415094339619E-2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507</v>
      </c>
      <c r="C15" s="35">
        <f>IF(B$13=0,0,B15/B$13)</f>
        <v>0.56838565022421528</v>
      </c>
      <c r="E15" s="59" t="s">
        <v>78</v>
      </c>
      <c r="F15" s="56" t="s">
        <v>33</v>
      </c>
      <c r="G15" s="44">
        <v>28</v>
      </c>
      <c r="H15" s="129">
        <f>IF(B$17=0,0,G15/B$17)</f>
        <v>2.6415094339622643E-2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23.624999999999989</v>
      </c>
      <c r="P15" s="114">
        <v>60</v>
      </c>
      <c r="Q15" s="102">
        <v>1417.4999999999993</v>
      </c>
    </row>
    <row r="16" spans="1:17" x14ac:dyDescent="0.4">
      <c r="A16" s="50" t="s">
        <v>124</v>
      </c>
      <c r="B16" s="43">
        <v>350</v>
      </c>
      <c r="C16" s="35">
        <f>IF(B$14=0,0,B16/B$14)</f>
        <v>0.40745052386495928</v>
      </c>
      <c r="E16" s="59" t="s">
        <v>167</v>
      </c>
      <c r="F16" s="56" t="s">
        <v>168</v>
      </c>
      <c r="G16" s="44">
        <v>25</v>
      </c>
      <c r="H16" s="129">
        <f>IF(B$17=0,0,G16/B$17)</f>
        <v>2.358490566037736E-2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1060</v>
      </c>
      <c r="C17" s="35">
        <f>IF(B$3=0,0,B17/B$3)</f>
        <v>0.29346622369878184</v>
      </c>
      <c r="E17" s="59" t="s">
        <v>81</v>
      </c>
      <c r="F17" s="56" t="s">
        <v>36</v>
      </c>
      <c r="G17" s="44">
        <v>19</v>
      </c>
      <c r="H17" s="129">
        <f>IF(B$17=0,0,G17/B$17)</f>
        <v>1.7924528301886792E-2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9.907894736842108</v>
      </c>
      <c r="P17" s="115">
        <v>114</v>
      </c>
      <c r="Q17" s="103">
        <v>1129.5000000000002</v>
      </c>
    </row>
    <row r="18" spans="1:17" x14ac:dyDescent="0.4">
      <c r="A18" s="51" t="s">
        <v>12</v>
      </c>
      <c r="B18" s="44">
        <v>463</v>
      </c>
      <c r="C18" s="37">
        <f>IF(B$17=0,0,B18/B$17)</f>
        <v>0.43679245283018869</v>
      </c>
      <c r="E18" s="59" t="s">
        <v>91</v>
      </c>
      <c r="F18" s="56" t="s">
        <v>46</v>
      </c>
      <c r="G18" s="44">
        <v>16</v>
      </c>
      <c r="H18" s="129">
        <f>IF(B$17=0,0,G18/B$17)</f>
        <v>1.509433962264151E-2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6.2195121951219487</v>
      </c>
      <c r="P18" s="115">
        <v>82</v>
      </c>
      <c r="Q18" s="103">
        <v>509.99999999999977</v>
      </c>
    </row>
    <row r="19" spans="1:17" x14ac:dyDescent="0.4">
      <c r="A19" s="51" t="s">
        <v>11</v>
      </c>
      <c r="B19" s="44">
        <v>597</v>
      </c>
      <c r="C19" s="37">
        <f>IF(B$17=0,0,B19/B$17)</f>
        <v>0.56320754716981136</v>
      </c>
      <c r="E19" s="59" t="s">
        <v>79</v>
      </c>
      <c r="F19" s="56" t="s">
        <v>34</v>
      </c>
      <c r="G19" s="44">
        <v>15</v>
      </c>
      <c r="H19" s="129">
        <f>IF(B$17=0,0,G19/B$17)</f>
        <v>1.4150943396226415E-2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0.14318181818181774</v>
      </c>
      <c r="P19" s="115">
        <v>132</v>
      </c>
      <c r="Q19" s="103">
        <v>18.899999999999942</v>
      </c>
    </row>
    <row r="20" spans="1:17" x14ac:dyDescent="0.4">
      <c r="A20" s="51" t="s">
        <v>13</v>
      </c>
      <c r="B20" s="44">
        <v>591</v>
      </c>
      <c r="C20" s="37">
        <f>IF(B$3=0,0,B20/B$3)</f>
        <v>0.16362126245847175</v>
      </c>
      <c r="E20" s="59" t="s">
        <v>75</v>
      </c>
      <c r="F20" s="56" t="s">
        <v>30</v>
      </c>
      <c r="G20" s="44">
        <v>7</v>
      </c>
      <c r="H20" s="129">
        <f>IF(B$17=0,0,G20/B$17)</f>
        <v>6.6037735849056606E-3</v>
      </c>
      <c r="I20" s="90">
        <v>6</v>
      </c>
      <c r="K20" s="36">
        <v>18</v>
      </c>
      <c r="L20" s="95">
        <v>0</v>
      </c>
      <c r="N20" s="111" t="s">
        <v>177</v>
      </c>
      <c r="O20" s="121">
        <f>IF(P20=0,0,Q20/P20)</f>
        <v>-5.0510869565217362</v>
      </c>
      <c r="P20" s="115">
        <v>92</v>
      </c>
      <c r="Q20" s="103">
        <v>-464.6999999999997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5.6603773584905656E-3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7</v>
      </c>
      <c r="E22" s="59" t="s">
        <v>74</v>
      </c>
      <c r="F22" s="56" t="s">
        <v>29</v>
      </c>
      <c r="G22" s="44">
        <v>5</v>
      </c>
      <c r="H22" s="129">
        <f>IF(B$17=0,0,G22/B$17)</f>
        <v>4.7169811320754715E-3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-6.3054878048780552</v>
      </c>
      <c r="P22" s="115">
        <v>164</v>
      </c>
      <c r="Q22" s="103">
        <v>-1034.100000000001</v>
      </c>
    </row>
    <row r="23" spans="1:17" x14ac:dyDescent="0.4">
      <c r="A23" s="51" t="s">
        <v>5</v>
      </c>
      <c r="B23" s="48">
        <f>IF(B$17=0,0,C23/B$17)</f>
        <v>8327.8301886792451</v>
      </c>
      <c r="C23" s="39">
        <v>8827500</v>
      </c>
      <c r="E23" s="59" t="s">
        <v>88</v>
      </c>
      <c r="F23" s="56" t="s">
        <v>43</v>
      </c>
      <c r="G23" s="44">
        <v>5</v>
      </c>
      <c r="H23" s="129">
        <f>IF(B$17=0,0,G23/B$17)</f>
        <v>4.7169811320754715E-3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-9.5586206896551626</v>
      </c>
      <c r="P23" s="115">
        <v>174</v>
      </c>
      <c r="Q23" s="103">
        <v>-1663.1999999999985</v>
      </c>
    </row>
    <row r="24" spans="1:17" x14ac:dyDescent="0.4">
      <c r="A24" s="52" t="s">
        <v>216</v>
      </c>
      <c r="B24" s="136">
        <f>IF($B$17-B$16=0,0,C24/($B$17-B$16))</f>
        <v>8816.0563380281692</v>
      </c>
      <c r="C24" s="137">
        <v>6259400</v>
      </c>
      <c r="E24" s="59" t="s">
        <v>77</v>
      </c>
      <c r="F24" s="56" t="s">
        <v>32</v>
      </c>
      <c r="G24" s="44">
        <v>4</v>
      </c>
      <c r="H24" s="129">
        <f>IF(B$17=0,0,G24/B$17)</f>
        <v>3.7735849056603774E-3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7337.4285714285716</v>
      </c>
      <c r="C25" s="137">
        <v>2568100</v>
      </c>
      <c r="E25" s="59" t="s">
        <v>84</v>
      </c>
      <c r="F25" s="56" t="s">
        <v>39</v>
      </c>
      <c r="G25" s="44">
        <v>4</v>
      </c>
      <c r="H25" s="129">
        <f>IF(B$17=0,0,G25/B$17)</f>
        <v>3.7735849056603774E-3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-7760.406091370558</v>
      </c>
      <c r="C26" s="137">
        <v>-4586400</v>
      </c>
      <c r="E26" s="59" t="s">
        <v>85</v>
      </c>
      <c r="F26" s="56" t="s">
        <v>40</v>
      </c>
      <c r="G26" s="44">
        <v>4</v>
      </c>
      <c r="H26" s="129">
        <f>IF(B$17=0,0,G26/B$17)</f>
        <v>3.7735849056603774E-3</v>
      </c>
      <c r="I26" s="90">
        <v>5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73</v>
      </c>
      <c r="F27" s="56" t="s">
        <v>28</v>
      </c>
      <c r="G27" s="44">
        <v>3</v>
      </c>
      <c r="H27" s="129">
        <f>IF(B$17=0,0,G27/B$17)</f>
        <v>2.8301886792452828E-3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2.8301886792452828E-3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3.3222591362126247E-3</v>
      </c>
      <c r="E29" s="59" t="s">
        <v>87</v>
      </c>
      <c r="F29" s="56" t="s">
        <v>42</v>
      </c>
      <c r="G29" s="44">
        <v>2</v>
      </c>
      <c r="H29" s="129">
        <f>IF(B$17=0,0,G29/B$17)</f>
        <v>1.8867924528301887E-3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1.8867924528301887E-3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9.4339622641509435E-4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9.4339622641509435E-4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0.68478260869565222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1634.1463414634147</v>
      </c>
      <c r="P2" s="114">
        <v>41</v>
      </c>
      <c r="Q2" s="98">
        <v>67000</v>
      </c>
    </row>
    <row r="3" spans="1:17" x14ac:dyDescent="0.4">
      <c r="A3" s="51" t="s">
        <v>8</v>
      </c>
      <c r="B3" s="150">
        <v>360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0.5</v>
      </c>
      <c r="I3" s="90">
        <v>9</v>
      </c>
      <c r="K3" s="36">
        <v>1</v>
      </c>
      <c r="L3" s="95">
        <v>-4.5999999999999996</v>
      </c>
      <c r="N3" s="111" t="s">
        <v>131</v>
      </c>
      <c r="O3" s="118">
        <f t="shared" si="0"/>
        <v>-1080</v>
      </c>
      <c r="P3" s="115">
        <v>40</v>
      </c>
      <c r="Q3" s="99">
        <v>-43200</v>
      </c>
    </row>
    <row r="4" spans="1:17" x14ac:dyDescent="0.4">
      <c r="A4" s="51" t="s">
        <v>6</v>
      </c>
      <c r="B4" s="152">
        <v>-170.00000000000003</v>
      </c>
      <c r="C4" s="153"/>
      <c r="E4" s="59" t="s">
        <v>171</v>
      </c>
      <c r="F4" s="56" t="s">
        <v>172</v>
      </c>
      <c r="G4" s="44">
        <v>37</v>
      </c>
      <c r="H4" s="129">
        <f>IF(B$17=0,0,G4/B$17)</f>
        <v>0.40217391304347827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-644.73684210526312</v>
      </c>
      <c r="P4" s="115">
        <v>38</v>
      </c>
      <c r="Q4" s="99">
        <v>-24500</v>
      </c>
    </row>
    <row r="5" spans="1:17" x14ac:dyDescent="0.4">
      <c r="A5" s="51" t="s">
        <v>7</v>
      </c>
      <c r="B5" s="154">
        <f>IF(B$2=0,0,B$4/B$2)</f>
        <v>-4.1463414634146352</v>
      </c>
      <c r="C5" s="155"/>
      <c r="E5" s="59" t="s">
        <v>68</v>
      </c>
      <c r="F5" s="56" t="s">
        <v>12</v>
      </c>
      <c r="G5" s="44">
        <v>27</v>
      </c>
      <c r="H5" s="129">
        <f>IF(B$17=0,0,G5/B$17)</f>
        <v>0.29347826086956524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-1934.2105263157894</v>
      </c>
      <c r="P5" s="115">
        <v>38</v>
      </c>
      <c r="Q5" s="99">
        <v>-73500</v>
      </c>
    </row>
    <row r="6" spans="1:17" x14ac:dyDescent="0.4">
      <c r="A6" s="51" t="s">
        <v>1</v>
      </c>
      <c r="B6" s="144">
        <f>IF(B$2=0,0,(B$7*1+B$8*2+B$9*3)/B$2)</f>
        <v>2.0975609756097562</v>
      </c>
      <c r="C6" s="145"/>
      <c r="E6" s="59" t="s">
        <v>64</v>
      </c>
      <c r="F6" s="56" t="s">
        <v>20</v>
      </c>
      <c r="G6" s="44">
        <v>26</v>
      </c>
      <c r="H6" s="129">
        <f>IF(B$17=0,0,G6/B$17)</f>
        <v>0.28260869565217389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118.42105263157895</v>
      </c>
      <c r="P6" s="115">
        <v>38</v>
      </c>
      <c r="Q6" s="99">
        <v>4500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0.31707317073170732</v>
      </c>
      <c r="E7" s="59" t="s">
        <v>69</v>
      </c>
      <c r="F7" s="56" t="s">
        <v>24</v>
      </c>
      <c r="G7" s="44">
        <v>21</v>
      </c>
      <c r="H7" s="129">
        <f>IF(B$17=0,0,G7/B$17)</f>
        <v>0.22826086956521738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-1943.75</v>
      </c>
      <c r="P7" s="116">
        <v>32</v>
      </c>
      <c r="Q7" s="100">
        <v>-62200</v>
      </c>
    </row>
    <row r="8" spans="1:17" x14ac:dyDescent="0.4">
      <c r="A8" s="51" t="s">
        <v>3</v>
      </c>
      <c r="B8" s="44">
        <v>11</v>
      </c>
      <c r="C8" s="37">
        <f t="shared" si="1"/>
        <v>0.26829268292682928</v>
      </c>
      <c r="E8" s="59" t="s">
        <v>70</v>
      </c>
      <c r="F8" s="56" t="s">
        <v>25</v>
      </c>
      <c r="G8" s="44">
        <v>15</v>
      </c>
      <c r="H8" s="129">
        <f>IF(B$17=0,0,G8/B$17)</f>
        <v>0.16304347826086957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0.41463414634146339</v>
      </c>
      <c r="E9" s="59" t="s">
        <v>67</v>
      </c>
      <c r="F9" s="56" t="s">
        <v>23</v>
      </c>
      <c r="G9" s="44">
        <v>12</v>
      </c>
      <c r="H9" s="129">
        <f>IF(B$17=0,0,G9/B$17)</f>
        <v>0.13043478260869565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83</v>
      </c>
      <c r="F10" s="56" t="s">
        <v>38</v>
      </c>
      <c r="G10" s="44">
        <v>9</v>
      </c>
      <c r="H10" s="129">
        <f>IF(B$17=0,0,G10/B$17)</f>
        <v>9.7826086956521743E-2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4.878048780487805E-2</v>
      </c>
      <c r="E11" s="59" t="s">
        <v>65</v>
      </c>
      <c r="F11" s="56" t="s">
        <v>21</v>
      </c>
      <c r="G11" s="44">
        <v>8</v>
      </c>
      <c r="H11" s="129">
        <f>IF(B$17=0,0,G11/B$17)</f>
        <v>8.6956521739130432E-2</v>
      </c>
      <c r="I11" s="90">
        <v>9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0.14634146341463414</v>
      </c>
      <c r="E12" s="59" t="s">
        <v>71</v>
      </c>
      <c r="F12" s="56" t="s">
        <v>26</v>
      </c>
      <c r="G12" s="44">
        <v>8</v>
      </c>
      <c r="H12" s="129">
        <f>IF(B$17=0,0,G12/B$17)</f>
        <v>8.6956521739130432E-2</v>
      </c>
      <c r="I12" s="90">
        <v>4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55</v>
      </c>
      <c r="C13" s="42">
        <f>IF(B$3=0,0,B13/B$3)</f>
        <v>0.15277777777777779</v>
      </c>
      <c r="E13" s="59" t="s">
        <v>89</v>
      </c>
      <c r="F13" s="56" t="s">
        <v>44</v>
      </c>
      <c r="G13" s="44">
        <v>7</v>
      </c>
      <c r="H13" s="129">
        <f>IF(B$17=0,0,G13/B$17)</f>
        <v>7.6086956521739135E-2</v>
      </c>
      <c r="I13" s="90">
        <v>10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0.23333333333333334</v>
      </c>
      <c r="E14" s="59" t="s">
        <v>81</v>
      </c>
      <c r="F14" s="56" t="s">
        <v>36</v>
      </c>
      <c r="G14" s="44">
        <v>4</v>
      </c>
      <c r="H14" s="129">
        <f>IF(B$17=0,0,G14/B$17)</f>
        <v>4.3478260869565216E-2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28</v>
      </c>
      <c r="C15" s="35">
        <f>IF(B$13=0,0,B15/B$13)</f>
        <v>0.50909090909090904</v>
      </c>
      <c r="E15" s="59" t="s">
        <v>91</v>
      </c>
      <c r="F15" s="56" t="s">
        <v>46</v>
      </c>
      <c r="G15" s="44">
        <v>3</v>
      </c>
      <c r="H15" s="129">
        <f>IF(B$17=0,0,G15/B$17)</f>
        <v>3.2608695652173912E-2</v>
      </c>
      <c r="I15" s="90">
        <v>2</v>
      </c>
      <c r="K15" s="36">
        <v>13</v>
      </c>
      <c r="L15" s="95">
        <v>-66.2</v>
      </c>
      <c r="N15" s="110" t="s">
        <v>178</v>
      </c>
      <c r="O15" s="120">
        <f>IF(P15=0,0,Q15/P15)</f>
        <v>-0.68461538461538396</v>
      </c>
      <c r="P15" s="114">
        <v>13</v>
      </c>
      <c r="Q15" s="102">
        <v>-8.8999999999999915</v>
      </c>
    </row>
    <row r="16" spans="1:17" x14ac:dyDescent="0.4">
      <c r="A16" s="50" t="s">
        <v>124</v>
      </c>
      <c r="B16" s="43">
        <v>29</v>
      </c>
      <c r="C16" s="35">
        <f>IF(B$14=0,0,B16/B$14)</f>
        <v>0.34523809523809523</v>
      </c>
      <c r="E16" s="59" t="s">
        <v>86</v>
      </c>
      <c r="F16" s="56" t="s">
        <v>41</v>
      </c>
      <c r="G16" s="44">
        <v>2</v>
      </c>
      <c r="H16" s="129">
        <f>IF(B$17=0,0,G16/B$17)</f>
        <v>2.1739130434782608E-2</v>
      </c>
      <c r="I16" s="90">
        <v>10</v>
      </c>
      <c r="K16" s="36">
        <v>14</v>
      </c>
      <c r="L16" s="95">
        <v>-51.1</v>
      </c>
      <c r="N16" s="111" t="s">
        <v>126</v>
      </c>
      <c r="O16" s="121">
        <f>IF(P16=0,0,Q16/P16)</f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92</v>
      </c>
      <c r="C17" s="35">
        <f>IF(B$3=0,0,B17/B$3)</f>
        <v>0.25555555555555554</v>
      </c>
      <c r="E17" s="59" t="s">
        <v>88</v>
      </c>
      <c r="F17" s="56" t="s">
        <v>43</v>
      </c>
      <c r="G17" s="44">
        <v>2</v>
      </c>
      <c r="H17" s="129">
        <f>IF(B$17=0,0,G17/B$17)</f>
        <v>2.1739130434782608E-2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>IF(P17=0,0,Q17/P17)</f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38</v>
      </c>
      <c r="C18" s="37">
        <f>IF(B$17=0,0,B18/B$17)</f>
        <v>0.41304347826086957</v>
      </c>
      <c r="E18" s="59" t="s">
        <v>74</v>
      </c>
      <c r="F18" s="56" t="s">
        <v>29</v>
      </c>
      <c r="G18" s="44">
        <v>1</v>
      </c>
      <c r="H18" s="129">
        <f>IF(B$17=0,0,G18/B$17)</f>
        <v>1.0869565217391304E-2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>IF(P18=0,0,Q18/P18)</f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54</v>
      </c>
      <c r="C19" s="37">
        <f>IF(B$17=0,0,B19/B$17)</f>
        <v>0.58695652173913049</v>
      </c>
      <c r="E19" s="59" t="s">
        <v>75</v>
      </c>
      <c r="F19" s="56" t="s">
        <v>30</v>
      </c>
      <c r="G19" s="44">
        <v>1</v>
      </c>
      <c r="H19" s="129">
        <f>IF(B$17=0,0,G19/B$17)</f>
        <v>1.0869565217391304E-2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0.14722222222222223</v>
      </c>
      <c r="E20" s="59" t="s">
        <v>77</v>
      </c>
      <c r="F20" s="56" t="s">
        <v>32</v>
      </c>
      <c r="G20" s="44">
        <v>1</v>
      </c>
      <c r="H20" s="129">
        <f>IF(B$17=0,0,G20/B$17)</f>
        <v>1.0869565217391304E-2</v>
      </c>
      <c r="I20" s="90">
        <v>2</v>
      </c>
      <c r="K20" s="36">
        <v>18</v>
      </c>
      <c r="L20" s="95">
        <v>-80.2</v>
      </c>
      <c r="N20" s="111" t="s">
        <v>182</v>
      </c>
      <c r="O20" s="121">
        <f>IF(P20=0,0,Q20/P20)</f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1.0869565217391304E-2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7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7450</v>
      </c>
      <c r="C23" s="39">
        <v>685400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7993.6507936507933</v>
      </c>
      <c r="C24" s="137">
        <v>503600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6268.9655172413795</v>
      </c>
      <c r="C25" s="137">
        <v>181800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5.5555555555555558E-3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8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87</v>
      </c>
      <c r="C2" s="149"/>
      <c r="E2" s="58" t="s">
        <v>66</v>
      </c>
      <c r="F2" s="55" t="s">
        <v>22</v>
      </c>
      <c r="G2" s="43">
        <v>150</v>
      </c>
      <c r="H2" s="128">
        <f>IF(B$17=0,0,G2/B$17)</f>
        <v>0.64655172413793105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402.32558139534882</v>
      </c>
      <c r="P2" s="114">
        <v>86</v>
      </c>
      <c r="Q2" s="98">
        <v>34600</v>
      </c>
    </row>
    <row r="3" spans="1:17" x14ac:dyDescent="0.4">
      <c r="A3" s="51" t="s">
        <v>8</v>
      </c>
      <c r="B3" s="150">
        <v>699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0.50862068965517238</v>
      </c>
      <c r="I3" s="90">
        <v>7</v>
      </c>
      <c r="K3" s="36">
        <v>1</v>
      </c>
      <c r="L3" s="95">
        <v>50.2</v>
      </c>
      <c r="N3" s="111" t="s">
        <v>131</v>
      </c>
      <c r="O3" s="118">
        <f t="shared" si="0"/>
        <v>-7.2289156626506026</v>
      </c>
      <c r="P3" s="115">
        <v>83</v>
      </c>
      <c r="Q3" s="99">
        <v>-600</v>
      </c>
    </row>
    <row r="4" spans="1:17" x14ac:dyDescent="0.4">
      <c r="A4" s="51" t="s">
        <v>6</v>
      </c>
      <c r="B4" s="152">
        <v>554.39999999999986</v>
      </c>
      <c r="C4" s="153"/>
      <c r="E4" s="59" t="s">
        <v>64</v>
      </c>
      <c r="F4" s="56" t="s">
        <v>20</v>
      </c>
      <c r="G4" s="44">
        <v>100</v>
      </c>
      <c r="H4" s="129">
        <f>IF(B$17=0,0,G4/B$17)</f>
        <v>0.43103448275862066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-549.38271604938268</v>
      </c>
      <c r="P4" s="115">
        <v>81</v>
      </c>
      <c r="Q4" s="99">
        <v>-44500</v>
      </c>
    </row>
    <row r="5" spans="1:17" x14ac:dyDescent="0.4">
      <c r="A5" s="51" t="s">
        <v>7</v>
      </c>
      <c r="B5" s="154">
        <f>IF(B$2=0,0,B$4/B$2)</f>
        <v>6.3724137931034468</v>
      </c>
      <c r="C5" s="155"/>
      <c r="E5" s="59" t="s">
        <v>171</v>
      </c>
      <c r="F5" s="56" t="s">
        <v>172</v>
      </c>
      <c r="G5" s="44">
        <v>83</v>
      </c>
      <c r="H5" s="129">
        <f>IF(B$17=0,0,G5/B$17)</f>
        <v>0.35775862068965519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-509.33333333333331</v>
      </c>
      <c r="P5" s="115">
        <v>75</v>
      </c>
      <c r="Q5" s="99">
        <v>-38200</v>
      </c>
    </row>
    <row r="6" spans="1:17" x14ac:dyDescent="0.4">
      <c r="A6" s="51" t="s">
        <v>1</v>
      </c>
      <c r="B6" s="144">
        <f>IF(B$2=0,0,(B$7*1+B$8*2+B$9*3)/B$2)</f>
        <v>1.7931034482758621</v>
      </c>
      <c r="C6" s="145"/>
      <c r="E6" s="59" t="s">
        <v>68</v>
      </c>
      <c r="F6" s="56" t="s">
        <v>12</v>
      </c>
      <c r="G6" s="44">
        <v>66</v>
      </c>
      <c r="H6" s="129">
        <f>IF(B$17=0,0,G6/B$17)</f>
        <v>0.28448275862068967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2818.3098591549297</v>
      </c>
      <c r="P6" s="115">
        <v>71</v>
      </c>
      <c r="Q6" s="99">
        <v>200100</v>
      </c>
    </row>
    <row r="7" spans="1:17" x14ac:dyDescent="0.4">
      <c r="A7" s="51" t="s">
        <v>2</v>
      </c>
      <c r="B7" s="44">
        <v>40</v>
      </c>
      <c r="C7" s="37">
        <f t="shared" ref="C7:C12" si="1">IF(B$2=0,0,B7/B$2)</f>
        <v>0.45977011494252873</v>
      </c>
      <c r="E7" s="59" t="s">
        <v>67</v>
      </c>
      <c r="F7" s="56" t="s">
        <v>23</v>
      </c>
      <c r="G7" s="44">
        <v>61</v>
      </c>
      <c r="H7" s="129">
        <f>IF(B$17=0,0,G7/B$17)</f>
        <v>0.26293103448275862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3467.7966101694915</v>
      </c>
      <c r="P7" s="116">
        <v>59</v>
      </c>
      <c r="Q7" s="100">
        <v>204600</v>
      </c>
    </row>
    <row r="8" spans="1:17" x14ac:dyDescent="0.4">
      <c r="A8" s="51" t="s">
        <v>3</v>
      </c>
      <c r="B8" s="44">
        <v>25</v>
      </c>
      <c r="C8" s="37">
        <f t="shared" si="1"/>
        <v>0.28735632183908044</v>
      </c>
      <c r="E8" s="59" t="s">
        <v>89</v>
      </c>
      <c r="F8" s="56" t="s">
        <v>44</v>
      </c>
      <c r="G8" s="44">
        <v>40</v>
      </c>
      <c r="H8" s="129">
        <f>IF(B$17=0,0,G8/B$17)</f>
        <v>0.17241379310344829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0.25287356321839083</v>
      </c>
      <c r="E9" s="59" t="s">
        <v>69</v>
      </c>
      <c r="F9" s="56" t="s">
        <v>24</v>
      </c>
      <c r="G9" s="44">
        <v>37</v>
      </c>
      <c r="H9" s="129">
        <f>IF(B$17=0,0,G9/B$17)</f>
        <v>0.15948275862068967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4.5977011494252873E-2</v>
      </c>
      <c r="E10" s="59" t="s">
        <v>65</v>
      </c>
      <c r="F10" s="56" t="s">
        <v>21</v>
      </c>
      <c r="G10" s="44">
        <v>27</v>
      </c>
      <c r="H10" s="129">
        <f>IF(B$17=0,0,G10/B$17)</f>
        <v>0.11637931034482758</v>
      </c>
      <c r="I10" s="90">
        <v>3</v>
      </c>
      <c r="K10" s="36">
        <v>8</v>
      </c>
      <c r="L10" s="95">
        <v>148.1</v>
      </c>
      <c r="N10" s="110" t="s">
        <v>162</v>
      </c>
      <c r="O10" s="120">
        <f>IF(P10=0,0,Q10/P10)</f>
        <v>10.304347826086957</v>
      </c>
      <c r="P10" s="114">
        <v>23</v>
      </c>
      <c r="Q10" s="102">
        <v>237</v>
      </c>
    </row>
    <row r="11" spans="1:17" x14ac:dyDescent="0.4">
      <c r="A11" s="52" t="s">
        <v>138</v>
      </c>
      <c r="B11" s="45">
        <v>8</v>
      </c>
      <c r="C11" s="38">
        <f t="shared" si="1"/>
        <v>9.1954022988505746E-2</v>
      </c>
      <c r="E11" s="59" t="s">
        <v>71</v>
      </c>
      <c r="F11" s="56" t="s">
        <v>26</v>
      </c>
      <c r="G11" s="44">
        <v>16</v>
      </c>
      <c r="H11" s="129">
        <f>IF(B$17=0,0,G11/B$17)</f>
        <v>6.8965517241379309E-2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11</v>
      </c>
      <c r="C12" s="40">
        <f t="shared" si="1"/>
        <v>0.12643678160919541</v>
      </c>
      <c r="E12" s="59" t="s">
        <v>70</v>
      </c>
      <c r="F12" s="56" t="s">
        <v>25</v>
      </c>
      <c r="G12" s="44">
        <v>12</v>
      </c>
      <c r="H12" s="129">
        <f>IF(B$17=0,0,G12/B$17)</f>
        <v>5.1724137931034482E-2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6.6516129032258045</v>
      </c>
      <c r="P12" s="116">
        <v>31</v>
      </c>
      <c r="Q12" s="104">
        <v>206.19999999999993</v>
      </c>
    </row>
    <row r="13" spans="1:17" x14ac:dyDescent="0.4">
      <c r="A13" s="54" t="s">
        <v>121</v>
      </c>
      <c r="B13" s="47">
        <v>182</v>
      </c>
      <c r="C13" s="42">
        <f>IF(B$3=0,0,B13/B$3)</f>
        <v>0.2603719599427754</v>
      </c>
      <c r="E13" s="59" t="s">
        <v>83</v>
      </c>
      <c r="F13" s="56" t="s">
        <v>38</v>
      </c>
      <c r="G13" s="44">
        <v>11</v>
      </c>
      <c r="H13" s="129">
        <f>IF(B$17=0,0,G13/B$17)</f>
        <v>4.7413793103448273E-2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163</v>
      </c>
      <c r="C14" s="37">
        <f>IF(B$3=0,0,B14/B$3)</f>
        <v>0.23319027181688126</v>
      </c>
      <c r="E14" s="59" t="s">
        <v>167</v>
      </c>
      <c r="F14" s="56" t="s">
        <v>168</v>
      </c>
      <c r="G14" s="44">
        <v>11</v>
      </c>
      <c r="H14" s="129">
        <f>IF(B$17=0,0,G14/B$17)</f>
        <v>4.7413793103448273E-2</v>
      </c>
      <c r="I14" s="90">
        <v>1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109</v>
      </c>
      <c r="C15" s="35">
        <f>IF(B$13=0,0,B15/B$13)</f>
        <v>0.59890109890109888</v>
      </c>
      <c r="E15" s="59" t="s">
        <v>86</v>
      </c>
      <c r="F15" s="56" t="s">
        <v>41</v>
      </c>
      <c r="G15" s="44">
        <v>10</v>
      </c>
      <c r="H15" s="129">
        <f>IF(B$17=0,0,G15/B$17)</f>
        <v>4.3103448275862072E-2</v>
      </c>
      <c r="I15" s="90">
        <v>7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78</v>
      </c>
      <c r="C16" s="35">
        <f>IF(B$14=0,0,B16/B$14)</f>
        <v>0.4785276073619632</v>
      </c>
      <c r="E16" s="59" t="s">
        <v>78</v>
      </c>
      <c r="F16" s="56" t="s">
        <v>33</v>
      </c>
      <c r="G16" s="44">
        <v>9</v>
      </c>
      <c r="H16" s="129">
        <f>IF(B$17=0,0,G16/B$17)</f>
        <v>3.8793103448275863E-2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21.962499999999991</v>
      </c>
      <c r="P16" s="115">
        <v>8</v>
      </c>
      <c r="Q16" s="103">
        <v>175.69999999999993</v>
      </c>
    </row>
    <row r="17" spans="1:17" x14ac:dyDescent="0.4">
      <c r="A17" s="50" t="s">
        <v>10</v>
      </c>
      <c r="B17" s="43">
        <f>B19+B18</f>
        <v>232</v>
      </c>
      <c r="C17" s="35">
        <f>IF(B$3=0,0,B17/B$3)</f>
        <v>0.33190271816881262</v>
      </c>
      <c r="E17" s="59" t="s">
        <v>77</v>
      </c>
      <c r="F17" s="56" t="s">
        <v>32</v>
      </c>
      <c r="G17" s="44">
        <v>3</v>
      </c>
      <c r="H17" s="129">
        <f>IF(B$17=0,0,G17/B$17)</f>
        <v>1.2931034482758621E-2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15.38974358974359</v>
      </c>
      <c r="P17" s="115">
        <v>39</v>
      </c>
      <c r="Q17" s="103">
        <v>600.20000000000005</v>
      </c>
    </row>
    <row r="18" spans="1:17" x14ac:dyDescent="0.4">
      <c r="A18" s="51" t="s">
        <v>12</v>
      </c>
      <c r="B18" s="44">
        <v>99</v>
      </c>
      <c r="C18" s="37">
        <f>IF(B$17=0,0,B18/B$17)</f>
        <v>0.42672413793103448</v>
      </c>
      <c r="E18" s="59" t="s">
        <v>84</v>
      </c>
      <c r="F18" s="56" t="s">
        <v>39</v>
      </c>
      <c r="G18" s="44">
        <v>3</v>
      </c>
      <c r="H18" s="129">
        <f>IF(B$17=0,0,G18/B$17)</f>
        <v>1.2931034482758621E-2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12.660714285714292</v>
      </c>
      <c r="P18" s="115">
        <v>28</v>
      </c>
      <c r="Q18" s="103">
        <v>354.50000000000017</v>
      </c>
    </row>
    <row r="19" spans="1:17" x14ac:dyDescent="0.4">
      <c r="A19" s="51" t="s">
        <v>11</v>
      </c>
      <c r="B19" s="44">
        <v>133</v>
      </c>
      <c r="C19" s="37">
        <f>IF(B$17=0,0,B19/B$17)</f>
        <v>0.57327586206896552</v>
      </c>
      <c r="E19" s="59" t="s">
        <v>75</v>
      </c>
      <c r="F19" s="56" t="s">
        <v>30</v>
      </c>
      <c r="G19" s="44">
        <v>2</v>
      </c>
      <c r="H19" s="129">
        <f>IF(B$17=0,0,G19/B$17)</f>
        <v>8.6206896551724137E-3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7.2759259259259279</v>
      </c>
      <c r="P19" s="115">
        <v>54</v>
      </c>
      <c r="Q19" s="103">
        <v>392.90000000000009</v>
      </c>
    </row>
    <row r="20" spans="1:17" x14ac:dyDescent="0.4">
      <c r="A20" s="51" t="s">
        <v>13</v>
      </c>
      <c r="B20" s="44">
        <v>96</v>
      </c>
      <c r="C20" s="37">
        <f>IF(B$3=0,0,B20/B$3)</f>
        <v>0.13733905579399142</v>
      </c>
      <c r="E20" s="59" t="s">
        <v>88</v>
      </c>
      <c r="F20" s="56" t="s">
        <v>43</v>
      </c>
      <c r="G20" s="44">
        <v>2</v>
      </c>
      <c r="H20" s="129">
        <f>IF(B$17=0,0,G20/B$17)</f>
        <v>8.6206896551724137E-3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8.6206896551724137E-3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-3.3</v>
      </c>
      <c r="P21" s="115">
        <v>18</v>
      </c>
      <c r="Q21" s="103">
        <v>-59.4</v>
      </c>
    </row>
    <row r="22" spans="1:17" x14ac:dyDescent="0.4">
      <c r="A22" s="51" t="s">
        <v>170</v>
      </c>
      <c r="B22" s="44">
        <v>31</v>
      </c>
      <c r="C22" s="131">
        <v>17</v>
      </c>
      <c r="E22" s="59" t="s">
        <v>74</v>
      </c>
      <c r="F22" s="56" t="s">
        <v>29</v>
      </c>
      <c r="G22" s="44">
        <v>1</v>
      </c>
      <c r="H22" s="129">
        <f>IF(B$17=0,0,G22/B$17)</f>
        <v>4.3103448275862068E-3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7784.0517241379312</v>
      </c>
      <c r="C23" s="39">
        <v>1805900</v>
      </c>
      <c r="E23" s="59" t="s">
        <v>79</v>
      </c>
      <c r="F23" s="56" t="s">
        <v>34</v>
      </c>
      <c r="G23" s="44">
        <v>1</v>
      </c>
      <c r="H23" s="129">
        <f>IF(B$17=0,0,G23/B$17)</f>
        <v>4.3103448275862068E-3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7768.8311688311687</v>
      </c>
      <c r="C24" s="137">
        <v>1196400</v>
      </c>
      <c r="E24" s="59" t="s">
        <v>81</v>
      </c>
      <c r="F24" s="56" t="s">
        <v>36</v>
      </c>
      <c r="G24" s="44">
        <v>1</v>
      </c>
      <c r="H24" s="129">
        <f>IF(B$17=0,0,G24/B$17)</f>
        <v>4.3103448275862068E-3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7814.1025641025644</v>
      </c>
      <c r="C25" s="137">
        <v>609500</v>
      </c>
      <c r="E25" s="59" t="s">
        <v>85</v>
      </c>
      <c r="F25" s="56" t="s">
        <v>40</v>
      </c>
      <c r="G25" s="44">
        <v>1</v>
      </c>
      <c r="H25" s="129">
        <f>IF(B$17=0,0,G25/B$17)</f>
        <v>4.3103448275862068E-3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-7563.541666666667</v>
      </c>
      <c r="C26" s="137">
        <v>-726100</v>
      </c>
      <c r="E26" s="59" t="s">
        <v>90</v>
      </c>
      <c r="F26" s="56" t="s">
        <v>45</v>
      </c>
      <c r="G26" s="44">
        <v>1</v>
      </c>
      <c r="H26" s="129">
        <f>IF(B$17=0,0,G26/B$17)</f>
        <v>4.3103448275862068E-3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4.3103448275862068E-3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4.3103448275862068E-3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1.4306151645207439E-3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82</v>
      </c>
      <c r="C2" s="149"/>
      <c r="E2" s="58" t="s">
        <v>66</v>
      </c>
      <c r="F2" s="55" t="s">
        <v>22</v>
      </c>
      <c r="G2" s="43">
        <v>201</v>
      </c>
      <c r="H2" s="128">
        <f>IF(B$17=0,0,G2/B$17)</f>
        <v>0.91363636363636369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-1949.3827160493827</v>
      </c>
      <c r="P2" s="114">
        <v>81</v>
      </c>
      <c r="Q2" s="98">
        <v>-157900</v>
      </c>
    </row>
    <row r="3" spans="1:17" x14ac:dyDescent="0.4">
      <c r="A3" s="51" t="s">
        <v>8</v>
      </c>
      <c r="B3" s="150">
        <v>700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0.53636363636363638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1487.3417721518988</v>
      </c>
      <c r="P3" s="115">
        <v>79</v>
      </c>
      <c r="Q3" s="99">
        <v>117500</v>
      </c>
    </row>
    <row r="4" spans="1:17" x14ac:dyDescent="0.4">
      <c r="A4" s="51" t="s">
        <v>6</v>
      </c>
      <c r="B4" s="152">
        <v>344.69999999999987</v>
      </c>
      <c r="C4" s="153"/>
      <c r="E4" s="59" t="s">
        <v>171</v>
      </c>
      <c r="F4" s="56" t="s">
        <v>172</v>
      </c>
      <c r="G4" s="44">
        <v>96</v>
      </c>
      <c r="H4" s="129">
        <f>IF(B$17=0,0,G4/B$17)</f>
        <v>0.43636363636363634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769.33333333333337</v>
      </c>
      <c r="P4" s="115">
        <v>75</v>
      </c>
      <c r="Q4" s="99">
        <v>57700</v>
      </c>
    </row>
    <row r="5" spans="1:17" x14ac:dyDescent="0.4">
      <c r="A5" s="51" t="s">
        <v>7</v>
      </c>
      <c r="B5" s="154">
        <f>IF(B$2=0,0,B$4/B$2)</f>
        <v>4.2036585365853645</v>
      </c>
      <c r="C5" s="155"/>
      <c r="E5" s="59" t="s">
        <v>64</v>
      </c>
      <c r="F5" s="56" t="s">
        <v>20</v>
      </c>
      <c r="G5" s="44">
        <v>90</v>
      </c>
      <c r="H5" s="129">
        <f>IF(B$17=0,0,G5/B$17)</f>
        <v>0.40909090909090912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2307.0422535211269</v>
      </c>
      <c r="P5" s="115">
        <v>71</v>
      </c>
      <c r="Q5" s="99">
        <v>163800</v>
      </c>
    </row>
    <row r="6" spans="1:17" x14ac:dyDescent="0.4">
      <c r="A6" s="51" t="s">
        <v>1</v>
      </c>
      <c r="B6" s="144">
        <f>IF(B$2=0,0,(B$7*1+B$8*2+B$9*3)/B$2)</f>
        <v>1.8780487804878048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0.2818181818181818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20.895522388059703</v>
      </c>
      <c r="P6" s="115">
        <v>67</v>
      </c>
      <c r="Q6" s="99">
        <v>1400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0.40243902439024393</v>
      </c>
      <c r="E7" s="59" t="s">
        <v>67</v>
      </c>
      <c r="F7" s="56" t="s">
        <v>23</v>
      </c>
      <c r="G7" s="44">
        <v>52</v>
      </c>
      <c r="H7" s="129">
        <f>IF(B$17=0,0,G7/B$17)</f>
        <v>0.23636363636363636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1643.859649122807</v>
      </c>
      <c r="P7" s="116">
        <v>57</v>
      </c>
      <c r="Q7" s="100">
        <v>93700</v>
      </c>
    </row>
    <row r="8" spans="1:17" x14ac:dyDescent="0.4">
      <c r="A8" s="51" t="s">
        <v>3</v>
      </c>
      <c r="B8" s="44">
        <v>26</v>
      </c>
      <c r="C8" s="37">
        <f t="shared" si="1"/>
        <v>0.31707317073170732</v>
      </c>
      <c r="E8" s="59" t="s">
        <v>69</v>
      </c>
      <c r="F8" s="56" t="s">
        <v>24</v>
      </c>
      <c r="G8" s="44">
        <v>28</v>
      </c>
      <c r="H8" s="129">
        <f>IF(B$17=0,0,G8/B$17)</f>
        <v>0.12727272727272726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0.28048780487804881</v>
      </c>
      <c r="E9" s="59" t="s">
        <v>89</v>
      </c>
      <c r="F9" s="56" t="s">
        <v>44</v>
      </c>
      <c r="G9" s="44">
        <v>26</v>
      </c>
      <c r="H9" s="129">
        <f>IF(B$17=0,0,G9/B$17)</f>
        <v>0.11818181818181818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0.13414634146341464</v>
      </c>
      <c r="E10" s="59" t="s">
        <v>65</v>
      </c>
      <c r="F10" s="56" t="s">
        <v>21</v>
      </c>
      <c r="G10" s="44">
        <v>21</v>
      </c>
      <c r="H10" s="129">
        <f>IF(B$17=0,0,G10/B$17)</f>
        <v>9.5454545454545459E-2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8</v>
      </c>
      <c r="C11" s="38">
        <f t="shared" si="1"/>
        <v>9.7560975609756101E-2</v>
      </c>
      <c r="E11" s="59" t="s">
        <v>71</v>
      </c>
      <c r="F11" s="56" t="s">
        <v>26</v>
      </c>
      <c r="G11" s="44">
        <v>19</v>
      </c>
      <c r="H11" s="129">
        <f>IF(B$17=0,0,G11/B$17)</f>
        <v>8.6363636363636365E-2</v>
      </c>
      <c r="I11" s="90">
        <v>5</v>
      </c>
      <c r="K11" s="36">
        <v>9</v>
      </c>
      <c r="L11" s="95">
        <v>-83.699999999999989</v>
      </c>
      <c r="N11" s="111" t="s">
        <v>163</v>
      </c>
      <c r="O11" s="121">
        <f>IF(P11=0,0,Q11/P11)</f>
        <v>6.4739130434782615</v>
      </c>
      <c r="P11" s="115">
        <v>23</v>
      </c>
      <c r="Q11" s="103">
        <v>148.9</v>
      </c>
    </row>
    <row r="12" spans="1:17" x14ac:dyDescent="0.4">
      <c r="A12" s="53" t="s">
        <v>158</v>
      </c>
      <c r="B12" s="46">
        <v>17</v>
      </c>
      <c r="C12" s="40">
        <f t="shared" si="1"/>
        <v>0.2073170731707317</v>
      </c>
      <c r="E12" s="59" t="s">
        <v>70</v>
      </c>
      <c r="F12" s="56" t="s">
        <v>25</v>
      </c>
      <c r="G12" s="44">
        <v>18</v>
      </c>
      <c r="H12" s="129">
        <f>IF(B$17=0,0,G12/B$17)</f>
        <v>8.1818181818181818E-2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1.6974358974358965</v>
      </c>
      <c r="P12" s="116">
        <v>39</v>
      </c>
      <c r="Q12" s="104">
        <v>66.19999999999996</v>
      </c>
    </row>
    <row r="13" spans="1:17" x14ac:dyDescent="0.4">
      <c r="A13" s="54" t="s">
        <v>121</v>
      </c>
      <c r="B13" s="47">
        <v>160</v>
      </c>
      <c r="C13" s="42">
        <f>IF(B$3=0,0,B13/B$3)</f>
        <v>0.22857142857142856</v>
      </c>
      <c r="E13" s="59" t="s">
        <v>86</v>
      </c>
      <c r="F13" s="56" t="s">
        <v>41</v>
      </c>
      <c r="G13" s="44">
        <v>16</v>
      </c>
      <c r="H13" s="129">
        <f>IF(B$17=0,0,G13/B$17)</f>
        <v>7.2727272727272724E-2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212</v>
      </c>
      <c r="C14" s="37">
        <f>IF(B$3=0,0,B14/B$3)</f>
        <v>0.30285714285714288</v>
      </c>
      <c r="E14" s="59" t="s">
        <v>83</v>
      </c>
      <c r="F14" s="56" t="s">
        <v>38</v>
      </c>
      <c r="G14" s="44">
        <v>11</v>
      </c>
      <c r="H14" s="129">
        <f>IF(B$17=0,0,G14/B$17)</f>
        <v>0.05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0.54374999999999996</v>
      </c>
      <c r="E15" s="59" t="s">
        <v>91</v>
      </c>
      <c r="F15" s="56" t="s">
        <v>46</v>
      </c>
      <c r="G15" s="44">
        <v>8</v>
      </c>
      <c r="H15" s="129">
        <f>IF(B$17=0,0,G15/B$17)</f>
        <v>3.6363636363636362E-2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80</v>
      </c>
      <c r="C16" s="35">
        <f>IF(B$14=0,0,B16/B$14)</f>
        <v>0.37735849056603776</v>
      </c>
      <c r="E16" s="59" t="s">
        <v>78</v>
      </c>
      <c r="F16" s="56" t="s">
        <v>33</v>
      </c>
      <c r="G16" s="44">
        <v>7</v>
      </c>
      <c r="H16" s="129">
        <f>IF(B$17=0,0,G16/B$17)</f>
        <v>3.1818181818181815E-2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>IF(P16=0,0,Q16/P16)</f>
        <v>42.855555555555554</v>
      </c>
      <c r="P16" s="115">
        <v>9</v>
      </c>
      <c r="Q16" s="103">
        <v>385.7</v>
      </c>
    </row>
    <row r="17" spans="1:17" x14ac:dyDescent="0.4">
      <c r="A17" s="50" t="s">
        <v>10</v>
      </c>
      <c r="B17" s="43">
        <f>B19+B18</f>
        <v>220</v>
      </c>
      <c r="C17" s="35">
        <f>IF(B$3=0,0,B17/B$3)</f>
        <v>0.31428571428571428</v>
      </c>
      <c r="E17" s="59" t="s">
        <v>79</v>
      </c>
      <c r="F17" s="56" t="s">
        <v>34</v>
      </c>
      <c r="G17" s="44">
        <v>5</v>
      </c>
      <c r="H17" s="129">
        <f>IF(B$17=0,0,G17/B$17)</f>
        <v>2.2727272727272728E-2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0.39545454545454545</v>
      </c>
      <c r="E18" s="59" t="s">
        <v>81</v>
      </c>
      <c r="F18" s="56" t="s">
        <v>36</v>
      </c>
      <c r="G18" s="44">
        <v>5</v>
      </c>
      <c r="H18" s="129">
        <f>IF(B$17=0,0,G18/B$17)</f>
        <v>2.2727272727272728E-2</v>
      </c>
      <c r="I18" s="90">
        <v>4</v>
      </c>
      <c r="K18" s="36">
        <v>16</v>
      </c>
      <c r="L18" s="95">
        <v>-187.3</v>
      </c>
      <c r="N18" s="111" t="s">
        <v>177</v>
      </c>
      <c r="O18" s="121">
        <f>IF(P18=0,0,Q18/P18)</f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133</v>
      </c>
      <c r="C19" s="37">
        <f>IF(B$17=0,0,B19/B$17)</f>
        <v>0.6045454545454545</v>
      </c>
      <c r="E19" s="59" t="s">
        <v>74</v>
      </c>
      <c r="F19" s="56" t="s">
        <v>29</v>
      </c>
      <c r="G19" s="44">
        <v>2</v>
      </c>
      <c r="H19" s="129">
        <f>IF(B$17=0,0,G19/B$17)</f>
        <v>9.0909090909090905E-3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>IF(P19=0,0,Q19/P19)</f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136</v>
      </c>
      <c r="C20" s="37">
        <f>IF(B$3=0,0,B20/B$3)</f>
        <v>0.19428571428571428</v>
      </c>
      <c r="E20" s="59" t="s">
        <v>84</v>
      </c>
      <c r="F20" s="56" t="s">
        <v>39</v>
      </c>
      <c r="G20" s="44">
        <v>1</v>
      </c>
      <c r="H20" s="129">
        <f>IF(B$17=0,0,G20/B$17)</f>
        <v>4.5454545454545452E-3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>IF(P20=0,0,Q20/P20)</f>
        <v>7.1481481481481532</v>
      </c>
      <c r="P20" s="115">
        <v>27</v>
      </c>
      <c r="Q20" s="103">
        <v>193.00000000000014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4.5454545454545452E-3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95</v>
      </c>
      <c r="F22" s="56" t="s">
        <v>50</v>
      </c>
      <c r="G22" s="44">
        <v>1</v>
      </c>
      <c r="H22" s="129">
        <f>IF(B$17=0,0,G22/B$17)</f>
        <v>4.5454545454545452E-3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-7.2759259259259261</v>
      </c>
      <c r="P22" s="115">
        <v>54</v>
      </c>
      <c r="Q22" s="103">
        <v>-392.90000000000003</v>
      </c>
    </row>
    <row r="23" spans="1:17" x14ac:dyDescent="0.4">
      <c r="A23" s="51" t="s">
        <v>5</v>
      </c>
      <c r="B23" s="48">
        <f>IF(B$17=0,0,C23/B$17)</f>
        <v>8750.454545454546</v>
      </c>
      <c r="C23" s="39">
        <v>1925100</v>
      </c>
      <c r="E23" s="59" t="s">
        <v>167</v>
      </c>
      <c r="F23" s="56" t="s">
        <v>168</v>
      </c>
      <c r="G23" s="44">
        <v>1</v>
      </c>
      <c r="H23" s="129">
        <f>IF(B$17=0,0,G23/B$17)</f>
        <v>4.5454545454545452E-3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9087.8571428571431</v>
      </c>
      <c r="C24" s="137">
        <v>1272300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8160</v>
      </c>
      <c r="C25" s="137">
        <v>652800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-7723.5294117647063</v>
      </c>
      <c r="C26" s="137">
        <v>-1050400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4.2857142857142859E-3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101</v>
      </c>
      <c r="H2" s="128">
        <f>IF(B$17=0,0,G2/B$17)</f>
        <v>0.74264705882352944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-512.5</v>
      </c>
      <c r="P2" s="114">
        <v>56</v>
      </c>
      <c r="Q2" s="98">
        <v>-28700</v>
      </c>
    </row>
    <row r="3" spans="1:17" x14ac:dyDescent="0.4">
      <c r="A3" s="51" t="s">
        <v>8</v>
      </c>
      <c r="B3" s="150">
        <v>480</v>
      </c>
      <c r="C3" s="151"/>
      <c r="E3" s="59" t="s">
        <v>64</v>
      </c>
      <c r="F3" s="56" t="s">
        <v>20</v>
      </c>
      <c r="G3" s="44">
        <v>81</v>
      </c>
      <c r="H3" s="129">
        <f>IF(B$17=0,0,G3/B$17)</f>
        <v>0.59558823529411764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-382.14285714285717</v>
      </c>
      <c r="P3" s="115">
        <v>56</v>
      </c>
      <c r="Q3" s="99">
        <v>-21400</v>
      </c>
    </row>
    <row r="4" spans="1:17" x14ac:dyDescent="0.4">
      <c r="A4" s="51" t="s">
        <v>6</v>
      </c>
      <c r="B4" s="152">
        <v>-376.49999999999994</v>
      </c>
      <c r="C4" s="153"/>
      <c r="E4" s="59" t="s">
        <v>72</v>
      </c>
      <c r="F4" s="56" t="s">
        <v>27</v>
      </c>
      <c r="G4" s="44">
        <v>69</v>
      </c>
      <c r="H4" s="129">
        <f>IF(B$17=0,0,G4/B$17)</f>
        <v>0.50735294117647056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1120.7547169811321</v>
      </c>
      <c r="P4" s="115">
        <v>53</v>
      </c>
      <c r="Q4" s="99">
        <v>59400</v>
      </c>
    </row>
    <row r="5" spans="1:17" x14ac:dyDescent="0.4">
      <c r="A5" s="51" t="s">
        <v>7</v>
      </c>
      <c r="B5" s="154">
        <f>IF(B$2=0,0,B$4/B$2)</f>
        <v>-6.6052631578947363</v>
      </c>
      <c r="C5" s="155"/>
      <c r="E5" s="59" t="s">
        <v>171</v>
      </c>
      <c r="F5" s="56" t="s">
        <v>172</v>
      </c>
      <c r="G5" s="44">
        <v>54</v>
      </c>
      <c r="H5" s="129">
        <f>IF(B$17=0,0,G5/B$17)</f>
        <v>0.39705882352941174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-1419.2307692307693</v>
      </c>
      <c r="P5" s="115">
        <v>52</v>
      </c>
      <c r="Q5" s="99">
        <v>-73800</v>
      </c>
    </row>
    <row r="6" spans="1:17" x14ac:dyDescent="0.4">
      <c r="A6" s="51" t="s">
        <v>1</v>
      </c>
      <c r="B6" s="144">
        <f>IF(B$2=0,0,(B$7*1+B$8*2+B$9*3)/B$2)</f>
        <v>2.1754385964912282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0.36029411764705882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-3500</v>
      </c>
      <c r="P6" s="115">
        <v>50</v>
      </c>
      <c r="Q6" s="99">
        <v>-175000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0.21052631578947367</v>
      </c>
      <c r="E7" s="59" t="s">
        <v>67</v>
      </c>
      <c r="F7" s="56" t="s">
        <v>23</v>
      </c>
      <c r="G7" s="44">
        <v>45</v>
      </c>
      <c r="H7" s="129">
        <f>IF(B$17=0,0,G7/B$17)</f>
        <v>0.33088235294117646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-1368.1818181818182</v>
      </c>
      <c r="P7" s="116">
        <v>44</v>
      </c>
      <c r="Q7" s="100">
        <v>-60200</v>
      </c>
    </row>
    <row r="8" spans="1:17" x14ac:dyDescent="0.4">
      <c r="A8" s="51" t="s">
        <v>3</v>
      </c>
      <c r="B8" s="44">
        <v>23</v>
      </c>
      <c r="C8" s="37">
        <f t="shared" si="1"/>
        <v>0.40350877192982454</v>
      </c>
      <c r="E8" s="59" t="s">
        <v>70</v>
      </c>
      <c r="F8" s="56" t="s">
        <v>25</v>
      </c>
      <c r="G8" s="44">
        <v>22</v>
      </c>
      <c r="H8" s="129">
        <f>IF(B$17=0,0,G8/B$17)</f>
        <v>0.16176470588235295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0.38596491228070173</v>
      </c>
      <c r="E9" s="59" t="s">
        <v>69</v>
      </c>
      <c r="F9" s="56" t="s">
        <v>24</v>
      </c>
      <c r="G9" s="44">
        <v>20</v>
      </c>
      <c r="H9" s="129">
        <f>IF(B$17=0,0,G9/B$17)</f>
        <v>0.14705882352941177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7.0175438596491224E-2</v>
      </c>
      <c r="E10" s="59" t="s">
        <v>65</v>
      </c>
      <c r="F10" s="56" t="s">
        <v>21</v>
      </c>
      <c r="G10" s="44">
        <v>14</v>
      </c>
      <c r="H10" s="129">
        <f>IF(B$17=0,0,G10/B$17)</f>
        <v>0.10294117647058823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-1.6545454545454559</v>
      </c>
      <c r="P10" s="114">
        <v>22</v>
      </c>
      <c r="Q10" s="102">
        <v>-36.400000000000027</v>
      </c>
    </row>
    <row r="11" spans="1:17" x14ac:dyDescent="0.4">
      <c r="A11" s="52" t="s">
        <v>138</v>
      </c>
      <c r="B11" s="45">
        <v>2</v>
      </c>
      <c r="C11" s="38">
        <f t="shared" si="1"/>
        <v>3.5087719298245612E-2</v>
      </c>
      <c r="E11" s="59" t="s">
        <v>89</v>
      </c>
      <c r="F11" s="56" t="s">
        <v>44</v>
      </c>
      <c r="G11" s="44">
        <v>13</v>
      </c>
      <c r="H11" s="129">
        <f>IF(B$17=0,0,G11/B$17)</f>
        <v>9.5588235294117641E-2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-7.8368421052631581</v>
      </c>
      <c r="P11" s="115">
        <v>19</v>
      </c>
      <c r="Q11" s="103">
        <v>-148.9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83</v>
      </c>
      <c r="F12" s="56" t="s">
        <v>38</v>
      </c>
      <c r="G12" s="44">
        <v>8</v>
      </c>
      <c r="H12" s="129">
        <f>IF(B$17=0,0,G12/B$17)</f>
        <v>5.8823529411764705E-2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137</v>
      </c>
      <c r="C13" s="42">
        <f>IF(B$3=0,0,B13/B$3)</f>
        <v>0.28541666666666665</v>
      </c>
      <c r="E13" s="59" t="s">
        <v>71</v>
      </c>
      <c r="F13" s="56" t="s">
        <v>26</v>
      </c>
      <c r="G13" s="44">
        <v>6</v>
      </c>
      <c r="H13" s="129">
        <f>IF(B$17=0,0,G13/B$17)</f>
        <v>4.4117647058823532E-2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0.18333333333333332</v>
      </c>
      <c r="E14" s="59" t="s">
        <v>78</v>
      </c>
      <c r="F14" s="56" t="s">
        <v>33</v>
      </c>
      <c r="G14" s="44">
        <v>6</v>
      </c>
      <c r="H14" s="129">
        <f>IF(B$17=0,0,G14/B$17)</f>
        <v>4.4117647058823532E-2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84</v>
      </c>
      <c r="C15" s="35">
        <f>IF(B$13=0,0,B15/B$13)</f>
        <v>0.61313868613138689</v>
      </c>
      <c r="E15" s="59" t="s">
        <v>86</v>
      </c>
      <c r="F15" s="56" t="s">
        <v>41</v>
      </c>
      <c r="G15" s="44">
        <v>4</v>
      </c>
      <c r="H15" s="129">
        <f>IF(B$17=0,0,G15/B$17)</f>
        <v>2.9411764705882353E-2</v>
      </c>
      <c r="I15" s="90">
        <v>8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34</v>
      </c>
      <c r="C16" s="35">
        <f>IF(B$14=0,0,B16/B$14)</f>
        <v>0.38636363636363635</v>
      </c>
      <c r="E16" s="59" t="s">
        <v>81</v>
      </c>
      <c r="F16" s="56" t="s">
        <v>36</v>
      </c>
      <c r="G16" s="44">
        <v>3</v>
      </c>
      <c r="H16" s="129">
        <f>IF(B$17=0,0,G16/B$17)</f>
        <v>2.2058823529411766E-2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0.28333333333333333</v>
      </c>
      <c r="E17" s="59" t="s">
        <v>167</v>
      </c>
      <c r="F17" s="56" t="s">
        <v>168</v>
      </c>
      <c r="G17" s="44">
        <v>3</v>
      </c>
      <c r="H17" s="129">
        <f>IF(B$17=0,0,G17/B$17)</f>
        <v>2.2058823529411766E-2</v>
      </c>
      <c r="I17" s="90">
        <v>6</v>
      </c>
      <c r="K17" s="36">
        <v>15</v>
      </c>
      <c r="L17" s="95">
        <v>-221.5</v>
      </c>
      <c r="N17" s="111" t="s">
        <v>181</v>
      </c>
      <c r="O17" s="121">
        <f>IF(P17=0,0,Q17/P17)</f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2</v>
      </c>
      <c r="H18" s="129">
        <f>IF(B$17=0,0,G18/B$17)</f>
        <v>1.4705882352941176E-2</v>
      </c>
      <c r="I18" s="90">
        <v>2</v>
      </c>
      <c r="K18" s="36">
        <v>16</v>
      </c>
      <c r="L18" s="95">
        <v>-224.3</v>
      </c>
      <c r="N18" s="111" t="s">
        <v>127</v>
      </c>
      <c r="O18" s="121">
        <f>IF(P18=0,0,Q18/P18)</f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72</v>
      </c>
      <c r="C19" s="37">
        <f>IF(B$17=0,0,B19/B$17)</f>
        <v>0.52941176470588236</v>
      </c>
      <c r="E19" s="59" t="s">
        <v>79</v>
      </c>
      <c r="F19" s="56" t="s">
        <v>34</v>
      </c>
      <c r="G19" s="44">
        <v>2</v>
      </c>
      <c r="H19" s="129">
        <f>IF(B$17=0,0,G19/B$17)</f>
        <v>1.4705882352941176E-2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-12.288888888888891</v>
      </c>
      <c r="P19" s="115">
        <v>18</v>
      </c>
      <c r="Q19" s="103">
        <v>-221.20000000000005</v>
      </c>
    </row>
    <row r="20" spans="1:17" x14ac:dyDescent="0.4">
      <c r="A20" s="51" t="s">
        <v>13</v>
      </c>
      <c r="B20" s="44">
        <v>100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7.3529411764705881E-3</v>
      </c>
      <c r="I20" s="90">
        <v>5</v>
      </c>
      <c r="K20" s="36">
        <v>18</v>
      </c>
      <c r="L20" s="95">
        <v>-240</v>
      </c>
      <c r="N20" s="111" t="s">
        <v>177</v>
      </c>
      <c r="O20" s="121">
        <f>IF(P20=0,0,Q20/P20)</f>
        <v>-12.462499999999999</v>
      </c>
      <c r="P20" s="115">
        <v>8</v>
      </c>
      <c r="Q20" s="103">
        <v>-99.699999999999989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126</v>
      </c>
      <c r="O21" s="121">
        <f>IF(P21=0,0,Q21/P21)</f>
        <v>-15.389743589743594</v>
      </c>
      <c r="P21" s="115">
        <v>39</v>
      </c>
      <c r="Q21" s="103">
        <v>-600.20000000000016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8029.411764705882</v>
      </c>
      <c r="C23" s="39">
        <v>1092000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8585.2941176470595</v>
      </c>
      <c r="C24" s="137">
        <v>875700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6361.7647058823532</v>
      </c>
      <c r="C25" s="137">
        <v>216300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-7629</v>
      </c>
      <c r="C26" s="137">
        <v>-762900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4.1666666666666666E-3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93</v>
      </c>
      <c r="H2" s="128">
        <f>IF(B$17=0,0,G2/B$17)</f>
        <v>0.86915887850467288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2554.3478260869565</v>
      </c>
      <c r="P2" s="114">
        <v>46</v>
      </c>
      <c r="Q2" s="98">
        <v>117500</v>
      </c>
    </row>
    <row r="3" spans="1:17" x14ac:dyDescent="0.4">
      <c r="A3" s="51" t="s">
        <v>8</v>
      </c>
      <c r="B3" s="150">
        <v>374</v>
      </c>
      <c r="C3" s="151"/>
      <c r="E3" s="59" t="s">
        <v>72</v>
      </c>
      <c r="F3" s="56" t="s">
        <v>27</v>
      </c>
      <c r="G3" s="44">
        <v>63</v>
      </c>
      <c r="H3" s="129">
        <f>IF(B$17=0,0,G3/B$17)</f>
        <v>0.58878504672897192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-3209.090909090909</v>
      </c>
      <c r="P3" s="115">
        <v>44</v>
      </c>
      <c r="Q3" s="99">
        <v>-141200</v>
      </c>
    </row>
    <row r="4" spans="1:17" x14ac:dyDescent="0.4">
      <c r="A4" s="51" t="s">
        <v>6</v>
      </c>
      <c r="B4" s="152">
        <v>154.90000000000006</v>
      </c>
      <c r="C4" s="153"/>
      <c r="E4" s="59" t="s">
        <v>64</v>
      </c>
      <c r="F4" s="56" t="s">
        <v>20</v>
      </c>
      <c r="G4" s="44">
        <v>54</v>
      </c>
      <c r="H4" s="129">
        <f>IF(B$17=0,0,G4/B$17)</f>
        <v>0.50467289719626163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1946.3414634146341</v>
      </c>
      <c r="P4" s="115">
        <v>41</v>
      </c>
      <c r="Q4" s="99">
        <v>79800</v>
      </c>
    </row>
    <row r="5" spans="1:17" x14ac:dyDescent="0.4">
      <c r="A5" s="51" t="s">
        <v>7</v>
      </c>
      <c r="B5" s="154">
        <f>IF(B$2=0,0,B$4/B$2)</f>
        <v>3.3673913043478274</v>
      </c>
      <c r="C5" s="155"/>
      <c r="E5" s="59" t="s">
        <v>67</v>
      </c>
      <c r="F5" s="56" t="s">
        <v>23</v>
      </c>
      <c r="G5" s="44">
        <v>45</v>
      </c>
      <c r="H5" s="129">
        <f>IF(B$17=0,0,G5/B$17)</f>
        <v>0.42056074766355139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3335.897435897436</v>
      </c>
      <c r="P5" s="115">
        <v>39</v>
      </c>
      <c r="Q5" s="99">
        <v>130100</v>
      </c>
    </row>
    <row r="6" spans="1:17" x14ac:dyDescent="0.4">
      <c r="A6" s="51" t="s">
        <v>1</v>
      </c>
      <c r="B6" s="144">
        <f>IF(B$2=0,0,(B$7*1+B$8*2+B$9*3)/B$2)</f>
        <v>1.9130434782608696</v>
      </c>
      <c r="C6" s="145"/>
      <c r="E6" s="59" t="s">
        <v>171</v>
      </c>
      <c r="F6" s="56" t="s">
        <v>172</v>
      </c>
      <c r="G6" s="44">
        <v>41</v>
      </c>
      <c r="H6" s="129">
        <f>IF(B$17=0,0,G6/B$17)</f>
        <v>0.38317757009345793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-1597.2222222222222</v>
      </c>
      <c r="P6" s="115">
        <v>36</v>
      </c>
      <c r="Q6" s="99">
        <v>-57500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0.41304347826086957</v>
      </c>
      <c r="E7" s="59" t="s">
        <v>68</v>
      </c>
      <c r="F7" s="56" t="s">
        <v>12</v>
      </c>
      <c r="G7" s="44">
        <v>39</v>
      </c>
      <c r="H7" s="129">
        <f>IF(B$17=0,0,G7/B$17)</f>
        <v>0.3644859813084112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-268.9655172413793</v>
      </c>
      <c r="P7" s="116">
        <v>29</v>
      </c>
      <c r="Q7" s="100">
        <v>-7800</v>
      </c>
    </row>
    <row r="8" spans="1:17" x14ac:dyDescent="0.4">
      <c r="A8" s="51" t="s">
        <v>3</v>
      </c>
      <c r="B8" s="44">
        <v>12</v>
      </c>
      <c r="C8" s="37">
        <f t="shared" si="1"/>
        <v>0.2608695652173913</v>
      </c>
      <c r="E8" s="59" t="s">
        <v>89</v>
      </c>
      <c r="F8" s="56" t="s">
        <v>44</v>
      </c>
      <c r="G8" s="44">
        <v>26</v>
      </c>
      <c r="H8" s="129">
        <f>IF(B$17=0,0,G8/B$17)</f>
        <v>0.24299065420560748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0.32608695652173914</v>
      </c>
      <c r="E9" s="59" t="s">
        <v>69</v>
      </c>
      <c r="F9" s="56" t="s">
        <v>24</v>
      </c>
      <c r="G9" s="44">
        <v>23</v>
      </c>
      <c r="H9" s="129">
        <f>IF(B$17=0,0,G9/B$17)</f>
        <v>0.21495327102803738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0.10869565217391304</v>
      </c>
      <c r="E10" s="59" t="s">
        <v>65</v>
      </c>
      <c r="F10" s="56" t="s">
        <v>21</v>
      </c>
      <c r="G10" s="44">
        <v>10</v>
      </c>
      <c r="H10" s="129">
        <f>IF(B$17=0,0,G10/B$17)</f>
        <v>9.3457943925233641E-2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9</v>
      </c>
      <c r="C11" s="38">
        <f t="shared" si="1"/>
        <v>0.19565217391304349</v>
      </c>
      <c r="E11" s="59" t="s">
        <v>70</v>
      </c>
      <c r="F11" s="56" t="s">
        <v>25</v>
      </c>
      <c r="G11" s="44">
        <v>10</v>
      </c>
      <c r="H11" s="129">
        <f>IF(B$17=0,0,G11/B$17)</f>
        <v>9.3457943925233641E-2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7.4849999999999994</v>
      </c>
      <c r="P11" s="115">
        <v>20</v>
      </c>
      <c r="Q11" s="103">
        <v>149.69999999999999</v>
      </c>
    </row>
    <row r="12" spans="1:17" x14ac:dyDescent="0.4">
      <c r="A12" s="53" t="s">
        <v>158</v>
      </c>
      <c r="B12" s="46">
        <v>4</v>
      </c>
      <c r="C12" s="40">
        <f t="shared" si="1"/>
        <v>8.6956521739130432E-2</v>
      </c>
      <c r="E12" s="59" t="s">
        <v>71</v>
      </c>
      <c r="F12" s="56" t="s">
        <v>26</v>
      </c>
      <c r="G12" s="44">
        <v>6</v>
      </c>
      <c r="H12" s="129">
        <f>IF(B$17=0,0,G12/B$17)</f>
        <v>5.6074766355140186E-2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-10.209090909090909</v>
      </c>
      <c r="P12" s="116">
        <v>11</v>
      </c>
      <c r="Q12" s="104">
        <v>-112.3</v>
      </c>
    </row>
    <row r="13" spans="1:17" x14ac:dyDescent="0.4">
      <c r="A13" s="54" t="s">
        <v>121</v>
      </c>
      <c r="B13" s="47">
        <v>116</v>
      </c>
      <c r="C13" s="42">
        <f>IF(B$3=0,0,B13/B$3)</f>
        <v>0.31016042780748665</v>
      </c>
      <c r="E13" s="59" t="s">
        <v>83</v>
      </c>
      <c r="F13" s="56" t="s">
        <v>38</v>
      </c>
      <c r="G13" s="44">
        <v>6</v>
      </c>
      <c r="H13" s="129">
        <f>IF(B$17=0,0,G13/B$17)</f>
        <v>5.6074766355140186E-2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0.20053475935828877</v>
      </c>
      <c r="E14" s="59" t="s">
        <v>167</v>
      </c>
      <c r="F14" s="56" t="s">
        <v>168</v>
      </c>
      <c r="G14" s="44">
        <v>5</v>
      </c>
      <c r="H14" s="129">
        <f>IF(B$17=0,0,G14/B$17)</f>
        <v>4.6728971962616821E-2</v>
      </c>
      <c r="I14" s="90">
        <v>2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59</v>
      </c>
      <c r="C15" s="35">
        <f>IF(B$13=0,0,B15/B$13)</f>
        <v>0.50862068965517238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34</v>
      </c>
      <c r="C16" s="35">
        <f>IF(B$14=0,0,B16/B$14)</f>
        <v>0.45333333333333331</v>
      </c>
      <c r="E16" s="59" t="s">
        <v>92</v>
      </c>
      <c r="F16" s="56" t="s">
        <v>47</v>
      </c>
      <c r="G16" s="44">
        <v>3</v>
      </c>
      <c r="H16" s="129">
        <f>IF(B$17=0,0,G16/B$17)</f>
        <v>2.8037383177570093E-2</v>
      </c>
      <c r="I16" s="90">
        <v>1</v>
      </c>
      <c r="K16" s="36">
        <v>14</v>
      </c>
      <c r="L16" s="95">
        <v>-86.499999999999972</v>
      </c>
      <c r="N16" s="111" t="s">
        <v>166</v>
      </c>
      <c r="O16" s="121">
        <f t="shared" si="2"/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0.28609625668449196</v>
      </c>
      <c r="E17" s="59" t="s">
        <v>81</v>
      </c>
      <c r="F17" s="56" t="s">
        <v>36</v>
      </c>
      <c r="G17" s="44">
        <v>2</v>
      </c>
      <c r="H17" s="129">
        <f>IF(B$17=0,0,G17/B$17)</f>
        <v>1.8691588785046728E-2</v>
      </c>
      <c r="I17" s="90">
        <v>6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50</v>
      </c>
      <c r="C18" s="37">
        <f>IF(B$17=0,0,B18/B$17)</f>
        <v>0.46728971962616822</v>
      </c>
      <c r="E18" s="59" t="s">
        <v>91</v>
      </c>
      <c r="F18" s="56" t="s">
        <v>46</v>
      </c>
      <c r="G18" s="44">
        <v>2</v>
      </c>
      <c r="H18" s="129">
        <f>IF(B$17=0,0,G18/B$17)</f>
        <v>1.8691588785046728E-2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14.204761904761902</v>
      </c>
      <c r="P18" s="115">
        <v>21</v>
      </c>
      <c r="Q18" s="103">
        <v>298.29999999999995</v>
      </c>
    </row>
    <row r="19" spans="1:17" x14ac:dyDescent="0.4">
      <c r="A19" s="51" t="s">
        <v>11</v>
      </c>
      <c r="B19" s="44">
        <v>57</v>
      </c>
      <c r="C19" s="37">
        <f>IF(B$17=0,0,B19/B$17)</f>
        <v>0.53271028037383172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4</v>
      </c>
      <c r="K19" s="36">
        <v>17</v>
      </c>
      <c r="L19" s="95">
        <v>-55.799999999999969</v>
      </c>
      <c r="N19" s="111" t="s">
        <v>179</v>
      </c>
      <c r="O19" s="121">
        <f t="shared" si="2"/>
        <v>12.462499999999999</v>
      </c>
      <c r="P19" s="115">
        <v>8</v>
      </c>
      <c r="Q19" s="103">
        <v>99.699999999999989</v>
      </c>
    </row>
    <row r="20" spans="1:17" x14ac:dyDescent="0.4">
      <c r="A20" s="51" t="s">
        <v>13</v>
      </c>
      <c r="B20" s="44">
        <v>60</v>
      </c>
      <c r="C20" s="37">
        <f>IF(B$3=0,0,B20/B$3)</f>
        <v>0.16042780748663102</v>
      </c>
      <c r="E20" s="59" t="s">
        <v>78</v>
      </c>
      <c r="F20" s="56" t="s">
        <v>33</v>
      </c>
      <c r="G20" s="44">
        <v>1</v>
      </c>
      <c r="H20" s="129">
        <f>IF(B$17=0,0,G20/B$17)</f>
        <v>9.3457943925233638E-3</v>
      </c>
      <c r="I20" s="90">
        <v>8</v>
      </c>
      <c r="K20" s="36">
        <v>18</v>
      </c>
      <c r="L20" s="95">
        <v>-24.999999999999968</v>
      </c>
      <c r="N20" s="111" t="s">
        <v>126</v>
      </c>
      <c r="O20" s="121">
        <f t="shared" si="2"/>
        <v>3.2999999999999985</v>
      </c>
      <c r="P20" s="115">
        <v>18</v>
      </c>
      <c r="Q20" s="103">
        <v>59.39999999999997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85</v>
      </c>
      <c r="F21" s="56" t="s">
        <v>40</v>
      </c>
      <c r="G21" s="44">
        <v>1</v>
      </c>
      <c r="H21" s="129">
        <f>IF(B$17=0,0,G21/B$17)</f>
        <v>9.3457943925233638E-3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18</v>
      </c>
      <c r="E22" s="59" t="s">
        <v>90</v>
      </c>
      <c r="F22" s="56" t="s">
        <v>45</v>
      </c>
      <c r="G22" s="44">
        <v>1</v>
      </c>
      <c r="H22" s="129">
        <f>IF(B$17=0,0,G22/B$17)</f>
        <v>9.3457943925233638E-3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10172.897196261682</v>
      </c>
      <c r="C23" s="39">
        <v>1088500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11189.04109589041</v>
      </c>
      <c r="C24" s="137">
        <v>816800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7991.1764705882351</v>
      </c>
      <c r="C25" s="137">
        <v>271700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-8468.3333333333339</v>
      </c>
      <c r="C26" s="137">
        <v>-508100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94100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6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66</v>
      </c>
      <c r="C2" s="149"/>
      <c r="E2" s="58" t="s">
        <v>66</v>
      </c>
      <c r="F2" s="55" t="s">
        <v>22</v>
      </c>
      <c r="G2" s="43">
        <v>121</v>
      </c>
      <c r="H2" s="128">
        <f>IF(B$17=0,0,G2/B$17)</f>
        <v>0.79084967320261434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1421.2121212121212</v>
      </c>
      <c r="P2" s="114">
        <v>66</v>
      </c>
      <c r="Q2" s="98">
        <v>93800</v>
      </c>
    </row>
    <row r="3" spans="1:17" x14ac:dyDescent="0.4">
      <c r="A3" s="51" t="s">
        <v>8</v>
      </c>
      <c r="B3" s="150">
        <v>537</v>
      </c>
      <c r="C3" s="151"/>
      <c r="E3" s="59" t="s">
        <v>72</v>
      </c>
      <c r="F3" s="56" t="s">
        <v>27</v>
      </c>
      <c r="G3" s="44">
        <v>100</v>
      </c>
      <c r="H3" s="129">
        <f>IF(B$17=0,0,G3/B$17)</f>
        <v>0.65359477124183007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1533.3333333333333</v>
      </c>
      <c r="P3" s="115">
        <v>63</v>
      </c>
      <c r="Q3" s="99">
        <v>96600</v>
      </c>
    </row>
    <row r="4" spans="1:17" x14ac:dyDescent="0.4">
      <c r="A4" s="51" t="s">
        <v>6</v>
      </c>
      <c r="B4" s="152">
        <v>-6.2999999999999794</v>
      </c>
      <c r="C4" s="153"/>
      <c r="E4" s="59" t="s">
        <v>64</v>
      </c>
      <c r="F4" s="56" t="s">
        <v>20</v>
      </c>
      <c r="G4" s="44">
        <v>74</v>
      </c>
      <c r="H4" s="129">
        <f>IF(B$17=0,0,G4/B$17)</f>
        <v>0.48366013071895425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-1267.7966101694915</v>
      </c>
      <c r="P4" s="115">
        <v>59</v>
      </c>
      <c r="Q4" s="99">
        <v>-74800</v>
      </c>
    </row>
    <row r="5" spans="1:17" x14ac:dyDescent="0.4">
      <c r="A5" s="51" t="s">
        <v>7</v>
      </c>
      <c r="B5" s="154">
        <f>IF(B$2=0,0,B$4/B$2)</f>
        <v>-9.5454545454545139E-2</v>
      </c>
      <c r="C5" s="155"/>
      <c r="E5" s="59" t="s">
        <v>171</v>
      </c>
      <c r="F5" s="56" t="s">
        <v>172</v>
      </c>
      <c r="G5" s="44">
        <v>66</v>
      </c>
      <c r="H5" s="129">
        <f>IF(B$17=0,0,G5/B$17)</f>
        <v>0.43137254901960786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274.54545454545456</v>
      </c>
      <c r="P5" s="115">
        <v>55</v>
      </c>
      <c r="Q5" s="99">
        <v>15100</v>
      </c>
    </row>
    <row r="6" spans="1:17" x14ac:dyDescent="0.4">
      <c r="A6" s="51" t="s">
        <v>1</v>
      </c>
      <c r="B6" s="144">
        <f>IF(B$2=0,0,(B$7*1+B$8*2+B$9*3)/B$2)</f>
        <v>2.0757575757575757</v>
      </c>
      <c r="C6" s="145"/>
      <c r="E6" s="59" t="s">
        <v>67</v>
      </c>
      <c r="F6" s="56" t="s">
        <v>23</v>
      </c>
      <c r="G6" s="44">
        <v>60</v>
      </c>
      <c r="H6" s="129">
        <f>IF(B$17=0,0,G6/B$17)</f>
        <v>0.39215686274509803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-675.51020408163265</v>
      </c>
      <c r="P6" s="115">
        <v>49</v>
      </c>
      <c r="Q6" s="99">
        <v>-33100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0.22727272727272727</v>
      </c>
      <c r="E7" s="59" t="s">
        <v>68</v>
      </c>
      <c r="F7" s="56" t="s">
        <v>12</v>
      </c>
      <c r="G7" s="44">
        <v>50</v>
      </c>
      <c r="H7" s="129">
        <f>IF(B$17=0,0,G7/B$17)</f>
        <v>0.32679738562091504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-1613.953488372093</v>
      </c>
      <c r="P7" s="116">
        <v>43</v>
      </c>
      <c r="Q7" s="100">
        <v>-69400</v>
      </c>
    </row>
    <row r="8" spans="1:17" x14ac:dyDescent="0.4">
      <c r="A8" s="51" t="s">
        <v>3</v>
      </c>
      <c r="B8" s="44">
        <v>31</v>
      </c>
      <c r="C8" s="37">
        <f t="shared" si="1"/>
        <v>0.46969696969696972</v>
      </c>
      <c r="E8" s="59" t="s">
        <v>69</v>
      </c>
      <c r="F8" s="56" t="s">
        <v>24</v>
      </c>
      <c r="G8" s="44">
        <v>20</v>
      </c>
      <c r="H8" s="129">
        <f>IF(B$17=0,0,G8/B$17)</f>
        <v>0.13071895424836602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0.30303030303030304</v>
      </c>
      <c r="E9" s="59" t="s">
        <v>89</v>
      </c>
      <c r="F9" s="56" t="s">
        <v>44</v>
      </c>
      <c r="G9" s="44">
        <v>15</v>
      </c>
      <c r="H9" s="129">
        <f>IF(B$17=0,0,G9/B$17)</f>
        <v>9.8039215686274508E-2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7.575757575757576E-2</v>
      </c>
      <c r="E10" s="59" t="s">
        <v>71</v>
      </c>
      <c r="F10" s="56" t="s">
        <v>26</v>
      </c>
      <c r="G10" s="44">
        <v>13</v>
      </c>
      <c r="H10" s="129">
        <f>IF(B$17=0,0,G10/B$17)</f>
        <v>8.4967320261437912E-2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2.1076923076923078</v>
      </c>
      <c r="P10" s="114">
        <v>26</v>
      </c>
      <c r="Q10" s="102">
        <v>54.800000000000004</v>
      </c>
    </row>
    <row r="11" spans="1:17" x14ac:dyDescent="0.4">
      <c r="A11" s="52" t="s">
        <v>138</v>
      </c>
      <c r="B11" s="45">
        <v>6</v>
      </c>
      <c r="C11" s="38">
        <f t="shared" si="1"/>
        <v>9.0909090909090912E-2</v>
      </c>
      <c r="E11" s="59" t="s">
        <v>65</v>
      </c>
      <c r="F11" s="56" t="s">
        <v>21</v>
      </c>
      <c r="G11" s="44">
        <v>11</v>
      </c>
      <c r="H11" s="129">
        <f>IF(B$17=0,0,G11/B$17)</f>
        <v>7.1895424836601302E-2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2.263157894736842</v>
      </c>
      <c r="P11" s="115">
        <v>19</v>
      </c>
      <c r="Q11" s="103">
        <v>43</v>
      </c>
    </row>
    <row r="12" spans="1:17" x14ac:dyDescent="0.4">
      <c r="A12" s="53" t="s">
        <v>158</v>
      </c>
      <c r="B12" s="46">
        <v>3</v>
      </c>
      <c r="C12" s="40">
        <f t="shared" si="1"/>
        <v>4.5454545454545456E-2</v>
      </c>
      <c r="E12" s="59" t="s">
        <v>70</v>
      </c>
      <c r="F12" s="56" t="s">
        <v>25</v>
      </c>
      <c r="G12" s="44">
        <v>11</v>
      </c>
      <c r="H12" s="129">
        <f>IF(B$17=0,0,G12/B$17)</f>
        <v>7.1895424836601302E-2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-4.9571428571428573</v>
      </c>
      <c r="P12" s="116">
        <v>21</v>
      </c>
      <c r="Q12" s="104">
        <v>-104.1</v>
      </c>
    </row>
    <row r="13" spans="1:17" x14ac:dyDescent="0.4">
      <c r="A13" s="54" t="s">
        <v>121</v>
      </c>
      <c r="B13" s="47">
        <v>135</v>
      </c>
      <c r="C13" s="42">
        <f>IF(B$3=0,0,B13/B$3)</f>
        <v>0.25139664804469275</v>
      </c>
      <c r="E13" s="59" t="s">
        <v>86</v>
      </c>
      <c r="F13" s="56" t="s">
        <v>41</v>
      </c>
      <c r="G13" s="44">
        <v>7</v>
      </c>
      <c r="H13" s="129">
        <f>IF(B$17=0,0,G13/B$17)</f>
        <v>4.5751633986928102E-2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135</v>
      </c>
      <c r="C14" s="37">
        <f>IF(B$3=0,0,B14/B$3)</f>
        <v>0.25139664804469275</v>
      </c>
      <c r="E14" s="59" t="s">
        <v>79</v>
      </c>
      <c r="F14" s="56" t="s">
        <v>34</v>
      </c>
      <c r="G14" s="44">
        <v>6</v>
      </c>
      <c r="H14" s="129">
        <f>IF(B$17=0,0,G14/B$17)</f>
        <v>3.9215686274509803E-2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79</v>
      </c>
      <c r="C15" s="35">
        <f>IF(B$13=0,0,B15/B$13)</f>
        <v>0.58518518518518514</v>
      </c>
      <c r="E15" s="59" t="s">
        <v>83</v>
      </c>
      <c r="F15" s="56" t="s">
        <v>38</v>
      </c>
      <c r="G15" s="44">
        <v>6</v>
      </c>
      <c r="H15" s="129">
        <f>IF(B$17=0,0,G15/B$17)</f>
        <v>3.9215686274509803E-2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55</v>
      </c>
      <c r="C16" s="35">
        <f>IF(B$14=0,0,B16/B$14)</f>
        <v>0.40740740740740738</v>
      </c>
      <c r="E16" s="59" t="s">
        <v>167</v>
      </c>
      <c r="F16" s="56" t="s">
        <v>168</v>
      </c>
      <c r="G16" s="44">
        <v>4</v>
      </c>
      <c r="H16" s="129">
        <f>IF(B$17=0,0,G16/B$17)</f>
        <v>2.6143790849673203E-2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153</v>
      </c>
      <c r="C17" s="35">
        <f>IF(B$3=0,0,B17/B$3)</f>
        <v>0.28491620111731841</v>
      </c>
      <c r="E17" s="59" t="s">
        <v>73</v>
      </c>
      <c r="F17" s="56" t="s">
        <v>28</v>
      </c>
      <c r="G17" s="44">
        <v>3</v>
      </c>
      <c r="H17" s="129">
        <f>IF(B$17=0,0,G17/B$17)</f>
        <v>1.9607843137254902E-2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68</v>
      </c>
      <c r="C18" s="37">
        <f>IF(B$17=0,0,B18/B$17)</f>
        <v>0.44444444444444442</v>
      </c>
      <c r="E18" s="59" t="s">
        <v>78</v>
      </c>
      <c r="F18" s="56" t="s">
        <v>33</v>
      </c>
      <c r="G18" s="44">
        <v>3</v>
      </c>
      <c r="H18" s="129">
        <f>IF(B$17=0,0,G18/B$17)</f>
        <v>1.9607843137254902E-2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12.288888888888891</v>
      </c>
      <c r="P18" s="115">
        <v>18</v>
      </c>
      <c r="Q18" s="103">
        <v>221.20000000000005</v>
      </c>
    </row>
    <row r="19" spans="1:17" x14ac:dyDescent="0.4">
      <c r="A19" s="51" t="s">
        <v>11</v>
      </c>
      <c r="B19" s="44">
        <v>85</v>
      </c>
      <c r="C19" s="37">
        <f>IF(B$17=0,0,B19/B$17)</f>
        <v>0.55555555555555558</v>
      </c>
      <c r="E19" s="59" t="s">
        <v>81</v>
      </c>
      <c r="F19" s="56" t="s">
        <v>36</v>
      </c>
      <c r="G19" s="44">
        <v>1</v>
      </c>
      <c r="H19" s="129">
        <f>IF(B$17=0,0,G19/B$17)</f>
        <v>6.5359477124183009E-3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0.68461538461538451</v>
      </c>
      <c r="P19" s="115">
        <v>13</v>
      </c>
      <c r="Q19" s="103">
        <v>8.8999999999999986</v>
      </c>
    </row>
    <row r="20" spans="1:17" x14ac:dyDescent="0.4">
      <c r="A20" s="51" t="s">
        <v>13</v>
      </c>
      <c r="B20" s="44">
        <v>68</v>
      </c>
      <c r="C20" s="37">
        <f>IF(B$3=0,0,B20/B$3)</f>
        <v>0.1266294227188082</v>
      </c>
      <c r="E20" s="59" t="s">
        <v>85</v>
      </c>
      <c r="F20" s="56" t="s">
        <v>40</v>
      </c>
      <c r="G20" s="44">
        <v>1</v>
      </c>
      <c r="H20" s="129">
        <f>IF(B$17=0,0,G20/B$17)</f>
        <v>6.5359477124183009E-3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-7.1481481481481479</v>
      </c>
      <c r="P20" s="115">
        <v>27</v>
      </c>
      <c r="Q20" s="103">
        <v>-193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87</v>
      </c>
      <c r="F21" s="56" t="s">
        <v>42</v>
      </c>
      <c r="G21" s="44">
        <v>1</v>
      </c>
      <c r="H21" s="129">
        <f>IF(B$17=0,0,G21/B$17)</f>
        <v>6.5359477124183009E-3</v>
      </c>
      <c r="I21" s="90">
        <v>2</v>
      </c>
      <c r="K21" s="36">
        <v>19</v>
      </c>
      <c r="L21" s="95">
        <v>-56.399999999999991</v>
      </c>
      <c r="N21" s="111" t="s">
        <v>126</v>
      </c>
      <c r="O21" s="121">
        <f>IF(P21=0,0,Q21/P21)</f>
        <v>-12.66071428571429</v>
      </c>
      <c r="P21" s="115">
        <v>28</v>
      </c>
      <c r="Q21" s="103">
        <v>-354.50000000000011</v>
      </c>
    </row>
    <row r="22" spans="1:17" x14ac:dyDescent="0.4">
      <c r="A22" s="51" t="s">
        <v>170</v>
      </c>
      <c r="B22" s="44">
        <v>44</v>
      </c>
      <c r="C22" s="131">
        <v>15</v>
      </c>
      <c r="E22" s="59" t="s">
        <v>88</v>
      </c>
      <c r="F22" s="56" t="s">
        <v>43</v>
      </c>
      <c r="G22" s="44">
        <v>1</v>
      </c>
      <c r="H22" s="129">
        <f>IF(B$17=0,0,G22/B$17)</f>
        <v>6.5359477124183009E-3</v>
      </c>
      <c r="I22" s="90">
        <v>3</v>
      </c>
      <c r="K22" s="36">
        <v>20</v>
      </c>
      <c r="L22" s="95">
        <v>-93.199999999999989</v>
      </c>
      <c r="N22" s="111" t="s">
        <v>177</v>
      </c>
      <c r="O22" s="121">
        <f>IF(P22=0,0,Q22/P22)</f>
        <v>-14.204761904761906</v>
      </c>
      <c r="P22" s="115">
        <v>21</v>
      </c>
      <c r="Q22" s="103">
        <v>-298.3</v>
      </c>
    </row>
    <row r="23" spans="1:17" x14ac:dyDescent="0.4">
      <c r="A23" s="51" t="s">
        <v>5</v>
      </c>
      <c r="B23" s="48">
        <f>IF(B$17=0,0,C23/B$17)</f>
        <v>8461.4379084967313</v>
      </c>
      <c r="C23" s="39">
        <v>1294600</v>
      </c>
      <c r="E23" s="59" t="s">
        <v>91</v>
      </c>
      <c r="F23" s="56" t="s">
        <v>46</v>
      </c>
      <c r="G23" s="44">
        <v>1</v>
      </c>
      <c r="H23" s="129">
        <f>IF(B$17=0,0,G23/B$17)</f>
        <v>6.5359477124183009E-3</v>
      </c>
      <c r="I23" s="90">
        <v>6</v>
      </c>
      <c r="K23" s="36">
        <v>21</v>
      </c>
      <c r="L23" s="95">
        <v>-123.69999999999999</v>
      </c>
      <c r="N23" s="111" t="s">
        <v>181</v>
      </c>
      <c r="O23" s="121">
        <f>IF(P23=0,0,Q23/P23)</f>
        <v>-15.5</v>
      </c>
      <c r="P23" s="115">
        <v>1</v>
      </c>
      <c r="Q23" s="103">
        <v>-15.5</v>
      </c>
    </row>
    <row r="24" spans="1:17" x14ac:dyDescent="0.4">
      <c r="A24" s="52" t="s">
        <v>216</v>
      </c>
      <c r="B24" s="136">
        <f>IF($B$17-B$16=0,0,C24/($B$17-B$16))</f>
        <v>9608.1632653061224</v>
      </c>
      <c r="C24" s="137">
        <v>941600</v>
      </c>
      <c r="E24" s="59" t="s">
        <v>101</v>
      </c>
      <c r="F24" s="56" t="s">
        <v>56</v>
      </c>
      <c r="G24" s="44">
        <v>1</v>
      </c>
      <c r="H24" s="129">
        <f>IF(B$17=0,0,G24/B$17)</f>
        <v>6.5359477124183009E-3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6418.181818181818</v>
      </c>
      <c r="C25" s="137">
        <v>353000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-8179.411764705882</v>
      </c>
      <c r="C26" s="137">
        <v>-556200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3.7243947858472998E-3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30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0.70175438596491224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-2746.6666666666665</v>
      </c>
      <c r="P2" s="114">
        <v>30</v>
      </c>
      <c r="Q2" s="98">
        <v>-82400</v>
      </c>
    </row>
    <row r="3" spans="1:17" x14ac:dyDescent="0.4">
      <c r="A3" s="51" t="s">
        <v>8</v>
      </c>
      <c r="B3" s="150">
        <v>243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0.59649122807017541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-383.33333333333331</v>
      </c>
      <c r="P3" s="115">
        <v>30</v>
      </c>
      <c r="Q3" s="99">
        <v>-11500</v>
      </c>
    </row>
    <row r="4" spans="1:17" x14ac:dyDescent="0.4">
      <c r="A4" s="51" t="s">
        <v>6</v>
      </c>
      <c r="B4" s="152">
        <v>-472.50000000000011</v>
      </c>
      <c r="C4" s="153"/>
      <c r="E4" s="59" t="s">
        <v>64</v>
      </c>
      <c r="F4" s="56" t="s">
        <v>20</v>
      </c>
      <c r="G4" s="44">
        <v>24</v>
      </c>
      <c r="H4" s="129">
        <f>IF(B$17=0,0,G4/B$17)</f>
        <v>0.42105263157894735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-770</v>
      </c>
      <c r="P4" s="115">
        <v>30</v>
      </c>
      <c r="Q4" s="99">
        <v>-23100</v>
      </c>
    </row>
    <row r="5" spans="1:17" x14ac:dyDescent="0.4">
      <c r="A5" s="51" t="s">
        <v>7</v>
      </c>
      <c r="B5" s="154">
        <f>IF(B$2=0,0,B$4/B$2)</f>
        <v>-15.750000000000004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0.31578947368421051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-2817.2413793103447</v>
      </c>
      <c r="P5" s="115">
        <v>29</v>
      </c>
      <c r="Q5" s="99">
        <v>-81700</v>
      </c>
    </row>
    <row r="6" spans="1:17" x14ac:dyDescent="0.4">
      <c r="A6" s="51" t="s">
        <v>1</v>
      </c>
      <c r="B6" s="144">
        <f>IF(B$2=0,0,(B$7*1+B$8*2+B$9*3)/B$2)</f>
        <v>2.4666666666666668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0.31578947368421051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-1496.4285714285713</v>
      </c>
      <c r="P6" s="115">
        <v>28</v>
      </c>
      <c r="Q6" s="99">
        <v>-41900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0.1</v>
      </c>
      <c r="E7" s="59" t="s">
        <v>68</v>
      </c>
      <c r="F7" s="56" t="s">
        <v>12</v>
      </c>
      <c r="G7" s="44">
        <v>17</v>
      </c>
      <c r="H7" s="129">
        <f>IF(B$17=0,0,G7/B$17)</f>
        <v>0.2982456140350877</v>
      </c>
      <c r="I7" s="90">
        <v>6</v>
      </c>
      <c r="K7" s="36">
        <v>5</v>
      </c>
      <c r="L7" s="95">
        <v>-124.3</v>
      </c>
      <c r="N7" s="112" t="s">
        <v>135</v>
      </c>
      <c r="O7" s="119">
        <f t="shared" si="0"/>
        <v>-3778.2608695652175</v>
      </c>
      <c r="P7" s="116">
        <v>23</v>
      </c>
      <c r="Q7" s="100">
        <v>-86900</v>
      </c>
    </row>
    <row r="8" spans="1:17" x14ac:dyDescent="0.4">
      <c r="A8" s="51" t="s">
        <v>3</v>
      </c>
      <c r="B8" s="44">
        <v>10</v>
      </c>
      <c r="C8" s="37">
        <f t="shared" si="1"/>
        <v>0.33333333333333331</v>
      </c>
      <c r="E8" s="59" t="s">
        <v>89</v>
      </c>
      <c r="F8" s="56" t="s">
        <v>44</v>
      </c>
      <c r="G8" s="44">
        <v>8</v>
      </c>
      <c r="H8" s="129">
        <f>IF(B$17=0,0,G8/B$17)</f>
        <v>0.14035087719298245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0.56666666666666665</v>
      </c>
      <c r="E9" s="59" t="s">
        <v>65</v>
      </c>
      <c r="F9" s="56" t="s">
        <v>21</v>
      </c>
      <c r="G9" s="44">
        <v>7</v>
      </c>
      <c r="H9" s="129">
        <f>IF(B$17=0,0,G9/B$17)</f>
        <v>0.12280701754385964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0.16666666666666666</v>
      </c>
      <c r="E10" s="59" t="s">
        <v>71</v>
      </c>
      <c r="F10" s="56" t="s">
        <v>26</v>
      </c>
      <c r="G10" s="44">
        <v>5</v>
      </c>
      <c r="H10" s="129">
        <f>IF(B$17=0,0,G10/B$17)</f>
        <v>8.771929824561403E-2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3.3333333333333333E-2</v>
      </c>
      <c r="E11" s="59" t="s">
        <v>83</v>
      </c>
      <c r="F11" s="56" t="s">
        <v>38</v>
      </c>
      <c r="G11" s="44">
        <v>5</v>
      </c>
      <c r="H11" s="129">
        <f>IF(B$17=0,0,G11/B$17)</f>
        <v>8.771929824561403E-2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3.3333333333333333E-2</v>
      </c>
      <c r="E12" s="59" t="s">
        <v>69</v>
      </c>
      <c r="F12" s="56" t="s">
        <v>24</v>
      </c>
      <c r="G12" s="44">
        <v>4</v>
      </c>
      <c r="H12" s="129">
        <f>IF(B$17=0,0,G12/B$17)</f>
        <v>7.0175438596491224E-2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-2.84</v>
      </c>
      <c r="P12" s="116">
        <v>5</v>
      </c>
      <c r="Q12" s="104">
        <v>-14.2</v>
      </c>
    </row>
    <row r="13" spans="1:17" x14ac:dyDescent="0.4">
      <c r="A13" s="54" t="s">
        <v>121</v>
      </c>
      <c r="B13" s="47">
        <v>48</v>
      </c>
      <c r="C13" s="42">
        <f>IF(B$3=0,0,B13/B$3)</f>
        <v>0.19753086419753085</v>
      </c>
      <c r="E13" s="59" t="s">
        <v>86</v>
      </c>
      <c r="F13" s="56" t="s">
        <v>41</v>
      </c>
      <c r="G13" s="44">
        <v>4</v>
      </c>
      <c r="H13" s="129">
        <f>IF(B$17=0,0,G13/B$17)</f>
        <v>7.0175438596491224E-2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53</v>
      </c>
      <c r="C14" s="37">
        <f>IF(B$3=0,0,B14/B$3)</f>
        <v>0.21810699588477367</v>
      </c>
      <c r="E14" s="59" t="s">
        <v>70</v>
      </c>
      <c r="F14" s="56" t="s">
        <v>25</v>
      </c>
      <c r="G14" s="44">
        <v>3</v>
      </c>
      <c r="H14" s="129">
        <f>IF(B$17=0,0,G14/B$17)</f>
        <v>5.2631578947368418E-2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3.5087719298245612E-2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0.41509433962264153</v>
      </c>
      <c r="E16" s="59" t="s">
        <v>74</v>
      </c>
      <c r="F16" s="56" t="s">
        <v>29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0.23456790123456789</v>
      </c>
      <c r="E17" s="59" t="s">
        <v>78</v>
      </c>
      <c r="F17" s="56" t="s">
        <v>33</v>
      </c>
      <c r="G17" s="44">
        <v>1</v>
      </c>
      <c r="H17" s="129">
        <f>IF(B$17=0,0,G17/B$17)</f>
        <v>1.7543859649122806E-2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0.49122807017543857</v>
      </c>
      <c r="E18" s="59" t="s">
        <v>95</v>
      </c>
      <c r="F18" s="56" t="s">
        <v>50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29</v>
      </c>
      <c r="C19" s="37">
        <f>IF(B$17=0,0,B19/B$17)</f>
        <v>0.50877192982456143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 t="shared" si="2"/>
        <v>-21.962500000000002</v>
      </c>
      <c r="P19" s="115">
        <v>8</v>
      </c>
      <c r="Q19" s="103">
        <v>-175.70000000000002</v>
      </c>
    </row>
    <row r="20" spans="1:17" x14ac:dyDescent="0.4">
      <c r="A20" s="51" t="s">
        <v>13</v>
      </c>
      <c r="B20" s="44">
        <v>46</v>
      </c>
      <c r="C20" s="37">
        <f>IF(B$3=0,0,B20/B$3)</f>
        <v>0.18930041152263374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-42.855555555555554</v>
      </c>
      <c r="P21" s="115">
        <v>9</v>
      </c>
      <c r="Q21" s="103">
        <v>-385.7</v>
      </c>
    </row>
    <row r="22" spans="1:17" x14ac:dyDescent="0.4">
      <c r="A22" s="51" t="s">
        <v>170</v>
      </c>
      <c r="B22" s="44">
        <v>16</v>
      </c>
      <c r="C22" s="131">
        <v>1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7949.1228070175439</v>
      </c>
      <c r="C23" s="39">
        <v>453100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8242.8571428571431</v>
      </c>
      <c r="C24" s="137">
        <v>288500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-8206.5217391304341</v>
      </c>
      <c r="C26" s="137">
        <v>-377500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4.11522633744856E-3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14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0">
        <v>142</v>
      </c>
      <c r="C3" s="151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2">
        <v>49.900000000000006</v>
      </c>
      <c r="C4" s="153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4">
        <f>IF(B$2=0,0,B$4/B$2)</f>
        <v>3.5642857142857145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-2264.2857142857142</v>
      </c>
      <c r="P5" s="115">
        <v>14</v>
      </c>
      <c r="Q5" s="99">
        <v>-31700</v>
      </c>
    </row>
    <row r="6" spans="1:17" x14ac:dyDescent="0.4">
      <c r="A6" s="51" t="s">
        <v>1</v>
      </c>
      <c r="B6" s="144">
        <f>IF(B$2=0,0,(B$7*1+B$8*2+B$9*3)/B$2)</f>
        <v>1.9285714285714286</v>
      </c>
      <c r="C6" s="145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170</v>
      </c>
      <c r="P7" s="116">
        <v>10</v>
      </c>
      <c r="Q7" s="100">
        <v>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6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11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4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2019-10-27T06:43:13Z</dcterms:modified>
</cp:coreProperties>
</file>