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82DD722B-237D-416F-A6B7-D021D9C37840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833" r:id="rId6"/>
    <sheet name="たかの" sheetId="5835" r:id="rId7"/>
    <sheet name="だいち" sheetId="5837" r:id="rId8"/>
    <sheet name="ただ" sheetId="5839" r:id="rId9"/>
    <sheet name="りくと" sheetId="5841" r:id="rId10"/>
    <sheet name="れんたろう" sheetId="5843" r:id="rId11"/>
    <sheet name="まっつん" sheetId="5845" r:id="rId12"/>
    <sheet name="のり" sheetId="5847" r:id="rId13"/>
    <sheet name="ぱぱ" sheetId="5849" r:id="rId14"/>
    <sheet name="ほたに" sheetId="5851" r:id="rId15"/>
    <sheet name="いっしー" sheetId="5853" r:id="rId16"/>
    <sheet name="いっしー2" sheetId="5854" state="hidden" r:id="rId17"/>
    <sheet name="ほたに2" sheetId="5852" state="hidden" r:id="rId18"/>
    <sheet name="ぱぱ2" sheetId="5850" state="hidden" r:id="rId19"/>
    <sheet name="のり2" sheetId="5848" state="hidden" r:id="rId20"/>
    <sheet name="まっつん2" sheetId="5846" state="hidden" r:id="rId21"/>
    <sheet name="れんたろう2" sheetId="5844" state="hidden" r:id="rId22"/>
    <sheet name="りくと2" sheetId="5842" state="hidden" r:id="rId23"/>
    <sheet name="ただ2" sheetId="5840" state="hidden" r:id="rId24"/>
    <sheet name="だいち2" sheetId="5838" state="hidden" r:id="rId25"/>
    <sheet name="たかの2" sheetId="5836" state="hidden" r:id="rId26"/>
    <sheet name="全体2" sheetId="5834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5">いっしー!$B$17</definedName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15">いっしー!$C$17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15">いっしー!$B$29</definedName>
    <definedName name="チョンボ数" localSheetId="7">だいち!$B$29</definedName>
    <definedName name="チョンボ数" localSheetId="6">たかの!$B$29</definedName>
    <definedName name="チョンボ数" localSheetId="8">ただ!$B$29</definedName>
    <definedName name="チョンボ数" localSheetId="12">のり!$B$29</definedName>
    <definedName name="チョンボ数" localSheetId="13">ぱぱ!$B$29</definedName>
    <definedName name="チョンボ数" localSheetId="14">ほたに!$B$29</definedName>
    <definedName name="チョンボ数" localSheetId="11">まっつん!$B$29</definedName>
    <definedName name="チョンボ数" localSheetId="9">りくと!$B$29</definedName>
    <definedName name="チョンボ数" localSheetId="10">れんたろう!$B$29</definedName>
    <definedName name="チョンボ数" localSheetId="5">全体!$B$29</definedName>
    <definedName name="チョンボ数">Template1!$B$29</definedName>
    <definedName name="チョンボ率" localSheetId="15">いっしー!$C$29</definedName>
    <definedName name="チョンボ率" localSheetId="7">だいち!$C$29</definedName>
    <definedName name="チョンボ率" localSheetId="6">たかの!$C$29</definedName>
    <definedName name="チョンボ率" localSheetId="8">ただ!$C$29</definedName>
    <definedName name="チョンボ率" localSheetId="12">のり!$C$29</definedName>
    <definedName name="チョンボ率" localSheetId="13">ぱぱ!$C$29</definedName>
    <definedName name="チョンボ率" localSheetId="14">ほたに!$C$29</definedName>
    <definedName name="チョンボ率" localSheetId="11">まっつん!$C$29</definedName>
    <definedName name="チョンボ率" localSheetId="9">りくと!$C$29</definedName>
    <definedName name="チョンボ率" localSheetId="10">れんたろう!$C$29</definedName>
    <definedName name="チョンボ率" localSheetId="5">全体!$C$29</definedName>
    <definedName name="チョンボ率">Template1!$C$29</definedName>
    <definedName name="ツモ数" localSheetId="15">いっしー!$B$18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15">いっしー!$C$18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いっしー!$B$11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15">いっしー!$C$11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15">いっしー!$B$13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15">いっしー!$B$15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15">いっしー!$C$15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15">いっしー!$C$13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15">いっしー!$B$19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15">いっしー!$C$19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15">いっしー!$B$12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15">いっしー!$C$12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15">いっしー!$B$27</definedName>
    <definedName name="最大ドラ数" localSheetId="7">だいち!$B$27</definedName>
    <definedName name="最大ドラ数" localSheetId="6">たかの!$B$27</definedName>
    <definedName name="最大ドラ数" localSheetId="8">ただ!$B$27</definedName>
    <definedName name="最大ドラ数" localSheetId="12">のり!$B$27</definedName>
    <definedName name="最大ドラ数" localSheetId="13">ぱぱ!$B$27</definedName>
    <definedName name="最大ドラ数" localSheetId="14">ほたに!$B$27</definedName>
    <definedName name="最大ドラ数" localSheetId="11">まっつん!$B$27</definedName>
    <definedName name="最大ドラ数" localSheetId="9">りくと!$B$27</definedName>
    <definedName name="最大ドラ数" localSheetId="10">れんたろう!$B$27</definedName>
    <definedName name="最大ドラ数" localSheetId="5">全体!$B$27</definedName>
    <definedName name="最大ドラ数">Template1!$B$27</definedName>
    <definedName name="最大点数" localSheetId="15">いっしー!$B$28</definedName>
    <definedName name="最大点数" localSheetId="7">だいち!$B$28</definedName>
    <definedName name="最大点数" localSheetId="6">たかの!$B$28</definedName>
    <definedName name="最大点数" localSheetId="8">ただ!$B$28</definedName>
    <definedName name="最大点数" localSheetId="12">のり!$B$28</definedName>
    <definedName name="最大点数" localSheetId="13">ぱぱ!$B$28</definedName>
    <definedName name="最大点数" localSheetId="14">ほたに!$B$28</definedName>
    <definedName name="最大点数" localSheetId="11">まっつん!$B$28</definedName>
    <definedName name="最大点数" localSheetId="9">りくと!$B$28</definedName>
    <definedName name="最大点数" localSheetId="10">れんたろう!$B$28</definedName>
    <definedName name="最大点数" localSheetId="5">全体!$B$28</definedName>
    <definedName name="最大点数">Template1!$B$28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15">いっしー!$B$14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15">いっしー!$B$16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15">いっしー!$C$16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15">いっしー!$C$14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15">いっしー!$B$23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いっしー!$B$26</definedName>
    <definedName name="平均放銃点" localSheetId="7">だいち!$B$26</definedName>
    <definedName name="平均放銃点" localSheetId="6">たかの!$B$26</definedName>
    <definedName name="平均放銃点" localSheetId="8">ただ!$B$26</definedName>
    <definedName name="平均放銃点" localSheetId="12">のり!$B$26</definedName>
    <definedName name="平均放銃点" localSheetId="13">ぱぱ!$B$26</definedName>
    <definedName name="平均放銃点" localSheetId="14">ほたに!$B$26</definedName>
    <definedName name="平均放銃点" localSheetId="11">まっつん!$B$26</definedName>
    <definedName name="平均放銃点" localSheetId="9">りくと!$B$26</definedName>
    <definedName name="平均放銃点" localSheetId="10">れんたろう!$B$26</definedName>
    <definedName name="平均放銃点" localSheetId="5">全体!$B$26</definedName>
    <definedName name="平均放銃点">Template1!$B$26</definedName>
    <definedName name="放銃数" localSheetId="15">いっしー!$B$20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15">いっしー!$C$20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15">いっしー!$B$21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15">いっしー!$B$22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5845" l="1"/>
  <c r="O17" i="5853"/>
  <c r="O22" i="5837"/>
  <c r="O16" i="5853"/>
  <c r="O15" i="5853"/>
  <c r="C29" i="5853"/>
  <c r="B26" i="5853"/>
  <c r="B25" i="5853"/>
  <c r="C20" i="5853"/>
  <c r="B17" i="5853"/>
  <c r="H50" i="5853" s="1"/>
  <c r="C16" i="5853"/>
  <c r="C15" i="5853"/>
  <c r="C14" i="5853"/>
  <c r="C13" i="5853"/>
  <c r="O12" i="5853"/>
  <c r="C12" i="5853"/>
  <c r="O11" i="5853"/>
  <c r="C11" i="5853"/>
  <c r="O10" i="5853"/>
  <c r="C10" i="5853"/>
  <c r="C9" i="5853"/>
  <c r="C8" i="5853"/>
  <c r="O7" i="5853"/>
  <c r="C7" i="5853"/>
  <c r="O6" i="5853"/>
  <c r="B6" i="5853"/>
  <c r="O5" i="5853"/>
  <c r="B5" i="5853"/>
  <c r="O4" i="5853"/>
  <c r="O3" i="5853"/>
  <c r="O2" i="5853"/>
  <c r="O16" i="5847"/>
  <c r="O24" i="5833"/>
  <c r="H19" i="5853" l="1"/>
  <c r="H9" i="5853"/>
  <c r="H5" i="5853"/>
  <c r="H4" i="5853"/>
  <c r="C18" i="5853"/>
  <c r="H43" i="5853"/>
  <c r="H31" i="5853"/>
  <c r="H2" i="5853"/>
  <c r="H47" i="5853"/>
  <c r="C17" i="5853"/>
  <c r="H35" i="5853"/>
  <c r="H6" i="5853"/>
  <c r="H39" i="5853"/>
  <c r="H17" i="5853"/>
  <c r="B23" i="5853"/>
  <c r="H3" i="5853"/>
  <c r="H14" i="5853"/>
  <c r="H51" i="5853"/>
  <c r="H21" i="5853"/>
  <c r="H25" i="5853"/>
  <c r="H29" i="5853"/>
  <c r="H36" i="5853"/>
  <c r="H44" i="5853"/>
  <c r="H11" i="5853"/>
  <c r="H18" i="5853"/>
  <c r="C19" i="5853"/>
  <c r="B24" i="5853"/>
  <c r="H37" i="5853"/>
  <c r="H45" i="5853"/>
  <c r="H52" i="5853"/>
  <c r="H12" i="5853"/>
  <c r="H7" i="5853"/>
  <c r="H10" i="5853"/>
  <c r="H15" i="5853"/>
  <c r="H22" i="5853"/>
  <c r="H26" i="5853"/>
  <c r="H30" i="5853"/>
  <c r="H38" i="5853"/>
  <c r="H46" i="5853"/>
  <c r="H23" i="5853"/>
  <c r="H27" i="5853"/>
  <c r="H32" i="5853"/>
  <c r="H40" i="5853"/>
  <c r="H48" i="5853"/>
  <c r="H13" i="5853"/>
  <c r="H16" i="5853"/>
  <c r="H8" i="5853"/>
  <c r="H33" i="5853"/>
  <c r="H41" i="5853"/>
  <c r="H49" i="5853"/>
  <c r="H20" i="5853"/>
  <c r="H24" i="5853"/>
  <c r="H28" i="5853"/>
  <c r="H34" i="5853"/>
  <c r="H42" i="5853"/>
  <c r="O20" i="5835" l="1"/>
  <c r="O16" i="5843"/>
  <c r="O15" i="5843" l="1"/>
  <c r="O19" i="5851"/>
  <c r="O15" i="5841" l="1"/>
  <c r="O20" i="5847"/>
  <c r="O16" i="5851" l="1"/>
  <c r="O22" i="5841"/>
  <c r="O21" i="5835" l="1"/>
  <c r="O16" i="5837"/>
  <c r="O15" i="5847"/>
  <c r="O19" i="5847"/>
  <c r="O19" i="5845" l="1"/>
  <c r="O19" i="5849"/>
  <c r="O16" i="5839" l="1"/>
  <c r="O17" i="5845"/>
  <c r="O21" i="5847"/>
  <c r="O17" i="5847"/>
  <c r="O18" i="5835" l="1"/>
  <c r="O18" i="5849"/>
  <c r="O17" i="5849"/>
  <c r="O17" i="5841"/>
  <c r="O18" i="5839" l="1"/>
  <c r="O21" i="5843"/>
  <c r="O19" i="5843" l="1"/>
  <c r="O21" i="5837"/>
  <c r="O23" i="5847"/>
  <c r="O17" i="5851"/>
  <c r="O15" i="5851"/>
  <c r="O20" i="5849"/>
  <c r="O15" i="5839" l="1"/>
  <c r="O20" i="5839"/>
  <c r="O18" i="5851"/>
  <c r="O20" i="5851"/>
  <c r="C29" i="5851"/>
  <c r="B26" i="5851"/>
  <c r="B25" i="5851"/>
  <c r="C20" i="5851"/>
  <c r="B17" i="5851"/>
  <c r="H50" i="5851" s="1"/>
  <c r="C16" i="5851"/>
  <c r="C15" i="5851"/>
  <c r="C14" i="5851"/>
  <c r="C13" i="5851"/>
  <c r="O12" i="5851"/>
  <c r="C12" i="5851"/>
  <c r="O11" i="5851"/>
  <c r="C11" i="5851"/>
  <c r="O10" i="5851"/>
  <c r="C10" i="5851"/>
  <c r="C9" i="5851"/>
  <c r="C8" i="5851"/>
  <c r="O7" i="5851"/>
  <c r="C7" i="5851"/>
  <c r="O6" i="5851"/>
  <c r="B6" i="5851"/>
  <c r="O5" i="5851"/>
  <c r="B5" i="5851"/>
  <c r="O4" i="5851"/>
  <c r="O3" i="5851"/>
  <c r="O2" i="5851"/>
  <c r="O21" i="5845"/>
  <c r="O15" i="5845"/>
  <c r="O16" i="5833"/>
  <c r="H26" i="5851" l="1"/>
  <c r="H39" i="5851"/>
  <c r="H16" i="5851"/>
  <c r="B23" i="5851"/>
  <c r="H19" i="5851"/>
  <c r="H21" i="5851"/>
  <c r="H31" i="5851"/>
  <c r="H35" i="5851"/>
  <c r="H2" i="5851"/>
  <c r="H36" i="5851"/>
  <c r="H11" i="5851"/>
  <c r="H44" i="5851"/>
  <c r="H43" i="5851"/>
  <c r="C18" i="5851"/>
  <c r="H47" i="5851"/>
  <c r="H4" i="5851"/>
  <c r="C17" i="5851"/>
  <c r="H9" i="5851"/>
  <c r="H29" i="5851"/>
  <c r="H3" i="5851"/>
  <c r="H5" i="5851"/>
  <c r="H22" i="5851"/>
  <c r="H51" i="5851"/>
  <c r="H6" i="5851"/>
  <c r="H20" i="5851"/>
  <c r="C19" i="5851"/>
  <c r="B24" i="5851"/>
  <c r="H37" i="5851"/>
  <c r="H45" i="5851"/>
  <c r="H52" i="5851"/>
  <c r="H7" i="5851"/>
  <c r="H8" i="5851"/>
  <c r="H12" i="5851"/>
  <c r="H17" i="5851"/>
  <c r="H23" i="5851"/>
  <c r="H15" i="5851"/>
  <c r="H30" i="5851"/>
  <c r="H38" i="5851"/>
  <c r="H46" i="5851"/>
  <c r="H24" i="5851"/>
  <c r="H27" i="5851"/>
  <c r="H32" i="5851"/>
  <c r="H40" i="5851"/>
  <c r="H48" i="5851"/>
  <c r="H10" i="5851"/>
  <c r="H18" i="5851"/>
  <c r="H14" i="5851"/>
  <c r="H33" i="5851"/>
  <c r="H41" i="5851"/>
  <c r="H49" i="5851"/>
  <c r="H13" i="5851"/>
  <c r="H25" i="5851"/>
  <c r="H28" i="5851"/>
  <c r="H34" i="5851"/>
  <c r="H42" i="5851"/>
  <c r="O17" i="5837" l="1"/>
  <c r="O21" i="5841"/>
  <c r="O18" i="5837" l="1"/>
  <c r="O20" i="5845"/>
  <c r="O22" i="5845"/>
  <c r="O15" i="5835"/>
  <c r="O19" i="5839"/>
  <c r="O16" i="5841"/>
  <c r="O19" i="5841"/>
  <c r="O19" i="5835"/>
  <c r="O17" i="5839"/>
  <c r="O15" i="5837"/>
  <c r="O21" i="5849"/>
  <c r="O22" i="5849"/>
  <c r="O22" i="5843" l="1"/>
  <c r="O17" i="5843"/>
  <c r="O15" i="5849"/>
  <c r="O16" i="5849"/>
  <c r="C29" i="5849"/>
  <c r="B26" i="5849"/>
  <c r="B25" i="5849"/>
  <c r="C20" i="5849"/>
  <c r="B17" i="5849"/>
  <c r="H6" i="5849" s="1"/>
  <c r="C16" i="5849"/>
  <c r="C15" i="5849"/>
  <c r="C14" i="5849"/>
  <c r="C13" i="5849"/>
  <c r="O12" i="5849"/>
  <c r="C12" i="5849"/>
  <c r="O11" i="5849"/>
  <c r="C11" i="5849"/>
  <c r="O10" i="5849"/>
  <c r="C10" i="5849"/>
  <c r="C9" i="5849"/>
  <c r="C8" i="5849"/>
  <c r="O7" i="5849"/>
  <c r="C7" i="5849"/>
  <c r="O6" i="5849"/>
  <c r="B6" i="5849"/>
  <c r="O5" i="5849"/>
  <c r="B5" i="5849"/>
  <c r="O4" i="5849"/>
  <c r="O3" i="5849"/>
  <c r="O2" i="5849"/>
  <c r="O15" i="5833"/>
  <c r="O18" i="5847"/>
  <c r="O22" i="5847"/>
  <c r="C29" i="5847"/>
  <c r="B26" i="5847"/>
  <c r="B25" i="5847"/>
  <c r="C20" i="5847"/>
  <c r="B17" i="5847"/>
  <c r="H50" i="5847" s="1"/>
  <c r="C16" i="5847"/>
  <c r="C15" i="5847"/>
  <c r="C14" i="5847"/>
  <c r="C13" i="5847"/>
  <c r="O12" i="5847"/>
  <c r="C12" i="5847"/>
  <c r="O11" i="5847"/>
  <c r="C11" i="5847"/>
  <c r="O10" i="5847"/>
  <c r="C10" i="5847"/>
  <c r="C9" i="5847"/>
  <c r="C8" i="5847"/>
  <c r="O7" i="5847"/>
  <c r="C7" i="5847"/>
  <c r="O6" i="5847"/>
  <c r="B6" i="5847"/>
  <c r="O5" i="5847"/>
  <c r="B5" i="5847"/>
  <c r="O4" i="5847"/>
  <c r="O3" i="5847"/>
  <c r="O2" i="5847"/>
  <c r="O20" i="5833"/>
  <c r="H4" i="5849" l="1"/>
  <c r="H15" i="5849"/>
  <c r="H39" i="5849"/>
  <c r="H21" i="5849"/>
  <c r="H9" i="5849"/>
  <c r="H13" i="5849"/>
  <c r="H40" i="5849"/>
  <c r="H10" i="5849"/>
  <c r="C17" i="5849"/>
  <c r="H42" i="5849"/>
  <c r="C19" i="5849"/>
  <c r="H46" i="5849"/>
  <c r="H31" i="5849"/>
  <c r="H47" i="5849"/>
  <c r="H14" i="5849"/>
  <c r="H32" i="5849"/>
  <c r="H48" i="5849"/>
  <c r="H5" i="5849"/>
  <c r="H8" i="5849"/>
  <c r="H27" i="5849"/>
  <c r="H50" i="5849"/>
  <c r="H2" i="5849"/>
  <c r="H16" i="5849"/>
  <c r="H7" i="5849"/>
  <c r="H23" i="5849"/>
  <c r="H34" i="5849"/>
  <c r="H3" i="5849"/>
  <c r="H11" i="5849"/>
  <c r="B24" i="5849"/>
  <c r="H38" i="5849"/>
  <c r="H52" i="5849"/>
  <c r="H26" i="5849"/>
  <c r="H18" i="5849"/>
  <c r="H33" i="5849"/>
  <c r="H41" i="5849"/>
  <c r="H49" i="5849"/>
  <c r="H24" i="5849"/>
  <c r="H28" i="5849"/>
  <c r="H29" i="5849"/>
  <c r="H35" i="5849"/>
  <c r="H43" i="5849"/>
  <c r="H51" i="5849"/>
  <c r="H20" i="5849"/>
  <c r="H22" i="5849"/>
  <c r="C18" i="5849"/>
  <c r="B23" i="5849"/>
  <c r="H12" i="5849"/>
  <c r="H36" i="5849"/>
  <c r="H44" i="5849"/>
  <c r="H19" i="5849"/>
  <c r="H25" i="5849"/>
  <c r="H17" i="5849"/>
  <c r="H30" i="5849"/>
  <c r="H37" i="5849"/>
  <c r="H45" i="5849"/>
  <c r="B23" i="5847"/>
  <c r="H21" i="5847"/>
  <c r="H13" i="5847"/>
  <c r="H43" i="5847"/>
  <c r="H47" i="5847"/>
  <c r="H2" i="5847"/>
  <c r="H19" i="5847"/>
  <c r="H51" i="5847"/>
  <c r="H17" i="5847"/>
  <c r="H8" i="5847"/>
  <c r="H5" i="5847"/>
  <c r="C17" i="5847"/>
  <c r="H32" i="5847"/>
  <c r="C18" i="5847"/>
  <c r="H35" i="5847"/>
  <c r="H4" i="5847"/>
  <c r="H3" i="5847"/>
  <c r="H39" i="5847"/>
  <c r="H24" i="5847"/>
  <c r="H27" i="5847"/>
  <c r="H30" i="5847"/>
  <c r="H36" i="5847"/>
  <c r="H44" i="5847"/>
  <c r="H6" i="5847"/>
  <c r="H22" i="5847"/>
  <c r="C19" i="5847"/>
  <c r="B24" i="5847"/>
  <c r="H37" i="5847"/>
  <c r="H45" i="5847"/>
  <c r="H52" i="5847"/>
  <c r="H9" i="5847"/>
  <c r="H7" i="5847"/>
  <c r="H10" i="5847"/>
  <c r="H16" i="5847"/>
  <c r="H15" i="5847"/>
  <c r="H14" i="5847"/>
  <c r="H31" i="5847"/>
  <c r="H38" i="5847"/>
  <c r="H46" i="5847"/>
  <c r="H25" i="5847"/>
  <c r="H28" i="5847"/>
  <c r="H33" i="5847"/>
  <c r="H40" i="5847"/>
  <c r="H48" i="5847"/>
  <c r="H12" i="5847"/>
  <c r="H20" i="5847"/>
  <c r="H11" i="5847"/>
  <c r="H34" i="5847"/>
  <c r="H41" i="5847"/>
  <c r="H49" i="5847"/>
  <c r="H23" i="5847"/>
  <c r="H26" i="5847"/>
  <c r="H29" i="5847"/>
  <c r="H18" i="5847"/>
  <c r="H42" i="5847"/>
  <c r="O23" i="5845" l="1"/>
  <c r="O18" i="5845"/>
  <c r="C29" i="5845"/>
  <c r="B26" i="5845"/>
  <c r="B25" i="5845"/>
  <c r="C20" i="5845"/>
  <c r="B17" i="5845"/>
  <c r="H5" i="5845" s="1"/>
  <c r="C16" i="5845"/>
  <c r="C15" i="5845"/>
  <c r="C14" i="5845"/>
  <c r="C13" i="5845"/>
  <c r="O12" i="5845"/>
  <c r="C12" i="5845"/>
  <c r="O11" i="5845"/>
  <c r="C11" i="5845"/>
  <c r="O10" i="5845"/>
  <c r="C10" i="5845"/>
  <c r="C9" i="5845"/>
  <c r="C8" i="5845"/>
  <c r="O7" i="5845"/>
  <c r="C7" i="5845"/>
  <c r="O6" i="5845"/>
  <c r="B6" i="5845"/>
  <c r="O5" i="5845"/>
  <c r="B5" i="5845"/>
  <c r="O4" i="5845"/>
  <c r="O3" i="5845"/>
  <c r="O2" i="5845"/>
  <c r="O20" i="5843"/>
  <c r="O18" i="5843"/>
  <c r="C29" i="5843"/>
  <c r="B26" i="5843"/>
  <c r="B25" i="5843"/>
  <c r="C20" i="5843"/>
  <c r="B17" i="5843"/>
  <c r="H51" i="5843" s="1"/>
  <c r="C16" i="5843"/>
  <c r="C15" i="5843"/>
  <c r="C14" i="5843"/>
  <c r="C13" i="5843"/>
  <c r="O12" i="5843"/>
  <c r="C12" i="5843"/>
  <c r="O11" i="5843"/>
  <c r="C11" i="5843"/>
  <c r="O10" i="5843"/>
  <c r="C10" i="5843"/>
  <c r="C9" i="5843"/>
  <c r="C8" i="5843"/>
  <c r="O7" i="5843"/>
  <c r="C7" i="5843"/>
  <c r="O6" i="5843"/>
  <c r="B6" i="5843"/>
  <c r="O5" i="5843"/>
  <c r="B5" i="5843"/>
  <c r="O4" i="5843"/>
  <c r="O3" i="5843"/>
  <c r="O2" i="5843"/>
  <c r="O17" i="5833"/>
  <c r="O20" i="5841"/>
  <c r="O18" i="5841"/>
  <c r="C29" i="5841"/>
  <c r="B26" i="5841"/>
  <c r="B25" i="5841"/>
  <c r="C20" i="5841"/>
  <c r="B17" i="5841"/>
  <c r="H51" i="5841" s="1"/>
  <c r="C16" i="5841"/>
  <c r="C15" i="5841"/>
  <c r="C14" i="5841"/>
  <c r="C13" i="5841"/>
  <c r="O12" i="5841"/>
  <c r="C12" i="5841"/>
  <c r="O11" i="5841"/>
  <c r="C11" i="5841"/>
  <c r="O10" i="5841"/>
  <c r="C10" i="5841"/>
  <c r="C9" i="5841"/>
  <c r="C8" i="5841"/>
  <c r="O7" i="5841"/>
  <c r="C7" i="5841"/>
  <c r="O6" i="5841"/>
  <c r="B6" i="5841"/>
  <c r="O5" i="5841"/>
  <c r="B5" i="5841"/>
  <c r="O4" i="5841"/>
  <c r="O3" i="5841"/>
  <c r="O2" i="5841"/>
  <c r="O19" i="5833"/>
  <c r="O22" i="5833"/>
  <c r="H44" i="5841" l="1"/>
  <c r="H21" i="5843"/>
  <c r="H33" i="5845"/>
  <c r="H18" i="5845"/>
  <c r="H28" i="5841"/>
  <c r="H5" i="5841"/>
  <c r="H21" i="5841"/>
  <c r="H2" i="5841"/>
  <c r="H8" i="5841"/>
  <c r="H31" i="5841"/>
  <c r="C17" i="5841"/>
  <c r="C18" i="5841"/>
  <c r="H36" i="5841"/>
  <c r="H11" i="5841"/>
  <c r="H7" i="5841"/>
  <c r="H25" i="5841"/>
  <c r="H3" i="5841"/>
  <c r="H4" i="5841"/>
  <c r="H23" i="5841"/>
  <c r="B23" i="5841"/>
  <c r="H37" i="5841"/>
  <c r="H39" i="5845"/>
  <c r="H20" i="5845"/>
  <c r="H15" i="5845"/>
  <c r="H31" i="5845"/>
  <c r="H7" i="5845"/>
  <c r="C17" i="5845"/>
  <c r="H41" i="5845"/>
  <c r="H43" i="5845"/>
  <c r="C19" i="5845"/>
  <c r="H46" i="5845"/>
  <c r="H10" i="5845"/>
  <c r="H13" i="5845"/>
  <c r="H26" i="5845"/>
  <c r="H48" i="5845"/>
  <c r="H40" i="5845"/>
  <c r="H12" i="5845"/>
  <c r="H3" i="5845"/>
  <c r="H14" i="5845"/>
  <c r="H23" i="5845"/>
  <c r="H2" i="5845"/>
  <c r="H8" i="5845"/>
  <c r="H19" i="5845"/>
  <c r="H28" i="5845"/>
  <c r="H24" i="5845"/>
  <c r="H51" i="5845"/>
  <c r="B24" i="5845"/>
  <c r="H36" i="5845"/>
  <c r="H52" i="5845"/>
  <c r="H47" i="5845"/>
  <c r="H30" i="5845"/>
  <c r="H22" i="5845"/>
  <c r="H34" i="5845"/>
  <c r="H25" i="5845"/>
  <c r="H49" i="5845"/>
  <c r="H35" i="5845"/>
  <c r="H42" i="5845"/>
  <c r="H50" i="5845"/>
  <c r="H6" i="5845"/>
  <c r="H17" i="5845"/>
  <c r="H27" i="5845"/>
  <c r="C18" i="5845"/>
  <c r="B23" i="5845"/>
  <c r="H9" i="5845"/>
  <c r="H37" i="5845"/>
  <c r="H44" i="5845"/>
  <c r="H16" i="5845"/>
  <c r="H4" i="5845"/>
  <c r="H11" i="5845"/>
  <c r="H29" i="5845"/>
  <c r="H21" i="5845"/>
  <c r="H32" i="5845"/>
  <c r="H38" i="5845"/>
  <c r="H45" i="5845"/>
  <c r="H19" i="5843"/>
  <c r="B23" i="5843"/>
  <c r="H2" i="5843"/>
  <c r="H44" i="5843"/>
  <c r="H17" i="5843"/>
  <c r="H11" i="5843"/>
  <c r="C18" i="5843"/>
  <c r="H48" i="5843"/>
  <c r="C17" i="5843"/>
  <c r="H5" i="5843"/>
  <c r="H12" i="5843"/>
  <c r="H8" i="5843"/>
  <c r="H4" i="5843"/>
  <c r="H3" i="5843"/>
  <c r="H29" i="5843"/>
  <c r="H36" i="5843"/>
  <c r="H26" i="5843"/>
  <c r="H40" i="5843"/>
  <c r="H22" i="5843"/>
  <c r="H23" i="5843"/>
  <c r="H37" i="5843"/>
  <c r="H45" i="5843"/>
  <c r="H6" i="5843"/>
  <c r="H27" i="5843"/>
  <c r="C19" i="5843"/>
  <c r="B24" i="5843"/>
  <c r="H38" i="5843"/>
  <c r="H46" i="5843"/>
  <c r="H52" i="5843"/>
  <c r="H10" i="5843"/>
  <c r="H7" i="5843"/>
  <c r="H13" i="5843"/>
  <c r="H25" i="5843"/>
  <c r="H15" i="5843"/>
  <c r="H16" i="5843"/>
  <c r="H18" i="5843"/>
  <c r="H39" i="5843"/>
  <c r="H47" i="5843"/>
  <c r="H30" i="5843"/>
  <c r="H32" i="5843"/>
  <c r="H24" i="5843"/>
  <c r="H41" i="5843"/>
  <c r="H49" i="5843"/>
  <c r="H9" i="5843"/>
  <c r="H20" i="5843"/>
  <c r="H14" i="5843"/>
  <c r="H34" i="5843"/>
  <c r="H42" i="5843"/>
  <c r="H50" i="5843"/>
  <c r="H28" i="5843"/>
  <c r="H31" i="5843"/>
  <c r="H33" i="5843"/>
  <c r="H35" i="5843"/>
  <c r="H43" i="5843"/>
  <c r="H45" i="5841"/>
  <c r="H17" i="5841"/>
  <c r="H24" i="5841"/>
  <c r="C19" i="5841"/>
  <c r="B24" i="5841"/>
  <c r="H38" i="5841"/>
  <c r="H46" i="5841"/>
  <c r="H52" i="5841"/>
  <c r="H10" i="5841"/>
  <c r="H6" i="5841"/>
  <c r="H13" i="5841"/>
  <c r="H22" i="5841"/>
  <c r="H16" i="5841"/>
  <c r="H15" i="5841"/>
  <c r="H20" i="5841"/>
  <c r="H39" i="5841"/>
  <c r="H47" i="5841"/>
  <c r="H14" i="5841"/>
  <c r="H32" i="5841"/>
  <c r="H40" i="5841"/>
  <c r="H48" i="5841"/>
  <c r="H26" i="5841"/>
  <c r="H34" i="5841"/>
  <c r="H42" i="5841"/>
  <c r="H50" i="5841"/>
  <c r="H29" i="5841"/>
  <c r="H33" i="5841"/>
  <c r="H41" i="5841"/>
  <c r="H49" i="5841"/>
  <c r="H9" i="5841"/>
  <c r="H18" i="5841"/>
  <c r="H12" i="5841"/>
  <c r="H19" i="5841"/>
  <c r="H27" i="5841"/>
  <c r="H30" i="5841"/>
  <c r="H35" i="5841"/>
  <c r="H43" i="5841"/>
  <c r="O22" i="5839" l="1"/>
  <c r="O21" i="5839"/>
  <c r="C29" i="5839"/>
  <c r="B26" i="5839"/>
  <c r="B25" i="5839"/>
  <c r="C20" i="5839"/>
  <c r="B17" i="5839"/>
  <c r="H23" i="5839" s="1"/>
  <c r="C16" i="5839"/>
  <c r="C15" i="5839"/>
  <c r="C14" i="5839"/>
  <c r="C13" i="5839"/>
  <c r="O12" i="5839"/>
  <c r="C12" i="5839"/>
  <c r="O11" i="5839"/>
  <c r="C11" i="5839"/>
  <c r="O10" i="5839"/>
  <c r="C10" i="5839"/>
  <c r="C9" i="5839"/>
  <c r="C8" i="5839"/>
  <c r="O7" i="5839"/>
  <c r="C7" i="5839"/>
  <c r="O6" i="5839"/>
  <c r="B6" i="5839"/>
  <c r="O5" i="5839"/>
  <c r="B5" i="5839"/>
  <c r="O4" i="5839"/>
  <c r="O3" i="5839"/>
  <c r="O2" i="5839"/>
  <c r="O20" i="5837"/>
  <c r="O19" i="5837"/>
  <c r="C29" i="5837"/>
  <c r="B26" i="5837"/>
  <c r="B25" i="5837"/>
  <c r="C20" i="5837"/>
  <c r="B17" i="5837"/>
  <c r="H15" i="5837" s="1"/>
  <c r="C16" i="5837"/>
  <c r="C15" i="5837"/>
  <c r="C14" i="5837"/>
  <c r="C13" i="5837"/>
  <c r="O12" i="5837"/>
  <c r="C12" i="5837"/>
  <c r="O11" i="5837"/>
  <c r="C11" i="5837"/>
  <c r="O10" i="5837"/>
  <c r="C10" i="5837"/>
  <c r="C9" i="5837"/>
  <c r="C8" i="5837"/>
  <c r="O7" i="5837"/>
  <c r="C7" i="5837"/>
  <c r="O6" i="5837"/>
  <c r="B6" i="5837"/>
  <c r="O5" i="5837"/>
  <c r="B5" i="5837"/>
  <c r="O4" i="5837"/>
  <c r="O3" i="5837"/>
  <c r="O2" i="5837"/>
  <c r="O18" i="5833"/>
  <c r="O17" i="5835"/>
  <c r="O16" i="5835"/>
  <c r="C29" i="5835"/>
  <c r="B26" i="5835"/>
  <c r="B25" i="5835"/>
  <c r="C20" i="5835"/>
  <c r="B17" i="5835"/>
  <c r="H51" i="5835" s="1"/>
  <c r="C16" i="5835"/>
  <c r="C15" i="5835"/>
  <c r="C14" i="5835"/>
  <c r="C13" i="5835"/>
  <c r="O12" i="5835"/>
  <c r="C12" i="5835"/>
  <c r="O11" i="5835"/>
  <c r="C11" i="5835"/>
  <c r="O10" i="5835"/>
  <c r="C10" i="5835"/>
  <c r="C9" i="5835"/>
  <c r="C8" i="5835"/>
  <c r="O7" i="5835"/>
  <c r="C7" i="5835"/>
  <c r="O6" i="5835"/>
  <c r="B6" i="5835"/>
  <c r="O5" i="5835"/>
  <c r="B5" i="5835"/>
  <c r="O4" i="5835"/>
  <c r="O3" i="5835"/>
  <c r="O2" i="5835"/>
  <c r="O21" i="5833"/>
  <c r="O23" i="5833"/>
  <c r="C29" i="5833"/>
  <c r="B26" i="5833"/>
  <c r="B25" i="5833"/>
  <c r="C20" i="5833"/>
  <c r="B17" i="5833"/>
  <c r="H50" i="5833" s="1"/>
  <c r="C16" i="5833"/>
  <c r="C15" i="5833"/>
  <c r="C14" i="5833"/>
  <c r="C13" i="5833"/>
  <c r="O12" i="5833"/>
  <c r="C12" i="5833"/>
  <c r="O11" i="5833"/>
  <c r="C11" i="5833"/>
  <c r="O10" i="5833"/>
  <c r="C10" i="5833"/>
  <c r="C9" i="5833"/>
  <c r="C8" i="5833"/>
  <c r="O7" i="5833"/>
  <c r="C7" i="5833"/>
  <c r="O6" i="5833"/>
  <c r="B6" i="5833"/>
  <c r="O5" i="5833"/>
  <c r="B5" i="5833"/>
  <c r="O4" i="5833"/>
  <c r="O3" i="5833"/>
  <c r="O2" i="5833"/>
  <c r="H3" i="5837" l="1"/>
  <c r="H3" i="5839"/>
  <c r="H5" i="5839"/>
  <c r="C17" i="5839"/>
  <c r="H2" i="5839"/>
  <c r="H12" i="5839"/>
  <c r="H28" i="5839"/>
  <c r="H33" i="5839"/>
  <c r="H4" i="5839"/>
  <c r="H27" i="5839"/>
  <c r="B24" i="5839"/>
  <c r="H52" i="5839"/>
  <c r="H10" i="5839"/>
  <c r="H6" i="5839"/>
  <c r="H11" i="5839"/>
  <c r="H19" i="5839"/>
  <c r="H17" i="5839"/>
  <c r="H13" i="5839"/>
  <c r="H15" i="5839"/>
  <c r="H39" i="5839"/>
  <c r="H47" i="5839"/>
  <c r="H30" i="5839"/>
  <c r="H37" i="5839"/>
  <c r="H45" i="5839"/>
  <c r="C19" i="5839"/>
  <c r="H38" i="5839"/>
  <c r="H46" i="5839"/>
  <c r="H16" i="5839"/>
  <c r="H21" i="5839"/>
  <c r="H40" i="5839"/>
  <c r="H48" i="5839"/>
  <c r="H31" i="5839"/>
  <c r="H41" i="5839"/>
  <c r="H8" i="5839"/>
  <c r="H25" i="5839"/>
  <c r="H50" i="5839"/>
  <c r="H18" i="5839"/>
  <c r="H20" i="5839"/>
  <c r="H32" i="5839"/>
  <c r="H22" i="5839"/>
  <c r="H43" i="5839"/>
  <c r="H51" i="5839"/>
  <c r="H29" i="5839"/>
  <c r="H34" i="5839"/>
  <c r="H49" i="5839"/>
  <c r="H14" i="5839"/>
  <c r="H35" i="5839"/>
  <c r="H42" i="5839"/>
  <c r="H7" i="5839"/>
  <c r="H24" i="5839"/>
  <c r="H26" i="5839"/>
  <c r="C18" i="5839"/>
  <c r="B23" i="5839"/>
  <c r="H9" i="5839"/>
  <c r="H36" i="5839"/>
  <c r="H44" i="5839"/>
  <c r="H25" i="5837"/>
  <c r="H4" i="5837"/>
  <c r="H26" i="5837"/>
  <c r="C17" i="5837"/>
  <c r="H37" i="5837"/>
  <c r="H2" i="5837"/>
  <c r="H31" i="5837"/>
  <c r="H45" i="5837"/>
  <c r="H12" i="5837"/>
  <c r="H5" i="5837"/>
  <c r="H17" i="5837"/>
  <c r="C19" i="5837"/>
  <c r="B24" i="5837"/>
  <c r="H38" i="5837"/>
  <c r="H46" i="5837"/>
  <c r="H52" i="5837"/>
  <c r="H10" i="5837"/>
  <c r="H6" i="5837"/>
  <c r="H11" i="5837"/>
  <c r="H22" i="5837"/>
  <c r="H24" i="5837"/>
  <c r="H14" i="5837"/>
  <c r="H27" i="5837"/>
  <c r="H39" i="5837"/>
  <c r="H47" i="5837"/>
  <c r="H16" i="5837"/>
  <c r="H21" i="5837"/>
  <c r="H40" i="5837"/>
  <c r="H48" i="5837"/>
  <c r="H33" i="5837"/>
  <c r="H34" i="5837"/>
  <c r="H49" i="5837"/>
  <c r="H9" i="5837"/>
  <c r="H19" i="5837"/>
  <c r="H13" i="5837"/>
  <c r="H35" i="5837"/>
  <c r="H23" i="5837"/>
  <c r="H18" i="5837"/>
  <c r="H20" i="5837"/>
  <c r="H28" i="5837"/>
  <c r="H43" i="5837"/>
  <c r="H51" i="5837"/>
  <c r="H32" i="5837"/>
  <c r="H41" i="5837"/>
  <c r="H42" i="5837"/>
  <c r="H50" i="5837"/>
  <c r="H7" i="5837"/>
  <c r="H29" i="5837"/>
  <c r="H30" i="5837"/>
  <c r="C18" i="5837"/>
  <c r="B23" i="5837"/>
  <c r="H8" i="5837"/>
  <c r="H36" i="5837"/>
  <c r="H44" i="5837"/>
  <c r="B24" i="5835"/>
  <c r="H20" i="5835"/>
  <c r="H12" i="5835"/>
  <c r="H3" i="5835"/>
  <c r="H39" i="5835"/>
  <c r="H24" i="5835"/>
  <c r="H36" i="5835"/>
  <c r="H37" i="5835"/>
  <c r="H2" i="5835"/>
  <c r="H29" i="5835"/>
  <c r="H44" i="5835"/>
  <c r="H31" i="5835"/>
  <c r="H47" i="5835"/>
  <c r="H8" i="5835"/>
  <c r="H45" i="5835"/>
  <c r="H10" i="5835"/>
  <c r="H26" i="5835"/>
  <c r="H4" i="5835"/>
  <c r="C17" i="5835"/>
  <c r="H6" i="5835"/>
  <c r="H5" i="5835"/>
  <c r="C19" i="5835"/>
  <c r="H32" i="5835"/>
  <c r="H52" i="5835"/>
  <c r="H18" i="5835"/>
  <c r="H14" i="5835"/>
  <c r="H15" i="5835"/>
  <c r="H16" i="5835"/>
  <c r="H38" i="5835"/>
  <c r="H46" i="5835"/>
  <c r="H33" i="5835"/>
  <c r="H41" i="5835"/>
  <c r="H49" i="5835"/>
  <c r="H30" i="5835"/>
  <c r="H48" i="5835"/>
  <c r="H19" i="5835"/>
  <c r="H11" i="5835"/>
  <c r="H25" i="5835"/>
  <c r="H28" i="5835"/>
  <c r="H17" i="5835"/>
  <c r="H34" i="5835"/>
  <c r="H42" i="5835"/>
  <c r="H50" i="5835"/>
  <c r="H27" i="5835"/>
  <c r="H21" i="5835"/>
  <c r="H40" i="5835"/>
  <c r="H7" i="5835"/>
  <c r="H9" i="5835"/>
  <c r="H22" i="5835"/>
  <c r="H23" i="5835"/>
  <c r="C18" i="5835"/>
  <c r="B23" i="5835"/>
  <c r="H13" i="5835"/>
  <c r="H35" i="5835"/>
  <c r="H43" i="5835"/>
  <c r="H26" i="5833"/>
  <c r="H13" i="5833"/>
  <c r="H3" i="5833"/>
  <c r="H8" i="5833"/>
  <c r="H15" i="5833"/>
  <c r="H2" i="5833"/>
  <c r="C17" i="5833"/>
  <c r="H22" i="5833"/>
  <c r="H19" i="5833"/>
  <c r="H41" i="5833"/>
  <c r="H20" i="5833"/>
  <c r="H48" i="5833"/>
  <c r="H23" i="5833"/>
  <c r="H28" i="5833"/>
  <c r="H43" i="5833"/>
  <c r="H51" i="5833"/>
  <c r="H7" i="5833"/>
  <c r="H24" i="5833"/>
  <c r="H33" i="5833"/>
  <c r="C18" i="5833"/>
  <c r="B23" i="5833"/>
  <c r="H9" i="5833"/>
  <c r="H37" i="5833"/>
  <c r="H44" i="5833"/>
  <c r="H16" i="5833"/>
  <c r="H4" i="5833"/>
  <c r="H11" i="5833"/>
  <c r="H34" i="5833"/>
  <c r="H27" i="5833"/>
  <c r="H30" i="5833"/>
  <c r="H38" i="5833"/>
  <c r="H45" i="5833"/>
  <c r="H5" i="5833"/>
  <c r="H25" i="5833"/>
  <c r="C19" i="5833"/>
  <c r="B24" i="5833"/>
  <c r="H39" i="5833"/>
  <c r="H46" i="5833"/>
  <c r="H52" i="5833"/>
  <c r="H10" i="5833"/>
  <c r="H6" i="5833"/>
  <c r="H12" i="5833"/>
  <c r="H21" i="5833"/>
  <c r="H17" i="5833"/>
  <c r="H14" i="5833"/>
  <c r="H18" i="5833"/>
  <c r="H40" i="5833"/>
  <c r="H47" i="5833"/>
  <c r="H35" i="5833"/>
  <c r="H29" i="5833"/>
  <c r="H31" i="5833"/>
  <c r="H32" i="5833"/>
  <c r="H49" i="5833"/>
  <c r="H36" i="5833"/>
  <c r="H42" i="5833"/>
  <c r="B25" i="2228" l="1"/>
  <c r="C16" i="2228"/>
  <c r="B26" i="2228"/>
  <c r="C29" i="2228" l="1"/>
  <c r="C20" i="2228"/>
  <c r="C17" i="2228"/>
  <c r="B17" i="2228"/>
  <c r="C15" i="2228"/>
  <c r="C14" i="2228"/>
  <c r="C13" i="2228"/>
  <c r="O12" i="2228"/>
  <c r="C12" i="2228"/>
  <c r="O11" i="2228"/>
  <c r="C11" i="2228"/>
  <c r="O10" i="2228"/>
  <c r="C10" i="2228"/>
  <c r="H9" i="2228"/>
  <c r="C9" i="2228"/>
  <c r="C8" i="2228"/>
  <c r="O7" i="2228"/>
  <c r="C7" i="2228"/>
  <c r="O6" i="2228"/>
  <c r="H6" i="2228"/>
  <c r="B6" i="2228"/>
  <c r="O5" i="2228"/>
  <c r="B5" i="2228"/>
  <c r="O4" i="2228"/>
  <c r="O3" i="2228"/>
  <c r="H3" i="2228"/>
  <c r="O2" i="2228"/>
  <c r="H52" i="2228" l="1"/>
  <c r="B24" i="2228"/>
  <c r="B23" i="2228"/>
  <c r="H5" i="2228"/>
  <c r="H13" i="2228"/>
  <c r="H2" i="2228"/>
  <c r="H4" i="2228"/>
  <c r="H8" i="2228"/>
  <c r="H10" i="2228"/>
  <c r="H7" i="2228"/>
  <c r="H15" i="2228"/>
  <c r="H21" i="2228"/>
  <c r="H12" i="2228"/>
  <c r="C18" i="2228"/>
  <c r="H11" i="2228"/>
  <c r="H14" i="2228"/>
  <c r="H16" i="2228"/>
  <c r="C19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<sst xmlns="http://schemas.openxmlformats.org/spreadsheetml/2006/main" count="2810" uniqueCount="236">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</sst>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全体!$K$2:$K$473</c:f>
              <c:numCache>
                <c:formatCode>General</c:formatCode>
                <c:ptCount val="4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</c:numCache>
            </c:numRef>
          </c:xVal>
          <c:yVal>
            <c:numRef>
              <c:f>全体!$L$2:$L$473</c:f>
              <c:numCache>
                <c:formatCode>\+0.0;\-0.0;\±0</c:formatCode>
                <c:ptCount val="472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E7-419D-842B-C96C25351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-21.367521367521366</c:v>
                </c:pt>
                <c:pt idx="1">
                  <c:v>6.5789473684210522</c:v>
                </c:pt>
                <c:pt idx="2">
                  <c:v>-18.390804597701148</c:v>
                </c:pt>
                <c:pt idx="3">
                  <c:v>14.598540145985401</c:v>
                </c:pt>
                <c:pt idx="4">
                  <c:v>15.503875968992247</c:v>
                </c:pt>
                <c:pt idx="5">
                  <c:v>9.1743119266055047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D2-4722-B206-42106FCD6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たかの!$K$2:$K$45</c:f>
              <c:numCache>
                <c:formatCode>General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たかの!$L$2:$L$45</c:f>
              <c:numCache>
                <c:formatCode>\+0.0;\-0.0;\±0</c:formatCode>
                <c:ptCount val="44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AA-450F-AF81-A0A658136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1372.0930232558139</c:v>
                </c:pt>
                <c:pt idx="1">
                  <c:v>-661.90476190476193</c:v>
                </c:pt>
                <c:pt idx="2">
                  <c:v>-732.5</c:v>
                </c:pt>
                <c:pt idx="3">
                  <c:v>-1797.5</c:v>
                </c:pt>
                <c:pt idx="4">
                  <c:v>-62.5</c:v>
                </c:pt>
                <c:pt idx="5">
                  <c:v>-1811.7647058823529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15-452F-922D-C95193A71A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だいち!$K$2:$K$96</c:f>
              <c:numCache>
                <c:formatCode>General</c:formatCode>
                <c:ptCount val="9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</c:numRef>
          </c:xVal>
          <c:yVal>
            <c:numRef>
              <c:f>だいち!$L$2:$L$96</c:f>
              <c:numCache>
                <c:formatCode>\+0.0;\-0.0;\±0</c:formatCode>
                <c:ptCount val="95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99-4848-853E-CB8E83E96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802.15053763440858</c:v>
                </c:pt>
                <c:pt idx="1">
                  <c:v>-244.44444444444446</c:v>
                </c:pt>
                <c:pt idx="2">
                  <c:v>-305.68181818181819</c:v>
                </c:pt>
                <c:pt idx="3">
                  <c:v>-390</c:v>
                </c:pt>
                <c:pt idx="4">
                  <c:v>2398.6842105263158</c:v>
                </c:pt>
                <c:pt idx="5">
                  <c:v>3160.3174603174602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E8-4DAE-A22D-981013C432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ただ!$K$2:$K$87</c:f>
              <c:numCache>
                <c:formatCode>General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ただ!$L$2:$L$87</c:f>
              <c:numCache>
                <c:formatCode>\+0.0;\-0.0;\±0</c:formatCode>
                <c:ptCount val="86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04-41A5-BFD2-B8CFD2684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-2104.7619047619046</c:v>
                </c:pt>
                <c:pt idx="1">
                  <c:v>1421.9512195121952</c:v>
                </c:pt>
                <c:pt idx="2">
                  <c:v>553.84615384615381</c:v>
                </c:pt>
                <c:pt idx="3">
                  <c:v>2320.5479452054797</c:v>
                </c:pt>
                <c:pt idx="4">
                  <c:v>194.20289855072463</c:v>
                </c:pt>
                <c:pt idx="5">
                  <c:v>1667.2413793103449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54-42D3-BEA1-60360FBABB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りくと!$L$2:$L$61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45-4A87-9712-B814D4F80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-727.58620689655174</c:v>
                </c:pt>
                <c:pt idx="1">
                  <c:v>-43.103448275862071</c:v>
                </c:pt>
                <c:pt idx="2">
                  <c:v>870.90909090909088</c:v>
                </c:pt>
                <c:pt idx="3">
                  <c:v>-1514.8148148148148</c:v>
                </c:pt>
                <c:pt idx="4">
                  <c:v>-3455.7692307692309</c:v>
                </c:pt>
                <c:pt idx="5">
                  <c:v>-1178.2608695652175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EB-441A-A125-9C16801CF9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れんたろう!$K$2:$K$57</c:f>
              <c:numCache>
                <c:formatCode>General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れんたろう!$L$2:$L$57</c:f>
              <c:numCache>
                <c:formatCode>\+0.0;\-0.0;\±0</c:formatCode>
                <c:ptCount val="56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57-4868-AF45-FBAE9D59AA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2305.4545454545455</c:v>
                </c:pt>
                <c:pt idx="1">
                  <c:v>-2184.9056603773583</c:v>
                </c:pt>
                <c:pt idx="2">
                  <c:v>2293.8775510204082</c:v>
                </c:pt>
                <c:pt idx="3">
                  <c:v>2506.521739130435</c:v>
                </c:pt>
                <c:pt idx="4">
                  <c:v>-934.88372093023258</c:v>
                </c:pt>
                <c:pt idx="5">
                  <c:v>-388.88888888888891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86-4229-9E6E-22BA0342B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まっつん!$K$2:$K$79</c:f>
              <c:numCache>
                <c:formatCode>General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まっつん!$L$2:$L$79</c:f>
              <c:numCache>
                <c:formatCode>\+0.0;\-0.0;\±0</c:formatCode>
                <c:ptCount val="78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33-4984-B703-C7F521227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1089.6103896103896</c:v>
                </c:pt>
                <c:pt idx="1">
                  <c:v>831.08108108108104</c:v>
                </c:pt>
                <c:pt idx="2">
                  <c:v>-1097.1014492753623</c:v>
                </c:pt>
                <c:pt idx="3">
                  <c:v>323.8095238095238</c:v>
                </c:pt>
                <c:pt idx="4">
                  <c:v>-540.35087719298247</c:v>
                </c:pt>
                <c:pt idx="5">
                  <c:v>-1202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2C-4E85-ACCF-AE1692FD9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のり!$L$2:$L$33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4B-4614-9E31-001EC1944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-2700</c:v>
                </c:pt>
                <c:pt idx="1">
                  <c:v>-170.96774193548387</c:v>
                </c:pt>
                <c:pt idx="2">
                  <c:v>-745.16129032258061</c:v>
                </c:pt>
                <c:pt idx="3">
                  <c:v>-2773.3333333333335</c:v>
                </c:pt>
                <c:pt idx="4">
                  <c:v>-1531.0344827586207</c:v>
                </c:pt>
                <c:pt idx="5">
                  <c:v>-3683.3333333333335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07-42D2-9D63-2096C73CA7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ぱぱ!$L$2:$L$20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FC-4F4A-9DB2-7CD28B842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-900</c:v>
                </c:pt>
                <c:pt idx="1">
                  <c:v>94.444444444444443</c:v>
                </c:pt>
                <c:pt idx="2">
                  <c:v>-770.58823529411768</c:v>
                </c:pt>
                <c:pt idx="3">
                  <c:v>-1582.3529411764705</c:v>
                </c:pt>
                <c:pt idx="4">
                  <c:v>5137.5</c:v>
                </c:pt>
                <c:pt idx="5">
                  <c:v>-307.69230769230768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8A-4B4C-9770-389FDD923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73-44DD-9847-0211AF2FB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3A-4E4B-B59E-F4FFC5F5B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BB-4815-948C-38E5C5171C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15-4279-A3D8-E89590D62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まっつん2!$A$3:$A$80</c:f>
              <c:numCache>
                <c:formatCode>0\ "回"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まっつん2!$B$3:$B$80</c:f>
              <c:numCache>
                <c:formatCode>\+0.0;\-0.0;\±0</c:formatCode>
                <c:ptCount val="78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3.5527136788005009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まっつん2!$A$3:$A$80</c:f>
              <c:numCache>
                <c:formatCode>0\ "回"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まっつん2!$C$3:$C$80</c:f>
              <c:numCache>
                <c:formatCode>\+0.0;\-0.0;\±0</c:formatCode>
                <c:ptCount val="78"/>
                <c:pt idx="1">
                  <c:v>46.9</c:v>
                </c:pt>
                <c:pt idx="2">
                  <c:v>4.0500000000000007</c:v>
                </c:pt>
                <c:pt idx="3">
                  <c:v>8.6</c:v>
                </c:pt>
                <c:pt idx="4">
                  <c:v>-4.8250000000000002</c:v>
                </c:pt>
                <c:pt idx="5">
                  <c:v>-0.32000000000000028</c:v>
                </c:pt>
                <c:pt idx="6">
                  <c:v>4.9666666666666659</c:v>
                </c:pt>
                <c:pt idx="7">
                  <c:v>-2.3285714285714292</c:v>
                </c:pt>
                <c:pt idx="8">
                  <c:v>-5.8375000000000004</c:v>
                </c:pt>
                <c:pt idx="9">
                  <c:v>-10.100000000000001</c:v>
                </c:pt>
                <c:pt idx="10">
                  <c:v>-14.669999999999998</c:v>
                </c:pt>
                <c:pt idx="11">
                  <c:v>-10.454545454545453</c:v>
                </c:pt>
                <c:pt idx="12">
                  <c:v>-9.8666666666666654</c:v>
                </c:pt>
                <c:pt idx="13">
                  <c:v>-5.2615384615384606</c:v>
                </c:pt>
                <c:pt idx="14">
                  <c:v>-1.8428571428571421</c:v>
                </c:pt>
                <c:pt idx="15">
                  <c:v>-2.3666666666666658</c:v>
                </c:pt>
                <c:pt idx="16">
                  <c:v>-2.2249999999999992</c:v>
                </c:pt>
                <c:pt idx="17">
                  <c:v>-1.7529411764705873</c:v>
                </c:pt>
                <c:pt idx="18">
                  <c:v>-3.4666666666666663</c:v>
                </c:pt>
                <c:pt idx="19">
                  <c:v>-2.9684210526315784</c:v>
                </c:pt>
                <c:pt idx="20">
                  <c:v>-4.6599999999999993</c:v>
                </c:pt>
                <c:pt idx="21">
                  <c:v>-5.89047619047619</c:v>
                </c:pt>
                <c:pt idx="22">
                  <c:v>-3.045454545454545</c:v>
                </c:pt>
                <c:pt idx="23">
                  <c:v>-2.5913043478260862</c:v>
                </c:pt>
                <c:pt idx="24">
                  <c:v>-3.8083333333333331</c:v>
                </c:pt>
                <c:pt idx="25">
                  <c:v>-1.6519999999999997</c:v>
                </c:pt>
                <c:pt idx="26">
                  <c:v>-2.0807692307692305</c:v>
                </c:pt>
                <c:pt idx="27">
                  <c:v>-2.5999999999999996</c:v>
                </c:pt>
                <c:pt idx="28">
                  <c:v>-2.1892857142857141</c:v>
                </c:pt>
                <c:pt idx="29">
                  <c:v>-3.7827586206896546</c:v>
                </c:pt>
                <c:pt idx="30">
                  <c:v>-3.5766666666666662</c:v>
                </c:pt>
                <c:pt idx="31">
                  <c:v>-3.1225806451612899</c:v>
                </c:pt>
                <c:pt idx="32">
                  <c:v>-1.6906249999999994</c:v>
                </c:pt>
                <c:pt idx="33">
                  <c:v>-1.481818181818181</c:v>
                </c:pt>
                <c:pt idx="34">
                  <c:v>-1.8823529411764699</c:v>
                </c:pt>
                <c:pt idx="35">
                  <c:v>-2.0685714285714281</c:v>
                </c:pt>
                <c:pt idx="36">
                  <c:v>-1.816666666666666</c:v>
                </c:pt>
                <c:pt idx="37">
                  <c:v>-1.5837837837837832</c:v>
                </c:pt>
                <c:pt idx="38">
                  <c:v>-1.3631578947368417</c:v>
                </c:pt>
                <c:pt idx="39">
                  <c:v>-1.7410256410256404</c:v>
                </c:pt>
                <c:pt idx="40">
                  <c:v>-1.5324999999999993</c:v>
                </c:pt>
                <c:pt idx="41">
                  <c:v>-1.3878048780487799</c:v>
                </c:pt>
                <c:pt idx="42">
                  <c:v>-1.3928571428571423</c:v>
                </c:pt>
                <c:pt idx="43">
                  <c:v>-1.1604651162790693</c:v>
                </c:pt>
                <c:pt idx="44">
                  <c:v>0.26363636363636417</c:v>
                </c:pt>
                <c:pt idx="45">
                  <c:v>-0.51777777777777723</c:v>
                </c:pt>
                <c:pt idx="46">
                  <c:v>-0.24130434782608645</c:v>
                </c:pt>
                <c:pt idx="47">
                  <c:v>-0.66170212765957392</c:v>
                </c:pt>
                <c:pt idx="48">
                  <c:v>-0.38541666666666624</c:v>
                </c:pt>
                <c:pt idx="49">
                  <c:v>0.14489795918367393</c:v>
                </c:pt>
                <c:pt idx="50">
                  <c:v>0.13000000000000045</c:v>
                </c:pt>
                <c:pt idx="51">
                  <c:v>-5.8823529411760143E-3</c:v>
                </c:pt>
                <c:pt idx="52">
                  <c:v>0.16923076923076966</c:v>
                </c:pt>
                <c:pt idx="53">
                  <c:v>0.10943396226415136</c:v>
                </c:pt>
                <c:pt idx="54">
                  <c:v>-0.23148148148148109</c:v>
                </c:pt>
                <c:pt idx="55">
                  <c:v>0.66181818181818219</c:v>
                </c:pt>
                <c:pt idx="56">
                  <c:v>-6.607142857142824E-2</c:v>
                </c:pt>
                <c:pt idx="57">
                  <c:v>0.22631578947368455</c:v>
                </c:pt>
                <c:pt idx="58">
                  <c:v>0.65000000000000024</c:v>
                </c:pt>
                <c:pt idx="59">
                  <c:v>1.3050847457627122</c:v>
                </c:pt>
                <c:pt idx="60">
                  <c:v>0.3516666666666669</c:v>
                </c:pt>
                <c:pt idx="61">
                  <c:v>0.44426229508196746</c:v>
                </c:pt>
                <c:pt idx="62">
                  <c:v>0.19032258064516153</c:v>
                </c:pt>
                <c:pt idx="63">
                  <c:v>0.73650793650793678</c:v>
                </c:pt>
                <c:pt idx="64">
                  <c:v>0.62343750000000031</c:v>
                </c:pt>
                <c:pt idx="65">
                  <c:v>0.22461538461538491</c:v>
                </c:pt>
                <c:pt idx="66">
                  <c:v>-9.5454545454545139E-2</c:v>
                </c:pt>
                <c:pt idx="67">
                  <c:v>-4.1791044776119092E-2</c:v>
                </c:pt>
                <c:pt idx="68">
                  <c:v>-0.52647058823529391</c:v>
                </c:pt>
                <c:pt idx="69">
                  <c:v>-0.86811594202898523</c:v>
                </c:pt>
                <c:pt idx="70">
                  <c:v>-0.7085714285714283</c:v>
                </c:pt>
                <c:pt idx="71">
                  <c:v>-0.76056338028168979</c:v>
                </c:pt>
                <c:pt idx="72">
                  <c:v>-0.94722222222222185</c:v>
                </c:pt>
                <c:pt idx="73">
                  <c:v>-0.89999999999999969</c:v>
                </c:pt>
                <c:pt idx="74">
                  <c:v>-0.48108108108108072</c:v>
                </c:pt>
                <c:pt idx="75">
                  <c:v>-0.49999999999999961</c:v>
                </c:pt>
                <c:pt idx="76">
                  <c:v>-0.37105263157894697</c:v>
                </c:pt>
                <c:pt idx="77">
                  <c:v>-1.1337662337662333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542916515500001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まっつん2!$A$3:$A$80</c:f>
              <c:numCache>
                <c:formatCode>0\ "回"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まっつん2!$D$3:$D$80</c:f>
              <c:numCache>
                <c:formatCode>0.00\ "位"</c:formatCode>
                <c:ptCount val="78"/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2.25</c:v>
                </c:pt>
                <c:pt idx="5">
                  <c:v>2.2000000000000002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2.0666666666666669</c:v>
                </c:pt>
                <c:pt idx="16">
                  <c:v>2.0625</c:v>
                </c:pt>
                <c:pt idx="17">
                  <c:v>2.0588235294117645</c:v>
                </c:pt>
                <c:pt idx="18">
                  <c:v>2.1111111111111112</c:v>
                </c:pt>
                <c:pt idx="19">
                  <c:v>2.1052631578947367</c:v>
                </c:pt>
                <c:pt idx="20">
                  <c:v>2.15</c:v>
                </c:pt>
                <c:pt idx="21">
                  <c:v>2.1904761904761907</c:v>
                </c:pt>
                <c:pt idx="22">
                  <c:v>2.1363636363636362</c:v>
                </c:pt>
                <c:pt idx="23">
                  <c:v>2.1304347826086958</c:v>
                </c:pt>
                <c:pt idx="24">
                  <c:v>2.1666666666666665</c:v>
                </c:pt>
                <c:pt idx="25">
                  <c:v>2.12</c:v>
                </c:pt>
                <c:pt idx="26">
                  <c:v>2.1538461538461537</c:v>
                </c:pt>
                <c:pt idx="27">
                  <c:v>2.1481481481481484</c:v>
                </c:pt>
                <c:pt idx="28">
                  <c:v>2.1428571428571428</c:v>
                </c:pt>
                <c:pt idx="29">
                  <c:v>2.1724137931034484</c:v>
                </c:pt>
                <c:pt idx="30">
                  <c:v>2.1666666666666665</c:v>
                </c:pt>
                <c:pt idx="31">
                  <c:v>2.161290322580645</c:v>
                </c:pt>
                <c:pt idx="32">
                  <c:v>2.125</c:v>
                </c:pt>
                <c:pt idx="33">
                  <c:v>2.1212121212121211</c:v>
                </c:pt>
                <c:pt idx="34">
                  <c:v>2.1470588235294117</c:v>
                </c:pt>
                <c:pt idx="35">
                  <c:v>2.1428571428571428</c:v>
                </c:pt>
                <c:pt idx="36">
                  <c:v>2.1388888888888888</c:v>
                </c:pt>
                <c:pt idx="37">
                  <c:v>2.1351351351351351</c:v>
                </c:pt>
                <c:pt idx="38">
                  <c:v>2.1315789473684212</c:v>
                </c:pt>
                <c:pt idx="39">
                  <c:v>2.1282051282051282</c:v>
                </c:pt>
                <c:pt idx="40">
                  <c:v>2.125</c:v>
                </c:pt>
                <c:pt idx="41">
                  <c:v>2.1219512195121952</c:v>
                </c:pt>
                <c:pt idx="42">
                  <c:v>2.1190476190476191</c:v>
                </c:pt>
                <c:pt idx="43">
                  <c:v>2.1162790697674421</c:v>
                </c:pt>
                <c:pt idx="44">
                  <c:v>2.0909090909090908</c:v>
                </c:pt>
                <c:pt idx="45">
                  <c:v>2.1111111111111112</c:v>
                </c:pt>
                <c:pt idx="46">
                  <c:v>2.1086956521739131</c:v>
                </c:pt>
                <c:pt idx="47">
                  <c:v>2.1063829787234041</c:v>
                </c:pt>
                <c:pt idx="48">
                  <c:v>2.1041666666666665</c:v>
                </c:pt>
                <c:pt idx="49">
                  <c:v>2.0816326530612246</c:v>
                </c:pt>
                <c:pt idx="50">
                  <c:v>2.08</c:v>
                </c:pt>
                <c:pt idx="51">
                  <c:v>2.0784313725490198</c:v>
                </c:pt>
                <c:pt idx="52">
                  <c:v>2.0769230769230771</c:v>
                </c:pt>
                <c:pt idx="53">
                  <c:v>2.0754716981132075</c:v>
                </c:pt>
                <c:pt idx="54">
                  <c:v>2.0925925925925926</c:v>
                </c:pt>
                <c:pt idx="55">
                  <c:v>2.0727272727272728</c:v>
                </c:pt>
                <c:pt idx="56">
                  <c:v>2.0892857142857144</c:v>
                </c:pt>
                <c:pt idx="57">
                  <c:v>2.0701754385964914</c:v>
                </c:pt>
                <c:pt idx="58">
                  <c:v>2.0517241379310347</c:v>
                </c:pt>
                <c:pt idx="59">
                  <c:v>2.0338983050847457</c:v>
                </c:pt>
                <c:pt idx="60">
                  <c:v>2.0499999999999998</c:v>
                </c:pt>
                <c:pt idx="61">
                  <c:v>2.0491803278688523</c:v>
                </c:pt>
                <c:pt idx="62">
                  <c:v>2.064516129032258</c:v>
                </c:pt>
                <c:pt idx="63">
                  <c:v>2.0476190476190474</c:v>
                </c:pt>
                <c:pt idx="64">
                  <c:v>2.046875</c:v>
                </c:pt>
                <c:pt idx="65">
                  <c:v>2.0615384615384613</c:v>
                </c:pt>
                <c:pt idx="66">
                  <c:v>2.0757575757575757</c:v>
                </c:pt>
                <c:pt idx="67">
                  <c:v>2.0746268656716418</c:v>
                </c:pt>
                <c:pt idx="68">
                  <c:v>2.0735294117647061</c:v>
                </c:pt>
                <c:pt idx="69">
                  <c:v>2.0869565217391304</c:v>
                </c:pt>
                <c:pt idx="70">
                  <c:v>2.0857142857142859</c:v>
                </c:pt>
                <c:pt idx="71">
                  <c:v>2.084507042253521</c:v>
                </c:pt>
                <c:pt idx="72">
                  <c:v>2.0833333333333335</c:v>
                </c:pt>
                <c:pt idx="73">
                  <c:v>2.0821917808219177</c:v>
                </c:pt>
                <c:pt idx="74">
                  <c:v>2.0675675675675675</c:v>
                </c:pt>
                <c:pt idx="75">
                  <c:v>2.0666666666666669</c:v>
                </c:pt>
                <c:pt idx="76">
                  <c:v>2.0657894736842106</c:v>
                </c:pt>
                <c:pt idx="77">
                  <c:v>2.0779220779220777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まっつん2!$A$3:$A$80</c:f>
              <c:numCache>
                <c:formatCode>0\ "回"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まっつん2!$E$3:$E$80</c:f>
              <c:numCache>
                <c:formatCode>0.0%</c:formatCode>
                <c:ptCount val="78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0.27272727272727271</c:v>
                </c:pt>
                <c:pt idx="23">
                  <c:v>0.2608695652173913</c:v>
                </c:pt>
                <c:pt idx="24">
                  <c:v>0.25</c:v>
                </c:pt>
                <c:pt idx="25">
                  <c:v>0.28000000000000003</c:v>
                </c:pt>
                <c:pt idx="26">
                  <c:v>0.26923076923076922</c:v>
                </c:pt>
                <c:pt idx="27">
                  <c:v>0.25925925925925924</c:v>
                </c:pt>
                <c:pt idx="28">
                  <c:v>0.25</c:v>
                </c:pt>
                <c:pt idx="29">
                  <c:v>0.2413793103448276</c:v>
                </c:pt>
                <c:pt idx="30">
                  <c:v>0.23333333333333334</c:v>
                </c:pt>
                <c:pt idx="31">
                  <c:v>0.22580645161290322</c:v>
                </c:pt>
                <c:pt idx="32">
                  <c:v>0.25</c:v>
                </c:pt>
                <c:pt idx="33">
                  <c:v>0.24242424242424243</c:v>
                </c:pt>
                <c:pt idx="34">
                  <c:v>0.23529411764705882</c:v>
                </c:pt>
                <c:pt idx="35">
                  <c:v>0.22857142857142856</c:v>
                </c:pt>
                <c:pt idx="36">
                  <c:v>0.22222222222222221</c:v>
                </c:pt>
                <c:pt idx="37">
                  <c:v>0.21621621621621623</c:v>
                </c:pt>
                <c:pt idx="38">
                  <c:v>0.21052631578947367</c:v>
                </c:pt>
                <c:pt idx="39">
                  <c:v>0.20512820512820512</c:v>
                </c:pt>
                <c:pt idx="40">
                  <c:v>0.2</c:v>
                </c:pt>
                <c:pt idx="41">
                  <c:v>0.1951219512195122</c:v>
                </c:pt>
                <c:pt idx="42">
                  <c:v>0.19047619047619047</c:v>
                </c:pt>
                <c:pt idx="43">
                  <c:v>0.18604651162790697</c:v>
                </c:pt>
                <c:pt idx="44">
                  <c:v>0.20454545454545456</c:v>
                </c:pt>
                <c:pt idx="45">
                  <c:v>0.2</c:v>
                </c:pt>
                <c:pt idx="46">
                  <c:v>0.19565217391304349</c:v>
                </c:pt>
                <c:pt idx="47">
                  <c:v>0.19148936170212766</c:v>
                </c:pt>
                <c:pt idx="48">
                  <c:v>0.1875</c:v>
                </c:pt>
                <c:pt idx="49">
                  <c:v>0.20408163265306123</c:v>
                </c:pt>
                <c:pt idx="50">
                  <c:v>0.2</c:v>
                </c:pt>
                <c:pt idx="51">
                  <c:v>0.19607843137254902</c:v>
                </c:pt>
                <c:pt idx="52">
                  <c:v>0.19230769230769232</c:v>
                </c:pt>
                <c:pt idx="53">
                  <c:v>0.18867924528301888</c:v>
                </c:pt>
                <c:pt idx="54">
                  <c:v>0.18518518518518517</c:v>
                </c:pt>
                <c:pt idx="55">
                  <c:v>0.2</c:v>
                </c:pt>
                <c:pt idx="56">
                  <c:v>0.19642857142857142</c:v>
                </c:pt>
                <c:pt idx="57">
                  <c:v>0.21052631578947367</c:v>
                </c:pt>
                <c:pt idx="58">
                  <c:v>0.22413793103448276</c:v>
                </c:pt>
                <c:pt idx="59">
                  <c:v>0.23728813559322035</c:v>
                </c:pt>
                <c:pt idx="60">
                  <c:v>0.23333333333333334</c:v>
                </c:pt>
                <c:pt idx="61">
                  <c:v>0.22950819672131148</c:v>
                </c:pt>
                <c:pt idx="62">
                  <c:v>0.22580645161290322</c:v>
                </c:pt>
                <c:pt idx="63">
                  <c:v>0.23809523809523808</c:v>
                </c:pt>
                <c:pt idx="64">
                  <c:v>0.234375</c:v>
                </c:pt>
                <c:pt idx="65">
                  <c:v>0.23076923076923078</c:v>
                </c:pt>
                <c:pt idx="66">
                  <c:v>0.22727272727272727</c:v>
                </c:pt>
                <c:pt idx="67">
                  <c:v>0.22388059701492538</c:v>
                </c:pt>
                <c:pt idx="68">
                  <c:v>0.22058823529411764</c:v>
                </c:pt>
                <c:pt idx="69">
                  <c:v>0.21739130434782608</c:v>
                </c:pt>
                <c:pt idx="70">
                  <c:v>0.21428571428571427</c:v>
                </c:pt>
                <c:pt idx="71">
                  <c:v>0.21126760563380281</c:v>
                </c:pt>
                <c:pt idx="72">
                  <c:v>0.20833333333333334</c:v>
                </c:pt>
                <c:pt idx="73">
                  <c:v>0.20547945205479451</c:v>
                </c:pt>
                <c:pt idx="74">
                  <c:v>0.21621621621621623</c:v>
                </c:pt>
                <c:pt idx="75">
                  <c:v>0.21333333333333335</c:v>
                </c:pt>
                <c:pt idx="76">
                  <c:v>0.21052631578947367</c:v>
                </c:pt>
                <c:pt idx="77">
                  <c:v>0.20779220779220781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まっつん2!$A$3:$A$80</c:f>
              <c:numCache>
                <c:formatCode>0\ "回"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まっつん2!$F$3:$F$80</c:f>
              <c:numCache>
                <c:formatCode>0.0%</c:formatCode>
                <c:ptCount val="78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0.42857142857142855</c:v>
                </c:pt>
                <c:pt idx="22">
                  <c:v>0.40909090909090912</c:v>
                </c:pt>
                <c:pt idx="23">
                  <c:v>0.39130434782608697</c:v>
                </c:pt>
                <c:pt idx="24">
                  <c:v>0.41666666666666669</c:v>
                </c:pt>
                <c:pt idx="25">
                  <c:v>0.4</c:v>
                </c:pt>
                <c:pt idx="26">
                  <c:v>0.42307692307692307</c:v>
                </c:pt>
                <c:pt idx="27">
                  <c:v>0.40740740740740738</c:v>
                </c:pt>
                <c:pt idx="28">
                  <c:v>0.39285714285714285</c:v>
                </c:pt>
                <c:pt idx="29">
                  <c:v>0.41379310344827586</c:v>
                </c:pt>
                <c:pt idx="30">
                  <c:v>0.4</c:v>
                </c:pt>
                <c:pt idx="31">
                  <c:v>0.38709677419354838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0.38235294117647056</c:v>
                </c:pt>
                <c:pt idx="35">
                  <c:v>0.37142857142857144</c:v>
                </c:pt>
                <c:pt idx="36">
                  <c:v>0.3611111111111111</c:v>
                </c:pt>
                <c:pt idx="37">
                  <c:v>0.35135135135135137</c:v>
                </c:pt>
                <c:pt idx="38">
                  <c:v>0.34210526315789475</c:v>
                </c:pt>
                <c:pt idx="39">
                  <c:v>0.33333333333333331</c:v>
                </c:pt>
                <c:pt idx="40">
                  <c:v>0.32500000000000001</c:v>
                </c:pt>
                <c:pt idx="41">
                  <c:v>0.31707317073170732</c:v>
                </c:pt>
                <c:pt idx="42">
                  <c:v>0.30952380952380953</c:v>
                </c:pt>
                <c:pt idx="43">
                  <c:v>0.30232558139534882</c:v>
                </c:pt>
                <c:pt idx="44">
                  <c:v>0.29545454545454547</c:v>
                </c:pt>
                <c:pt idx="45">
                  <c:v>0.31111111111111112</c:v>
                </c:pt>
                <c:pt idx="46">
                  <c:v>0.30434782608695654</c:v>
                </c:pt>
                <c:pt idx="47">
                  <c:v>0.2978723404255319</c:v>
                </c:pt>
                <c:pt idx="48">
                  <c:v>0.29166666666666669</c:v>
                </c:pt>
                <c:pt idx="49">
                  <c:v>0.2857142857142857</c:v>
                </c:pt>
                <c:pt idx="50">
                  <c:v>0.28000000000000003</c:v>
                </c:pt>
                <c:pt idx="51">
                  <c:v>0.27450980392156865</c:v>
                </c:pt>
                <c:pt idx="52">
                  <c:v>0.26923076923076922</c:v>
                </c:pt>
                <c:pt idx="53">
                  <c:v>0.26415094339622641</c:v>
                </c:pt>
                <c:pt idx="54">
                  <c:v>0.27777777777777779</c:v>
                </c:pt>
                <c:pt idx="55">
                  <c:v>0.27272727272727271</c:v>
                </c:pt>
                <c:pt idx="56">
                  <c:v>0.2857142857142857</c:v>
                </c:pt>
                <c:pt idx="57">
                  <c:v>0.2807017543859649</c:v>
                </c:pt>
                <c:pt idx="58">
                  <c:v>0.27586206896551724</c:v>
                </c:pt>
                <c:pt idx="59">
                  <c:v>0.2711864406779661</c:v>
                </c:pt>
                <c:pt idx="60">
                  <c:v>0.28333333333333333</c:v>
                </c:pt>
                <c:pt idx="61">
                  <c:v>0.27868852459016391</c:v>
                </c:pt>
                <c:pt idx="62">
                  <c:v>0.29032258064516131</c:v>
                </c:pt>
                <c:pt idx="63">
                  <c:v>0.2857142857142857</c:v>
                </c:pt>
                <c:pt idx="64">
                  <c:v>0.28125</c:v>
                </c:pt>
                <c:pt idx="65">
                  <c:v>0.29230769230769232</c:v>
                </c:pt>
                <c:pt idx="66">
                  <c:v>0.30303030303030304</c:v>
                </c:pt>
                <c:pt idx="67">
                  <c:v>0.29850746268656714</c:v>
                </c:pt>
                <c:pt idx="68">
                  <c:v>0.29411764705882354</c:v>
                </c:pt>
                <c:pt idx="69">
                  <c:v>0.30434782608695654</c:v>
                </c:pt>
                <c:pt idx="70">
                  <c:v>0.3</c:v>
                </c:pt>
                <c:pt idx="71">
                  <c:v>0.29577464788732394</c:v>
                </c:pt>
                <c:pt idx="72">
                  <c:v>0.29166666666666669</c:v>
                </c:pt>
                <c:pt idx="73">
                  <c:v>0.28767123287671231</c:v>
                </c:pt>
                <c:pt idx="74">
                  <c:v>0.28378378378378377</c:v>
                </c:pt>
                <c:pt idx="75">
                  <c:v>0.28000000000000003</c:v>
                </c:pt>
                <c:pt idx="76">
                  <c:v>0.27631578947368424</c:v>
                </c:pt>
                <c:pt idx="77">
                  <c:v>0.2857142857142857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まっつん2!$A$3:$A$80</c:f>
              <c:numCache>
                <c:formatCode>0\ "回"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まっつん2!$G$3:$G$80</c:f>
              <c:numCache>
                <c:formatCode>0.0%</c:formatCode>
                <c:ptCount val="78"/>
                <c:pt idx="1">
                  <c:v>0.36363636363636365</c:v>
                </c:pt>
                <c:pt idx="2">
                  <c:v>0.18181818181818182</c:v>
                </c:pt>
                <c:pt idx="3">
                  <c:v>0.24242424242424243</c:v>
                </c:pt>
                <c:pt idx="4">
                  <c:v>0.20512820512820512</c:v>
                </c:pt>
                <c:pt idx="5">
                  <c:v>0.24</c:v>
                </c:pt>
                <c:pt idx="6">
                  <c:v>0.27586206896551724</c:v>
                </c:pt>
                <c:pt idx="7">
                  <c:v>0.25</c:v>
                </c:pt>
                <c:pt idx="8">
                  <c:v>0.24657534246575341</c:v>
                </c:pt>
                <c:pt idx="9">
                  <c:v>0.22619047619047619</c:v>
                </c:pt>
                <c:pt idx="10">
                  <c:v>0.21348314606741572</c:v>
                </c:pt>
                <c:pt idx="11">
                  <c:v>0.22772277227722773</c:v>
                </c:pt>
                <c:pt idx="12">
                  <c:v>0.23008849557522124</c:v>
                </c:pt>
                <c:pt idx="13">
                  <c:v>0.25203252032520324</c:v>
                </c:pt>
                <c:pt idx="14">
                  <c:v>0.27480916030534353</c:v>
                </c:pt>
                <c:pt idx="15">
                  <c:v>0.2733812949640288</c:v>
                </c:pt>
                <c:pt idx="16">
                  <c:v>0.26896551724137929</c:v>
                </c:pt>
                <c:pt idx="17">
                  <c:v>0.27631578947368424</c:v>
                </c:pt>
                <c:pt idx="18">
                  <c:v>0.27380952380952384</c:v>
                </c:pt>
                <c:pt idx="19">
                  <c:v>0.27840909090909088</c:v>
                </c:pt>
                <c:pt idx="20">
                  <c:v>0.27322404371584702</c:v>
                </c:pt>
                <c:pt idx="21">
                  <c:v>0.26178010471204188</c:v>
                </c:pt>
                <c:pt idx="22">
                  <c:v>0.26767676767676768</c:v>
                </c:pt>
                <c:pt idx="23">
                  <c:v>0.26829268292682928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0.26315789473684209</c:v>
                </c:pt>
                <c:pt idx="27">
                  <c:v>0.26406926406926406</c:v>
                </c:pt>
                <c:pt idx="28">
                  <c:v>0.26890756302521007</c:v>
                </c:pt>
                <c:pt idx="29">
                  <c:v>0.26337448559670784</c:v>
                </c:pt>
                <c:pt idx="30">
                  <c:v>0.26315789473684209</c:v>
                </c:pt>
                <c:pt idx="31">
                  <c:v>0.26744186046511625</c:v>
                </c:pt>
                <c:pt idx="32">
                  <c:v>0.27376425855513309</c:v>
                </c:pt>
                <c:pt idx="33">
                  <c:v>0.26568265682656828</c:v>
                </c:pt>
                <c:pt idx="34">
                  <c:v>0.26618705035971224</c:v>
                </c:pt>
                <c:pt idx="35">
                  <c:v>0.26923076923076922</c:v>
                </c:pt>
                <c:pt idx="36">
                  <c:v>0.27397260273972601</c:v>
                </c:pt>
                <c:pt idx="37">
                  <c:v>0.28052805280528054</c:v>
                </c:pt>
                <c:pt idx="38">
                  <c:v>0.27795527156549521</c:v>
                </c:pt>
                <c:pt idx="39">
                  <c:v>0.27500000000000002</c:v>
                </c:pt>
                <c:pt idx="40">
                  <c:v>0.27522935779816515</c:v>
                </c:pt>
                <c:pt idx="41">
                  <c:v>0.27844311377245506</c:v>
                </c:pt>
                <c:pt idx="42">
                  <c:v>0.28279883381924198</c:v>
                </c:pt>
                <c:pt idx="43">
                  <c:v>0.28285714285714286</c:v>
                </c:pt>
                <c:pt idx="44">
                  <c:v>0.28732394366197184</c:v>
                </c:pt>
                <c:pt idx="45">
                  <c:v>0.28415300546448086</c:v>
                </c:pt>
                <c:pt idx="46">
                  <c:v>0.28301886792452829</c:v>
                </c:pt>
                <c:pt idx="47">
                  <c:v>0.28238341968911918</c:v>
                </c:pt>
                <c:pt idx="48">
                  <c:v>0.28498727735368956</c:v>
                </c:pt>
                <c:pt idx="49">
                  <c:v>0.28499999999999998</c:v>
                </c:pt>
                <c:pt idx="50">
                  <c:v>0.28186274509803921</c:v>
                </c:pt>
                <c:pt idx="51">
                  <c:v>0.27751196172248804</c:v>
                </c:pt>
                <c:pt idx="52">
                  <c:v>0.28000000000000003</c:v>
                </c:pt>
                <c:pt idx="53">
                  <c:v>0.28175519630484991</c:v>
                </c:pt>
                <c:pt idx="54">
                  <c:v>0.28018223234624146</c:v>
                </c:pt>
                <c:pt idx="55">
                  <c:v>0.28442437923250563</c:v>
                </c:pt>
                <c:pt idx="56">
                  <c:v>0.2807017543859649</c:v>
                </c:pt>
                <c:pt idx="57">
                  <c:v>0.2832618025751073</c:v>
                </c:pt>
                <c:pt idx="58">
                  <c:v>0.28361344537815125</c:v>
                </c:pt>
                <c:pt idx="59">
                  <c:v>0.28985507246376813</c:v>
                </c:pt>
                <c:pt idx="60">
                  <c:v>0.28888888888888886</c:v>
                </c:pt>
                <c:pt idx="61">
                  <c:v>0.28769841269841268</c:v>
                </c:pt>
                <c:pt idx="62">
                  <c:v>0.287109375</c:v>
                </c:pt>
                <c:pt idx="63">
                  <c:v>0.28875968992248063</c:v>
                </c:pt>
                <c:pt idx="64">
                  <c:v>0.28927203065134099</c:v>
                </c:pt>
                <c:pt idx="65">
                  <c:v>0.28625235404896421</c:v>
                </c:pt>
                <c:pt idx="66">
                  <c:v>0.28491620111731841</c:v>
                </c:pt>
                <c:pt idx="67">
                  <c:v>0.28623853211009176</c:v>
                </c:pt>
                <c:pt idx="68">
                  <c:v>0.28442028985507245</c:v>
                </c:pt>
                <c:pt idx="69">
                  <c:v>0.28264758497316639</c:v>
                </c:pt>
                <c:pt idx="70">
                  <c:v>0.28368794326241137</c:v>
                </c:pt>
                <c:pt idx="71">
                  <c:v>0.28196147110332748</c:v>
                </c:pt>
                <c:pt idx="72">
                  <c:v>0.28151986183074268</c:v>
                </c:pt>
                <c:pt idx="73">
                  <c:v>0.28034188034188035</c:v>
                </c:pt>
                <c:pt idx="74">
                  <c:v>0.28499156829679595</c:v>
                </c:pt>
                <c:pt idx="75">
                  <c:v>0.28499999999999998</c:v>
                </c:pt>
                <c:pt idx="76">
                  <c:v>0.28547854785478549</c:v>
                </c:pt>
                <c:pt idx="77">
                  <c:v>0.28038897893030795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102564102564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まっつん2!$A$3:$A$80</c:f>
              <c:numCache>
                <c:formatCode>0\ "回"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まっつん2!$H$3:$H$80</c:f>
              <c:numCache>
                <c:formatCode>0.0%</c:formatCode>
                <c:ptCount val="78"/>
                <c:pt idx="1">
                  <c:v>0</c:v>
                </c:pt>
                <c:pt idx="2">
                  <c:v>4.5454545454545456E-2</c:v>
                </c:pt>
                <c:pt idx="3">
                  <c:v>6.0606060606060608E-2</c:v>
                </c:pt>
                <c:pt idx="4">
                  <c:v>0.10256410256410256</c:v>
                </c:pt>
                <c:pt idx="5">
                  <c:v>0.1</c:v>
                </c:pt>
                <c:pt idx="6">
                  <c:v>0.10344827586206896</c:v>
                </c:pt>
                <c:pt idx="7">
                  <c:v>0.109375</c:v>
                </c:pt>
                <c:pt idx="8">
                  <c:v>0.13698630136986301</c:v>
                </c:pt>
                <c:pt idx="9">
                  <c:v>0.15476190476190477</c:v>
                </c:pt>
                <c:pt idx="10">
                  <c:v>0.16853932584269662</c:v>
                </c:pt>
                <c:pt idx="11">
                  <c:v>0.14851485148514851</c:v>
                </c:pt>
                <c:pt idx="12">
                  <c:v>0.13274336283185842</c:v>
                </c:pt>
                <c:pt idx="13">
                  <c:v>0.12195121951219512</c:v>
                </c:pt>
                <c:pt idx="14">
                  <c:v>0.11450381679389313</c:v>
                </c:pt>
                <c:pt idx="15">
                  <c:v>0.11510791366906475</c:v>
                </c:pt>
                <c:pt idx="16">
                  <c:v>0.11724137931034483</c:v>
                </c:pt>
                <c:pt idx="17">
                  <c:v>0.11842105263157894</c:v>
                </c:pt>
                <c:pt idx="18">
                  <c:v>0.13095238095238096</c:v>
                </c:pt>
                <c:pt idx="19">
                  <c:v>0.13636363636363635</c:v>
                </c:pt>
                <c:pt idx="20">
                  <c:v>0.13661202185792351</c:v>
                </c:pt>
                <c:pt idx="21">
                  <c:v>0.14659685863874344</c:v>
                </c:pt>
                <c:pt idx="22">
                  <c:v>0.14141414141414141</c:v>
                </c:pt>
                <c:pt idx="23">
                  <c:v>0.14146341463414633</c:v>
                </c:pt>
                <c:pt idx="24">
                  <c:v>0.15023474178403756</c:v>
                </c:pt>
                <c:pt idx="25">
                  <c:v>0.15384615384615385</c:v>
                </c:pt>
                <c:pt idx="26">
                  <c:v>0.15350877192982457</c:v>
                </c:pt>
                <c:pt idx="27">
                  <c:v>0.15151515151515152</c:v>
                </c:pt>
                <c:pt idx="28">
                  <c:v>0.14705882352941177</c:v>
                </c:pt>
                <c:pt idx="29">
                  <c:v>0.15226337448559671</c:v>
                </c:pt>
                <c:pt idx="30">
                  <c:v>0.14979757085020243</c:v>
                </c:pt>
                <c:pt idx="31">
                  <c:v>0.15116279069767441</c:v>
                </c:pt>
                <c:pt idx="32">
                  <c:v>0.14828897338403041</c:v>
                </c:pt>
                <c:pt idx="33">
                  <c:v>0.14391143911439114</c:v>
                </c:pt>
                <c:pt idx="34">
                  <c:v>0.14388489208633093</c:v>
                </c:pt>
                <c:pt idx="35">
                  <c:v>0.13986013986013987</c:v>
                </c:pt>
                <c:pt idx="36">
                  <c:v>0.1404109589041096</c:v>
                </c:pt>
                <c:pt idx="37">
                  <c:v>0.14191419141914191</c:v>
                </c:pt>
                <c:pt idx="38">
                  <c:v>0.14376996805111822</c:v>
                </c:pt>
                <c:pt idx="39">
                  <c:v>0.14374999999999999</c:v>
                </c:pt>
                <c:pt idx="40">
                  <c:v>0.14678899082568808</c:v>
                </c:pt>
                <c:pt idx="41">
                  <c:v>0.1497005988023952</c:v>
                </c:pt>
                <c:pt idx="42">
                  <c:v>0.14868804664723032</c:v>
                </c:pt>
                <c:pt idx="43">
                  <c:v>0.14857142857142858</c:v>
                </c:pt>
                <c:pt idx="44">
                  <c:v>0.14647887323943662</c:v>
                </c:pt>
                <c:pt idx="45">
                  <c:v>0.1448087431693989</c:v>
                </c:pt>
                <c:pt idx="46">
                  <c:v>0.14285714285714285</c:v>
                </c:pt>
                <c:pt idx="47">
                  <c:v>0.14248704663212436</c:v>
                </c:pt>
                <c:pt idx="48">
                  <c:v>0.13994910941475827</c:v>
                </c:pt>
                <c:pt idx="49">
                  <c:v>0.14000000000000001</c:v>
                </c:pt>
                <c:pt idx="50">
                  <c:v>0.13970588235294118</c:v>
                </c:pt>
                <c:pt idx="51">
                  <c:v>0.13636363636363635</c:v>
                </c:pt>
                <c:pt idx="52">
                  <c:v>0.13411764705882354</c:v>
                </c:pt>
                <c:pt idx="53">
                  <c:v>0.13163972286374134</c:v>
                </c:pt>
                <c:pt idx="54">
                  <c:v>0.12984054669703873</c:v>
                </c:pt>
                <c:pt idx="55">
                  <c:v>0.12866817155756208</c:v>
                </c:pt>
                <c:pt idx="56">
                  <c:v>0.1337719298245614</c:v>
                </c:pt>
                <c:pt idx="57">
                  <c:v>0.13304721030042918</c:v>
                </c:pt>
                <c:pt idx="58">
                  <c:v>0.13025210084033614</c:v>
                </c:pt>
                <c:pt idx="59">
                  <c:v>0.13043478260869565</c:v>
                </c:pt>
                <c:pt idx="60">
                  <c:v>0.13333333333333333</c:v>
                </c:pt>
                <c:pt idx="61">
                  <c:v>0.13095238095238096</c:v>
                </c:pt>
                <c:pt idx="62">
                  <c:v>0.130859375</c:v>
                </c:pt>
                <c:pt idx="63">
                  <c:v>0.12984496124031009</c:v>
                </c:pt>
                <c:pt idx="64">
                  <c:v>0.13026819923371646</c:v>
                </c:pt>
                <c:pt idx="65">
                  <c:v>0.128060263653484</c:v>
                </c:pt>
                <c:pt idx="66">
                  <c:v>0.1266294227188082</c:v>
                </c:pt>
                <c:pt idx="67">
                  <c:v>0.12477064220183487</c:v>
                </c:pt>
                <c:pt idx="68">
                  <c:v>0.125</c:v>
                </c:pt>
                <c:pt idx="69">
                  <c:v>0.12701252236135957</c:v>
                </c:pt>
                <c:pt idx="70">
                  <c:v>0.12588652482269502</c:v>
                </c:pt>
                <c:pt idx="71">
                  <c:v>0.12784588441330999</c:v>
                </c:pt>
                <c:pt idx="72">
                  <c:v>0.12780656303972365</c:v>
                </c:pt>
                <c:pt idx="73">
                  <c:v>0.12820512820512819</c:v>
                </c:pt>
                <c:pt idx="74">
                  <c:v>0.12816188870151771</c:v>
                </c:pt>
                <c:pt idx="75">
                  <c:v>0.13</c:v>
                </c:pt>
                <c:pt idx="76">
                  <c:v>0.132013201320132</c:v>
                </c:pt>
                <c:pt idx="77">
                  <c:v>0.13452188006482982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589743589743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まっつん2!$A$3:$A$80</c:f>
              <c:numCache>
                <c:formatCode>0\ "回"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まっつん2!$I$3:$I$80</c:f>
              <c:numCache>
                <c:formatCode>0</c:formatCode>
                <c:ptCount val="78"/>
                <c:pt idx="1">
                  <c:v>8950</c:v>
                </c:pt>
                <c:pt idx="2">
                  <c:v>8950</c:v>
                </c:pt>
                <c:pt idx="3">
                  <c:v>8937.5</c:v>
                </c:pt>
                <c:pt idx="4">
                  <c:v>8937.5</c:v>
                </c:pt>
                <c:pt idx="5">
                  <c:v>8933.3333333333339</c:v>
                </c:pt>
                <c:pt idx="6">
                  <c:v>8868.75</c:v>
                </c:pt>
                <c:pt idx="7">
                  <c:v>8868.75</c:v>
                </c:pt>
                <c:pt idx="8">
                  <c:v>8544.4444444444453</c:v>
                </c:pt>
                <c:pt idx="9">
                  <c:v>8410.5263157894733</c:v>
                </c:pt>
                <c:pt idx="10">
                  <c:v>8410.5263157894733</c:v>
                </c:pt>
                <c:pt idx="11">
                  <c:v>8156.521739130435</c:v>
                </c:pt>
                <c:pt idx="12">
                  <c:v>7884.6153846153848</c:v>
                </c:pt>
                <c:pt idx="13">
                  <c:v>7677.4193548387093</c:v>
                </c:pt>
                <c:pt idx="14">
                  <c:v>7488.8888888888887</c:v>
                </c:pt>
                <c:pt idx="15">
                  <c:v>7507.894736842105</c:v>
                </c:pt>
                <c:pt idx="16">
                  <c:v>7776.9230769230771</c:v>
                </c:pt>
                <c:pt idx="17">
                  <c:v>7554.7619047619046</c:v>
                </c:pt>
                <c:pt idx="18">
                  <c:v>7491.304347826087</c:v>
                </c:pt>
                <c:pt idx="19">
                  <c:v>7540.8163265306121</c:v>
                </c:pt>
                <c:pt idx="20">
                  <c:v>7544</c:v>
                </c:pt>
                <c:pt idx="21">
                  <c:v>7544</c:v>
                </c:pt>
                <c:pt idx="22">
                  <c:v>7658.4905660377362</c:v>
                </c:pt>
                <c:pt idx="23">
                  <c:v>7809.090909090909</c:v>
                </c:pt>
                <c:pt idx="24">
                  <c:v>7807.1428571428569</c:v>
                </c:pt>
                <c:pt idx="25">
                  <c:v>8455.1724137931033</c:v>
                </c:pt>
                <c:pt idx="26">
                  <c:v>8395</c:v>
                </c:pt>
                <c:pt idx="27">
                  <c:v>8362.2950819672133</c:v>
                </c:pt>
                <c:pt idx="28">
                  <c:v>8460.9375</c:v>
                </c:pt>
                <c:pt idx="29">
                  <c:v>8460.9375</c:v>
                </c:pt>
                <c:pt idx="30">
                  <c:v>8429.2307692307695</c:v>
                </c:pt>
                <c:pt idx="31">
                  <c:v>8295.652173913044</c:v>
                </c:pt>
                <c:pt idx="32">
                  <c:v>8494.4444444444453</c:v>
                </c:pt>
                <c:pt idx="33">
                  <c:v>8494.4444444444453</c:v>
                </c:pt>
                <c:pt idx="34">
                  <c:v>8339.1891891891901</c:v>
                </c:pt>
                <c:pt idx="35">
                  <c:v>8112.9870129870133</c:v>
                </c:pt>
                <c:pt idx="36">
                  <c:v>8108.75</c:v>
                </c:pt>
                <c:pt idx="37">
                  <c:v>8100</c:v>
                </c:pt>
                <c:pt idx="38">
                  <c:v>8111.4942528735628</c:v>
                </c:pt>
                <c:pt idx="39">
                  <c:v>8063.636363636364</c:v>
                </c:pt>
                <c:pt idx="40">
                  <c:v>8151.1111111111113</c:v>
                </c:pt>
                <c:pt idx="41">
                  <c:v>8081.7204301075271</c:v>
                </c:pt>
                <c:pt idx="42">
                  <c:v>8176.2886597938141</c:v>
                </c:pt>
                <c:pt idx="43">
                  <c:v>8213.1313131313127</c:v>
                </c:pt>
                <c:pt idx="44">
                  <c:v>8383.3333333333339</c:v>
                </c:pt>
                <c:pt idx="45">
                  <c:v>8318.2692307692305</c:v>
                </c:pt>
                <c:pt idx="46">
                  <c:v>8353.3333333333339</c:v>
                </c:pt>
                <c:pt idx="47">
                  <c:v>8305.5045871559632</c:v>
                </c:pt>
                <c:pt idx="48">
                  <c:v>8366.0714285714294</c:v>
                </c:pt>
                <c:pt idx="49">
                  <c:v>8429.8245614035095</c:v>
                </c:pt>
                <c:pt idx="50">
                  <c:v>8460.8695652173919</c:v>
                </c:pt>
                <c:pt idx="51">
                  <c:v>8543.1034482758623</c:v>
                </c:pt>
                <c:pt idx="52">
                  <c:v>8626.8907563025205</c:v>
                </c:pt>
                <c:pt idx="53">
                  <c:v>8558.1967213114749</c:v>
                </c:pt>
                <c:pt idx="54">
                  <c:v>8553.6585365853662</c:v>
                </c:pt>
                <c:pt idx="55">
                  <c:v>8650.7936507936502</c:v>
                </c:pt>
                <c:pt idx="56">
                  <c:v>8638.28125</c:v>
                </c:pt>
                <c:pt idx="57">
                  <c:v>8578.0303030303039</c:v>
                </c:pt>
                <c:pt idx="58">
                  <c:v>8562.2222222222226</c:v>
                </c:pt>
                <c:pt idx="59">
                  <c:v>8480.7142857142862</c:v>
                </c:pt>
                <c:pt idx="60">
                  <c:v>8379.720279720279</c:v>
                </c:pt>
                <c:pt idx="61">
                  <c:v>8366.8965517241377</c:v>
                </c:pt>
                <c:pt idx="62">
                  <c:v>8375.5102040816328</c:v>
                </c:pt>
                <c:pt idx="63">
                  <c:v>8461.7449664429532</c:v>
                </c:pt>
                <c:pt idx="64">
                  <c:v>8508.6092715231789</c:v>
                </c:pt>
                <c:pt idx="65">
                  <c:v>8490.78947368421</c:v>
                </c:pt>
                <c:pt idx="66">
                  <c:v>8461.4379084967313</c:v>
                </c:pt>
                <c:pt idx="67">
                  <c:v>8463.461538461539</c:v>
                </c:pt>
                <c:pt idx="68">
                  <c:v>8428.6624203821648</c:v>
                </c:pt>
                <c:pt idx="69">
                  <c:v>8400</c:v>
                </c:pt>
                <c:pt idx="70">
                  <c:v>8493.75</c:v>
                </c:pt>
                <c:pt idx="71">
                  <c:v>8490.6832298136651</c:v>
                </c:pt>
                <c:pt idx="72">
                  <c:v>8430.6748466257668</c:v>
                </c:pt>
                <c:pt idx="73">
                  <c:v>8476.8292682926822</c:v>
                </c:pt>
                <c:pt idx="74">
                  <c:v>8431.9526627218929</c:v>
                </c:pt>
                <c:pt idx="75">
                  <c:v>8415.78947368421</c:v>
                </c:pt>
                <c:pt idx="76">
                  <c:v>8409.2485549132944</c:v>
                </c:pt>
                <c:pt idx="77">
                  <c:v>8409.2485549132944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22.755013077594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まっつん2!$A$3:$A$80</c:f>
              <c:numCache>
                <c:formatCode>0\ "回"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まっつん2!$J$3:$J$80</c:f>
              <c:numCache>
                <c:formatCode>0</c:formatCode>
                <c:ptCount val="78"/>
                <c:pt idx="1">
                  <c:v>0</c:v>
                </c:pt>
                <c:pt idx="2">
                  <c:v>-12000</c:v>
                </c:pt>
                <c:pt idx="3">
                  <c:v>-10000</c:v>
                </c:pt>
                <c:pt idx="4">
                  <c:v>-7900</c:v>
                </c:pt>
                <c:pt idx="5">
                  <c:v>-7920</c:v>
                </c:pt>
                <c:pt idx="6">
                  <c:v>-6816.666666666667</c:v>
                </c:pt>
                <c:pt idx="7">
                  <c:v>-6671.4285714285716</c:v>
                </c:pt>
                <c:pt idx="8">
                  <c:v>-6370</c:v>
                </c:pt>
                <c:pt idx="9">
                  <c:v>-7430.7692307692305</c:v>
                </c:pt>
                <c:pt idx="10">
                  <c:v>-7960</c:v>
                </c:pt>
                <c:pt idx="11">
                  <c:v>-7960</c:v>
                </c:pt>
                <c:pt idx="12">
                  <c:v>-7960</c:v>
                </c:pt>
                <c:pt idx="13">
                  <c:v>-7960</c:v>
                </c:pt>
                <c:pt idx="14">
                  <c:v>-7960</c:v>
                </c:pt>
                <c:pt idx="15">
                  <c:v>-7643.75</c:v>
                </c:pt>
                <c:pt idx="16">
                  <c:v>-7647.0588235294117</c:v>
                </c:pt>
                <c:pt idx="17">
                  <c:v>-7383.333333333333</c:v>
                </c:pt>
                <c:pt idx="18">
                  <c:v>-7331.818181818182</c:v>
                </c:pt>
                <c:pt idx="19">
                  <c:v>-7095.833333333333</c:v>
                </c:pt>
                <c:pt idx="20">
                  <c:v>-7292</c:v>
                </c:pt>
                <c:pt idx="21">
                  <c:v>-6960.7142857142853</c:v>
                </c:pt>
                <c:pt idx="22">
                  <c:v>-6960.7142857142853</c:v>
                </c:pt>
                <c:pt idx="23">
                  <c:v>-6820.6896551724139</c:v>
                </c:pt>
                <c:pt idx="24">
                  <c:v>-6946.875</c:v>
                </c:pt>
                <c:pt idx="25">
                  <c:v>-6832.3529411764703</c:v>
                </c:pt>
                <c:pt idx="26">
                  <c:v>-6711.4285714285716</c:v>
                </c:pt>
                <c:pt idx="27">
                  <c:v>-6711.4285714285716</c:v>
                </c:pt>
                <c:pt idx="28">
                  <c:v>-6711.4285714285716</c:v>
                </c:pt>
                <c:pt idx="29">
                  <c:v>-7159.4594594594591</c:v>
                </c:pt>
                <c:pt idx="30">
                  <c:v>-7159.4594594594591</c:v>
                </c:pt>
                <c:pt idx="31">
                  <c:v>-7305.1282051282051</c:v>
                </c:pt>
                <c:pt idx="32">
                  <c:v>-7305.1282051282051</c:v>
                </c:pt>
                <c:pt idx="33">
                  <c:v>-7305.1282051282051</c:v>
                </c:pt>
                <c:pt idx="34">
                  <c:v>-7187.5</c:v>
                </c:pt>
                <c:pt idx="35">
                  <c:v>-7187.5</c:v>
                </c:pt>
                <c:pt idx="36">
                  <c:v>-7207.3170731707314</c:v>
                </c:pt>
                <c:pt idx="37">
                  <c:v>-7476.7441860465115</c:v>
                </c:pt>
                <c:pt idx="38">
                  <c:v>-7408.8888888888887</c:v>
                </c:pt>
                <c:pt idx="39">
                  <c:v>-7415.217391304348</c:v>
                </c:pt>
                <c:pt idx="40">
                  <c:v>-7381.25</c:v>
                </c:pt>
                <c:pt idx="41">
                  <c:v>-7318</c:v>
                </c:pt>
                <c:pt idx="42">
                  <c:v>-7801.9607843137255</c:v>
                </c:pt>
                <c:pt idx="43">
                  <c:v>-7682.6923076923076</c:v>
                </c:pt>
                <c:pt idx="44">
                  <c:v>-7682.6923076923076</c:v>
                </c:pt>
                <c:pt idx="45">
                  <c:v>-7688.6792452830186</c:v>
                </c:pt>
                <c:pt idx="46">
                  <c:v>-7688.6792452830186</c:v>
                </c:pt>
                <c:pt idx="47">
                  <c:v>-7827.272727272727</c:v>
                </c:pt>
                <c:pt idx="48">
                  <c:v>-7827.272727272727</c:v>
                </c:pt>
                <c:pt idx="49">
                  <c:v>-7757.1428571428569</c:v>
                </c:pt>
                <c:pt idx="50">
                  <c:v>-7705.2631578947367</c:v>
                </c:pt>
                <c:pt idx="51">
                  <c:v>-7705.2631578947367</c:v>
                </c:pt>
                <c:pt idx="52">
                  <c:v>-7705.2631578947367</c:v>
                </c:pt>
                <c:pt idx="53">
                  <c:v>-7705.2631578947367</c:v>
                </c:pt>
                <c:pt idx="54">
                  <c:v>-7705.2631578947367</c:v>
                </c:pt>
                <c:pt idx="55">
                  <c:v>-7705.2631578947367</c:v>
                </c:pt>
                <c:pt idx="56">
                  <c:v>-7642.622950819672</c:v>
                </c:pt>
                <c:pt idx="57">
                  <c:v>-7777.4193548387093</c:v>
                </c:pt>
                <c:pt idx="58">
                  <c:v>-7777.4193548387093</c:v>
                </c:pt>
                <c:pt idx="59">
                  <c:v>-7695.2380952380954</c:v>
                </c:pt>
                <c:pt idx="60">
                  <c:v>-7790.909090909091</c:v>
                </c:pt>
                <c:pt idx="61">
                  <c:v>-7790.909090909091</c:v>
                </c:pt>
                <c:pt idx="62">
                  <c:v>-7943.2835820895525</c:v>
                </c:pt>
                <c:pt idx="63">
                  <c:v>-7943.2835820895525</c:v>
                </c:pt>
                <c:pt idx="64">
                  <c:v>-8179.411764705882</c:v>
                </c:pt>
                <c:pt idx="65">
                  <c:v>-8179.411764705882</c:v>
                </c:pt>
                <c:pt idx="66">
                  <c:v>-8179.411764705882</c:v>
                </c:pt>
                <c:pt idx="67">
                  <c:v>-8179.411764705882</c:v>
                </c:pt>
                <c:pt idx="68">
                  <c:v>-8321.7391304347821</c:v>
                </c:pt>
                <c:pt idx="69">
                  <c:v>-8270.422535211268</c:v>
                </c:pt>
                <c:pt idx="70">
                  <c:v>-8270.422535211268</c:v>
                </c:pt>
                <c:pt idx="71">
                  <c:v>-8079.4520547945203</c:v>
                </c:pt>
                <c:pt idx="72">
                  <c:v>-8078.3783783783783</c:v>
                </c:pt>
                <c:pt idx="73">
                  <c:v>-7997.333333333333</c:v>
                </c:pt>
                <c:pt idx="74">
                  <c:v>-7993.4210526315792</c:v>
                </c:pt>
                <c:pt idx="75">
                  <c:v>-7903.8461538461543</c:v>
                </c:pt>
                <c:pt idx="76">
                  <c:v>-7811.25</c:v>
                </c:pt>
                <c:pt idx="77">
                  <c:v>-8059.0361445783128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94.20062695924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まっつん2!$A$3:$A$80</c:f>
              <c:numCache>
                <c:formatCode>0\ "回"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まっつん2!$K$3:$K$80</c:f>
              <c:numCache>
                <c:formatCode>0.0%</c:formatCode>
                <c:ptCount val="7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0.14285714285714285</c:v>
                </c:pt>
                <c:pt idx="22">
                  <c:v>0.13636363636363635</c:v>
                </c:pt>
                <c:pt idx="23">
                  <c:v>0.13043478260869565</c:v>
                </c:pt>
                <c:pt idx="24">
                  <c:v>0.125</c:v>
                </c:pt>
                <c:pt idx="25">
                  <c:v>0.12</c:v>
                </c:pt>
                <c:pt idx="26">
                  <c:v>0.11538461538461539</c:v>
                </c:pt>
                <c:pt idx="27">
                  <c:v>0.1111111111111111</c:v>
                </c:pt>
                <c:pt idx="28">
                  <c:v>0.10714285714285714</c:v>
                </c:pt>
                <c:pt idx="29">
                  <c:v>0.13793103448275862</c:v>
                </c:pt>
                <c:pt idx="30">
                  <c:v>0.13333333333333333</c:v>
                </c:pt>
                <c:pt idx="31">
                  <c:v>0.12903225806451613</c:v>
                </c:pt>
                <c:pt idx="32">
                  <c:v>0.125</c:v>
                </c:pt>
                <c:pt idx="33">
                  <c:v>0.12121212121212122</c:v>
                </c:pt>
                <c:pt idx="34">
                  <c:v>0.11764705882352941</c:v>
                </c:pt>
                <c:pt idx="35">
                  <c:v>0.11428571428571428</c:v>
                </c:pt>
                <c:pt idx="36">
                  <c:v>0.1111111111111111</c:v>
                </c:pt>
                <c:pt idx="37">
                  <c:v>0.10810810810810811</c:v>
                </c:pt>
                <c:pt idx="38">
                  <c:v>0.10526315789473684</c:v>
                </c:pt>
                <c:pt idx="39">
                  <c:v>0.10256410256410256</c:v>
                </c:pt>
                <c:pt idx="40">
                  <c:v>0.1</c:v>
                </c:pt>
                <c:pt idx="41">
                  <c:v>9.7560975609756101E-2</c:v>
                </c:pt>
                <c:pt idx="42">
                  <c:v>9.5238095238095233E-2</c:v>
                </c:pt>
                <c:pt idx="43">
                  <c:v>9.3023255813953487E-2</c:v>
                </c:pt>
                <c:pt idx="44">
                  <c:v>9.0909090909090912E-2</c:v>
                </c:pt>
                <c:pt idx="45">
                  <c:v>8.8888888888888892E-2</c:v>
                </c:pt>
                <c:pt idx="46">
                  <c:v>8.6956521739130432E-2</c:v>
                </c:pt>
                <c:pt idx="47">
                  <c:v>8.5106382978723402E-2</c:v>
                </c:pt>
                <c:pt idx="48">
                  <c:v>8.3333333333333329E-2</c:v>
                </c:pt>
                <c:pt idx="49">
                  <c:v>8.1632653061224483E-2</c:v>
                </c:pt>
                <c:pt idx="50">
                  <c:v>0.08</c:v>
                </c:pt>
                <c:pt idx="51">
                  <c:v>7.8431372549019607E-2</c:v>
                </c:pt>
                <c:pt idx="52">
                  <c:v>7.6923076923076927E-2</c:v>
                </c:pt>
                <c:pt idx="53">
                  <c:v>7.5471698113207544E-2</c:v>
                </c:pt>
                <c:pt idx="54">
                  <c:v>7.407407407407407E-2</c:v>
                </c:pt>
                <c:pt idx="55">
                  <c:v>7.2727272727272724E-2</c:v>
                </c:pt>
                <c:pt idx="56">
                  <c:v>7.1428571428571425E-2</c:v>
                </c:pt>
                <c:pt idx="57">
                  <c:v>7.0175438596491224E-2</c:v>
                </c:pt>
                <c:pt idx="58">
                  <c:v>6.8965517241379309E-2</c:v>
                </c:pt>
                <c:pt idx="59">
                  <c:v>6.7796610169491525E-2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8.0645161290322578E-2</c:v>
                </c:pt>
                <c:pt idx="63">
                  <c:v>7.9365079365079361E-2</c:v>
                </c:pt>
                <c:pt idx="64">
                  <c:v>7.8125E-2</c:v>
                </c:pt>
                <c:pt idx="65">
                  <c:v>7.6923076923076927E-2</c:v>
                </c:pt>
                <c:pt idx="66">
                  <c:v>7.575757575757576E-2</c:v>
                </c:pt>
                <c:pt idx="67">
                  <c:v>7.4626865671641784E-2</c:v>
                </c:pt>
                <c:pt idx="68">
                  <c:v>7.3529411764705885E-2</c:v>
                </c:pt>
                <c:pt idx="69">
                  <c:v>7.2463768115942032E-2</c:v>
                </c:pt>
                <c:pt idx="70">
                  <c:v>7.1428571428571425E-2</c:v>
                </c:pt>
                <c:pt idx="71">
                  <c:v>7.0422535211267609E-2</c:v>
                </c:pt>
                <c:pt idx="72">
                  <c:v>6.9444444444444448E-2</c:v>
                </c:pt>
                <c:pt idx="73">
                  <c:v>6.8493150684931503E-2</c:v>
                </c:pt>
                <c:pt idx="74">
                  <c:v>6.7567567567567571E-2</c:v>
                </c:pt>
                <c:pt idx="75">
                  <c:v>6.6666666666666666E-2</c:v>
                </c:pt>
                <c:pt idx="76">
                  <c:v>6.5789473684210523E-2</c:v>
                </c:pt>
                <c:pt idx="77">
                  <c:v>7.792207792207792E-2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1295116772823773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まっつん2!$A$3:$A$80</c:f>
              <c:numCache>
                <c:formatCode>0\ "回"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まっつん2!$L$3:$L$80</c:f>
              <c:numCache>
                <c:formatCode>0.0%</c:formatCode>
                <c:ptCount val="7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6.4516129032258063E-2</c:v>
                </c:pt>
                <c:pt idx="32">
                  <c:v>9.375E-2</c:v>
                </c:pt>
                <c:pt idx="33">
                  <c:v>9.0909090909090912E-2</c:v>
                </c:pt>
                <c:pt idx="34">
                  <c:v>8.8235294117647065E-2</c:v>
                </c:pt>
                <c:pt idx="35">
                  <c:v>8.5714285714285715E-2</c:v>
                </c:pt>
                <c:pt idx="36">
                  <c:v>8.3333333333333329E-2</c:v>
                </c:pt>
                <c:pt idx="37">
                  <c:v>8.1081081081081086E-2</c:v>
                </c:pt>
                <c:pt idx="38">
                  <c:v>7.8947368421052627E-2</c:v>
                </c:pt>
                <c:pt idx="39">
                  <c:v>7.6923076923076927E-2</c:v>
                </c:pt>
                <c:pt idx="40">
                  <c:v>7.4999999999999997E-2</c:v>
                </c:pt>
                <c:pt idx="41">
                  <c:v>7.3170731707317069E-2</c:v>
                </c:pt>
                <c:pt idx="42">
                  <c:v>7.1428571428571425E-2</c:v>
                </c:pt>
                <c:pt idx="43">
                  <c:v>6.9767441860465115E-2</c:v>
                </c:pt>
                <c:pt idx="44">
                  <c:v>9.0909090909090912E-2</c:v>
                </c:pt>
                <c:pt idx="45">
                  <c:v>8.8888888888888892E-2</c:v>
                </c:pt>
                <c:pt idx="46">
                  <c:v>8.6956521739130432E-2</c:v>
                </c:pt>
                <c:pt idx="47">
                  <c:v>8.5106382978723402E-2</c:v>
                </c:pt>
                <c:pt idx="48">
                  <c:v>8.3333333333333329E-2</c:v>
                </c:pt>
                <c:pt idx="49">
                  <c:v>8.1632653061224483E-2</c:v>
                </c:pt>
                <c:pt idx="50">
                  <c:v>0.08</c:v>
                </c:pt>
                <c:pt idx="51">
                  <c:v>7.8431372549019607E-2</c:v>
                </c:pt>
                <c:pt idx="52">
                  <c:v>7.6923076923076927E-2</c:v>
                </c:pt>
                <c:pt idx="53">
                  <c:v>7.5471698113207544E-2</c:v>
                </c:pt>
                <c:pt idx="54">
                  <c:v>7.407407407407407E-2</c:v>
                </c:pt>
                <c:pt idx="55">
                  <c:v>9.0909090909090912E-2</c:v>
                </c:pt>
                <c:pt idx="56">
                  <c:v>8.9285714285714288E-2</c:v>
                </c:pt>
                <c:pt idx="57">
                  <c:v>8.771929824561403E-2</c:v>
                </c:pt>
                <c:pt idx="58">
                  <c:v>8.6206896551724144E-2</c:v>
                </c:pt>
                <c:pt idx="59">
                  <c:v>8.4745762711864403E-2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8.0645161290322578E-2</c:v>
                </c:pt>
                <c:pt idx="63">
                  <c:v>9.5238095238095233E-2</c:v>
                </c:pt>
                <c:pt idx="64">
                  <c:v>9.375E-2</c:v>
                </c:pt>
                <c:pt idx="65">
                  <c:v>9.2307692307692313E-2</c:v>
                </c:pt>
                <c:pt idx="66">
                  <c:v>9.0909090909090912E-2</c:v>
                </c:pt>
                <c:pt idx="67">
                  <c:v>8.9552238805970144E-2</c:v>
                </c:pt>
                <c:pt idx="68">
                  <c:v>8.8235294117647065E-2</c:v>
                </c:pt>
                <c:pt idx="69">
                  <c:v>8.6956521739130432E-2</c:v>
                </c:pt>
                <c:pt idx="70">
                  <c:v>8.5714285714285715E-2</c:v>
                </c:pt>
                <c:pt idx="71">
                  <c:v>8.4507042253521125E-2</c:v>
                </c:pt>
                <c:pt idx="72">
                  <c:v>8.3333333333333329E-2</c:v>
                </c:pt>
                <c:pt idx="73">
                  <c:v>8.2191780821917804E-2</c:v>
                </c:pt>
                <c:pt idx="74">
                  <c:v>8.1081081081081086E-2</c:v>
                </c:pt>
                <c:pt idx="75">
                  <c:v>0.08</c:v>
                </c:pt>
                <c:pt idx="76">
                  <c:v>7.8947368421052627E-2</c:v>
                </c:pt>
                <c:pt idx="77">
                  <c:v>7.792207792207792E-2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1295116772823773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まっつん2!$A$3:$A$80</c:f>
              <c:numCache>
                <c:formatCode>0\ "回"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まっつん2!$M$3:$M$80</c:f>
              <c:numCache>
                <c:formatCode>0.0%</c:formatCode>
                <c:ptCount val="78"/>
                <c:pt idx="1">
                  <c:v>9.0909090909090912E-2</c:v>
                </c:pt>
                <c:pt idx="2">
                  <c:v>9.0909090909090912E-2</c:v>
                </c:pt>
                <c:pt idx="3">
                  <c:v>0.12121212121212122</c:v>
                </c:pt>
                <c:pt idx="4">
                  <c:v>0.10256410256410256</c:v>
                </c:pt>
                <c:pt idx="5">
                  <c:v>0.12</c:v>
                </c:pt>
                <c:pt idx="6">
                  <c:v>0.17241379310344829</c:v>
                </c:pt>
                <c:pt idx="7">
                  <c:v>0.171875</c:v>
                </c:pt>
                <c:pt idx="8">
                  <c:v>0.17808219178082191</c:v>
                </c:pt>
                <c:pt idx="9">
                  <c:v>0.16666666666666666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0.17699115044247787</c:v>
                </c:pt>
                <c:pt idx="13">
                  <c:v>0.2032520325203252</c:v>
                </c:pt>
                <c:pt idx="14">
                  <c:v>0.21374045801526717</c:v>
                </c:pt>
                <c:pt idx="15">
                  <c:v>0.22302158273381295</c:v>
                </c:pt>
                <c:pt idx="16">
                  <c:v>0.2413793103448276</c:v>
                </c:pt>
                <c:pt idx="17">
                  <c:v>0.25</c:v>
                </c:pt>
                <c:pt idx="18">
                  <c:v>0.25</c:v>
                </c:pt>
                <c:pt idx="19">
                  <c:v>0.25568181818181818</c:v>
                </c:pt>
                <c:pt idx="20">
                  <c:v>0.26229508196721313</c:v>
                </c:pt>
                <c:pt idx="21">
                  <c:v>0.25654450261780104</c:v>
                </c:pt>
                <c:pt idx="22">
                  <c:v>0.26262626262626265</c:v>
                </c:pt>
                <c:pt idx="23">
                  <c:v>0.26829268292682928</c:v>
                </c:pt>
                <c:pt idx="24">
                  <c:v>0.25821596244131456</c:v>
                </c:pt>
                <c:pt idx="25">
                  <c:v>0.25339366515837103</c:v>
                </c:pt>
                <c:pt idx="26">
                  <c:v>0.25438596491228072</c:v>
                </c:pt>
                <c:pt idx="27">
                  <c:v>0.25108225108225107</c:v>
                </c:pt>
                <c:pt idx="28">
                  <c:v>0.26050420168067229</c:v>
                </c:pt>
                <c:pt idx="29">
                  <c:v>0.25925925925925924</c:v>
                </c:pt>
                <c:pt idx="30">
                  <c:v>0.25506072874493929</c:v>
                </c:pt>
                <c:pt idx="31">
                  <c:v>0.25193798449612403</c:v>
                </c:pt>
                <c:pt idx="32">
                  <c:v>0.2509505703422053</c:v>
                </c:pt>
                <c:pt idx="33">
                  <c:v>0.24723247232472326</c:v>
                </c:pt>
                <c:pt idx="34">
                  <c:v>0.24100719424460432</c:v>
                </c:pt>
                <c:pt idx="35">
                  <c:v>0.23426573426573427</c:v>
                </c:pt>
                <c:pt idx="36">
                  <c:v>0.2363013698630137</c:v>
                </c:pt>
                <c:pt idx="37">
                  <c:v>0.24092409240924093</c:v>
                </c:pt>
                <c:pt idx="38">
                  <c:v>0.24600638977635783</c:v>
                </c:pt>
                <c:pt idx="39">
                  <c:v>0.24374999999999999</c:v>
                </c:pt>
                <c:pt idx="40">
                  <c:v>0.24464831804281345</c:v>
                </c:pt>
                <c:pt idx="41">
                  <c:v>0.24850299401197604</c:v>
                </c:pt>
                <c:pt idx="42">
                  <c:v>0.25072886297376096</c:v>
                </c:pt>
                <c:pt idx="43">
                  <c:v>0.25714285714285712</c:v>
                </c:pt>
                <c:pt idx="44">
                  <c:v>0.26197183098591548</c:v>
                </c:pt>
                <c:pt idx="45">
                  <c:v>0.25683060109289618</c:v>
                </c:pt>
                <c:pt idx="46">
                  <c:v>0.25336927223719674</c:v>
                </c:pt>
                <c:pt idx="47">
                  <c:v>0.25129533678756477</c:v>
                </c:pt>
                <c:pt idx="48">
                  <c:v>0.25190839694656486</c:v>
                </c:pt>
                <c:pt idx="49">
                  <c:v>0.2525</c:v>
                </c:pt>
                <c:pt idx="50">
                  <c:v>0.25245098039215685</c:v>
                </c:pt>
                <c:pt idx="51">
                  <c:v>0.25358851674641147</c:v>
                </c:pt>
                <c:pt idx="52">
                  <c:v>0.2541176470588235</c:v>
                </c:pt>
                <c:pt idx="53">
                  <c:v>0.25635103926096997</c:v>
                </c:pt>
                <c:pt idx="54">
                  <c:v>0.25740318906605925</c:v>
                </c:pt>
                <c:pt idx="55">
                  <c:v>0.25733634311512416</c:v>
                </c:pt>
                <c:pt idx="56">
                  <c:v>0.26096491228070173</c:v>
                </c:pt>
                <c:pt idx="57">
                  <c:v>0.25751072961373389</c:v>
                </c:pt>
                <c:pt idx="58">
                  <c:v>0.25420168067226889</c:v>
                </c:pt>
                <c:pt idx="59">
                  <c:v>0.25465838509316768</c:v>
                </c:pt>
                <c:pt idx="60">
                  <c:v>0.25454545454545452</c:v>
                </c:pt>
                <c:pt idx="61">
                  <c:v>0.25595238095238093</c:v>
                </c:pt>
                <c:pt idx="62">
                  <c:v>0.255859375</c:v>
                </c:pt>
                <c:pt idx="63">
                  <c:v>0.2558139534883721</c:v>
                </c:pt>
                <c:pt idx="64">
                  <c:v>0.25478927203065133</c:v>
                </c:pt>
                <c:pt idx="65">
                  <c:v>0.25235404896421848</c:v>
                </c:pt>
                <c:pt idx="66">
                  <c:v>0.25139664804469275</c:v>
                </c:pt>
                <c:pt idx="67">
                  <c:v>0.25504587155963304</c:v>
                </c:pt>
                <c:pt idx="68">
                  <c:v>0.25362318840579712</c:v>
                </c:pt>
                <c:pt idx="69">
                  <c:v>0.25223613595706618</c:v>
                </c:pt>
                <c:pt idx="70">
                  <c:v>0.25354609929078015</c:v>
                </c:pt>
                <c:pt idx="71">
                  <c:v>0.25043782837127848</c:v>
                </c:pt>
                <c:pt idx="72">
                  <c:v>0.25043177892918828</c:v>
                </c:pt>
                <c:pt idx="73">
                  <c:v>0.24957264957264957</c:v>
                </c:pt>
                <c:pt idx="74">
                  <c:v>0.25126475548060706</c:v>
                </c:pt>
                <c:pt idx="75">
                  <c:v>0.25666666666666665</c:v>
                </c:pt>
                <c:pt idx="76">
                  <c:v>0.25577557755775576</c:v>
                </c:pt>
                <c:pt idx="77">
                  <c:v>0.25283630470016205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10256410256410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まっつん2!$A$3:$A$80</c:f>
              <c:numCache>
                <c:formatCode>0\ "回"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まっつん2!$N$3:$N$80</c:f>
              <c:numCache>
                <c:formatCode>0.0%</c:formatCode>
                <c:ptCount val="78"/>
                <c:pt idx="1">
                  <c:v>0.27272727272727271</c:v>
                </c:pt>
                <c:pt idx="2">
                  <c:v>0.18181818181818182</c:v>
                </c:pt>
                <c:pt idx="3">
                  <c:v>0.15151515151515152</c:v>
                </c:pt>
                <c:pt idx="4">
                  <c:v>0.17948717948717949</c:v>
                </c:pt>
                <c:pt idx="5">
                  <c:v>0.16</c:v>
                </c:pt>
                <c:pt idx="6">
                  <c:v>0.17241379310344829</c:v>
                </c:pt>
                <c:pt idx="7">
                  <c:v>0.15625</c:v>
                </c:pt>
                <c:pt idx="8">
                  <c:v>0.17808219178082191</c:v>
                </c:pt>
                <c:pt idx="9">
                  <c:v>0.17857142857142858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0.23008849557522124</c:v>
                </c:pt>
                <c:pt idx="13">
                  <c:v>0.22764227642276422</c:v>
                </c:pt>
                <c:pt idx="14">
                  <c:v>0.23664122137404581</c:v>
                </c:pt>
                <c:pt idx="15">
                  <c:v>0.2446043165467626</c:v>
                </c:pt>
                <c:pt idx="16">
                  <c:v>0.2413793103448276</c:v>
                </c:pt>
                <c:pt idx="17">
                  <c:v>0.24342105263157895</c:v>
                </c:pt>
                <c:pt idx="18">
                  <c:v>0.25</c:v>
                </c:pt>
                <c:pt idx="19">
                  <c:v>0.26136363636363635</c:v>
                </c:pt>
                <c:pt idx="20">
                  <c:v>0.25683060109289618</c:v>
                </c:pt>
                <c:pt idx="21">
                  <c:v>0.25654450261780104</c:v>
                </c:pt>
                <c:pt idx="22">
                  <c:v>0.25757575757575757</c:v>
                </c:pt>
                <c:pt idx="23">
                  <c:v>0.25853658536585367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0.25877192982456143</c:v>
                </c:pt>
                <c:pt idx="27">
                  <c:v>0.25974025974025972</c:v>
                </c:pt>
                <c:pt idx="28">
                  <c:v>0.25630252100840334</c:v>
                </c:pt>
                <c:pt idx="29">
                  <c:v>0.25925925925925924</c:v>
                </c:pt>
                <c:pt idx="30">
                  <c:v>0.25910931174089069</c:v>
                </c:pt>
                <c:pt idx="31">
                  <c:v>0.27131782945736432</c:v>
                </c:pt>
                <c:pt idx="32">
                  <c:v>0.28136882129277568</c:v>
                </c:pt>
                <c:pt idx="33">
                  <c:v>0.28413284132841327</c:v>
                </c:pt>
                <c:pt idx="34">
                  <c:v>0.29136690647482016</c:v>
                </c:pt>
                <c:pt idx="35">
                  <c:v>0.2937062937062937</c:v>
                </c:pt>
                <c:pt idx="36">
                  <c:v>0.28767123287671231</c:v>
                </c:pt>
                <c:pt idx="37">
                  <c:v>0.28382838283828382</c:v>
                </c:pt>
                <c:pt idx="38">
                  <c:v>0.27795527156549521</c:v>
                </c:pt>
                <c:pt idx="39">
                  <c:v>0.27500000000000002</c:v>
                </c:pt>
                <c:pt idx="40">
                  <c:v>0.27217125382262997</c:v>
                </c:pt>
                <c:pt idx="41">
                  <c:v>0.26946107784431139</c:v>
                </c:pt>
                <c:pt idx="42">
                  <c:v>0.26822157434402333</c:v>
                </c:pt>
                <c:pt idx="43">
                  <c:v>0.26285714285714284</c:v>
                </c:pt>
                <c:pt idx="44">
                  <c:v>0.25915492957746478</c:v>
                </c:pt>
                <c:pt idx="45">
                  <c:v>0.25683060109289618</c:v>
                </c:pt>
                <c:pt idx="46">
                  <c:v>0.2587601078167116</c:v>
                </c:pt>
                <c:pt idx="47">
                  <c:v>0.25647668393782386</c:v>
                </c:pt>
                <c:pt idx="48">
                  <c:v>0.2544529262086514</c:v>
                </c:pt>
                <c:pt idx="49">
                  <c:v>0.255</c:v>
                </c:pt>
                <c:pt idx="50">
                  <c:v>0.25</c:v>
                </c:pt>
                <c:pt idx="51">
                  <c:v>0.25119617224880381</c:v>
                </c:pt>
                <c:pt idx="52">
                  <c:v>0.25176470588235295</c:v>
                </c:pt>
                <c:pt idx="53">
                  <c:v>0.24942263279445728</c:v>
                </c:pt>
                <c:pt idx="54">
                  <c:v>0.24601366742596811</c:v>
                </c:pt>
                <c:pt idx="55">
                  <c:v>0.24830699774266365</c:v>
                </c:pt>
                <c:pt idx="56">
                  <c:v>0.24561403508771928</c:v>
                </c:pt>
                <c:pt idx="57">
                  <c:v>0.24678111587982832</c:v>
                </c:pt>
                <c:pt idx="58">
                  <c:v>0.24789915966386555</c:v>
                </c:pt>
                <c:pt idx="59">
                  <c:v>0.2484472049689441</c:v>
                </c:pt>
                <c:pt idx="60">
                  <c:v>0.25050505050505051</c:v>
                </c:pt>
                <c:pt idx="61">
                  <c:v>0.25198412698412698</c:v>
                </c:pt>
                <c:pt idx="62">
                  <c:v>0.251953125</c:v>
                </c:pt>
                <c:pt idx="63">
                  <c:v>0.25193798449612403</c:v>
                </c:pt>
                <c:pt idx="64">
                  <c:v>0.25287356321839083</c:v>
                </c:pt>
                <c:pt idx="65">
                  <c:v>0.25235404896421848</c:v>
                </c:pt>
                <c:pt idx="66">
                  <c:v>0.25139664804469275</c:v>
                </c:pt>
                <c:pt idx="67">
                  <c:v>0.25321100917431194</c:v>
                </c:pt>
                <c:pt idx="68">
                  <c:v>0.25362318840579712</c:v>
                </c:pt>
                <c:pt idx="69">
                  <c:v>0.25223613595706618</c:v>
                </c:pt>
                <c:pt idx="70">
                  <c:v>0.25177304964539005</c:v>
                </c:pt>
                <c:pt idx="71">
                  <c:v>0.24868651488616461</c:v>
                </c:pt>
                <c:pt idx="72">
                  <c:v>0.24525043177892919</c:v>
                </c:pt>
                <c:pt idx="73">
                  <c:v>0.24615384615384617</c:v>
                </c:pt>
                <c:pt idx="74">
                  <c:v>0.24283305227655985</c:v>
                </c:pt>
                <c:pt idx="75">
                  <c:v>0.24166666666666667</c:v>
                </c:pt>
                <c:pt idx="76">
                  <c:v>0.24092409240924093</c:v>
                </c:pt>
                <c:pt idx="77">
                  <c:v>0.23824959481361427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1794871794871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まっつん2!$A$3:$A$80</c:f>
              <c:numCache>
                <c:formatCode>0\ "回"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まっつん2!$O$3:$O$80</c:f>
              <c:numCache>
                <c:formatCode>0.0%</c:formatCode>
                <c:ptCount val="78"/>
                <c:pt idx="1">
                  <c:v>1</c:v>
                </c:pt>
                <c:pt idx="2">
                  <c:v>0.5</c:v>
                </c:pt>
                <c:pt idx="3">
                  <c:v>0.75</c:v>
                </c:pt>
                <c:pt idx="4">
                  <c:v>0.75</c:v>
                </c:pt>
                <c:pt idx="5">
                  <c:v>0.83333333333333337</c:v>
                </c:pt>
                <c:pt idx="6">
                  <c:v>0.7</c:v>
                </c:pt>
                <c:pt idx="7">
                  <c:v>0.63636363636363635</c:v>
                </c:pt>
                <c:pt idx="8">
                  <c:v>0.61538461538461542</c:v>
                </c:pt>
                <c:pt idx="9">
                  <c:v>0.6428571428571429</c:v>
                </c:pt>
                <c:pt idx="10">
                  <c:v>0.6</c:v>
                </c:pt>
                <c:pt idx="11">
                  <c:v>0.55000000000000004</c:v>
                </c:pt>
                <c:pt idx="12">
                  <c:v>0.55000000000000004</c:v>
                </c:pt>
                <c:pt idx="13">
                  <c:v>0.56000000000000005</c:v>
                </c:pt>
                <c:pt idx="14">
                  <c:v>0.5714285714285714</c:v>
                </c:pt>
                <c:pt idx="15">
                  <c:v>0.5161290322580645</c:v>
                </c:pt>
                <c:pt idx="16">
                  <c:v>0.45714285714285713</c:v>
                </c:pt>
                <c:pt idx="17">
                  <c:v>0.47368421052631576</c:v>
                </c:pt>
                <c:pt idx="18">
                  <c:v>0.47619047619047616</c:v>
                </c:pt>
                <c:pt idx="19">
                  <c:v>0.48888888888888887</c:v>
                </c:pt>
                <c:pt idx="20">
                  <c:v>0.47916666666666669</c:v>
                </c:pt>
                <c:pt idx="21">
                  <c:v>0.46938775510204084</c:v>
                </c:pt>
                <c:pt idx="22">
                  <c:v>0.46153846153846156</c:v>
                </c:pt>
                <c:pt idx="23">
                  <c:v>0.45454545454545453</c:v>
                </c:pt>
                <c:pt idx="24">
                  <c:v>0.45454545454545453</c:v>
                </c:pt>
                <c:pt idx="25">
                  <c:v>0.4642857142857143</c:v>
                </c:pt>
                <c:pt idx="26">
                  <c:v>0.48275862068965519</c:v>
                </c:pt>
                <c:pt idx="27">
                  <c:v>0.48275862068965519</c:v>
                </c:pt>
                <c:pt idx="28">
                  <c:v>0.5</c:v>
                </c:pt>
                <c:pt idx="29">
                  <c:v>0.49206349206349204</c:v>
                </c:pt>
                <c:pt idx="30">
                  <c:v>0.49206349206349204</c:v>
                </c:pt>
                <c:pt idx="31">
                  <c:v>0.50769230769230766</c:v>
                </c:pt>
                <c:pt idx="32">
                  <c:v>0.51515151515151514</c:v>
                </c:pt>
                <c:pt idx="33">
                  <c:v>0.5074626865671642</c:v>
                </c:pt>
                <c:pt idx="34">
                  <c:v>0.5074626865671642</c:v>
                </c:pt>
                <c:pt idx="35">
                  <c:v>0.5074626865671642</c:v>
                </c:pt>
                <c:pt idx="36">
                  <c:v>0.52173913043478259</c:v>
                </c:pt>
                <c:pt idx="37">
                  <c:v>0.54794520547945202</c:v>
                </c:pt>
                <c:pt idx="38">
                  <c:v>0.53246753246753242</c:v>
                </c:pt>
                <c:pt idx="39">
                  <c:v>0.52564102564102566</c:v>
                </c:pt>
                <c:pt idx="40">
                  <c:v>0.53749999999999998</c:v>
                </c:pt>
                <c:pt idx="41">
                  <c:v>0.54216867469879515</c:v>
                </c:pt>
                <c:pt idx="42">
                  <c:v>0.55813953488372092</c:v>
                </c:pt>
                <c:pt idx="43">
                  <c:v>0.55555555555555558</c:v>
                </c:pt>
                <c:pt idx="44">
                  <c:v>0.56989247311827962</c:v>
                </c:pt>
                <c:pt idx="45">
                  <c:v>0.57446808510638303</c:v>
                </c:pt>
                <c:pt idx="46">
                  <c:v>0.57446808510638303</c:v>
                </c:pt>
                <c:pt idx="47">
                  <c:v>0.57731958762886593</c:v>
                </c:pt>
                <c:pt idx="48">
                  <c:v>0.58585858585858586</c:v>
                </c:pt>
                <c:pt idx="49">
                  <c:v>0.59405940594059403</c:v>
                </c:pt>
                <c:pt idx="50">
                  <c:v>0.59223300970873782</c:v>
                </c:pt>
                <c:pt idx="51">
                  <c:v>0.58490566037735847</c:v>
                </c:pt>
                <c:pt idx="52">
                  <c:v>0.59259259259259256</c:v>
                </c:pt>
                <c:pt idx="53">
                  <c:v>0.5855855855855856</c:v>
                </c:pt>
                <c:pt idx="54">
                  <c:v>0.58407079646017701</c:v>
                </c:pt>
                <c:pt idx="55">
                  <c:v>0.58771929824561409</c:v>
                </c:pt>
                <c:pt idx="56">
                  <c:v>0.5714285714285714</c:v>
                </c:pt>
                <c:pt idx="57">
                  <c:v>0.57499999999999996</c:v>
                </c:pt>
                <c:pt idx="58">
                  <c:v>0.57851239669421484</c:v>
                </c:pt>
                <c:pt idx="59">
                  <c:v>0.58536585365853655</c:v>
                </c:pt>
                <c:pt idx="60">
                  <c:v>0.57936507936507942</c:v>
                </c:pt>
                <c:pt idx="61">
                  <c:v>0.5736434108527132</c:v>
                </c:pt>
                <c:pt idx="62">
                  <c:v>0.58015267175572516</c:v>
                </c:pt>
                <c:pt idx="63">
                  <c:v>0.58333333333333337</c:v>
                </c:pt>
                <c:pt idx="64">
                  <c:v>0.5864661654135338</c:v>
                </c:pt>
                <c:pt idx="65">
                  <c:v>0.58208955223880599</c:v>
                </c:pt>
                <c:pt idx="66">
                  <c:v>0.58518518518518514</c:v>
                </c:pt>
                <c:pt idx="67">
                  <c:v>0.58273381294964033</c:v>
                </c:pt>
                <c:pt idx="68">
                  <c:v>0.57857142857142863</c:v>
                </c:pt>
                <c:pt idx="69">
                  <c:v>0.57446808510638303</c:v>
                </c:pt>
                <c:pt idx="70">
                  <c:v>0.57342657342657344</c:v>
                </c:pt>
                <c:pt idx="71">
                  <c:v>0.57342657342657344</c:v>
                </c:pt>
                <c:pt idx="72">
                  <c:v>0.57241379310344831</c:v>
                </c:pt>
                <c:pt idx="73">
                  <c:v>0.57534246575342463</c:v>
                </c:pt>
                <c:pt idx="74">
                  <c:v>0.57718120805369133</c:v>
                </c:pt>
                <c:pt idx="75">
                  <c:v>0.5714285714285714</c:v>
                </c:pt>
                <c:pt idx="76">
                  <c:v>0.5741935483870968</c:v>
                </c:pt>
                <c:pt idx="77">
                  <c:v>0.57051282051282048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648621041879469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まっつん2!$A$3:$A$80</c:f>
              <c:numCache>
                <c:formatCode>0\ "回"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まっつん2!$P$3:$P$80</c:f>
              <c:numCache>
                <c:formatCode>0.0%</c:formatCode>
                <c:ptCount val="78"/>
                <c:pt idx="1">
                  <c:v>1</c:v>
                </c:pt>
                <c:pt idx="2">
                  <c:v>0.75</c:v>
                </c:pt>
                <c:pt idx="3">
                  <c:v>0.8</c:v>
                </c:pt>
                <c:pt idx="4">
                  <c:v>0.5714285714285714</c:v>
                </c:pt>
                <c:pt idx="5">
                  <c:v>0.625</c:v>
                </c:pt>
                <c:pt idx="6">
                  <c:v>0.6</c:v>
                </c:pt>
                <c:pt idx="7">
                  <c:v>0.6</c:v>
                </c:pt>
                <c:pt idx="8">
                  <c:v>0.53846153846153844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0.45</c:v>
                </c:pt>
                <c:pt idx="12">
                  <c:v>0.46153846153846156</c:v>
                </c:pt>
                <c:pt idx="13">
                  <c:v>0.4642857142857143</c:v>
                </c:pt>
                <c:pt idx="14">
                  <c:v>0.5161290322580645</c:v>
                </c:pt>
                <c:pt idx="15">
                  <c:v>0.52941176470588236</c:v>
                </c:pt>
                <c:pt idx="16">
                  <c:v>0.54285714285714282</c:v>
                </c:pt>
                <c:pt idx="17">
                  <c:v>0.54054054054054057</c:v>
                </c:pt>
                <c:pt idx="18">
                  <c:v>0.52380952380952384</c:v>
                </c:pt>
                <c:pt idx="19">
                  <c:v>0.5</c:v>
                </c:pt>
                <c:pt idx="20">
                  <c:v>0.48936170212765956</c:v>
                </c:pt>
                <c:pt idx="21">
                  <c:v>0.46938775510204084</c:v>
                </c:pt>
                <c:pt idx="22">
                  <c:v>0.47058823529411764</c:v>
                </c:pt>
                <c:pt idx="23">
                  <c:v>0.47169811320754718</c:v>
                </c:pt>
                <c:pt idx="24">
                  <c:v>0.4642857142857143</c:v>
                </c:pt>
                <c:pt idx="25">
                  <c:v>0.44827586206896552</c:v>
                </c:pt>
                <c:pt idx="26">
                  <c:v>0.44067796610169491</c:v>
                </c:pt>
                <c:pt idx="27">
                  <c:v>0.43333333333333335</c:v>
                </c:pt>
                <c:pt idx="28">
                  <c:v>0.42622950819672129</c:v>
                </c:pt>
                <c:pt idx="29">
                  <c:v>0.41269841269841268</c:v>
                </c:pt>
                <c:pt idx="30">
                  <c:v>0.40625</c:v>
                </c:pt>
                <c:pt idx="31">
                  <c:v>0.4</c:v>
                </c:pt>
                <c:pt idx="32">
                  <c:v>0.40540540540540543</c:v>
                </c:pt>
                <c:pt idx="33">
                  <c:v>0.38961038961038963</c:v>
                </c:pt>
                <c:pt idx="34">
                  <c:v>0.39506172839506171</c:v>
                </c:pt>
                <c:pt idx="35">
                  <c:v>0.40476190476190477</c:v>
                </c:pt>
                <c:pt idx="36">
                  <c:v>0.40476190476190477</c:v>
                </c:pt>
                <c:pt idx="37">
                  <c:v>0.39534883720930231</c:v>
                </c:pt>
                <c:pt idx="38">
                  <c:v>0.39080459770114945</c:v>
                </c:pt>
                <c:pt idx="39">
                  <c:v>0.38636363636363635</c:v>
                </c:pt>
                <c:pt idx="40">
                  <c:v>0.38202247191011235</c:v>
                </c:pt>
                <c:pt idx="41">
                  <c:v>0.3888888888888889</c:v>
                </c:pt>
                <c:pt idx="42">
                  <c:v>0.39130434782608697</c:v>
                </c:pt>
                <c:pt idx="43">
                  <c:v>0.39130434782608697</c:v>
                </c:pt>
                <c:pt idx="44">
                  <c:v>0.39130434782608697</c:v>
                </c:pt>
                <c:pt idx="45">
                  <c:v>0.39361702127659576</c:v>
                </c:pt>
                <c:pt idx="46">
                  <c:v>0.38541666666666669</c:v>
                </c:pt>
                <c:pt idx="47">
                  <c:v>0.39393939393939392</c:v>
                </c:pt>
                <c:pt idx="48">
                  <c:v>0.4</c:v>
                </c:pt>
                <c:pt idx="49">
                  <c:v>0.39215686274509803</c:v>
                </c:pt>
                <c:pt idx="50">
                  <c:v>0.39215686274509803</c:v>
                </c:pt>
                <c:pt idx="51">
                  <c:v>0.38095238095238093</c:v>
                </c:pt>
                <c:pt idx="52">
                  <c:v>0.38317757009345793</c:v>
                </c:pt>
                <c:pt idx="53">
                  <c:v>0.3888888888888889</c:v>
                </c:pt>
                <c:pt idx="54">
                  <c:v>0.3888888888888889</c:v>
                </c:pt>
                <c:pt idx="55">
                  <c:v>0.4</c:v>
                </c:pt>
                <c:pt idx="56">
                  <c:v>0.39285714285714285</c:v>
                </c:pt>
                <c:pt idx="57">
                  <c:v>0.40869565217391307</c:v>
                </c:pt>
                <c:pt idx="58">
                  <c:v>0.4152542372881356</c:v>
                </c:pt>
                <c:pt idx="59">
                  <c:v>0.42499999999999999</c:v>
                </c:pt>
                <c:pt idx="60">
                  <c:v>0.41935483870967744</c:v>
                </c:pt>
                <c:pt idx="61">
                  <c:v>0.41732283464566927</c:v>
                </c:pt>
                <c:pt idx="62">
                  <c:v>0.41085271317829458</c:v>
                </c:pt>
                <c:pt idx="63">
                  <c:v>0.41538461538461541</c:v>
                </c:pt>
                <c:pt idx="64">
                  <c:v>0.40909090909090912</c:v>
                </c:pt>
                <c:pt idx="65">
                  <c:v>0.41044776119402987</c:v>
                </c:pt>
                <c:pt idx="66">
                  <c:v>0.40740740740740738</c:v>
                </c:pt>
                <c:pt idx="67">
                  <c:v>0.40579710144927539</c:v>
                </c:pt>
                <c:pt idx="68">
                  <c:v>0.4</c:v>
                </c:pt>
                <c:pt idx="69">
                  <c:v>0.40425531914893614</c:v>
                </c:pt>
                <c:pt idx="70">
                  <c:v>0.40845070422535212</c:v>
                </c:pt>
                <c:pt idx="71">
                  <c:v>0.40845070422535212</c:v>
                </c:pt>
                <c:pt idx="72">
                  <c:v>0.40845070422535212</c:v>
                </c:pt>
                <c:pt idx="73">
                  <c:v>0.40277777777777779</c:v>
                </c:pt>
                <c:pt idx="74">
                  <c:v>0.40277777777777779</c:v>
                </c:pt>
                <c:pt idx="75">
                  <c:v>0.4</c:v>
                </c:pt>
                <c:pt idx="76">
                  <c:v>0.4041095890410959</c:v>
                </c:pt>
                <c:pt idx="77">
                  <c:v>0.40136054421768708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7079646017699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まっつん2!$A$3:$A$80</c:f>
              <c:numCache>
                <c:formatCode>0\ "回"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まっつん2!$Q$3:$Q$80</c:f>
              <c:numCache>
                <c:formatCode>0.0%</c:formatCode>
                <c:ptCount val="78"/>
                <c:pt idx="1">
                  <c:v>0.25</c:v>
                </c:pt>
                <c:pt idx="2">
                  <c:v>0.25</c:v>
                </c:pt>
                <c:pt idx="3">
                  <c:v>0.375</c:v>
                </c:pt>
                <c:pt idx="4">
                  <c:v>0.375</c:v>
                </c:pt>
                <c:pt idx="5">
                  <c:v>0.41666666666666669</c:v>
                </c:pt>
                <c:pt idx="6">
                  <c:v>0.375</c:v>
                </c:pt>
                <c:pt idx="7">
                  <c:v>0.375</c:v>
                </c:pt>
                <c:pt idx="8">
                  <c:v>0.33333333333333331</c:v>
                </c:pt>
                <c:pt idx="9">
                  <c:v>0.36842105263157893</c:v>
                </c:pt>
                <c:pt idx="10">
                  <c:v>0.36842105263157893</c:v>
                </c:pt>
                <c:pt idx="11">
                  <c:v>0.43478260869565216</c:v>
                </c:pt>
                <c:pt idx="12">
                  <c:v>0.38461538461538464</c:v>
                </c:pt>
                <c:pt idx="13">
                  <c:v>0.35483870967741937</c:v>
                </c:pt>
                <c:pt idx="14">
                  <c:v>0.3888888888888889</c:v>
                </c:pt>
                <c:pt idx="15">
                  <c:v>0.36842105263157893</c:v>
                </c:pt>
                <c:pt idx="16">
                  <c:v>0.35897435897435898</c:v>
                </c:pt>
                <c:pt idx="17">
                  <c:v>0.35714285714285715</c:v>
                </c:pt>
                <c:pt idx="18">
                  <c:v>0.36956521739130432</c:v>
                </c:pt>
                <c:pt idx="19">
                  <c:v>0.38775510204081631</c:v>
                </c:pt>
                <c:pt idx="20">
                  <c:v>0.38</c:v>
                </c:pt>
                <c:pt idx="21">
                  <c:v>0.38</c:v>
                </c:pt>
                <c:pt idx="22">
                  <c:v>0.39622641509433965</c:v>
                </c:pt>
                <c:pt idx="23">
                  <c:v>0.38181818181818183</c:v>
                </c:pt>
                <c:pt idx="24">
                  <c:v>0.375</c:v>
                </c:pt>
                <c:pt idx="25">
                  <c:v>0.37931034482758619</c:v>
                </c:pt>
                <c:pt idx="26">
                  <c:v>0.4</c:v>
                </c:pt>
                <c:pt idx="27">
                  <c:v>0.39344262295081966</c:v>
                </c:pt>
                <c:pt idx="28">
                  <c:v>0.421875</c:v>
                </c:pt>
                <c:pt idx="29">
                  <c:v>0.421875</c:v>
                </c:pt>
                <c:pt idx="30">
                  <c:v>0.41538461538461541</c:v>
                </c:pt>
                <c:pt idx="31">
                  <c:v>0.40579710144927539</c:v>
                </c:pt>
                <c:pt idx="32">
                  <c:v>0.40277777777777779</c:v>
                </c:pt>
                <c:pt idx="33">
                  <c:v>0.40277777777777779</c:v>
                </c:pt>
                <c:pt idx="34">
                  <c:v>0.40540540540540543</c:v>
                </c:pt>
                <c:pt idx="35">
                  <c:v>0.41558441558441561</c:v>
                </c:pt>
                <c:pt idx="36">
                  <c:v>0.42499999999999999</c:v>
                </c:pt>
                <c:pt idx="37">
                  <c:v>0.4</c:v>
                </c:pt>
                <c:pt idx="38">
                  <c:v>0.40229885057471265</c:v>
                </c:pt>
                <c:pt idx="39">
                  <c:v>0.39772727272727271</c:v>
                </c:pt>
                <c:pt idx="40">
                  <c:v>0.3888888888888889</c:v>
                </c:pt>
                <c:pt idx="41">
                  <c:v>0.39784946236559138</c:v>
                </c:pt>
                <c:pt idx="42">
                  <c:v>0.40206185567010311</c:v>
                </c:pt>
                <c:pt idx="43">
                  <c:v>0.41414141414141414</c:v>
                </c:pt>
                <c:pt idx="44">
                  <c:v>0.42156862745098039</c:v>
                </c:pt>
                <c:pt idx="45">
                  <c:v>0.41346153846153844</c:v>
                </c:pt>
                <c:pt idx="46">
                  <c:v>0.41904761904761906</c:v>
                </c:pt>
                <c:pt idx="47">
                  <c:v>0.42201834862385323</c:v>
                </c:pt>
                <c:pt idx="48">
                  <c:v>0.41964285714285715</c:v>
                </c:pt>
                <c:pt idx="49">
                  <c:v>0.42982456140350878</c:v>
                </c:pt>
                <c:pt idx="50">
                  <c:v>0.43478260869565216</c:v>
                </c:pt>
                <c:pt idx="51">
                  <c:v>0.43965517241379309</c:v>
                </c:pt>
                <c:pt idx="52">
                  <c:v>0.43697478991596639</c:v>
                </c:pt>
                <c:pt idx="53">
                  <c:v>0.4344262295081967</c:v>
                </c:pt>
                <c:pt idx="54">
                  <c:v>0.43089430894308944</c:v>
                </c:pt>
                <c:pt idx="55">
                  <c:v>0.42063492063492064</c:v>
                </c:pt>
                <c:pt idx="56">
                  <c:v>0.421875</c:v>
                </c:pt>
                <c:pt idx="57">
                  <c:v>0.41666666666666669</c:v>
                </c:pt>
                <c:pt idx="58">
                  <c:v>0.42222222222222222</c:v>
                </c:pt>
                <c:pt idx="59">
                  <c:v>0.44285714285714284</c:v>
                </c:pt>
                <c:pt idx="60">
                  <c:v>0.44055944055944057</c:v>
                </c:pt>
                <c:pt idx="61">
                  <c:v>0.43448275862068964</c:v>
                </c:pt>
                <c:pt idx="62">
                  <c:v>0.44217687074829931</c:v>
                </c:pt>
                <c:pt idx="63">
                  <c:v>0.44295302013422821</c:v>
                </c:pt>
                <c:pt idx="64">
                  <c:v>0.44370860927152317</c:v>
                </c:pt>
                <c:pt idx="65">
                  <c:v>0.44078947368421051</c:v>
                </c:pt>
                <c:pt idx="66">
                  <c:v>0.44444444444444442</c:v>
                </c:pt>
                <c:pt idx="67">
                  <c:v>0.44871794871794873</c:v>
                </c:pt>
                <c:pt idx="68">
                  <c:v>0.45222929936305734</c:v>
                </c:pt>
                <c:pt idx="69">
                  <c:v>0.44936708860759494</c:v>
                </c:pt>
                <c:pt idx="70">
                  <c:v>0.45624999999999999</c:v>
                </c:pt>
                <c:pt idx="71">
                  <c:v>0.453416149068323</c:v>
                </c:pt>
                <c:pt idx="72">
                  <c:v>0.46012269938650308</c:v>
                </c:pt>
                <c:pt idx="73">
                  <c:v>0.46341463414634149</c:v>
                </c:pt>
                <c:pt idx="74">
                  <c:v>0.44970414201183434</c:v>
                </c:pt>
                <c:pt idx="75">
                  <c:v>0.45029239766081869</c:v>
                </c:pt>
                <c:pt idx="76">
                  <c:v>0.45086705202312138</c:v>
                </c:pt>
                <c:pt idx="77">
                  <c:v>0.45086705202312138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7663469921534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46"/>
      <c r="C1" s="147"/>
      <c r="E1" s="125" t="s">
        <v>165</v>
      </c>
      <c r="F1" s="12" t="s">
        <v>115</v>
      </c>
      <c r="G1" s="24" t="s">
        <v>116</v>
      </c>
      <c r="H1" s="126" t="s">
        <v>117</v>
      </c>
      <c r="I1" s="96" t="s">
        <v>152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157</v>
      </c>
    </row>
    <row r="2" spans="1:17" x14ac:dyDescent="0.4">
      <c r="A2" s="19" t="s">
        <v>9</v>
      </c>
      <c r="B2" s="148">
        <v>0</v>
      </c>
      <c r="C2" s="149"/>
      <c r="E2" s="58" t="s">
        <v>64</v>
      </c>
      <c r="F2" s="25" t="s">
        <v>20</v>
      </c>
      <c r="G2" s="13">
        <v>0</v>
      </c>
      <c r="H2" s="128">
        <f>IF(B$17=0,0,G2/B$17)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0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0">
        <v>0</v>
      </c>
      <c r="C3" s="151"/>
      <c r="E3" s="59" t="s">
        <v>65</v>
      </c>
      <c r="F3" s="26" t="s">
        <v>21</v>
      </c>
      <c r="G3" s="14">
        <v>0</v>
      </c>
      <c r="H3" s="129">
        <f t="shared" ref="H3:H50" si="1">IF(B$17=0,0,G3/B$17)</f>
        <v>0</v>
      </c>
      <c r="I3" s="90"/>
      <c r="N3" s="111" t="s">
        <v>131</v>
      </c>
      <c r="O3" s="118">
        <f t="shared" si="0"/>
        <v>0</v>
      </c>
      <c r="P3" s="115">
        <v>0</v>
      </c>
      <c r="Q3" s="99">
        <v>0</v>
      </c>
    </row>
    <row r="4" spans="1:17" x14ac:dyDescent="0.4">
      <c r="A4" s="20" t="s">
        <v>6</v>
      </c>
      <c r="B4" s="152">
        <v>0</v>
      </c>
      <c r="C4" s="153"/>
      <c r="E4" s="59" t="s">
        <v>66</v>
      </c>
      <c r="F4" s="26" t="s">
        <v>22</v>
      </c>
      <c r="G4" s="14">
        <v>0</v>
      </c>
      <c r="H4" s="129">
        <f t="shared" si="1"/>
        <v>0</v>
      </c>
      <c r="I4" s="90"/>
      <c r="N4" s="111" t="s">
        <v>132</v>
      </c>
      <c r="O4" s="118">
        <f t="shared" si="0"/>
        <v>0</v>
      </c>
      <c r="P4" s="115">
        <v>0</v>
      </c>
      <c r="Q4" s="99">
        <v>0</v>
      </c>
    </row>
    <row r="5" spans="1:17" x14ac:dyDescent="0.4">
      <c r="A5" s="20" t="s">
        <v>7</v>
      </c>
      <c r="B5" s="154">
        <f>IF(B$2=0,0,B$4/B$2)</f>
        <v>0</v>
      </c>
      <c r="C5" s="155"/>
      <c r="E5" s="59" t="s">
        <v>67</v>
      </c>
      <c r="F5" s="26" t="s">
        <v>23</v>
      </c>
      <c r="G5" s="14">
        <v>0</v>
      </c>
      <c r="H5" s="129">
        <f>IF(B$17=0,0,G5/B$17)</f>
        <v>0</v>
      </c>
      <c r="I5" s="90"/>
      <c r="N5" s="111" t="s">
        <v>133</v>
      </c>
      <c r="O5" s="118">
        <f t="shared" si="0"/>
        <v>0</v>
      </c>
      <c r="P5" s="115">
        <v>0</v>
      </c>
      <c r="Q5" s="99">
        <v>0</v>
      </c>
    </row>
    <row r="6" spans="1:17" x14ac:dyDescent="0.4">
      <c r="A6" s="20" t="s">
        <v>1</v>
      </c>
      <c r="B6" s="144">
        <f>IF(B$2=0,0,(B$7*1+B$8*2+B$9*3)/B$2)</f>
        <v>0</v>
      </c>
      <c r="C6" s="145"/>
      <c r="E6" s="59" t="s">
        <v>68</v>
      </c>
      <c r="F6" s="26" t="s">
        <v>12</v>
      </c>
      <c r="G6" s="14">
        <v>0</v>
      </c>
      <c r="H6" s="129">
        <f t="shared" si="1"/>
        <v>0</v>
      </c>
      <c r="I6" s="90"/>
      <c r="N6" s="111" t="s">
        <v>134</v>
      </c>
      <c r="O6" s="118">
        <f t="shared" si="0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2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1"/>
        <v>0</v>
      </c>
      <c r="I7" s="90"/>
      <c r="N7" s="112" t="s">
        <v>135</v>
      </c>
      <c r="O7" s="119">
        <f t="shared" si="0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6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1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1"/>
        <v>0</v>
      </c>
      <c r="I9" s="90"/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21" t="s">
        <v>18</v>
      </c>
      <c r="B10" s="15">
        <v>0</v>
      </c>
      <c r="C10" s="7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1"/>
        <v>0</v>
      </c>
      <c r="I10" s="90"/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2"/>
        <v>0</v>
      </c>
      <c r="E11" s="59" t="s">
        <v>73</v>
      </c>
      <c r="F11" s="26" t="s">
        <v>28</v>
      </c>
      <c r="G11" s="14">
        <v>0</v>
      </c>
      <c r="H11" s="129">
        <f t="shared" si="1"/>
        <v>0</v>
      </c>
      <c r="I11" s="90"/>
      <c r="N11" s="111" t="s">
        <v>163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53" t="s">
        <v>158</v>
      </c>
      <c r="B12" s="46">
        <v>0</v>
      </c>
      <c r="C12" s="40">
        <f t="shared" si="2"/>
        <v>0</v>
      </c>
      <c r="E12" s="59" t="s">
        <v>74</v>
      </c>
      <c r="F12" s="26" t="s">
        <v>29</v>
      </c>
      <c r="G12" s="14">
        <v>0</v>
      </c>
      <c r="H12" s="129">
        <f t="shared" si="1"/>
        <v>0</v>
      </c>
      <c r="I12" s="90"/>
      <c r="N12" s="112" t="s">
        <v>164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23" t="s">
        <v>121</v>
      </c>
      <c r="B13" s="16">
        <v>0</v>
      </c>
      <c r="C13" s="11">
        <f>IF(B$3=0,0,B13/B$3)</f>
        <v>0</v>
      </c>
      <c r="E13" s="59" t="s">
        <v>75</v>
      </c>
      <c r="F13" s="26" t="s">
        <v>30</v>
      </c>
      <c r="G13" s="14">
        <v>0</v>
      </c>
      <c r="H13" s="129">
        <f t="shared" si="1"/>
        <v>0</v>
      </c>
      <c r="I13" s="90"/>
      <c r="N13" s="31"/>
      <c r="O13" s="106"/>
      <c r="P13" s="108"/>
      <c r="Q13" s="106"/>
    </row>
    <row r="14" spans="1:17" x14ac:dyDescent="0.4">
      <c r="A14" s="20" t="s">
        <v>118</v>
      </c>
      <c r="B14" s="14">
        <v>0</v>
      </c>
      <c r="C14" s="6">
        <f>IF(B$3=0,0,B14/B$3)</f>
        <v>0</v>
      </c>
      <c r="E14" s="59" t="s">
        <v>76</v>
      </c>
      <c r="F14" s="26" t="s">
        <v>31</v>
      </c>
      <c r="G14" s="14">
        <v>0</v>
      </c>
      <c r="H14" s="129">
        <f t="shared" si="1"/>
        <v>0</v>
      </c>
      <c r="I14" s="90"/>
      <c r="N14" s="109" t="s">
        <v>153</v>
      </c>
      <c r="O14" s="32" t="s">
        <v>154</v>
      </c>
      <c r="P14" s="113" t="s">
        <v>155</v>
      </c>
      <c r="Q14" s="101" t="s">
        <v>156</v>
      </c>
    </row>
    <row r="15" spans="1:17" x14ac:dyDescent="0.4">
      <c r="A15" s="19" t="s">
        <v>123</v>
      </c>
      <c r="B15" s="13">
        <v>0</v>
      </c>
      <c r="C15" s="4">
        <f>IF(B$13=0,0,B15/B$13)</f>
        <v>0</v>
      </c>
      <c r="E15" s="59" t="s">
        <v>77</v>
      </c>
      <c r="F15" s="26" t="s">
        <v>32</v>
      </c>
      <c r="G15" s="14">
        <v>0</v>
      </c>
      <c r="H15" s="129">
        <f t="shared" si="1"/>
        <v>0</v>
      </c>
      <c r="I15" s="90"/>
      <c r="N15" s="110"/>
      <c r="O15" s="120"/>
      <c r="P15" s="114"/>
      <c r="Q15" s="102"/>
    </row>
    <row r="16" spans="1:17" x14ac:dyDescent="0.4">
      <c r="A16" s="19" t="s">
        <v>124</v>
      </c>
      <c r="B16" s="13">
        <v>0</v>
      </c>
      <c r="C16" s="4">
        <f>IF(B$14=0,0,B16/B$14)</f>
        <v>0</v>
      </c>
      <c r="E16" s="59" t="s">
        <v>78</v>
      </c>
      <c r="F16" s="26" t="s">
        <v>33</v>
      </c>
      <c r="G16" s="14">
        <v>0</v>
      </c>
      <c r="H16" s="129">
        <f t="shared" si="1"/>
        <v>0</v>
      </c>
      <c r="I16" s="90"/>
    </row>
    <row r="17" spans="1:9" x14ac:dyDescent="0.4">
      <c r="A17" s="19" t="s">
        <v>10</v>
      </c>
      <c r="B17" s="13">
        <f>B19+B18</f>
        <v>0</v>
      </c>
      <c r="C17" s="4">
        <f>IF(B$3=0,0,B17/B$3)</f>
        <v>0</v>
      </c>
      <c r="E17" s="59" t="s">
        <v>79</v>
      </c>
      <c r="F17" s="26" t="s">
        <v>34</v>
      </c>
      <c r="G17" s="14">
        <v>0</v>
      </c>
      <c r="H17" s="129">
        <f t="shared" si="1"/>
        <v>0</v>
      </c>
      <c r="I17" s="90"/>
    </row>
    <row r="18" spans="1:9" x14ac:dyDescent="0.4">
      <c r="A18" s="20" t="s">
        <v>12</v>
      </c>
      <c r="B18" s="14">
        <v>0</v>
      </c>
      <c r="C18" s="6">
        <f>IF(B$17=0,0,B18/B$17)</f>
        <v>0</v>
      </c>
      <c r="E18" s="59" t="s">
        <v>80</v>
      </c>
      <c r="F18" s="26" t="s">
        <v>35</v>
      </c>
      <c r="G18" s="14">
        <v>0</v>
      </c>
      <c r="H18" s="129">
        <f t="shared" si="1"/>
        <v>0</v>
      </c>
      <c r="I18" s="90"/>
    </row>
    <row r="19" spans="1:9" x14ac:dyDescent="0.4">
      <c r="A19" s="20" t="s">
        <v>11</v>
      </c>
      <c r="B19" s="14">
        <v>0</v>
      </c>
      <c r="C19" s="6">
        <f>IF(B$17=0,0,B19/B$17)</f>
        <v>0</v>
      </c>
      <c r="E19" s="59" t="s">
        <v>81</v>
      </c>
      <c r="F19" s="26" t="s">
        <v>36</v>
      </c>
      <c r="G19" s="14">
        <v>0</v>
      </c>
      <c r="H19" s="129">
        <f t="shared" si="1"/>
        <v>0</v>
      </c>
      <c r="I19" s="90"/>
    </row>
    <row r="20" spans="1:9" x14ac:dyDescent="0.4">
      <c r="A20" s="51" t="s">
        <v>13</v>
      </c>
      <c r="B20" s="44">
        <v>0</v>
      </c>
      <c r="C20" s="37">
        <f>IF(B$3=0,0,B20/B$3)</f>
        <v>0</v>
      </c>
      <c r="E20" s="59" t="s">
        <v>82</v>
      </c>
      <c r="F20" s="26" t="s">
        <v>37</v>
      </c>
      <c r="G20" s="14">
        <v>0</v>
      </c>
      <c r="H20" s="129">
        <f t="shared" si="1"/>
        <v>0</v>
      </c>
      <c r="I20" s="90"/>
    </row>
    <row r="21" spans="1:9" x14ac:dyDescent="0.4">
      <c r="A21" s="51" t="s">
        <v>169</v>
      </c>
      <c r="B21" s="44">
        <v>0</v>
      </c>
      <c r="C21" s="131">
        <v>0</v>
      </c>
      <c r="E21" s="59" t="s">
        <v>83</v>
      </c>
      <c r="F21" s="26" t="s">
        <v>38</v>
      </c>
      <c r="G21" s="14">
        <v>0</v>
      </c>
      <c r="H21" s="129">
        <f t="shared" si="1"/>
        <v>0</v>
      </c>
      <c r="I21" s="90"/>
    </row>
    <row r="22" spans="1:9" x14ac:dyDescent="0.4">
      <c r="A22" s="20" t="s">
        <v>170</v>
      </c>
      <c r="B22" s="14">
        <v>0</v>
      </c>
      <c r="C22" s="131">
        <v>0</v>
      </c>
      <c r="E22" s="59" t="s">
        <v>84</v>
      </c>
      <c r="F22" s="26" t="s">
        <v>39</v>
      </c>
      <c r="G22" s="14">
        <v>0</v>
      </c>
      <c r="H22" s="129">
        <f t="shared" si="1"/>
        <v>0</v>
      </c>
      <c r="I22" s="90"/>
    </row>
    <row r="23" spans="1:9" x14ac:dyDescent="0.4">
      <c r="A23" s="20" t="s">
        <v>5</v>
      </c>
      <c r="B23" s="17">
        <f>IF(B$17=0,0,C23/B$17)</f>
        <v>0</v>
      </c>
      <c r="C23" s="8">
        <v>0</v>
      </c>
      <c r="E23" s="59" t="s">
        <v>85</v>
      </c>
      <c r="F23" s="26" t="s">
        <v>40</v>
      </c>
      <c r="G23" s="14">
        <v>0</v>
      </c>
      <c r="H23" s="129">
        <f t="shared" si="1"/>
        <v>0</v>
      </c>
      <c r="I23" s="90"/>
    </row>
    <row r="24" spans="1:9" x14ac:dyDescent="0.4">
      <c r="A24" s="52" t="s">
        <v>216</v>
      </c>
      <c r="B24" s="136">
        <f>IF($B$17-B$16=0,0,C24/($B$17-B$16))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1"/>
        <v>0</v>
      </c>
      <c r="I24" s="90"/>
    </row>
    <row r="25" spans="1:9" x14ac:dyDescent="0.4">
      <c r="A25" s="52" t="s">
        <v>217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1"/>
        <v>0</v>
      </c>
      <c r="I25" s="90"/>
    </row>
    <row r="26" spans="1:9" x14ac:dyDescent="0.4">
      <c r="A26" s="52" t="s">
        <v>215</v>
      </c>
      <c r="B26" s="136">
        <f>IF(B$20=0,0,C26/B$20)</f>
        <v>0</v>
      </c>
      <c r="C26" s="137">
        <v>0</v>
      </c>
      <c r="E26" s="59" t="s">
        <v>88</v>
      </c>
      <c r="F26" s="26" t="s">
        <v>43</v>
      </c>
      <c r="G26" s="14">
        <v>0</v>
      </c>
      <c r="H26" s="129">
        <f t="shared" si="1"/>
        <v>0</v>
      </c>
      <c r="I26" s="90"/>
    </row>
    <row r="27" spans="1:9" x14ac:dyDescent="0.4">
      <c r="A27" s="86" t="s">
        <v>140</v>
      </c>
      <c r="B27" s="142">
        <v>0</v>
      </c>
      <c r="C27" s="143"/>
      <c r="E27" s="59" t="s">
        <v>89</v>
      </c>
      <c r="F27" s="26" t="s">
        <v>44</v>
      </c>
      <c r="G27" s="14">
        <v>0</v>
      </c>
      <c r="H27" s="129">
        <f t="shared" si="1"/>
        <v>0</v>
      </c>
      <c r="I27" s="90"/>
    </row>
    <row r="28" spans="1:9" x14ac:dyDescent="0.4">
      <c r="A28" s="54" t="s">
        <v>150</v>
      </c>
      <c r="B28" s="140">
        <v>-1000000</v>
      </c>
      <c r="C28" s="141"/>
      <c r="E28" s="59" t="s">
        <v>90</v>
      </c>
      <c r="F28" s="26" t="s">
        <v>45</v>
      </c>
      <c r="G28" s="14">
        <v>0</v>
      </c>
      <c r="H28" s="129">
        <f t="shared" si="1"/>
        <v>0</v>
      </c>
      <c r="I28" s="90"/>
    </row>
    <row r="29" spans="1:9" x14ac:dyDescent="0.4">
      <c r="A29" s="22" t="s">
        <v>141</v>
      </c>
      <c r="B29" s="30">
        <v>0</v>
      </c>
      <c r="C29" s="9">
        <f>IF(B$3=0,0,B29/B$3)</f>
        <v>0</v>
      </c>
      <c r="E29" s="59" t="s">
        <v>91</v>
      </c>
      <c r="F29" s="26" t="s">
        <v>46</v>
      </c>
      <c r="G29" s="14">
        <v>0</v>
      </c>
      <c r="H29" s="129">
        <f t="shared" si="1"/>
        <v>0</v>
      </c>
      <c r="I29" s="90"/>
    </row>
    <row r="30" spans="1:9" x14ac:dyDescent="0.4">
      <c r="E30" s="59" t="s">
        <v>92</v>
      </c>
      <c r="F30" s="26" t="s">
        <v>47</v>
      </c>
      <c r="G30" s="14">
        <v>0</v>
      </c>
      <c r="H30" s="129">
        <f t="shared" si="1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1"/>
        <v>0</v>
      </c>
      <c r="I31" s="90"/>
    </row>
    <row r="32" spans="1:9" x14ac:dyDescent="0.4">
      <c r="E32" s="59" t="s">
        <v>94</v>
      </c>
      <c r="F32" s="26" t="s">
        <v>49</v>
      </c>
      <c r="G32" s="14">
        <v>0</v>
      </c>
      <c r="H32" s="129">
        <f t="shared" si="1"/>
        <v>0</v>
      </c>
      <c r="I32" s="90"/>
    </row>
    <row r="33" spans="5:9" x14ac:dyDescent="0.4">
      <c r="E33" s="59" t="s">
        <v>95</v>
      </c>
      <c r="F33" s="26" t="s">
        <v>50</v>
      </c>
      <c r="G33" s="14">
        <v>0</v>
      </c>
      <c r="H33" s="129">
        <f t="shared" si="1"/>
        <v>0</v>
      </c>
      <c r="I33" s="90"/>
    </row>
    <row r="34" spans="5:9" x14ac:dyDescent="0.4">
      <c r="E34" s="59" t="s">
        <v>96</v>
      </c>
      <c r="F34" s="26" t="s">
        <v>51</v>
      </c>
      <c r="G34" s="14">
        <v>0</v>
      </c>
      <c r="H34" s="129">
        <f t="shared" si="1"/>
        <v>0</v>
      </c>
      <c r="I34" s="90"/>
    </row>
    <row r="35" spans="5:9" x14ac:dyDescent="0.4">
      <c r="E35" s="59" t="s">
        <v>97</v>
      </c>
      <c r="F35" s="26" t="s">
        <v>52</v>
      </c>
      <c r="G35" s="14">
        <v>0</v>
      </c>
      <c r="H35" s="129">
        <f t="shared" si="1"/>
        <v>0</v>
      </c>
      <c r="I35" s="90"/>
    </row>
    <row r="36" spans="5:9" x14ac:dyDescent="0.4">
      <c r="E36" s="59" t="s">
        <v>98</v>
      </c>
      <c r="F36" s="26" t="s">
        <v>53</v>
      </c>
      <c r="G36" s="14">
        <v>0</v>
      </c>
      <c r="H36" s="129">
        <f t="shared" si="1"/>
        <v>0</v>
      </c>
      <c r="I36" s="90"/>
    </row>
    <row r="37" spans="5:9" x14ac:dyDescent="0.4">
      <c r="E37" s="59" t="s">
        <v>99</v>
      </c>
      <c r="F37" s="26" t="s">
        <v>54</v>
      </c>
      <c r="G37" s="14">
        <v>0</v>
      </c>
      <c r="H37" s="129">
        <f t="shared" si="1"/>
        <v>0</v>
      </c>
      <c r="I37" s="90"/>
    </row>
    <row r="38" spans="5:9" x14ac:dyDescent="0.4">
      <c r="E38" s="59" t="s">
        <v>100</v>
      </c>
      <c r="F38" s="26" t="s">
        <v>55</v>
      </c>
      <c r="G38" s="14">
        <v>0</v>
      </c>
      <c r="H38" s="129">
        <f t="shared" si="1"/>
        <v>0</v>
      </c>
      <c r="I38" s="90"/>
    </row>
    <row r="39" spans="5:9" x14ac:dyDescent="0.4">
      <c r="E39" s="59" t="s">
        <v>101</v>
      </c>
      <c r="F39" s="26" t="s">
        <v>56</v>
      </c>
      <c r="G39" s="14">
        <v>0</v>
      </c>
      <c r="H39" s="129">
        <f t="shared" si="1"/>
        <v>0</v>
      </c>
      <c r="I39" s="90"/>
    </row>
    <row r="40" spans="5:9" x14ac:dyDescent="0.4">
      <c r="E40" s="59" t="s">
        <v>102</v>
      </c>
      <c r="F40" s="26" t="s">
        <v>57</v>
      </c>
      <c r="G40" s="14">
        <v>0</v>
      </c>
      <c r="H40" s="129">
        <f t="shared" si="1"/>
        <v>0</v>
      </c>
      <c r="I40" s="90"/>
    </row>
    <row r="41" spans="5:9" x14ac:dyDescent="0.4">
      <c r="E41" s="59" t="s">
        <v>103</v>
      </c>
      <c r="F41" s="26" t="s">
        <v>58</v>
      </c>
      <c r="G41" s="14">
        <v>0</v>
      </c>
      <c r="H41" s="129">
        <f t="shared" si="1"/>
        <v>0</v>
      </c>
      <c r="I41" s="90"/>
    </row>
    <row r="42" spans="5:9" x14ac:dyDescent="0.4">
      <c r="E42" s="59" t="s">
        <v>104</v>
      </c>
      <c r="F42" s="26" t="s">
        <v>59</v>
      </c>
      <c r="G42" s="14">
        <v>0</v>
      </c>
      <c r="H42" s="129">
        <f t="shared" si="1"/>
        <v>0</v>
      </c>
      <c r="I42" s="90"/>
    </row>
    <row r="43" spans="5:9" x14ac:dyDescent="0.4">
      <c r="E43" s="59" t="s">
        <v>105</v>
      </c>
      <c r="F43" s="26" t="s">
        <v>112</v>
      </c>
      <c r="G43" s="14">
        <v>0</v>
      </c>
      <c r="H43" s="129">
        <f t="shared" si="1"/>
        <v>0</v>
      </c>
      <c r="I43" s="90"/>
    </row>
    <row r="44" spans="5:9" x14ac:dyDescent="0.4">
      <c r="E44" s="59" t="s">
        <v>106</v>
      </c>
      <c r="F44" s="26" t="s">
        <v>113</v>
      </c>
      <c r="G44" s="14">
        <v>0</v>
      </c>
      <c r="H44" s="129">
        <f t="shared" si="1"/>
        <v>0</v>
      </c>
      <c r="I44" s="90"/>
    </row>
    <row r="45" spans="5:9" x14ac:dyDescent="0.4">
      <c r="E45" s="59" t="s">
        <v>107</v>
      </c>
      <c r="F45" s="26" t="s">
        <v>114</v>
      </c>
      <c r="G45" s="14">
        <v>0</v>
      </c>
      <c r="H45" s="129">
        <f t="shared" si="1"/>
        <v>0</v>
      </c>
      <c r="I45" s="90"/>
    </row>
    <row r="46" spans="5:9" x14ac:dyDescent="0.4">
      <c r="E46" s="59" t="s">
        <v>108</v>
      </c>
      <c r="F46" s="26" t="s">
        <v>60</v>
      </c>
      <c r="G46" s="14">
        <v>0</v>
      </c>
      <c r="H46" s="129">
        <f t="shared" si="1"/>
        <v>0</v>
      </c>
      <c r="I46" s="90"/>
    </row>
    <row r="47" spans="5:9" x14ac:dyDescent="0.4">
      <c r="E47" s="59" t="s">
        <v>109</v>
      </c>
      <c r="F47" s="26" t="s">
        <v>61</v>
      </c>
      <c r="G47" s="14">
        <v>0</v>
      </c>
      <c r="H47" s="129">
        <f t="shared" si="1"/>
        <v>0</v>
      </c>
      <c r="I47" s="90"/>
    </row>
    <row r="48" spans="5:9" x14ac:dyDescent="0.4">
      <c r="E48" s="59" t="s">
        <v>110</v>
      </c>
      <c r="F48" s="26" t="s">
        <v>62</v>
      </c>
      <c r="G48" s="14">
        <v>0</v>
      </c>
      <c r="H48" s="129">
        <f t="shared" si="1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1"/>
        <v>0</v>
      </c>
      <c r="I49" s="90"/>
    </row>
    <row r="50" spans="5:9" x14ac:dyDescent="0.4">
      <c r="E50" s="59" t="s">
        <v>167</v>
      </c>
      <c r="F50" s="56" t="s">
        <v>168</v>
      </c>
      <c r="G50" s="44">
        <v>0</v>
      </c>
      <c r="H50" s="129">
        <f t="shared" si="1"/>
        <v>0</v>
      </c>
      <c r="I50" s="90"/>
    </row>
    <row r="51" spans="5:9" x14ac:dyDescent="0.4">
      <c r="E51" s="132" t="s">
        <v>171</v>
      </c>
      <c r="F51" s="133" t="s">
        <v>172</v>
      </c>
      <c r="G51" s="45">
        <v>0</v>
      </c>
      <c r="H51" s="134">
        <f>IF(B$17=0,0,G51/B$17)</f>
        <v>0</v>
      </c>
      <c r="I51" s="135"/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/>
    </row>
  </sheetData>
  <mergeCells count="8"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44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175</v>
      </c>
      <c r="B2" s="29">
        <v>43737.532500000001</v>
      </c>
      <c r="C2" s="28" t="s">
        <v>128</v>
      </c>
      <c r="D2" s="28" t="s">
        <v>129</v>
      </c>
    </row>
    <row r="3" spans="1:12" x14ac:dyDescent="0.4">
      <c r="A3" s="28" t="s">
        <v>176</v>
      </c>
      <c r="B3" s="29">
        <v>43737.532500000001</v>
      </c>
      <c r="C3" s="28" t="s">
        <v>128</v>
      </c>
    </row>
    <row r="4" spans="1:12" x14ac:dyDescent="0.4">
      <c r="A4" s="28" t="s">
        <v>180</v>
      </c>
      <c r="B4" s="29">
        <v>43737.532500000001</v>
      </c>
      <c r="C4" s="28" t="s">
        <v>128</v>
      </c>
    </row>
    <row r="5" spans="1:12" x14ac:dyDescent="0.4">
      <c r="A5" s="28" t="s">
        <v>183</v>
      </c>
      <c r="B5" s="29">
        <v>43737.532500000001</v>
      </c>
      <c r="C5" s="28" t="s">
        <v>128</v>
      </c>
      <c r="D5" s="28" t="s">
        <v>129</v>
      </c>
      <c r="E5" s="28" t="s">
        <v>184</v>
      </c>
      <c r="F5" s="28" t="s">
        <v>185</v>
      </c>
      <c r="G5" s="28" t="s">
        <v>186</v>
      </c>
      <c r="H5" s="28" t="s">
        <v>187</v>
      </c>
    </row>
    <row r="6" spans="1:12" x14ac:dyDescent="0.4">
      <c r="A6" s="28" t="s">
        <v>188</v>
      </c>
      <c r="B6" s="29">
        <v>43737.532500000001</v>
      </c>
      <c r="C6" s="28" t="s">
        <v>128</v>
      </c>
      <c r="D6" s="28" t="s">
        <v>129</v>
      </c>
      <c r="E6" s="28" t="s">
        <v>184</v>
      </c>
    </row>
    <row r="7" spans="1:12" x14ac:dyDescent="0.4">
      <c r="A7" s="28" t="s">
        <v>189</v>
      </c>
      <c r="B7" s="29">
        <v>43738.564340277779</v>
      </c>
      <c r="C7" s="28" t="s">
        <v>128</v>
      </c>
      <c r="D7" s="28" t="s">
        <v>129</v>
      </c>
      <c r="E7" s="28" t="s">
        <v>184</v>
      </c>
      <c r="F7" s="28" t="s">
        <v>185</v>
      </c>
      <c r="G7" s="28" t="s">
        <v>186</v>
      </c>
      <c r="H7" s="28" t="s">
        <v>187</v>
      </c>
      <c r="I7" s="28" t="s">
        <v>190</v>
      </c>
      <c r="J7" s="28" t="s">
        <v>191</v>
      </c>
      <c r="K7" s="28" t="s">
        <v>192</v>
      </c>
      <c r="L7" s="28" t="s">
        <v>193</v>
      </c>
    </row>
    <row r="8" spans="1:12" x14ac:dyDescent="0.4">
      <c r="A8" s="28" t="s">
        <v>197</v>
      </c>
      <c r="B8" s="29">
        <v>43740.96733796296</v>
      </c>
      <c r="C8" s="28" t="s">
        <v>128</v>
      </c>
    </row>
    <row r="9" spans="1:12" x14ac:dyDescent="0.4">
      <c r="A9" s="28" t="s">
        <v>194</v>
      </c>
      <c r="B9" s="29">
        <v>43739.43246527778</v>
      </c>
      <c r="C9" s="28" t="s">
        <v>129</v>
      </c>
      <c r="D9" s="28" t="s">
        <v>184</v>
      </c>
      <c r="E9" s="28" t="s">
        <v>128</v>
      </c>
    </row>
    <row r="10" spans="1:12" x14ac:dyDescent="0.4">
      <c r="A10" s="28" t="s">
        <v>196</v>
      </c>
      <c r="B10" s="29">
        <v>43742.036736111113</v>
      </c>
      <c r="C10" s="28" t="s">
        <v>128</v>
      </c>
      <c r="D10" s="28" t="s">
        <v>129</v>
      </c>
      <c r="E10" s="28" t="s">
        <v>184</v>
      </c>
      <c r="F10" s="28" t="s">
        <v>185</v>
      </c>
      <c r="G10" s="28" t="s">
        <v>186</v>
      </c>
      <c r="H10" s="28" t="s">
        <v>187</v>
      </c>
    </row>
    <row r="11" spans="1:12" x14ac:dyDescent="0.4">
      <c r="A11" s="28" t="s">
        <v>198</v>
      </c>
      <c r="B11" s="29">
        <v>43741.028969907406</v>
      </c>
      <c r="C11" s="28" t="s">
        <v>128</v>
      </c>
    </row>
    <row r="12" spans="1:12" x14ac:dyDescent="0.4">
      <c r="A12" s="28" t="s">
        <v>199</v>
      </c>
      <c r="B12" s="29">
        <v>43742.037129629629</v>
      </c>
      <c r="C12" s="28" t="s">
        <v>128</v>
      </c>
      <c r="D12" s="28" t="s">
        <v>129</v>
      </c>
      <c r="E12" s="28" t="s">
        <v>184</v>
      </c>
    </row>
    <row r="13" spans="1:12" x14ac:dyDescent="0.4">
      <c r="A13" s="28" t="s">
        <v>201</v>
      </c>
      <c r="B13" s="29">
        <v>43742.036944444444</v>
      </c>
      <c r="C13" s="28" t="s">
        <v>128</v>
      </c>
      <c r="D13" s="28" t="s">
        <v>129</v>
      </c>
    </row>
    <row r="14" spans="1:12" x14ac:dyDescent="0.4">
      <c r="A14" s="28" t="s">
        <v>200</v>
      </c>
      <c r="B14" s="29">
        <v>43745.536574074074</v>
      </c>
      <c r="C14" s="28" t="s">
        <v>128</v>
      </c>
      <c r="D14" s="28" t="s">
        <v>129</v>
      </c>
      <c r="E14" s="28" t="s">
        <v>184</v>
      </c>
      <c r="F14" s="28" t="s">
        <v>185</v>
      </c>
    </row>
    <row r="15" spans="1:12" x14ac:dyDescent="0.4">
      <c r="A15" s="28" t="s">
        <v>202</v>
      </c>
      <c r="B15" s="29">
        <v>43745.374525462961</v>
      </c>
      <c r="C15" s="28" t="s">
        <v>128</v>
      </c>
      <c r="D15" s="28" t="s">
        <v>129</v>
      </c>
    </row>
    <row r="16" spans="1:12" x14ac:dyDescent="0.4">
      <c r="A16" s="28" t="s">
        <v>203</v>
      </c>
      <c r="B16" s="29">
        <v>43745.536574074074</v>
      </c>
      <c r="C16" s="28" t="s">
        <v>128</v>
      </c>
      <c r="D16" s="28" t="s">
        <v>129</v>
      </c>
      <c r="E16" s="28" t="s">
        <v>184</v>
      </c>
      <c r="F16" s="28" t="s">
        <v>185</v>
      </c>
    </row>
    <row r="17" spans="1:12" x14ac:dyDescent="0.4">
      <c r="A17" s="28" t="s">
        <v>204</v>
      </c>
      <c r="B17" s="29">
        <v>43745.536574074074</v>
      </c>
      <c r="C17" s="28" t="s">
        <v>128</v>
      </c>
      <c r="D17" s="28" t="s">
        <v>129</v>
      </c>
    </row>
    <row r="18" spans="1:12" x14ac:dyDescent="0.4">
      <c r="A18" s="28" t="s">
        <v>205</v>
      </c>
      <c r="B18" s="29">
        <v>43745.374525462961</v>
      </c>
      <c r="C18" s="28" t="s">
        <v>128</v>
      </c>
    </row>
    <row r="19" spans="1:12" x14ac:dyDescent="0.4">
      <c r="A19" s="28" t="s">
        <v>206</v>
      </c>
      <c r="B19" s="29">
        <v>43750.963090277779</v>
      </c>
      <c r="C19" s="28" t="s">
        <v>128</v>
      </c>
    </row>
    <row r="20" spans="1:12" x14ac:dyDescent="0.4">
      <c r="A20" s="28" t="s">
        <v>207</v>
      </c>
      <c r="B20" s="29">
        <v>43750.963090277779</v>
      </c>
      <c r="C20" s="28" t="s">
        <v>128</v>
      </c>
      <c r="D20" s="28" t="s">
        <v>129</v>
      </c>
    </row>
    <row r="21" spans="1:12" x14ac:dyDescent="0.4">
      <c r="A21" s="28" t="s">
        <v>208</v>
      </c>
      <c r="B21" s="29">
        <v>43750.963090277779</v>
      </c>
      <c r="C21" s="28" t="s">
        <v>128</v>
      </c>
    </row>
    <row r="22" spans="1:12" x14ac:dyDescent="0.4">
      <c r="A22" s="28" t="s">
        <v>209</v>
      </c>
      <c r="B22" s="29">
        <v>43750.963090277779</v>
      </c>
      <c r="C22" s="28" t="s">
        <v>128</v>
      </c>
      <c r="D22" s="28" t="s">
        <v>129</v>
      </c>
      <c r="E22" s="28" t="s">
        <v>184</v>
      </c>
    </row>
    <row r="23" spans="1:12" x14ac:dyDescent="0.4">
      <c r="A23" s="28" t="s">
        <v>210</v>
      </c>
      <c r="B23" s="29">
        <v>43750.963090277779</v>
      </c>
      <c r="C23" s="28" t="s">
        <v>128</v>
      </c>
    </row>
    <row r="24" spans="1:12" x14ac:dyDescent="0.4">
      <c r="A24" s="28" t="s">
        <v>211</v>
      </c>
      <c r="B24" s="29">
        <v>43750.963993055557</v>
      </c>
      <c r="C24" s="28" t="s">
        <v>128</v>
      </c>
      <c r="D24" s="28" t="s">
        <v>129</v>
      </c>
      <c r="E24" s="28" t="s">
        <v>184</v>
      </c>
      <c r="F24" s="28" t="s">
        <v>185</v>
      </c>
      <c r="G24" s="28" t="s">
        <v>186</v>
      </c>
    </row>
    <row r="25" spans="1:12" x14ac:dyDescent="0.4">
      <c r="A25" s="28" t="s">
        <v>212</v>
      </c>
      <c r="B25" s="29">
        <v>43751.106828703705</v>
      </c>
      <c r="C25" s="28" t="s">
        <v>128</v>
      </c>
      <c r="D25" s="28" t="s">
        <v>129</v>
      </c>
      <c r="E25" s="28" t="s">
        <v>184</v>
      </c>
      <c r="F25" s="28" t="s">
        <v>185</v>
      </c>
      <c r="G25" s="28" t="s">
        <v>186</v>
      </c>
      <c r="H25" s="28" t="s">
        <v>187</v>
      </c>
      <c r="I25" s="28" t="s">
        <v>190</v>
      </c>
      <c r="J25" s="28" t="s">
        <v>191</v>
      </c>
      <c r="K25" s="28" t="s">
        <v>192</v>
      </c>
      <c r="L25" s="28" t="s">
        <v>193</v>
      </c>
    </row>
    <row r="26" spans="1:12" x14ac:dyDescent="0.4">
      <c r="A26" s="28" t="s">
        <v>213</v>
      </c>
      <c r="B26" s="29">
        <v>43752.102708333332</v>
      </c>
      <c r="C26" s="28" t="s">
        <v>128</v>
      </c>
      <c r="D26" s="28" t="s">
        <v>129</v>
      </c>
      <c r="E26" s="28" t="s">
        <v>184</v>
      </c>
      <c r="F26" s="28" t="s">
        <v>185</v>
      </c>
      <c r="G26" s="28" t="s">
        <v>186</v>
      </c>
      <c r="H26" s="28" t="s">
        <v>187</v>
      </c>
    </row>
    <row r="27" spans="1:12" x14ac:dyDescent="0.4">
      <c r="A27" s="28" t="s">
        <v>214</v>
      </c>
      <c r="B27" s="29">
        <v>43753.073148148149</v>
      </c>
      <c r="C27" s="28" t="s">
        <v>128</v>
      </c>
      <c r="D27" s="28" t="s">
        <v>129</v>
      </c>
      <c r="E27" s="28" t="s">
        <v>184</v>
      </c>
      <c r="F27" s="28" t="s">
        <v>185</v>
      </c>
      <c r="G27" s="28" t="s">
        <v>186</v>
      </c>
      <c r="H27" s="28" t="s">
        <v>187</v>
      </c>
      <c r="I27" s="28" t="s">
        <v>190</v>
      </c>
      <c r="J27" s="28" t="s">
        <v>191</v>
      </c>
      <c r="K27" s="28" t="s">
        <v>192</v>
      </c>
    </row>
    <row r="28" spans="1:12" x14ac:dyDescent="0.4">
      <c r="A28" s="28" t="s">
        <v>218</v>
      </c>
      <c r="B28" s="29">
        <v>43754.690115740741</v>
      </c>
      <c r="C28" s="28" t="s">
        <v>128</v>
      </c>
      <c r="D28" s="28" t="s">
        <v>129</v>
      </c>
      <c r="E28" s="28" t="s">
        <v>184</v>
      </c>
      <c r="F28" s="28" t="s">
        <v>185</v>
      </c>
      <c r="G28" s="28" t="s">
        <v>186</v>
      </c>
      <c r="H28" s="28" t="s">
        <v>190</v>
      </c>
      <c r="I28" s="28" t="s">
        <v>191</v>
      </c>
      <c r="J28" s="28" t="s">
        <v>192</v>
      </c>
      <c r="K28" s="28" t="s">
        <v>193</v>
      </c>
    </row>
    <row r="29" spans="1:12" x14ac:dyDescent="0.4">
      <c r="A29" s="28" t="s">
        <v>219</v>
      </c>
      <c r="B29" s="29">
        <v>43755.034178240741</v>
      </c>
      <c r="C29" s="28" t="s">
        <v>128</v>
      </c>
      <c r="D29" s="28" t="s">
        <v>129</v>
      </c>
      <c r="E29" s="28" t="s">
        <v>184</v>
      </c>
      <c r="F29" s="28" t="s">
        <v>185</v>
      </c>
      <c r="G29" s="28" t="s">
        <v>186</v>
      </c>
      <c r="H29" s="28" t="s">
        <v>187</v>
      </c>
    </row>
    <row r="30" spans="1:12" x14ac:dyDescent="0.4">
      <c r="A30" s="28" t="s">
        <v>220</v>
      </c>
      <c r="B30" s="29">
        <v>43756.099849537037</v>
      </c>
      <c r="C30" s="28" t="s">
        <v>128</v>
      </c>
      <c r="D30" s="28" t="s">
        <v>129</v>
      </c>
      <c r="E30" s="28" t="s">
        <v>184</v>
      </c>
      <c r="F30" s="28" t="s">
        <v>185</v>
      </c>
      <c r="G30" s="28" t="s">
        <v>186</v>
      </c>
      <c r="H30" s="28" t="s">
        <v>187</v>
      </c>
      <c r="I30" s="28" t="s">
        <v>190</v>
      </c>
    </row>
    <row r="31" spans="1:12" x14ac:dyDescent="0.4">
      <c r="A31" s="28" t="s">
        <v>221</v>
      </c>
      <c r="B31" s="29">
        <v>43757.072893518518</v>
      </c>
      <c r="C31" s="28" t="s">
        <v>128</v>
      </c>
      <c r="D31" s="28" t="s">
        <v>129</v>
      </c>
      <c r="E31" s="28" t="s">
        <v>184</v>
      </c>
    </row>
    <row r="32" spans="1:12" x14ac:dyDescent="0.4">
      <c r="A32" s="28" t="s">
        <v>223</v>
      </c>
      <c r="B32" s="29">
        <v>43758.041724537034</v>
      </c>
      <c r="C32" s="28" t="s">
        <v>128</v>
      </c>
      <c r="D32" s="28" t="s">
        <v>129</v>
      </c>
      <c r="E32" s="28" t="s">
        <v>184</v>
      </c>
    </row>
    <row r="33" spans="1:8" x14ac:dyDescent="0.4">
      <c r="A33" s="28" t="s">
        <v>224</v>
      </c>
      <c r="B33" s="29">
        <v>43758.856203703705</v>
      </c>
      <c r="C33" s="28" t="s">
        <v>128</v>
      </c>
      <c r="D33" s="28" t="s">
        <v>129</v>
      </c>
      <c r="E33" s="28" t="s">
        <v>184</v>
      </c>
    </row>
    <row r="34" spans="1:8" x14ac:dyDescent="0.4">
      <c r="A34" s="28" t="s">
        <v>225</v>
      </c>
      <c r="B34" s="29">
        <v>43760.041956018518</v>
      </c>
      <c r="C34" s="28" t="s">
        <v>128</v>
      </c>
      <c r="D34" s="28" t="s">
        <v>129</v>
      </c>
      <c r="E34" s="28" t="s">
        <v>184</v>
      </c>
    </row>
    <row r="35" spans="1:8" x14ac:dyDescent="0.4">
      <c r="A35" s="28" t="s">
        <v>226</v>
      </c>
      <c r="B35" s="29">
        <v>43761.976099537038</v>
      </c>
      <c r="C35" s="28" t="s">
        <v>128</v>
      </c>
      <c r="D35" s="28" t="s">
        <v>129</v>
      </c>
      <c r="E35" s="28" t="s">
        <v>184</v>
      </c>
    </row>
    <row r="36" spans="1:8" x14ac:dyDescent="0.4">
      <c r="A36" s="28" t="s">
        <v>227</v>
      </c>
      <c r="B36" s="29">
        <v>43763.022106481483</v>
      </c>
      <c r="C36" s="28" t="s">
        <v>128</v>
      </c>
      <c r="D36" s="28" t="s">
        <v>129</v>
      </c>
    </row>
    <row r="37" spans="1:8" x14ac:dyDescent="0.4">
      <c r="A37" s="28" t="s">
        <v>228</v>
      </c>
      <c r="B37" s="29">
        <v>43763.041087962964</v>
      </c>
      <c r="C37" s="28" t="s">
        <v>128</v>
      </c>
      <c r="D37" s="28" t="s">
        <v>129</v>
      </c>
      <c r="E37" s="28" t="s">
        <v>184</v>
      </c>
    </row>
    <row r="38" spans="1:8" x14ac:dyDescent="0.4">
      <c r="A38" s="28" t="s">
        <v>229</v>
      </c>
      <c r="B38" s="29">
        <v>43764.041712962964</v>
      </c>
      <c r="C38" s="28" t="s">
        <v>128</v>
      </c>
      <c r="D38" s="28" t="s">
        <v>129</v>
      </c>
      <c r="E38" s="28" t="s">
        <v>184</v>
      </c>
      <c r="F38" s="28" t="s">
        <v>185</v>
      </c>
    </row>
    <row r="39" spans="1:8" x14ac:dyDescent="0.4">
      <c r="A39" s="28" t="s">
        <v>230</v>
      </c>
      <c r="B39" s="29">
        <v>43765.540532407409</v>
      </c>
      <c r="C39" s="28" t="s">
        <v>128</v>
      </c>
      <c r="D39" s="28" t="s">
        <v>129</v>
      </c>
      <c r="E39" s="28" t="s">
        <v>184</v>
      </c>
    </row>
    <row r="40" spans="1:8" x14ac:dyDescent="0.4">
      <c r="A40" s="28" t="s">
        <v>231</v>
      </c>
      <c r="B40" s="29">
        <v>43765.654629629629</v>
      </c>
      <c r="C40" s="28" t="s">
        <v>128</v>
      </c>
      <c r="D40" s="28" t="s">
        <v>129</v>
      </c>
      <c r="E40" s="28" t="s">
        <v>184</v>
      </c>
      <c r="F40" s="28" t="s">
        <v>185</v>
      </c>
      <c r="G40" s="28" t="s">
        <v>186</v>
      </c>
    </row>
    <row r="41" spans="1:8" x14ac:dyDescent="0.4">
      <c r="A41" s="28" t="s">
        <v>232</v>
      </c>
      <c r="B41" s="29">
        <v>43766.037835648145</v>
      </c>
      <c r="C41" s="28" t="s">
        <v>128</v>
      </c>
    </row>
    <row r="42" spans="1:8" x14ac:dyDescent="0.4">
      <c r="A42" s="28" t="s">
        <v>233</v>
      </c>
      <c r="B42" s="29">
        <v>43766.89675925926</v>
      </c>
      <c r="C42" s="28" t="s">
        <v>128</v>
      </c>
      <c r="D42" s="28" t="s">
        <v>129</v>
      </c>
      <c r="E42" s="28" t="s">
        <v>184</v>
      </c>
      <c r="F42" s="28" t="s">
        <v>185</v>
      </c>
    </row>
    <row r="43" spans="1:8" x14ac:dyDescent="0.4">
      <c r="A43" s="28" t="s">
        <v>234</v>
      </c>
      <c r="B43" s="29">
        <v>43768.005439814813</v>
      </c>
      <c r="C43" s="28" t="s">
        <v>128</v>
      </c>
      <c r="D43" s="28" t="s">
        <v>129</v>
      </c>
      <c r="E43" s="28" t="s">
        <v>184</v>
      </c>
      <c r="F43" s="28" t="s">
        <v>185</v>
      </c>
      <c r="G43" s="28" t="s">
        <v>186</v>
      </c>
      <c r="H43" s="28" t="s">
        <v>187</v>
      </c>
    </row>
    <row r="44" spans="1:8" x14ac:dyDescent="0.4">
      <c r="A44" s="28" t="s">
        <v>235</v>
      </c>
      <c r="B44" s="29">
        <v>43768.787326388891</v>
      </c>
      <c r="C44" s="28" t="s">
        <v>128</v>
      </c>
      <c r="D44" s="28" t="s">
        <v>129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143</v>
      </c>
      <c r="B1">
        <v>471</v>
      </c>
    </row>
    <row r="2" spans="1:2" x14ac:dyDescent="0.4">
      <c r="A2" t="s">
        <v>166</v>
      </c>
      <c r="B2">
        <v>43</v>
      </c>
    </row>
    <row r="3" spans="1:2" x14ac:dyDescent="0.4">
      <c r="A3" t="s">
        <v>126</v>
      </c>
      <c r="B3">
        <v>94</v>
      </c>
    </row>
    <row r="4" spans="1:2" x14ac:dyDescent="0.4">
      <c r="A4" t="s">
        <v>127</v>
      </c>
      <c r="B4">
        <v>85</v>
      </c>
    </row>
    <row r="5" spans="1:2" x14ac:dyDescent="0.4">
      <c r="A5" t="s">
        <v>179</v>
      </c>
      <c r="B5">
        <v>59</v>
      </c>
    </row>
    <row r="6" spans="1:2" x14ac:dyDescent="0.4">
      <c r="A6" t="s">
        <v>177</v>
      </c>
      <c r="B6">
        <v>55</v>
      </c>
    </row>
    <row r="7" spans="1:2" x14ac:dyDescent="0.4">
      <c r="A7" t="s">
        <v>178</v>
      </c>
      <c r="B7">
        <v>77</v>
      </c>
    </row>
    <row r="8" spans="1:2" x14ac:dyDescent="0.4">
      <c r="A8" t="s">
        <v>182</v>
      </c>
      <c r="B8">
        <v>31</v>
      </c>
    </row>
    <row r="9" spans="1:2" x14ac:dyDescent="0.4">
      <c r="A9" t="s">
        <v>181</v>
      </c>
      <c r="B9">
        <v>18</v>
      </c>
    </row>
    <row r="10" spans="1:2" x14ac:dyDescent="0.4">
      <c r="A10" t="s">
        <v>195</v>
      </c>
      <c r="B10">
        <v>7</v>
      </c>
    </row>
    <row r="11" spans="1:2" x14ac:dyDescent="0.4">
      <c r="A11" t="s">
        <v>222</v>
      </c>
      <c r="B11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3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4" customWidth="1"/>
    <col min="34" max="34" width="10.75" style="81" customWidth="1"/>
    <col min="35" max="35" width="10.75" style="88" customWidth="1"/>
    <col min="36" max="16384" width="9" style="69"/>
  </cols>
  <sheetData>
    <row r="1" spans="1:35" x14ac:dyDescent="0.4">
      <c r="A1" s="68"/>
      <c r="B1" s="158" t="s">
        <v>6</v>
      </c>
      <c r="C1" s="159"/>
      <c r="D1" s="158" t="s">
        <v>7</v>
      </c>
      <c r="E1" s="159"/>
      <c r="F1" s="158" t="s">
        <v>15</v>
      </c>
      <c r="G1" s="159"/>
      <c r="H1" s="158" t="s">
        <v>14</v>
      </c>
      <c r="I1" s="159"/>
      <c r="J1" s="158" t="s">
        <v>160</v>
      </c>
      <c r="K1" s="159"/>
      <c r="L1" s="158" t="s">
        <v>147</v>
      </c>
      <c r="M1" s="159"/>
      <c r="N1" s="158" t="s">
        <v>148</v>
      </c>
      <c r="O1" s="159"/>
      <c r="P1" s="158" t="s">
        <v>5</v>
      </c>
      <c r="Q1" s="159"/>
      <c r="R1" s="158" t="s">
        <v>16</v>
      </c>
      <c r="S1" s="159"/>
      <c r="T1" s="158" t="s">
        <v>17</v>
      </c>
      <c r="U1" s="159"/>
      <c r="V1" s="158" t="s">
        <v>139</v>
      </c>
      <c r="W1" s="159"/>
      <c r="X1" s="158" t="s">
        <v>122</v>
      </c>
      <c r="Y1" s="159"/>
      <c r="Z1" s="158" t="s">
        <v>119</v>
      </c>
      <c r="AA1" s="159"/>
      <c r="AB1" s="158" t="s">
        <v>125</v>
      </c>
      <c r="AC1" s="159"/>
      <c r="AD1" s="158" t="s">
        <v>149</v>
      </c>
      <c r="AE1" s="159"/>
      <c r="AF1" s="158" t="s">
        <v>142</v>
      </c>
      <c r="AG1" s="159"/>
      <c r="AH1" s="158" t="s">
        <v>151</v>
      </c>
      <c r="AI1" s="159"/>
    </row>
    <row r="2" spans="1:35" x14ac:dyDescent="0.4">
      <c r="A2" s="68" t="s">
        <v>159</v>
      </c>
      <c r="B2" s="160"/>
      <c r="C2" s="161"/>
      <c r="D2" s="160"/>
      <c r="E2" s="161"/>
      <c r="F2" s="156">
        <v>0.9907362907358811</v>
      </c>
      <c r="G2" s="157"/>
      <c r="H2" s="156">
        <v>0.9242366309235831</v>
      </c>
      <c r="I2" s="157"/>
      <c r="J2" s="156">
        <v>0.9229974489438969</v>
      </c>
      <c r="K2" s="157"/>
      <c r="L2" s="156">
        <v>0.90072083513218826</v>
      </c>
      <c r="M2" s="157"/>
      <c r="N2" s="156">
        <v>0.41830865558584052</v>
      </c>
      <c r="O2" s="157"/>
      <c r="P2" s="156">
        <v>0.36675048804318189</v>
      </c>
      <c r="Q2" s="157"/>
      <c r="R2" s="156">
        <v>-3.2023596423493686E-2</v>
      </c>
      <c r="S2" s="157"/>
      <c r="T2" s="156">
        <v>0.23274518665408547</v>
      </c>
      <c r="U2" s="157"/>
      <c r="V2" s="156">
        <v>0.74619353867482574</v>
      </c>
      <c r="W2" s="157"/>
      <c r="X2" s="156">
        <v>0.51976828900228078</v>
      </c>
      <c r="Y2" s="157"/>
      <c r="Z2" s="156">
        <v>8.7861220532759507E-2</v>
      </c>
      <c r="AA2" s="157"/>
      <c r="AB2" s="156">
        <v>0.16711654513829735</v>
      </c>
      <c r="AC2" s="157"/>
      <c r="AD2" s="156">
        <v>0.37408143065833166</v>
      </c>
      <c r="AE2" s="157"/>
      <c r="AF2" s="156">
        <v>-0.14493682311184716</v>
      </c>
      <c r="AG2" s="157"/>
      <c r="AH2" s="156">
        <v>0.53466063529705921</v>
      </c>
      <c r="AI2" s="157"/>
    </row>
    <row r="3" spans="1:35" x14ac:dyDescent="0.4">
      <c r="A3" s="70">
        <v>1</v>
      </c>
      <c r="B3" s="71" t="s">
        <v>126</v>
      </c>
      <c r="C3" s="72">
        <v>605.69999999999993</v>
      </c>
      <c r="D3" s="73" t="s">
        <v>222</v>
      </c>
      <c r="E3" s="92">
        <v>13.1</v>
      </c>
      <c r="F3" s="73" t="s">
        <v>222</v>
      </c>
      <c r="G3" s="74">
        <v>1.5</v>
      </c>
      <c r="H3" s="73" t="s">
        <v>222</v>
      </c>
      <c r="I3" s="75">
        <v>0.5</v>
      </c>
      <c r="J3" s="73" t="s">
        <v>222</v>
      </c>
      <c r="K3" s="75">
        <v>0</v>
      </c>
      <c r="L3" s="73" t="s">
        <v>222</v>
      </c>
      <c r="M3" s="76">
        <v>0.46666666666666667</v>
      </c>
      <c r="N3" s="73" t="s">
        <v>222</v>
      </c>
      <c r="O3" s="76">
        <v>6.6666666666666666E-2</v>
      </c>
      <c r="P3" s="73" t="s">
        <v>177</v>
      </c>
      <c r="Q3" s="77">
        <v>10435.658914728681</v>
      </c>
      <c r="R3" s="73" t="s">
        <v>166</v>
      </c>
      <c r="S3" s="77">
        <v>-6775.4716981132078</v>
      </c>
      <c r="T3" s="73" t="s">
        <v>166</v>
      </c>
      <c r="U3" s="75">
        <v>0</v>
      </c>
      <c r="V3" s="73" t="s">
        <v>177</v>
      </c>
      <c r="W3" s="75">
        <v>0.2</v>
      </c>
      <c r="X3" s="73" t="s">
        <v>177</v>
      </c>
      <c r="Y3" s="76">
        <v>0.32118451025056949</v>
      </c>
      <c r="Z3" s="73" t="s">
        <v>195</v>
      </c>
      <c r="AA3" s="76">
        <v>0.35483870967741937</v>
      </c>
      <c r="AB3" s="73" t="s">
        <v>181</v>
      </c>
      <c r="AC3" s="76">
        <v>0.63043478260869568</v>
      </c>
      <c r="AD3" s="73" t="s">
        <v>222</v>
      </c>
      <c r="AE3" s="76">
        <v>1</v>
      </c>
      <c r="AF3" s="73" t="s">
        <v>181</v>
      </c>
      <c r="AG3" s="76">
        <v>0.55102040816326525</v>
      </c>
      <c r="AH3" s="73" t="s">
        <v>177</v>
      </c>
      <c r="AI3" s="87">
        <v>103600</v>
      </c>
    </row>
    <row r="4" spans="1:35" x14ac:dyDescent="0.4">
      <c r="A4" s="78">
        <v>2</v>
      </c>
      <c r="B4" s="79" t="s">
        <v>127</v>
      </c>
      <c r="C4" s="80">
        <v>320.99999999999989</v>
      </c>
      <c r="D4" s="81" t="s">
        <v>126</v>
      </c>
      <c r="E4" s="93">
        <v>6.4436170212765953</v>
      </c>
      <c r="F4" s="81" t="s">
        <v>126</v>
      </c>
      <c r="G4" s="82">
        <v>1.7872340425531914</v>
      </c>
      <c r="H4" s="81" t="s">
        <v>126</v>
      </c>
      <c r="I4" s="83">
        <v>0.46808510638297873</v>
      </c>
      <c r="J4" s="81" t="s">
        <v>126</v>
      </c>
      <c r="K4" s="83">
        <v>0.25531914893617019</v>
      </c>
      <c r="L4" s="81" t="s">
        <v>126</v>
      </c>
      <c r="M4" s="84">
        <v>0.33554376657824936</v>
      </c>
      <c r="N4" s="81" t="s">
        <v>181</v>
      </c>
      <c r="O4" s="84">
        <v>0.125</v>
      </c>
      <c r="P4" s="81" t="s">
        <v>127</v>
      </c>
      <c r="Q4" s="85">
        <v>8729.2035398230091</v>
      </c>
      <c r="R4" s="81" t="s">
        <v>181</v>
      </c>
      <c r="S4" s="85">
        <v>-6885.7142857142853</v>
      </c>
      <c r="T4" s="81" t="s">
        <v>222</v>
      </c>
      <c r="U4" s="83">
        <v>0</v>
      </c>
      <c r="V4" s="81" t="s">
        <v>195</v>
      </c>
      <c r="W4" s="83">
        <v>0.14285714285714285</v>
      </c>
      <c r="X4" s="81" t="s">
        <v>179</v>
      </c>
      <c r="Y4" s="84">
        <v>0.28629032258064518</v>
      </c>
      <c r="Z4" s="81" t="s">
        <v>222</v>
      </c>
      <c r="AA4" s="84">
        <v>0.33333333333333331</v>
      </c>
      <c r="AB4" s="81" t="s">
        <v>179</v>
      </c>
      <c r="AC4" s="84">
        <v>0.59859154929577463</v>
      </c>
      <c r="AD4" s="81" t="s">
        <v>126</v>
      </c>
      <c r="AE4" s="84">
        <v>0.47976878612716761</v>
      </c>
      <c r="AF4" s="81" t="s">
        <v>177</v>
      </c>
      <c r="AG4" s="84">
        <v>0.49612403100775193</v>
      </c>
      <c r="AH4" s="81" t="s">
        <v>143</v>
      </c>
      <c r="AI4" s="88">
        <v>103600</v>
      </c>
    </row>
    <row r="5" spans="1:35" x14ac:dyDescent="0.4">
      <c r="A5" s="78">
        <v>3</v>
      </c>
      <c r="B5" s="79" t="s">
        <v>177</v>
      </c>
      <c r="C5" s="80">
        <v>259.10000000000008</v>
      </c>
      <c r="D5" s="81" t="s">
        <v>177</v>
      </c>
      <c r="E5" s="93">
        <v>4.7109090909090927</v>
      </c>
      <c r="F5" s="81" t="s">
        <v>127</v>
      </c>
      <c r="G5" s="82">
        <v>1.8941176470588235</v>
      </c>
      <c r="H5" s="81" t="s">
        <v>195</v>
      </c>
      <c r="I5" s="83">
        <v>0.42857142857142855</v>
      </c>
      <c r="J5" s="81" t="s">
        <v>178</v>
      </c>
      <c r="K5" s="83">
        <v>0.2857142857142857</v>
      </c>
      <c r="L5" s="81" t="s">
        <v>127</v>
      </c>
      <c r="M5" s="84">
        <v>0.31215469613259667</v>
      </c>
      <c r="N5" s="81" t="s">
        <v>178</v>
      </c>
      <c r="O5" s="84">
        <v>0.13452188006482982</v>
      </c>
      <c r="P5" s="81" t="s">
        <v>178</v>
      </c>
      <c r="Q5" s="85">
        <v>8409.2485549132944</v>
      </c>
      <c r="R5" s="81" t="s">
        <v>179</v>
      </c>
      <c r="S5" s="85">
        <v>-7638.8349514563106</v>
      </c>
      <c r="T5" s="81" t="s">
        <v>126</v>
      </c>
      <c r="U5" s="83">
        <v>5.3191489361702128E-2</v>
      </c>
      <c r="V5" s="81" t="s">
        <v>181</v>
      </c>
      <c r="W5" s="83">
        <v>0.1111111111111111</v>
      </c>
      <c r="X5" s="81" t="s">
        <v>181</v>
      </c>
      <c r="Y5" s="84">
        <v>0.27380952380952384</v>
      </c>
      <c r="Z5" s="81" t="s">
        <v>127</v>
      </c>
      <c r="AA5" s="84">
        <v>0.30524861878453041</v>
      </c>
      <c r="AB5" s="81" t="s">
        <v>126</v>
      </c>
      <c r="AC5" s="84">
        <v>0.59405940594059403</v>
      </c>
      <c r="AD5" s="81" t="s">
        <v>177</v>
      </c>
      <c r="AE5" s="84">
        <v>0.46250000000000002</v>
      </c>
      <c r="AF5" s="81" t="s">
        <v>182</v>
      </c>
      <c r="AG5" s="84">
        <v>0.48275862068965519</v>
      </c>
      <c r="AH5" s="81" t="s">
        <v>181</v>
      </c>
      <c r="AI5" s="88">
        <v>95200</v>
      </c>
    </row>
    <row r="6" spans="1:35" x14ac:dyDescent="0.4">
      <c r="A6" s="78">
        <v>4</v>
      </c>
      <c r="B6" s="79" t="s">
        <v>222</v>
      </c>
      <c r="C6" s="80">
        <v>26.2</v>
      </c>
      <c r="D6" s="81" t="s">
        <v>127</v>
      </c>
      <c r="E6" s="93">
        <v>3.7764705882352927</v>
      </c>
      <c r="F6" s="81" t="s">
        <v>177</v>
      </c>
      <c r="G6" s="82">
        <v>1.9090909090909092</v>
      </c>
      <c r="H6" s="81" t="s">
        <v>177</v>
      </c>
      <c r="I6" s="83">
        <v>0.41818181818181815</v>
      </c>
      <c r="J6" s="81" t="s">
        <v>127</v>
      </c>
      <c r="K6" s="83">
        <v>0.29411764705882354</v>
      </c>
      <c r="L6" s="81" t="s">
        <v>143</v>
      </c>
      <c r="M6" s="84">
        <v>0.29410256410256408</v>
      </c>
      <c r="N6" s="81" t="s">
        <v>126</v>
      </c>
      <c r="O6" s="84">
        <v>0.13925729442970822</v>
      </c>
      <c r="P6" s="81" t="s">
        <v>143</v>
      </c>
      <c r="Q6" s="85">
        <v>8322.7550130775944</v>
      </c>
      <c r="R6" s="81" t="s">
        <v>127</v>
      </c>
      <c r="S6" s="85">
        <v>-7766.1971830985913</v>
      </c>
      <c r="T6" s="81" t="s">
        <v>179</v>
      </c>
      <c r="U6" s="83">
        <v>6.7796610169491525E-2</v>
      </c>
      <c r="V6" s="81" t="s">
        <v>127</v>
      </c>
      <c r="W6" s="83">
        <v>0.10588235294117647</v>
      </c>
      <c r="X6" s="81" t="s">
        <v>126</v>
      </c>
      <c r="Y6" s="84">
        <v>0.26790450928381965</v>
      </c>
      <c r="Z6" s="81" t="s">
        <v>178</v>
      </c>
      <c r="AA6" s="84">
        <v>0.23824959481361427</v>
      </c>
      <c r="AB6" s="81" t="s">
        <v>178</v>
      </c>
      <c r="AC6" s="84">
        <v>0.57051282051282048</v>
      </c>
      <c r="AD6" s="81" t="s">
        <v>143</v>
      </c>
      <c r="AE6" s="84">
        <v>0.40707964601769914</v>
      </c>
      <c r="AF6" s="81" t="s">
        <v>179</v>
      </c>
      <c r="AG6" s="84">
        <v>0.45714285714285713</v>
      </c>
      <c r="AH6" s="81" t="s">
        <v>127</v>
      </c>
      <c r="AI6" s="88">
        <v>91800</v>
      </c>
    </row>
    <row r="7" spans="1:35" x14ac:dyDescent="0.4">
      <c r="A7" s="78">
        <v>5</v>
      </c>
      <c r="B7" s="79" t="s">
        <v>181</v>
      </c>
      <c r="C7" s="80">
        <v>24.700000000000003</v>
      </c>
      <c r="D7" s="81" t="s">
        <v>181</v>
      </c>
      <c r="E7" s="93">
        <v>1.3722222222222225</v>
      </c>
      <c r="F7" s="81" t="s">
        <v>181</v>
      </c>
      <c r="G7" s="82">
        <v>1.9444444444444444</v>
      </c>
      <c r="H7" s="81" t="s">
        <v>127</v>
      </c>
      <c r="I7" s="83">
        <v>0.4</v>
      </c>
      <c r="J7" s="81" t="s">
        <v>177</v>
      </c>
      <c r="K7" s="83">
        <v>0.32727272727272727</v>
      </c>
      <c r="L7" s="81" t="s">
        <v>177</v>
      </c>
      <c r="M7" s="84">
        <v>0.29384965831435078</v>
      </c>
      <c r="N7" s="81" t="s">
        <v>166</v>
      </c>
      <c r="O7" s="84">
        <v>0.14133333333333334</v>
      </c>
      <c r="P7" s="81" t="s">
        <v>179</v>
      </c>
      <c r="Q7" s="85">
        <v>7988.5714285714284</v>
      </c>
      <c r="R7" s="81" t="s">
        <v>143</v>
      </c>
      <c r="S7" s="85">
        <v>-7794.2006269592475</v>
      </c>
      <c r="T7" s="81" t="s">
        <v>178</v>
      </c>
      <c r="U7" s="83">
        <v>7.792207792207792E-2</v>
      </c>
      <c r="V7" s="81" t="s">
        <v>126</v>
      </c>
      <c r="W7" s="83">
        <v>9.5744680851063829E-2</v>
      </c>
      <c r="X7" s="81" t="s">
        <v>222</v>
      </c>
      <c r="Y7" s="84">
        <v>0.26666666666666666</v>
      </c>
      <c r="Z7" s="81" t="s">
        <v>143</v>
      </c>
      <c r="AA7" s="84">
        <v>0.23179487179487179</v>
      </c>
      <c r="AB7" s="81" t="s">
        <v>143</v>
      </c>
      <c r="AC7" s="84">
        <v>0.56486210418794691</v>
      </c>
      <c r="AD7" s="81" t="s">
        <v>178</v>
      </c>
      <c r="AE7" s="84">
        <v>0.40136054421768708</v>
      </c>
      <c r="AF7" s="81" t="s">
        <v>178</v>
      </c>
      <c r="AG7" s="84">
        <v>0.45086705202312138</v>
      </c>
      <c r="AH7" s="81" t="s">
        <v>166</v>
      </c>
      <c r="AI7" s="88">
        <v>86900</v>
      </c>
    </row>
    <row r="8" spans="1:35" x14ac:dyDescent="0.4">
      <c r="A8" s="78">
        <v>6</v>
      </c>
      <c r="B8" s="79" t="s">
        <v>143</v>
      </c>
      <c r="C8" s="80">
        <v>-3.5527136788005009E-14</v>
      </c>
      <c r="D8" s="81" t="s">
        <v>143</v>
      </c>
      <c r="E8" s="93">
        <v>-7.5429165155000015E-17</v>
      </c>
      <c r="F8" s="81" t="s">
        <v>143</v>
      </c>
      <c r="G8" s="82">
        <v>2</v>
      </c>
      <c r="H8" s="81" t="s">
        <v>181</v>
      </c>
      <c r="I8" s="83">
        <v>0.3888888888888889</v>
      </c>
      <c r="J8" s="81" t="s">
        <v>181</v>
      </c>
      <c r="K8" s="83">
        <v>0.33333333333333331</v>
      </c>
      <c r="L8" s="81" t="s">
        <v>181</v>
      </c>
      <c r="M8" s="84">
        <v>0.29166666666666669</v>
      </c>
      <c r="N8" s="81" t="s">
        <v>177</v>
      </c>
      <c r="O8" s="84">
        <v>0.16173120728929385</v>
      </c>
      <c r="P8" s="81" t="s">
        <v>182</v>
      </c>
      <c r="Q8" s="85">
        <v>7901.7241379310344</v>
      </c>
      <c r="R8" s="81" t="s">
        <v>126</v>
      </c>
      <c r="S8" s="85">
        <v>-7844.7619047619046</v>
      </c>
      <c r="T8" s="81" t="s">
        <v>177</v>
      </c>
      <c r="U8" s="83">
        <v>9.0909090909090912E-2</v>
      </c>
      <c r="V8" s="81" t="s">
        <v>143</v>
      </c>
      <c r="W8" s="83">
        <v>9.1295116772823773E-2</v>
      </c>
      <c r="X8" s="81" t="s">
        <v>178</v>
      </c>
      <c r="Y8" s="84">
        <v>0.25283630470016205</v>
      </c>
      <c r="Z8" s="81" t="s">
        <v>126</v>
      </c>
      <c r="AA8" s="84">
        <v>0.22944297082228116</v>
      </c>
      <c r="AB8" s="81" t="s">
        <v>182</v>
      </c>
      <c r="AC8" s="84">
        <v>0.54166666666666663</v>
      </c>
      <c r="AD8" s="81" t="s">
        <v>182</v>
      </c>
      <c r="AE8" s="84">
        <v>0.4</v>
      </c>
      <c r="AF8" s="81" t="s">
        <v>143</v>
      </c>
      <c r="AG8" s="84">
        <v>0.43766346992153443</v>
      </c>
      <c r="AH8" s="81" t="s">
        <v>178</v>
      </c>
      <c r="AI8" s="88">
        <v>86500</v>
      </c>
    </row>
    <row r="9" spans="1:35" x14ac:dyDescent="0.4">
      <c r="A9" s="78">
        <v>7</v>
      </c>
      <c r="B9" s="79" t="s">
        <v>178</v>
      </c>
      <c r="C9" s="80">
        <v>-87.299999999999969</v>
      </c>
      <c r="D9" s="81" t="s">
        <v>178</v>
      </c>
      <c r="E9" s="93">
        <v>-1.1337662337662333</v>
      </c>
      <c r="F9" s="81" t="s">
        <v>178</v>
      </c>
      <c r="G9" s="82">
        <v>2.0779220779220777</v>
      </c>
      <c r="H9" s="81" t="s">
        <v>143</v>
      </c>
      <c r="I9" s="83">
        <v>0.33333333333333331</v>
      </c>
      <c r="J9" s="81" t="s">
        <v>143</v>
      </c>
      <c r="K9" s="83">
        <v>0.33333333333333331</v>
      </c>
      <c r="L9" s="81" t="s">
        <v>179</v>
      </c>
      <c r="M9" s="84">
        <v>0.28225806451612906</v>
      </c>
      <c r="N9" s="81" t="s">
        <v>143</v>
      </c>
      <c r="O9" s="84">
        <v>0.1635897435897436</v>
      </c>
      <c r="P9" s="81" t="s">
        <v>126</v>
      </c>
      <c r="Q9" s="85">
        <v>7755.731225296443</v>
      </c>
      <c r="R9" s="81" t="s">
        <v>222</v>
      </c>
      <c r="S9" s="85">
        <v>-8000</v>
      </c>
      <c r="T9" s="81" t="s">
        <v>143</v>
      </c>
      <c r="U9" s="83">
        <v>9.1295116772823773E-2</v>
      </c>
      <c r="V9" s="81" t="s">
        <v>178</v>
      </c>
      <c r="W9" s="83">
        <v>7.792207792207792E-2</v>
      </c>
      <c r="X9" s="81" t="s">
        <v>143</v>
      </c>
      <c r="Y9" s="84">
        <v>0.25102564102564101</v>
      </c>
      <c r="Z9" s="81" t="s">
        <v>166</v>
      </c>
      <c r="AA9" s="84">
        <v>0.22666666666666666</v>
      </c>
      <c r="AB9" s="81" t="s">
        <v>127</v>
      </c>
      <c r="AC9" s="84">
        <v>0.5357142857142857</v>
      </c>
      <c r="AD9" s="81" t="s">
        <v>179</v>
      </c>
      <c r="AE9" s="84">
        <v>0.38709677419354838</v>
      </c>
      <c r="AF9" s="81" t="s">
        <v>126</v>
      </c>
      <c r="AG9" s="84">
        <v>0.42292490118577075</v>
      </c>
      <c r="AH9" s="81" t="s">
        <v>126</v>
      </c>
      <c r="AI9" s="88">
        <v>86200</v>
      </c>
    </row>
    <row r="10" spans="1:35" x14ac:dyDescent="0.4">
      <c r="A10" s="78">
        <v>8</v>
      </c>
      <c r="B10" s="79" t="s">
        <v>195</v>
      </c>
      <c r="C10" s="80">
        <v>-104.80000000000001</v>
      </c>
      <c r="D10" s="81" t="s">
        <v>166</v>
      </c>
      <c r="E10" s="93">
        <v>-4.0046511627906991</v>
      </c>
      <c r="F10" s="81" t="s">
        <v>166</v>
      </c>
      <c r="G10" s="82">
        <v>2.0930232558139537</v>
      </c>
      <c r="H10" s="81" t="s">
        <v>166</v>
      </c>
      <c r="I10" s="83">
        <v>0.32558139534883723</v>
      </c>
      <c r="J10" s="81" t="s">
        <v>179</v>
      </c>
      <c r="K10" s="83">
        <v>0.38983050847457629</v>
      </c>
      <c r="L10" s="81" t="s">
        <v>178</v>
      </c>
      <c r="M10" s="84">
        <v>0.28038897893030795</v>
      </c>
      <c r="N10" s="81" t="s">
        <v>182</v>
      </c>
      <c r="O10" s="84">
        <v>0.188</v>
      </c>
      <c r="P10" s="81" t="s">
        <v>195</v>
      </c>
      <c r="Q10" s="85">
        <v>7473.333333333333</v>
      </c>
      <c r="R10" s="81" t="s">
        <v>178</v>
      </c>
      <c r="S10" s="85">
        <v>-8059.0361445783128</v>
      </c>
      <c r="T10" s="81" t="s">
        <v>181</v>
      </c>
      <c r="U10" s="83">
        <v>0.1111111111111111</v>
      </c>
      <c r="V10" s="81" t="s">
        <v>166</v>
      </c>
      <c r="W10" s="83">
        <v>4.6511627906976744E-2</v>
      </c>
      <c r="X10" s="81" t="s">
        <v>195</v>
      </c>
      <c r="Y10" s="84">
        <v>0.24193548387096775</v>
      </c>
      <c r="Z10" s="81" t="s">
        <v>182</v>
      </c>
      <c r="AA10" s="84">
        <v>0.22</v>
      </c>
      <c r="AB10" s="81" t="s">
        <v>195</v>
      </c>
      <c r="AC10" s="84">
        <v>0.53333333333333333</v>
      </c>
      <c r="AD10" s="81" t="s">
        <v>127</v>
      </c>
      <c r="AE10" s="84">
        <v>0.37104072398190047</v>
      </c>
      <c r="AF10" s="81" t="s">
        <v>166</v>
      </c>
      <c r="AG10" s="84">
        <v>0.41237113402061853</v>
      </c>
      <c r="AH10" s="81" t="s">
        <v>182</v>
      </c>
      <c r="AI10" s="88">
        <v>85100</v>
      </c>
    </row>
    <row r="11" spans="1:35" x14ac:dyDescent="0.4">
      <c r="A11" s="78">
        <v>9</v>
      </c>
      <c r="B11" s="79" t="s">
        <v>166</v>
      </c>
      <c r="C11" s="80">
        <v>-172.20000000000005</v>
      </c>
      <c r="D11" s="81" t="s">
        <v>179</v>
      </c>
      <c r="E11" s="93">
        <v>-6.7677966101694906</v>
      </c>
      <c r="F11" s="81" t="s">
        <v>195</v>
      </c>
      <c r="G11" s="82">
        <v>2.1428571428571428</v>
      </c>
      <c r="H11" s="81" t="s">
        <v>178</v>
      </c>
      <c r="I11" s="83">
        <v>0.20779220779220781</v>
      </c>
      <c r="J11" s="81" t="s">
        <v>166</v>
      </c>
      <c r="K11" s="83">
        <v>0.41860465116279072</v>
      </c>
      <c r="L11" s="81" t="s">
        <v>166</v>
      </c>
      <c r="M11" s="84">
        <v>0.25866666666666666</v>
      </c>
      <c r="N11" s="81" t="s">
        <v>195</v>
      </c>
      <c r="O11" s="84">
        <v>0.19354838709677419</v>
      </c>
      <c r="P11" s="81" t="s">
        <v>181</v>
      </c>
      <c r="Q11" s="85">
        <v>7440.8163265306121</v>
      </c>
      <c r="R11" s="81" t="s">
        <v>182</v>
      </c>
      <c r="S11" s="85">
        <v>-8059.5744680851067</v>
      </c>
      <c r="T11" s="81" t="s">
        <v>127</v>
      </c>
      <c r="U11" s="83">
        <v>0.14117647058823529</v>
      </c>
      <c r="V11" s="81" t="s">
        <v>179</v>
      </c>
      <c r="W11" s="83">
        <v>3.3898305084745763E-2</v>
      </c>
      <c r="X11" s="81" t="s">
        <v>127</v>
      </c>
      <c r="Y11" s="84">
        <v>0.23204419889502761</v>
      </c>
      <c r="Z11" s="81" t="s">
        <v>179</v>
      </c>
      <c r="AA11" s="84">
        <v>0.1875</v>
      </c>
      <c r="AB11" s="81" t="s">
        <v>177</v>
      </c>
      <c r="AC11" s="84">
        <v>0.53191489361702127</v>
      </c>
      <c r="AD11" s="81" t="s">
        <v>166</v>
      </c>
      <c r="AE11" s="84">
        <v>0.35294117647058826</v>
      </c>
      <c r="AF11" s="81" t="s">
        <v>127</v>
      </c>
      <c r="AG11" s="84">
        <v>0.38495575221238937</v>
      </c>
      <c r="AH11" s="81" t="s">
        <v>179</v>
      </c>
      <c r="AI11" s="88">
        <v>69300</v>
      </c>
    </row>
    <row r="12" spans="1:35" x14ac:dyDescent="0.4">
      <c r="A12" s="78">
        <v>10</v>
      </c>
      <c r="B12" s="79" t="s">
        <v>179</v>
      </c>
      <c r="C12" s="80">
        <v>-399.29999999999995</v>
      </c>
      <c r="D12" s="81" t="s">
        <v>195</v>
      </c>
      <c r="E12" s="93">
        <v>-14.971428571428573</v>
      </c>
      <c r="F12" s="81" t="s">
        <v>179</v>
      </c>
      <c r="G12" s="82">
        <v>2.1864406779661016</v>
      </c>
      <c r="H12" s="81" t="s">
        <v>179</v>
      </c>
      <c r="I12" s="83">
        <v>0.20338983050847459</v>
      </c>
      <c r="J12" s="81" t="s">
        <v>182</v>
      </c>
      <c r="K12" s="83">
        <v>0.54838709677419351</v>
      </c>
      <c r="L12" s="81" t="s">
        <v>195</v>
      </c>
      <c r="M12" s="84">
        <v>0.24193548387096775</v>
      </c>
      <c r="N12" s="81" t="s">
        <v>127</v>
      </c>
      <c r="O12" s="84">
        <v>0.19613259668508287</v>
      </c>
      <c r="P12" s="81" t="s">
        <v>222</v>
      </c>
      <c r="Q12" s="85">
        <v>7385.7142857142853</v>
      </c>
      <c r="R12" s="81" t="s">
        <v>177</v>
      </c>
      <c r="S12" s="85">
        <v>-8325.352112676057</v>
      </c>
      <c r="T12" s="81" t="s">
        <v>182</v>
      </c>
      <c r="U12" s="83">
        <v>0.16129032258064516</v>
      </c>
      <c r="V12" s="81" t="s">
        <v>182</v>
      </c>
      <c r="W12" s="83">
        <v>3.2258064516129031E-2</v>
      </c>
      <c r="X12" s="81" t="s">
        <v>182</v>
      </c>
      <c r="Y12" s="84">
        <v>0.192</v>
      </c>
      <c r="Z12" s="81" t="s">
        <v>177</v>
      </c>
      <c r="AA12" s="84">
        <v>0.18223234624145787</v>
      </c>
      <c r="AB12" s="81" t="s">
        <v>166</v>
      </c>
      <c r="AC12" s="84">
        <v>0.50877192982456143</v>
      </c>
      <c r="AD12" s="81" t="s">
        <v>181</v>
      </c>
      <c r="AE12" s="84">
        <v>0.34782608695652173</v>
      </c>
      <c r="AF12" s="81" t="s">
        <v>195</v>
      </c>
      <c r="AG12" s="84">
        <v>0.33333333333333331</v>
      </c>
      <c r="AH12" s="81" t="s">
        <v>195</v>
      </c>
      <c r="AI12" s="88">
        <v>59500</v>
      </c>
    </row>
    <row r="13" spans="1:35" x14ac:dyDescent="0.4">
      <c r="A13" s="78">
        <v>11</v>
      </c>
      <c r="B13" s="79" t="s">
        <v>182</v>
      </c>
      <c r="C13" s="80">
        <v>-473.10000000000014</v>
      </c>
      <c r="D13" s="81" t="s">
        <v>182</v>
      </c>
      <c r="E13" s="93">
        <v>-15.261290322580649</v>
      </c>
      <c r="F13" s="81" t="s">
        <v>182</v>
      </c>
      <c r="G13" s="82">
        <v>2.4516129032258065</v>
      </c>
      <c r="H13" s="81" t="s">
        <v>182</v>
      </c>
      <c r="I13" s="83">
        <v>9.6774193548387094E-2</v>
      </c>
      <c r="J13" s="81" t="s">
        <v>195</v>
      </c>
      <c r="K13" s="83">
        <v>0.5714285714285714</v>
      </c>
      <c r="L13" s="81" t="s">
        <v>182</v>
      </c>
      <c r="M13" s="84">
        <v>0.23200000000000001</v>
      </c>
      <c r="N13" s="81" t="s">
        <v>179</v>
      </c>
      <c r="O13" s="84">
        <v>0.20766129032258066</v>
      </c>
      <c r="P13" s="81" t="s">
        <v>166</v>
      </c>
      <c r="Q13" s="85">
        <v>7269.072164948454</v>
      </c>
      <c r="R13" s="81" t="s">
        <v>195</v>
      </c>
      <c r="S13" s="85">
        <v>-9075</v>
      </c>
      <c r="T13" s="81" t="s">
        <v>195</v>
      </c>
      <c r="U13" s="83">
        <v>0.5714285714285714</v>
      </c>
      <c r="V13" s="81" t="s">
        <v>222</v>
      </c>
      <c r="W13" s="83">
        <v>0</v>
      </c>
      <c r="X13" s="81" t="s">
        <v>166</v>
      </c>
      <c r="Y13" s="84">
        <v>0.152</v>
      </c>
      <c r="Z13" s="81" t="s">
        <v>181</v>
      </c>
      <c r="AA13" s="84">
        <v>0.13690476190476192</v>
      </c>
      <c r="AB13" s="81" t="s">
        <v>222</v>
      </c>
      <c r="AC13" s="84">
        <v>0.5</v>
      </c>
      <c r="AD13" s="81" t="s">
        <v>195</v>
      </c>
      <c r="AE13" s="84">
        <v>0.27272727272727271</v>
      </c>
      <c r="AF13" s="81" t="s">
        <v>222</v>
      </c>
      <c r="AG13" s="84">
        <v>0.2857142857142857</v>
      </c>
      <c r="AH13" s="81" t="s">
        <v>222</v>
      </c>
      <c r="AI13" s="88">
        <v>52800</v>
      </c>
    </row>
  </sheetData>
  <sortState xmlns:xlrd2="http://schemas.microsoft.com/office/spreadsheetml/2017/richdata2" ref="AH3:AI41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DAEBA-4F24-45C5-819C-B622F81A8F21}">
  <sheetPr codeName="Sheet4"/>
  <dimension ref="A1:Q473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143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471</v>
      </c>
      <c r="C2" s="149"/>
      <c r="E2" s="58" t="s">
        <v>66</v>
      </c>
      <c r="F2" s="55" t="s">
        <v>22</v>
      </c>
      <c r="G2" s="43">
        <v>884</v>
      </c>
      <c r="H2" s="128">
        <f>IF(B$17=0,0,G2/B$17)</f>
        <v>0.77070619006102881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-21.367521367521366</v>
      </c>
      <c r="P2" s="114">
        <v>468</v>
      </c>
      <c r="Q2" s="98">
        <v>-10000</v>
      </c>
    </row>
    <row r="3" spans="1:17" x14ac:dyDescent="0.4">
      <c r="A3" s="51" t="s">
        <v>8</v>
      </c>
      <c r="B3" s="150">
        <v>3900</v>
      </c>
      <c r="C3" s="151"/>
      <c r="E3" s="59" t="s">
        <v>72</v>
      </c>
      <c r="F3" s="56" t="s">
        <v>27</v>
      </c>
      <c r="G3" s="44">
        <v>618</v>
      </c>
      <c r="H3" s="129">
        <f>IF(B$17=0,0,G3/B$17)</f>
        <v>0.53879686137750649</v>
      </c>
      <c r="I3" s="90">
        <v>6</v>
      </c>
      <c r="K3" s="36">
        <v>1</v>
      </c>
      <c r="L3" s="95">
        <v>-4.5999999999999996</v>
      </c>
      <c r="N3" s="111" t="s">
        <v>131</v>
      </c>
      <c r="O3" s="118">
        <f t="shared" si="0"/>
        <v>6.5789473684210522</v>
      </c>
      <c r="P3" s="115">
        <v>456</v>
      </c>
      <c r="Q3" s="99">
        <v>3000</v>
      </c>
    </row>
    <row r="4" spans="1:17" x14ac:dyDescent="0.4">
      <c r="A4" s="51" t="s">
        <v>6</v>
      </c>
      <c r="B4" s="152">
        <v>-3.5527136788005009E-14</v>
      </c>
      <c r="C4" s="153"/>
      <c r="E4" s="59" t="s">
        <v>64</v>
      </c>
      <c r="F4" s="56" t="s">
        <v>20</v>
      </c>
      <c r="G4" s="44">
        <v>529</v>
      </c>
      <c r="H4" s="129">
        <f>IF(B$17=0,0,G4/B$17)</f>
        <v>0.46120313862249346</v>
      </c>
      <c r="I4" s="90">
        <v>6</v>
      </c>
      <c r="K4" s="36">
        <v>2</v>
      </c>
      <c r="L4" s="95">
        <v>45.6</v>
      </c>
      <c r="N4" s="111" t="s">
        <v>132</v>
      </c>
      <c r="O4" s="118">
        <f t="shared" si="0"/>
        <v>-18.390804597701148</v>
      </c>
      <c r="P4" s="115">
        <v>435</v>
      </c>
      <c r="Q4" s="99">
        <v>-8000</v>
      </c>
    </row>
    <row r="5" spans="1:17" x14ac:dyDescent="0.4">
      <c r="A5" s="51" t="s">
        <v>7</v>
      </c>
      <c r="B5" s="154">
        <f>IF(B$2=0,0,B$4/B$2)</f>
        <v>-7.5429165155000015E-17</v>
      </c>
      <c r="C5" s="155"/>
      <c r="E5" s="59" t="s">
        <v>171</v>
      </c>
      <c r="F5" s="56" t="s">
        <v>172</v>
      </c>
      <c r="G5" s="44">
        <v>456</v>
      </c>
      <c r="H5" s="129">
        <f>IF(B$17=0,0,G5/B$17)</f>
        <v>0.39755884917175238</v>
      </c>
      <c r="I5" s="90">
        <v>4</v>
      </c>
      <c r="K5" s="36">
        <v>3</v>
      </c>
      <c r="L5" s="95">
        <v>0</v>
      </c>
      <c r="N5" s="111" t="s">
        <v>133</v>
      </c>
      <c r="O5" s="118">
        <f t="shared" si="0"/>
        <v>14.598540145985401</v>
      </c>
      <c r="P5" s="115">
        <v>411</v>
      </c>
      <c r="Q5" s="99">
        <v>6000</v>
      </c>
    </row>
    <row r="6" spans="1:17" x14ac:dyDescent="0.4">
      <c r="A6" s="51" t="s">
        <v>1</v>
      </c>
      <c r="B6" s="144">
        <f>IF(B$2=0,0,(B$7*1+B$8*2+B$9*3)/B$2)</f>
        <v>2</v>
      </c>
      <c r="C6" s="145"/>
      <c r="E6" s="59" t="s">
        <v>68</v>
      </c>
      <c r="F6" s="56" t="s">
        <v>12</v>
      </c>
      <c r="G6" s="44">
        <v>363</v>
      </c>
      <c r="H6" s="129">
        <f>IF(B$17=0,0,G6/B$17)</f>
        <v>0.3164777680906713</v>
      </c>
      <c r="I6" s="90">
        <v>5</v>
      </c>
      <c r="K6" s="36">
        <v>4</v>
      </c>
      <c r="L6" s="95">
        <v>24.5</v>
      </c>
      <c r="N6" s="111" t="s">
        <v>134</v>
      </c>
      <c r="O6" s="118">
        <f t="shared" si="0"/>
        <v>15.503875968992247</v>
      </c>
      <c r="P6" s="115">
        <v>387</v>
      </c>
      <c r="Q6" s="99">
        <v>6000</v>
      </c>
    </row>
    <row r="7" spans="1:17" x14ac:dyDescent="0.4">
      <c r="A7" s="51" t="s">
        <v>2</v>
      </c>
      <c r="B7" s="44">
        <v>157</v>
      </c>
      <c r="C7" s="37">
        <f t="shared" ref="C7:C12" si="1">IF(B$2=0,0,B7/B$2)</f>
        <v>0.33333333333333331</v>
      </c>
      <c r="E7" s="59" t="s">
        <v>67</v>
      </c>
      <c r="F7" s="56" t="s">
        <v>23</v>
      </c>
      <c r="G7" s="44">
        <v>340</v>
      </c>
      <c r="H7" s="129">
        <f>IF(B$17=0,0,G7/B$17)</f>
        <v>0.29642545771578027</v>
      </c>
      <c r="I7" s="90">
        <v>7</v>
      </c>
      <c r="K7" s="36">
        <v>5</v>
      </c>
      <c r="L7" s="95">
        <v>-11.299999999999997</v>
      </c>
      <c r="N7" s="112" t="s">
        <v>135</v>
      </c>
      <c r="O7" s="119">
        <f t="shared" si="0"/>
        <v>9.1743119266055047</v>
      </c>
      <c r="P7" s="116">
        <v>327</v>
      </c>
      <c r="Q7" s="100">
        <v>3000</v>
      </c>
    </row>
    <row r="8" spans="1:17" x14ac:dyDescent="0.4">
      <c r="A8" s="51" t="s">
        <v>3</v>
      </c>
      <c r="B8" s="44">
        <v>157</v>
      </c>
      <c r="C8" s="37">
        <f t="shared" si="1"/>
        <v>0.33333333333333331</v>
      </c>
      <c r="E8" s="59" t="s">
        <v>69</v>
      </c>
      <c r="F8" s="56" t="s">
        <v>24</v>
      </c>
      <c r="G8" s="44">
        <v>178</v>
      </c>
      <c r="H8" s="129">
        <f>IF(B$17=0,0,G8/B$17)</f>
        <v>0.15518744551002617</v>
      </c>
      <c r="I8" s="90">
        <v>5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157</v>
      </c>
      <c r="C9" s="38">
        <f t="shared" si="1"/>
        <v>0.33333333333333331</v>
      </c>
      <c r="E9" s="59" t="s">
        <v>89</v>
      </c>
      <c r="F9" s="56" t="s">
        <v>44</v>
      </c>
      <c r="G9" s="44">
        <v>153</v>
      </c>
      <c r="H9" s="129">
        <f>IF(B$17=0,0,G9/B$17)</f>
        <v>0.13339145597210114</v>
      </c>
      <c r="I9" s="90">
        <v>5</v>
      </c>
      <c r="K9" s="36">
        <v>7</v>
      </c>
      <c r="L9" s="95">
        <v>-37.799999999999997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43</v>
      </c>
      <c r="C10" s="38">
        <f t="shared" si="1"/>
        <v>9.1295116772823773E-2</v>
      </c>
      <c r="E10" s="59" t="s">
        <v>65</v>
      </c>
      <c r="F10" s="56" t="s">
        <v>21</v>
      </c>
      <c r="G10" s="44">
        <v>117</v>
      </c>
      <c r="H10" s="129">
        <f>IF(B$17=0,0,G10/B$17)</f>
        <v>0.1020052310374891</v>
      </c>
      <c r="I10" s="90">
        <v>7</v>
      </c>
      <c r="K10" s="36">
        <v>8</v>
      </c>
      <c r="L10" s="95">
        <v>-46.9</v>
      </c>
      <c r="N10" s="110" t="s">
        <v>162</v>
      </c>
      <c r="O10" s="120">
        <f>IF(P10=0,0,Q10/P10)</f>
        <v>-6.1146496815286992E-2</v>
      </c>
      <c r="P10" s="114">
        <v>157</v>
      </c>
      <c r="Q10" s="102">
        <v>-9.6000000000000583</v>
      </c>
    </row>
    <row r="11" spans="1:17" x14ac:dyDescent="0.4">
      <c r="A11" s="52" t="s">
        <v>138</v>
      </c>
      <c r="B11" s="45">
        <v>43</v>
      </c>
      <c r="C11" s="38">
        <f t="shared" si="1"/>
        <v>9.1295116772823773E-2</v>
      </c>
      <c r="E11" s="59" t="s">
        <v>70</v>
      </c>
      <c r="F11" s="56" t="s">
        <v>25</v>
      </c>
      <c r="G11" s="44">
        <v>108</v>
      </c>
      <c r="H11" s="129">
        <f>IF(B$17=0,0,G11/B$17)</f>
        <v>9.4158674803836093E-2</v>
      </c>
      <c r="I11" s="90">
        <v>6</v>
      </c>
      <c r="K11" s="36">
        <v>9</v>
      </c>
      <c r="L11" s="95">
        <v>0</v>
      </c>
      <c r="N11" s="111" t="s">
        <v>163</v>
      </c>
      <c r="O11" s="121">
        <f>IF(P11=0,0,Q11/P11)</f>
        <v>1.2904458598726112</v>
      </c>
      <c r="P11" s="115">
        <v>157</v>
      </c>
      <c r="Q11" s="103">
        <v>202.59999999999997</v>
      </c>
    </row>
    <row r="12" spans="1:17" x14ac:dyDescent="0.4">
      <c r="A12" s="53" t="s">
        <v>158</v>
      </c>
      <c r="B12" s="46">
        <v>48</v>
      </c>
      <c r="C12" s="40">
        <f t="shared" si="1"/>
        <v>0.10191082802547771</v>
      </c>
      <c r="E12" s="59" t="s">
        <v>71</v>
      </c>
      <c r="F12" s="56" t="s">
        <v>26</v>
      </c>
      <c r="G12" s="44">
        <v>91</v>
      </c>
      <c r="H12" s="129">
        <f>IF(B$17=0,0,G12/B$17)</f>
        <v>7.9337401918047085E-2</v>
      </c>
      <c r="I12" s="90">
        <v>7</v>
      </c>
      <c r="K12" s="36">
        <v>10</v>
      </c>
      <c r="L12" s="95">
        <v>-12</v>
      </c>
      <c r="N12" s="112" t="s">
        <v>164</v>
      </c>
      <c r="O12" s="122">
        <f>IF(P12=0,0,Q12/P12)</f>
        <v>-1.2292993630573255</v>
      </c>
      <c r="P12" s="116">
        <v>157</v>
      </c>
      <c r="Q12" s="104">
        <v>-193.00000000000011</v>
      </c>
    </row>
    <row r="13" spans="1:17" x14ac:dyDescent="0.4">
      <c r="A13" s="54" t="s">
        <v>121</v>
      </c>
      <c r="B13" s="47">
        <v>979</v>
      </c>
      <c r="C13" s="42">
        <f>IF(B$3=0,0,B13/B$3)</f>
        <v>0.25102564102564101</v>
      </c>
      <c r="E13" s="59" t="s">
        <v>83</v>
      </c>
      <c r="F13" s="56" t="s">
        <v>38</v>
      </c>
      <c r="G13" s="44">
        <v>61</v>
      </c>
      <c r="H13" s="129">
        <f>IF(B$17=0,0,G13/B$17)</f>
        <v>5.3182214472537057E-2</v>
      </c>
      <c r="I13" s="90">
        <v>6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904</v>
      </c>
      <c r="C14" s="37">
        <f>IF(B$3=0,0,B14/B$3)</f>
        <v>0.23179487179487179</v>
      </c>
      <c r="E14" s="59" t="s">
        <v>86</v>
      </c>
      <c r="F14" s="56" t="s">
        <v>41</v>
      </c>
      <c r="G14" s="44">
        <v>52</v>
      </c>
      <c r="H14" s="129">
        <f>IF(B$17=0,0,G14/B$17)</f>
        <v>4.5335658238884045E-2</v>
      </c>
      <c r="I14" s="90">
        <v>5</v>
      </c>
      <c r="K14" s="36">
        <v>12</v>
      </c>
      <c r="L14" s="95">
        <v>0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553</v>
      </c>
      <c r="C15" s="35">
        <f>IF(B$13=0,0,B15/B$13)</f>
        <v>0.56486210418794691</v>
      </c>
      <c r="E15" s="59" t="s">
        <v>78</v>
      </c>
      <c r="F15" s="56" t="s">
        <v>33</v>
      </c>
      <c r="G15" s="44">
        <v>28</v>
      </c>
      <c r="H15" s="129">
        <f>IF(B$17=0,0,G15/B$17)</f>
        <v>2.4411508282476024E-2</v>
      </c>
      <c r="I15" s="90">
        <v>4</v>
      </c>
      <c r="K15" s="36">
        <v>13</v>
      </c>
      <c r="L15" s="95">
        <v>-1.7</v>
      </c>
      <c r="N15" s="110" t="s">
        <v>182</v>
      </c>
      <c r="O15" s="120">
        <f>IF(P15=0,0,Q15/P15)</f>
        <v>22.891935483870952</v>
      </c>
      <c r="P15" s="114">
        <v>62</v>
      </c>
      <c r="Q15" s="102">
        <v>1419.299999999999</v>
      </c>
    </row>
    <row r="16" spans="1:17" x14ac:dyDescent="0.4">
      <c r="A16" s="50" t="s">
        <v>124</v>
      </c>
      <c r="B16" s="43">
        <v>368</v>
      </c>
      <c r="C16" s="35">
        <f>IF(B$14=0,0,B16/B$14)</f>
        <v>0.40707964601769914</v>
      </c>
      <c r="E16" s="59" t="s">
        <v>167</v>
      </c>
      <c r="F16" s="56" t="s">
        <v>168</v>
      </c>
      <c r="G16" s="44">
        <v>28</v>
      </c>
      <c r="H16" s="129">
        <f>IF(B$17=0,0,G16/B$17)</f>
        <v>2.4411508282476024E-2</v>
      </c>
      <c r="I16" s="90">
        <v>3</v>
      </c>
      <c r="K16" s="36">
        <v>14</v>
      </c>
      <c r="L16" s="95">
        <v>24.3</v>
      </c>
      <c r="N16" s="111" t="s">
        <v>195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">
      <c r="A17" s="50" t="s">
        <v>10</v>
      </c>
      <c r="B17" s="43">
        <f>B19+B18</f>
        <v>1147</v>
      </c>
      <c r="C17" s="35">
        <f>IF(B$3=0,0,B17/B$3)</f>
        <v>0.29410256410256408</v>
      </c>
      <c r="E17" s="59" t="s">
        <v>81</v>
      </c>
      <c r="F17" s="56" t="s">
        <v>36</v>
      </c>
      <c r="G17" s="44">
        <v>22</v>
      </c>
      <c r="H17" s="129">
        <f>IF(B$17=0,0,G17/B$17)</f>
        <v>1.9180470793374021E-2</v>
      </c>
      <c r="I17" s="90">
        <v>7</v>
      </c>
      <c r="K17" s="36">
        <v>15</v>
      </c>
      <c r="L17" s="95">
        <v>0</v>
      </c>
      <c r="N17" s="111" t="s">
        <v>179</v>
      </c>
      <c r="O17" s="121">
        <f>IF(P17=0,0,Q17/P17)</f>
        <v>10.151694915254238</v>
      </c>
      <c r="P17" s="115">
        <v>118</v>
      </c>
      <c r="Q17" s="103">
        <v>1197.9000000000001</v>
      </c>
    </row>
    <row r="18" spans="1:17" x14ac:dyDescent="0.4">
      <c r="A18" s="51" t="s">
        <v>12</v>
      </c>
      <c r="B18" s="44">
        <v>502</v>
      </c>
      <c r="C18" s="37">
        <f>IF(B$17=0,0,B18/B$17)</f>
        <v>0.43766346992153443</v>
      </c>
      <c r="E18" s="59" t="s">
        <v>91</v>
      </c>
      <c r="F18" s="56" t="s">
        <v>46</v>
      </c>
      <c r="G18" s="44">
        <v>16</v>
      </c>
      <c r="H18" s="129">
        <f>IF(B$17=0,0,G18/B$17)</f>
        <v>1.3949433304272014E-2</v>
      </c>
      <c r="I18" s="90">
        <v>4</v>
      </c>
      <c r="K18" s="36">
        <v>16</v>
      </c>
      <c r="L18" s="95">
        <v>-28.2</v>
      </c>
      <c r="N18" s="111" t="s">
        <v>166</v>
      </c>
      <c r="O18" s="121">
        <f>IF(P18=0,0,Q18/P18)</f>
        <v>6.0069767441860442</v>
      </c>
      <c r="P18" s="115">
        <v>86</v>
      </c>
      <c r="Q18" s="103">
        <v>516.5999999999998</v>
      </c>
    </row>
    <row r="19" spans="1:17" x14ac:dyDescent="0.4">
      <c r="A19" s="51" t="s">
        <v>11</v>
      </c>
      <c r="B19" s="44">
        <v>645</v>
      </c>
      <c r="C19" s="37">
        <f>IF(B$17=0,0,B19/B$17)</f>
        <v>0.56233653007846551</v>
      </c>
      <c r="E19" s="59" t="s">
        <v>79</v>
      </c>
      <c r="F19" s="56" t="s">
        <v>34</v>
      </c>
      <c r="G19" s="44">
        <v>15</v>
      </c>
      <c r="H19" s="129">
        <f>IF(B$17=0,0,G19/B$17)</f>
        <v>1.3077593722755012E-2</v>
      </c>
      <c r="I19" s="90">
        <v>5</v>
      </c>
      <c r="K19" s="36">
        <v>17</v>
      </c>
      <c r="L19" s="95">
        <v>-20.5</v>
      </c>
      <c r="N19" s="111" t="s">
        <v>178</v>
      </c>
      <c r="O19" s="121">
        <f>IF(P19=0,0,Q19/P19)</f>
        <v>1.7006493506493501</v>
      </c>
      <c r="P19" s="115">
        <v>154</v>
      </c>
      <c r="Q19" s="103">
        <v>261.89999999999992</v>
      </c>
    </row>
    <row r="20" spans="1:17" x14ac:dyDescent="0.4">
      <c r="A20" s="51" t="s">
        <v>13</v>
      </c>
      <c r="B20" s="44">
        <v>638</v>
      </c>
      <c r="C20" s="37">
        <f>IF(B$3=0,0,B20/B$3)</f>
        <v>0.1635897435897436</v>
      </c>
      <c r="E20" s="59" t="s">
        <v>75</v>
      </c>
      <c r="F20" s="56" t="s">
        <v>30</v>
      </c>
      <c r="G20" s="44">
        <v>7</v>
      </c>
      <c r="H20" s="129">
        <f>IF(B$17=0,0,G20/B$17)</f>
        <v>6.1028770706190059E-3</v>
      </c>
      <c r="I20" s="90">
        <v>6</v>
      </c>
      <c r="K20" s="36">
        <v>18</v>
      </c>
      <c r="L20" s="95">
        <v>0</v>
      </c>
      <c r="N20" s="111" t="s">
        <v>181</v>
      </c>
      <c r="O20" s="121">
        <f>IF(P20=0,0,Q20/P20)</f>
        <v>-2.058333333333334</v>
      </c>
      <c r="P20" s="115">
        <v>36</v>
      </c>
      <c r="Q20" s="103">
        <v>-74.100000000000023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74</v>
      </c>
      <c r="F21" s="56" t="s">
        <v>29</v>
      </c>
      <c r="G21" s="44">
        <v>6</v>
      </c>
      <c r="H21" s="129">
        <f>IF(B$17=0,0,G21/B$17)</f>
        <v>5.2310374891020054E-3</v>
      </c>
      <c r="I21" s="90">
        <v>5</v>
      </c>
      <c r="K21" s="36">
        <v>19</v>
      </c>
      <c r="L21" s="95">
        <v>-22.4</v>
      </c>
      <c r="N21" s="111" t="s">
        <v>127</v>
      </c>
      <c r="O21" s="121">
        <f>IF(P21=0,0,Q21/P21)</f>
        <v>-5.6647058823529468</v>
      </c>
      <c r="P21" s="115">
        <v>170</v>
      </c>
      <c r="Q21" s="103">
        <v>-963.00000000000102</v>
      </c>
    </row>
    <row r="22" spans="1:17" x14ac:dyDescent="0.4">
      <c r="A22" s="51" t="s">
        <v>170</v>
      </c>
      <c r="B22" s="44">
        <v>31</v>
      </c>
      <c r="C22" s="131">
        <v>0</v>
      </c>
      <c r="E22" s="59" t="s">
        <v>92</v>
      </c>
      <c r="F22" s="56" t="s">
        <v>47</v>
      </c>
      <c r="G22" s="44">
        <v>6</v>
      </c>
      <c r="H22" s="129">
        <f>IF(B$17=0,0,G22/B$17)</f>
        <v>5.2310374891020054E-3</v>
      </c>
      <c r="I22" s="90">
        <v>3</v>
      </c>
      <c r="K22" s="36">
        <v>20</v>
      </c>
      <c r="L22" s="95">
        <v>-61.199999999999996</v>
      </c>
      <c r="N22" s="111" t="s">
        <v>177</v>
      </c>
      <c r="O22" s="121">
        <f>IF(P22=0,0,Q22/P22)</f>
        <v>-7.0663636363636346</v>
      </c>
      <c r="P22" s="115">
        <v>110</v>
      </c>
      <c r="Q22" s="103">
        <v>-777.29999999999984</v>
      </c>
    </row>
    <row r="23" spans="1:17" x14ac:dyDescent="0.4">
      <c r="A23" s="51" t="s">
        <v>5</v>
      </c>
      <c r="B23" s="48">
        <f>IF(B$17=0,0,C23/B$17)</f>
        <v>8322.7550130775944</v>
      </c>
      <c r="C23" s="39">
        <v>9546200</v>
      </c>
      <c r="E23" s="59" t="s">
        <v>88</v>
      </c>
      <c r="F23" s="56" t="s">
        <v>43</v>
      </c>
      <c r="G23" s="44">
        <v>5</v>
      </c>
      <c r="H23" s="129">
        <f>IF(B$17=0,0,G23/B$17)</f>
        <v>4.3591979075850041E-3</v>
      </c>
      <c r="I23" s="90">
        <v>4</v>
      </c>
      <c r="K23" s="36">
        <v>21</v>
      </c>
      <c r="L23" s="95">
        <v>7.1054273576010019E-15</v>
      </c>
      <c r="N23" s="111" t="s">
        <v>126</v>
      </c>
      <c r="O23" s="121">
        <f>IF(P23=0,0,Q23/P23)</f>
        <v>-9.6654255319148863</v>
      </c>
      <c r="P23" s="115">
        <v>188</v>
      </c>
      <c r="Q23" s="103">
        <v>-1817.0999999999988</v>
      </c>
    </row>
    <row r="24" spans="1:17" x14ac:dyDescent="0.4">
      <c r="A24" s="52" t="s">
        <v>216</v>
      </c>
      <c r="B24" s="136">
        <f>IF($B$17-B$16=0,0,C24/($B$17-B$16))</f>
        <v>8797.6893453145058</v>
      </c>
      <c r="C24" s="137">
        <v>6853400</v>
      </c>
      <c r="E24" s="59" t="s">
        <v>73</v>
      </c>
      <c r="F24" s="56" t="s">
        <v>28</v>
      </c>
      <c r="G24" s="44">
        <v>4</v>
      </c>
      <c r="H24" s="129">
        <f>IF(B$17=0,0,G24/B$17)</f>
        <v>3.4873583260680036E-3</v>
      </c>
      <c r="I24" s="90">
        <v>3</v>
      </c>
      <c r="K24" s="36">
        <v>22</v>
      </c>
      <c r="L24" s="95">
        <v>-25.099999999999994</v>
      </c>
      <c r="N24" s="111" t="s">
        <v>222</v>
      </c>
      <c r="O24" s="121">
        <f>IF(P24=0,0,Q24/P24)</f>
        <v>-19.650000000000006</v>
      </c>
      <c r="P24" s="115">
        <v>4</v>
      </c>
      <c r="Q24" s="103">
        <v>-78.600000000000023</v>
      </c>
    </row>
    <row r="25" spans="1:17" x14ac:dyDescent="0.4">
      <c r="A25" s="52" t="s">
        <v>217</v>
      </c>
      <c r="B25" s="136">
        <f>IF(B$16=0,0,C25/B$16)</f>
        <v>7317.391304347826</v>
      </c>
      <c r="C25" s="137">
        <v>2692800</v>
      </c>
      <c r="E25" s="59" t="s">
        <v>77</v>
      </c>
      <c r="F25" s="56" t="s">
        <v>32</v>
      </c>
      <c r="G25" s="44">
        <v>4</v>
      </c>
      <c r="H25" s="129">
        <f>IF(B$17=0,0,G25/B$17)</f>
        <v>3.4873583260680036E-3</v>
      </c>
      <c r="I25" s="90">
        <v>3</v>
      </c>
      <c r="K25" s="36">
        <v>23</v>
      </c>
      <c r="L25" s="95">
        <v>-26.799999999999994</v>
      </c>
    </row>
    <row r="26" spans="1:17" x14ac:dyDescent="0.4">
      <c r="A26" s="52" t="s">
        <v>215</v>
      </c>
      <c r="B26" s="136">
        <f>IF(B$20=0,0,C26/B$20)</f>
        <v>-7794.2006269592475</v>
      </c>
      <c r="C26" s="137">
        <v>-4972700</v>
      </c>
      <c r="E26" s="59" t="s">
        <v>84</v>
      </c>
      <c r="F26" s="56" t="s">
        <v>39</v>
      </c>
      <c r="G26" s="44">
        <v>4</v>
      </c>
      <c r="H26" s="129">
        <f>IF(B$17=0,0,G26/B$17)</f>
        <v>3.4873583260680036E-3</v>
      </c>
      <c r="I26" s="90">
        <v>3</v>
      </c>
      <c r="K26" s="36">
        <v>24</v>
      </c>
      <c r="L26" s="95">
        <v>7.1054273576010019E-15</v>
      </c>
    </row>
    <row r="27" spans="1:17" x14ac:dyDescent="0.4">
      <c r="A27" s="86" t="s">
        <v>140</v>
      </c>
      <c r="B27" s="142">
        <v>8</v>
      </c>
      <c r="C27" s="143"/>
      <c r="E27" s="59" t="s">
        <v>85</v>
      </c>
      <c r="F27" s="56" t="s">
        <v>40</v>
      </c>
      <c r="G27" s="44">
        <v>4</v>
      </c>
      <c r="H27" s="129">
        <f>IF(B$17=0,0,G27/B$17)</f>
        <v>3.4873583260680036E-3</v>
      </c>
      <c r="I27" s="90">
        <v>5</v>
      </c>
      <c r="K27" s="36">
        <v>25</v>
      </c>
      <c r="L27" s="95">
        <v>15.000000000000007</v>
      </c>
    </row>
    <row r="28" spans="1:17" x14ac:dyDescent="0.4">
      <c r="A28" s="54" t="s">
        <v>150</v>
      </c>
      <c r="B28" s="140">
        <v>103600</v>
      </c>
      <c r="C28" s="141"/>
      <c r="E28" s="59" t="s">
        <v>95</v>
      </c>
      <c r="F28" s="56" t="s">
        <v>50</v>
      </c>
      <c r="G28" s="44">
        <v>3</v>
      </c>
      <c r="H28" s="129">
        <f>IF(B$17=0,0,G28/B$17)</f>
        <v>2.6155187445510027E-3</v>
      </c>
      <c r="I28" s="90">
        <v>4</v>
      </c>
      <c r="K28" s="36">
        <v>26</v>
      </c>
      <c r="L28" s="95">
        <v>0.60000000000000675</v>
      </c>
    </row>
    <row r="29" spans="1:17" x14ac:dyDescent="0.4">
      <c r="A29" s="53" t="s">
        <v>141</v>
      </c>
      <c r="B29" s="61">
        <v>12</v>
      </c>
      <c r="C29" s="40">
        <f>IF(B$3=0,0,B29/B$3)</f>
        <v>3.0769230769230769E-3</v>
      </c>
      <c r="E29" s="59" t="s">
        <v>87</v>
      </c>
      <c r="F29" s="56" t="s">
        <v>42</v>
      </c>
      <c r="G29" s="44">
        <v>2</v>
      </c>
      <c r="H29" s="129">
        <f>IF(B$17=0,0,G29/B$17)</f>
        <v>1.7436791630340018E-3</v>
      </c>
      <c r="I29" s="90">
        <v>3</v>
      </c>
      <c r="K29" s="36">
        <v>27</v>
      </c>
      <c r="L29" s="95">
        <v>6.7723604502134549E-15</v>
      </c>
    </row>
    <row r="30" spans="1:17" x14ac:dyDescent="0.4">
      <c r="E30" s="59" t="s">
        <v>90</v>
      </c>
      <c r="F30" s="56" t="s">
        <v>45</v>
      </c>
      <c r="G30" s="44">
        <v>2</v>
      </c>
      <c r="H30" s="129">
        <f>IF(B$17=0,0,G30/B$17)</f>
        <v>1.7436791630340018E-3</v>
      </c>
      <c r="I30" s="90">
        <v>3</v>
      </c>
      <c r="K30" s="36">
        <v>28</v>
      </c>
      <c r="L30" s="95">
        <v>-30.199999999999992</v>
      </c>
    </row>
    <row r="31" spans="1:17" x14ac:dyDescent="0.4">
      <c r="E31" s="59" t="s">
        <v>93</v>
      </c>
      <c r="F31" s="56" t="s">
        <v>48</v>
      </c>
      <c r="G31" s="44">
        <v>2</v>
      </c>
      <c r="H31" s="129">
        <f>IF(B$17=0,0,G31/B$17)</f>
        <v>1.7436791630340018E-3</v>
      </c>
      <c r="I31" s="90">
        <v>3</v>
      </c>
      <c r="K31" s="36">
        <v>29</v>
      </c>
      <c r="L31" s="95">
        <v>-2.3999999999999915</v>
      </c>
    </row>
    <row r="32" spans="1:17" x14ac:dyDescent="0.4">
      <c r="E32" s="59" t="s">
        <v>101</v>
      </c>
      <c r="F32" s="56" t="s">
        <v>56</v>
      </c>
      <c r="G32" s="44">
        <v>1</v>
      </c>
      <c r="H32" s="129">
        <f>IF(B$17=0,0,G32/B$17)</f>
        <v>8.7183958151700091E-4</v>
      </c>
      <c r="I32" s="90">
        <v>2</v>
      </c>
      <c r="K32" s="36">
        <v>30</v>
      </c>
      <c r="L32" s="95">
        <v>8.4376949871511897E-15</v>
      </c>
    </row>
    <row r="33" spans="5:12" x14ac:dyDescent="0.4">
      <c r="E33" s="59" t="s">
        <v>76</v>
      </c>
      <c r="F33" s="56" t="s">
        <v>31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12.500000000000009</v>
      </c>
    </row>
    <row r="34" spans="5:12" x14ac:dyDescent="0.4">
      <c r="E34" s="59" t="s">
        <v>80</v>
      </c>
      <c r="F34" s="56" t="s">
        <v>35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47.300000000000004</v>
      </c>
    </row>
    <row r="35" spans="5:12" x14ac:dyDescent="0.4">
      <c r="E35" s="59" t="s">
        <v>82</v>
      </c>
      <c r="F35" s="56" t="s">
        <v>37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7.1054273576010019E-15</v>
      </c>
    </row>
    <row r="36" spans="5:12" x14ac:dyDescent="0.4">
      <c r="E36" s="59" t="s">
        <v>94</v>
      </c>
      <c r="F36" s="56" t="s">
        <v>49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-5.8999999999999932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26.900000000000006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7.1054273576010019E-15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17.400000000000006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-5.2999999999999936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6.2172489379008766E-15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10.300000000000008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-26.999999999999989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1.0658141036401503E-14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-20.899999999999988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0.30000000000001137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1.1379786002407855E-14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6.7999999999999856</v>
      </c>
    </row>
    <row r="289" spans="11:12" x14ac:dyDescent="0.4">
      <c r="K289" s="36">
        <v>287</v>
      </c>
      <c r="L289" s="95">
        <v>31.599999999999987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-16.100000000000016</v>
      </c>
    </row>
    <row r="292" spans="11:12" x14ac:dyDescent="0.4">
      <c r="K292" s="36">
        <v>290</v>
      </c>
      <c r="L292" s="95">
        <v>26.899999999999984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6.5999999999999854</v>
      </c>
    </row>
    <row r="295" spans="11:12" x14ac:dyDescent="0.4">
      <c r="K295" s="36">
        <v>293</v>
      </c>
      <c r="L295" s="95">
        <v>28.799999999999983</v>
      </c>
    </row>
    <row r="296" spans="11:12" x14ac:dyDescent="0.4">
      <c r="K296" s="36">
        <v>294</v>
      </c>
      <c r="L296" s="95">
        <v>-1.7763568394002505E-14</v>
      </c>
    </row>
    <row r="297" spans="11:12" x14ac:dyDescent="0.4">
      <c r="K297" s="36">
        <v>295</v>
      </c>
      <c r="L297" s="95">
        <v>4.3999999999999826</v>
      </c>
    </row>
    <row r="298" spans="11:12" x14ac:dyDescent="0.4">
      <c r="K298" s="36">
        <v>296</v>
      </c>
      <c r="L298" s="95">
        <v>20.299999999999983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18.299999999999983</v>
      </c>
    </row>
    <row r="301" spans="11:12" x14ac:dyDescent="0.4">
      <c r="K301" s="36">
        <v>299</v>
      </c>
      <c r="L301" s="95">
        <v>16.699999999999982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19.199999999999982</v>
      </c>
    </row>
    <row r="304" spans="11:12" x14ac:dyDescent="0.4">
      <c r="K304" s="36">
        <v>302</v>
      </c>
      <c r="L304" s="95">
        <v>27.799999999999983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12.399999999999983</v>
      </c>
    </row>
    <row r="307" spans="11:12" x14ac:dyDescent="0.4">
      <c r="K307" s="36">
        <v>305</v>
      </c>
      <c r="L307" s="95">
        <v>12.999999999999982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61.499999999999986</v>
      </c>
    </row>
    <row r="310" spans="11:12" x14ac:dyDescent="0.4">
      <c r="K310" s="36">
        <v>308</v>
      </c>
      <c r="L310" s="95">
        <v>8.7999999999999829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-2.0000000000000178</v>
      </c>
    </row>
    <row r="313" spans="11:12" x14ac:dyDescent="0.4">
      <c r="K313" s="36">
        <v>311</v>
      </c>
      <c r="L313" s="95">
        <v>35.199999999999989</v>
      </c>
    </row>
    <row r="314" spans="11:12" x14ac:dyDescent="0.4">
      <c r="K314" s="36">
        <v>312</v>
      </c>
      <c r="L314" s="95">
        <v>-1.4210854715202004E-14</v>
      </c>
    </row>
    <row r="315" spans="11:12" x14ac:dyDescent="0.4">
      <c r="K315" s="36">
        <v>313</v>
      </c>
      <c r="L315" s="95">
        <v>30.499999999999986</v>
      </c>
    </row>
    <row r="316" spans="11:12" x14ac:dyDescent="0.4">
      <c r="K316" s="36">
        <v>314</v>
      </c>
      <c r="L316" s="95">
        <v>34.899999999999984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12.199999999999985</v>
      </c>
    </row>
    <row r="319" spans="11:12" x14ac:dyDescent="0.4">
      <c r="K319" s="36">
        <v>317</v>
      </c>
      <c r="L319" s="95">
        <v>-40.600000000000009</v>
      </c>
    </row>
    <row r="320" spans="11:12" x14ac:dyDescent="0.4">
      <c r="K320" s="36">
        <v>318</v>
      </c>
      <c r="L320" s="95">
        <v>-7.1054273576010019E-15</v>
      </c>
    </row>
    <row r="321" spans="11:12" x14ac:dyDescent="0.4">
      <c r="K321" s="36">
        <v>319</v>
      </c>
      <c r="L321" s="95">
        <v>32.399999999999991</v>
      </c>
    </row>
    <row r="322" spans="11:12" x14ac:dyDescent="0.4">
      <c r="K322" s="36">
        <v>320</v>
      </c>
      <c r="L322" s="95">
        <v>47.999999999999993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55.099999999999994</v>
      </c>
    </row>
    <row r="325" spans="11:12" x14ac:dyDescent="0.4">
      <c r="K325" s="36">
        <v>323</v>
      </c>
      <c r="L325" s="95">
        <v>35.099999999999994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40.899999999999991</v>
      </c>
    </row>
    <row r="328" spans="11:12" x14ac:dyDescent="0.4">
      <c r="K328" s="36">
        <v>326</v>
      </c>
      <c r="L328" s="95">
        <v>31.699999999999992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-1.400000000000007</v>
      </c>
    </row>
    <row r="331" spans="11:12" x14ac:dyDescent="0.4">
      <c r="K331" s="36">
        <v>329</v>
      </c>
      <c r="L331" s="95">
        <v>-18.400000000000006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-8.7000000000000064</v>
      </c>
    </row>
    <row r="334" spans="11:12" x14ac:dyDescent="0.4">
      <c r="K334" s="36">
        <v>332</v>
      </c>
      <c r="L334" s="95">
        <v>-35.500000000000007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28.799999999999994</v>
      </c>
    </row>
    <row r="337" spans="11:12" x14ac:dyDescent="0.4">
      <c r="K337" s="36">
        <v>335</v>
      </c>
      <c r="L337" s="95">
        <v>41.399999999999991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12.599999999999993</v>
      </c>
    </row>
    <row r="340" spans="11:12" x14ac:dyDescent="0.4">
      <c r="K340" s="36">
        <v>338</v>
      </c>
      <c r="L340" s="95">
        <v>-28.700000000000003</v>
      </c>
    </row>
    <row r="341" spans="11:12" x14ac:dyDescent="0.4">
      <c r="K341" s="36">
        <v>339</v>
      </c>
      <c r="L341" s="95">
        <v>-3.5527136788005009E-15</v>
      </c>
    </row>
    <row r="342" spans="11:12" x14ac:dyDescent="0.4">
      <c r="K342" s="36">
        <v>340</v>
      </c>
      <c r="L342" s="95">
        <v>14.899999999999997</v>
      </c>
    </row>
    <row r="343" spans="11:12" x14ac:dyDescent="0.4">
      <c r="K343" s="36">
        <v>341</v>
      </c>
      <c r="L343" s="95">
        <v>42.699999999999996</v>
      </c>
    </row>
    <row r="344" spans="11:12" x14ac:dyDescent="0.4">
      <c r="K344" s="36">
        <v>342</v>
      </c>
      <c r="L344" s="95">
        <v>-7.1054273576010019E-15</v>
      </c>
    </row>
    <row r="345" spans="11:12" x14ac:dyDescent="0.4">
      <c r="K345" s="36">
        <v>343</v>
      </c>
      <c r="L345" s="95">
        <v>-24.000000000000007</v>
      </c>
    </row>
    <row r="346" spans="11:12" x14ac:dyDescent="0.4">
      <c r="K346" s="36">
        <v>344</v>
      </c>
      <c r="L346" s="95">
        <v>-25.600000000000009</v>
      </c>
    </row>
    <row r="347" spans="11:12" x14ac:dyDescent="0.4">
      <c r="K347" s="36">
        <v>345</v>
      </c>
      <c r="L347" s="95">
        <v>-7.1054273576010019E-15</v>
      </c>
    </row>
    <row r="348" spans="11:12" x14ac:dyDescent="0.4">
      <c r="K348" s="36">
        <v>346</v>
      </c>
      <c r="L348" s="95">
        <v>3.9999999999999929</v>
      </c>
    </row>
    <row r="349" spans="11:12" x14ac:dyDescent="0.4">
      <c r="K349" s="36">
        <v>347</v>
      </c>
      <c r="L349" s="95">
        <v>-24.100000000000009</v>
      </c>
    </row>
    <row r="350" spans="11:12" x14ac:dyDescent="0.4">
      <c r="K350" s="36">
        <v>348</v>
      </c>
      <c r="L350" s="95">
        <v>-7.1054273576010019E-15</v>
      </c>
    </row>
    <row r="351" spans="11:12" x14ac:dyDescent="0.4">
      <c r="K351" s="36">
        <v>349</v>
      </c>
      <c r="L351" s="95">
        <v>-4.5000000000000071</v>
      </c>
    </row>
    <row r="352" spans="11:12" x14ac:dyDescent="0.4">
      <c r="K352" s="36">
        <v>350</v>
      </c>
      <c r="L352" s="95">
        <v>-34.500000000000007</v>
      </c>
    </row>
    <row r="353" spans="11:12" x14ac:dyDescent="0.4">
      <c r="K353" s="36">
        <v>351</v>
      </c>
      <c r="L353" s="95">
        <v>-7.1054273576010019E-15</v>
      </c>
    </row>
    <row r="354" spans="11:12" x14ac:dyDescent="0.4">
      <c r="K354" s="36">
        <v>352</v>
      </c>
      <c r="L354" s="95">
        <v>-30.500000000000007</v>
      </c>
    </row>
    <row r="355" spans="11:12" x14ac:dyDescent="0.4">
      <c r="K355" s="36">
        <v>353</v>
      </c>
      <c r="L355" s="95">
        <v>-33.800000000000004</v>
      </c>
    </row>
    <row r="356" spans="11:12" x14ac:dyDescent="0.4">
      <c r="K356" s="36">
        <v>354</v>
      </c>
      <c r="L356" s="95">
        <v>-7.1054273576010019E-15</v>
      </c>
    </row>
    <row r="357" spans="11:12" x14ac:dyDescent="0.4">
      <c r="K357" s="36">
        <v>355</v>
      </c>
      <c r="L357" s="95">
        <v>-31.300000000000008</v>
      </c>
    </row>
    <row r="358" spans="11:12" x14ac:dyDescent="0.4">
      <c r="K358" s="36">
        <v>356</v>
      </c>
      <c r="L358" s="95">
        <v>-6.5000000000000071</v>
      </c>
    </row>
    <row r="359" spans="11:12" x14ac:dyDescent="0.4">
      <c r="K359" s="36">
        <v>357</v>
      </c>
      <c r="L359" s="95">
        <v>-7.1054273576010019E-15</v>
      </c>
    </row>
    <row r="360" spans="11:12" x14ac:dyDescent="0.4">
      <c r="K360" s="36">
        <v>358</v>
      </c>
      <c r="L360" s="95">
        <v>-22.400000000000006</v>
      </c>
    </row>
    <row r="361" spans="11:12" x14ac:dyDescent="0.4">
      <c r="K361" s="36">
        <v>359</v>
      </c>
      <c r="L361" s="95">
        <v>3.0999999999999943</v>
      </c>
    </row>
    <row r="362" spans="11:12" x14ac:dyDescent="0.4">
      <c r="K362" s="36">
        <v>360</v>
      </c>
      <c r="L362" s="95">
        <v>-5.773159728050814E-15</v>
      </c>
    </row>
    <row r="363" spans="11:12" x14ac:dyDescent="0.4">
      <c r="K363" s="36">
        <v>361</v>
      </c>
      <c r="L363" s="95">
        <v>1.2999999999999943</v>
      </c>
    </row>
    <row r="364" spans="11:12" x14ac:dyDescent="0.4">
      <c r="K364" s="36">
        <v>362</v>
      </c>
      <c r="L364" s="95">
        <v>26.099999999999994</v>
      </c>
    </row>
    <row r="365" spans="11:12" x14ac:dyDescent="0.4">
      <c r="K365" s="36">
        <v>363</v>
      </c>
      <c r="L365" s="95">
        <v>-7.1054273576010019E-15</v>
      </c>
    </row>
    <row r="366" spans="11:12" x14ac:dyDescent="0.4">
      <c r="K366" s="36">
        <v>364</v>
      </c>
      <c r="L366" s="95">
        <v>5.5999999999999925</v>
      </c>
    </row>
    <row r="367" spans="11:12" x14ac:dyDescent="0.4">
      <c r="K367" s="36">
        <v>365</v>
      </c>
      <c r="L367" s="95">
        <v>-19.400000000000006</v>
      </c>
    </row>
    <row r="368" spans="11:12" x14ac:dyDescent="0.4">
      <c r="K368" s="36">
        <v>366</v>
      </c>
      <c r="L368" s="95">
        <v>-7.1054273576010019E-15</v>
      </c>
    </row>
    <row r="369" spans="11:12" x14ac:dyDescent="0.4">
      <c r="K369" s="36">
        <v>367</v>
      </c>
      <c r="L369" s="95">
        <v>14.799999999999994</v>
      </c>
    </row>
    <row r="370" spans="11:12" x14ac:dyDescent="0.4">
      <c r="K370" s="36">
        <v>368</v>
      </c>
      <c r="L370" s="95">
        <v>14.199999999999994</v>
      </c>
    </row>
    <row r="371" spans="11:12" x14ac:dyDescent="0.4">
      <c r="K371" s="36">
        <v>369</v>
      </c>
      <c r="L371" s="95">
        <v>-5.3290705182007514E-15</v>
      </c>
    </row>
    <row r="372" spans="11:12" x14ac:dyDescent="0.4">
      <c r="K372" s="36">
        <v>370</v>
      </c>
      <c r="L372" s="95">
        <v>-42.300000000000004</v>
      </c>
    </row>
    <row r="373" spans="11:12" x14ac:dyDescent="0.4">
      <c r="K373" s="36">
        <v>371</v>
      </c>
      <c r="L373" s="95">
        <v>-49.1</v>
      </c>
    </row>
    <row r="374" spans="11:12" x14ac:dyDescent="0.4">
      <c r="K374" s="36">
        <v>372</v>
      </c>
      <c r="L374" s="95">
        <v>0</v>
      </c>
    </row>
    <row r="375" spans="11:12" x14ac:dyDescent="0.4">
      <c r="K375" s="36">
        <v>373</v>
      </c>
      <c r="L375" s="95">
        <v>11.4</v>
      </c>
    </row>
    <row r="376" spans="11:12" x14ac:dyDescent="0.4">
      <c r="K376" s="36">
        <v>374</v>
      </c>
      <c r="L376" s="95">
        <v>53.4</v>
      </c>
    </row>
    <row r="377" spans="11:12" x14ac:dyDescent="0.4">
      <c r="K377" s="36">
        <v>375</v>
      </c>
      <c r="L377" s="95">
        <v>0</v>
      </c>
    </row>
    <row r="378" spans="11:12" x14ac:dyDescent="0.4">
      <c r="K378" s="36">
        <v>376</v>
      </c>
      <c r="L378" s="95">
        <v>22.2</v>
      </c>
    </row>
    <row r="379" spans="11:12" x14ac:dyDescent="0.4">
      <c r="K379" s="36">
        <v>377</v>
      </c>
      <c r="L379" s="95">
        <v>-9.4000000000000021</v>
      </c>
    </row>
    <row r="380" spans="11:12" x14ac:dyDescent="0.4">
      <c r="K380" s="36">
        <v>378</v>
      </c>
      <c r="L380" s="95">
        <v>-1.7763568394002505E-15</v>
      </c>
    </row>
    <row r="381" spans="11:12" x14ac:dyDescent="0.4">
      <c r="K381" s="36">
        <v>379</v>
      </c>
      <c r="L381" s="95">
        <v>9.0999999999999979</v>
      </c>
    </row>
    <row r="382" spans="11:12" x14ac:dyDescent="0.4">
      <c r="K382" s="36">
        <v>380</v>
      </c>
      <c r="L382" s="95">
        <v>-20.400000000000002</v>
      </c>
    </row>
    <row r="383" spans="11:12" x14ac:dyDescent="0.4">
      <c r="K383" s="36">
        <v>381</v>
      </c>
      <c r="L383" s="95">
        <v>-3.5527136788005009E-15</v>
      </c>
    </row>
    <row r="384" spans="11:12" x14ac:dyDescent="0.4">
      <c r="K384" s="36">
        <v>382</v>
      </c>
      <c r="L384" s="95">
        <v>-36.100000000000009</v>
      </c>
    </row>
    <row r="385" spans="11:12" x14ac:dyDescent="0.4">
      <c r="K385" s="36">
        <v>383</v>
      </c>
      <c r="L385" s="95">
        <v>-7.3000000000000078</v>
      </c>
    </row>
    <row r="386" spans="11:12" x14ac:dyDescent="0.4">
      <c r="K386" s="36">
        <v>384</v>
      </c>
      <c r="L386" s="95">
        <v>-7.9936057773011271E-15</v>
      </c>
    </row>
    <row r="387" spans="11:12" x14ac:dyDescent="0.4">
      <c r="K387" s="36">
        <v>385</v>
      </c>
      <c r="L387" s="95">
        <v>-3.000000000000008</v>
      </c>
    </row>
    <row r="388" spans="11:12" x14ac:dyDescent="0.4">
      <c r="K388" s="36">
        <v>386</v>
      </c>
      <c r="L388" s="95">
        <v>-31.500000000000007</v>
      </c>
    </row>
    <row r="389" spans="11:12" x14ac:dyDescent="0.4">
      <c r="K389" s="36">
        <v>387</v>
      </c>
      <c r="L389" s="95">
        <v>-7.1054273576010019E-15</v>
      </c>
    </row>
    <row r="390" spans="11:12" x14ac:dyDescent="0.4">
      <c r="K390" s="36">
        <v>388</v>
      </c>
      <c r="L390" s="95">
        <v>32.499999999999993</v>
      </c>
    </row>
    <row r="391" spans="11:12" x14ac:dyDescent="0.4">
      <c r="K391" s="36">
        <v>389</v>
      </c>
      <c r="L391" s="95">
        <v>21.299999999999994</v>
      </c>
    </row>
    <row r="392" spans="11:12" x14ac:dyDescent="0.4">
      <c r="K392" s="36">
        <v>390</v>
      </c>
      <c r="L392" s="95">
        <v>-7.1054273576010019E-15</v>
      </c>
    </row>
    <row r="393" spans="11:12" x14ac:dyDescent="0.4">
      <c r="K393" s="36">
        <v>391</v>
      </c>
      <c r="L393" s="95">
        <v>-22.400000000000006</v>
      </c>
    </row>
    <row r="394" spans="11:12" x14ac:dyDescent="0.4">
      <c r="K394" s="36">
        <v>392</v>
      </c>
      <c r="L394" s="95">
        <v>-69.100000000000009</v>
      </c>
    </row>
    <row r="395" spans="11:12" x14ac:dyDescent="0.4">
      <c r="K395" s="36">
        <v>393</v>
      </c>
      <c r="L395" s="95">
        <v>-1.4210854715202004E-14</v>
      </c>
    </row>
    <row r="396" spans="11:12" x14ac:dyDescent="0.4">
      <c r="K396" s="36">
        <v>394</v>
      </c>
      <c r="L396" s="95">
        <v>15.199999999999985</v>
      </c>
    </row>
    <row r="397" spans="11:12" x14ac:dyDescent="0.4">
      <c r="K397" s="36">
        <v>395</v>
      </c>
      <c r="L397" s="95">
        <v>18.299999999999986</v>
      </c>
    </row>
    <row r="398" spans="11:12" x14ac:dyDescent="0.4">
      <c r="K398" s="36">
        <v>396</v>
      </c>
      <c r="L398" s="95">
        <v>-1.4210854715202004E-14</v>
      </c>
    </row>
    <row r="399" spans="11:12" x14ac:dyDescent="0.4">
      <c r="K399" s="36">
        <v>397</v>
      </c>
      <c r="L399" s="95">
        <v>1.5999999999999859</v>
      </c>
    </row>
    <row r="400" spans="11:12" x14ac:dyDescent="0.4">
      <c r="K400" s="36">
        <v>398</v>
      </c>
      <c r="L400" s="95">
        <v>-48.900000000000013</v>
      </c>
    </row>
    <row r="401" spans="11:12" x14ac:dyDescent="0.4">
      <c r="K401" s="36">
        <v>399</v>
      </c>
      <c r="L401" s="95">
        <v>-1.4210854715202004E-14</v>
      </c>
    </row>
    <row r="402" spans="11:12" x14ac:dyDescent="0.4">
      <c r="K402" s="36">
        <v>400</v>
      </c>
      <c r="L402" s="95">
        <v>26.799999999999986</v>
      </c>
    </row>
    <row r="403" spans="11:12" x14ac:dyDescent="0.4">
      <c r="K403" s="36">
        <v>401</v>
      </c>
      <c r="L403" s="95">
        <v>40.099999999999987</v>
      </c>
    </row>
    <row r="404" spans="11:12" x14ac:dyDescent="0.4">
      <c r="K404" s="36">
        <v>402</v>
      </c>
      <c r="L404" s="95">
        <v>-1.4210854715202004E-14</v>
      </c>
    </row>
    <row r="405" spans="11:12" x14ac:dyDescent="0.4">
      <c r="K405" s="36">
        <v>403</v>
      </c>
      <c r="L405" s="95">
        <v>-21.300000000000015</v>
      </c>
    </row>
    <row r="406" spans="11:12" x14ac:dyDescent="0.4">
      <c r="K406" s="36">
        <v>404</v>
      </c>
      <c r="L406" s="95">
        <v>-4.7000000000000135</v>
      </c>
    </row>
    <row r="407" spans="11:12" x14ac:dyDescent="0.4">
      <c r="K407" s="36">
        <v>405</v>
      </c>
      <c r="L407" s="95">
        <v>-1.3322676295501878E-14</v>
      </c>
    </row>
    <row r="408" spans="11:12" x14ac:dyDescent="0.4">
      <c r="K408" s="36">
        <v>406</v>
      </c>
      <c r="L408" s="95">
        <v>-29.900000000000013</v>
      </c>
    </row>
    <row r="409" spans="11:12" x14ac:dyDescent="0.4">
      <c r="K409" s="36">
        <v>407</v>
      </c>
      <c r="L409" s="95">
        <v>-5.1000000000000121</v>
      </c>
    </row>
    <row r="410" spans="11:12" x14ac:dyDescent="0.4">
      <c r="K410" s="36">
        <v>408</v>
      </c>
      <c r="L410" s="95">
        <v>-1.2434497875801753E-14</v>
      </c>
    </row>
    <row r="411" spans="11:12" x14ac:dyDescent="0.4">
      <c r="K411" s="36">
        <v>409</v>
      </c>
      <c r="L411" s="95">
        <v>-13.800000000000013</v>
      </c>
    </row>
    <row r="412" spans="11:12" x14ac:dyDescent="0.4">
      <c r="K412" s="36">
        <v>410</v>
      </c>
      <c r="L412" s="95">
        <v>-39.300000000000011</v>
      </c>
    </row>
    <row r="413" spans="11:12" x14ac:dyDescent="0.4">
      <c r="K413" s="36">
        <v>411</v>
      </c>
      <c r="L413" s="95">
        <v>-1.4210854715202004E-14</v>
      </c>
    </row>
    <row r="414" spans="11:12" x14ac:dyDescent="0.4">
      <c r="K414" s="36">
        <v>412</v>
      </c>
      <c r="L414" s="95">
        <v>10.899999999999986</v>
      </c>
    </row>
    <row r="415" spans="11:12" x14ac:dyDescent="0.4">
      <c r="K415" s="36">
        <v>413</v>
      </c>
      <c r="L415" s="95">
        <v>55.899999999999984</v>
      </c>
    </row>
    <row r="416" spans="11:12" x14ac:dyDescent="0.4">
      <c r="K416" s="36">
        <v>414</v>
      </c>
      <c r="L416" s="95">
        <v>-1.4210854715202004E-14</v>
      </c>
    </row>
    <row r="417" spans="11:12" x14ac:dyDescent="0.4">
      <c r="K417" s="36">
        <v>415</v>
      </c>
      <c r="L417" s="95">
        <v>5.9999999999999858</v>
      </c>
    </row>
    <row r="418" spans="11:12" x14ac:dyDescent="0.4">
      <c r="K418" s="36">
        <v>416</v>
      </c>
      <c r="L418" s="95">
        <v>-23.600000000000016</v>
      </c>
    </row>
    <row r="419" spans="11:12" x14ac:dyDescent="0.4">
      <c r="K419" s="36">
        <v>417</v>
      </c>
      <c r="L419" s="95">
        <v>-1.4210854715202004E-14</v>
      </c>
    </row>
    <row r="420" spans="11:12" x14ac:dyDescent="0.4">
      <c r="K420" s="36">
        <v>418</v>
      </c>
      <c r="L420" s="95">
        <v>-15.300000000000015</v>
      </c>
    </row>
    <row r="421" spans="11:12" x14ac:dyDescent="0.4">
      <c r="K421" s="36">
        <v>419</v>
      </c>
      <c r="L421" s="95">
        <v>1.7999999999999865</v>
      </c>
    </row>
    <row r="422" spans="11:12" x14ac:dyDescent="0.4">
      <c r="K422" s="36">
        <v>420</v>
      </c>
      <c r="L422" s="95">
        <v>-1.354472090042691E-14</v>
      </c>
    </row>
    <row r="423" spans="11:12" x14ac:dyDescent="0.4">
      <c r="K423" s="36">
        <v>421</v>
      </c>
      <c r="L423" s="95">
        <v>34.599999999999987</v>
      </c>
    </row>
    <row r="424" spans="11:12" x14ac:dyDescent="0.4">
      <c r="K424" s="36">
        <v>422</v>
      </c>
      <c r="L424" s="95">
        <v>-19.900000000000013</v>
      </c>
    </row>
    <row r="425" spans="11:12" x14ac:dyDescent="0.4">
      <c r="K425" s="36">
        <v>423</v>
      </c>
      <c r="L425" s="95">
        <v>-1.4210854715202004E-14</v>
      </c>
    </row>
    <row r="426" spans="11:12" x14ac:dyDescent="0.4">
      <c r="K426" s="36">
        <v>424</v>
      </c>
      <c r="L426" s="95">
        <v>-6.5000000000000142</v>
      </c>
    </row>
    <row r="427" spans="11:12" x14ac:dyDescent="0.4">
      <c r="K427" s="36">
        <v>425</v>
      </c>
      <c r="L427" s="95">
        <v>36.699999999999989</v>
      </c>
    </row>
    <row r="428" spans="11:12" x14ac:dyDescent="0.4">
      <c r="K428" s="36">
        <v>426</v>
      </c>
      <c r="L428" s="95">
        <v>-1.4210854715202004E-14</v>
      </c>
    </row>
    <row r="429" spans="11:12" x14ac:dyDescent="0.4">
      <c r="K429" s="36">
        <v>427</v>
      </c>
      <c r="L429" s="95">
        <v>-25.300000000000015</v>
      </c>
    </row>
    <row r="430" spans="11:12" x14ac:dyDescent="0.4">
      <c r="K430" s="36">
        <v>428</v>
      </c>
      <c r="L430" s="95">
        <v>-20.600000000000016</v>
      </c>
    </row>
    <row r="431" spans="11:12" x14ac:dyDescent="0.4">
      <c r="K431" s="36">
        <v>429</v>
      </c>
      <c r="L431" s="95">
        <v>-1.4210854715202004E-14</v>
      </c>
    </row>
    <row r="432" spans="11:12" x14ac:dyDescent="0.4">
      <c r="K432" s="36">
        <v>430</v>
      </c>
      <c r="L432" s="95">
        <v>-20.900000000000013</v>
      </c>
    </row>
    <row r="433" spans="11:12" x14ac:dyDescent="0.4">
      <c r="K433" s="36">
        <v>431</v>
      </c>
      <c r="L433" s="95">
        <v>-4.0000000000000142</v>
      </c>
    </row>
    <row r="434" spans="11:12" x14ac:dyDescent="0.4">
      <c r="K434" s="36">
        <v>432</v>
      </c>
      <c r="L434" s="95">
        <v>-1.4210854715202004E-14</v>
      </c>
    </row>
    <row r="435" spans="11:12" x14ac:dyDescent="0.4">
      <c r="K435" s="36">
        <v>433</v>
      </c>
      <c r="L435" s="95">
        <v>16.499999999999986</v>
      </c>
    </row>
    <row r="436" spans="11:12" x14ac:dyDescent="0.4">
      <c r="K436" s="36">
        <v>434</v>
      </c>
      <c r="L436" s="95">
        <v>0.59999999999998543</v>
      </c>
    </row>
    <row r="437" spans="11:12" x14ac:dyDescent="0.4">
      <c r="K437" s="36">
        <v>435</v>
      </c>
      <c r="L437" s="95">
        <v>-1.4543921622589551E-14</v>
      </c>
    </row>
    <row r="438" spans="11:12" x14ac:dyDescent="0.4">
      <c r="K438" s="36">
        <v>436</v>
      </c>
      <c r="L438" s="95">
        <v>3.4999999999999853</v>
      </c>
    </row>
    <row r="439" spans="11:12" x14ac:dyDescent="0.4">
      <c r="K439" s="36">
        <v>437</v>
      </c>
      <c r="L439" s="95">
        <v>38.999999999999986</v>
      </c>
    </row>
    <row r="440" spans="11:12" x14ac:dyDescent="0.4">
      <c r="K440" s="36">
        <v>438</v>
      </c>
      <c r="L440" s="95">
        <v>-1.4210854715202004E-14</v>
      </c>
    </row>
    <row r="441" spans="11:12" x14ac:dyDescent="0.4">
      <c r="K441" s="36">
        <v>439</v>
      </c>
      <c r="L441" s="95">
        <v>-33.000000000000014</v>
      </c>
    </row>
    <row r="442" spans="11:12" x14ac:dyDescent="0.4">
      <c r="K442" s="36">
        <v>440</v>
      </c>
      <c r="L442" s="95">
        <v>45.59999999999998</v>
      </c>
    </row>
    <row r="443" spans="11:12" x14ac:dyDescent="0.4">
      <c r="K443" s="36">
        <v>441</v>
      </c>
      <c r="L443" s="95">
        <v>-2.1316282072803006E-14</v>
      </c>
    </row>
    <row r="444" spans="11:12" x14ac:dyDescent="0.4">
      <c r="K444" s="36">
        <v>442</v>
      </c>
      <c r="L444" s="95">
        <v>-24.100000000000023</v>
      </c>
    </row>
    <row r="445" spans="11:12" x14ac:dyDescent="0.4">
      <c r="K445" s="36">
        <v>443</v>
      </c>
      <c r="L445" s="95">
        <v>-23.800000000000022</v>
      </c>
    </row>
    <row r="446" spans="11:12" x14ac:dyDescent="0.4">
      <c r="K446" s="36">
        <v>444</v>
      </c>
      <c r="L446" s="95">
        <v>-2.1316282072803006E-14</v>
      </c>
    </row>
    <row r="447" spans="11:12" x14ac:dyDescent="0.4">
      <c r="K447" s="36">
        <v>445</v>
      </c>
      <c r="L447" s="95">
        <v>10.299999999999979</v>
      </c>
    </row>
    <row r="448" spans="11:12" x14ac:dyDescent="0.4">
      <c r="K448" s="36">
        <v>446</v>
      </c>
      <c r="L448" s="95">
        <v>45.399999999999977</v>
      </c>
    </row>
    <row r="449" spans="11:12" x14ac:dyDescent="0.4">
      <c r="K449" s="36">
        <v>447</v>
      </c>
      <c r="L449" s="95">
        <v>-2.1316282072803006E-14</v>
      </c>
    </row>
    <row r="450" spans="11:12" x14ac:dyDescent="0.4">
      <c r="K450" s="36">
        <v>448</v>
      </c>
      <c r="L450" s="95">
        <v>26.699999999999978</v>
      </c>
    </row>
    <row r="451" spans="11:12" x14ac:dyDescent="0.4">
      <c r="K451" s="36">
        <v>449</v>
      </c>
      <c r="L451" s="95">
        <v>22.299999999999976</v>
      </c>
    </row>
    <row r="452" spans="11:12" x14ac:dyDescent="0.4">
      <c r="K452" s="36">
        <v>450</v>
      </c>
      <c r="L452" s="95">
        <v>-2.4868995751603507E-14</v>
      </c>
    </row>
    <row r="453" spans="11:12" x14ac:dyDescent="0.4">
      <c r="K453" s="36">
        <v>451</v>
      </c>
      <c r="L453" s="95">
        <v>-28.900000000000023</v>
      </c>
    </row>
    <row r="454" spans="11:12" x14ac:dyDescent="0.4">
      <c r="K454" s="36">
        <v>452</v>
      </c>
      <c r="L454" s="95">
        <v>-43.100000000000023</v>
      </c>
    </row>
    <row r="455" spans="11:12" x14ac:dyDescent="0.4">
      <c r="K455" s="36">
        <v>453</v>
      </c>
      <c r="L455" s="95">
        <v>-2.1316282072803006E-14</v>
      </c>
    </row>
    <row r="456" spans="11:12" x14ac:dyDescent="0.4">
      <c r="K456" s="36">
        <v>454</v>
      </c>
      <c r="L456" s="95">
        <v>21.499999999999979</v>
      </c>
    </row>
    <row r="457" spans="11:12" x14ac:dyDescent="0.4">
      <c r="K457" s="36">
        <v>455</v>
      </c>
      <c r="L457" s="95">
        <v>23.999999999999979</v>
      </c>
    </row>
    <row r="458" spans="11:12" x14ac:dyDescent="0.4">
      <c r="K458" s="36">
        <v>456</v>
      </c>
      <c r="L458" s="95">
        <v>-2.1316282072803006E-14</v>
      </c>
    </row>
    <row r="459" spans="11:12" x14ac:dyDescent="0.4">
      <c r="K459" s="36">
        <v>457</v>
      </c>
      <c r="L459" s="95">
        <v>-25.100000000000023</v>
      </c>
    </row>
    <row r="460" spans="11:12" x14ac:dyDescent="0.4">
      <c r="K460" s="36">
        <v>458</v>
      </c>
      <c r="L460" s="95">
        <v>4.9999999999999787</v>
      </c>
    </row>
    <row r="461" spans="11:12" x14ac:dyDescent="0.4">
      <c r="K461" s="36">
        <v>459</v>
      </c>
      <c r="L461" s="95">
        <v>-2.1316282072803006E-14</v>
      </c>
    </row>
    <row r="462" spans="11:12" x14ac:dyDescent="0.4">
      <c r="K462" s="36">
        <v>460</v>
      </c>
      <c r="L462" s="95">
        <v>2.9999999999999787</v>
      </c>
    </row>
    <row r="463" spans="11:12" x14ac:dyDescent="0.4">
      <c r="K463" s="36">
        <v>461</v>
      </c>
      <c r="L463" s="95">
        <v>37.09999999999998</v>
      </c>
    </row>
    <row r="464" spans="11:12" x14ac:dyDescent="0.4">
      <c r="K464" s="36">
        <v>462</v>
      </c>
      <c r="L464" s="95">
        <v>-2.1316282072803006E-14</v>
      </c>
    </row>
    <row r="465" spans="11:12" x14ac:dyDescent="0.4">
      <c r="K465" s="36">
        <v>463</v>
      </c>
      <c r="L465" s="95">
        <v>-1.9000000000000212</v>
      </c>
    </row>
    <row r="466" spans="11:12" x14ac:dyDescent="0.4">
      <c r="K466" s="36">
        <v>464</v>
      </c>
      <c r="L466" s="95">
        <v>-27.700000000000021</v>
      </c>
    </row>
    <row r="467" spans="11:12" x14ac:dyDescent="0.4">
      <c r="K467" s="36">
        <v>465</v>
      </c>
      <c r="L467" s="95">
        <v>-2.1316282072803006E-14</v>
      </c>
    </row>
    <row r="468" spans="11:12" x14ac:dyDescent="0.4">
      <c r="K468" s="36">
        <v>466</v>
      </c>
      <c r="L468" s="95">
        <v>35.899999999999977</v>
      </c>
    </row>
    <row r="469" spans="11:12" x14ac:dyDescent="0.4">
      <c r="K469" s="36">
        <v>467</v>
      </c>
      <c r="L469" s="95">
        <v>45.199999999999974</v>
      </c>
    </row>
    <row r="470" spans="11:12" x14ac:dyDescent="0.4">
      <c r="K470" s="36">
        <v>468</v>
      </c>
      <c r="L470" s="95">
        <v>-2.8421709430404007E-14</v>
      </c>
    </row>
    <row r="471" spans="11:12" x14ac:dyDescent="0.4">
      <c r="K471" s="36">
        <v>469</v>
      </c>
      <c r="L471" s="95">
        <v>37.39999999999997</v>
      </c>
    </row>
    <row r="472" spans="11:12" x14ac:dyDescent="0.4">
      <c r="K472" s="36">
        <v>470</v>
      </c>
      <c r="L472" s="95">
        <v>59.099999999999966</v>
      </c>
    </row>
    <row r="473" spans="11:12" x14ac:dyDescent="0.4">
      <c r="K473" s="36">
        <v>471</v>
      </c>
      <c r="L473" s="95">
        <v>-3.5527136788005009E-14</v>
      </c>
    </row>
  </sheetData>
  <sortState xmlns:xlrd2="http://schemas.microsoft.com/office/spreadsheetml/2017/richdata2" ref="N15:Q24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96807-210F-446B-859E-F5885C981433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166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43</v>
      </c>
      <c r="C2" s="149"/>
      <c r="E2" s="58" t="s">
        <v>66</v>
      </c>
      <c r="F2" s="55" t="s">
        <v>22</v>
      </c>
      <c r="G2" s="43">
        <v>63</v>
      </c>
      <c r="H2" s="128">
        <f>IF(B$17=0,0,G2/B$17)</f>
        <v>0.64948453608247425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1372.0930232558139</v>
      </c>
      <c r="P2" s="114">
        <v>43</v>
      </c>
      <c r="Q2" s="98">
        <v>59000</v>
      </c>
    </row>
    <row r="3" spans="1:17" x14ac:dyDescent="0.4">
      <c r="A3" s="51" t="s">
        <v>8</v>
      </c>
      <c r="B3" s="150">
        <v>375</v>
      </c>
      <c r="C3" s="151"/>
      <c r="E3" s="59" t="s">
        <v>72</v>
      </c>
      <c r="F3" s="56" t="s">
        <v>27</v>
      </c>
      <c r="G3" s="44">
        <v>48</v>
      </c>
      <c r="H3" s="129">
        <f>IF(B$17=0,0,G3/B$17)</f>
        <v>0.49484536082474229</v>
      </c>
      <c r="I3" s="90">
        <v>8</v>
      </c>
      <c r="K3" s="36">
        <v>1</v>
      </c>
      <c r="L3" s="95">
        <v>-4.5999999999999996</v>
      </c>
      <c r="N3" s="111" t="s">
        <v>131</v>
      </c>
      <c r="O3" s="118">
        <f t="shared" si="0"/>
        <v>-661.90476190476193</v>
      </c>
      <c r="P3" s="115">
        <v>42</v>
      </c>
      <c r="Q3" s="99">
        <v>-27800</v>
      </c>
    </row>
    <row r="4" spans="1:17" x14ac:dyDescent="0.4">
      <c r="A4" s="51" t="s">
        <v>6</v>
      </c>
      <c r="B4" s="152">
        <v>-172.20000000000005</v>
      </c>
      <c r="C4" s="153"/>
      <c r="E4" s="59" t="s">
        <v>171</v>
      </c>
      <c r="F4" s="56" t="s">
        <v>172</v>
      </c>
      <c r="G4" s="44">
        <v>38</v>
      </c>
      <c r="H4" s="129">
        <f>IF(B$17=0,0,G4/B$17)</f>
        <v>0.39175257731958762</v>
      </c>
      <c r="I4" s="90">
        <v>6</v>
      </c>
      <c r="K4" s="36">
        <v>2</v>
      </c>
      <c r="L4" s="95">
        <v>19.899999999999999</v>
      </c>
      <c r="N4" s="111" t="s">
        <v>132</v>
      </c>
      <c r="O4" s="118">
        <f t="shared" si="0"/>
        <v>-732.5</v>
      </c>
      <c r="P4" s="115">
        <v>40</v>
      </c>
      <c r="Q4" s="99">
        <v>-29300</v>
      </c>
    </row>
    <row r="5" spans="1:17" x14ac:dyDescent="0.4">
      <c r="A5" s="51" t="s">
        <v>7</v>
      </c>
      <c r="B5" s="154">
        <f>IF(B$2=0,0,B$4/B$2)</f>
        <v>-4.0046511627906991</v>
      </c>
      <c r="C5" s="155"/>
      <c r="E5" s="59" t="s">
        <v>68</v>
      </c>
      <c r="F5" s="56" t="s">
        <v>12</v>
      </c>
      <c r="G5" s="44">
        <v>29</v>
      </c>
      <c r="H5" s="129">
        <f>IF(B$17=0,0,G5/B$17)</f>
        <v>0.29896907216494845</v>
      </c>
      <c r="I5" s="90">
        <v>6</v>
      </c>
      <c r="K5" s="36">
        <v>3</v>
      </c>
      <c r="L5" s="95">
        <v>-8.3000000000000007</v>
      </c>
      <c r="N5" s="111" t="s">
        <v>133</v>
      </c>
      <c r="O5" s="118">
        <f t="shared" si="0"/>
        <v>-1797.5</v>
      </c>
      <c r="P5" s="115">
        <v>40</v>
      </c>
      <c r="Q5" s="99">
        <v>-71900</v>
      </c>
    </row>
    <row r="6" spans="1:17" x14ac:dyDescent="0.4">
      <c r="A6" s="51" t="s">
        <v>1</v>
      </c>
      <c r="B6" s="144">
        <f>IF(B$2=0,0,(B$7*1+B$8*2+B$9*3)/B$2)</f>
        <v>2.0930232558139537</v>
      </c>
      <c r="C6" s="145"/>
      <c r="E6" s="59" t="s">
        <v>64</v>
      </c>
      <c r="F6" s="56" t="s">
        <v>20</v>
      </c>
      <c r="G6" s="44">
        <v>27</v>
      </c>
      <c r="H6" s="129">
        <f>IF(B$17=0,0,G6/B$17)</f>
        <v>0.27835051546391754</v>
      </c>
      <c r="I6" s="90">
        <v>11</v>
      </c>
      <c r="K6" s="36">
        <v>4</v>
      </c>
      <c r="L6" s="95">
        <v>-30.7</v>
      </c>
      <c r="N6" s="111" t="s">
        <v>134</v>
      </c>
      <c r="O6" s="118">
        <f t="shared" si="0"/>
        <v>-62.5</v>
      </c>
      <c r="P6" s="115">
        <v>40</v>
      </c>
      <c r="Q6" s="99">
        <v>-2500</v>
      </c>
    </row>
    <row r="7" spans="1:17" x14ac:dyDescent="0.4">
      <c r="A7" s="51" t="s">
        <v>2</v>
      </c>
      <c r="B7" s="44">
        <v>14</v>
      </c>
      <c r="C7" s="37">
        <f t="shared" ref="C7:C12" si="1">IF(B$2=0,0,B7/B$2)</f>
        <v>0.32558139534883723</v>
      </c>
      <c r="E7" s="59" t="s">
        <v>69</v>
      </c>
      <c r="F7" s="56" t="s">
        <v>24</v>
      </c>
      <c r="G7" s="44">
        <v>22</v>
      </c>
      <c r="H7" s="129">
        <f>IF(B$17=0,0,G7/B$17)</f>
        <v>0.22680412371134021</v>
      </c>
      <c r="I7" s="90">
        <v>1</v>
      </c>
      <c r="K7" s="36">
        <v>5</v>
      </c>
      <c r="L7" s="95">
        <v>-55.8</v>
      </c>
      <c r="N7" s="112" t="s">
        <v>135</v>
      </c>
      <c r="O7" s="119">
        <f t="shared" si="0"/>
        <v>-1811.7647058823529</v>
      </c>
      <c r="P7" s="116">
        <v>34</v>
      </c>
      <c r="Q7" s="100">
        <v>-61600</v>
      </c>
    </row>
    <row r="8" spans="1:17" x14ac:dyDescent="0.4">
      <c r="A8" s="51" t="s">
        <v>3</v>
      </c>
      <c r="B8" s="44">
        <v>11</v>
      </c>
      <c r="C8" s="37">
        <f t="shared" si="1"/>
        <v>0.2558139534883721</v>
      </c>
      <c r="E8" s="59" t="s">
        <v>70</v>
      </c>
      <c r="F8" s="56" t="s">
        <v>25</v>
      </c>
      <c r="G8" s="44">
        <v>17</v>
      </c>
      <c r="H8" s="129">
        <f>IF(B$17=0,0,G8/B$17)</f>
        <v>0.17525773195876287</v>
      </c>
      <c r="I8" s="90">
        <v>1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18</v>
      </c>
      <c r="C9" s="38">
        <f t="shared" si="1"/>
        <v>0.41860465116279072</v>
      </c>
      <c r="E9" s="59" t="s">
        <v>67</v>
      </c>
      <c r="F9" s="56" t="s">
        <v>23</v>
      </c>
      <c r="G9" s="44">
        <v>12</v>
      </c>
      <c r="H9" s="129">
        <f>IF(B$17=0,0,G9/B$17)</f>
        <v>0.12371134020618557</v>
      </c>
      <c r="I9" s="90">
        <v>11</v>
      </c>
      <c r="K9" s="36">
        <v>7</v>
      </c>
      <c r="L9" s="95">
        <v>-71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9</v>
      </c>
      <c r="H10" s="129">
        <f>IF(B$17=0,0,G10/B$17)</f>
        <v>9.2783505154639179E-2</v>
      </c>
      <c r="I10" s="90">
        <v>4</v>
      </c>
      <c r="K10" s="36">
        <v>8</v>
      </c>
      <c r="L10" s="95">
        <v>-76.900000000000006</v>
      </c>
      <c r="N10" s="110" t="s">
        <v>162</v>
      </c>
      <c r="O10" s="120">
        <f>IF(P10=0,0,Q10/P10)</f>
        <v>-1.5071428571428567</v>
      </c>
      <c r="P10" s="114">
        <v>14</v>
      </c>
      <c r="Q10" s="102">
        <v>-21.099999999999994</v>
      </c>
    </row>
    <row r="11" spans="1:17" x14ac:dyDescent="0.4">
      <c r="A11" s="52" t="s">
        <v>138</v>
      </c>
      <c r="B11" s="45">
        <v>2</v>
      </c>
      <c r="C11" s="38">
        <f t="shared" si="1"/>
        <v>4.6511627906976744E-2</v>
      </c>
      <c r="E11" s="59" t="s">
        <v>83</v>
      </c>
      <c r="F11" s="56" t="s">
        <v>38</v>
      </c>
      <c r="G11" s="44">
        <v>9</v>
      </c>
      <c r="H11" s="129">
        <f>IF(B$17=0,0,G11/B$17)</f>
        <v>9.2783505154639179E-2</v>
      </c>
      <c r="I11" s="90">
        <v>2</v>
      </c>
      <c r="K11" s="36">
        <v>9</v>
      </c>
      <c r="L11" s="95">
        <v>-59.500000000000007</v>
      </c>
      <c r="N11" s="111" t="s">
        <v>163</v>
      </c>
      <c r="O11" s="121">
        <f>IF(P11=0,0,Q11/P11)</f>
        <v>-8.2416666666666654</v>
      </c>
      <c r="P11" s="115">
        <v>12</v>
      </c>
      <c r="Q11" s="103">
        <v>-98.899999999999977</v>
      </c>
    </row>
    <row r="12" spans="1:17" x14ac:dyDescent="0.4">
      <c r="A12" s="53" t="s">
        <v>158</v>
      </c>
      <c r="B12" s="46">
        <v>6</v>
      </c>
      <c r="C12" s="40">
        <f t="shared" si="1"/>
        <v>0.13953488372093023</v>
      </c>
      <c r="E12" s="59" t="s">
        <v>65</v>
      </c>
      <c r="F12" s="56" t="s">
        <v>21</v>
      </c>
      <c r="G12" s="44">
        <v>8</v>
      </c>
      <c r="H12" s="129">
        <f>IF(B$17=0,0,G12/B$17)</f>
        <v>8.247422680412371E-2</v>
      </c>
      <c r="I12" s="90">
        <v>9</v>
      </c>
      <c r="K12" s="36">
        <v>10</v>
      </c>
      <c r="L12" s="95">
        <v>-32.700000000000003</v>
      </c>
      <c r="N12" s="112" t="s">
        <v>164</v>
      </c>
      <c r="O12" s="122">
        <f>IF(P12=0,0,Q12/P12)</f>
        <v>-3.070588235294117</v>
      </c>
      <c r="P12" s="116">
        <v>17</v>
      </c>
      <c r="Q12" s="104">
        <v>-52.199999999999989</v>
      </c>
    </row>
    <row r="13" spans="1:17" x14ac:dyDescent="0.4">
      <c r="A13" s="54" t="s">
        <v>121</v>
      </c>
      <c r="B13" s="47">
        <v>57</v>
      </c>
      <c r="C13" s="42">
        <f>IF(B$3=0,0,B13/B$3)</f>
        <v>0.152</v>
      </c>
      <c r="E13" s="59" t="s">
        <v>89</v>
      </c>
      <c r="F13" s="56" t="s">
        <v>44</v>
      </c>
      <c r="G13" s="44">
        <v>7</v>
      </c>
      <c r="H13" s="129">
        <f>IF(B$17=0,0,G13/B$17)</f>
        <v>7.2164948453608241E-2</v>
      </c>
      <c r="I13" s="90">
        <v>11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85</v>
      </c>
      <c r="C14" s="37">
        <f>IF(B$3=0,0,B14/B$3)</f>
        <v>0.22666666666666666</v>
      </c>
      <c r="E14" s="59" t="s">
        <v>81</v>
      </c>
      <c r="F14" s="56" t="s">
        <v>36</v>
      </c>
      <c r="G14" s="44">
        <v>4</v>
      </c>
      <c r="H14" s="129">
        <f>IF(B$17=0,0,G14/B$17)</f>
        <v>4.1237113402061855E-2</v>
      </c>
      <c r="I14" s="90">
        <v>1</v>
      </c>
      <c r="K14" s="36">
        <v>12</v>
      </c>
      <c r="L14" s="95">
        <v>-59.5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29</v>
      </c>
      <c r="C15" s="35">
        <f>IF(B$13=0,0,B15/B$13)</f>
        <v>0.50877192982456143</v>
      </c>
      <c r="E15" s="59" t="s">
        <v>86</v>
      </c>
      <c r="F15" s="56" t="s">
        <v>41</v>
      </c>
      <c r="G15" s="44">
        <v>3</v>
      </c>
      <c r="H15" s="129">
        <f>IF(B$17=0,0,G15/B$17)</f>
        <v>3.0927835051546393E-2</v>
      </c>
      <c r="I15" s="90">
        <v>8</v>
      </c>
      <c r="K15" s="36">
        <v>13</v>
      </c>
      <c r="L15" s="95">
        <v>-66.2</v>
      </c>
      <c r="N15" s="110" t="s">
        <v>178</v>
      </c>
      <c r="O15" s="120">
        <f t="shared" ref="O15:O21" si="2">IF(P15=0,0,Q15/P15)</f>
        <v>0.50000000000000067</v>
      </c>
      <c r="P15" s="114">
        <v>15</v>
      </c>
      <c r="Q15" s="102">
        <v>7.5000000000000107</v>
      </c>
    </row>
    <row r="16" spans="1:17" x14ac:dyDescent="0.4">
      <c r="A16" s="50" t="s">
        <v>124</v>
      </c>
      <c r="B16" s="43">
        <v>30</v>
      </c>
      <c r="C16" s="35">
        <f>IF(B$14=0,0,B16/B$14)</f>
        <v>0.35294117647058826</v>
      </c>
      <c r="E16" s="59" t="s">
        <v>91</v>
      </c>
      <c r="F16" s="56" t="s">
        <v>46</v>
      </c>
      <c r="G16" s="44">
        <v>3</v>
      </c>
      <c r="H16" s="129">
        <f>IF(B$17=0,0,G16/B$17)</f>
        <v>3.0927835051546393E-2</v>
      </c>
      <c r="I16" s="90">
        <v>2</v>
      </c>
      <c r="K16" s="36">
        <v>14</v>
      </c>
      <c r="L16" s="95">
        <v>-51.1</v>
      </c>
      <c r="N16" s="111" t="s">
        <v>126</v>
      </c>
      <c r="O16" s="121">
        <f t="shared" si="2"/>
        <v>-1.8272727272727274</v>
      </c>
      <c r="P16" s="115">
        <v>22</v>
      </c>
      <c r="Q16" s="103">
        <v>-40.200000000000003</v>
      </c>
    </row>
    <row r="17" spans="1:17" x14ac:dyDescent="0.4">
      <c r="A17" s="50" t="s">
        <v>10</v>
      </c>
      <c r="B17" s="43">
        <f>B19+B18</f>
        <v>97</v>
      </c>
      <c r="C17" s="35">
        <f>IF(B$3=0,0,B17/B$3)</f>
        <v>0.25866666666666666</v>
      </c>
      <c r="E17" s="59" t="s">
        <v>88</v>
      </c>
      <c r="F17" s="56" t="s">
        <v>43</v>
      </c>
      <c r="G17" s="44">
        <v>2</v>
      </c>
      <c r="H17" s="129">
        <f>IF(B$17=0,0,G17/B$17)</f>
        <v>2.0618556701030927E-2</v>
      </c>
      <c r="I17" s="90">
        <v>1</v>
      </c>
      <c r="K17" s="36">
        <v>15</v>
      </c>
      <c r="L17" s="95">
        <v>-65.2</v>
      </c>
      <c r="N17" s="111" t="s">
        <v>127</v>
      </c>
      <c r="O17" s="121">
        <f t="shared" si="2"/>
        <v>-4.1100000000000012</v>
      </c>
      <c r="P17" s="115">
        <v>20</v>
      </c>
      <c r="Q17" s="103">
        <v>-82.200000000000017</v>
      </c>
    </row>
    <row r="18" spans="1:17" x14ac:dyDescent="0.4">
      <c r="A18" s="51" t="s">
        <v>12</v>
      </c>
      <c r="B18" s="44">
        <v>40</v>
      </c>
      <c r="C18" s="37">
        <f>IF(B$17=0,0,B18/B$17)</f>
        <v>0.41237113402061853</v>
      </c>
      <c r="E18" s="59" t="s">
        <v>74</v>
      </c>
      <c r="F18" s="56" t="s">
        <v>29</v>
      </c>
      <c r="G18" s="44">
        <v>1</v>
      </c>
      <c r="H18" s="129">
        <f>IF(B$17=0,0,G18/B$17)</f>
        <v>1.0309278350515464E-2</v>
      </c>
      <c r="I18" s="90">
        <v>2</v>
      </c>
      <c r="K18" s="36">
        <v>16</v>
      </c>
      <c r="L18" s="95">
        <v>-70.600000000000009</v>
      </c>
      <c r="N18" s="111" t="s">
        <v>181</v>
      </c>
      <c r="O18" s="121">
        <f t="shared" si="2"/>
        <v>-5.04</v>
      </c>
      <c r="P18" s="115">
        <v>5</v>
      </c>
      <c r="Q18" s="103">
        <v>-25.2</v>
      </c>
    </row>
    <row r="19" spans="1:17" x14ac:dyDescent="0.4">
      <c r="A19" s="51" t="s">
        <v>11</v>
      </c>
      <c r="B19" s="44">
        <v>57</v>
      </c>
      <c r="C19" s="37">
        <f>IF(B$17=0,0,B19/B$17)</f>
        <v>0.58762886597938147</v>
      </c>
      <c r="E19" s="59" t="s">
        <v>75</v>
      </c>
      <c r="F19" s="56" t="s">
        <v>30</v>
      </c>
      <c r="G19" s="44">
        <v>1</v>
      </c>
      <c r="H19" s="129">
        <f>IF(B$17=0,0,G19/B$17)</f>
        <v>1.0309278350515464E-2</v>
      </c>
      <c r="I19" s="90">
        <v>3</v>
      </c>
      <c r="K19" s="36">
        <v>17</v>
      </c>
      <c r="L19" s="95">
        <v>-65.2</v>
      </c>
      <c r="N19" s="111" t="s">
        <v>179</v>
      </c>
      <c r="O19" s="121">
        <f t="shared" si="2"/>
        <v>-7.0692307692307708</v>
      </c>
      <c r="P19" s="115">
        <v>13</v>
      </c>
      <c r="Q19" s="103">
        <v>-91.90000000000002</v>
      </c>
    </row>
    <row r="20" spans="1:17" x14ac:dyDescent="0.4">
      <c r="A20" s="51" t="s">
        <v>13</v>
      </c>
      <c r="B20" s="44">
        <v>53</v>
      </c>
      <c r="C20" s="37">
        <f>IF(B$3=0,0,B20/B$3)</f>
        <v>0.14133333333333334</v>
      </c>
      <c r="E20" s="59" t="s">
        <v>77</v>
      </c>
      <c r="F20" s="56" t="s">
        <v>32</v>
      </c>
      <c r="G20" s="44">
        <v>1</v>
      </c>
      <c r="H20" s="129">
        <f>IF(B$17=0,0,G20/B$17)</f>
        <v>1.0309278350515464E-2</v>
      </c>
      <c r="I20" s="90">
        <v>2</v>
      </c>
      <c r="K20" s="36">
        <v>18</v>
      </c>
      <c r="L20" s="95">
        <v>-80.2</v>
      </c>
      <c r="N20" s="111" t="s">
        <v>177</v>
      </c>
      <c r="O20" s="121">
        <f t="shared" si="2"/>
        <v>-24.4</v>
      </c>
      <c r="P20" s="115">
        <v>7</v>
      </c>
      <c r="Q20" s="103">
        <v>-170.79999999999998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93</v>
      </c>
      <c r="F21" s="56" t="s">
        <v>48</v>
      </c>
      <c r="G21" s="44">
        <v>1</v>
      </c>
      <c r="H21" s="129">
        <f>IF(B$17=0,0,G21/B$17)</f>
        <v>1.0309278350515464E-2</v>
      </c>
      <c r="I21" s="90">
        <v>1</v>
      </c>
      <c r="K21" s="36">
        <v>19</v>
      </c>
      <c r="L21" s="95">
        <v>-115.1</v>
      </c>
      <c r="N21" s="111" t="s">
        <v>182</v>
      </c>
      <c r="O21" s="121">
        <f t="shared" si="2"/>
        <v>-28.449999999999996</v>
      </c>
      <c r="P21" s="115">
        <v>4</v>
      </c>
      <c r="Q21" s="103">
        <v>-113.79999999999998</v>
      </c>
    </row>
    <row r="22" spans="1:17" x14ac:dyDescent="0.4">
      <c r="A22" s="51" t="s">
        <v>170</v>
      </c>
      <c r="B22" s="44">
        <v>23</v>
      </c>
      <c r="C22" s="131">
        <v>22</v>
      </c>
      <c r="E22" s="59" t="s">
        <v>73</v>
      </c>
      <c r="F22" s="56" t="s">
        <v>28</v>
      </c>
      <c r="G22" s="44">
        <v>0</v>
      </c>
      <c r="H22" s="129">
        <f>IF(B$17=0,0,G22/B$17)</f>
        <v>0</v>
      </c>
      <c r="I22" s="90">
        <v>4</v>
      </c>
      <c r="K22" s="36">
        <v>20</v>
      </c>
      <c r="L22" s="95">
        <v>-88.8</v>
      </c>
    </row>
    <row r="23" spans="1:17" x14ac:dyDescent="0.4">
      <c r="A23" s="51" t="s">
        <v>5</v>
      </c>
      <c r="B23" s="48">
        <f>IF(B$17=0,0,C23/B$17)</f>
        <v>7269.072164948454</v>
      </c>
      <c r="C23" s="39">
        <v>705100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-111.4</v>
      </c>
    </row>
    <row r="24" spans="1:17" x14ac:dyDescent="0.4">
      <c r="A24" s="52" t="s">
        <v>216</v>
      </c>
      <c r="B24" s="136">
        <f>IF($B$17-B$16=0,0,C24/($B$17-B$16))</f>
        <v>7795.5223880597014</v>
      </c>
      <c r="C24" s="137">
        <v>522300</v>
      </c>
      <c r="E24" s="59" t="s">
        <v>78</v>
      </c>
      <c r="F24" s="56" t="s">
        <v>33</v>
      </c>
      <c r="G24" s="44">
        <v>0</v>
      </c>
      <c r="H24" s="129">
        <f>IF(B$17=0,0,G24/B$17)</f>
        <v>0</v>
      </c>
      <c r="I24" s="90">
        <v>9</v>
      </c>
      <c r="K24" s="36">
        <v>22</v>
      </c>
      <c r="L24" s="95">
        <v>-142.80000000000001</v>
      </c>
    </row>
    <row r="25" spans="1:17" x14ac:dyDescent="0.4">
      <c r="A25" s="52" t="s">
        <v>217</v>
      </c>
      <c r="B25" s="136">
        <f>IF(B$16=0,0,C25/B$16)</f>
        <v>6093.333333333333</v>
      </c>
      <c r="C25" s="137">
        <v>182800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-80.900000000000006</v>
      </c>
    </row>
    <row r="26" spans="1:17" x14ac:dyDescent="0.4">
      <c r="A26" s="52" t="s">
        <v>215</v>
      </c>
      <c r="B26" s="136">
        <f>IF(B$20=0,0,C26/B$20)</f>
        <v>-6775.4716981132078</v>
      </c>
      <c r="C26" s="137">
        <v>-359100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-111.60000000000001</v>
      </c>
    </row>
    <row r="27" spans="1:17" x14ac:dyDescent="0.4">
      <c r="A27" s="86" t="s">
        <v>140</v>
      </c>
      <c r="B27" s="142">
        <v>6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54" t="s">
        <v>150</v>
      </c>
      <c r="B28" s="140">
        <v>86900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-123.10000000000002</v>
      </c>
    </row>
    <row r="29" spans="1:17" x14ac:dyDescent="0.4">
      <c r="A29" s="53" t="s">
        <v>141</v>
      </c>
      <c r="B29" s="61">
        <v>2</v>
      </c>
      <c r="C29" s="40">
        <f>IF(B$3=0,0,B29/B$3)</f>
        <v>5.3333333333333332E-3</v>
      </c>
      <c r="E29" s="59" t="s">
        <v>85</v>
      </c>
      <c r="F29" s="56" t="s">
        <v>40</v>
      </c>
      <c r="G29" s="44">
        <v>0</v>
      </c>
      <c r="H29" s="129">
        <f>IF(B$17=0,0,G29/B$17)</f>
        <v>0</v>
      </c>
      <c r="I29" s="90">
        <v>6</v>
      </c>
      <c r="K29" s="36">
        <v>27</v>
      </c>
      <c r="L29" s="95">
        <v>-125.20000000000002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-156.00000000000003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-182.90000000000003</v>
      </c>
    </row>
    <row r="33" spans="5:12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-203.20000000000005</v>
      </c>
    </row>
    <row r="34" spans="5:12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-211.90000000000003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-183.10000000000002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-168.3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-210.60000000000002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-199.20000000000002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-177.00000000000003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  <c r="K40" s="36">
        <v>38</v>
      </c>
      <c r="L40" s="95">
        <v>-213.10000000000002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-238.60000000000002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-193.60000000000002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-170.00000000000003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-143.30000000000004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-172.20000000000005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0D46E-CE13-474F-87E8-579E85EB1E93}">
  <sheetPr codeName="Sheet9"/>
  <dimension ref="A1:Q96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94</v>
      </c>
      <c r="C2" s="149"/>
      <c r="E2" s="58" t="s">
        <v>66</v>
      </c>
      <c r="F2" s="55" t="s">
        <v>22</v>
      </c>
      <c r="G2" s="43">
        <v>170</v>
      </c>
      <c r="H2" s="128">
        <f>IF(B$17=0,0,G2/B$17)</f>
        <v>0.67193675889328064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802.15053763440858</v>
      </c>
      <c r="P2" s="114">
        <v>93</v>
      </c>
      <c r="Q2" s="98">
        <v>74600</v>
      </c>
    </row>
    <row r="3" spans="1:17" x14ac:dyDescent="0.4">
      <c r="A3" s="51" t="s">
        <v>8</v>
      </c>
      <c r="B3" s="150">
        <v>754</v>
      </c>
      <c r="C3" s="151"/>
      <c r="E3" s="59" t="s">
        <v>72</v>
      </c>
      <c r="F3" s="56" t="s">
        <v>27</v>
      </c>
      <c r="G3" s="44">
        <v>125</v>
      </c>
      <c r="H3" s="129">
        <f>IF(B$17=0,0,G3/B$17)</f>
        <v>0.49407114624505927</v>
      </c>
      <c r="I3" s="90">
        <v>9</v>
      </c>
      <c r="K3" s="36">
        <v>1</v>
      </c>
      <c r="L3" s="95">
        <v>50.2</v>
      </c>
      <c r="N3" s="111" t="s">
        <v>131</v>
      </c>
      <c r="O3" s="118">
        <f t="shared" si="0"/>
        <v>-244.44444444444446</v>
      </c>
      <c r="P3" s="115">
        <v>90</v>
      </c>
      <c r="Q3" s="99">
        <v>-22000</v>
      </c>
    </row>
    <row r="4" spans="1:17" x14ac:dyDescent="0.4">
      <c r="A4" s="51" t="s">
        <v>6</v>
      </c>
      <c r="B4" s="152">
        <v>605.69999999999993</v>
      </c>
      <c r="C4" s="153"/>
      <c r="E4" s="59" t="s">
        <v>64</v>
      </c>
      <c r="F4" s="56" t="s">
        <v>20</v>
      </c>
      <c r="G4" s="44">
        <v>112</v>
      </c>
      <c r="H4" s="129">
        <f>IF(B$17=0,0,G4/B$17)</f>
        <v>0.44268774703557312</v>
      </c>
      <c r="I4" s="90">
        <v>7</v>
      </c>
      <c r="K4" s="36">
        <v>2</v>
      </c>
      <c r="L4" s="95">
        <v>14.400000000000006</v>
      </c>
      <c r="N4" s="111" t="s">
        <v>132</v>
      </c>
      <c r="O4" s="118">
        <f t="shared" si="0"/>
        <v>-305.68181818181819</v>
      </c>
      <c r="P4" s="115">
        <v>88</v>
      </c>
      <c r="Q4" s="99">
        <v>-26900</v>
      </c>
    </row>
    <row r="5" spans="1:17" x14ac:dyDescent="0.4">
      <c r="A5" s="51" t="s">
        <v>7</v>
      </c>
      <c r="B5" s="154">
        <f>IF(B$2=0,0,B$4/B$2)</f>
        <v>6.4436170212765953</v>
      </c>
      <c r="C5" s="155"/>
      <c r="E5" s="59" t="s">
        <v>171</v>
      </c>
      <c r="F5" s="56" t="s">
        <v>172</v>
      </c>
      <c r="G5" s="44">
        <v>93</v>
      </c>
      <c r="H5" s="129">
        <f>IF(B$17=0,0,G5/B$17)</f>
        <v>0.3675889328063241</v>
      </c>
      <c r="I5" s="90">
        <v>7</v>
      </c>
      <c r="K5" s="36">
        <v>3</v>
      </c>
      <c r="L5" s="95">
        <v>40.400000000000006</v>
      </c>
      <c r="N5" s="111" t="s">
        <v>133</v>
      </c>
      <c r="O5" s="118">
        <f t="shared" si="0"/>
        <v>-390</v>
      </c>
      <c r="P5" s="115">
        <v>80</v>
      </c>
      <c r="Q5" s="99">
        <v>-31200</v>
      </c>
    </row>
    <row r="6" spans="1:17" x14ac:dyDescent="0.4">
      <c r="A6" s="51" t="s">
        <v>1</v>
      </c>
      <c r="B6" s="144">
        <f>IF(B$2=0,0,(B$7*1+B$8*2+B$9*3)/B$2)</f>
        <v>1.7872340425531914</v>
      </c>
      <c r="C6" s="145"/>
      <c r="E6" s="59" t="s">
        <v>68</v>
      </c>
      <c r="F6" s="56" t="s">
        <v>12</v>
      </c>
      <c r="G6" s="44">
        <v>73</v>
      </c>
      <c r="H6" s="129">
        <f>IF(B$17=0,0,G6/B$17)</f>
        <v>0.28853754940711462</v>
      </c>
      <c r="I6" s="90">
        <v>8</v>
      </c>
      <c r="K6" s="36">
        <v>4</v>
      </c>
      <c r="L6" s="95">
        <v>101.60000000000001</v>
      </c>
      <c r="N6" s="111" t="s">
        <v>134</v>
      </c>
      <c r="O6" s="118">
        <f t="shared" si="0"/>
        <v>2398.6842105263158</v>
      </c>
      <c r="P6" s="115">
        <v>76</v>
      </c>
      <c r="Q6" s="99">
        <v>182300</v>
      </c>
    </row>
    <row r="7" spans="1:17" x14ac:dyDescent="0.4">
      <c r="A7" s="51" t="s">
        <v>2</v>
      </c>
      <c r="B7" s="44">
        <v>44</v>
      </c>
      <c r="C7" s="37">
        <f t="shared" ref="C7:C12" si="1">IF(B$2=0,0,B7/B$2)</f>
        <v>0.46808510638297873</v>
      </c>
      <c r="E7" s="59" t="s">
        <v>67</v>
      </c>
      <c r="F7" s="56" t="s">
        <v>23</v>
      </c>
      <c r="G7" s="44">
        <v>67</v>
      </c>
      <c r="H7" s="129">
        <f>IF(B$17=0,0,G7/B$17)</f>
        <v>0.2648221343873518</v>
      </c>
      <c r="I7" s="90">
        <v>8</v>
      </c>
      <c r="K7" s="36">
        <v>5</v>
      </c>
      <c r="L7" s="95">
        <v>99.9</v>
      </c>
      <c r="N7" s="112" t="s">
        <v>135</v>
      </c>
      <c r="O7" s="119">
        <f t="shared" si="0"/>
        <v>3160.3174603174602</v>
      </c>
      <c r="P7" s="116">
        <v>63</v>
      </c>
      <c r="Q7" s="100">
        <v>199100</v>
      </c>
    </row>
    <row r="8" spans="1:17" x14ac:dyDescent="0.4">
      <c r="A8" s="51" t="s">
        <v>3</v>
      </c>
      <c r="B8" s="44">
        <v>26</v>
      </c>
      <c r="C8" s="37">
        <f t="shared" si="1"/>
        <v>0.27659574468085107</v>
      </c>
      <c r="E8" s="59" t="s">
        <v>89</v>
      </c>
      <c r="F8" s="56" t="s">
        <v>44</v>
      </c>
      <c r="G8" s="44">
        <v>42</v>
      </c>
      <c r="H8" s="129">
        <f>IF(B$17=0,0,G8/B$17)</f>
        <v>0.16600790513833993</v>
      </c>
      <c r="I8" s="90">
        <v>3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24</v>
      </c>
      <c r="C9" s="38">
        <f t="shared" si="1"/>
        <v>0.25531914893617019</v>
      </c>
      <c r="E9" s="59" t="s">
        <v>69</v>
      </c>
      <c r="F9" s="56" t="s">
        <v>24</v>
      </c>
      <c r="G9" s="44">
        <v>41</v>
      </c>
      <c r="H9" s="129">
        <f>IF(B$17=0,0,G9/B$17)</f>
        <v>0.16205533596837945</v>
      </c>
      <c r="I9" s="90">
        <v>4</v>
      </c>
      <c r="K9" s="36">
        <v>7</v>
      </c>
      <c r="L9" s="95">
        <v>113.3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5.3191489361702128E-2</v>
      </c>
      <c r="E10" s="59" t="s">
        <v>65</v>
      </c>
      <c r="F10" s="56" t="s">
        <v>21</v>
      </c>
      <c r="G10" s="44">
        <v>30</v>
      </c>
      <c r="H10" s="129">
        <f>IF(B$17=0,0,G10/B$17)</f>
        <v>0.11857707509881422</v>
      </c>
      <c r="I10" s="90">
        <v>4</v>
      </c>
      <c r="K10" s="36">
        <v>8</v>
      </c>
      <c r="L10" s="95">
        <v>148.1</v>
      </c>
      <c r="N10" s="110" t="s">
        <v>162</v>
      </c>
      <c r="O10" s="120">
        <f>IF(P10=0,0,Q10/P10)</f>
        <v>9.6307692307692303</v>
      </c>
      <c r="P10" s="114">
        <v>26</v>
      </c>
      <c r="Q10" s="102">
        <v>250.4</v>
      </c>
    </row>
    <row r="11" spans="1:17" x14ac:dyDescent="0.4">
      <c r="A11" s="52" t="s">
        <v>138</v>
      </c>
      <c r="B11" s="45">
        <v>9</v>
      </c>
      <c r="C11" s="38">
        <f t="shared" si="1"/>
        <v>9.5744680851063829E-2</v>
      </c>
      <c r="E11" s="59" t="s">
        <v>71</v>
      </c>
      <c r="F11" s="56" t="s">
        <v>26</v>
      </c>
      <c r="G11" s="44">
        <v>19</v>
      </c>
      <c r="H11" s="129">
        <f>IF(B$17=0,0,G11/B$17)</f>
        <v>7.5098814229249009E-2</v>
      </c>
      <c r="I11" s="90">
        <v>8</v>
      </c>
      <c r="K11" s="36">
        <v>9</v>
      </c>
      <c r="L11" s="95">
        <v>180.89999999999998</v>
      </c>
      <c r="N11" s="111" t="s">
        <v>163</v>
      </c>
      <c r="O11" s="121">
        <f>IF(P11=0,0,Q11/P11)</f>
        <v>2.6657142857142864</v>
      </c>
      <c r="P11" s="115">
        <v>35</v>
      </c>
      <c r="Q11" s="103">
        <v>93.300000000000026</v>
      </c>
    </row>
    <row r="12" spans="1:17" x14ac:dyDescent="0.4">
      <c r="A12" s="53" t="s">
        <v>158</v>
      </c>
      <c r="B12" s="46">
        <v>11</v>
      </c>
      <c r="C12" s="40">
        <f t="shared" si="1"/>
        <v>0.11702127659574468</v>
      </c>
      <c r="E12" s="59" t="s">
        <v>70</v>
      </c>
      <c r="F12" s="56" t="s">
        <v>25</v>
      </c>
      <c r="G12" s="44">
        <v>13</v>
      </c>
      <c r="H12" s="129">
        <f>IF(B$17=0,0,G12/B$17)</f>
        <v>5.1383399209486168E-2</v>
      </c>
      <c r="I12" s="90">
        <v>11</v>
      </c>
      <c r="K12" s="36">
        <v>10</v>
      </c>
      <c r="L12" s="95">
        <v>158.19999999999999</v>
      </c>
      <c r="N12" s="112" t="s">
        <v>164</v>
      </c>
      <c r="O12" s="122">
        <f>IF(P12=0,0,Q12/P12)</f>
        <v>7.9393939393939377</v>
      </c>
      <c r="P12" s="116">
        <v>33</v>
      </c>
      <c r="Q12" s="104">
        <v>261.99999999999994</v>
      </c>
    </row>
    <row r="13" spans="1:17" x14ac:dyDescent="0.4">
      <c r="A13" s="54" t="s">
        <v>121</v>
      </c>
      <c r="B13" s="47">
        <v>202</v>
      </c>
      <c r="C13" s="42">
        <f>IF(B$3=0,0,B13/B$3)</f>
        <v>0.26790450928381965</v>
      </c>
      <c r="E13" s="59" t="s">
        <v>83</v>
      </c>
      <c r="F13" s="56" t="s">
        <v>38</v>
      </c>
      <c r="G13" s="44">
        <v>12</v>
      </c>
      <c r="H13" s="129">
        <f>IF(B$17=0,0,G13/B$17)</f>
        <v>4.7430830039525688E-2</v>
      </c>
      <c r="I13" s="90">
        <v>8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173</v>
      </c>
      <c r="C14" s="37">
        <f>IF(B$3=0,0,B14/B$3)</f>
        <v>0.22944297082228116</v>
      </c>
      <c r="E14" s="59" t="s">
        <v>86</v>
      </c>
      <c r="F14" s="56" t="s">
        <v>41</v>
      </c>
      <c r="G14" s="44">
        <v>11</v>
      </c>
      <c r="H14" s="129">
        <f>IF(B$17=0,0,G14/B$17)</f>
        <v>4.3478260869565216E-2</v>
      </c>
      <c r="I14" s="90">
        <v>6</v>
      </c>
      <c r="K14" s="36">
        <v>12</v>
      </c>
      <c r="L14" s="95">
        <v>184.89999999999998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120</v>
      </c>
      <c r="C15" s="35">
        <f>IF(B$13=0,0,B15/B$13)</f>
        <v>0.59405940594059403</v>
      </c>
      <c r="E15" s="59" t="s">
        <v>167</v>
      </c>
      <c r="F15" s="56" t="s">
        <v>168</v>
      </c>
      <c r="G15" s="44">
        <v>11</v>
      </c>
      <c r="H15" s="129">
        <f>IF(B$17=0,0,G15/B$17)</f>
        <v>4.3478260869565216E-2</v>
      </c>
      <c r="I15" s="90">
        <v>2</v>
      </c>
      <c r="K15" s="36">
        <v>13</v>
      </c>
      <c r="L15" s="95">
        <v>206.39999999999998</v>
      </c>
      <c r="N15" s="110" t="s">
        <v>181</v>
      </c>
      <c r="O15" s="120">
        <f>IF(P15=0,0,Q15/P15)</f>
        <v>57.4</v>
      </c>
      <c r="P15" s="114">
        <v>4</v>
      </c>
      <c r="Q15" s="102">
        <v>229.6</v>
      </c>
    </row>
    <row r="16" spans="1:17" x14ac:dyDescent="0.4">
      <c r="A16" s="50" t="s">
        <v>124</v>
      </c>
      <c r="B16" s="43">
        <v>83</v>
      </c>
      <c r="C16" s="35">
        <f>IF(B$14=0,0,B16/B$14)</f>
        <v>0.47976878612716761</v>
      </c>
      <c r="E16" s="59" t="s">
        <v>78</v>
      </c>
      <c r="F16" s="56" t="s">
        <v>33</v>
      </c>
      <c r="G16" s="44">
        <v>9</v>
      </c>
      <c r="H16" s="129">
        <f>IF(B$17=0,0,G16/B$17)</f>
        <v>3.5573122529644272E-2</v>
      </c>
      <c r="I16" s="90">
        <v>2</v>
      </c>
      <c r="K16" s="36">
        <v>14</v>
      </c>
      <c r="L16" s="95">
        <v>240.09999999999997</v>
      </c>
      <c r="N16" s="111" t="s">
        <v>182</v>
      </c>
      <c r="O16" s="121">
        <f>IF(P16=0,0,Q16/P16)</f>
        <v>21.422222222222214</v>
      </c>
      <c r="P16" s="115">
        <v>9</v>
      </c>
      <c r="Q16" s="103">
        <v>192.79999999999993</v>
      </c>
    </row>
    <row r="17" spans="1:17" x14ac:dyDescent="0.4">
      <c r="A17" s="50" t="s">
        <v>10</v>
      </c>
      <c r="B17" s="43">
        <f>B19+B18</f>
        <v>253</v>
      </c>
      <c r="C17" s="35">
        <f>IF(B$3=0,0,B17/B$3)</f>
        <v>0.33554376657824936</v>
      </c>
      <c r="E17" s="59" t="s">
        <v>77</v>
      </c>
      <c r="F17" s="56" t="s">
        <v>32</v>
      </c>
      <c r="G17" s="44">
        <v>3</v>
      </c>
      <c r="H17" s="129">
        <f>IF(B$17=0,0,G17/B$17)</f>
        <v>1.1857707509881422E-2</v>
      </c>
      <c r="I17" s="90">
        <v>1</v>
      </c>
      <c r="K17" s="36">
        <v>15</v>
      </c>
      <c r="L17" s="95">
        <v>269.49999999999994</v>
      </c>
      <c r="N17" s="111" t="s">
        <v>179</v>
      </c>
      <c r="O17" s="121">
        <f>IF(P17=0,0,Q17/P17)</f>
        <v>16.702439024390245</v>
      </c>
      <c r="P17" s="115">
        <v>41</v>
      </c>
      <c r="Q17" s="103">
        <v>684.80000000000007</v>
      </c>
    </row>
    <row r="18" spans="1:17" x14ac:dyDescent="0.4">
      <c r="A18" s="51" t="s">
        <v>12</v>
      </c>
      <c r="B18" s="44">
        <v>107</v>
      </c>
      <c r="C18" s="37">
        <f>IF(B$17=0,0,B18/B$17)</f>
        <v>0.42292490118577075</v>
      </c>
      <c r="E18" s="59" t="s">
        <v>84</v>
      </c>
      <c r="F18" s="56" t="s">
        <v>39</v>
      </c>
      <c r="G18" s="44">
        <v>3</v>
      </c>
      <c r="H18" s="129">
        <f>IF(B$17=0,0,G18/B$17)</f>
        <v>1.1857707509881422E-2</v>
      </c>
      <c r="I18" s="90">
        <v>1</v>
      </c>
      <c r="K18" s="36">
        <v>16</v>
      </c>
      <c r="L18" s="95">
        <v>323.69999999999993</v>
      </c>
      <c r="N18" s="111" t="s">
        <v>178</v>
      </c>
      <c r="O18" s="121">
        <f>IF(P18=0,0,Q18/P18)</f>
        <v>13.224242424242426</v>
      </c>
      <c r="P18" s="115">
        <v>33</v>
      </c>
      <c r="Q18" s="103">
        <v>436.40000000000009</v>
      </c>
    </row>
    <row r="19" spans="1:17" x14ac:dyDescent="0.4">
      <c r="A19" s="51" t="s">
        <v>11</v>
      </c>
      <c r="B19" s="44">
        <v>146</v>
      </c>
      <c r="C19" s="37">
        <f>IF(B$17=0,0,B19/B$17)</f>
        <v>0.57707509881422925</v>
      </c>
      <c r="E19" s="59" t="s">
        <v>75</v>
      </c>
      <c r="F19" s="56" t="s">
        <v>30</v>
      </c>
      <c r="G19" s="44">
        <v>2</v>
      </c>
      <c r="H19" s="129">
        <f>IF(B$17=0,0,G19/B$17)</f>
        <v>7.9051383399209481E-3</v>
      </c>
      <c r="I19" s="90">
        <v>4</v>
      </c>
      <c r="K19" s="36">
        <v>17</v>
      </c>
      <c r="L19" s="95">
        <v>359.09999999999991</v>
      </c>
      <c r="N19" s="111" t="s">
        <v>127</v>
      </c>
      <c r="O19" s="121">
        <f>IF(P19=0,0,Q19/P19)</f>
        <v>8.6087719298245631</v>
      </c>
      <c r="P19" s="115">
        <v>57</v>
      </c>
      <c r="Q19" s="103">
        <v>490.70000000000005</v>
      </c>
    </row>
    <row r="20" spans="1:17" x14ac:dyDescent="0.4">
      <c r="A20" s="51" t="s">
        <v>13</v>
      </c>
      <c r="B20" s="44">
        <v>105</v>
      </c>
      <c r="C20" s="37">
        <f>IF(B$3=0,0,B20/B$3)</f>
        <v>0.13925729442970822</v>
      </c>
      <c r="E20" s="59" t="s">
        <v>88</v>
      </c>
      <c r="F20" s="56" t="s">
        <v>43</v>
      </c>
      <c r="G20" s="44">
        <v>2</v>
      </c>
      <c r="H20" s="129">
        <f>IF(B$17=0,0,G20/B$17)</f>
        <v>7.9051383399209481E-3</v>
      </c>
      <c r="I20" s="90">
        <v>2</v>
      </c>
      <c r="K20" s="36">
        <v>18</v>
      </c>
      <c r="L20" s="95">
        <v>352.39999999999992</v>
      </c>
      <c r="N20" s="111" t="s">
        <v>166</v>
      </c>
      <c r="O20" s="121">
        <f>IF(P20=0,0,Q20/P20)</f>
        <v>1.827272727272726</v>
      </c>
      <c r="P20" s="115">
        <v>22</v>
      </c>
      <c r="Q20" s="103">
        <v>40.199999999999974</v>
      </c>
    </row>
    <row r="21" spans="1:17" x14ac:dyDescent="0.4">
      <c r="A21" s="51" t="s">
        <v>169</v>
      </c>
      <c r="B21" s="44">
        <v>5</v>
      </c>
      <c r="C21" s="131">
        <v>2</v>
      </c>
      <c r="E21" s="59" t="s">
        <v>92</v>
      </c>
      <c r="F21" s="56" t="s">
        <v>47</v>
      </c>
      <c r="G21" s="44">
        <v>2</v>
      </c>
      <c r="H21" s="129">
        <f>IF(B$17=0,0,G21/B$17)</f>
        <v>7.9051383399209481E-3</v>
      </c>
      <c r="I21" s="90">
        <v>2</v>
      </c>
      <c r="K21" s="36">
        <v>19</v>
      </c>
      <c r="L21" s="95">
        <v>383.19999999999993</v>
      </c>
      <c r="N21" s="111" t="s">
        <v>177</v>
      </c>
      <c r="O21" s="121">
        <f>IF(P21=0,0,Q21/P21)</f>
        <v>-8.9000000000000021</v>
      </c>
      <c r="P21" s="115">
        <v>21</v>
      </c>
      <c r="Q21" s="103">
        <v>-186.90000000000003</v>
      </c>
    </row>
    <row r="22" spans="1:17" x14ac:dyDescent="0.4">
      <c r="A22" s="51" t="s">
        <v>170</v>
      </c>
      <c r="B22" s="44">
        <v>31</v>
      </c>
      <c r="C22" s="131">
        <v>2</v>
      </c>
      <c r="E22" s="59" t="s">
        <v>74</v>
      </c>
      <c r="F22" s="56" t="s">
        <v>29</v>
      </c>
      <c r="G22" s="44">
        <v>1</v>
      </c>
      <c r="H22" s="129">
        <f>IF(B$17=0,0,G22/B$17)</f>
        <v>3.952569169960474E-3</v>
      </c>
      <c r="I22" s="90">
        <v>6</v>
      </c>
      <c r="K22" s="36">
        <v>20</v>
      </c>
      <c r="L22" s="95">
        <v>365.49999999999994</v>
      </c>
      <c r="N22" s="111" t="s">
        <v>222</v>
      </c>
      <c r="O22" s="121">
        <f>IF(P22=0,0,Q22/P22)</f>
        <v>-70.5</v>
      </c>
      <c r="P22" s="115">
        <v>1</v>
      </c>
      <c r="Q22" s="103">
        <v>-70.5</v>
      </c>
    </row>
    <row r="23" spans="1:17" x14ac:dyDescent="0.4">
      <c r="A23" s="51" t="s">
        <v>5</v>
      </c>
      <c r="B23" s="48">
        <f>IF(B$17=0,0,C23/B$17)</f>
        <v>7755.731225296443</v>
      </c>
      <c r="C23" s="39">
        <v>1962200</v>
      </c>
      <c r="E23" s="59" t="s">
        <v>79</v>
      </c>
      <c r="F23" s="56" t="s">
        <v>34</v>
      </c>
      <c r="G23" s="44">
        <v>1</v>
      </c>
      <c r="H23" s="129">
        <f>IF(B$17=0,0,G23/B$17)</f>
        <v>3.952569169960474E-3</v>
      </c>
      <c r="I23" s="90">
        <v>6</v>
      </c>
      <c r="K23" s="36">
        <v>21</v>
      </c>
      <c r="L23" s="95">
        <v>371.39999999999992</v>
      </c>
    </row>
    <row r="24" spans="1:17" x14ac:dyDescent="0.4">
      <c r="A24" s="52" t="s">
        <v>216</v>
      </c>
      <c r="B24" s="136">
        <f>IF($B$17-B$16=0,0,C24/($B$17-B$16))</f>
        <v>7708.2352941176468</v>
      </c>
      <c r="C24" s="137">
        <v>1310400</v>
      </c>
      <c r="E24" s="59" t="s">
        <v>81</v>
      </c>
      <c r="F24" s="56" t="s">
        <v>36</v>
      </c>
      <c r="G24" s="44">
        <v>1</v>
      </c>
      <c r="H24" s="129">
        <f>IF(B$17=0,0,G24/B$17)</f>
        <v>3.952569169960474E-3</v>
      </c>
      <c r="I24" s="90">
        <v>9</v>
      </c>
      <c r="K24" s="36">
        <v>22</v>
      </c>
      <c r="L24" s="95">
        <v>414.2999999999999</v>
      </c>
    </row>
    <row r="25" spans="1:17" x14ac:dyDescent="0.4">
      <c r="A25" s="52" t="s">
        <v>217</v>
      </c>
      <c r="B25" s="136">
        <f>IF(B$16=0,0,C25/B$16)</f>
        <v>7853.0120481927706</v>
      </c>
      <c r="C25" s="137">
        <v>651800</v>
      </c>
      <c r="E25" s="59" t="s">
        <v>85</v>
      </c>
      <c r="F25" s="56" t="s">
        <v>40</v>
      </c>
      <c r="G25" s="44">
        <v>1</v>
      </c>
      <c r="H25" s="129">
        <f>IF(B$17=0,0,G25/B$17)</f>
        <v>3.952569169960474E-3</v>
      </c>
      <c r="I25" s="90">
        <v>4</v>
      </c>
      <c r="K25" s="36">
        <v>23</v>
      </c>
      <c r="L25" s="95">
        <v>356.2999999999999</v>
      </c>
    </row>
    <row r="26" spans="1:17" x14ac:dyDescent="0.4">
      <c r="A26" s="52" t="s">
        <v>215</v>
      </c>
      <c r="B26" s="136">
        <f>IF(B$20=0,0,C26/B$20)</f>
        <v>-7844.7619047619046</v>
      </c>
      <c r="C26" s="137">
        <v>-823700</v>
      </c>
      <c r="E26" s="59" t="s">
        <v>90</v>
      </c>
      <c r="F26" s="56" t="s">
        <v>45</v>
      </c>
      <c r="G26" s="44">
        <v>1</v>
      </c>
      <c r="H26" s="129">
        <f>IF(B$17=0,0,G26/B$17)</f>
        <v>3.952569169960474E-3</v>
      </c>
      <c r="I26" s="90">
        <v>2</v>
      </c>
      <c r="K26" s="36">
        <v>24</v>
      </c>
      <c r="L26" s="95">
        <v>329.89999999999992</v>
      </c>
    </row>
    <row r="27" spans="1:17" x14ac:dyDescent="0.4">
      <c r="A27" s="86" t="s">
        <v>140</v>
      </c>
      <c r="B27" s="142">
        <v>7</v>
      </c>
      <c r="C27" s="143"/>
      <c r="E27" s="59" t="s">
        <v>91</v>
      </c>
      <c r="F27" s="56" t="s">
        <v>46</v>
      </c>
      <c r="G27" s="44">
        <v>1</v>
      </c>
      <c r="H27" s="129">
        <f>IF(B$17=0,0,G27/B$17)</f>
        <v>3.952569169960474E-3</v>
      </c>
      <c r="I27" s="90">
        <v>7</v>
      </c>
      <c r="K27" s="36">
        <v>25</v>
      </c>
      <c r="L27" s="95">
        <v>294.99999999999994</v>
      </c>
    </row>
    <row r="28" spans="1:17" x14ac:dyDescent="0.4">
      <c r="A28" s="54" t="s">
        <v>150</v>
      </c>
      <c r="B28" s="140">
        <v>86200</v>
      </c>
      <c r="C28" s="141"/>
      <c r="E28" s="59" t="s">
        <v>95</v>
      </c>
      <c r="F28" s="56" t="s">
        <v>50</v>
      </c>
      <c r="G28" s="44">
        <v>1</v>
      </c>
      <c r="H28" s="129">
        <f>IF(B$17=0,0,G28/B$17)</f>
        <v>3.952569169960474E-3</v>
      </c>
      <c r="I28" s="90">
        <v>3</v>
      </c>
      <c r="K28" s="36">
        <v>26</v>
      </c>
      <c r="L28" s="95">
        <v>329.29999999999995</v>
      </c>
    </row>
    <row r="29" spans="1:17" x14ac:dyDescent="0.4">
      <c r="A29" s="53" t="s">
        <v>141</v>
      </c>
      <c r="B29" s="61">
        <v>1</v>
      </c>
      <c r="C29" s="40">
        <f>IF(B$3=0,0,B29/B$3)</f>
        <v>1.3262599469496021E-3</v>
      </c>
      <c r="E29" s="59" t="s">
        <v>73</v>
      </c>
      <c r="F29" s="56" t="s">
        <v>28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362.4</v>
      </c>
    </row>
    <row r="30" spans="1:17" x14ac:dyDescent="0.4">
      <c r="E30" s="59" t="s">
        <v>76</v>
      </c>
      <c r="F30" s="56" t="s">
        <v>31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375.79999999999995</v>
      </c>
    </row>
    <row r="31" spans="1:17" x14ac:dyDescent="0.4">
      <c r="E31" s="59" t="s">
        <v>80</v>
      </c>
      <c r="F31" s="56" t="s">
        <v>35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E32" s="59" t="s">
        <v>82</v>
      </c>
      <c r="F32" s="56" t="s">
        <v>37</v>
      </c>
      <c r="G32" s="44">
        <v>0</v>
      </c>
      <c r="H32" s="129">
        <f>IF(B$17=0,0,G32/B$17)</f>
        <v>0</v>
      </c>
      <c r="I32" s="90">
        <v>1</v>
      </c>
      <c r="K32" s="36">
        <v>30</v>
      </c>
      <c r="L32" s="95">
        <v>340.79999999999995</v>
      </c>
    </row>
    <row r="33" spans="5:12" x14ac:dyDescent="0.4">
      <c r="E33" s="59" t="s">
        <v>87</v>
      </c>
      <c r="F33" s="56" t="s">
        <v>42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319.49999999999994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4</v>
      </c>
      <c r="K34" s="36">
        <v>32</v>
      </c>
      <c r="L34" s="95">
        <v>349.39999999999992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349.19999999999993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374.49999999999994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357.89999999999992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312.09999999999991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325.09999999999991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360.49999999999989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365.39999999999986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398.79999999999984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399.89999999999986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419.29999999999984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424.79999999999984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424.39999999999986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425.69999999999987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518.9</v>
      </c>
    </row>
    <row r="67" spans="11:12" x14ac:dyDescent="0.4">
      <c r="K67" s="36">
        <v>65</v>
      </c>
      <c r="L67" s="95">
        <v>538.1</v>
      </c>
    </row>
    <row r="68" spans="11:12" x14ac:dyDescent="0.4">
      <c r="K68" s="36">
        <v>66</v>
      </c>
      <c r="L68" s="95">
        <v>538.70000000000005</v>
      </c>
    </row>
    <row r="69" spans="11:12" x14ac:dyDescent="0.4">
      <c r="K69" s="36">
        <v>67</v>
      </c>
      <c r="L69" s="95">
        <v>503.50000000000006</v>
      </c>
    </row>
    <row r="70" spans="11:12" x14ac:dyDescent="0.4">
      <c r="K70" s="36">
        <v>68</v>
      </c>
      <c r="L70" s="95">
        <v>544.1</v>
      </c>
    </row>
    <row r="71" spans="11:12" x14ac:dyDescent="0.4">
      <c r="K71" s="36">
        <v>69</v>
      </c>
      <c r="L71" s="95">
        <v>576.5</v>
      </c>
    </row>
    <row r="72" spans="11:12" x14ac:dyDescent="0.4">
      <c r="K72" s="36">
        <v>70</v>
      </c>
      <c r="L72" s="95">
        <v>544.79999999999995</v>
      </c>
    </row>
    <row r="73" spans="11:12" x14ac:dyDescent="0.4">
      <c r="K73" s="36">
        <v>71</v>
      </c>
      <c r="L73" s="95">
        <v>502.09999999999997</v>
      </c>
    </row>
    <row r="74" spans="11:12" x14ac:dyDescent="0.4">
      <c r="K74" s="36">
        <v>72</v>
      </c>
      <c r="L74" s="95">
        <v>526.19999999999993</v>
      </c>
    </row>
    <row r="75" spans="11:12" x14ac:dyDescent="0.4">
      <c r="K75" s="36">
        <v>73</v>
      </c>
      <c r="L75" s="95">
        <v>550.99999999999989</v>
      </c>
    </row>
    <row r="76" spans="11:12" x14ac:dyDescent="0.4">
      <c r="K76" s="36">
        <v>74</v>
      </c>
      <c r="L76" s="95">
        <v>576.49999999999989</v>
      </c>
    </row>
    <row r="77" spans="11:12" x14ac:dyDescent="0.4">
      <c r="K77" s="36">
        <v>75</v>
      </c>
      <c r="L77" s="95">
        <v>601.29999999999984</v>
      </c>
    </row>
    <row r="78" spans="11:12" x14ac:dyDescent="0.4">
      <c r="K78" s="36">
        <v>76</v>
      </c>
      <c r="L78" s="95">
        <v>576.29999999999984</v>
      </c>
    </row>
    <row r="79" spans="11:12" x14ac:dyDescent="0.4">
      <c r="K79" s="36">
        <v>77</v>
      </c>
      <c r="L79" s="95">
        <v>546.79999999999984</v>
      </c>
    </row>
    <row r="80" spans="11:12" x14ac:dyDescent="0.4">
      <c r="K80" s="36">
        <v>78</v>
      </c>
      <c r="L80" s="95">
        <v>579.29999999999984</v>
      </c>
    </row>
    <row r="81" spans="11:12" x14ac:dyDescent="0.4">
      <c r="K81" s="36">
        <v>79</v>
      </c>
      <c r="L81" s="95">
        <v>556.89999999999986</v>
      </c>
    </row>
    <row r="82" spans="11:12" x14ac:dyDescent="0.4">
      <c r="K82" s="36">
        <v>80</v>
      </c>
      <c r="L82" s="95">
        <v>572.09999999999991</v>
      </c>
    </row>
    <row r="83" spans="11:12" x14ac:dyDescent="0.4">
      <c r="K83" s="36">
        <v>81</v>
      </c>
      <c r="L83" s="95">
        <v>521.59999999999991</v>
      </c>
    </row>
    <row r="84" spans="11:12" x14ac:dyDescent="0.4">
      <c r="K84" s="36">
        <v>82</v>
      </c>
      <c r="L84" s="95">
        <v>548.39999999999986</v>
      </c>
    </row>
    <row r="85" spans="11:12" x14ac:dyDescent="0.4">
      <c r="K85" s="36">
        <v>83</v>
      </c>
      <c r="L85" s="95">
        <v>546.59999999999991</v>
      </c>
    </row>
    <row r="86" spans="11:12" x14ac:dyDescent="0.4">
      <c r="K86" s="36">
        <v>84</v>
      </c>
      <c r="L86" s="95">
        <v>566.49999999999989</v>
      </c>
    </row>
    <row r="87" spans="11:12" x14ac:dyDescent="0.4">
      <c r="K87" s="36">
        <v>85</v>
      </c>
      <c r="L87" s="95">
        <v>529.79999999999984</v>
      </c>
    </row>
    <row r="88" spans="11:12" x14ac:dyDescent="0.4">
      <c r="K88" s="36">
        <v>86</v>
      </c>
      <c r="L88" s="95">
        <v>550.39999999999986</v>
      </c>
    </row>
    <row r="89" spans="11:12" x14ac:dyDescent="0.4">
      <c r="K89" s="36">
        <v>87</v>
      </c>
      <c r="L89" s="95">
        <v>554.39999999999986</v>
      </c>
    </row>
    <row r="90" spans="11:12" x14ac:dyDescent="0.4">
      <c r="K90" s="36">
        <v>88</v>
      </c>
      <c r="L90" s="95">
        <v>570.89999999999986</v>
      </c>
    </row>
    <row r="91" spans="11:12" x14ac:dyDescent="0.4">
      <c r="K91" s="36">
        <v>89</v>
      </c>
      <c r="L91" s="95">
        <v>531.89999999999986</v>
      </c>
    </row>
    <row r="92" spans="11:12" x14ac:dyDescent="0.4">
      <c r="K92" s="36">
        <v>90</v>
      </c>
      <c r="L92" s="95">
        <v>486.29999999999984</v>
      </c>
    </row>
    <row r="93" spans="11:12" x14ac:dyDescent="0.4">
      <c r="K93" s="36">
        <v>91</v>
      </c>
      <c r="L93" s="95">
        <v>520.39999999999986</v>
      </c>
    </row>
    <row r="94" spans="11:12" x14ac:dyDescent="0.4">
      <c r="K94" s="36">
        <v>92</v>
      </c>
      <c r="L94" s="95">
        <v>548.09999999999991</v>
      </c>
    </row>
    <row r="95" spans="11:12" x14ac:dyDescent="0.4">
      <c r="K95" s="36">
        <v>93</v>
      </c>
      <c r="L95" s="95">
        <v>583.99999999999989</v>
      </c>
    </row>
    <row r="96" spans="11:12" x14ac:dyDescent="0.4">
      <c r="K96" s="36">
        <v>94</v>
      </c>
      <c r="L96" s="95">
        <v>605.69999999999993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9791E-5538-4BDC-9805-B80966CB0C79}">
  <sheetPr codeName="Sheet11"/>
  <dimension ref="A1:Q87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85</v>
      </c>
      <c r="C2" s="149"/>
      <c r="E2" s="58" t="s">
        <v>66</v>
      </c>
      <c r="F2" s="55" t="s">
        <v>22</v>
      </c>
      <c r="G2" s="43">
        <v>204</v>
      </c>
      <c r="H2" s="128">
        <f>IF(B$17=0,0,G2/B$17)</f>
        <v>0.90265486725663713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-2104.7619047619046</v>
      </c>
      <c r="P2" s="114">
        <v>84</v>
      </c>
      <c r="Q2" s="98">
        <v>-176800</v>
      </c>
    </row>
    <row r="3" spans="1:17" x14ac:dyDescent="0.4">
      <c r="A3" s="51" t="s">
        <v>8</v>
      </c>
      <c r="B3" s="150">
        <v>724</v>
      </c>
      <c r="C3" s="151"/>
      <c r="E3" s="59" t="s">
        <v>72</v>
      </c>
      <c r="F3" s="56" t="s">
        <v>27</v>
      </c>
      <c r="G3" s="44">
        <v>125</v>
      </c>
      <c r="H3" s="129">
        <f>IF(B$17=0,0,G3/B$17)</f>
        <v>0.55309734513274333</v>
      </c>
      <c r="I3" s="90">
        <v>5</v>
      </c>
      <c r="K3" s="36">
        <v>1</v>
      </c>
      <c r="L3" s="95">
        <v>-45.6</v>
      </c>
      <c r="N3" s="111" t="s">
        <v>131</v>
      </c>
      <c r="O3" s="118">
        <f t="shared" si="0"/>
        <v>1421.9512195121952</v>
      </c>
      <c r="P3" s="115">
        <v>82</v>
      </c>
      <c r="Q3" s="99">
        <v>116600</v>
      </c>
    </row>
    <row r="4" spans="1:17" x14ac:dyDescent="0.4">
      <c r="A4" s="51" t="s">
        <v>6</v>
      </c>
      <c r="B4" s="152">
        <v>320.99999999999989</v>
      </c>
      <c r="C4" s="153"/>
      <c r="E4" s="59" t="s">
        <v>171</v>
      </c>
      <c r="F4" s="56" t="s">
        <v>172</v>
      </c>
      <c r="G4" s="44">
        <v>97</v>
      </c>
      <c r="H4" s="129">
        <f>IF(B$17=0,0,G4/B$17)</f>
        <v>0.42920353982300885</v>
      </c>
      <c r="I4" s="90">
        <v>2</v>
      </c>
      <c r="K4" s="36">
        <v>2</v>
      </c>
      <c r="L4" s="95">
        <v>-34.299999999999997</v>
      </c>
      <c r="N4" s="111" t="s">
        <v>132</v>
      </c>
      <c r="O4" s="118">
        <f t="shared" si="0"/>
        <v>553.84615384615381</v>
      </c>
      <c r="P4" s="115">
        <v>78</v>
      </c>
      <c r="Q4" s="99">
        <v>43200</v>
      </c>
    </row>
    <row r="5" spans="1:17" x14ac:dyDescent="0.4">
      <c r="A5" s="51" t="s">
        <v>7</v>
      </c>
      <c r="B5" s="154">
        <f>IF(B$2=0,0,B$4/B$2)</f>
        <v>3.7764705882352927</v>
      </c>
      <c r="C5" s="155"/>
      <c r="E5" s="59" t="s">
        <v>64</v>
      </c>
      <c r="F5" s="56" t="s">
        <v>20</v>
      </c>
      <c r="G5" s="44">
        <v>92</v>
      </c>
      <c r="H5" s="129">
        <f>IF(B$17=0,0,G5/B$17)</f>
        <v>0.40707964601769914</v>
      </c>
      <c r="I5" s="90">
        <v>9</v>
      </c>
      <c r="K5" s="36">
        <v>3</v>
      </c>
      <c r="L5" s="95">
        <v>-58.599999999999994</v>
      </c>
      <c r="N5" s="111" t="s">
        <v>133</v>
      </c>
      <c r="O5" s="118">
        <f t="shared" si="0"/>
        <v>2320.5479452054797</v>
      </c>
      <c r="P5" s="115">
        <v>73</v>
      </c>
      <c r="Q5" s="99">
        <v>169400</v>
      </c>
    </row>
    <row r="6" spans="1:17" x14ac:dyDescent="0.4">
      <c r="A6" s="51" t="s">
        <v>1</v>
      </c>
      <c r="B6" s="144">
        <f>IF(B$2=0,0,(B$7*1+B$8*2+B$9*3)/B$2)</f>
        <v>1.8941176470588235</v>
      </c>
      <c r="C6" s="145"/>
      <c r="E6" s="59" t="s">
        <v>68</v>
      </c>
      <c r="F6" s="56" t="s">
        <v>12</v>
      </c>
      <c r="G6" s="44">
        <v>62</v>
      </c>
      <c r="H6" s="129">
        <f>IF(B$17=0,0,G6/B$17)</f>
        <v>0.27433628318584069</v>
      </c>
      <c r="I6" s="90">
        <v>10</v>
      </c>
      <c r="K6" s="36">
        <v>4</v>
      </c>
      <c r="L6" s="95">
        <v>-38.099999999999994</v>
      </c>
      <c r="N6" s="111" t="s">
        <v>134</v>
      </c>
      <c r="O6" s="118">
        <f t="shared" si="0"/>
        <v>194.20289855072463</v>
      </c>
      <c r="P6" s="115">
        <v>69</v>
      </c>
      <c r="Q6" s="99">
        <v>13400</v>
      </c>
    </row>
    <row r="7" spans="1:17" x14ac:dyDescent="0.4">
      <c r="A7" s="51" t="s">
        <v>2</v>
      </c>
      <c r="B7" s="44">
        <v>34</v>
      </c>
      <c r="C7" s="37">
        <f t="shared" ref="C7:C12" si="1">IF(B$2=0,0,B7/B$2)</f>
        <v>0.4</v>
      </c>
      <c r="E7" s="59" t="s">
        <v>67</v>
      </c>
      <c r="F7" s="56" t="s">
        <v>23</v>
      </c>
      <c r="G7" s="44">
        <v>52</v>
      </c>
      <c r="H7" s="129">
        <f>IF(B$17=0,0,G7/B$17)</f>
        <v>0.23008849557522124</v>
      </c>
      <c r="I7" s="90">
        <v>10</v>
      </c>
      <c r="K7" s="36">
        <v>5</v>
      </c>
      <c r="L7" s="95">
        <v>-11.299999999999994</v>
      </c>
      <c r="N7" s="112" t="s">
        <v>135</v>
      </c>
      <c r="O7" s="119">
        <f t="shared" si="0"/>
        <v>1667.2413793103449</v>
      </c>
      <c r="P7" s="116">
        <v>58</v>
      </c>
      <c r="Q7" s="100">
        <v>96700</v>
      </c>
    </row>
    <row r="8" spans="1:17" x14ac:dyDescent="0.4">
      <c r="A8" s="51" t="s">
        <v>3</v>
      </c>
      <c r="B8" s="44">
        <v>26</v>
      </c>
      <c r="C8" s="37">
        <f t="shared" si="1"/>
        <v>0.30588235294117649</v>
      </c>
      <c r="E8" s="59" t="s">
        <v>69</v>
      </c>
      <c r="F8" s="56" t="s">
        <v>24</v>
      </c>
      <c r="G8" s="44">
        <v>28</v>
      </c>
      <c r="H8" s="129">
        <f>IF(B$17=0,0,G8/B$17)</f>
        <v>0.12389380530973451</v>
      </c>
      <c r="I8" s="90">
        <v>8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25</v>
      </c>
      <c r="C9" s="38">
        <f t="shared" si="1"/>
        <v>0.29411764705882354</v>
      </c>
      <c r="E9" s="59" t="s">
        <v>89</v>
      </c>
      <c r="F9" s="56" t="s">
        <v>44</v>
      </c>
      <c r="G9" s="44">
        <v>28</v>
      </c>
      <c r="H9" s="129">
        <f>IF(B$17=0,0,G9/B$17)</f>
        <v>0.12389380530973451</v>
      </c>
      <c r="I9" s="90">
        <v>7</v>
      </c>
      <c r="K9" s="36">
        <v>7</v>
      </c>
      <c r="L9" s="95">
        <v>-9.4999999999999929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12</v>
      </c>
      <c r="C10" s="38">
        <f t="shared" si="1"/>
        <v>0.14117647058823529</v>
      </c>
      <c r="E10" s="59" t="s">
        <v>65</v>
      </c>
      <c r="F10" s="56" t="s">
        <v>21</v>
      </c>
      <c r="G10" s="44">
        <v>21</v>
      </c>
      <c r="H10" s="129">
        <f>IF(B$17=0,0,G10/B$17)</f>
        <v>9.2920353982300891E-2</v>
      </c>
      <c r="I10" s="90">
        <v>8</v>
      </c>
      <c r="K10" s="36">
        <v>8</v>
      </c>
      <c r="L10" s="95">
        <v>-56.79999999999999</v>
      </c>
      <c r="N10" s="110" t="s">
        <v>162</v>
      </c>
      <c r="O10" s="120">
        <f>IF(P10=0,0,Q10/P10)</f>
        <v>6.4800000000000013</v>
      </c>
      <c r="P10" s="114">
        <v>20</v>
      </c>
      <c r="Q10" s="102">
        <v>129.60000000000002</v>
      </c>
    </row>
    <row r="11" spans="1:17" x14ac:dyDescent="0.4">
      <c r="A11" s="52" t="s">
        <v>138</v>
      </c>
      <c r="B11" s="45">
        <v>9</v>
      </c>
      <c r="C11" s="38">
        <f t="shared" si="1"/>
        <v>0.10588235294117647</v>
      </c>
      <c r="E11" s="59" t="s">
        <v>71</v>
      </c>
      <c r="F11" s="56" t="s">
        <v>26</v>
      </c>
      <c r="G11" s="44">
        <v>20</v>
      </c>
      <c r="H11" s="129">
        <f>IF(B$17=0,0,G11/B$17)</f>
        <v>8.8495575221238937E-2</v>
      </c>
      <c r="I11" s="90">
        <v>5</v>
      </c>
      <c r="K11" s="36">
        <v>9</v>
      </c>
      <c r="L11" s="95">
        <v>-83.699999999999989</v>
      </c>
      <c r="N11" s="111" t="s">
        <v>163</v>
      </c>
      <c r="O11" s="121">
        <f>IF(P11=0,0,Q11/P11)</f>
        <v>6.8159999999999998</v>
      </c>
      <c r="P11" s="115">
        <v>25</v>
      </c>
      <c r="Q11" s="103">
        <v>170.4</v>
      </c>
    </row>
    <row r="12" spans="1:17" x14ac:dyDescent="0.4">
      <c r="A12" s="53" t="s">
        <v>158</v>
      </c>
      <c r="B12" s="46">
        <v>17</v>
      </c>
      <c r="C12" s="40">
        <f t="shared" si="1"/>
        <v>0.2</v>
      </c>
      <c r="E12" s="59" t="s">
        <v>70</v>
      </c>
      <c r="F12" s="56" t="s">
        <v>25</v>
      </c>
      <c r="G12" s="44">
        <v>18</v>
      </c>
      <c r="H12" s="129">
        <f>IF(B$17=0,0,G12/B$17)</f>
        <v>7.9646017699115043E-2</v>
      </c>
      <c r="I12" s="90">
        <v>7</v>
      </c>
      <c r="K12" s="36">
        <v>10</v>
      </c>
      <c r="L12" s="95">
        <v>-78.399999999999991</v>
      </c>
      <c r="N12" s="112" t="s">
        <v>164</v>
      </c>
      <c r="O12" s="122">
        <f>IF(P12=0,0,Q12/P12)</f>
        <v>0.52499999999999891</v>
      </c>
      <c r="P12" s="116">
        <v>40</v>
      </c>
      <c r="Q12" s="104">
        <v>20.999999999999957</v>
      </c>
    </row>
    <row r="13" spans="1:17" x14ac:dyDescent="0.4">
      <c r="A13" s="54" t="s">
        <v>121</v>
      </c>
      <c r="B13" s="47">
        <v>168</v>
      </c>
      <c r="C13" s="42">
        <f>IF(B$3=0,0,B13/B$3)</f>
        <v>0.23204419889502761</v>
      </c>
      <c r="E13" s="59" t="s">
        <v>86</v>
      </c>
      <c r="F13" s="56" t="s">
        <v>41</v>
      </c>
      <c r="G13" s="44">
        <v>16</v>
      </c>
      <c r="H13" s="129">
        <f>IF(B$17=0,0,G13/B$17)</f>
        <v>7.0796460176991149E-2</v>
      </c>
      <c r="I13" s="90">
        <v>1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221</v>
      </c>
      <c r="C14" s="37">
        <f>IF(B$3=0,0,B14/B$3)</f>
        <v>0.30524861878453041</v>
      </c>
      <c r="E14" s="59" t="s">
        <v>83</v>
      </c>
      <c r="F14" s="56" t="s">
        <v>38</v>
      </c>
      <c r="G14" s="44">
        <v>12</v>
      </c>
      <c r="H14" s="129">
        <f>IF(B$17=0,0,G14/B$17)</f>
        <v>5.3097345132743362E-2</v>
      </c>
      <c r="I14" s="90">
        <v>7</v>
      </c>
      <c r="K14" s="36">
        <v>12</v>
      </c>
      <c r="L14" s="95">
        <v>-89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90</v>
      </c>
      <c r="C15" s="35">
        <f>IF(B$13=0,0,B15/B$13)</f>
        <v>0.5357142857142857</v>
      </c>
      <c r="E15" s="59" t="s">
        <v>91</v>
      </c>
      <c r="F15" s="56" t="s">
        <v>46</v>
      </c>
      <c r="G15" s="44">
        <v>8</v>
      </c>
      <c r="H15" s="129">
        <f>IF(B$17=0,0,G15/B$17)</f>
        <v>3.5398230088495575E-2</v>
      </c>
      <c r="I15" s="90">
        <v>1</v>
      </c>
      <c r="K15" s="36">
        <v>13</v>
      </c>
      <c r="L15" s="95">
        <v>-86.8</v>
      </c>
      <c r="N15" s="110" t="s">
        <v>195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">
      <c r="A16" s="50" t="s">
        <v>124</v>
      </c>
      <c r="B16" s="43">
        <v>82</v>
      </c>
      <c r="C16" s="35">
        <f>IF(B$14=0,0,B16/B$14)</f>
        <v>0.37104072398190047</v>
      </c>
      <c r="E16" s="59" t="s">
        <v>78</v>
      </c>
      <c r="F16" s="56" t="s">
        <v>33</v>
      </c>
      <c r="G16" s="44">
        <v>7</v>
      </c>
      <c r="H16" s="129">
        <f>IF(B$17=0,0,G16/B$17)</f>
        <v>3.0973451327433628E-2</v>
      </c>
      <c r="I16" s="90">
        <v>3</v>
      </c>
      <c r="K16" s="36">
        <v>14</v>
      </c>
      <c r="L16" s="95">
        <v>-138.4</v>
      </c>
      <c r="N16" s="111" t="s">
        <v>182</v>
      </c>
      <c r="O16" s="121">
        <f>IF(P16=0,0,Q16/P16)</f>
        <v>37.040000000000006</v>
      </c>
      <c r="P16" s="115">
        <v>10</v>
      </c>
      <c r="Q16" s="103">
        <v>370.40000000000003</v>
      </c>
    </row>
    <row r="17" spans="1:17" x14ac:dyDescent="0.4">
      <c r="A17" s="50" t="s">
        <v>10</v>
      </c>
      <c r="B17" s="43">
        <f>B19+B18</f>
        <v>226</v>
      </c>
      <c r="C17" s="35">
        <f>IF(B$3=0,0,B17/B$3)</f>
        <v>0.31215469613259667</v>
      </c>
      <c r="E17" s="59" t="s">
        <v>81</v>
      </c>
      <c r="F17" s="56" t="s">
        <v>36</v>
      </c>
      <c r="G17" s="44">
        <v>6</v>
      </c>
      <c r="H17" s="129">
        <f>IF(B$17=0,0,G17/B$17)</f>
        <v>2.6548672566371681E-2</v>
      </c>
      <c r="I17" s="90">
        <v>3</v>
      </c>
      <c r="K17" s="36">
        <v>15</v>
      </c>
      <c r="L17" s="95">
        <v>-144.30000000000001</v>
      </c>
      <c r="N17" s="111" t="s">
        <v>181</v>
      </c>
      <c r="O17" s="121">
        <f>IF(P17=0,0,Q17/P17)</f>
        <v>19.850000000000001</v>
      </c>
      <c r="P17" s="115">
        <v>2</v>
      </c>
      <c r="Q17" s="103">
        <v>39.700000000000003</v>
      </c>
    </row>
    <row r="18" spans="1:17" x14ac:dyDescent="0.4">
      <c r="A18" s="51" t="s">
        <v>12</v>
      </c>
      <c r="B18" s="44">
        <v>87</v>
      </c>
      <c r="C18" s="37">
        <f>IF(B$17=0,0,B18/B$17)</f>
        <v>0.38495575221238937</v>
      </c>
      <c r="E18" s="59" t="s">
        <v>79</v>
      </c>
      <c r="F18" s="56" t="s">
        <v>34</v>
      </c>
      <c r="G18" s="44">
        <v>5</v>
      </c>
      <c r="H18" s="129">
        <f>IF(B$17=0,0,G18/B$17)</f>
        <v>2.2123893805309734E-2</v>
      </c>
      <c r="I18" s="90">
        <v>3</v>
      </c>
      <c r="K18" s="36">
        <v>16</v>
      </c>
      <c r="L18" s="95">
        <v>-187.3</v>
      </c>
      <c r="N18" s="111" t="s">
        <v>177</v>
      </c>
      <c r="O18" s="121">
        <f>IF(P18=0,0,Q18/P18)</f>
        <v>12.182608695652181</v>
      </c>
      <c r="P18" s="115">
        <v>23</v>
      </c>
      <c r="Q18" s="103">
        <v>280.20000000000016</v>
      </c>
    </row>
    <row r="19" spans="1:17" x14ac:dyDescent="0.4">
      <c r="A19" s="51" t="s">
        <v>11</v>
      </c>
      <c r="B19" s="44">
        <v>139</v>
      </c>
      <c r="C19" s="37">
        <f>IF(B$17=0,0,B19/B$17)</f>
        <v>0.61504424778761058</v>
      </c>
      <c r="E19" s="59" t="s">
        <v>74</v>
      </c>
      <c r="F19" s="56" t="s">
        <v>29</v>
      </c>
      <c r="G19" s="44">
        <v>2</v>
      </c>
      <c r="H19" s="129">
        <f>IF(B$17=0,0,G19/B$17)</f>
        <v>8.8495575221238937E-3</v>
      </c>
      <c r="I19" s="90">
        <v>3</v>
      </c>
      <c r="K19" s="36">
        <v>17</v>
      </c>
      <c r="L19" s="95">
        <v>-179.70000000000002</v>
      </c>
      <c r="N19" s="111" t="s">
        <v>179</v>
      </c>
      <c r="O19" s="121">
        <f>IF(P19=0,0,Q19/P19)</f>
        <v>10.948148148148144</v>
      </c>
      <c r="P19" s="115">
        <v>27</v>
      </c>
      <c r="Q19" s="103">
        <v>295.59999999999991</v>
      </c>
    </row>
    <row r="20" spans="1:17" x14ac:dyDescent="0.4">
      <c r="A20" s="51" t="s">
        <v>13</v>
      </c>
      <c r="B20" s="44">
        <v>142</v>
      </c>
      <c r="C20" s="37">
        <f>IF(B$3=0,0,B20/B$3)</f>
        <v>0.19613259668508287</v>
      </c>
      <c r="E20" s="59" t="s">
        <v>84</v>
      </c>
      <c r="F20" s="56" t="s">
        <v>39</v>
      </c>
      <c r="G20" s="44">
        <v>1</v>
      </c>
      <c r="H20" s="129">
        <f>IF(B$17=0,0,G20/B$17)</f>
        <v>4.4247787610619468E-3</v>
      </c>
      <c r="I20" s="90">
        <v>2</v>
      </c>
      <c r="K20" s="36">
        <v>18</v>
      </c>
      <c r="L20" s="95">
        <v>-112.90000000000002</v>
      </c>
      <c r="N20" s="111" t="s">
        <v>178</v>
      </c>
      <c r="O20" s="121">
        <f>IF(P20=0,0,Q20/P20)</f>
        <v>8.1034482758620729</v>
      </c>
      <c r="P20" s="115">
        <v>29</v>
      </c>
      <c r="Q20" s="103">
        <v>235.00000000000011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92</v>
      </c>
      <c r="F21" s="56" t="s">
        <v>47</v>
      </c>
      <c r="G21" s="44">
        <v>1</v>
      </c>
      <c r="H21" s="129">
        <f>IF(B$17=0,0,G21/B$17)</f>
        <v>4.4247787610619468E-3</v>
      </c>
      <c r="I21" s="90">
        <v>4</v>
      </c>
      <c r="K21" s="36">
        <v>19</v>
      </c>
      <c r="L21" s="95">
        <v>-162.40000000000003</v>
      </c>
      <c r="N21" s="111" t="s">
        <v>166</v>
      </c>
      <c r="O21" s="121">
        <f>IF(P21=0,0,Q21/P21)</f>
        <v>4.1099999999999977</v>
      </c>
      <c r="P21" s="115">
        <v>20</v>
      </c>
      <c r="Q21" s="103">
        <v>82.19999999999996</v>
      </c>
    </row>
    <row r="22" spans="1:17" x14ac:dyDescent="0.4">
      <c r="A22" s="51" t="s">
        <v>170</v>
      </c>
      <c r="B22" s="44">
        <v>23</v>
      </c>
      <c r="C22" s="131">
        <v>6</v>
      </c>
      <c r="E22" s="59" t="s">
        <v>95</v>
      </c>
      <c r="F22" s="56" t="s">
        <v>50</v>
      </c>
      <c r="G22" s="44">
        <v>1</v>
      </c>
      <c r="H22" s="129">
        <f>IF(B$17=0,0,G22/B$17)</f>
        <v>4.4247787610619468E-3</v>
      </c>
      <c r="I22" s="90">
        <v>2</v>
      </c>
      <c r="K22" s="36">
        <v>20</v>
      </c>
      <c r="L22" s="95">
        <v>-96.000000000000028</v>
      </c>
      <c r="N22" s="111" t="s">
        <v>126</v>
      </c>
      <c r="O22" s="121">
        <f>IF(P22=0,0,Q22/P22)</f>
        <v>-8.6087719298245613</v>
      </c>
      <c r="P22" s="115">
        <v>57</v>
      </c>
      <c r="Q22" s="103">
        <v>-490.7</v>
      </c>
    </row>
    <row r="23" spans="1:17" x14ac:dyDescent="0.4">
      <c r="A23" s="51" t="s">
        <v>5</v>
      </c>
      <c r="B23" s="48">
        <f>IF(B$17=0,0,C23/B$17)</f>
        <v>8729.2035398230091</v>
      </c>
      <c r="C23" s="39">
        <v>1972800</v>
      </c>
      <c r="E23" s="59" t="s">
        <v>167</v>
      </c>
      <c r="F23" s="56" t="s">
        <v>168</v>
      </c>
      <c r="G23" s="44">
        <v>1</v>
      </c>
      <c r="H23" s="129">
        <f>IF(B$17=0,0,G23/B$17)</f>
        <v>4.4247787610619468E-3</v>
      </c>
      <c r="I23" s="90">
        <v>7</v>
      </c>
      <c r="K23" s="36">
        <v>21</v>
      </c>
      <c r="L23" s="95">
        <v>-67.200000000000031</v>
      </c>
    </row>
    <row r="24" spans="1:17" x14ac:dyDescent="0.4">
      <c r="A24" s="52" t="s">
        <v>216</v>
      </c>
      <c r="B24" s="136">
        <f>IF($B$17-B$16=0,0,C24/($B$17-B$16))</f>
        <v>9070.8333333333339</v>
      </c>
      <c r="C24" s="137">
        <v>1306200</v>
      </c>
      <c r="E24" s="59" t="s">
        <v>73</v>
      </c>
      <c r="F24" s="56" t="s">
        <v>28</v>
      </c>
      <c r="G24" s="44">
        <v>0</v>
      </c>
      <c r="H24" s="129">
        <f>IF(B$17=0,0,G24/B$17)</f>
        <v>0</v>
      </c>
      <c r="I24" s="90">
        <v>4</v>
      </c>
      <c r="K24" s="36">
        <v>22</v>
      </c>
      <c r="L24" s="95">
        <v>-38.400000000000034</v>
      </c>
    </row>
    <row r="25" spans="1:17" x14ac:dyDescent="0.4">
      <c r="A25" s="52" t="s">
        <v>217</v>
      </c>
      <c r="B25" s="136">
        <f>IF(B$16=0,0,C25/B$16)</f>
        <v>8129.2682926829266</v>
      </c>
      <c r="C25" s="137">
        <v>666600</v>
      </c>
      <c r="E25" s="59" t="s">
        <v>75</v>
      </c>
      <c r="F25" s="56" t="s">
        <v>30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-37.600000000000037</v>
      </c>
    </row>
    <row r="26" spans="1:17" x14ac:dyDescent="0.4">
      <c r="A26" s="52" t="s">
        <v>215</v>
      </c>
      <c r="B26" s="136">
        <f>IF(B$20=0,0,C26/B$20)</f>
        <v>-7766.1971830985913</v>
      </c>
      <c r="C26" s="137">
        <v>-1102800</v>
      </c>
      <c r="E26" s="59" t="s">
        <v>76</v>
      </c>
      <c r="F26" s="56" t="s">
        <v>31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-37.600000000000037</v>
      </c>
    </row>
    <row r="27" spans="1:17" x14ac:dyDescent="0.4">
      <c r="A27" s="86" t="s">
        <v>140</v>
      </c>
      <c r="B27" s="142">
        <v>8</v>
      </c>
      <c r="C27" s="143"/>
      <c r="E27" s="59" t="s">
        <v>77</v>
      </c>
      <c r="F27" s="56" t="s">
        <v>32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-10.700000000000038</v>
      </c>
    </row>
    <row r="28" spans="1:17" x14ac:dyDescent="0.4">
      <c r="A28" s="54" t="s">
        <v>150</v>
      </c>
      <c r="B28" s="140">
        <v>91800</v>
      </c>
      <c r="C28" s="141"/>
      <c r="E28" s="59" t="s">
        <v>80</v>
      </c>
      <c r="F28" s="56" t="s">
        <v>35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-2.6000000000000387</v>
      </c>
    </row>
    <row r="29" spans="1:17" x14ac:dyDescent="0.4">
      <c r="A29" s="53" t="s">
        <v>141</v>
      </c>
      <c r="B29" s="61">
        <v>3</v>
      </c>
      <c r="C29" s="40">
        <f>IF(B$3=0,0,B29/B$3)</f>
        <v>4.1436464088397788E-3</v>
      </c>
      <c r="E29" s="59" t="s">
        <v>82</v>
      </c>
      <c r="F29" s="56" t="s">
        <v>37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-34.100000000000037</v>
      </c>
    </row>
    <row r="30" spans="1:17" x14ac:dyDescent="0.4">
      <c r="E30" s="59" t="s">
        <v>85</v>
      </c>
      <c r="F30" s="56" t="s">
        <v>40</v>
      </c>
      <c r="G30" s="44">
        <v>0</v>
      </c>
      <c r="H30" s="129">
        <f>IF(B$17=0,0,G30/B$17)</f>
        <v>0</v>
      </c>
      <c r="I30" s="90">
        <v>6</v>
      </c>
      <c r="K30" s="36">
        <v>28</v>
      </c>
      <c r="L30" s="95">
        <v>-16.100000000000037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40.799999999999962</v>
      </c>
    </row>
    <row r="32" spans="1:17" x14ac:dyDescent="0.4">
      <c r="E32" s="59" t="s">
        <v>88</v>
      </c>
      <c r="F32" s="56" t="s">
        <v>43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63.499999999999957</v>
      </c>
    </row>
    <row r="33" spans="5:12" x14ac:dyDescent="0.4">
      <c r="E33" s="59" t="s">
        <v>90</v>
      </c>
      <c r="F33" s="56" t="s">
        <v>45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94.299999999999955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4</v>
      </c>
      <c r="K34" s="36">
        <v>32</v>
      </c>
      <c r="L34" s="95">
        <v>144.79999999999995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153.39999999999995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178.09999999999994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171.89999999999995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164.59999999999994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156.59999999999994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110.89999999999993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158.79999999999993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109.59999999999992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131.59999999999991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183.6999999999999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211.89999999999989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232.7999999999999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214.39999999999989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  <row r="70" spans="11:12" x14ac:dyDescent="0.4">
      <c r="K70" s="36">
        <v>68</v>
      </c>
      <c r="L70" s="95">
        <v>350.2999999999999</v>
      </c>
    </row>
    <row r="71" spans="11:12" x14ac:dyDescent="0.4">
      <c r="K71" s="36">
        <v>69</v>
      </c>
      <c r="L71" s="95">
        <v>384.09999999999991</v>
      </c>
    </row>
    <row r="72" spans="11:12" x14ac:dyDescent="0.4">
      <c r="K72" s="36">
        <v>70</v>
      </c>
      <c r="L72" s="95">
        <v>390.59999999999991</v>
      </c>
    </row>
    <row r="73" spans="11:12" x14ac:dyDescent="0.4">
      <c r="K73" s="36">
        <v>71</v>
      </c>
      <c r="L73" s="95">
        <v>387.49999999999989</v>
      </c>
    </row>
    <row r="74" spans="11:12" x14ac:dyDescent="0.4">
      <c r="K74" s="36">
        <v>72</v>
      </c>
      <c r="L74" s="95">
        <v>361.39999999999986</v>
      </c>
    </row>
    <row r="75" spans="11:12" x14ac:dyDescent="0.4">
      <c r="K75" s="36">
        <v>73</v>
      </c>
      <c r="L75" s="95">
        <v>380.79999999999984</v>
      </c>
    </row>
    <row r="76" spans="11:12" x14ac:dyDescent="0.4">
      <c r="K76" s="36">
        <v>74</v>
      </c>
      <c r="L76" s="95">
        <v>327.39999999999986</v>
      </c>
    </row>
    <row r="77" spans="11:12" x14ac:dyDescent="0.4">
      <c r="K77" s="36">
        <v>75</v>
      </c>
      <c r="L77" s="95">
        <v>336.79999999999984</v>
      </c>
    </row>
    <row r="78" spans="11:12" x14ac:dyDescent="0.4">
      <c r="K78" s="36">
        <v>76</v>
      </c>
      <c r="L78" s="95">
        <v>344.09999999999985</v>
      </c>
    </row>
    <row r="79" spans="11:12" x14ac:dyDescent="0.4">
      <c r="K79" s="36">
        <v>77</v>
      </c>
      <c r="L79" s="95">
        <v>375.59999999999985</v>
      </c>
    </row>
    <row r="80" spans="11:12" x14ac:dyDescent="0.4">
      <c r="K80" s="36">
        <v>78</v>
      </c>
      <c r="L80" s="95">
        <v>377.19999999999987</v>
      </c>
    </row>
    <row r="81" spans="11:12" x14ac:dyDescent="0.4">
      <c r="K81" s="36">
        <v>79</v>
      </c>
      <c r="L81" s="95">
        <v>390.49999999999989</v>
      </c>
    </row>
    <row r="82" spans="11:12" x14ac:dyDescent="0.4">
      <c r="K82" s="36">
        <v>80</v>
      </c>
      <c r="L82" s="95">
        <v>369.19999999999987</v>
      </c>
    </row>
    <row r="83" spans="11:12" x14ac:dyDescent="0.4">
      <c r="K83" s="36">
        <v>81</v>
      </c>
      <c r="L83" s="95">
        <v>374.2999999999999</v>
      </c>
    </row>
    <row r="84" spans="11:12" x14ac:dyDescent="0.4">
      <c r="K84" s="36">
        <v>82</v>
      </c>
      <c r="L84" s="95">
        <v>344.69999999999987</v>
      </c>
    </row>
    <row r="85" spans="11:12" x14ac:dyDescent="0.4">
      <c r="K85" s="36">
        <v>83</v>
      </c>
      <c r="L85" s="95">
        <v>328.7999999999999</v>
      </c>
    </row>
    <row r="86" spans="11:12" x14ac:dyDescent="0.4">
      <c r="K86" s="36">
        <v>84</v>
      </c>
      <c r="L86" s="95">
        <v>283.59999999999991</v>
      </c>
    </row>
    <row r="87" spans="11:12" x14ac:dyDescent="0.4">
      <c r="K87" s="36">
        <v>85</v>
      </c>
      <c r="L87" s="95">
        <v>320.99999999999989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5294D-DFF5-4D8E-8F39-E15FF577616C}">
  <sheetPr codeName="Sheet13"/>
  <dimension ref="A1:Q61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179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59</v>
      </c>
      <c r="C2" s="149"/>
      <c r="E2" s="58" t="s">
        <v>66</v>
      </c>
      <c r="F2" s="55" t="s">
        <v>22</v>
      </c>
      <c r="G2" s="43">
        <v>103</v>
      </c>
      <c r="H2" s="128">
        <f>IF(B$17=0,0,G2/B$17)</f>
        <v>0.73571428571428577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-727.58620689655174</v>
      </c>
      <c r="P2" s="114">
        <v>58</v>
      </c>
      <c r="Q2" s="98">
        <v>-42200</v>
      </c>
    </row>
    <row r="3" spans="1:17" x14ac:dyDescent="0.4">
      <c r="A3" s="51" t="s">
        <v>8</v>
      </c>
      <c r="B3" s="150">
        <v>496</v>
      </c>
      <c r="C3" s="151"/>
      <c r="E3" s="59" t="s">
        <v>64</v>
      </c>
      <c r="F3" s="56" t="s">
        <v>20</v>
      </c>
      <c r="G3" s="44">
        <v>83</v>
      </c>
      <c r="H3" s="129">
        <f>IF(B$17=0,0,G3/B$17)</f>
        <v>0.59285714285714286</v>
      </c>
      <c r="I3" s="90">
        <v>1</v>
      </c>
      <c r="K3" s="36">
        <v>1</v>
      </c>
      <c r="L3" s="95">
        <v>-37.799999999999997</v>
      </c>
      <c r="N3" s="111" t="s">
        <v>131</v>
      </c>
      <c r="O3" s="118">
        <f t="shared" si="0"/>
        <v>-43.103448275862071</v>
      </c>
      <c r="P3" s="115">
        <v>58</v>
      </c>
      <c r="Q3" s="99">
        <v>-2500</v>
      </c>
    </row>
    <row r="4" spans="1:17" x14ac:dyDescent="0.4">
      <c r="A4" s="51" t="s">
        <v>6</v>
      </c>
      <c r="B4" s="152">
        <v>-399.29999999999995</v>
      </c>
      <c r="C4" s="153"/>
      <c r="E4" s="59" t="s">
        <v>72</v>
      </c>
      <c r="F4" s="56" t="s">
        <v>27</v>
      </c>
      <c r="G4" s="44">
        <v>71</v>
      </c>
      <c r="H4" s="129">
        <f>IF(B$17=0,0,G4/B$17)</f>
        <v>0.50714285714285712</v>
      </c>
      <c r="I4" s="90">
        <v>7</v>
      </c>
      <c r="K4" s="36">
        <v>2</v>
      </c>
      <c r="L4" s="95">
        <v>-30.099999999999998</v>
      </c>
      <c r="N4" s="111" t="s">
        <v>132</v>
      </c>
      <c r="O4" s="118">
        <f t="shared" si="0"/>
        <v>870.90909090909088</v>
      </c>
      <c r="P4" s="115">
        <v>55</v>
      </c>
      <c r="Q4" s="99">
        <v>47900</v>
      </c>
    </row>
    <row r="5" spans="1:17" x14ac:dyDescent="0.4">
      <c r="A5" s="51" t="s">
        <v>7</v>
      </c>
      <c r="B5" s="154">
        <f>IF(B$2=0,0,B$4/B$2)</f>
        <v>-6.7677966101694906</v>
      </c>
      <c r="C5" s="155"/>
      <c r="E5" s="59" t="s">
        <v>171</v>
      </c>
      <c r="F5" s="56" t="s">
        <v>172</v>
      </c>
      <c r="G5" s="44">
        <v>57</v>
      </c>
      <c r="H5" s="129">
        <f>IF(B$17=0,0,G5/B$17)</f>
        <v>0.40714285714285714</v>
      </c>
      <c r="I5" s="90">
        <v>3</v>
      </c>
      <c r="K5" s="36">
        <v>3</v>
      </c>
      <c r="L5" s="95">
        <v>-17.599999999999998</v>
      </c>
      <c r="N5" s="111" t="s">
        <v>133</v>
      </c>
      <c r="O5" s="118">
        <f t="shared" si="0"/>
        <v>-1514.8148148148148</v>
      </c>
      <c r="P5" s="115">
        <v>54</v>
      </c>
      <c r="Q5" s="99">
        <v>-81800</v>
      </c>
    </row>
    <row r="6" spans="1:17" x14ac:dyDescent="0.4">
      <c r="A6" s="51" t="s">
        <v>1</v>
      </c>
      <c r="B6" s="144">
        <f>IF(B$2=0,0,(B$7*1+B$8*2+B$9*3)/B$2)</f>
        <v>2.1864406779661016</v>
      </c>
      <c r="C6" s="145"/>
      <c r="E6" s="59" t="s">
        <v>68</v>
      </c>
      <c r="F6" s="56" t="s">
        <v>12</v>
      </c>
      <c r="G6" s="44">
        <v>49</v>
      </c>
      <c r="H6" s="129">
        <f>IF(B$17=0,0,G6/B$17)</f>
        <v>0.35</v>
      </c>
      <c r="I6" s="90">
        <v>3</v>
      </c>
      <c r="K6" s="36">
        <v>4</v>
      </c>
      <c r="L6" s="95">
        <v>-54.899999999999991</v>
      </c>
      <c r="N6" s="111" t="s">
        <v>134</v>
      </c>
      <c r="O6" s="118">
        <f t="shared" si="0"/>
        <v>-3455.7692307692309</v>
      </c>
      <c r="P6" s="115">
        <v>52</v>
      </c>
      <c r="Q6" s="99">
        <v>-179700</v>
      </c>
    </row>
    <row r="7" spans="1:17" x14ac:dyDescent="0.4">
      <c r="A7" s="51" t="s">
        <v>2</v>
      </c>
      <c r="B7" s="44">
        <v>12</v>
      </c>
      <c r="C7" s="37">
        <f t="shared" ref="C7:C12" si="1">IF(B$2=0,0,B7/B$2)</f>
        <v>0.20338983050847459</v>
      </c>
      <c r="E7" s="59" t="s">
        <v>67</v>
      </c>
      <c r="F7" s="56" t="s">
        <v>23</v>
      </c>
      <c r="G7" s="44">
        <v>45</v>
      </c>
      <c r="H7" s="129">
        <f>IF(B$17=0,0,G7/B$17)</f>
        <v>0.32142857142857145</v>
      </c>
      <c r="I7" s="90">
        <v>5</v>
      </c>
      <c r="K7" s="36">
        <v>5</v>
      </c>
      <c r="L7" s="95">
        <v>-33.699999999999989</v>
      </c>
      <c r="N7" s="112" t="s">
        <v>135</v>
      </c>
      <c r="O7" s="119">
        <f t="shared" si="0"/>
        <v>-1178.2608695652175</v>
      </c>
      <c r="P7" s="116">
        <v>46</v>
      </c>
      <c r="Q7" s="100">
        <v>-54200</v>
      </c>
    </row>
    <row r="8" spans="1:17" x14ac:dyDescent="0.4">
      <c r="A8" s="51" t="s">
        <v>3</v>
      </c>
      <c r="B8" s="44">
        <v>24</v>
      </c>
      <c r="C8" s="37">
        <f t="shared" si="1"/>
        <v>0.40677966101694918</v>
      </c>
      <c r="E8" s="59" t="s">
        <v>70</v>
      </c>
      <c r="F8" s="56" t="s">
        <v>25</v>
      </c>
      <c r="G8" s="44">
        <v>22</v>
      </c>
      <c r="H8" s="129">
        <f>IF(B$17=0,0,G8/B$17)</f>
        <v>0.15714285714285714</v>
      </c>
      <c r="I8" s="90">
        <v>2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23</v>
      </c>
      <c r="C9" s="38">
        <f t="shared" si="1"/>
        <v>0.38983050847457629</v>
      </c>
      <c r="E9" s="59" t="s">
        <v>69</v>
      </c>
      <c r="F9" s="56" t="s">
        <v>24</v>
      </c>
      <c r="G9" s="44">
        <v>21</v>
      </c>
      <c r="H9" s="129">
        <f>IF(B$17=0,0,G9/B$17)</f>
        <v>0.15</v>
      </c>
      <c r="I9" s="90">
        <v>6</v>
      </c>
      <c r="K9" s="36">
        <v>7</v>
      </c>
      <c r="L9" s="95">
        <v>-39.499999999999993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6.7796610169491525E-2</v>
      </c>
      <c r="E10" s="59" t="s">
        <v>65</v>
      </c>
      <c r="F10" s="56" t="s">
        <v>21</v>
      </c>
      <c r="G10" s="44">
        <v>15</v>
      </c>
      <c r="H10" s="129">
        <f>IF(B$17=0,0,G10/B$17)</f>
        <v>0.10714285714285714</v>
      </c>
      <c r="I10" s="90">
        <v>6</v>
      </c>
      <c r="K10" s="36">
        <v>8</v>
      </c>
      <c r="L10" s="95">
        <v>-62.999999999999993</v>
      </c>
      <c r="N10" s="110" t="s">
        <v>162</v>
      </c>
      <c r="O10" s="120">
        <f>IF(P10=0,0,Q10/P10)</f>
        <v>-2.7043478260869578</v>
      </c>
      <c r="P10" s="114">
        <v>23</v>
      </c>
      <c r="Q10" s="102">
        <v>-62.200000000000031</v>
      </c>
    </row>
    <row r="11" spans="1:17" x14ac:dyDescent="0.4">
      <c r="A11" s="52" t="s">
        <v>138</v>
      </c>
      <c r="B11" s="45">
        <v>2</v>
      </c>
      <c r="C11" s="38">
        <f t="shared" si="1"/>
        <v>3.3898305084745763E-2</v>
      </c>
      <c r="E11" s="59" t="s">
        <v>89</v>
      </c>
      <c r="F11" s="56" t="s">
        <v>44</v>
      </c>
      <c r="G11" s="44">
        <v>13</v>
      </c>
      <c r="H11" s="129">
        <f>IF(B$17=0,0,G11/B$17)</f>
        <v>9.285714285714286E-2</v>
      </c>
      <c r="I11" s="90">
        <v>8</v>
      </c>
      <c r="K11" s="36">
        <v>9</v>
      </c>
      <c r="L11" s="95">
        <v>-74.199999999999989</v>
      </c>
      <c r="N11" s="111" t="s">
        <v>163</v>
      </c>
      <c r="O11" s="121">
        <f>IF(P11=0,0,Q11/P11)</f>
        <v>-7.2949999999999999</v>
      </c>
      <c r="P11" s="115">
        <v>20</v>
      </c>
      <c r="Q11" s="103">
        <v>-145.9</v>
      </c>
    </row>
    <row r="12" spans="1:17" x14ac:dyDescent="0.4">
      <c r="A12" s="53" t="s">
        <v>158</v>
      </c>
      <c r="B12" s="46">
        <v>5</v>
      </c>
      <c r="C12" s="40">
        <f t="shared" si="1"/>
        <v>8.4745762711864403E-2</v>
      </c>
      <c r="E12" s="59" t="s">
        <v>83</v>
      </c>
      <c r="F12" s="56" t="s">
        <v>38</v>
      </c>
      <c r="G12" s="44">
        <v>8</v>
      </c>
      <c r="H12" s="129">
        <f>IF(B$17=0,0,G12/B$17)</f>
        <v>5.7142857142857141E-2</v>
      </c>
      <c r="I12" s="90">
        <v>5</v>
      </c>
      <c r="K12" s="36">
        <v>10</v>
      </c>
      <c r="L12" s="95">
        <v>-117.19999999999999</v>
      </c>
      <c r="N12" s="112" t="s">
        <v>164</v>
      </c>
      <c r="O12" s="122">
        <f>IF(P12=0,0,Q12/P12)</f>
        <v>-11.95</v>
      </c>
      <c r="P12" s="116">
        <v>16</v>
      </c>
      <c r="Q12" s="104">
        <v>-191.2</v>
      </c>
    </row>
    <row r="13" spans="1:17" x14ac:dyDescent="0.4">
      <c r="A13" s="54" t="s">
        <v>121</v>
      </c>
      <c r="B13" s="47">
        <v>142</v>
      </c>
      <c r="C13" s="42">
        <f>IF(B$3=0,0,B13/B$3)</f>
        <v>0.28629032258064518</v>
      </c>
      <c r="E13" s="59" t="s">
        <v>71</v>
      </c>
      <c r="F13" s="56" t="s">
        <v>26</v>
      </c>
      <c r="G13" s="44">
        <v>7</v>
      </c>
      <c r="H13" s="129">
        <f>IF(B$17=0,0,G13/B$17)</f>
        <v>0.05</v>
      </c>
      <c r="I13" s="90">
        <v>11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93</v>
      </c>
      <c r="C14" s="37">
        <f>IF(B$3=0,0,B14/B$3)</f>
        <v>0.1875</v>
      </c>
      <c r="E14" s="59" t="s">
        <v>78</v>
      </c>
      <c r="F14" s="56" t="s">
        <v>33</v>
      </c>
      <c r="G14" s="44">
        <v>6</v>
      </c>
      <c r="H14" s="129">
        <f>IF(B$17=0,0,G14/B$17)</f>
        <v>4.2857142857142858E-2</v>
      </c>
      <c r="I14" s="90">
        <v>1</v>
      </c>
      <c r="K14" s="36">
        <v>12</v>
      </c>
      <c r="L14" s="95">
        <v>-158.6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85</v>
      </c>
      <c r="C15" s="35">
        <f>IF(B$13=0,0,B15/B$13)</f>
        <v>0.59859154929577463</v>
      </c>
      <c r="E15" s="59" t="s">
        <v>86</v>
      </c>
      <c r="F15" s="56" t="s">
        <v>41</v>
      </c>
      <c r="G15" s="44">
        <v>4</v>
      </c>
      <c r="H15" s="129">
        <f>IF(B$17=0,0,G15/B$17)</f>
        <v>2.8571428571428571E-2</v>
      </c>
      <c r="I15" s="90">
        <v>9</v>
      </c>
      <c r="K15" s="36">
        <v>13</v>
      </c>
      <c r="L15" s="95">
        <v>-207.3</v>
      </c>
      <c r="N15" s="110" t="s">
        <v>182</v>
      </c>
      <c r="O15" s="120">
        <f t="shared" ref="O15:O22" si="2">IF(P15=0,0,Q15/P15)</f>
        <v>25.799999999999997</v>
      </c>
      <c r="P15" s="114">
        <v>1</v>
      </c>
      <c r="Q15" s="102">
        <v>25.799999999999997</v>
      </c>
    </row>
    <row r="16" spans="1:17" x14ac:dyDescent="0.4">
      <c r="A16" s="50" t="s">
        <v>124</v>
      </c>
      <c r="B16" s="43">
        <v>36</v>
      </c>
      <c r="C16" s="35">
        <f>IF(B$14=0,0,B16/B$14)</f>
        <v>0.38709677419354838</v>
      </c>
      <c r="E16" s="59" t="s">
        <v>81</v>
      </c>
      <c r="F16" s="56" t="s">
        <v>36</v>
      </c>
      <c r="G16" s="44">
        <v>3</v>
      </c>
      <c r="H16" s="129">
        <f>IF(B$17=0,0,G16/B$17)</f>
        <v>2.1428571428571429E-2</v>
      </c>
      <c r="I16" s="90">
        <v>5</v>
      </c>
      <c r="K16" s="36">
        <v>14</v>
      </c>
      <c r="L16" s="95">
        <v>-204.8</v>
      </c>
      <c r="N16" s="111" t="s">
        <v>166</v>
      </c>
      <c r="O16" s="121">
        <f t="shared" si="2"/>
        <v>7.0692307692307699</v>
      </c>
      <c r="P16" s="115">
        <v>13</v>
      </c>
      <c r="Q16" s="103">
        <v>91.9</v>
      </c>
    </row>
    <row r="17" spans="1:17" x14ac:dyDescent="0.4">
      <c r="A17" s="50" t="s">
        <v>10</v>
      </c>
      <c r="B17" s="43">
        <f>B19+B18</f>
        <v>140</v>
      </c>
      <c r="C17" s="35">
        <f>IF(B$3=0,0,B17/B$3)</f>
        <v>0.28225806451612906</v>
      </c>
      <c r="E17" s="59" t="s">
        <v>167</v>
      </c>
      <c r="F17" s="56" t="s">
        <v>168</v>
      </c>
      <c r="G17" s="44">
        <v>3</v>
      </c>
      <c r="H17" s="129">
        <f>IF(B$17=0,0,G17/B$17)</f>
        <v>2.1428571428571429E-2</v>
      </c>
      <c r="I17" s="90">
        <v>5</v>
      </c>
      <c r="K17" s="36">
        <v>15</v>
      </c>
      <c r="L17" s="95">
        <v>-221.5</v>
      </c>
      <c r="N17" s="111" t="s">
        <v>181</v>
      </c>
      <c r="O17" s="121">
        <f t="shared" si="2"/>
        <v>3.7285714285714309</v>
      </c>
      <c r="P17" s="115">
        <v>7</v>
      </c>
      <c r="Q17" s="103">
        <v>26.100000000000016</v>
      </c>
    </row>
    <row r="18" spans="1:17" x14ac:dyDescent="0.4">
      <c r="A18" s="51" t="s">
        <v>12</v>
      </c>
      <c r="B18" s="44">
        <v>64</v>
      </c>
      <c r="C18" s="37">
        <f>IF(B$17=0,0,B18/B$17)</f>
        <v>0.45714285714285713</v>
      </c>
      <c r="E18" s="59" t="s">
        <v>75</v>
      </c>
      <c r="F18" s="56" t="s">
        <v>30</v>
      </c>
      <c r="G18" s="44">
        <v>2</v>
      </c>
      <c r="H18" s="129">
        <f>IF(B$17=0,0,G18/B$17)</f>
        <v>1.4285714285714285E-2</v>
      </c>
      <c r="I18" s="90">
        <v>2</v>
      </c>
      <c r="K18" s="36">
        <v>16</v>
      </c>
      <c r="L18" s="95">
        <v>-224.3</v>
      </c>
      <c r="N18" s="111" t="s">
        <v>177</v>
      </c>
      <c r="O18" s="121">
        <f t="shared" si="2"/>
        <v>-6.6222222222222209</v>
      </c>
      <c r="P18" s="115">
        <v>9</v>
      </c>
      <c r="Q18" s="103">
        <v>-59.599999999999987</v>
      </c>
    </row>
    <row r="19" spans="1:17" x14ac:dyDescent="0.4">
      <c r="A19" s="51" t="s">
        <v>11</v>
      </c>
      <c r="B19" s="44">
        <v>76</v>
      </c>
      <c r="C19" s="37">
        <f>IF(B$17=0,0,B19/B$17)</f>
        <v>0.54285714285714282</v>
      </c>
      <c r="E19" s="59" t="s">
        <v>79</v>
      </c>
      <c r="F19" s="56" t="s">
        <v>34</v>
      </c>
      <c r="G19" s="44">
        <v>2</v>
      </c>
      <c r="H19" s="129">
        <f>IF(B$17=0,0,G19/B$17)</f>
        <v>1.4285714285714285E-2</v>
      </c>
      <c r="I19" s="90">
        <v>4</v>
      </c>
      <c r="K19" s="36">
        <v>17</v>
      </c>
      <c r="L19" s="95">
        <v>-251.4</v>
      </c>
      <c r="N19" s="111" t="s">
        <v>127</v>
      </c>
      <c r="O19" s="121">
        <f t="shared" si="2"/>
        <v>-10.948148148148144</v>
      </c>
      <c r="P19" s="115">
        <v>27</v>
      </c>
      <c r="Q19" s="103">
        <v>-295.59999999999991</v>
      </c>
    </row>
    <row r="20" spans="1:17" x14ac:dyDescent="0.4">
      <c r="A20" s="51" t="s">
        <v>13</v>
      </c>
      <c r="B20" s="44">
        <v>103</v>
      </c>
      <c r="C20" s="37">
        <f>IF(B$3=0,0,B20/B$3)</f>
        <v>0.20766129032258066</v>
      </c>
      <c r="E20" s="59" t="s">
        <v>91</v>
      </c>
      <c r="F20" s="56" t="s">
        <v>46</v>
      </c>
      <c r="G20" s="44">
        <v>1</v>
      </c>
      <c r="H20" s="129">
        <f>IF(B$17=0,0,G20/B$17)</f>
        <v>7.1428571428571426E-3</v>
      </c>
      <c r="I20" s="90">
        <v>5</v>
      </c>
      <c r="K20" s="36">
        <v>18</v>
      </c>
      <c r="L20" s="95">
        <v>-240</v>
      </c>
      <c r="N20" s="111" t="s">
        <v>178</v>
      </c>
      <c r="O20" s="121">
        <f t="shared" si="2"/>
        <v>-12.900000000000002</v>
      </c>
      <c r="P20" s="115">
        <v>19</v>
      </c>
      <c r="Q20" s="103">
        <v>-245.10000000000005</v>
      </c>
    </row>
    <row r="21" spans="1:17" x14ac:dyDescent="0.4">
      <c r="A21" s="51" t="s">
        <v>169</v>
      </c>
      <c r="B21" s="44">
        <v>4</v>
      </c>
      <c r="C21" s="131">
        <v>1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4</v>
      </c>
      <c r="K21" s="36">
        <v>19</v>
      </c>
      <c r="L21" s="95">
        <v>-218</v>
      </c>
      <c r="N21" s="111" t="s">
        <v>126</v>
      </c>
      <c r="O21" s="121">
        <f t="shared" si="2"/>
        <v>-16.702439024390248</v>
      </c>
      <c r="P21" s="115">
        <v>41</v>
      </c>
      <c r="Q21" s="103">
        <v>-684.80000000000018</v>
      </c>
    </row>
    <row r="22" spans="1:17" x14ac:dyDescent="0.4">
      <c r="A22" s="51" t="s">
        <v>170</v>
      </c>
      <c r="B22" s="44">
        <v>21</v>
      </c>
      <c r="C22" s="131">
        <v>2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7</v>
      </c>
      <c r="K22" s="36">
        <v>20</v>
      </c>
      <c r="L22" s="95">
        <v>-177.6</v>
      </c>
      <c r="N22" s="111" t="s">
        <v>195</v>
      </c>
      <c r="O22" s="121">
        <f t="shared" si="2"/>
        <v>-56.6</v>
      </c>
      <c r="P22" s="115">
        <v>1</v>
      </c>
      <c r="Q22" s="103">
        <v>-56.6</v>
      </c>
    </row>
    <row r="23" spans="1:17" x14ac:dyDescent="0.4">
      <c r="A23" s="51" t="s">
        <v>5</v>
      </c>
      <c r="B23" s="48">
        <f>IF(B$17=0,0,C23/B$17)</f>
        <v>7988.5714285714284</v>
      </c>
      <c r="C23" s="39">
        <v>1118400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-133.30000000000001</v>
      </c>
    </row>
    <row r="24" spans="1:17" x14ac:dyDescent="0.4">
      <c r="A24" s="52" t="s">
        <v>216</v>
      </c>
      <c r="B24" s="136">
        <f>IF($B$17-B$16=0,0,C24/($B$17-B$16))</f>
        <v>8608.6538461538457</v>
      </c>
      <c r="C24" s="137">
        <v>895300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4</v>
      </c>
      <c r="K24" s="36">
        <v>22</v>
      </c>
      <c r="L24" s="95">
        <v>-164.60000000000002</v>
      </c>
    </row>
    <row r="25" spans="1:17" x14ac:dyDescent="0.4">
      <c r="A25" s="52" t="s">
        <v>217</v>
      </c>
      <c r="B25" s="136">
        <f>IF(B$16=0,0,C25/B$16)</f>
        <v>6197.2222222222226</v>
      </c>
      <c r="C25" s="137">
        <v>223100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2" t="s">
        <v>215</v>
      </c>
      <c r="B26" s="136">
        <f>IF(B$20=0,0,C26/B$20)</f>
        <v>-7638.8349514563106</v>
      </c>
      <c r="C26" s="137">
        <v>-786800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-185.00000000000003</v>
      </c>
    </row>
    <row r="28" spans="1:17" x14ac:dyDescent="0.4">
      <c r="A28" s="54" t="s">
        <v>150</v>
      </c>
      <c r="B28" s="140">
        <v>69300</v>
      </c>
      <c r="C28" s="141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3" t="s">
        <v>141</v>
      </c>
      <c r="B29" s="61">
        <v>2</v>
      </c>
      <c r="C29" s="40">
        <f>IF(B$3=0,0,B29/B$3)</f>
        <v>4.0322580645161289E-3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-163.00000000000003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5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-159.9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-175.6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-212.6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-244.8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-261.3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-236.8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-264.60000000000002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-252.20000000000002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-261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-245.4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-227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-268.39999999999998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-264.39999999999998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-268.89999999999998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-299.39999999999998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-330.7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-353.09999999999997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-351.79999999999995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-346.19999999999993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-357.39999999999992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-404.09999999999991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-400.99999999999989</v>
      </c>
    </row>
    <row r="53" spans="5:12" x14ac:dyDescent="0.4">
      <c r="K53" s="36">
        <v>51</v>
      </c>
      <c r="L53" s="95">
        <v>-414.7999999999999</v>
      </c>
    </row>
    <row r="54" spans="5:12" x14ac:dyDescent="0.4">
      <c r="K54" s="36">
        <v>52</v>
      </c>
      <c r="L54" s="95">
        <v>-403.89999999999992</v>
      </c>
    </row>
    <row r="55" spans="5:12" x14ac:dyDescent="0.4">
      <c r="K55" s="36">
        <v>53</v>
      </c>
      <c r="L55" s="95">
        <v>-386.7999999999999</v>
      </c>
    </row>
    <row r="56" spans="5:12" x14ac:dyDescent="0.4">
      <c r="K56" s="36">
        <v>54</v>
      </c>
      <c r="L56" s="95">
        <v>-441.2999999999999</v>
      </c>
    </row>
    <row r="57" spans="5:12" x14ac:dyDescent="0.4">
      <c r="K57" s="36">
        <v>55</v>
      </c>
      <c r="L57" s="95">
        <v>-398.09999999999991</v>
      </c>
    </row>
    <row r="58" spans="5:12" x14ac:dyDescent="0.4">
      <c r="K58" s="36">
        <v>56</v>
      </c>
      <c r="L58" s="95">
        <v>-393.39999999999992</v>
      </c>
    </row>
    <row r="59" spans="5:12" x14ac:dyDescent="0.4">
      <c r="K59" s="36">
        <v>57</v>
      </c>
      <c r="L59" s="95">
        <v>-376.49999999999994</v>
      </c>
    </row>
    <row r="60" spans="5:12" x14ac:dyDescent="0.4">
      <c r="K60" s="36">
        <v>58</v>
      </c>
      <c r="L60" s="95">
        <v>-373.49999999999994</v>
      </c>
    </row>
    <row r="61" spans="5:12" x14ac:dyDescent="0.4">
      <c r="K61" s="36">
        <v>59</v>
      </c>
      <c r="L61" s="95">
        <v>-399.29999999999995</v>
      </c>
    </row>
  </sheetData>
  <sortState xmlns:xlrd2="http://schemas.microsoft.com/office/spreadsheetml/2017/richdata2" ref="E2:I62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85D03-E29A-440A-9F31-B852B548C1B7}">
  <sheetPr codeName="Sheet15"/>
  <dimension ref="A1:Q57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55</v>
      </c>
      <c r="C2" s="149"/>
      <c r="E2" s="58" t="s">
        <v>66</v>
      </c>
      <c r="F2" s="55" t="s">
        <v>22</v>
      </c>
      <c r="G2" s="43">
        <v>108</v>
      </c>
      <c r="H2" s="128">
        <f>IF(B$17=0,0,G2/B$17)</f>
        <v>0.83720930232558144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2305.4545454545455</v>
      </c>
      <c r="P2" s="114">
        <v>55</v>
      </c>
      <c r="Q2" s="98">
        <v>126800</v>
      </c>
    </row>
    <row r="3" spans="1:17" x14ac:dyDescent="0.4">
      <c r="A3" s="51" t="s">
        <v>8</v>
      </c>
      <c r="B3" s="150">
        <v>439</v>
      </c>
      <c r="C3" s="151"/>
      <c r="E3" s="59" t="s">
        <v>72</v>
      </c>
      <c r="F3" s="56" t="s">
        <v>27</v>
      </c>
      <c r="G3" s="44">
        <v>75</v>
      </c>
      <c r="H3" s="129">
        <f>IF(B$17=0,0,G3/B$17)</f>
        <v>0.58139534883720934</v>
      </c>
      <c r="I3" s="90">
        <v>4</v>
      </c>
      <c r="K3" s="36">
        <v>1</v>
      </c>
      <c r="L3" s="95">
        <v>-9.1</v>
      </c>
      <c r="N3" s="111" t="s">
        <v>131</v>
      </c>
      <c r="O3" s="118">
        <f t="shared" si="0"/>
        <v>-2184.9056603773583</v>
      </c>
      <c r="P3" s="115">
        <v>53</v>
      </c>
      <c r="Q3" s="99">
        <v>-115800</v>
      </c>
    </row>
    <row r="4" spans="1:17" x14ac:dyDescent="0.4">
      <c r="A4" s="51" t="s">
        <v>6</v>
      </c>
      <c r="B4" s="152">
        <v>259.10000000000008</v>
      </c>
      <c r="C4" s="153"/>
      <c r="E4" s="59" t="s">
        <v>64</v>
      </c>
      <c r="F4" s="56" t="s">
        <v>20</v>
      </c>
      <c r="G4" s="44">
        <v>66</v>
      </c>
      <c r="H4" s="129">
        <f>IF(B$17=0,0,G4/B$17)</f>
        <v>0.51162790697674421</v>
      </c>
      <c r="I4" s="90">
        <v>4</v>
      </c>
      <c r="K4" s="36">
        <v>2</v>
      </c>
      <c r="L4" s="95">
        <v>-67.3</v>
      </c>
      <c r="N4" s="111" t="s">
        <v>132</v>
      </c>
      <c r="O4" s="118">
        <f t="shared" si="0"/>
        <v>2293.8775510204082</v>
      </c>
      <c r="P4" s="115">
        <v>49</v>
      </c>
      <c r="Q4" s="99">
        <v>112400</v>
      </c>
    </row>
    <row r="5" spans="1:17" x14ac:dyDescent="0.4">
      <c r="A5" s="51" t="s">
        <v>7</v>
      </c>
      <c r="B5" s="154">
        <f>IF(B$2=0,0,B$4/B$2)</f>
        <v>4.7109090909090927</v>
      </c>
      <c r="C5" s="155"/>
      <c r="E5" s="59" t="s">
        <v>67</v>
      </c>
      <c r="F5" s="56" t="s">
        <v>23</v>
      </c>
      <c r="G5" s="44">
        <v>54</v>
      </c>
      <c r="H5" s="129">
        <f>IF(B$17=0,0,G5/B$17)</f>
        <v>0.41860465116279072</v>
      </c>
      <c r="I5" s="90">
        <v>3</v>
      </c>
      <c r="K5" s="36">
        <v>3</v>
      </c>
      <c r="L5" s="95">
        <v>-113.8</v>
      </c>
      <c r="N5" s="111" t="s">
        <v>133</v>
      </c>
      <c r="O5" s="118">
        <f t="shared" si="0"/>
        <v>2506.521739130435</v>
      </c>
      <c r="P5" s="115">
        <v>46</v>
      </c>
      <c r="Q5" s="99">
        <v>115300</v>
      </c>
    </row>
    <row r="6" spans="1:17" x14ac:dyDescent="0.4">
      <c r="A6" s="51" t="s">
        <v>1</v>
      </c>
      <c r="B6" s="144">
        <f>IF(B$2=0,0,(B$7*1+B$8*2+B$9*3)/B$2)</f>
        <v>1.9090909090909092</v>
      </c>
      <c r="C6" s="145"/>
      <c r="E6" s="59" t="s">
        <v>171</v>
      </c>
      <c r="F6" s="56" t="s">
        <v>172</v>
      </c>
      <c r="G6" s="44">
        <v>51</v>
      </c>
      <c r="H6" s="129">
        <f>IF(B$17=0,0,G6/B$17)</f>
        <v>0.39534883720930231</v>
      </c>
      <c r="I6" s="90">
        <v>5</v>
      </c>
      <c r="K6" s="36">
        <v>4</v>
      </c>
      <c r="L6" s="95">
        <v>-74.599999999999994</v>
      </c>
      <c r="N6" s="111" t="s">
        <v>134</v>
      </c>
      <c r="O6" s="118">
        <f t="shared" si="0"/>
        <v>-934.88372093023258</v>
      </c>
      <c r="P6" s="115">
        <v>43</v>
      </c>
      <c r="Q6" s="99">
        <v>-40200</v>
      </c>
    </row>
    <row r="7" spans="1:17" x14ac:dyDescent="0.4">
      <c r="A7" s="51" t="s">
        <v>2</v>
      </c>
      <c r="B7" s="44">
        <v>23</v>
      </c>
      <c r="C7" s="37">
        <f t="shared" ref="C7:C12" si="1">IF(B$2=0,0,B7/B$2)</f>
        <v>0.41818181818181815</v>
      </c>
      <c r="E7" s="59" t="s">
        <v>68</v>
      </c>
      <c r="F7" s="56" t="s">
        <v>12</v>
      </c>
      <c r="G7" s="44">
        <v>50</v>
      </c>
      <c r="H7" s="129">
        <f>IF(B$17=0,0,G7/B$17)</f>
        <v>0.38759689922480622</v>
      </c>
      <c r="I7" s="90">
        <v>2</v>
      </c>
      <c r="K7" s="36">
        <v>5</v>
      </c>
      <c r="L7" s="95">
        <v>-118.3</v>
      </c>
      <c r="N7" s="112" t="s">
        <v>135</v>
      </c>
      <c r="O7" s="119">
        <f t="shared" si="0"/>
        <v>-388.88888888888891</v>
      </c>
      <c r="P7" s="116">
        <v>36</v>
      </c>
      <c r="Q7" s="100">
        <v>-14000</v>
      </c>
    </row>
    <row r="8" spans="1:17" x14ac:dyDescent="0.4">
      <c r="A8" s="51" t="s">
        <v>3</v>
      </c>
      <c r="B8" s="44">
        <v>14</v>
      </c>
      <c r="C8" s="37">
        <f t="shared" si="1"/>
        <v>0.25454545454545452</v>
      </c>
      <c r="E8" s="59" t="s">
        <v>89</v>
      </c>
      <c r="F8" s="56" t="s">
        <v>44</v>
      </c>
      <c r="G8" s="44">
        <v>30</v>
      </c>
      <c r="H8" s="129">
        <f>IF(B$17=0,0,G8/B$17)</f>
        <v>0.23255813953488372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18</v>
      </c>
      <c r="C9" s="38">
        <f t="shared" si="1"/>
        <v>0.32727272727272727</v>
      </c>
      <c r="E9" s="59" t="s">
        <v>69</v>
      </c>
      <c r="F9" s="56" t="s">
        <v>24</v>
      </c>
      <c r="G9" s="44">
        <v>28</v>
      </c>
      <c r="H9" s="129">
        <f>IF(B$17=0,0,G9/B$17)</f>
        <v>0.21705426356589147</v>
      </c>
      <c r="I9" s="90">
        <v>2</v>
      </c>
      <c r="K9" s="36">
        <v>7</v>
      </c>
      <c r="L9" s="95">
        <v>-60.8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9.0909090909090912E-2</v>
      </c>
      <c r="E10" s="59" t="s">
        <v>65</v>
      </c>
      <c r="F10" s="56" t="s">
        <v>21</v>
      </c>
      <c r="G10" s="44">
        <v>15</v>
      </c>
      <c r="H10" s="129">
        <f>IF(B$17=0,0,G10/B$17)</f>
        <v>0.11627906976744186</v>
      </c>
      <c r="I10" s="90">
        <v>5</v>
      </c>
      <c r="K10" s="36">
        <v>8</v>
      </c>
      <c r="L10" s="95">
        <v>-110.19999999999999</v>
      </c>
      <c r="N10" s="110" t="s">
        <v>162</v>
      </c>
      <c r="O10" s="120">
        <f>IF(P10=0,0,Q10/P10)</f>
        <v>9.3529411764705905</v>
      </c>
      <c r="P10" s="114">
        <v>17</v>
      </c>
      <c r="Q10" s="102">
        <v>159.00000000000003</v>
      </c>
    </row>
    <row r="11" spans="1:17" x14ac:dyDescent="0.4">
      <c r="A11" s="52" t="s">
        <v>138</v>
      </c>
      <c r="B11" s="45">
        <v>11</v>
      </c>
      <c r="C11" s="38">
        <f t="shared" si="1"/>
        <v>0.2</v>
      </c>
      <c r="E11" s="59" t="s">
        <v>70</v>
      </c>
      <c r="F11" s="56" t="s">
        <v>25</v>
      </c>
      <c r="G11" s="44">
        <v>14</v>
      </c>
      <c r="H11" s="129">
        <f>IF(B$17=0,0,G11/B$17)</f>
        <v>0.10852713178294573</v>
      </c>
      <c r="I11" s="90">
        <v>4</v>
      </c>
      <c r="K11" s="36">
        <v>9</v>
      </c>
      <c r="L11" s="95">
        <v>-120.99999999999999</v>
      </c>
      <c r="N11" s="111" t="s">
        <v>163</v>
      </c>
      <c r="O11" s="121">
        <f>IF(P11=0,0,Q11/P11)</f>
        <v>7.2759999999999989</v>
      </c>
      <c r="P11" s="115">
        <v>25</v>
      </c>
      <c r="Q11" s="103">
        <v>181.89999999999998</v>
      </c>
    </row>
    <row r="12" spans="1:17" x14ac:dyDescent="0.4">
      <c r="A12" s="53" t="s">
        <v>158</v>
      </c>
      <c r="B12" s="46">
        <v>5</v>
      </c>
      <c r="C12" s="40">
        <f t="shared" si="1"/>
        <v>9.0909090909090912E-2</v>
      </c>
      <c r="E12" s="59" t="s">
        <v>167</v>
      </c>
      <c r="F12" s="56" t="s">
        <v>168</v>
      </c>
      <c r="G12" s="44">
        <v>8</v>
      </c>
      <c r="H12" s="129">
        <f>IF(B$17=0,0,G12/B$17)</f>
        <v>6.2015503875968991E-2</v>
      </c>
      <c r="I12" s="90">
        <v>1</v>
      </c>
      <c r="K12" s="36">
        <v>10</v>
      </c>
      <c r="L12" s="95">
        <v>-113.29999999999998</v>
      </c>
      <c r="N12" s="112" t="s">
        <v>164</v>
      </c>
      <c r="O12" s="122">
        <f>IF(P12=0,0,Q12/P12)</f>
        <v>-6.2923076923076922</v>
      </c>
      <c r="P12" s="116">
        <v>13</v>
      </c>
      <c r="Q12" s="104">
        <v>-81.8</v>
      </c>
    </row>
    <row r="13" spans="1:17" x14ac:dyDescent="0.4">
      <c r="A13" s="54" t="s">
        <v>121</v>
      </c>
      <c r="B13" s="47">
        <v>141</v>
      </c>
      <c r="C13" s="42">
        <f>IF(B$3=0,0,B13/B$3)</f>
        <v>0.32118451025056949</v>
      </c>
      <c r="E13" s="59" t="s">
        <v>71</v>
      </c>
      <c r="F13" s="56" t="s">
        <v>26</v>
      </c>
      <c r="G13" s="44">
        <v>7</v>
      </c>
      <c r="H13" s="129">
        <f>IF(B$17=0,0,G13/B$17)</f>
        <v>5.4263565891472867E-2</v>
      </c>
      <c r="I13" s="90">
        <v>10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80</v>
      </c>
      <c r="C14" s="37">
        <f>IF(B$3=0,0,B14/B$3)</f>
        <v>0.18223234624145787</v>
      </c>
      <c r="E14" s="59" t="s">
        <v>83</v>
      </c>
      <c r="F14" s="56" t="s">
        <v>38</v>
      </c>
      <c r="G14" s="44">
        <v>6</v>
      </c>
      <c r="H14" s="129">
        <f>IF(B$17=0,0,G14/B$17)</f>
        <v>4.6511627906976744E-2</v>
      </c>
      <c r="I14" s="90">
        <v>9</v>
      </c>
      <c r="K14" s="36">
        <v>12</v>
      </c>
      <c r="L14" s="95">
        <v>-110.49999999999999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75</v>
      </c>
      <c r="C15" s="35">
        <f>IF(B$13=0,0,B15/B$13)</f>
        <v>0.53191489361702127</v>
      </c>
      <c r="E15" s="59" t="s">
        <v>81</v>
      </c>
      <c r="F15" s="56" t="s">
        <v>36</v>
      </c>
      <c r="G15" s="44">
        <v>3</v>
      </c>
      <c r="H15" s="129">
        <f>IF(B$17=0,0,G15/B$17)</f>
        <v>2.3255813953488372E-2</v>
      </c>
      <c r="I15" s="90">
        <v>4</v>
      </c>
      <c r="K15" s="36">
        <v>13</v>
      </c>
      <c r="L15" s="95">
        <v>-132.39999999999998</v>
      </c>
      <c r="N15" s="110" t="s">
        <v>195</v>
      </c>
      <c r="O15" s="120">
        <f t="shared" ref="O15:O22" si="2">IF(P15=0,0,Q15/P15)</f>
        <v>60.650000000000006</v>
      </c>
      <c r="P15" s="114">
        <v>2</v>
      </c>
      <c r="Q15" s="102">
        <v>121.30000000000001</v>
      </c>
    </row>
    <row r="16" spans="1:17" x14ac:dyDescent="0.4">
      <c r="A16" s="50" t="s">
        <v>124</v>
      </c>
      <c r="B16" s="43">
        <v>37</v>
      </c>
      <c r="C16" s="35">
        <f>IF(B$14=0,0,B16/B$14)</f>
        <v>0.46250000000000002</v>
      </c>
      <c r="E16" s="59" t="s">
        <v>86</v>
      </c>
      <c r="F16" s="56" t="s">
        <v>41</v>
      </c>
      <c r="G16" s="44">
        <v>3</v>
      </c>
      <c r="H16" s="129">
        <f>IF(B$17=0,0,G16/B$17)</f>
        <v>2.3255813953488372E-2</v>
      </c>
      <c r="I16" s="90">
        <v>10</v>
      </c>
      <c r="K16" s="36">
        <v>14</v>
      </c>
      <c r="L16" s="95">
        <v>-86.499999999999972</v>
      </c>
      <c r="N16" s="111" t="s">
        <v>166</v>
      </c>
      <c r="O16" s="121">
        <f t="shared" si="2"/>
        <v>24.400000000000002</v>
      </c>
      <c r="P16" s="115">
        <v>7</v>
      </c>
      <c r="Q16" s="103">
        <v>170.8</v>
      </c>
    </row>
    <row r="17" spans="1:17" x14ac:dyDescent="0.4">
      <c r="A17" s="50" t="s">
        <v>10</v>
      </c>
      <c r="B17" s="43">
        <f>B19+B18</f>
        <v>129</v>
      </c>
      <c r="C17" s="35">
        <f>IF(B$3=0,0,B17/B$3)</f>
        <v>0.29384965831435078</v>
      </c>
      <c r="E17" s="59" t="s">
        <v>92</v>
      </c>
      <c r="F17" s="56" t="s">
        <v>47</v>
      </c>
      <c r="G17" s="44">
        <v>3</v>
      </c>
      <c r="H17" s="129">
        <f>IF(B$17=0,0,G17/B$17)</f>
        <v>2.3255813953488372E-2</v>
      </c>
      <c r="I17" s="90">
        <v>1</v>
      </c>
      <c r="K17" s="36">
        <v>15</v>
      </c>
      <c r="L17" s="95">
        <v>-101.79999999999997</v>
      </c>
      <c r="N17" s="111" t="s">
        <v>182</v>
      </c>
      <c r="O17" s="121">
        <f t="shared" si="2"/>
        <v>20.7</v>
      </c>
      <c r="P17" s="115">
        <v>12</v>
      </c>
      <c r="Q17" s="103">
        <v>248.39999999999998</v>
      </c>
    </row>
    <row r="18" spans="1:17" x14ac:dyDescent="0.4">
      <c r="A18" s="51" t="s">
        <v>12</v>
      </c>
      <c r="B18" s="44">
        <v>64</v>
      </c>
      <c r="C18" s="37">
        <f>IF(B$17=0,0,B18/B$17)</f>
        <v>0.49612403100775193</v>
      </c>
      <c r="E18" s="59" t="s">
        <v>91</v>
      </c>
      <c r="F18" s="56" t="s">
        <v>46</v>
      </c>
      <c r="G18" s="44">
        <v>2</v>
      </c>
      <c r="H18" s="129">
        <f>IF(B$17=0,0,G18/B$17)</f>
        <v>1.5503875968992248E-2</v>
      </c>
      <c r="I18" s="90">
        <v>3</v>
      </c>
      <c r="K18" s="36">
        <v>16</v>
      </c>
      <c r="L18" s="95">
        <v>-63.099999999999966</v>
      </c>
      <c r="N18" s="111" t="s">
        <v>178</v>
      </c>
      <c r="O18" s="121">
        <f t="shared" si="2"/>
        <v>16.168965517241379</v>
      </c>
      <c r="P18" s="115">
        <v>29</v>
      </c>
      <c r="Q18" s="103">
        <v>468.9</v>
      </c>
    </row>
    <row r="19" spans="1:17" x14ac:dyDescent="0.4">
      <c r="A19" s="51" t="s">
        <v>11</v>
      </c>
      <c r="B19" s="44">
        <v>65</v>
      </c>
      <c r="C19" s="37">
        <f>IF(B$17=0,0,B19/B$17)</f>
        <v>0.50387596899224807</v>
      </c>
      <c r="E19" s="59" t="s">
        <v>73</v>
      </c>
      <c r="F19" s="56" t="s">
        <v>28</v>
      </c>
      <c r="G19" s="44">
        <v>1</v>
      </c>
      <c r="H19" s="129">
        <f>IF(B$17=0,0,G19/B$17)</f>
        <v>7.7519379844961239E-3</v>
      </c>
      <c r="I19" s="90">
        <v>2</v>
      </c>
      <c r="K19" s="36">
        <v>17</v>
      </c>
      <c r="L19" s="95">
        <v>-55.799999999999969</v>
      </c>
      <c r="N19" s="111" t="s">
        <v>126</v>
      </c>
      <c r="O19" s="121">
        <f t="shared" si="2"/>
        <v>8.8999999999999986</v>
      </c>
      <c r="P19" s="115">
        <v>21</v>
      </c>
      <c r="Q19" s="103">
        <v>186.89999999999998</v>
      </c>
    </row>
    <row r="20" spans="1:17" x14ac:dyDescent="0.4">
      <c r="A20" s="51" t="s">
        <v>13</v>
      </c>
      <c r="B20" s="44">
        <v>71</v>
      </c>
      <c r="C20" s="37">
        <f>IF(B$3=0,0,B20/B$3)</f>
        <v>0.16173120728929385</v>
      </c>
      <c r="E20" s="59" t="s">
        <v>75</v>
      </c>
      <c r="F20" s="56" t="s">
        <v>30</v>
      </c>
      <c r="G20" s="44">
        <v>1</v>
      </c>
      <c r="H20" s="129">
        <f>IF(B$17=0,0,G20/B$17)</f>
        <v>7.7519379844961239E-3</v>
      </c>
      <c r="I20" s="90">
        <v>5</v>
      </c>
      <c r="K20" s="36">
        <v>18</v>
      </c>
      <c r="L20" s="95">
        <v>-24.999999999999968</v>
      </c>
      <c r="N20" s="111" t="s">
        <v>179</v>
      </c>
      <c r="O20" s="121">
        <f t="shared" si="2"/>
        <v>6.6222222222222209</v>
      </c>
      <c r="P20" s="115">
        <v>9</v>
      </c>
      <c r="Q20" s="103">
        <v>59.599999999999987</v>
      </c>
    </row>
    <row r="21" spans="1:17" x14ac:dyDescent="0.4">
      <c r="A21" s="51" t="s">
        <v>169</v>
      </c>
      <c r="B21" s="44">
        <v>3</v>
      </c>
      <c r="C21" s="131">
        <v>0</v>
      </c>
      <c r="E21" s="59" t="s">
        <v>78</v>
      </c>
      <c r="F21" s="56" t="s">
        <v>33</v>
      </c>
      <c r="G21" s="44">
        <v>1</v>
      </c>
      <c r="H21" s="129">
        <f>IF(B$17=0,0,G21/B$17)</f>
        <v>7.7519379844961239E-3</v>
      </c>
      <c r="I21" s="90">
        <v>8</v>
      </c>
      <c r="K21" s="36">
        <v>19</v>
      </c>
      <c r="L21" s="95">
        <v>-27.799999999999969</v>
      </c>
      <c r="N21" s="111" t="s">
        <v>127</v>
      </c>
      <c r="O21" s="121">
        <f t="shared" si="2"/>
        <v>-12.182608695652178</v>
      </c>
      <c r="P21" s="115">
        <v>23</v>
      </c>
      <c r="Q21" s="103">
        <v>-280.2000000000001</v>
      </c>
    </row>
    <row r="22" spans="1:17" x14ac:dyDescent="0.4">
      <c r="A22" s="51" t="s">
        <v>170</v>
      </c>
      <c r="B22" s="44">
        <v>25</v>
      </c>
      <c r="C22" s="131">
        <v>2</v>
      </c>
      <c r="E22" s="59" t="s">
        <v>85</v>
      </c>
      <c r="F22" s="56" t="s">
        <v>40</v>
      </c>
      <c r="G22" s="44">
        <v>1</v>
      </c>
      <c r="H22" s="129">
        <f>IF(B$17=0,0,G22/B$17)</f>
        <v>7.7519379844961239E-3</v>
      </c>
      <c r="I22" s="90">
        <v>2</v>
      </c>
      <c r="K22" s="36">
        <v>20</v>
      </c>
      <c r="L22" s="95">
        <v>-50.39999999999997</v>
      </c>
      <c r="N22" s="111" t="s">
        <v>181</v>
      </c>
      <c r="O22" s="121">
        <f t="shared" si="2"/>
        <v>-28.342857142857145</v>
      </c>
      <c r="P22" s="115">
        <v>7</v>
      </c>
      <c r="Q22" s="103">
        <v>-198.4</v>
      </c>
    </row>
    <row r="23" spans="1:17" x14ac:dyDescent="0.4">
      <c r="A23" s="51" t="s">
        <v>5</v>
      </c>
      <c r="B23" s="48">
        <f>IF(B$17=0,0,C23/B$17)</f>
        <v>10435.658914728681</v>
      </c>
      <c r="C23" s="39">
        <v>1346200</v>
      </c>
      <c r="E23" s="59" t="s">
        <v>90</v>
      </c>
      <c r="F23" s="56" t="s">
        <v>45</v>
      </c>
      <c r="G23" s="44">
        <v>1</v>
      </c>
      <c r="H23" s="129">
        <f>IF(B$17=0,0,G23/B$17)</f>
        <v>7.7519379844961239E-3</v>
      </c>
      <c r="I23" s="90">
        <v>1</v>
      </c>
      <c r="K23" s="36">
        <v>21</v>
      </c>
      <c r="L23" s="95">
        <v>-59.89999999999997</v>
      </c>
    </row>
    <row r="24" spans="1:17" x14ac:dyDescent="0.4">
      <c r="A24" s="52" t="s">
        <v>216</v>
      </c>
      <c r="B24" s="136">
        <f>IF($B$17-B$16=0,0,C24/($B$17-B$16))</f>
        <v>11425</v>
      </c>
      <c r="C24" s="137">
        <v>1051100</v>
      </c>
      <c r="E24" s="59" t="s">
        <v>93</v>
      </c>
      <c r="F24" s="56" t="s">
        <v>48</v>
      </c>
      <c r="G24" s="44">
        <v>1</v>
      </c>
      <c r="H24" s="129">
        <f>IF(B$17=0,0,G24/B$17)</f>
        <v>7.7519379844961239E-3</v>
      </c>
      <c r="I24" s="90">
        <v>2</v>
      </c>
      <c r="K24" s="36">
        <v>22</v>
      </c>
      <c r="L24" s="95">
        <v>-21.799999999999969</v>
      </c>
    </row>
    <row r="25" spans="1:17" x14ac:dyDescent="0.4">
      <c r="A25" s="52" t="s">
        <v>217</v>
      </c>
      <c r="B25" s="136">
        <f>IF(B$16=0,0,C25/B$16)</f>
        <v>7975.6756756756758</v>
      </c>
      <c r="C25" s="137">
        <v>295100</v>
      </c>
      <c r="E25" s="59" t="s">
        <v>74</v>
      </c>
      <c r="F25" s="56" t="s">
        <v>29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-10.299999999999969</v>
      </c>
    </row>
    <row r="26" spans="1:17" x14ac:dyDescent="0.4">
      <c r="A26" s="52" t="s">
        <v>215</v>
      </c>
      <c r="B26" s="136">
        <f>IF(B$20=0,0,C26/B$20)</f>
        <v>-8325.352112676057</v>
      </c>
      <c r="C26" s="137">
        <v>-591100</v>
      </c>
      <c r="E26" s="59" t="s">
        <v>76</v>
      </c>
      <c r="F26" s="56" t="s">
        <v>31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-51.39999999999997</v>
      </c>
    </row>
    <row r="27" spans="1:17" x14ac:dyDescent="0.4">
      <c r="A27" s="86" t="s">
        <v>140</v>
      </c>
      <c r="B27" s="142">
        <v>8</v>
      </c>
      <c r="C27" s="143"/>
      <c r="E27" s="59" t="s">
        <v>77</v>
      </c>
      <c r="F27" s="56" t="s">
        <v>32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-37.699999999999974</v>
      </c>
    </row>
    <row r="28" spans="1:17" x14ac:dyDescent="0.4">
      <c r="A28" s="54" t="s">
        <v>150</v>
      </c>
      <c r="B28" s="140">
        <v>103600</v>
      </c>
      <c r="C28" s="141"/>
      <c r="E28" s="59" t="s">
        <v>79</v>
      </c>
      <c r="F28" s="56" t="s">
        <v>34</v>
      </c>
      <c r="G28" s="44">
        <v>0</v>
      </c>
      <c r="H28" s="129">
        <f>IF(B$17=0,0,G28/B$17)</f>
        <v>0</v>
      </c>
      <c r="I28" s="90">
        <v>7</v>
      </c>
      <c r="K28" s="36">
        <v>26</v>
      </c>
      <c r="L28" s="95">
        <v>-84.999999999999972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80</v>
      </c>
      <c r="F29" s="56" t="s">
        <v>35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-31.499999999999972</v>
      </c>
    </row>
    <row r="30" spans="1:17" x14ac:dyDescent="0.4">
      <c r="E30" s="59" t="s">
        <v>82</v>
      </c>
      <c r="F30" s="56" t="s">
        <v>37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-10.999999999999972</v>
      </c>
    </row>
    <row r="31" spans="1:17" x14ac:dyDescent="0.4">
      <c r="E31" s="59" t="s">
        <v>84</v>
      </c>
      <c r="F31" s="56" t="s">
        <v>39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-16.499999999999972</v>
      </c>
    </row>
    <row r="32" spans="1:17" x14ac:dyDescent="0.4">
      <c r="E32" s="59" t="s">
        <v>87</v>
      </c>
      <c r="F32" s="56" t="s">
        <v>42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30.900000000000027</v>
      </c>
    </row>
    <row r="33" spans="5:12" x14ac:dyDescent="0.4">
      <c r="E33" s="59" t="s">
        <v>88</v>
      </c>
      <c r="F33" s="56" t="s">
        <v>43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73.900000000000034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96.100000000000037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112.00000000000004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110.00000000000004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140.50000000000006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105.40000000000006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146.30000000000007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129.30000000000007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101.20000000000007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71.200000000000074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67.900000000000077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109.90000000000008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78.300000000000068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107.10000000000007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85.800000000000068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154.90000000000006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190.40000000000006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269.00000000000006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269.30000000000007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304.40000000000009</v>
      </c>
    </row>
    <row r="53" spans="5:12" x14ac:dyDescent="0.4">
      <c r="K53" s="36">
        <v>51</v>
      </c>
      <c r="L53" s="95">
        <v>282.10000000000008</v>
      </c>
    </row>
    <row r="54" spans="5:12" x14ac:dyDescent="0.4">
      <c r="K54" s="36">
        <v>52</v>
      </c>
      <c r="L54" s="95">
        <v>325.2000000000001</v>
      </c>
    </row>
    <row r="55" spans="5:12" x14ac:dyDescent="0.4">
      <c r="K55" s="36">
        <v>53</v>
      </c>
      <c r="L55" s="95">
        <v>301.2000000000001</v>
      </c>
    </row>
    <row r="56" spans="5:12" x14ac:dyDescent="0.4">
      <c r="K56" s="36">
        <v>54</v>
      </c>
      <c r="L56" s="95">
        <v>296.2000000000001</v>
      </c>
    </row>
    <row r="57" spans="5:12" x14ac:dyDescent="0.4">
      <c r="K57" s="36">
        <v>55</v>
      </c>
      <c r="L57" s="95">
        <v>259.10000000000008</v>
      </c>
    </row>
  </sheetData>
  <sortState xmlns:xlrd2="http://schemas.microsoft.com/office/spreadsheetml/2017/richdata2" ref="E2:I58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27AE2-E624-4606-9F75-8440E523DCD0}">
  <sheetPr codeName="Sheet17"/>
  <dimension ref="A1:Q79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178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77</v>
      </c>
      <c r="C2" s="149"/>
      <c r="E2" s="58" t="s">
        <v>66</v>
      </c>
      <c r="F2" s="55" t="s">
        <v>22</v>
      </c>
      <c r="G2" s="43">
        <v>136</v>
      </c>
      <c r="H2" s="128">
        <f>IF(B$17=0,0,G2/B$17)</f>
        <v>0.78612716763005785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1089.6103896103896</v>
      </c>
      <c r="P2" s="114">
        <v>77</v>
      </c>
      <c r="Q2" s="98">
        <v>83900</v>
      </c>
    </row>
    <row r="3" spans="1:17" x14ac:dyDescent="0.4">
      <c r="A3" s="51" t="s">
        <v>8</v>
      </c>
      <c r="B3" s="150">
        <v>617</v>
      </c>
      <c r="C3" s="151"/>
      <c r="E3" s="59" t="s">
        <v>72</v>
      </c>
      <c r="F3" s="56" t="s">
        <v>27</v>
      </c>
      <c r="G3" s="44">
        <v>110</v>
      </c>
      <c r="H3" s="129">
        <f>IF(B$17=0,0,G3/B$17)</f>
        <v>0.63583815028901736</v>
      </c>
      <c r="I3" s="90">
        <v>2</v>
      </c>
      <c r="K3" s="36">
        <v>1</v>
      </c>
      <c r="L3" s="95">
        <v>46.9</v>
      </c>
      <c r="N3" s="111" t="s">
        <v>131</v>
      </c>
      <c r="O3" s="118">
        <f t="shared" si="0"/>
        <v>831.08108108108104</v>
      </c>
      <c r="P3" s="115">
        <v>74</v>
      </c>
      <c r="Q3" s="99">
        <v>61500</v>
      </c>
    </row>
    <row r="4" spans="1:17" x14ac:dyDescent="0.4">
      <c r="A4" s="51" t="s">
        <v>6</v>
      </c>
      <c r="B4" s="152">
        <v>-87.299999999999969</v>
      </c>
      <c r="C4" s="153"/>
      <c r="E4" s="59" t="s">
        <v>64</v>
      </c>
      <c r="F4" s="56" t="s">
        <v>20</v>
      </c>
      <c r="G4" s="44">
        <v>85</v>
      </c>
      <c r="H4" s="129">
        <f>IF(B$17=0,0,G4/B$17)</f>
        <v>0.4913294797687861</v>
      </c>
      <c r="I4" s="90">
        <v>5</v>
      </c>
      <c r="K4" s="36">
        <v>2</v>
      </c>
      <c r="L4" s="95">
        <v>8.1000000000000014</v>
      </c>
      <c r="N4" s="111" t="s">
        <v>132</v>
      </c>
      <c r="O4" s="118">
        <f t="shared" si="0"/>
        <v>-1097.1014492753623</v>
      </c>
      <c r="P4" s="115">
        <v>69</v>
      </c>
      <c r="Q4" s="99">
        <v>-75700</v>
      </c>
    </row>
    <row r="5" spans="1:17" x14ac:dyDescent="0.4">
      <c r="A5" s="51" t="s">
        <v>7</v>
      </c>
      <c r="B5" s="154">
        <f>IF(B$2=0,0,B$4/B$2)</f>
        <v>-1.1337662337662333</v>
      </c>
      <c r="C5" s="155"/>
      <c r="E5" s="59" t="s">
        <v>171</v>
      </c>
      <c r="F5" s="56" t="s">
        <v>172</v>
      </c>
      <c r="G5" s="44">
        <v>81</v>
      </c>
      <c r="H5" s="129">
        <f>IF(B$17=0,0,G5/B$17)</f>
        <v>0.46820809248554912</v>
      </c>
      <c r="I5" s="90">
        <v>1</v>
      </c>
      <c r="K5" s="36">
        <v>3</v>
      </c>
      <c r="L5" s="95">
        <v>25.8</v>
      </c>
      <c r="N5" s="111" t="s">
        <v>133</v>
      </c>
      <c r="O5" s="118">
        <f t="shared" si="0"/>
        <v>323.8095238095238</v>
      </c>
      <c r="P5" s="115">
        <v>63</v>
      </c>
      <c r="Q5" s="99">
        <v>20400</v>
      </c>
    </row>
    <row r="6" spans="1:17" x14ac:dyDescent="0.4">
      <c r="A6" s="51" t="s">
        <v>1</v>
      </c>
      <c r="B6" s="144">
        <f>IF(B$2=0,0,(B$7*1+B$8*2+B$9*3)/B$2)</f>
        <v>2.0779220779220777</v>
      </c>
      <c r="C6" s="145"/>
      <c r="E6" s="59" t="s">
        <v>67</v>
      </c>
      <c r="F6" s="56" t="s">
        <v>23</v>
      </c>
      <c r="G6" s="44">
        <v>70</v>
      </c>
      <c r="H6" s="129">
        <f>IF(B$17=0,0,G6/B$17)</f>
        <v>0.40462427745664742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-540.35087719298247</v>
      </c>
      <c r="P6" s="115">
        <v>57</v>
      </c>
      <c r="Q6" s="99">
        <v>-30800</v>
      </c>
    </row>
    <row r="7" spans="1:17" x14ac:dyDescent="0.4">
      <c r="A7" s="51" t="s">
        <v>2</v>
      </c>
      <c r="B7" s="44">
        <v>16</v>
      </c>
      <c r="C7" s="37">
        <f t="shared" ref="C7:C12" si="1">IF(B$2=0,0,B7/B$2)</f>
        <v>0.20779220779220781</v>
      </c>
      <c r="E7" s="59" t="s">
        <v>68</v>
      </c>
      <c r="F7" s="56" t="s">
        <v>12</v>
      </c>
      <c r="G7" s="44">
        <v>57</v>
      </c>
      <c r="H7" s="129">
        <f>IF(B$17=0,0,G7/B$17)</f>
        <v>0.32947976878612717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0"/>
        <v>-1202</v>
      </c>
      <c r="P7" s="116">
        <v>50</v>
      </c>
      <c r="Q7" s="100">
        <v>-60100</v>
      </c>
    </row>
    <row r="8" spans="1:17" x14ac:dyDescent="0.4">
      <c r="A8" s="51" t="s">
        <v>3</v>
      </c>
      <c r="B8" s="44">
        <v>39</v>
      </c>
      <c r="C8" s="37">
        <f t="shared" si="1"/>
        <v>0.50649350649350644</v>
      </c>
      <c r="E8" s="59" t="s">
        <v>69</v>
      </c>
      <c r="F8" s="56" t="s">
        <v>24</v>
      </c>
      <c r="G8" s="44">
        <v>23</v>
      </c>
      <c r="H8" s="129">
        <f>IF(B$17=0,0,G8/B$17)</f>
        <v>0.13294797687861271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22</v>
      </c>
      <c r="C9" s="38">
        <f t="shared" si="1"/>
        <v>0.2857142857142857</v>
      </c>
      <c r="E9" s="59" t="s">
        <v>89</v>
      </c>
      <c r="F9" s="56" t="s">
        <v>44</v>
      </c>
      <c r="G9" s="44">
        <v>16</v>
      </c>
      <c r="H9" s="129">
        <f>IF(B$17=0,0,G9/B$17)</f>
        <v>9.2485549132947972E-2</v>
      </c>
      <c r="I9" s="90">
        <v>9</v>
      </c>
      <c r="K9" s="36">
        <v>7</v>
      </c>
      <c r="L9" s="95">
        <v>-16.300000000000004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6</v>
      </c>
      <c r="C10" s="38">
        <f t="shared" si="1"/>
        <v>7.792207792207792E-2</v>
      </c>
      <c r="E10" s="59" t="s">
        <v>71</v>
      </c>
      <c r="F10" s="56" t="s">
        <v>26</v>
      </c>
      <c r="G10" s="44">
        <v>15</v>
      </c>
      <c r="H10" s="129">
        <f>IF(B$17=0,0,G10/B$17)</f>
        <v>8.6705202312138727E-2</v>
      </c>
      <c r="I10" s="90">
        <v>6</v>
      </c>
      <c r="K10" s="36">
        <v>8</v>
      </c>
      <c r="L10" s="95">
        <v>-46.7</v>
      </c>
      <c r="N10" s="110" t="s">
        <v>162</v>
      </c>
      <c r="O10" s="120">
        <f>IF(P10=0,0,Q10/P10)</f>
        <v>-1.0687500000000001</v>
      </c>
      <c r="P10" s="114">
        <v>32</v>
      </c>
      <c r="Q10" s="102">
        <v>-34.200000000000003</v>
      </c>
    </row>
    <row r="11" spans="1:17" x14ac:dyDescent="0.4">
      <c r="A11" s="52" t="s">
        <v>138</v>
      </c>
      <c r="B11" s="45">
        <v>6</v>
      </c>
      <c r="C11" s="38">
        <f t="shared" si="1"/>
        <v>7.792207792207792E-2</v>
      </c>
      <c r="E11" s="59" t="s">
        <v>70</v>
      </c>
      <c r="F11" s="56" t="s">
        <v>25</v>
      </c>
      <c r="G11" s="44">
        <v>13</v>
      </c>
      <c r="H11" s="129">
        <f>IF(B$17=0,0,G11/B$17)</f>
        <v>7.5144508670520235E-2</v>
      </c>
      <c r="I11" s="90">
        <v>8</v>
      </c>
      <c r="K11" s="36">
        <v>9</v>
      </c>
      <c r="L11" s="95">
        <v>-90.9</v>
      </c>
      <c r="N11" s="111" t="s">
        <v>163</v>
      </c>
      <c r="O11" s="121">
        <f>IF(P11=0,0,Q11/P11)</f>
        <v>3.9045454545454543</v>
      </c>
      <c r="P11" s="115">
        <v>22</v>
      </c>
      <c r="Q11" s="103">
        <v>85.899999999999991</v>
      </c>
    </row>
    <row r="12" spans="1:17" x14ac:dyDescent="0.4">
      <c r="A12" s="53" t="s">
        <v>158</v>
      </c>
      <c r="B12" s="46">
        <v>3</v>
      </c>
      <c r="C12" s="40">
        <f t="shared" si="1"/>
        <v>3.896103896103896E-2</v>
      </c>
      <c r="E12" s="59" t="s">
        <v>65</v>
      </c>
      <c r="F12" s="56" t="s">
        <v>21</v>
      </c>
      <c r="G12" s="44">
        <v>12</v>
      </c>
      <c r="H12" s="129">
        <f>IF(B$17=0,0,G12/B$17)</f>
        <v>6.9364161849710976E-2</v>
      </c>
      <c r="I12" s="90">
        <v>10</v>
      </c>
      <c r="K12" s="36">
        <v>10</v>
      </c>
      <c r="L12" s="95">
        <v>-146.69999999999999</v>
      </c>
      <c r="N12" s="112" t="s">
        <v>164</v>
      </c>
      <c r="O12" s="122">
        <f>IF(P12=0,0,Q12/P12)</f>
        <v>-6.0434782608695654</v>
      </c>
      <c r="P12" s="116">
        <v>23</v>
      </c>
      <c r="Q12" s="104">
        <v>-139</v>
      </c>
    </row>
    <row r="13" spans="1:17" x14ac:dyDescent="0.4">
      <c r="A13" s="54" t="s">
        <v>121</v>
      </c>
      <c r="B13" s="47">
        <v>156</v>
      </c>
      <c r="C13" s="42">
        <f>IF(B$3=0,0,B13/B$3)</f>
        <v>0.25283630470016205</v>
      </c>
      <c r="E13" s="59" t="s">
        <v>86</v>
      </c>
      <c r="F13" s="56" t="s">
        <v>41</v>
      </c>
      <c r="G13" s="44">
        <v>8</v>
      </c>
      <c r="H13" s="129">
        <f>IF(B$17=0,0,G13/B$17)</f>
        <v>4.6242774566473986E-2</v>
      </c>
      <c r="I13" s="90">
        <v>4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147</v>
      </c>
      <c r="C14" s="37">
        <f>IF(B$3=0,0,B14/B$3)</f>
        <v>0.23824959481361427</v>
      </c>
      <c r="E14" s="59" t="s">
        <v>79</v>
      </c>
      <c r="F14" s="56" t="s">
        <v>34</v>
      </c>
      <c r="G14" s="44">
        <v>6</v>
      </c>
      <c r="H14" s="129">
        <f>IF(B$17=0,0,G14/B$17)</f>
        <v>3.4682080924855488E-2</v>
      </c>
      <c r="I14" s="90">
        <v>2</v>
      </c>
      <c r="K14" s="36">
        <v>12</v>
      </c>
      <c r="L14" s="95">
        <v>-118.39999999999999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89</v>
      </c>
      <c r="C15" s="35">
        <f>IF(B$13=0,0,B15/B$13)</f>
        <v>0.57051282051282048</v>
      </c>
      <c r="E15" s="59" t="s">
        <v>83</v>
      </c>
      <c r="F15" s="56" t="s">
        <v>38</v>
      </c>
      <c r="G15" s="44">
        <v>6</v>
      </c>
      <c r="H15" s="129">
        <f>IF(B$17=0,0,G15/B$17)</f>
        <v>3.4682080924855488E-2</v>
      </c>
      <c r="I15" s="90">
        <v>10</v>
      </c>
      <c r="K15" s="36">
        <v>13</v>
      </c>
      <c r="L15" s="95">
        <v>-68.399999999999991</v>
      </c>
      <c r="N15" s="110" t="s">
        <v>195</v>
      </c>
      <c r="O15" s="120">
        <f>IF(P15=0,0,Q15/P15)</f>
        <v>53.179999999999993</v>
      </c>
      <c r="P15" s="114">
        <v>5</v>
      </c>
      <c r="Q15" s="102">
        <v>265.89999999999998</v>
      </c>
    </row>
    <row r="16" spans="1:17" x14ac:dyDescent="0.4">
      <c r="A16" s="50" t="s">
        <v>124</v>
      </c>
      <c r="B16" s="43">
        <v>59</v>
      </c>
      <c r="C16" s="35">
        <f>IF(B$14=0,0,B16/B$14)</f>
        <v>0.40136054421768708</v>
      </c>
      <c r="E16" s="59" t="s">
        <v>167</v>
      </c>
      <c r="F16" s="56" t="s">
        <v>168</v>
      </c>
      <c r="G16" s="44">
        <v>4</v>
      </c>
      <c r="H16" s="129">
        <f>IF(B$17=0,0,G16/B$17)</f>
        <v>2.3121387283236993E-2</v>
      </c>
      <c r="I16" s="90">
        <v>4</v>
      </c>
      <c r="K16" s="36">
        <v>14</v>
      </c>
      <c r="L16" s="95">
        <v>-25.79999999999999</v>
      </c>
      <c r="N16" s="111" t="s">
        <v>222</v>
      </c>
      <c r="O16" s="121">
        <f>IF(P16=0,0,Q16/P16)</f>
        <v>27.200000000000003</v>
      </c>
      <c r="P16" s="115">
        <v>1</v>
      </c>
      <c r="Q16" s="103">
        <v>27.200000000000003</v>
      </c>
    </row>
    <row r="17" spans="1:17" x14ac:dyDescent="0.4">
      <c r="A17" s="50" t="s">
        <v>10</v>
      </c>
      <c r="B17" s="43">
        <f>B19+B18</f>
        <v>173</v>
      </c>
      <c r="C17" s="35">
        <f>IF(B$3=0,0,B17/B$3)</f>
        <v>0.28038897893030795</v>
      </c>
      <c r="E17" s="59" t="s">
        <v>73</v>
      </c>
      <c r="F17" s="56" t="s">
        <v>28</v>
      </c>
      <c r="G17" s="44">
        <v>3</v>
      </c>
      <c r="H17" s="129">
        <f>IF(B$17=0,0,G17/B$17)</f>
        <v>1.7341040462427744E-2</v>
      </c>
      <c r="I17" s="90">
        <v>1</v>
      </c>
      <c r="K17" s="36">
        <v>15</v>
      </c>
      <c r="L17" s="95">
        <v>-35.499999999999986</v>
      </c>
      <c r="N17" s="111" t="s">
        <v>182</v>
      </c>
      <c r="O17" s="121">
        <f>IF(P17=0,0,Q17/P17)</f>
        <v>17.733333333333331</v>
      </c>
      <c r="P17" s="115">
        <v>18</v>
      </c>
      <c r="Q17" s="103">
        <v>319.19999999999993</v>
      </c>
    </row>
    <row r="18" spans="1:17" x14ac:dyDescent="0.4">
      <c r="A18" s="51" t="s">
        <v>12</v>
      </c>
      <c r="B18" s="44">
        <v>78</v>
      </c>
      <c r="C18" s="37">
        <f>IF(B$17=0,0,B18/B$17)</f>
        <v>0.45086705202312138</v>
      </c>
      <c r="E18" s="59" t="s">
        <v>78</v>
      </c>
      <c r="F18" s="56" t="s">
        <v>33</v>
      </c>
      <c r="G18" s="44">
        <v>3</v>
      </c>
      <c r="H18" s="129">
        <f>IF(B$17=0,0,G18/B$17)</f>
        <v>1.7341040462427744E-2</v>
      </c>
      <c r="I18" s="90">
        <v>6</v>
      </c>
      <c r="K18" s="36">
        <v>16</v>
      </c>
      <c r="L18" s="95">
        <v>-35.599999999999987</v>
      </c>
      <c r="N18" s="111" t="s">
        <v>179</v>
      </c>
      <c r="O18" s="121">
        <f>IF(P18=0,0,Q18/P18)</f>
        <v>12.900000000000002</v>
      </c>
      <c r="P18" s="115">
        <v>19</v>
      </c>
      <c r="Q18" s="103">
        <v>245.10000000000005</v>
      </c>
    </row>
    <row r="19" spans="1:17" x14ac:dyDescent="0.4">
      <c r="A19" s="51" t="s">
        <v>11</v>
      </c>
      <c r="B19" s="44">
        <v>95</v>
      </c>
      <c r="C19" s="37">
        <f>IF(B$17=0,0,B19/B$17)</f>
        <v>0.54913294797687862</v>
      </c>
      <c r="E19" s="59" t="s">
        <v>81</v>
      </c>
      <c r="F19" s="56" t="s">
        <v>36</v>
      </c>
      <c r="G19" s="44">
        <v>2</v>
      </c>
      <c r="H19" s="129">
        <f>IF(B$17=0,0,G19/B$17)</f>
        <v>1.1560693641618497E-2</v>
      </c>
      <c r="I19" s="90">
        <v>8</v>
      </c>
      <c r="K19" s="36">
        <v>17</v>
      </c>
      <c r="L19" s="95">
        <v>-29.799999999999986</v>
      </c>
      <c r="N19" s="111" t="s">
        <v>181</v>
      </c>
      <c r="O19" s="121">
        <f>IF(P19=0,0,Q19/P19)</f>
        <v>5.6999999999999984</v>
      </c>
      <c r="P19" s="115">
        <v>5</v>
      </c>
      <c r="Q19" s="103">
        <v>28.499999999999993</v>
      </c>
    </row>
    <row r="20" spans="1:17" x14ac:dyDescent="0.4">
      <c r="A20" s="51" t="s">
        <v>13</v>
      </c>
      <c r="B20" s="44">
        <v>83</v>
      </c>
      <c r="C20" s="37">
        <f>IF(B$3=0,0,B20/B$3)</f>
        <v>0.13452188006482982</v>
      </c>
      <c r="E20" s="59" t="s">
        <v>74</v>
      </c>
      <c r="F20" s="56" t="s">
        <v>29</v>
      </c>
      <c r="G20" s="44">
        <v>1</v>
      </c>
      <c r="H20" s="129">
        <f>IF(B$17=0,0,G20/B$17)</f>
        <v>5.7803468208092483E-3</v>
      </c>
      <c r="I20" s="90">
        <v>4</v>
      </c>
      <c r="K20" s="36">
        <v>18</v>
      </c>
      <c r="L20" s="95">
        <v>-62.399999999999991</v>
      </c>
      <c r="N20" s="111" t="s">
        <v>166</v>
      </c>
      <c r="O20" s="121">
        <f>IF(P20=0,0,Q20/P20)</f>
        <v>-0.50000000000000044</v>
      </c>
      <c r="P20" s="115">
        <v>15</v>
      </c>
      <c r="Q20" s="103">
        <v>-7.5000000000000071</v>
      </c>
    </row>
    <row r="21" spans="1:17" x14ac:dyDescent="0.4">
      <c r="A21" s="51" t="s">
        <v>169</v>
      </c>
      <c r="B21" s="44">
        <v>6</v>
      </c>
      <c r="C21" s="131">
        <v>0</v>
      </c>
      <c r="E21" s="59" t="s">
        <v>85</v>
      </c>
      <c r="F21" s="56" t="s">
        <v>40</v>
      </c>
      <c r="G21" s="44">
        <v>1</v>
      </c>
      <c r="H21" s="129">
        <f>IF(B$17=0,0,G21/B$17)</f>
        <v>5.7803468208092483E-3</v>
      </c>
      <c r="I21" s="90">
        <v>3</v>
      </c>
      <c r="K21" s="36">
        <v>19</v>
      </c>
      <c r="L21" s="95">
        <v>-56.399999999999991</v>
      </c>
      <c r="N21" s="111" t="s">
        <v>127</v>
      </c>
      <c r="O21" s="121">
        <f>IF(P21=0,0,Q21/P21)</f>
        <v>-8.1034482758620694</v>
      </c>
      <c r="P21" s="115">
        <v>29</v>
      </c>
      <c r="Q21" s="103">
        <v>-235</v>
      </c>
    </row>
    <row r="22" spans="1:17" x14ac:dyDescent="0.4">
      <c r="A22" s="51" t="s">
        <v>170</v>
      </c>
      <c r="B22" s="44">
        <v>44</v>
      </c>
      <c r="C22" s="131">
        <v>0</v>
      </c>
      <c r="E22" s="59" t="s">
        <v>87</v>
      </c>
      <c r="F22" s="56" t="s">
        <v>42</v>
      </c>
      <c r="G22" s="44">
        <v>1</v>
      </c>
      <c r="H22" s="129">
        <f>IF(B$17=0,0,G22/B$17)</f>
        <v>5.7803468208092483E-3</v>
      </c>
      <c r="I22" s="90">
        <v>2</v>
      </c>
      <c r="K22" s="36">
        <v>20</v>
      </c>
      <c r="L22" s="95">
        <v>-93.199999999999989</v>
      </c>
      <c r="N22" s="111" t="s">
        <v>126</v>
      </c>
      <c r="O22" s="121">
        <f>IF(P22=0,0,Q22/P22)</f>
        <v>-13.224242424242425</v>
      </c>
      <c r="P22" s="115">
        <v>33</v>
      </c>
      <c r="Q22" s="103">
        <v>-436.40000000000003</v>
      </c>
    </row>
    <row r="23" spans="1:17" x14ac:dyDescent="0.4">
      <c r="A23" s="51" t="s">
        <v>5</v>
      </c>
      <c r="B23" s="48">
        <f>IF(B$17=0,0,C23/B$17)</f>
        <v>8409.2485549132944</v>
      </c>
      <c r="C23" s="39">
        <v>1454800</v>
      </c>
      <c r="E23" s="59" t="s">
        <v>88</v>
      </c>
      <c r="F23" s="56" t="s">
        <v>43</v>
      </c>
      <c r="G23" s="44">
        <v>1</v>
      </c>
      <c r="H23" s="129">
        <f>IF(B$17=0,0,G23/B$17)</f>
        <v>5.7803468208092483E-3</v>
      </c>
      <c r="I23" s="90">
        <v>3</v>
      </c>
      <c r="K23" s="36">
        <v>21</v>
      </c>
      <c r="L23" s="95">
        <v>-123.69999999999999</v>
      </c>
      <c r="N23" s="111" t="s">
        <v>177</v>
      </c>
      <c r="O23" s="121">
        <f>IF(P23=0,0,Q23/P23)</f>
        <v>-16.168965517241379</v>
      </c>
      <c r="P23" s="115">
        <v>29</v>
      </c>
      <c r="Q23" s="103">
        <v>-468.9</v>
      </c>
    </row>
    <row r="24" spans="1:17" x14ac:dyDescent="0.4">
      <c r="A24" s="52" t="s">
        <v>216</v>
      </c>
      <c r="B24" s="136">
        <f>IF($B$17-B$16=0,0,C24/($B$17-B$16))</f>
        <v>9442.105263157895</v>
      </c>
      <c r="C24" s="137">
        <v>1076400</v>
      </c>
      <c r="E24" s="59" t="s">
        <v>91</v>
      </c>
      <c r="F24" s="56" t="s">
        <v>46</v>
      </c>
      <c r="G24" s="44">
        <v>1</v>
      </c>
      <c r="H24" s="129">
        <f>IF(B$17=0,0,G24/B$17)</f>
        <v>5.7803468208092483E-3</v>
      </c>
      <c r="I24" s="90">
        <v>6</v>
      </c>
      <c r="K24" s="36">
        <v>22</v>
      </c>
      <c r="L24" s="95">
        <v>-66.999999999999986</v>
      </c>
    </row>
    <row r="25" spans="1:17" x14ac:dyDescent="0.4">
      <c r="A25" s="52" t="s">
        <v>217</v>
      </c>
      <c r="B25" s="136">
        <f>IF(B$16=0,0,C25/B$16)</f>
        <v>6413.5593220338988</v>
      </c>
      <c r="C25" s="137">
        <v>378400</v>
      </c>
      <c r="E25" s="59" t="s">
        <v>101</v>
      </c>
      <c r="F25" s="56" t="s">
        <v>56</v>
      </c>
      <c r="G25" s="44">
        <v>1</v>
      </c>
      <c r="H25" s="129">
        <f>IF(B$17=0,0,G25/B$17)</f>
        <v>5.7803468208092483E-3</v>
      </c>
      <c r="I25" s="90">
        <v>1</v>
      </c>
      <c r="K25" s="36">
        <v>23</v>
      </c>
      <c r="L25" s="95">
        <v>-59.599999999999987</v>
      </c>
    </row>
    <row r="26" spans="1:17" x14ac:dyDescent="0.4">
      <c r="A26" s="52" t="s">
        <v>215</v>
      </c>
      <c r="B26" s="136">
        <f>IF(B$20=0,0,C26/B$20)</f>
        <v>-8059.0361445783128</v>
      </c>
      <c r="C26" s="137">
        <v>-668900</v>
      </c>
      <c r="E26" s="59" t="s">
        <v>75</v>
      </c>
      <c r="F26" s="56" t="s">
        <v>30</v>
      </c>
      <c r="G26" s="44">
        <v>0</v>
      </c>
      <c r="H26" s="129">
        <f>IF(B$17=0,0,G26/B$17)</f>
        <v>0</v>
      </c>
      <c r="I26" s="90">
        <v>7</v>
      </c>
      <c r="K26" s="36">
        <v>24</v>
      </c>
      <c r="L26" s="95">
        <v>-91.399999999999991</v>
      </c>
    </row>
    <row r="27" spans="1:17" x14ac:dyDescent="0.4">
      <c r="A27" s="86" t="s">
        <v>140</v>
      </c>
      <c r="B27" s="142">
        <v>8</v>
      </c>
      <c r="C27" s="143"/>
      <c r="E27" s="59" t="s">
        <v>76</v>
      </c>
      <c r="F27" s="56" t="s">
        <v>31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-41.29999999999999</v>
      </c>
    </row>
    <row r="28" spans="1:17" x14ac:dyDescent="0.4">
      <c r="A28" s="54" t="s">
        <v>150</v>
      </c>
      <c r="B28" s="140">
        <v>86500</v>
      </c>
      <c r="C28" s="141"/>
      <c r="E28" s="59" t="s">
        <v>77</v>
      </c>
      <c r="F28" s="56" t="s">
        <v>32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-54.099999999999994</v>
      </c>
    </row>
    <row r="29" spans="1:17" x14ac:dyDescent="0.4">
      <c r="A29" s="53" t="s">
        <v>141</v>
      </c>
      <c r="B29" s="61">
        <v>2</v>
      </c>
      <c r="C29" s="40">
        <f>IF(B$3=0,0,B29/B$3)</f>
        <v>3.2414910858995136E-3</v>
      </c>
      <c r="E29" s="59" t="s">
        <v>80</v>
      </c>
      <c r="F29" s="56" t="s">
        <v>35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-70.199999999999989</v>
      </c>
    </row>
    <row r="30" spans="1:17" x14ac:dyDescent="0.4">
      <c r="E30" s="59" t="s">
        <v>82</v>
      </c>
      <c r="F30" s="56" t="s">
        <v>37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-61.29999999999999</v>
      </c>
    </row>
    <row r="31" spans="1:17" x14ac:dyDescent="0.4">
      <c r="E31" s="59" t="s">
        <v>84</v>
      </c>
      <c r="F31" s="56" t="s">
        <v>39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-109.69999999999999</v>
      </c>
    </row>
    <row r="32" spans="1:17" x14ac:dyDescent="0.4">
      <c r="E32" s="59" t="s">
        <v>90</v>
      </c>
      <c r="F32" s="56" t="s">
        <v>45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-107.29999999999998</v>
      </c>
    </row>
    <row r="33" spans="5:12" x14ac:dyDescent="0.4">
      <c r="E33" s="59" t="s">
        <v>92</v>
      </c>
      <c r="F33" s="56" t="s">
        <v>47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-96.799999999999983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4</v>
      </c>
      <c r="K34" s="36">
        <v>32</v>
      </c>
      <c r="L34" s="95">
        <v>-54.09999999999998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-48.899999999999977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5</v>
      </c>
      <c r="K36" s="36">
        <v>34</v>
      </c>
      <c r="L36" s="95">
        <v>-63.999999999999979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-72.399999999999977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-65.399999999999977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-58.59999999999998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-51.799999999999983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-67.899999999999977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-61.299999999999976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-56.899999999999977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-58.499999999999979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-49.899999999999977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11.600000000000023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-23.299999999999976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-11.099999999999977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-18.499999999999979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7.1000000000000227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6.5000000000000231</v>
      </c>
    </row>
    <row r="53" spans="5:12" x14ac:dyDescent="0.4">
      <c r="K53" s="36">
        <v>51</v>
      </c>
      <c r="L53" s="95">
        <v>-0.29999999999997673</v>
      </c>
    </row>
    <row r="54" spans="5:12" x14ac:dyDescent="0.4">
      <c r="K54" s="36">
        <v>52</v>
      </c>
      <c r="L54" s="95">
        <v>8.800000000000022</v>
      </c>
    </row>
    <row r="55" spans="5:12" x14ac:dyDescent="0.4">
      <c r="K55" s="36">
        <v>53</v>
      </c>
      <c r="L55" s="95">
        <v>5.800000000000022</v>
      </c>
    </row>
    <row r="56" spans="5:12" x14ac:dyDescent="0.4">
      <c r="K56" s="36">
        <v>54</v>
      </c>
      <c r="L56" s="95">
        <v>-12.499999999999979</v>
      </c>
    </row>
    <row r="57" spans="5:12" x14ac:dyDescent="0.4">
      <c r="K57" s="36">
        <v>55</v>
      </c>
      <c r="L57" s="95">
        <v>36.40000000000002</v>
      </c>
    </row>
    <row r="58" spans="5:12" x14ac:dyDescent="0.4">
      <c r="K58" s="36">
        <v>56</v>
      </c>
      <c r="L58" s="95">
        <v>-3.6999999999999815</v>
      </c>
    </row>
    <row r="59" spans="5:12" x14ac:dyDescent="0.4">
      <c r="K59" s="36">
        <v>57</v>
      </c>
      <c r="L59" s="95">
        <v>12.90000000000002</v>
      </c>
    </row>
    <row r="60" spans="5:12" x14ac:dyDescent="0.4">
      <c r="K60" s="36">
        <v>58</v>
      </c>
      <c r="L60" s="95">
        <v>37.700000000000017</v>
      </c>
    </row>
    <row r="61" spans="5:12" x14ac:dyDescent="0.4">
      <c r="K61" s="36">
        <v>59</v>
      </c>
      <c r="L61" s="95">
        <v>77.000000000000014</v>
      </c>
    </row>
    <row r="62" spans="5:12" x14ac:dyDescent="0.4">
      <c r="K62" s="36">
        <v>60</v>
      </c>
      <c r="L62" s="95">
        <v>21.100000000000016</v>
      </c>
    </row>
    <row r="63" spans="5:12" x14ac:dyDescent="0.4">
      <c r="K63" s="36">
        <v>61</v>
      </c>
      <c r="L63" s="95">
        <v>27.100000000000016</v>
      </c>
    </row>
    <row r="64" spans="5:12" x14ac:dyDescent="0.4">
      <c r="K64" s="36">
        <v>62</v>
      </c>
      <c r="L64" s="95">
        <v>11.800000000000015</v>
      </c>
    </row>
    <row r="65" spans="11:12" x14ac:dyDescent="0.4">
      <c r="K65" s="36">
        <v>63</v>
      </c>
      <c r="L65" s="95">
        <v>46.40000000000002</v>
      </c>
    </row>
    <row r="66" spans="11:12" x14ac:dyDescent="0.4">
      <c r="K66" s="36">
        <v>64</v>
      </c>
      <c r="L66" s="95">
        <v>39.90000000000002</v>
      </c>
    </row>
    <row r="67" spans="11:12" x14ac:dyDescent="0.4">
      <c r="K67" s="36">
        <v>65</v>
      </c>
      <c r="L67" s="95">
        <v>14.600000000000019</v>
      </c>
    </row>
    <row r="68" spans="11:12" x14ac:dyDescent="0.4">
      <c r="K68" s="36">
        <v>66</v>
      </c>
      <c r="L68" s="95">
        <v>-6.2999999999999794</v>
      </c>
    </row>
    <row r="69" spans="11:12" x14ac:dyDescent="0.4">
      <c r="K69" s="36">
        <v>67</v>
      </c>
      <c r="L69" s="95">
        <v>-2.7999999999999794</v>
      </c>
    </row>
    <row r="70" spans="11:12" x14ac:dyDescent="0.4">
      <c r="K70" s="36">
        <v>68</v>
      </c>
      <c r="L70" s="95">
        <v>-35.799999999999983</v>
      </c>
    </row>
    <row r="71" spans="11:12" x14ac:dyDescent="0.4">
      <c r="K71" s="36">
        <v>69</v>
      </c>
      <c r="L71" s="95">
        <v>-59.899999999999984</v>
      </c>
    </row>
    <row r="72" spans="11:12" x14ac:dyDescent="0.4">
      <c r="K72" s="36">
        <v>70</v>
      </c>
      <c r="L72" s="95">
        <v>-49.59999999999998</v>
      </c>
    </row>
    <row r="73" spans="11:12" x14ac:dyDescent="0.4">
      <c r="K73" s="36">
        <v>71</v>
      </c>
      <c r="L73" s="95">
        <v>-53.999999999999979</v>
      </c>
    </row>
    <row r="74" spans="11:12" x14ac:dyDescent="0.4">
      <c r="K74" s="36">
        <v>72</v>
      </c>
      <c r="L74" s="95">
        <v>-68.199999999999974</v>
      </c>
    </row>
    <row r="75" spans="11:12" x14ac:dyDescent="0.4">
      <c r="K75" s="36">
        <v>73</v>
      </c>
      <c r="L75" s="95">
        <v>-65.699999999999974</v>
      </c>
    </row>
    <row r="76" spans="11:12" x14ac:dyDescent="0.4">
      <c r="K76" s="36">
        <v>74</v>
      </c>
      <c r="L76" s="95">
        <v>-35.599999999999973</v>
      </c>
    </row>
    <row r="77" spans="11:12" x14ac:dyDescent="0.4">
      <c r="K77" s="36">
        <v>75</v>
      </c>
      <c r="L77" s="95">
        <v>-37.499999999999972</v>
      </c>
    </row>
    <row r="78" spans="11:12" x14ac:dyDescent="0.4">
      <c r="K78" s="36">
        <v>76</v>
      </c>
      <c r="L78" s="95">
        <v>-28.199999999999971</v>
      </c>
    </row>
    <row r="79" spans="11:12" x14ac:dyDescent="0.4">
      <c r="K79" s="36">
        <v>77</v>
      </c>
      <c r="L79" s="95">
        <v>-87.299999999999969</v>
      </c>
    </row>
  </sheetData>
  <sortState xmlns:xlrd2="http://schemas.microsoft.com/office/spreadsheetml/2017/richdata2" ref="N15:Q23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5807E-8919-4F26-BCB9-06B55BB69A13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31</v>
      </c>
      <c r="C2" s="149"/>
      <c r="E2" s="58" t="s">
        <v>66</v>
      </c>
      <c r="F2" s="55" t="s">
        <v>22</v>
      </c>
      <c r="G2" s="43">
        <v>40</v>
      </c>
      <c r="H2" s="128">
        <f>IF(B$17=0,0,G2/B$17)</f>
        <v>0.68965517241379315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-2700</v>
      </c>
      <c r="P2" s="114">
        <v>31</v>
      </c>
      <c r="Q2" s="98">
        <v>-83700</v>
      </c>
    </row>
    <row r="3" spans="1:17" x14ac:dyDescent="0.4">
      <c r="A3" s="51" t="s">
        <v>8</v>
      </c>
      <c r="B3" s="150">
        <v>250</v>
      </c>
      <c r="C3" s="151"/>
      <c r="E3" s="59" t="s">
        <v>72</v>
      </c>
      <c r="F3" s="56" t="s">
        <v>27</v>
      </c>
      <c r="G3" s="44">
        <v>34</v>
      </c>
      <c r="H3" s="129">
        <f>IF(B$17=0,0,G3/B$17)</f>
        <v>0.58620689655172409</v>
      </c>
      <c r="I3" s="90">
        <v>3</v>
      </c>
      <c r="K3" s="36">
        <v>1</v>
      </c>
      <c r="L3" s="95">
        <v>-12</v>
      </c>
      <c r="N3" s="111" t="s">
        <v>131</v>
      </c>
      <c r="O3" s="118">
        <f t="shared" si="0"/>
        <v>-170.96774193548387</v>
      </c>
      <c r="P3" s="115">
        <v>31</v>
      </c>
      <c r="Q3" s="99">
        <v>-5300</v>
      </c>
    </row>
    <row r="4" spans="1:17" x14ac:dyDescent="0.4">
      <c r="A4" s="51" t="s">
        <v>6</v>
      </c>
      <c r="B4" s="152">
        <v>-473.10000000000014</v>
      </c>
      <c r="C4" s="153"/>
      <c r="E4" s="59" t="s">
        <v>64</v>
      </c>
      <c r="F4" s="56" t="s">
        <v>20</v>
      </c>
      <c r="G4" s="44">
        <v>25</v>
      </c>
      <c r="H4" s="129">
        <f>IF(B$17=0,0,G4/B$17)</f>
        <v>0.43103448275862066</v>
      </c>
      <c r="I4" s="90">
        <v>8</v>
      </c>
      <c r="K4" s="36">
        <v>2</v>
      </c>
      <c r="L4" s="95">
        <v>-40.6</v>
      </c>
      <c r="N4" s="111" t="s">
        <v>132</v>
      </c>
      <c r="O4" s="118">
        <f t="shared" si="0"/>
        <v>-745.16129032258061</v>
      </c>
      <c r="P4" s="115">
        <v>31</v>
      </c>
      <c r="Q4" s="99">
        <v>-23100</v>
      </c>
    </row>
    <row r="5" spans="1:17" x14ac:dyDescent="0.4">
      <c r="A5" s="51" t="s">
        <v>7</v>
      </c>
      <c r="B5" s="154">
        <f>IF(B$2=0,0,B$4/B$2)</f>
        <v>-15.261290322580649</v>
      </c>
      <c r="C5" s="155"/>
      <c r="E5" s="59" t="s">
        <v>67</v>
      </c>
      <c r="F5" s="56" t="s">
        <v>23</v>
      </c>
      <c r="G5" s="44">
        <v>18</v>
      </c>
      <c r="H5" s="129">
        <f>IF(B$17=0,0,G5/B$17)</f>
        <v>0.31034482758620691</v>
      </c>
      <c r="I5" s="90">
        <v>6</v>
      </c>
      <c r="K5" s="36">
        <v>3</v>
      </c>
      <c r="L5" s="95">
        <v>-33.6</v>
      </c>
      <c r="N5" s="111" t="s">
        <v>133</v>
      </c>
      <c r="O5" s="118">
        <f t="shared" si="0"/>
        <v>-2773.3333333333335</v>
      </c>
      <c r="P5" s="115">
        <v>30</v>
      </c>
      <c r="Q5" s="99">
        <v>-83200</v>
      </c>
    </row>
    <row r="6" spans="1:17" x14ac:dyDescent="0.4">
      <c r="A6" s="51" t="s">
        <v>1</v>
      </c>
      <c r="B6" s="144">
        <f>IF(B$2=0,0,(B$7*1+B$8*2+B$9*3)/B$2)</f>
        <v>2.4516129032258065</v>
      </c>
      <c r="C6" s="145"/>
      <c r="E6" s="59" t="s">
        <v>171</v>
      </c>
      <c r="F6" s="56" t="s">
        <v>172</v>
      </c>
      <c r="G6" s="44">
        <v>18</v>
      </c>
      <c r="H6" s="129">
        <f>IF(B$17=0,0,G6/B$17)</f>
        <v>0.31034482758620691</v>
      </c>
      <c r="I6" s="90">
        <v>9</v>
      </c>
      <c r="K6" s="36">
        <v>4</v>
      </c>
      <c r="L6" s="95">
        <v>-80.5</v>
      </c>
      <c r="N6" s="111" t="s">
        <v>134</v>
      </c>
      <c r="O6" s="118">
        <f t="shared" si="0"/>
        <v>-1531.0344827586207</v>
      </c>
      <c r="P6" s="115">
        <v>29</v>
      </c>
      <c r="Q6" s="99">
        <v>-44400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9.6774193548387094E-2</v>
      </c>
      <c r="E7" s="59" t="s">
        <v>68</v>
      </c>
      <c r="F7" s="56" t="s">
        <v>12</v>
      </c>
      <c r="G7" s="44">
        <v>17</v>
      </c>
      <c r="H7" s="129">
        <f>IF(B$17=0,0,G7/B$17)</f>
        <v>0.29310344827586204</v>
      </c>
      <c r="I7" s="90">
        <v>7</v>
      </c>
      <c r="K7" s="36">
        <v>5</v>
      </c>
      <c r="L7" s="95">
        <v>-124.3</v>
      </c>
      <c r="N7" s="112" t="s">
        <v>135</v>
      </c>
      <c r="O7" s="119">
        <f t="shared" si="0"/>
        <v>-3683.3333333333335</v>
      </c>
      <c r="P7" s="116">
        <v>24</v>
      </c>
      <c r="Q7" s="100">
        <v>-88400</v>
      </c>
    </row>
    <row r="8" spans="1:17" x14ac:dyDescent="0.4">
      <c r="A8" s="51" t="s">
        <v>3</v>
      </c>
      <c r="B8" s="44">
        <v>11</v>
      </c>
      <c r="C8" s="37">
        <f t="shared" si="1"/>
        <v>0.35483870967741937</v>
      </c>
      <c r="E8" s="59" t="s">
        <v>89</v>
      </c>
      <c r="F8" s="56" t="s">
        <v>44</v>
      </c>
      <c r="G8" s="44">
        <v>8</v>
      </c>
      <c r="H8" s="129">
        <f>IF(B$17=0,0,G8/B$17)</f>
        <v>0.13793103448275862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17</v>
      </c>
      <c r="C9" s="38">
        <f t="shared" si="1"/>
        <v>0.54838709677419351</v>
      </c>
      <c r="E9" s="59" t="s">
        <v>65</v>
      </c>
      <c r="F9" s="56" t="s">
        <v>21</v>
      </c>
      <c r="G9" s="44">
        <v>7</v>
      </c>
      <c r="H9" s="129">
        <f>IF(B$17=0,0,G9/B$17)</f>
        <v>0.1206896551724138</v>
      </c>
      <c r="I9" s="90">
        <v>3</v>
      </c>
      <c r="K9" s="36">
        <v>7</v>
      </c>
      <c r="L9" s="95">
        <v>-99.5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0.16129032258064516</v>
      </c>
      <c r="E10" s="59" t="s">
        <v>71</v>
      </c>
      <c r="F10" s="56" t="s">
        <v>26</v>
      </c>
      <c r="G10" s="44">
        <v>6</v>
      </c>
      <c r="H10" s="129">
        <f>IF(B$17=0,0,G10/B$17)</f>
        <v>0.10344827586206896</v>
      </c>
      <c r="I10" s="90">
        <v>3</v>
      </c>
      <c r="K10" s="36">
        <v>8</v>
      </c>
      <c r="L10" s="95">
        <v>-152.6</v>
      </c>
      <c r="N10" s="110" t="s">
        <v>162</v>
      </c>
      <c r="O10" s="120">
        <f>IF(P10=0,0,Q10/P10)</f>
        <v>-23.529411764705884</v>
      </c>
      <c r="P10" s="114">
        <v>17</v>
      </c>
      <c r="Q10" s="102">
        <v>-400</v>
      </c>
    </row>
    <row r="11" spans="1:17" x14ac:dyDescent="0.4">
      <c r="A11" s="52" t="s">
        <v>138</v>
      </c>
      <c r="B11" s="45">
        <v>1</v>
      </c>
      <c r="C11" s="38">
        <f t="shared" si="1"/>
        <v>3.2258064516129031E-2</v>
      </c>
      <c r="E11" s="59" t="s">
        <v>83</v>
      </c>
      <c r="F11" s="56" t="s">
        <v>38</v>
      </c>
      <c r="G11" s="44">
        <v>5</v>
      </c>
      <c r="H11" s="129">
        <f>IF(B$17=0,0,G11/B$17)</f>
        <v>8.6206896551724144E-2</v>
      </c>
      <c r="I11" s="90">
        <v>3</v>
      </c>
      <c r="K11" s="36">
        <v>9</v>
      </c>
      <c r="L11" s="95">
        <v>-150.6</v>
      </c>
      <c r="N11" s="111" t="s">
        <v>163</v>
      </c>
      <c r="O11" s="121">
        <f>IF(P11=0,0,Q11/P11)</f>
        <v>-7.2874999999999988</v>
      </c>
      <c r="P11" s="115">
        <v>8</v>
      </c>
      <c r="Q11" s="103">
        <v>-58.29999999999999</v>
      </c>
    </row>
    <row r="12" spans="1:17" x14ac:dyDescent="0.4">
      <c r="A12" s="53" t="s">
        <v>158</v>
      </c>
      <c r="B12" s="46">
        <v>1</v>
      </c>
      <c r="C12" s="40">
        <f t="shared" si="1"/>
        <v>3.2258064516129031E-2</v>
      </c>
      <c r="E12" s="59" t="s">
        <v>69</v>
      </c>
      <c r="F12" s="56" t="s">
        <v>24</v>
      </c>
      <c r="G12" s="44">
        <v>4</v>
      </c>
      <c r="H12" s="129">
        <f>IF(B$17=0,0,G12/B$17)</f>
        <v>6.8965517241379309E-2</v>
      </c>
      <c r="I12" s="90">
        <v>9</v>
      </c>
      <c r="K12" s="36">
        <v>10</v>
      </c>
      <c r="L12" s="95">
        <v>-151.1</v>
      </c>
      <c r="N12" s="112" t="s">
        <v>164</v>
      </c>
      <c r="O12" s="122">
        <f>IF(P12=0,0,Q12/P12)</f>
        <v>-2.4666666666666663</v>
      </c>
      <c r="P12" s="116">
        <v>6</v>
      </c>
      <c r="Q12" s="104">
        <v>-14.799999999999999</v>
      </c>
    </row>
    <row r="13" spans="1:17" x14ac:dyDescent="0.4">
      <c r="A13" s="54" t="s">
        <v>121</v>
      </c>
      <c r="B13" s="47">
        <v>48</v>
      </c>
      <c r="C13" s="42">
        <f>IF(B$3=0,0,B13/B$3)</f>
        <v>0.192</v>
      </c>
      <c r="E13" s="59" t="s">
        <v>70</v>
      </c>
      <c r="F13" s="56" t="s">
        <v>25</v>
      </c>
      <c r="G13" s="44">
        <v>4</v>
      </c>
      <c r="H13" s="129">
        <f>IF(B$17=0,0,G13/B$17)</f>
        <v>6.8965517241379309E-2</v>
      </c>
      <c r="I13" s="90">
        <v>9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55</v>
      </c>
      <c r="C14" s="37">
        <f>IF(B$3=0,0,B14/B$3)</f>
        <v>0.22</v>
      </c>
      <c r="E14" s="59" t="s">
        <v>86</v>
      </c>
      <c r="F14" s="56" t="s">
        <v>41</v>
      </c>
      <c r="G14" s="44">
        <v>4</v>
      </c>
      <c r="H14" s="129">
        <f>IF(B$17=0,0,G14/B$17)</f>
        <v>6.8965517241379309E-2</v>
      </c>
      <c r="I14" s="90">
        <v>2</v>
      </c>
      <c r="K14" s="36">
        <v>12</v>
      </c>
      <c r="L14" s="95">
        <v>-176.9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26</v>
      </c>
      <c r="C15" s="35">
        <f>IF(B$13=0,0,B15/B$13)</f>
        <v>0.54166666666666663</v>
      </c>
      <c r="E15" s="59" t="s">
        <v>81</v>
      </c>
      <c r="F15" s="56" t="s">
        <v>36</v>
      </c>
      <c r="G15" s="44">
        <v>2</v>
      </c>
      <c r="H15" s="129">
        <f>IF(B$17=0,0,G15/B$17)</f>
        <v>3.4482758620689655E-2</v>
      </c>
      <c r="I15" s="90">
        <v>2</v>
      </c>
      <c r="K15" s="36">
        <v>13</v>
      </c>
      <c r="L15" s="95">
        <v>-217.60000000000002</v>
      </c>
      <c r="N15" s="110" t="s">
        <v>166</v>
      </c>
      <c r="O15" s="120">
        <f t="shared" ref="O15:O23" si="2">IF(P15=0,0,Q15/P15)</f>
        <v>28.45</v>
      </c>
      <c r="P15" s="114">
        <v>4</v>
      </c>
      <c r="Q15" s="102">
        <v>113.8</v>
      </c>
    </row>
    <row r="16" spans="1:17" x14ac:dyDescent="0.4">
      <c r="A16" s="50" t="s">
        <v>124</v>
      </c>
      <c r="B16" s="43">
        <v>22</v>
      </c>
      <c r="C16" s="35">
        <f>IF(B$14=0,0,B16/B$14)</f>
        <v>0.4</v>
      </c>
      <c r="E16" s="59" t="s">
        <v>74</v>
      </c>
      <c r="F16" s="56" t="s">
        <v>29</v>
      </c>
      <c r="G16" s="44">
        <v>1</v>
      </c>
      <c r="H16" s="129">
        <f>IF(B$17=0,0,G16/B$17)</f>
        <v>1.7241379310344827E-2</v>
      </c>
      <c r="I16" s="90">
        <v>1</v>
      </c>
      <c r="K16" s="36">
        <v>14</v>
      </c>
      <c r="L16" s="95">
        <v>-266.90000000000003</v>
      </c>
      <c r="N16" s="111" t="s">
        <v>222</v>
      </c>
      <c r="O16" s="121">
        <f t="shared" si="2"/>
        <v>-17.649999999999999</v>
      </c>
      <c r="P16" s="115">
        <v>2</v>
      </c>
      <c r="Q16" s="103">
        <v>-35.299999999999997</v>
      </c>
    </row>
    <row r="17" spans="1:17" x14ac:dyDescent="0.4">
      <c r="A17" s="50" t="s">
        <v>10</v>
      </c>
      <c r="B17" s="43">
        <f>B19+B18</f>
        <v>58</v>
      </c>
      <c r="C17" s="35">
        <f>IF(B$3=0,0,B17/B$3)</f>
        <v>0.23200000000000001</v>
      </c>
      <c r="E17" s="59" t="s">
        <v>78</v>
      </c>
      <c r="F17" s="56" t="s">
        <v>33</v>
      </c>
      <c r="G17" s="44">
        <v>1</v>
      </c>
      <c r="H17" s="129">
        <f>IF(B$17=0,0,G17/B$17)</f>
        <v>1.7241379310344827E-2</v>
      </c>
      <c r="I17" s="90">
        <v>7</v>
      </c>
      <c r="K17" s="36">
        <v>15</v>
      </c>
      <c r="L17" s="95">
        <v>-272.50000000000006</v>
      </c>
      <c r="N17" s="111" t="s">
        <v>178</v>
      </c>
      <c r="O17" s="121">
        <f t="shared" si="2"/>
        <v>-17.733333333333331</v>
      </c>
      <c r="P17" s="115">
        <v>18</v>
      </c>
      <c r="Q17" s="103">
        <v>-319.19999999999993</v>
      </c>
    </row>
    <row r="18" spans="1:17" x14ac:dyDescent="0.4">
      <c r="A18" s="51" t="s">
        <v>12</v>
      </c>
      <c r="B18" s="44">
        <v>28</v>
      </c>
      <c r="C18" s="37">
        <f>IF(B$17=0,0,B18/B$17)</f>
        <v>0.48275862068965519</v>
      </c>
      <c r="E18" s="59" t="s">
        <v>95</v>
      </c>
      <c r="F18" s="56" t="s">
        <v>50</v>
      </c>
      <c r="G18" s="44">
        <v>1</v>
      </c>
      <c r="H18" s="129">
        <f>IF(B$17=0,0,G18/B$17)</f>
        <v>1.7241379310344827E-2</v>
      </c>
      <c r="I18" s="90">
        <v>1</v>
      </c>
      <c r="K18" s="36">
        <v>16</v>
      </c>
      <c r="L18" s="95">
        <v>-320.30000000000007</v>
      </c>
      <c r="N18" s="111" t="s">
        <v>177</v>
      </c>
      <c r="O18" s="121">
        <f t="shared" si="2"/>
        <v>-20.7</v>
      </c>
      <c r="P18" s="115">
        <v>12</v>
      </c>
      <c r="Q18" s="103">
        <v>-248.39999999999998</v>
      </c>
    </row>
    <row r="19" spans="1:17" x14ac:dyDescent="0.4">
      <c r="A19" s="51" t="s">
        <v>11</v>
      </c>
      <c r="B19" s="44">
        <v>30</v>
      </c>
      <c r="C19" s="37">
        <f>IF(B$17=0,0,B19/B$17)</f>
        <v>0.51724137931034486</v>
      </c>
      <c r="E19" s="59" t="s">
        <v>73</v>
      </c>
      <c r="F19" s="56" t="s">
        <v>28</v>
      </c>
      <c r="G19" s="44">
        <v>0</v>
      </c>
      <c r="H19" s="129">
        <f>IF(B$17=0,0,G19/B$17)</f>
        <v>0</v>
      </c>
      <c r="I19" s="90">
        <v>4</v>
      </c>
      <c r="K19" s="36">
        <v>17</v>
      </c>
      <c r="L19" s="95">
        <v>-352.60000000000008</v>
      </c>
      <c r="N19" s="111" t="s">
        <v>126</v>
      </c>
      <c r="O19" s="121">
        <f t="shared" si="2"/>
        <v>-21.422222222222224</v>
      </c>
      <c r="P19" s="115">
        <v>9</v>
      </c>
      <c r="Q19" s="103">
        <v>-192.8</v>
      </c>
    </row>
    <row r="20" spans="1:17" x14ac:dyDescent="0.4">
      <c r="A20" s="51" t="s">
        <v>13</v>
      </c>
      <c r="B20" s="44">
        <v>47</v>
      </c>
      <c r="C20" s="37">
        <f>IF(B$3=0,0,B20/B$3)</f>
        <v>0.188</v>
      </c>
      <c r="E20" s="59" t="s">
        <v>75</v>
      </c>
      <c r="F20" s="56" t="s">
        <v>30</v>
      </c>
      <c r="G20" s="44">
        <v>0</v>
      </c>
      <c r="H20" s="129">
        <f>IF(B$17=0,0,G20/B$17)</f>
        <v>0</v>
      </c>
      <c r="I20" s="90">
        <v>7</v>
      </c>
      <c r="K20" s="36">
        <v>18</v>
      </c>
      <c r="L20" s="95">
        <v>-355.50000000000006</v>
      </c>
      <c r="N20" s="111" t="s">
        <v>179</v>
      </c>
      <c r="O20" s="121">
        <f t="shared" si="2"/>
        <v>-25.799999999999997</v>
      </c>
      <c r="P20" s="115">
        <v>1</v>
      </c>
      <c r="Q20" s="103">
        <v>-25.799999999999997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76</v>
      </c>
      <c r="F21" s="56" t="s">
        <v>31</v>
      </c>
      <c r="G21" s="44">
        <v>0</v>
      </c>
      <c r="H21" s="129">
        <f>IF(B$17=0,0,G21/B$17)</f>
        <v>0</v>
      </c>
      <c r="I21" s="90">
        <v>1</v>
      </c>
      <c r="K21" s="36">
        <v>19</v>
      </c>
      <c r="L21" s="95">
        <v>-400.60000000000008</v>
      </c>
      <c r="N21" s="111" t="s">
        <v>127</v>
      </c>
      <c r="O21" s="121">
        <f t="shared" si="2"/>
        <v>-37.040000000000006</v>
      </c>
      <c r="P21" s="115">
        <v>10</v>
      </c>
      <c r="Q21" s="103">
        <v>-370.40000000000003</v>
      </c>
    </row>
    <row r="22" spans="1:17" x14ac:dyDescent="0.4">
      <c r="A22" s="51" t="s">
        <v>170</v>
      </c>
      <c r="B22" s="44">
        <v>16</v>
      </c>
      <c r="C22" s="131">
        <v>6</v>
      </c>
      <c r="E22" s="59" t="s">
        <v>77</v>
      </c>
      <c r="F22" s="56" t="s">
        <v>32</v>
      </c>
      <c r="G22" s="44">
        <v>0</v>
      </c>
      <c r="H22" s="129">
        <f>IF(B$17=0,0,G22/B$17)</f>
        <v>0</v>
      </c>
      <c r="I22" s="90">
        <v>4</v>
      </c>
      <c r="K22" s="36">
        <v>20</v>
      </c>
      <c r="L22" s="95">
        <v>-428.10000000000008</v>
      </c>
      <c r="N22" s="111" t="s">
        <v>181</v>
      </c>
      <c r="O22" s="121">
        <f t="shared" si="2"/>
        <v>-52.525000000000006</v>
      </c>
      <c r="P22" s="115">
        <v>4</v>
      </c>
      <c r="Q22" s="103">
        <v>-210.10000000000002</v>
      </c>
    </row>
    <row r="23" spans="1:17" x14ac:dyDescent="0.4">
      <c r="A23" s="51" t="s">
        <v>5</v>
      </c>
      <c r="B23" s="48">
        <f>IF(B$17=0,0,C23/B$17)</f>
        <v>7901.7241379310344</v>
      </c>
      <c r="C23" s="39">
        <v>458300</v>
      </c>
      <c r="E23" s="59" t="s">
        <v>79</v>
      </c>
      <c r="F23" s="56" t="s">
        <v>34</v>
      </c>
      <c r="G23" s="44">
        <v>0</v>
      </c>
      <c r="H23" s="129">
        <f>IF(B$17=0,0,G23/B$17)</f>
        <v>0</v>
      </c>
      <c r="I23" s="90">
        <v>7</v>
      </c>
      <c r="K23" s="36">
        <v>21</v>
      </c>
      <c r="L23" s="95">
        <v>-423.7000000000001</v>
      </c>
      <c r="N23" s="111" t="s">
        <v>195</v>
      </c>
      <c r="O23" s="121">
        <f t="shared" si="2"/>
        <v>-65.55</v>
      </c>
      <c r="P23" s="115">
        <v>2</v>
      </c>
      <c r="Q23" s="103">
        <v>-131.1</v>
      </c>
    </row>
    <row r="24" spans="1:17" x14ac:dyDescent="0.4">
      <c r="A24" s="52" t="s">
        <v>216</v>
      </c>
      <c r="B24" s="136">
        <f>IF($B$17-B$16=0,0,C24/($B$17-B$16))</f>
        <v>8158.333333333333</v>
      </c>
      <c r="C24" s="137">
        <v>293700</v>
      </c>
      <c r="E24" s="59" t="s">
        <v>80</v>
      </c>
      <c r="F24" s="56" t="s">
        <v>35</v>
      </c>
      <c r="G24" s="44">
        <v>0</v>
      </c>
      <c r="H24" s="129">
        <f>IF(B$17=0,0,G24/B$17)</f>
        <v>0</v>
      </c>
      <c r="I24" s="90">
        <v>1</v>
      </c>
      <c r="K24" s="36">
        <v>22</v>
      </c>
      <c r="L24" s="95">
        <v>-465.00000000000011</v>
      </c>
    </row>
    <row r="25" spans="1:17" x14ac:dyDescent="0.4">
      <c r="A25" s="52" t="s">
        <v>217</v>
      </c>
      <c r="B25" s="136">
        <f>IF(B$16=0,0,C25/B$16)</f>
        <v>7481.818181818182</v>
      </c>
      <c r="C25" s="137">
        <v>164600</v>
      </c>
      <c r="E25" s="59" t="s">
        <v>82</v>
      </c>
      <c r="F25" s="56" t="s">
        <v>37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-450.10000000000014</v>
      </c>
    </row>
    <row r="26" spans="1:17" x14ac:dyDescent="0.4">
      <c r="A26" s="52" t="s">
        <v>215</v>
      </c>
      <c r="B26" s="136">
        <f>IF(B$20=0,0,C26/B$20)</f>
        <v>-8059.5744680851067</v>
      </c>
      <c r="C26" s="137">
        <v>-378800</v>
      </c>
      <c r="E26" s="59" t="s">
        <v>84</v>
      </c>
      <c r="F26" s="56" t="s">
        <v>39</v>
      </c>
      <c r="G26" s="44">
        <v>0</v>
      </c>
      <c r="H26" s="129">
        <f>IF(B$17=0,0,G26/B$17)</f>
        <v>0</v>
      </c>
      <c r="I26" s="90">
        <v>4</v>
      </c>
      <c r="K26" s="36">
        <v>24</v>
      </c>
      <c r="L26" s="95">
        <v>-474.10000000000014</v>
      </c>
    </row>
    <row r="27" spans="1:17" x14ac:dyDescent="0.4">
      <c r="A27" s="86" t="s">
        <v>140</v>
      </c>
      <c r="B27" s="142">
        <v>6</v>
      </c>
      <c r="C27" s="143"/>
      <c r="E27" s="59" t="s">
        <v>85</v>
      </c>
      <c r="F27" s="56" t="s">
        <v>40</v>
      </c>
      <c r="G27" s="44">
        <v>0</v>
      </c>
      <c r="H27" s="129">
        <f>IF(B$17=0,0,G27/B$17)</f>
        <v>0</v>
      </c>
      <c r="I27" s="90">
        <v>6</v>
      </c>
      <c r="K27" s="36">
        <v>25</v>
      </c>
      <c r="L27" s="95">
        <v>-488.30000000000013</v>
      </c>
    </row>
    <row r="28" spans="1:17" x14ac:dyDescent="0.4">
      <c r="A28" s="54" t="s">
        <v>150</v>
      </c>
      <c r="B28" s="140">
        <v>85100</v>
      </c>
      <c r="C28" s="141"/>
      <c r="E28" s="59" t="s">
        <v>87</v>
      </c>
      <c r="F28" s="56" t="s">
        <v>42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-439.2000000000001</v>
      </c>
    </row>
    <row r="29" spans="1:17" x14ac:dyDescent="0.4">
      <c r="A29" s="53" t="s">
        <v>141</v>
      </c>
      <c r="B29" s="61">
        <v>1</v>
      </c>
      <c r="C29" s="40">
        <f>IF(B$3=0,0,B29/B$3)</f>
        <v>4.0000000000000001E-3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5</v>
      </c>
      <c r="K29" s="36">
        <v>27</v>
      </c>
      <c r="L29" s="95">
        <v>-418.80000000000013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-447.30000000000013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8</v>
      </c>
      <c r="K31" s="36">
        <v>29</v>
      </c>
      <c r="L31" s="95">
        <v>-442.60000000000014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-472.50000000000011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-473.10000000000014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B0502-F2FB-489B-964E-EF7B70D97430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181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18</v>
      </c>
      <c r="C2" s="149"/>
      <c r="E2" s="58" t="s">
        <v>66</v>
      </c>
      <c r="F2" s="55" t="s">
        <v>22</v>
      </c>
      <c r="G2" s="43">
        <v>46</v>
      </c>
      <c r="H2" s="128">
        <f>IF(B$17=0,0,G2/B$17)</f>
        <v>0.93877551020408168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-900</v>
      </c>
      <c r="P2" s="114">
        <v>18</v>
      </c>
      <c r="Q2" s="98">
        <v>-16200</v>
      </c>
    </row>
    <row r="3" spans="1:17" x14ac:dyDescent="0.4">
      <c r="A3" s="51" t="s">
        <v>8</v>
      </c>
      <c r="B3" s="150">
        <v>168</v>
      </c>
      <c r="C3" s="151"/>
      <c r="E3" s="59" t="s">
        <v>64</v>
      </c>
      <c r="F3" s="56" t="s">
        <v>20</v>
      </c>
      <c r="G3" s="44">
        <v>29</v>
      </c>
      <c r="H3" s="129">
        <f>IF(B$17=0,0,G3/B$17)</f>
        <v>0.59183673469387754</v>
      </c>
      <c r="I3" s="90">
        <v>2</v>
      </c>
      <c r="K3" s="36">
        <v>1</v>
      </c>
      <c r="L3" s="95">
        <v>70.2</v>
      </c>
      <c r="N3" s="111" t="s">
        <v>131</v>
      </c>
      <c r="O3" s="118">
        <f t="shared" si="0"/>
        <v>94.444444444444443</v>
      </c>
      <c r="P3" s="115">
        <v>18</v>
      </c>
      <c r="Q3" s="99">
        <v>1700</v>
      </c>
    </row>
    <row r="4" spans="1:17" x14ac:dyDescent="0.4">
      <c r="A4" s="51" t="s">
        <v>6</v>
      </c>
      <c r="B4" s="152">
        <v>24.700000000000003</v>
      </c>
      <c r="C4" s="153"/>
      <c r="E4" s="59" t="s">
        <v>68</v>
      </c>
      <c r="F4" s="56" t="s">
        <v>12</v>
      </c>
      <c r="G4" s="44">
        <v>21</v>
      </c>
      <c r="H4" s="129">
        <f>IF(B$17=0,0,G4/B$17)</f>
        <v>0.42857142857142855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-770.58823529411768</v>
      </c>
      <c r="P4" s="115">
        <v>17</v>
      </c>
      <c r="Q4" s="99">
        <v>-13100</v>
      </c>
    </row>
    <row r="5" spans="1:17" x14ac:dyDescent="0.4">
      <c r="A5" s="51" t="s">
        <v>7</v>
      </c>
      <c r="B5" s="154">
        <f>IF(B$2=0,0,B$4/B$2)</f>
        <v>1.3722222222222225</v>
      </c>
      <c r="C5" s="155"/>
      <c r="E5" s="59" t="s">
        <v>72</v>
      </c>
      <c r="F5" s="56" t="s">
        <v>27</v>
      </c>
      <c r="G5" s="44">
        <v>16</v>
      </c>
      <c r="H5" s="129">
        <f>IF(B$17=0,0,G5/B$17)</f>
        <v>0.32653061224489793</v>
      </c>
      <c r="I5" s="90">
        <v>11</v>
      </c>
      <c r="K5" s="36">
        <v>3</v>
      </c>
      <c r="L5" s="95">
        <v>76</v>
      </c>
      <c r="N5" s="111" t="s">
        <v>133</v>
      </c>
      <c r="O5" s="118">
        <f t="shared" si="0"/>
        <v>-1582.3529411764705</v>
      </c>
      <c r="P5" s="115">
        <v>17</v>
      </c>
      <c r="Q5" s="99">
        <v>-26900</v>
      </c>
    </row>
    <row r="6" spans="1:17" x14ac:dyDescent="0.4">
      <c r="A6" s="51" t="s">
        <v>1</v>
      </c>
      <c r="B6" s="144">
        <f>IF(B$2=0,0,(B$7*1+B$8*2+B$9*3)/B$2)</f>
        <v>1.9444444444444444</v>
      </c>
      <c r="C6" s="145"/>
      <c r="E6" s="59" t="s">
        <v>171</v>
      </c>
      <c r="F6" s="56" t="s">
        <v>172</v>
      </c>
      <c r="G6" s="44">
        <v>15</v>
      </c>
      <c r="H6" s="129">
        <f>IF(B$17=0,0,G6/B$17)</f>
        <v>0.30612244897959184</v>
      </c>
      <c r="I6" s="90">
        <v>10</v>
      </c>
      <c r="K6" s="36">
        <v>4</v>
      </c>
      <c r="L6" s="95">
        <v>115.5</v>
      </c>
      <c r="N6" s="111" t="s">
        <v>134</v>
      </c>
      <c r="O6" s="118">
        <f t="shared" si="0"/>
        <v>5137.5</v>
      </c>
      <c r="P6" s="115">
        <v>16</v>
      </c>
      <c r="Q6" s="99">
        <v>82200</v>
      </c>
    </row>
    <row r="7" spans="1:17" x14ac:dyDescent="0.4">
      <c r="A7" s="51" t="s">
        <v>2</v>
      </c>
      <c r="B7" s="44">
        <v>7</v>
      </c>
      <c r="C7" s="37">
        <f t="shared" ref="C7:C12" si="1">IF(B$2=0,0,B7/B$2)</f>
        <v>0.3888888888888889</v>
      </c>
      <c r="E7" s="59" t="s">
        <v>67</v>
      </c>
      <c r="F7" s="56" t="s">
        <v>23</v>
      </c>
      <c r="G7" s="44">
        <v>12</v>
      </c>
      <c r="H7" s="129">
        <f>IF(B$17=0,0,G7/B$17)</f>
        <v>0.24489795918367346</v>
      </c>
      <c r="I7" s="90">
        <v>9</v>
      </c>
      <c r="K7" s="36">
        <v>5</v>
      </c>
      <c r="L7" s="95">
        <v>127.9</v>
      </c>
      <c r="N7" s="112" t="s">
        <v>135</v>
      </c>
      <c r="O7" s="119">
        <f t="shared" si="0"/>
        <v>-307.69230769230768</v>
      </c>
      <c r="P7" s="116">
        <v>13</v>
      </c>
      <c r="Q7" s="100">
        <v>-4000</v>
      </c>
    </row>
    <row r="8" spans="1:17" x14ac:dyDescent="0.4">
      <c r="A8" s="51" t="s">
        <v>3</v>
      </c>
      <c r="B8" s="44">
        <v>5</v>
      </c>
      <c r="C8" s="37">
        <f t="shared" si="1"/>
        <v>0.27777777777777779</v>
      </c>
      <c r="E8" s="59" t="s">
        <v>69</v>
      </c>
      <c r="F8" s="56" t="s">
        <v>24</v>
      </c>
      <c r="G8" s="44">
        <v>10</v>
      </c>
      <c r="H8" s="129">
        <f>IF(B$17=0,0,G8/B$17)</f>
        <v>0.20408163265306123</v>
      </c>
      <c r="I8" s="90">
        <v>3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6</v>
      </c>
      <c r="C9" s="38">
        <f t="shared" si="1"/>
        <v>0.33333333333333331</v>
      </c>
      <c r="E9" s="59" t="s">
        <v>65</v>
      </c>
      <c r="F9" s="56" t="s">
        <v>21</v>
      </c>
      <c r="G9" s="44">
        <v>6</v>
      </c>
      <c r="H9" s="129">
        <f>IF(B$17=0,0,G9/B$17)</f>
        <v>0.12244897959183673</v>
      </c>
      <c r="I9" s="90">
        <v>2</v>
      </c>
      <c r="K9" s="36">
        <v>7</v>
      </c>
      <c r="L9" s="95">
        <v>123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2</v>
      </c>
      <c r="C10" s="38">
        <f t="shared" si="1"/>
        <v>0.1111111111111111</v>
      </c>
      <c r="E10" s="59" t="s">
        <v>71</v>
      </c>
      <c r="F10" s="56" t="s">
        <v>26</v>
      </c>
      <c r="G10" s="44">
        <v>6</v>
      </c>
      <c r="H10" s="129">
        <f>IF(B$17=0,0,G10/B$17)</f>
        <v>0.12244897959183673</v>
      </c>
      <c r="I10" s="90">
        <v>2</v>
      </c>
      <c r="K10" s="36">
        <v>8</v>
      </c>
      <c r="L10" s="95">
        <v>124.6</v>
      </c>
      <c r="N10" s="110" t="s">
        <v>162</v>
      </c>
      <c r="O10" s="120">
        <f>IF(P10=0,0,Q10/P10)</f>
        <v>-3.8874999999999997</v>
      </c>
      <c r="P10" s="114">
        <v>8</v>
      </c>
      <c r="Q10" s="102">
        <v>-31.099999999999998</v>
      </c>
    </row>
    <row r="11" spans="1:17" x14ac:dyDescent="0.4">
      <c r="A11" s="52" t="s">
        <v>138</v>
      </c>
      <c r="B11" s="45">
        <v>2</v>
      </c>
      <c r="C11" s="38">
        <f t="shared" si="1"/>
        <v>0.1111111111111111</v>
      </c>
      <c r="E11" s="59" t="s">
        <v>70</v>
      </c>
      <c r="F11" s="56" t="s">
        <v>25</v>
      </c>
      <c r="G11" s="44">
        <v>5</v>
      </c>
      <c r="H11" s="129">
        <f>IF(B$17=0,0,G11/B$17)</f>
        <v>0.10204081632653061</v>
      </c>
      <c r="I11" s="90">
        <v>5</v>
      </c>
      <c r="K11" s="36">
        <v>9</v>
      </c>
      <c r="L11" s="95">
        <v>141.5</v>
      </c>
      <c r="N11" s="111" t="s">
        <v>163</v>
      </c>
      <c r="O11" s="121">
        <f>IF(P11=0,0,Q11/P11)</f>
        <v>11.699999999999998</v>
      </c>
      <c r="P11" s="115">
        <v>3</v>
      </c>
      <c r="Q11" s="103">
        <v>35.099999999999994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89</v>
      </c>
      <c r="F12" s="56" t="s">
        <v>44</v>
      </c>
      <c r="G12" s="44">
        <v>4</v>
      </c>
      <c r="H12" s="129">
        <f>IF(B$17=0,0,G12/B$17)</f>
        <v>8.1632653061224483E-2</v>
      </c>
      <c r="I12" s="90">
        <v>10</v>
      </c>
      <c r="K12" s="36">
        <v>10</v>
      </c>
      <c r="L12" s="95">
        <v>162.80000000000001</v>
      </c>
      <c r="N12" s="112" t="s">
        <v>164</v>
      </c>
      <c r="O12" s="122">
        <f>IF(P12=0,0,Q12/P12)</f>
        <v>2.9571428571428564</v>
      </c>
      <c r="P12" s="116">
        <v>7</v>
      </c>
      <c r="Q12" s="104">
        <v>20.699999999999996</v>
      </c>
    </row>
    <row r="13" spans="1:17" x14ac:dyDescent="0.4">
      <c r="A13" s="54" t="s">
        <v>121</v>
      </c>
      <c r="B13" s="47">
        <v>46</v>
      </c>
      <c r="C13" s="42">
        <f>IF(B$3=0,0,B13/B$3)</f>
        <v>0.27380952380952384</v>
      </c>
      <c r="E13" s="59" t="s">
        <v>86</v>
      </c>
      <c r="F13" s="56" t="s">
        <v>41</v>
      </c>
      <c r="G13" s="44">
        <v>2</v>
      </c>
      <c r="H13" s="129">
        <f>IF(B$17=0,0,G13/B$17)</f>
        <v>4.0816326530612242E-2</v>
      </c>
      <c r="I13" s="90">
        <v>7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23</v>
      </c>
      <c r="C14" s="37">
        <f>IF(B$3=0,0,B14/B$3)</f>
        <v>0.13690476190476192</v>
      </c>
      <c r="E14" s="59" t="s">
        <v>75</v>
      </c>
      <c r="F14" s="56" t="s">
        <v>30</v>
      </c>
      <c r="G14" s="44">
        <v>1</v>
      </c>
      <c r="H14" s="129">
        <f>IF(B$17=0,0,G14/B$17)</f>
        <v>2.0408163265306121E-2</v>
      </c>
      <c r="I14" s="90">
        <v>1</v>
      </c>
      <c r="K14" s="36">
        <v>12</v>
      </c>
      <c r="L14" s="95">
        <v>78.100000000000009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29</v>
      </c>
      <c r="C15" s="35">
        <f>IF(B$13=0,0,B15/B$13)</f>
        <v>0.63043478260869568</v>
      </c>
      <c r="E15" s="59" t="s">
        <v>78</v>
      </c>
      <c r="F15" s="56" t="s">
        <v>33</v>
      </c>
      <c r="G15" s="44">
        <v>1</v>
      </c>
      <c r="H15" s="129">
        <f>IF(B$17=0,0,G15/B$17)</f>
        <v>2.0408163265306121E-2</v>
      </c>
      <c r="I15" s="90">
        <v>5</v>
      </c>
      <c r="K15" s="36">
        <v>13</v>
      </c>
      <c r="L15" s="95">
        <v>76.7</v>
      </c>
      <c r="N15" s="110" t="s">
        <v>182</v>
      </c>
      <c r="O15" s="120">
        <f t="shared" ref="O15:O22" si="2">IF(P15=0,0,Q15/P15)</f>
        <v>52.525000000000006</v>
      </c>
      <c r="P15" s="114">
        <v>4</v>
      </c>
      <c r="Q15" s="102">
        <v>210.10000000000002</v>
      </c>
    </row>
    <row r="16" spans="1:17" x14ac:dyDescent="0.4">
      <c r="A16" s="50" t="s">
        <v>124</v>
      </c>
      <c r="B16" s="43">
        <v>8</v>
      </c>
      <c r="C16" s="35">
        <f>IF(B$14=0,0,B16/B$14)</f>
        <v>0.34782608695652173</v>
      </c>
      <c r="E16" s="59" t="s">
        <v>81</v>
      </c>
      <c r="F16" s="56" t="s">
        <v>36</v>
      </c>
      <c r="G16" s="44">
        <v>1</v>
      </c>
      <c r="H16" s="129">
        <f>IF(B$17=0,0,G16/B$17)</f>
        <v>2.0408163265306121E-2</v>
      </c>
      <c r="I16" s="90">
        <v>6</v>
      </c>
      <c r="K16" s="36">
        <v>14</v>
      </c>
      <c r="L16" s="95">
        <v>49.900000000000006</v>
      </c>
      <c r="N16" s="111" t="s">
        <v>177</v>
      </c>
      <c r="O16" s="121">
        <f t="shared" si="2"/>
        <v>28.342857142857145</v>
      </c>
      <c r="P16" s="115">
        <v>7</v>
      </c>
      <c r="Q16" s="103">
        <v>198.4</v>
      </c>
    </row>
    <row r="17" spans="1:17" x14ac:dyDescent="0.4">
      <c r="A17" s="50" t="s">
        <v>10</v>
      </c>
      <c r="B17" s="43">
        <f>B19+B18</f>
        <v>49</v>
      </c>
      <c r="C17" s="35">
        <f>IF(B$3=0,0,B17/B$3)</f>
        <v>0.29166666666666669</v>
      </c>
      <c r="E17" s="59" t="s">
        <v>85</v>
      </c>
      <c r="F17" s="56" t="s">
        <v>40</v>
      </c>
      <c r="G17" s="44">
        <v>1</v>
      </c>
      <c r="H17" s="129">
        <f>IF(B$17=0,0,G17/B$17)</f>
        <v>2.0408163265306121E-2</v>
      </c>
      <c r="I17" s="90">
        <v>1</v>
      </c>
      <c r="K17" s="36">
        <v>15</v>
      </c>
      <c r="L17" s="95">
        <v>73.7</v>
      </c>
      <c r="N17" s="111" t="s">
        <v>166</v>
      </c>
      <c r="O17" s="121">
        <f t="shared" si="2"/>
        <v>5.0400000000000009</v>
      </c>
      <c r="P17" s="115">
        <v>5</v>
      </c>
      <c r="Q17" s="103">
        <v>25.200000000000003</v>
      </c>
    </row>
    <row r="18" spans="1:17" x14ac:dyDescent="0.4">
      <c r="A18" s="51" t="s">
        <v>12</v>
      </c>
      <c r="B18" s="44">
        <v>27</v>
      </c>
      <c r="C18" s="37">
        <f>IF(B$17=0,0,B18/B$17)</f>
        <v>0.55102040816326525</v>
      </c>
      <c r="E18" s="59" t="s">
        <v>87</v>
      </c>
      <c r="F18" s="56" t="s">
        <v>42</v>
      </c>
      <c r="G18" s="44">
        <v>1</v>
      </c>
      <c r="H18" s="129">
        <f>IF(B$17=0,0,G18/B$17)</f>
        <v>2.0408163265306121E-2</v>
      </c>
      <c r="I18" s="90">
        <v>1</v>
      </c>
      <c r="K18" s="36">
        <v>16</v>
      </c>
      <c r="L18" s="95">
        <v>28.300000000000004</v>
      </c>
      <c r="N18" s="111" t="s">
        <v>179</v>
      </c>
      <c r="O18" s="121">
        <f t="shared" si="2"/>
        <v>-3.7285714285714278</v>
      </c>
      <c r="P18" s="115">
        <v>7</v>
      </c>
      <c r="Q18" s="103">
        <v>-26.099999999999994</v>
      </c>
    </row>
    <row r="19" spans="1:17" x14ac:dyDescent="0.4">
      <c r="A19" s="51" t="s">
        <v>11</v>
      </c>
      <c r="B19" s="44">
        <v>22</v>
      </c>
      <c r="C19" s="37">
        <f>IF(B$17=0,0,B19/B$17)</f>
        <v>0.44897959183673469</v>
      </c>
      <c r="E19" s="59" t="s">
        <v>167</v>
      </c>
      <c r="F19" s="56" t="s">
        <v>168</v>
      </c>
      <c r="G19" s="44">
        <v>1</v>
      </c>
      <c r="H19" s="129">
        <f>IF(B$17=0,0,G19/B$17)</f>
        <v>2.0408163265306121E-2</v>
      </c>
      <c r="I19" s="90">
        <v>6</v>
      </c>
      <c r="K19" s="36">
        <v>17</v>
      </c>
      <c r="L19" s="95">
        <v>49.800000000000004</v>
      </c>
      <c r="N19" s="111" t="s">
        <v>178</v>
      </c>
      <c r="O19" s="121">
        <f t="shared" si="2"/>
        <v>-5.7000000000000011</v>
      </c>
      <c r="P19" s="115">
        <v>5</v>
      </c>
      <c r="Q19" s="103">
        <v>-28.500000000000004</v>
      </c>
    </row>
    <row r="20" spans="1:17" x14ac:dyDescent="0.4">
      <c r="A20" s="51" t="s">
        <v>13</v>
      </c>
      <c r="B20" s="44">
        <v>21</v>
      </c>
      <c r="C20" s="37">
        <f>IF(B$3=0,0,B20/B$3)</f>
        <v>0.125</v>
      </c>
      <c r="E20" s="59" t="s">
        <v>73</v>
      </c>
      <c r="F20" s="56" t="s">
        <v>28</v>
      </c>
      <c r="G20" s="44">
        <v>0</v>
      </c>
      <c r="H20" s="129">
        <f>IF(B$17=0,0,G20/B$17)</f>
        <v>0</v>
      </c>
      <c r="I20" s="90">
        <v>4</v>
      </c>
      <c r="K20" s="36">
        <v>18</v>
      </c>
      <c r="L20" s="95">
        <v>24.700000000000003</v>
      </c>
      <c r="N20" s="111" t="s">
        <v>195</v>
      </c>
      <c r="O20" s="121">
        <f t="shared" si="2"/>
        <v>-17.850000000000001</v>
      </c>
      <c r="P20" s="115">
        <v>2</v>
      </c>
      <c r="Q20" s="103">
        <v>-35.700000000000003</v>
      </c>
    </row>
    <row r="21" spans="1:17" x14ac:dyDescent="0.4">
      <c r="A21" s="51" t="s">
        <v>169</v>
      </c>
      <c r="B21" s="44">
        <v>3</v>
      </c>
      <c r="C21" s="131">
        <v>0</v>
      </c>
      <c r="E21" s="59" t="s">
        <v>74</v>
      </c>
      <c r="F21" s="56" t="s">
        <v>29</v>
      </c>
      <c r="G21" s="44">
        <v>0</v>
      </c>
      <c r="H21" s="129">
        <f>IF(B$17=0,0,G21/B$17)</f>
        <v>0</v>
      </c>
      <c r="I21" s="90">
        <v>7</v>
      </c>
      <c r="N21" s="111" t="s">
        <v>127</v>
      </c>
      <c r="O21" s="121">
        <f t="shared" si="2"/>
        <v>-19.850000000000001</v>
      </c>
      <c r="P21" s="115">
        <v>2</v>
      </c>
      <c r="Q21" s="103">
        <v>-39.700000000000003</v>
      </c>
    </row>
    <row r="22" spans="1:17" x14ac:dyDescent="0.4">
      <c r="A22" s="51" t="s">
        <v>170</v>
      </c>
      <c r="B22" s="44">
        <v>19</v>
      </c>
      <c r="C22" s="131">
        <v>4</v>
      </c>
      <c r="E22" s="59" t="s">
        <v>76</v>
      </c>
      <c r="F22" s="56" t="s">
        <v>31</v>
      </c>
      <c r="G22" s="44">
        <v>0</v>
      </c>
      <c r="H22" s="129">
        <f>IF(B$17=0,0,G22/B$17)</f>
        <v>0</v>
      </c>
      <c r="I22" s="90">
        <v>1</v>
      </c>
      <c r="N22" s="111" t="s">
        <v>126</v>
      </c>
      <c r="O22" s="121">
        <f t="shared" si="2"/>
        <v>-57.4</v>
      </c>
      <c r="P22" s="115">
        <v>4</v>
      </c>
      <c r="Q22" s="103">
        <v>-229.6</v>
      </c>
    </row>
    <row r="23" spans="1:17" x14ac:dyDescent="0.4">
      <c r="A23" s="51" t="s">
        <v>5</v>
      </c>
      <c r="B23" s="48">
        <f>IF(B$17=0,0,C23/B$17)</f>
        <v>7440.8163265306121</v>
      </c>
      <c r="C23" s="39">
        <v>364600</v>
      </c>
      <c r="E23" s="59" t="s">
        <v>77</v>
      </c>
      <c r="F23" s="56" t="s">
        <v>32</v>
      </c>
      <c r="G23" s="44">
        <v>0</v>
      </c>
      <c r="H23" s="129">
        <f>IF(B$17=0,0,G23/B$17)</f>
        <v>0</v>
      </c>
      <c r="I23" s="90">
        <v>4</v>
      </c>
    </row>
    <row r="24" spans="1:17" x14ac:dyDescent="0.4">
      <c r="A24" s="52" t="s">
        <v>216</v>
      </c>
      <c r="B24" s="136">
        <f>IF($B$17-B$16=0,0,C24/($B$17-B$16))</f>
        <v>7592.6829268292686</v>
      </c>
      <c r="C24" s="137">
        <v>311300</v>
      </c>
      <c r="E24" s="59" t="s">
        <v>79</v>
      </c>
      <c r="F24" s="56" t="s">
        <v>34</v>
      </c>
      <c r="G24" s="44">
        <v>0</v>
      </c>
      <c r="H24" s="129">
        <f>IF(B$17=0,0,G24/B$17)</f>
        <v>0</v>
      </c>
      <c r="I24" s="90">
        <v>7</v>
      </c>
    </row>
    <row r="25" spans="1:17" x14ac:dyDescent="0.4">
      <c r="A25" s="52" t="s">
        <v>217</v>
      </c>
      <c r="B25" s="136">
        <f>IF(B$16=0,0,C25/B$16)</f>
        <v>6662.5</v>
      </c>
      <c r="C25" s="137">
        <v>53300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</row>
    <row r="26" spans="1:17" x14ac:dyDescent="0.4">
      <c r="A26" s="52" t="s">
        <v>215</v>
      </c>
      <c r="B26" s="136">
        <f>IF(B$20=0,0,C26/B$20)</f>
        <v>-6885.7142857142853</v>
      </c>
      <c r="C26" s="137">
        <v>-144600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</row>
    <row r="27" spans="1:17" x14ac:dyDescent="0.4">
      <c r="A27" s="86" t="s">
        <v>140</v>
      </c>
      <c r="B27" s="142">
        <v>7</v>
      </c>
      <c r="C27" s="143"/>
      <c r="E27" s="59" t="s">
        <v>83</v>
      </c>
      <c r="F27" s="56" t="s">
        <v>38</v>
      </c>
      <c r="G27" s="44">
        <v>0</v>
      </c>
      <c r="H27" s="129">
        <f>IF(B$17=0,0,G27/B$17)</f>
        <v>0</v>
      </c>
      <c r="I27" s="90">
        <v>11</v>
      </c>
    </row>
    <row r="28" spans="1:17" x14ac:dyDescent="0.4">
      <c r="A28" s="54" t="s">
        <v>150</v>
      </c>
      <c r="B28" s="140">
        <v>95200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5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8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4</v>
      </c>
    </row>
    <row r="34" spans="5:9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5:9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</row>
    <row r="36" spans="5:9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</row>
    <row r="41" spans="5:9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</row>
    <row r="42" spans="5:9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55A7E-A4E6-4C4A-9953-6A7A7A3E5919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195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7</v>
      </c>
      <c r="C2" s="149"/>
      <c r="E2" s="58" t="s">
        <v>66</v>
      </c>
      <c r="F2" s="55" t="s">
        <v>22</v>
      </c>
      <c r="G2" s="43">
        <v>11</v>
      </c>
      <c r="H2" s="128">
        <f>IF(B$17=0,0,G2/B$17)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0">
        <v>62</v>
      </c>
      <c r="C3" s="151"/>
      <c r="E3" s="59" t="s">
        <v>64</v>
      </c>
      <c r="F3" s="56" t="s">
        <v>20</v>
      </c>
      <c r="G3" s="44">
        <v>8</v>
      </c>
      <c r="H3" s="129">
        <f>IF(B$17=0,0,G3/B$17)</f>
        <v>0.53333333333333333</v>
      </c>
      <c r="I3" s="90">
        <v>3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2">
        <v>-104.80000000000001</v>
      </c>
      <c r="C4" s="153"/>
      <c r="E4" s="59" t="s">
        <v>67</v>
      </c>
      <c r="F4" s="56" t="s">
        <v>23</v>
      </c>
      <c r="G4" s="44">
        <v>7</v>
      </c>
      <c r="H4" s="129">
        <f>IF(B$17=0,0,G4/B$17)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54">
        <f>IF(B$2=0,0,B$4/B$2)</f>
        <v>-14.971428571428573</v>
      </c>
      <c r="C5" s="155"/>
      <c r="E5" s="59" t="s">
        <v>72</v>
      </c>
      <c r="F5" s="56" t="s">
        <v>27</v>
      </c>
      <c r="G5" s="44">
        <v>7</v>
      </c>
      <c r="H5" s="129">
        <f>IF(B$17=0,0,G5/B$17)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44">
        <f>IF(B$2=0,0,(B$7*1+B$8*2+B$9*3)/B$2)</f>
        <v>2.1428571428571428</v>
      </c>
      <c r="C6" s="145"/>
      <c r="E6" s="59" t="s">
        <v>171</v>
      </c>
      <c r="F6" s="56" t="s">
        <v>172</v>
      </c>
      <c r="G6" s="44">
        <v>5</v>
      </c>
      <c r="H6" s="129">
        <f>IF(B$17=0,0,G6/B$17)</f>
        <v>0.33333333333333331</v>
      </c>
      <c r="I6" s="90">
        <v>8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IF(B$17=0,0,G7/B$17)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IF(B$17=0,0,G8/B$17)</f>
        <v>0.2</v>
      </c>
      <c r="I8" s="90">
        <v>11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IF(B$17=0,0,G9/B$17)</f>
        <v>0.13333333333333333</v>
      </c>
      <c r="I9" s="90">
        <v>6</v>
      </c>
      <c r="K9" s="36">
        <v>7</v>
      </c>
      <c r="L9" s="95">
        <v>-104.80000000000001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IF(B$17=0,0,G10/B$17)</f>
        <v>6.6666666666666666E-2</v>
      </c>
      <c r="I10" s="90">
        <v>10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1</v>
      </c>
      <c r="C11" s="38">
        <f t="shared" si="1"/>
        <v>0.14285714285714285</v>
      </c>
      <c r="E11" s="59" t="s">
        <v>70</v>
      </c>
      <c r="F11" s="56" t="s">
        <v>25</v>
      </c>
      <c r="G11" s="44">
        <v>1</v>
      </c>
      <c r="H11" s="129">
        <f>IF(B$17=0,0,G11/B$17)</f>
        <v>6.6666666666666666E-2</v>
      </c>
      <c r="I11" s="90">
        <v>10</v>
      </c>
      <c r="N11" s="111" t="s">
        <v>163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71</v>
      </c>
      <c r="F12" s="56" t="s">
        <v>26</v>
      </c>
      <c r="G12" s="44">
        <v>1</v>
      </c>
      <c r="H12" s="129">
        <f>IF(B$17=0,0,G12/B$17)</f>
        <v>6.6666666666666666E-2</v>
      </c>
      <c r="I12" s="90">
        <v>9</v>
      </c>
      <c r="N12" s="112" t="s">
        <v>164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4" t="s">
        <v>121</v>
      </c>
      <c r="B13" s="47">
        <v>15</v>
      </c>
      <c r="C13" s="42">
        <f>IF(B$3=0,0,B13/B$3)</f>
        <v>0.24193548387096775</v>
      </c>
      <c r="E13" s="59" t="s">
        <v>79</v>
      </c>
      <c r="F13" s="56" t="s">
        <v>34</v>
      </c>
      <c r="G13" s="44">
        <v>1</v>
      </c>
      <c r="H13" s="129">
        <f>IF(B$17=0,0,G13/B$17)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0.35483870967741937</v>
      </c>
      <c r="E14" s="59" t="s">
        <v>83</v>
      </c>
      <c r="F14" s="56" t="s">
        <v>38</v>
      </c>
      <c r="G14" s="44">
        <v>1</v>
      </c>
      <c r="H14" s="129">
        <f>IF(B$17=0,0,G14/B$17)</f>
        <v>6.6666666666666666E-2</v>
      </c>
      <c r="I14" s="90">
        <v>4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</v>
      </c>
      <c r="C15" s="35">
        <f>IF(B$13=0,0,B15/B$13)</f>
        <v>0.53333333333333333</v>
      </c>
      <c r="E15" s="59" t="s">
        <v>86</v>
      </c>
      <c r="F15" s="56" t="s">
        <v>41</v>
      </c>
      <c r="G15" s="44">
        <v>1</v>
      </c>
      <c r="H15" s="129">
        <f>IF(B$17=0,0,G15/B$17)</f>
        <v>6.6666666666666666E-2</v>
      </c>
      <c r="I15" s="90">
        <v>3</v>
      </c>
      <c r="N15" s="110" t="s">
        <v>182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">
      <c r="A16" s="50" t="s">
        <v>124</v>
      </c>
      <c r="B16" s="43">
        <v>6</v>
      </c>
      <c r="C16" s="35">
        <f>IF(B$14=0,0,B16/B$14)</f>
        <v>0.27272727272727271</v>
      </c>
      <c r="E16" s="59" t="s">
        <v>73</v>
      </c>
      <c r="F16" s="56" t="s">
        <v>28</v>
      </c>
      <c r="G16" s="44">
        <v>0</v>
      </c>
      <c r="H16" s="129">
        <f>IF(B$17=0,0,G16/B$17)</f>
        <v>0</v>
      </c>
      <c r="I16" s="90">
        <v>4</v>
      </c>
      <c r="N16" s="111" t="s">
        <v>179</v>
      </c>
      <c r="O16" s="121">
        <f t="shared" si="2"/>
        <v>56.6</v>
      </c>
      <c r="P16" s="115">
        <v>1</v>
      </c>
      <c r="Q16" s="103">
        <v>56.6</v>
      </c>
    </row>
    <row r="17" spans="1:17" x14ac:dyDescent="0.4">
      <c r="A17" s="50" t="s">
        <v>10</v>
      </c>
      <c r="B17" s="43">
        <f>B19+B18</f>
        <v>15</v>
      </c>
      <c r="C17" s="35">
        <f>IF(B$3=0,0,B17/B$3)</f>
        <v>0.24193548387096775</v>
      </c>
      <c r="E17" s="59" t="s">
        <v>74</v>
      </c>
      <c r="F17" s="56" t="s">
        <v>29</v>
      </c>
      <c r="G17" s="44">
        <v>0</v>
      </c>
      <c r="H17" s="129">
        <f>IF(B$17=0,0,G17/B$17)</f>
        <v>0</v>
      </c>
      <c r="I17" s="90">
        <v>7</v>
      </c>
      <c r="N17" s="111" t="s">
        <v>181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">
      <c r="A18" s="51" t="s">
        <v>12</v>
      </c>
      <c r="B18" s="44">
        <v>5</v>
      </c>
      <c r="C18" s="37">
        <f>IF(B$17=0,0,B18/B$17)</f>
        <v>0.33333333333333331</v>
      </c>
      <c r="E18" s="59" t="s">
        <v>75</v>
      </c>
      <c r="F18" s="56" t="s">
        <v>30</v>
      </c>
      <c r="G18" s="44">
        <v>0</v>
      </c>
      <c r="H18" s="129">
        <f>IF(B$17=0,0,G18/B$17)</f>
        <v>0</v>
      </c>
      <c r="I18" s="90">
        <v>7</v>
      </c>
      <c r="N18" s="111" t="s">
        <v>178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11</v>
      </c>
      <c r="B19" s="44">
        <v>10</v>
      </c>
      <c r="C19" s="37">
        <f>IF(B$17=0,0,B19/B$17)</f>
        <v>0.66666666666666663</v>
      </c>
      <c r="E19" s="59" t="s">
        <v>76</v>
      </c>
      <c r="F19" s="56" t="s">
        <v>31</v>
      </c>
      <c r="G19" s="44">
        <v>0</v>
      </c>
      <c r="H19" s="129">
        <f>IF(B$17=0,0,G19/B$17)</f>
        <v>0</v>
      </c>
      <c r="I19" s="90">
        <v>1</v>
      </c>
      <c r="N19" s="111" t="s">
        <v>177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13</v>
      </c>
      <c r="B20" s="44">
        <v>12</v>
      </c>
      <c r="C20" s="37">
        <f>IF(B$3=0,0,B20/B$3)</f>
        <v>0.19354838709677419</v>
      </c>
      <c r="E20" s="59" t="s">
        <v>77</v>
      </c>
      <c r="F20" s="56" t="s">
        <v>32</v>
      </c>
      <c r="G20" s="44">
        <v>0</v>
      </c>
      <c r="H20" s="129">
        <f>IF(B$17=0,0,G20/B$17)</f>
        <v>0</v>
      </c>
      <c r="I20" s="90">
        <v>4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78</v>
      </c>
      <c r="F21" s="56" t="s">
        <v>33</v>
      </c>
      <c r="G21" s="44">
        <v>0</v>
      </c>
      <c r="H21" s="129">
        <f>IF(B$17=0,0,G21/B$17)</f>
        <v>0</v>
      </c>
      <c r="I21" s="90">
        <v>9</v>
      </c>
    </row>
    <row r="22" spans="1:17" x14ac:dyDescent="0.4">
      <c r="A22" s="51" t="s">
        <v>170</v>
      </c>
      <c r="B22" s="44">
        <v>13</v>
      </c>
      <c r="C22" s="131">
        <v>0</v>
      </c>
      <c r="E22" s="59" t="s">
        <v>80</v>
      </c>
      <c r="F22" s="56" t="s">
        <v>35</v>
      </c>
      <c r="G22" s="44">
        <v>0</v>
      </c>
      <c r="H22" s="129">
        <f>IF(B$17=0,0,G22/B$17)</f>
        <v>0</v>
      </c>
      <c r="I22" s="90">
        <v>1</v>
      </c>
    </row>
    <row r="23" spans="1:17" x14ac:dyDescent="0.4">
      <c r="A23" s="51" t="s">
        <v>5</v>
      </c>
      <c r="B23" s="48">
        <f>IF(B$17=0,0,C23/B$17)</f>
        <v>7473.333333333333</v>
      </c>
      <c r="C23" s="39">
        <v>112100</v>
      </c>
      <c r="E23" s="59" t="s">
        <v>81</v>
      </c>
      <c r="F23" s="56" t="s">
        <v>36</v>
      </c>
      <c r="G23" s="44">
        <v>0</v>
      </c>
      <c r="H23" s="129">
        <f>IF(B$17=0,0,G23/B$17)</f>
        <v>0</v>
      </c>
      <c r="I23" s="90">
        <v>10</v>
      </c>
    </row>
    <row r="24" spans="1:17" x14ac:dyDescent="0.4">
      <c r="A24" s="52" t="s">
        <v>216</v>
      </c>
      <c r="B24" s="136">
        <f>IF($B$17-B$16=0,0,C24/($B$17-B$16))</f>
        <v>7855.5555555555557</v>
      </c>
      <c r="C24" s="137">
        <v>70700</v>
      </c>
      <c r="E24" s="59" t="s">
        <v>82</v>
      </c>
      <c r="F24" s="56" t="s">
        <v>37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6900</v>
      </c>
      <c r="C25" s="137">
        <v>41400</v>
      </c>
      <c r="E25" s="59" t="s">
        <v>84</v>
      </c>
      <c r="F25" s="56" t="s">
        <v>39</v>
      </c>
      <c r="G25" s="44">
        <v>0</v>
      </c>
      <c r="H25" s="129">
        <f>IF(B$17=0,0,G25/B$17)</f>
        <v>0</v>
      </c>
      <c r="I25" s="90">
        <v>4</v>
      </c>
    </row>
    <row r="26" spans="1:17" x14ac:dyDescent="0.4">
      <c r="A26" s="52" t="s">
        <v>215</v>
      </c>
      <c r="B26" s="136">
        <f>IF(B$20=0,0,C26/B$20)</f>
        <v>-9075</v>
      </c>
      <c r="C26" s="137">
        <v>-108900</v>
      </c>
      <c r="E26" s="59" t="s">
        <v>85</v>
      </c>
      <c r="F26" s="56" t="s">
        <v>40</v>
      </c>
      <c r="G26" s="44">
        <v>0</v>
      </c>
      <c r="H26" s="129">
        <f>IF(B$17=0,0,G26/B$17)</f>
        <v>0</v>
      </c>
      <c r="I26" s="90">
        <v>6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59500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4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05C52-3EE3-49FD-86F5-8F450E38683A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222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</v>
      </c>
      <c r="C2" s="149"/>
      <c r="E2" s="58" t="s">
        <v>72</v>
      </c>
      <c r="F2" s="55" t="s">
        <v>27</v>
      </c>
      <c r="G2" s="43">
        <v>7</v>
      </c>
      <c r="H2" s="128">
        <f>IF(B$17=0,0,G2/B$17)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0">
        <v>15</v>
      </c>
      <c r="C3" s="151"/>
      <c r="E3" s="59" t="s">
        <v>66</v>
      </c>
      <c r="F3" s="56" t="s">
        <v>22</v>
      </c>
      <c r="G3" s="44">
        <v>3</v>
      </c>
      <c r="H3" s="129">
        <f>IF(B$17=0,0,G3/B$17)</f>
        <v>0.42857142857142855</v>
      </c>
      <c r="I3" s="90">
        <v>11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52">
        <v>26.2</v>
      </c>
      <c r="C4" s="153"/>
      <c r="E4" s="59" t="s">
        <v>67</v>
      </c>
      <c r="F4" s="56" t="s">
        <v>23</v>
      </c>
      <c r="G4" s="44">
        <v>3</v>
      </c>
      <c r="H4" s="129">
        <f>IF(B$17=0,0,G4/B$17)</f>
        <v>0.42857142857142855</v>
      </c>
      <c r="I4" s="90">
        <v>2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54">
        <f>IF(B$2=0,0,B$4/B$2)</f>
        <v>13.1</v>
      </c>
      <c r="C5" s="155"/>
      <c r="E5" s="59" t="s">
        <v>89</v>
      </c>
      <c r="F5" s="56" t="s">
        <v>44</v>
      </c>
      <c r="G5" s="44">
        <v>3</v>
      </c>
      <c r="H5" s="129">
        <f>IF(B$17=0,0,G5/B$17)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44">
        <f>IF(B$2=0,0,(B$7*1+B$8*2+B$9*3)/B$2)</f>
        <v>1.5</v>
      </c>
      <c r="C6" s="145"/>
      <c r="E6" s="59" t="s">
        <v>64</v>
      </c>
      <c r="F6" s="56" t="s">
        <v>20</v>
      </c>
      <c r="G6" s="44">
        <v>2</v>
      </c>
      <c r="H6" s="129">
        <f>IF(B$17=0,0,G6/B$17)</f>
        <v>0.2857142857142857</v>
      </c>
      <c r="I6" s="90">
        <v>10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2" si="1">IF(B$2=0,0,B7/B$2)</f>
        <v>0.5</v>
      </c>
      <c r="E7" s="59" t="s">
        <v>68</v>
      </c>
      <c r="F7" s="56" t="s">
        <v>12</v>
      </c>
      <c r="G7" s="44">
        <v>2</v>
      </c>
      <c r="H7" s="129">
        <f>IF(B$17=0,0,G7/B$17)</f>
        <v>0.2857142857142857</v>
      </c>
      <c r="I7" s="90">
        <v>9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IF(B$17=0,0,G8/B$17)</f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IF(B$17=0,0,G9/B$17)</f>
        <v>0.14285714285714285</v>
      </c>
      <c r="I9" s="90">
        <v>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1</v>
      </c>
      <c r="H10" s="129">
        <f>IF(B$17=0,0,G10/B$17)</f>
        <v>0.14285714285714285</v>
      </c>
      <c r="I10" s="90">
        <v>1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1"/>
        <v>0</v>
      </c>
      <c r="E11" s="59" t="s">
        <v>171</v>
      </c>
      <c r="F11" s="56" t="s">
        <v>172</v>
      </c>
      <c r="G11" s="44">
        <v>1</v>
      </c>
      <c r="H11" s="129">
        <f>IF(B$17=0,0,G11/B$17)</f>
        <v>0.14285714285714285</v>
      </c>
      <c r="I11" s="90">
        <v>11</v>
      </c>
      <c r="N11" s="111" t="s">
        <v>163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65</v>
      </c>
      <c r="F12" s="56" t="s">
        <v>21</v>
      </c>
      <c r="G12" s="44">
        <v>0</v>
      </c>
      <c r="H12" s="129">
        <f>IF(B$17=0,0,G12/B$17)</f>
        <v>0</v>
      </c>
      <c r="I12" s="90">
        <v>11</v>
      </c>
      <c r="N12" s="112" t="s">
        <v>164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4" t="s">
        <v>121</v>
      </c>
      <c r="B13" s="47">
        <v>4</v>
      </c>
      <c r="C13" s="42">
        <f>IF(B$3=0,0,B13/B$3)</f>
        <v>0.26666666666666666</v>
      </c>
      <c r="E13" s="59" t="s">
        <v>69</v>
      </c>
      <c r="F13" s="56" t="s">
        <v>24</v>
      </c>
      <c r="G13" s="44">
        <v>0</v>
      </c>
      <c r="H13" s="129">
        <f>IF(B$17=0,0,G13/B$17)</f>
        <v>0</v>
      </c>
      <c r="I13" s="90">
        <v>11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</v>
      </c>
      <c r="C14" s="37">
        <f>IF(B$3=0,0,B14/B$3)</f>
        <v>0.33333333333333331</v>
      </c>
      <c r="E14" s="59" t="s">
        <v>73</v>
      </c>
      <c r="F14" s="56" t="s">
        <v>28</v>
      </c>
      <c r="G14" s="44">
        <v>0</v>
      </c>
      <c r="H14" s="129">
        <f>IF(B$17=0,0,G14/B$17)</f>
        <v>0</v>
      </c>
      <c r="I14" s="90">
        <v>4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</v>
      </c>
      <c r="C15" s="35">
        <f>IF(B$13=0,0,B15/B$13)</f>
        <v>0.5</v>
      </c>
      <c r="E15" s="59" t="s">
        <v>74</v>
      </c>
      <c r="F15" s="56" t="s">
        <v>29</v>
      </c>
      <c r="G15" s="44">
        <v>0</v>
      </c>
      <c r="H15" s="129">
        <f>IF(B$17=0,0,G15/B$17)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0" t="s">
        <v>124</v>
      </c>
      <c r="B16" s="43">
        <v>5</v>
      </c>
      <c r="C16" s="35">
        <f>IF(B$14=0,0,B16/B$14)</f>
        <v>1</v>
      </c>
      <c r="E16" s="59" t="s">
        <v>75</v>
      </c>
      <c r="F16" s="56" t="s">
        <v>30</v>
      </c>
      <c r="G16" s="44">
        <v>0</v>
      </c>
      <c r="H16" s="129">
        <f>IF(B$17=0,0,G16/B$17)</f>
        <v>0</v>
      </c>
      <c r="I16" s="90">
        <v>7</v>
      </c>
      <c r="N16" s="111" t="s">
        <v>182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0" t="s">
        <v>10</v>
      </c>
      <c r="B17" s="43">
        <f>B19+B18</f>
        <v>7</v>
      </c>
      <c r="C17" s="35">
        <f>IF(B$3=0,0,B17/B$3)</f>
        <v>0.46666666666666667</v>
      </c>
      <c r="E17" s="59" t="s">
        <v>76</v>
      </c>
      <c r="F17" s="56" t="s">
        <v>31</v>
      </c>
      <c r="G17" s="44">
        <v>0</v>
      </c>
      <c r="H17" s="129">
        <f>IF(B$17=0,0,G17/B$17)</f>
        <v>0</v>
      </c>
      <c r="I17" s="90">
        <v>1</v>
      </c>
      <c r="N17" s="111" t="s">
        <v>178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1" t="s">
        <v>12</v>
      </c>
      <c r="B18" s="44">
        <v>2</v>
      </c>
      <c r="C18" s="37">
        <f>IF(B$17=0,0,B18/B$17)</f>
        <v>0.2857142857142857</v>
      </c>
      <c r="E18" s="59" t="s">
        <v>77</v>
      </c>
      <c r="F18" s="56" t="s">
        <v>32</v>
      </c>
      <c r="G18" s="44">
        <v>0</v>
      </c>
      <c r="H18" s="129">
        <f>IF(B$17=0,0,G18/B$17)</f>
        <v>0</v>
      </c>
      <c r="I18" s="90">
        <v>4</v>
      </c>
    </row>
    <row r="19" spans="1:17" x14ac:dyDescent="0.4">
      <c r="A19" s="51" t="s">
        <v>11</v>
      </c>
      <c r="B19" s="44">
        <v>5</v>
      </c>
      <c r="C19" s="37">
        <f>IF(B$17=0,0,B19/B$17)</f>
        <v>0.7142857142857143</v>
      </c>
      <c r="E19" s="59" t="s">
        <v>78</v>
      </c>
      <c r="F19" s="56" t="s">
        <v>33</v>
      </c>
      <c r="G19" s="44">
        <v>0</v>
      </c>
      <c r="H19" s="129">
        <f>IF(B$17=0,0,G19/B$17)</f>
        <v>0</v>
      </c>
      <c r="I19" s="90">
        <v>9</v>
      </c>
    </row>
    <row r="20" spans="1:17" x14ac:dyDescent="0.4">
      <c r="A20" s="51" t="s">
        <v>13</v>
      </c>
      <c r="B20" s="44">
        <v>1</v>
      </c>
      <c r="C20" s="37">
        <f>IF(B$3=0,0,B20/B$3)</f>
        <v>6.6666666666666666E-2</v>
      </c>
      <c r="E20" s="59" t="s">
        <v>79</v>
      </c>
      <c r="F20" s="56" t="s">
        <v>34</v>
      </c>
      <c r="G20" s="44">
        <v>0</v>
      </c>
      <c r="H20" s="129">
        <f>IF(B$17=0,0,G20/B$17)</f>
        <v>0</v>
      </c>
      <c r="I20" s="90">
        <v>7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80</v>
      </c>
      <c r="F21" s="56" t="s">
        <v>35</v>
      </c>
      <c r="G21" s="44">
        <v>0</v>
      </c>
      <c r="H21" s="129">
        <f>IF(B$17=0,0,G21/B$17)</f>
        <v>0</v>
      </c>
      <c r="I21" s="90">
        <v>1</v>
      </c>
    </row>
    <row r="22" spans="1:17" x14ac:dyDescent="0.4">
      <c r="A22" s="51" t="s">
        <v>170</v>
      </c>
      <c r="B22" s="44">
        <v>9</v>
      </c>
      <c r="C22" s="131">
        <v>5</v>
      </c>
      <c r="E22" s="59" t="s">
        <v>81</v>
      </c>
      <c r="F22" s="56" t="s">
        <v>36</v>
      </c>
      <c r="G22" s="44">
        <v>0</v>
      </c>
      <c r="H22" s="129">
        <f>IF(B$17=0,0,G22/B$17)</f>
        <v>0</v>
      </c>
      <c r="I22" s="90">
        <v>10</v>
      </c>
    </row>
    <row r="23" spans="1:17" x14ac:dyDescent="0.4">
      <c r="A23" s="51" t="s">
        <v>5</v>
      </c>
      <c r="B23" s="48">
        <f>IF(B$17=0,0,C23/B$17)</f>
        <v>7385.7142857142853</v>
      </c>
      <c r="C23" s="39">
        <v>51700</v>
      </c>
      <c r="E23" s="59" t="s">
        <v>82</v>
      </c>
      <c r="F23" s="56" t="s">
        <v>37</v>
      </c>
      <c r="G23" s="44">
        <v>0</v>
      </c>
      <c r="H23" s="129">
        <f>IF(B$17=0,0,G23/B$17)</f>
        <v>0</v>
      </c>
      <c r="I23" s="90">
        <v>1</v>
      </c>
    </row>
    <row r="24" spans="1:17" x14ac:dyDescent="0.4">
      <c r="A24" s="52" t="s">
        <v>216</v>
      </c>
      <c r="B24" s="136">
        <f>IF($B$17-B$16=0,0,C24/($B$17-B$16))</f>
        <v>8000</v>
      </c>
      <c r="C24" s="137">
        <v>16000</v>
      </c>
      <c r="E24" s="59" t="s">
        <v>84</v>
      </c>
      <c r="F24" s="56" t="s">
        <v>39</v>
      </c>
      <c r="G24" s="44">
        <v>0</v>
      </c>
      <c r="H24" s="129">
        <f>IF(B$17=0,0,G24/B$17)</f>
        <v>0</v>
      </c>
      <c r="I24" s="90">
        <v>4</v>
      </c>
    </row>
    <row r="25" spans="1:17" x14ac:dyDescent="0.4">
      <c r="A25" s="52" t="s">
        <v>217</v>
      </c>
      <c r="B25" s="136">
        <f>IF(B$16=0,0,C25/B$16)</f>
        <v>7140</v>
      </c>
      <c r="C25" s="137">
        <v>35700</v>
      </c>
      <c r="E25" s="59" t="s">
        <v>85</v>
      </c>
      <c r="F25" s="56" t="s">
        <v>40</v>
      </c>
      <c r="G25" s="44">
        <v>0</v>
      </c>
      <c r="H25" s="129">
        <f>IF(B$17=0,0,G25/B$17)</f>
        <v>0</v>
      </c>
      <c r="I25" s="90">
        <v>6</v>
      </c>
    </row>
    <row r="26" spans="1:17" x14ac:dyDescent="0.4">
      <c r="A26" s="52" t="s">
        <v>215</v>
      </c>
      <c r="B26" s="136">
        <f>IF(B$20=0,0,C26/B$20)</f>
        <v>-8000</v>
      </c>
      <c r="C26" s="137">
        <v>-8000</v>
      </c>
      <c r="E26" s="59" t="s">
        <v>86</v>
      </c>
      <c r="F26" s="56" t="s">
        <v>41</v>
      </c>
      <c r="G26" s="44">
        <v>0</v>
      </c>
      <c r="H26" s="129">
        <f>IF(B$17=0,0,G26/B$17)</f>
        <v>0</v>
      </c>
      <c r="I26" s="90">
        <v>11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52800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1</v>
      </c>
      <c r="C29" s="40">
        <f>IF(B$3=0,0,B29/B$3)</f>
        <v>6.6666666666666666E-2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4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8951-ECCB-4CA5-9744-13BBF88EC44F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222</v>
      </c>
      <c r="B1" s="66" t="s">
        <v>222</v>
      </c>
      <c r="C1" s="66" t="s">
        <v>222</v>
      </c>
      <c r="D1" s="67" t="s">
        <v>222</v>
      </c>
      <c r="E1" s="66" t="s">
        <v>222</v>
      </c>
      <c r="F1" s="66" t="s">
        <v>222</v>
      </c>
      <c r="G1" s="66" t="s">
        <v>222</v>
      </c>
      <c r="H1" s="66" t="s">
        <v>222</v>
      </c>
      <c r="I1" s="66" t="s">
        <v>222</v>
      </c>
      <c r="J1" s="66" t="s">
        <v>222</v>
      </c>
      <c r="K1" s="66" t="s">
        <v>222</v>
      </c>
      <c r="L1" s="66" t="s">
        <v>222</v>
      </c>
      <c r="M1" s="66" t="s">
        <v>222</v>
      </c>
      <c r="N1" s="66" t="s">
        <v>222</v>
      </c>
      <c r="O1" s="66" t="s">
        <v>222</v>
      </c>
      <c r="P1" s="66" t="s">
        <v>222</v>
      </c>
      <c r="Q1" s="66" t="s">
        <v>222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</v>
      </c>
      <c r="N4" s="63">
        <v>0.5</v>
      </c>
      <c r="O4" s="63">
        <v>0</v>
      </c>
      <c r="P4" s="63">
        <v>1</v>
      </c>
      <c r="Q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</v>
      </c>
      <c r="M5" s="63">
        <v>0.26666666666666666</v>
      </c>
      <c r="N5" s="63">
        <v>0.33333333333333331</v>
      </c>
      <c r="O5" s="63">
        <v>0.5</v>
      </c>
      <c r="P5" s="63">
        <v>1</v>
      </c>
      <c r="Q5" s="63">
        <v>0.2857142857142857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4C037-7879-4D0A-B7EB-DB6057C63977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195</v>
      </c>
      <c r="B1" s="66" t="s">
        <v>195</v>
      </c>
      <c r="C1" s="66" t="s">
        <v>195</v>
      </c>
      <c r="D1" s="67" t="s">
        <v>195</v>
      </c>
      <c r="E1" s="66" t="s">
        <v>195</v>
      </c>
      <c r="F1" s="66" t="s">
        <v>195</v>
      </c>
      <c r="G1" s="66" t="s">
        <v>195</v>
      </c>
      <c r="H1" s="66" t="s">
        <v>195</v>
      </c>
      <c r="I1" s="66" t="s">
        <v>195</v>
      </c>
      <c r="J1" s="66" t="s">
        <v>195</v>
      </c>
      <c r="K1" s="66" t="s">
        <v>195</v>
      </c>
      <c r="L1" s="66" t="s">
        <v>195</v>
      </c>
      <c r="M1" s="66" t="s">
        <v>195</v>
      </c>
      <c r="N1" s="66" t="s">
        <v>195</v>
      </c>
      <c r="O1" s="66" t="s">
        <v>195</v>
      </c>
      <c r="P1" s="66" t="s">
        <v>195</v>
      </c>
      <c r="Q1" s="66" t="s">
        <v>195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</v>
      </c>
      <c r="M4" s="63">
        <v>0.27272727272727271</v>
      </c>
      <c r="N4" s="63">
        <v>0.36363636363636365</v>
      </c>
      <c r="O4" s="63">
        <v>0.33333333333333331</v>
      </c>
      <c r="P4" s="63">
        <v>0</v>
      </c>
      <c r="Q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</v>
      </c>
      <c r="M5" s="63">
        <v>0.27777777777777779</v>
      </c>
      <c r="N5" s="63">
        <v>0.33333333333333331</v>
      </c>
      <c r="O5" s="63">
        <v>0.4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</v>
      </c>
      <c r="M6" s="63">
        <v>0.27586206896551724</v>
      </c>
      <c r="N6" s="63">
        <v>0.34482758620689657</v>
      </c>
      <c r="O6" s="63">
        <v>0.375</v>
      </c>
      <c r="P6" s="63">
        <v>0.2</v>
      </c>
      <c r="Q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0.25</v>
      </c>
      <c r="M7" s="63">
        <v>0.27500000000000002</v>
      </c>
      <c r="N7" s="63">
        <v>0.35</v>
      </c>
      <c r="O7" s="63">
        <v>0.45454545454545453</v>
      </c>
      <c r="P7" s="63">
        <v>0.2857142857142857</v>
      </c>
      <c r="Q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</v>
      </c>
      <c r="M8" s="63">
        <v>0.27083333333333331</v>
      </c>
      <c r="N8" s="63">
        <v>0.375</v>
      </c>
      <c r="O8" s="63">
        <v>0.53846153846153844</v>
      </c>
      <c r="P8" s="63">
        <v>0.33333333333333331</v>
      </c>
      <c r="Q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0.16666666666666666</v>
      </c>
      <c r="M9" s="63">
        <v>0.23636363636363636</v>
      </c>
      <c r="N9" s="63">
        <v>0.38181818181818183</v>
      </c>
      <c r="O9" s="63">
        <v>0.53846153846153844</v>
      </c>
      <c r="P9" s="63">
        <v>0.2857142857142857</v>
      </c>
      <c r="Q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0.14285714285714285</v>
      </c>
      <c r="M10" s="63">
        <v>0.24193548387096775</v>
      </c>
      <c r="N10" s="63">
        <v>0.35483870967741937</v>
      </c>
      <c r="O10" s="63">
        <v>0.53333333333333333</v>
      </c>
      <c r="P10" s="63">
        <v>0.27272727272727271</v>
      </c>
      <c r="Q10" s="63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EE9AC-1E1A-4D90-904E-AF9E27AF6EE7}">
  <sheetPr codeName="Sheet22"/>
  <dimension ref="A1:Q21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181</v>
      </c>
      <c r="B1" s="66" t="s">
        <v>181</v>
      </c>
      <c r="C1" s="66" t="s">
        <v>181</v>
      </c>
      <c r="D1" s="67" t="s">
        <v>181</v>
      </c>
      <c r="E1" s="66" t="s">
        <v>181</v>
      </c>
      <c r="F1" s="66" t="s">
        <v>181</v>
      </c>
      <c r="G1" s="66" t="s">
        <v>181</v>
      </c>
      <c r="H1" s="66" t="s">
        <v>181</v>
      </c>
      <c r="I1" s="66" t="s">
        <v>181</v>
      </c>
      <c r="J1" s="66" t="s">
        <v>181</v>
      </c>
      <c r="K1" s="66" t="s">
        <v>181</v>
      </c>
      <c r="L1" s="66" t="s">
        <v>181</v>
      </c>
      <c r="M1" s="66" t="s">
        <v>181</v>
      </c>
      <c r="N1" s="66" t="s">
        <v>181</v>
      </c>
      <c r="O1" s="66" t="s">
        <v>181</v>
      </c>
      <c r="P1" s="66" t="s">
        <v>181</v>
      </c>
      <c r="Q1" s="66" t="s">
        <v>181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1</v>
      </c>
      <c r="M4" s="63">
        <v>0.44444444444444442</v>
      </c>
      <c r="N4" s="63">
        <v>0</v>
      </c>
      <c r="O4" s="63">
        <v>0.75</v>
      </c>
      <c r="P4" s="63">
        <v>0</v>
      </c>
      <c r="Q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0.5</v>
      </c>
      <c r="M5" s="63">
        <v>0.375</v>
      </c>
      <c r="N5" s="63">
        <v>0</v>
      </c>
      <c r="O5" s="63">
        <v>0.83333333333333337</v>
      </c>
      <c r="P5" s="63">
        <v>0</v>
      </c>
      <c r="Q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0.33333333333333331</v>
      </c>
      <c r="M6" s="63">
        <v>0.39130434782608697</v>
      </c>
      <c r="N6" s="63">
        <v>4.3478260869565216E-2</v>
      </c>
      <c r="O6" s="63">
        <v>0.77777777777777779</v>
      </c>
      <c r="P6" s="63">
        <v>0</v>
      </c>
      <c r="Q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0.5</v>
      </c>
      <c r="M7" s="63">
        <v>0.36363636363636365</v>
      </c>
      <c r="N7" s="63">
        <v>6.0606060606060608E-2</v>
      </c>
      <c r="O7" s="63">
        <v>0.83333333333333337</v>
      </c>
      <c r="P7" s="63">
        <v>0.5</v>
      </c>
      <c r="Q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0.4</v>
      </c>
      <c r="M8" s="63">
        <v>0.36363636363636365</v>
      </c>
      <c r="N8" s="63">
        <v>9.0909090909090912E-2</v>
      </c>
      <c r="O8" s="63">
        <v>0.6875</v>
      </c>
      <c r="P8" s="63">
        <v>0.25</v>
      </c>
      <c r="Q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0.33333333333333331</v>
      </c>
      <c r="M9" s="63">
        <v>0.37735849056603776</v>
      </c>
      <c r="N9" s="63">
        <v>0.11320754716981132</v>
      </c>
      <c r="O9" s="63">
        <v>0.75</v>
      </c>
      <c r="P9" s="63">
        <v>0.16666666666666666</v>
      </c>
      <c r="Q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0.2857142857142857</v>
      </c>
      <c r="M10" s="63">
        <v>0.359375</v>
      </c>
      <c r="N10" s="63">
        <v>0.109375</v>
      </c>
      <c r="O10" s="63">
        <v>0.65217391304347827</v>
      </c>
      <c r="P10" s="63">
        <v>0.2857142857142857</v>
      </c>
      <c r="Q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0.25</v>
      </c>
      <c r="M11" s="63">
        <v>0.32432432432432434</v>
      </c>
      <c r="N11" s="63">
        <v>0.13513513513513514</v>
      </c>
      <c r="O11" s="63">
        <v>0.66666666666666663</v>
      </c>
      <c r="P11" s="63">
        <v>0.3</v>
      </c>
      <c r="Q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0.22222222222222221</v>
      </c>
      <c r="M12" s="63">
        <v>0.29069767441860467</v>
      </c>
      <c r="N12" s="63">
        <v>0.15116279069767441</v>
      </c>
      <c r="O12" s="63">
        <v>0.68</v>
      </c>
      <c r="P12" s="63">
        <v>0.30769230769230771</v>
      </c>
      <c r="Q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0.2</v>
      </c>
      <c r="M13" s="63">
        <v>0.31182795698924731</v>
      </c>
      <c r="N13" s="63">
        <v>0.15053763440860216</v>
      </c>
      <c r="O13" s="63">
        <v>0.65517241379310343</v>
      </c>
      <c r="P13" s="63">
        <v>0.35714285714285715</v>
      </c>
      <c r="Q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0.18181818181818182</v>
      </c>
      <c r="M14" s="63">
        <v>0.29126213592233008</v>
      </c>
      <c r="N14" s="63">
        <v>0.14563106796116504</v>
      </c>
      <c r="O14" s="63">
        <v>0.66666666666666663</v>
      </c>
      <c r="P14" s="63">
        <v>0.33333333333333331</v>
      </c>
      <c r="Q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0.16666666666666666</v>
      </c>
      <c r="M15" s="63">
        <v>0.26724137931034481</v>
      </c>
      <c r="N15" s="63">
        <v>0.13793103448275862</v>
      </c>
      <c r="O15" s="63">
        <v>0.67741935483870963</v>
      </c>
      <c r="P15" s="63">
        <v>0.3125</v>
      </c>
      <c r="Q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0.15384615384615385</v>
      </c>
      <c r="M16" s="63">
        <v>0.26984126984126983</v>
      </c>
      <c r="N16" s="63">
        <v>0.15079365079365079</v>
      </c>
      <c r="O16" s="63">
        <v>0.67647058823529416</v>
      </c>
      <c r="P16" s="63">
        <v>0.31578947368421051</v>
      </c>
      <c r="Q16" s="63">
        <v>0.5</v>
      </c>
    </row>
    <row r="17" spans="1:17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0.14285714285714285</v>
      </c>
      <c r="M17" s="63">
        <v>0.28169014084507044</v>
      </c>
      <c r="N17" s="63">
        <v>0.15492957746478872</v>
      </c>
      <c r="O17" s="63">
        <v>0.625</v>
      </c>
      <c r="P17" s="63">
        <v>0.31818181818181818</v>
      </c>
      <c r="Q17" s="63">
        <v>0.53658536585365857</v>
      </c>
    </row>
    <row r="18" spans="1:17" x14ac:dyDescent="0.4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0.13333333333333333</v>
      </c>
      <c r="M18" s="63">
        <v>0.28187919463087246</v>
      </c>
      <c r="N18" s="63">
        <v>0.1476510067114094</v>
      </c>
      <c r="O18" s="63">
        <v>0.6428571428571429</v>
      </c>
      <c r="P18" s="63">
        <v>0.31818181818181818</v>
      </c>
      <c r="Q18" s="63">
        <v>0.52272727272727271</v>
      </c>
    </row>
    <row r="19" spans="1:17" x14ac:dyDescent="0.4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0.125</v>
      </c>
      <c r="M19" s="63">
        <v>0.29220779220779219</v>
      </c>
      <c r="N19" s="63">
        <v>0.14285714285714285</v>
      </c>
      <c r="O19" s="63">
        <v>0.62222222222222223</v>
      </c>
      <c r="P19" s="63">
        <v>0.31818181818181818</v>
      </c>
      <c r="Q19" s="63">
        <v>0.53333333333333333</v>
      </c>
    </row>
    <row r="20" spans="1:17" x14ac:dyDescent="0.4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0.11764705882352941</v>
      </c>
      <c r="M20" s="63">
        <v>0.28749999999999998</v>
      </c>
      <c r="N20" s="63">
        <v>0.14374999999999999</v>
      </c>
      <c r="O20" s="63">
        <v>0.63043478260869568</v>
      </c>
      <c r="P20" s="63">
        <v>0.34782608695652173</v>
      </c>
      <c r="Q20" s="63">
        <v>0.55102040816326525</v>
      </c>
    </row>
    <row r="21" spans="1:17" x14ac:dyDescent="0.4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0.1111111111111111</v>
      </c>
      <c r="M21" s="63">
        <v>0.27380952380952384</v>
      </c>
      <c r="N21" s="63">
        <v>0.13690476190476192</v>
      </c>
      <c r="O21" s="63">
        <v>0.63043478260869568</v>
      </c>
      <c r="P21" s="63">
        <v>0.34782608695652173</v>
      </c>
      <c r="Q21" s="63">
        <v>0.55102040816326525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E1EE0-6AC7-4B51-9716-FDABF97C50F8}">
  <sheetPr codeName="Sheet20"/>
  <dimension ref="A1:Q3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182</v>
      </c>
      <c r="B1" s="66" t="s">
        <v>182</v>
      </c>
      <c r="C1" s="66" t="s">
        <v>182</v>
      </c>
      <c r="D1" s="67" t="s">
        <v>182</v>
      </c>
      <c r="E1" s="66" t="s">
        <v>182</v>
      </c>
      <c r="F1" s="66" t="s">
        <v>182</v>
      </c>
      <c r="G1" s="66" t="s">
        <v>182</v>
      </c>
      <c r="H1" s="66" t="s">
        <v>182</v>
      </c>
      <c r="I1" s="66" t="s">
        <v>182</v>
      </c>
      <c r="J1" s="66" t="s">
        <v>182</v>
      </c>
      <c r="K1" s="66" t="s">
        <v>182</v>
      </c>
      <c r="L1" s="66" t="s">
        <v>182</v>
      </c>
      <c r="M1" s="66" t="s">
        <v>182</v>
      </c>
      <c r="N1" s="66" t="s">
        <v>182</v>
      </c>
      <c r="O1" s="66" t="s">
        <v>182</v>
      </c>
      <c r="P1" s="66" t="s">
        <v>182</v>
      </c>
      <c r="Q1" s="66" t="s">
        <v>182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</v>
      </c>
      <c r="M4" s="63">
        <v>0.44444444444444442</v>
      </c>
      <c r="N4" s="63">
        <v>0.22222222222222221</v>
      </c>
      <c r="O4" s="63">
        <v>0.5</v>
      </c>
      <c r="P4" s="63">
        <v>0.5</v>
      </c>
      <c r="Q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</v>
      </c>
      <c r="M5" s="63">
        <v>0.3125</v>
      </c>
      <c r="N5" s="63">
        <v>0.1875</v>
      </c>
      <c r="O5" s="63">
        <v>0.6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</v>
      </c>
      <c r="M6" s="63">
        <v>0.34615384615384615</v>
      </c>
      <c r="N6" s="63">
        <v>0.23076923076923078</v>
      </c>
      <c r="O6" s="63">
        <v>0.55555555555555558</v>
      </c>
      <c r="P6" s="63">
        <v>0.16666666666666666</v>
      </c>
      <c r="Q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</v>
      </c>
      <c r="M7" s="63">
        <v>0.27027027027027029</v>
      </c>
      <c r="N7" s="63">
        <v>0.24324324324324326</v>
      </c>
      <c r="O7" s="63">
        <v>0.6</v>
      </c>
      <c r="P7" s="63">
        <v>0.1111111111111111</v>
      </c>
      <c r="Q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</v>
      </c>
      <c r="M8" s="63">
        <v>0.27659574468085107</v>
      </c>
      <c r="N8" s="63">
        <v>0.23404255319148937</v>
      </c>
      <c r="O8" s="63">
        <v>0.46153846153846156</v>
      </c>
      <c r="P8" s="63">
        <v>9.0909090909090912E-2</v>
      </c>
      <c r="Q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</v>
      </c>
      <c r="M9" s="63">
        <v>0.25454545454545452</v>
      </c>
      <c r="N9" s="63">
        <v>0.2</v>
      </c>
      <c r="O9" s="63">
        <v>0.42857142857142855</v>
      </c>
      <c r="P9" s="63">
        <v>9.0909090909090912E-2</v>
      </c>
      <c r="Q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0.14285714285714285</v>
      </c>
      <c r="M10" s="63">
        <v>0.26984126984126983</v>
      </c>
      <c r="N10" s="63">
        <v>0.22222222222222221</v>
      </c>
      <c r="O10" s="63">
        <v>0.47058823529411764</v>
      </c>
      <c r="P10" s="63">
        <v>0.2857142857142857</v>
      </c>
      <c r="Q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0.125</v>
      </c>
      <c r="M11" s="63">
        <v>0.27536231884057971</v>
      </c>
      <c r="N11" s="63">
        <v>0.21739130434782608</v>
      </c>
      <c r="O11" s="63">
        <v>0.47368421052631576</v>
      </c>
      <c r="P11" s="63">
        <v>0.33333333333333331</v>
      </c>
      <c r="Q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0.1111111111111111</v>
      </c>
      <c r="M12" s="63">
        <v>0.26666666666666666</v>
      </c>
      <c r="N12" s="63">
        <v>0.21333333333333335</v>
      </c>
      <c r="O12" s="63">
        <v>0.5</v>
      </c>
      <c r="P12" s="63">
        <v>0.375</v>
      </c>
      <c r="Q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0.1</v>
      </c>
      <c r="M13" s="63">
        <v>0.25301204819277107</v>
      </c>
      <c r="N13" s="63">
        <v>0.2289156626506024</v>
      </c>
      <c r="O13" s="63">
        <v>0.52380952380952384</v>
      </c>
      <c r="P13" s="63">
        <v>0.42105263157894735</v>
      </c>
      <c r="Q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9.0909090909090912E-2</v>
      </c>
      <c r="M14" s="63">
        <v>0.24444444444444444</v>
      </c>
      <c r="N14" s="63">
        <v>0.23333333333333334</v>
      </c>
      <c r="O14" s="63">
        <v>0.54545454545454541</v>
      </c>
      <c r="P14" s="63">
        <v>0.38095238095238093</v>
      </c>
      <c r="Q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8.3333333333333329E-2</v>
      </c>
      <c r="M15" s="63">
        <v>0.24742268041237114</v>
      </c>
      <c r="N15" s="63">
        <v>0.22680412371134021</v>
      </c>
      <c r="O15" s="63">
        <v>0.58333333333333337</v>
      </c>
      <c r="P15" s="63">
        <v>0.36363636363636365</v>
      </c>
      <c r="Q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7.6923076923076927E-2</v>
      </c>
      <c r="M16" s="63">
        <v>0.24761904761904763</v>
      </c>
      <c r="N16" s="63">
        <v>0.22857142857142856</v>
      </c>
      <c r="O16" s="63">
        <v>0.57692307692307687</v>
      </c>
      <c r="P16" s="63">
        <v>0.33333333333333331</v>
      </c>
      <c r="Q16" s="63">
        <v>0.5</v>
      </c>
    </row>
    <row r="17" spans="1:17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7.1428571428571425E-2</v>
      </c>
      <c r="M17" s="63">
        <v>0.26724137931034481</v>
      </c>
      <c r="N17" s="63">
        <v>0.21551724137931033</v>
      </c>
      <c r="O17" s="63">
        <v>0.5161290322580645</v>
      </c>
      <c r="P17" s="63">
        <v>0.36</v>
      </c>
      <c r="Q17" s="63">
        <v>0.5</v>
      </c>
    </row>
    <row r="18" spans="1:17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6.6666666666666666E-2</v>
      </c>
      <c r="M18" s="63">
        <v>0.25409836065573771</v>
      </c>
      <c r="N18" s="63">
        <v>0.22950819672131148</v>
      </c>
      <c r="O18" s="63">
        <v>0.5161290322580645</v>
      </c>
      <c r="P18" s="63">
        <v>0.35714285714285715</v>
      </c>
      <c r="Q18" s="63">
        <v>0.48148148148148145</v>
      </c>
    </row>
    <row r="19" spans="1:17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6.25E-2</v>
      </c>
      <c r="M19" s="63">
        <v>0.2421875</v>
      </c>
      <c r="N19" s="63">
        <v>0.234375</v>
      </c>
      <c r="O19" s="63">
        <v>0.5161290322580645</v>
      </c>
      <c r="P19" s="63">
        <v>0.33333333333333331</v>
      </c>
      <c r="Q19" s="63">
        <v>0.5</v>
      </c>
    </row>
    <row r="20" spans="1:17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5.8823529411764705E-2</v>
      </c>
      <c r="M20" s="63">
        <v>0.23529411764705882</v>
      </c>
      <c r="N20" s="63">
        <v>0.22794117647058823</v>
      </c>
      <c r="O20" s="63">
        <v>0.53125</v>
      </c>
      <c r="P20" s="63">
        <v>0.32258064516129031</v>
      </c>
      <c r="Q20" s="63">
        <v>0.46666666666666667</v>
      </c>
    </row>
    <row r="21" spans="1:17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5.5555555555555552E-2</v>
      </c>
      <c r="M21" s="63">
        <v>0.23076923076923078</v>
      </c>
      <c r="N21" s="63">
        <v>0.23076923076923078</v>
      </c>
      <c r="O21" s="63">
        <v>0.51515151515151514</v>
      </c>
      <c r="P21" s="63">
        <v>0.33333333333333331</v>
      </c>
      <c r="Q21" s="63">
        <v>0.4375</v>
      </c>
    </row>
    <row r="22" spans="1:17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5.2631578947368418E-2</v>
      </c>
      <c r="M22" s="63">
        <v>0.2185430463576159</v>
      </c>
      <c r="N22" s="63">
        <v>0.2185430463576159</v>
      </c>
      <c r="O22" s="63">
        <v>0.51515151515151514</v>
      </c>
      <c r="P22" s="63">
        <v>0.33333333333333331</v>
      </c>
      <c r="Q22" s="63">
        <v>0.4375</v>
      </c>
    </row>
    <row r="23" spans="1:17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0.05</v>
      </c>
      <c r="M23" s="63">
        <v>0.21019108280254778</v>
      </c>
      <c r="N23" s="63">
        <v>0.21019108280254778</v>
      </c>
      <c r="O23" s="63">
        <v>0.51515151515151514</v>
      </c>
      <c r="P23" s="63">
        <v>0.33333333333333331</v>
      </c>
      <c r="Q23" s="63">
        <v>0.4375</v>
      </c>
    </row>
    <row r="24" spans="1:17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4.7619047619047616E-2</v>
      </c>
      <c r="M24" s="63">
        <v>0.20238095238095238</v>
      </c>
      <c r="N24" s="63">
        <v>0.20833333333333334</v>
      </c>
      <c r="O24" s="63">
        <v>0.52941176470588236</v>
      </c>
      <c r="P24" s="63">
        <v>0.34285714285714286</v>
      </c>
      <c r="Q24" s="63">
        <v>0.48571428571428571</v>
      </c>
    </row>
    <row r="25" spans="1:17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4.5454545454545456E-2</v>
      </c>
      <c r="M25" s="63">
        <v>0.2</v>
      </c>
      <c r="N25" s="63">
        <v>0.20571428571428571</v>
      </c>
      <c r="O25" s="63">
        <v>0.51428571428571423</v>
      </c>
      <c r="P25" s="63">
        <v>0.3611111111111111</v>
      </c>
      <c r="Q25" s="63">
        <v>0.5</v>
      </c>
    </row>
    <row r="26" spans="1:17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4.3478260869565216E-2</v>
      </c>
      <c r="M26" s="63">
        <v>0.20218579234972678</v>
      </c>
      <c r="N26" s="63">
        <v>0.20765027322404372</v>
      </c>
      <c r="O26" s="63">
        <v>0.51351351351351349</v>
      </c>
      <c r="P26" s="63">
        <v>0.34210526315789475</v>
      </c>
      <c r="Q26" s="63">
        <v>0.46153846153846156</v>
      </c>
    </row>
    <row r="27" spans="1:17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4.1666666666666664E-2</v>
      </c>
      <c r="M27" s="63">
        <v>0.19473684210526315</v>
      </c>
      <c r="N27" s="63">
        <v>0.2</v>
      </c>
      <c r="O27" s="63">
        <v>0.51351351351351349</v>
      </c>
      <c r="P27" s="63">
        <v>0.34210526315789475</v>
      </c>
      <c r="Q27" s="63">
        <v>0.45</v>
      </c>
    </row>
    <row r="28" spans="1:17" x14ac:dyDescent="0.4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0.04</v>
      </c>
      <c r="M28" s="63">
        <v>0.19696969696969696</v>
      </c>
      <c r="N28" s="63">
        <v>0.20202020202020202</v>
      </c>
      <c r="O28" s="63">
        <v>0.53846153846153844</v>
      </c>
      <c r="P28" s="63">
        <v>0.35</v>
      </c>
      <c r="Q28" s="63">
        <v>0.44186046511627908</v>
      </c>
    </row>
    <row r="29" spans="1:17" x14ac:dyDescent="0.4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3.8461538461538464E-2</v>
      </c>
      <c r="M29" s="63">
        <v>0.20192307692307693</v>
      </c>
      <c r="N29" s="63">
        <v>0.20192307692307693</v>
      </c>
      <c r="O29" s="63">
        <v>0.5714285714285714</v>
      </c>
      <c r="P29" s="63">
        <v>0.35714285714285715</v>
      </c>
      <c r="Q29" s="63">
        <v>0.47916666666666669</v>
      </c>
    </row>
    <row r="30" spans="1:17" x14ac:dyDescent="0.4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3.7037037037037035E-2</v>
      </c>
      <c r="M30" s="63">
        <v>0.2</v>
      </c>
      <c r="N30" s="63">
        <v>0.20465116279069767</v>
      </c>
      <c r="O30" s="63">
        <v>0.58139534883720934</v>
      </c>
      <c r="P30" s="63">
        <v>0.36363636363636365</v>
      </c>
      <c r="Q30" s="63">
        <v>0.5</v>
      </c>
    </row>
    <row r="31" spans="1:17" x14ac:dyDescent="0.4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3.5714285714285712E-2</v>
      </c>
      <c r="M31" s="63">
        <v>0.19730941704035873</v>
      </c>
      <c r="N31" s="63">
        <v>0.21076233183856502</v>
      </c>
      <c r="O31" s="63">
        <v>0.56818181818181823</v>
      </c>
      <c r="P31" s="63">
        <v>0.36170212765957449</v>
      </c>
      <c r="Q31" s="63">
        <v>0.50980392156862742</v>
      </c>
    </row>
    <row r="32" spans="1:17" x14ac:dyDescent="0.4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3.4482758620689655E-2</v>
      </c>
      <c r="M32" s="63">
        <v>0.20171673819742489</v>
      </c>
      <c r="N32" s="63">
        <v>0.21030042918454936</v>
      </c>
      <c r="O32" s="63">
        <v>0.55319148936170215</v>
      </c>
      <c r="P32" s="63">
        <v>0.38775510204081631</v>
      </c>
      <c r="Q32" s="63">
        <v>0.48148148148148145</v>
      </c>
    </row>
    <row r="33" spans="1:17" x14ac:dyDescent="0.4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3.3333333333333333E-2</v>
      </c>
      <c r="M33" s="63">
        <v>0.19753086419753085</v>
      </c>
      <c r="N33" s="63">
        <v>0.21810699588477367</v>
      </c>
      <c r="O33" s="63">
        <v>0.54166666666666663</v>
      </c>
      <c r="P33" s="63">
        <v>0.41509433962264153</v>
      </c>
      <c r="Q33" s="63">
        <v>0.49122807017543857</v>
      </c>
    </row>
    <row r="34" spans="1:17" x14ac:dyDescent="0.4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3.2258064516129031E-2</v>
      </c>
      <c r="M34" s="63">
        <v>0.192</v>
      </c>
      <c r="N34" s="63">
        <v>0.22</v>
      </c>
      <c r="O34" s="63">
        <v>0.54166666666666663</v>
      </c>
      <c r="P34" s="63">
        <v>0.4</v>
      </c>
      <c r="Q34" s="63">
        <v>0.48275862068965519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C6794-A78C-46E7-983B-7EEAE7E3E00A}">
  <sheetPr codeName="Sheet18"/>
  <dimension ref="A1:Q8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178</v>
      </c>
      <c r="B1" s="66" t="s">
        <v>178</v>
      </c>
      <c r="C1" s="66" t="s">
        <v>178</v>
      </c>
      <c r="D1" s="67" t="s">
        <v>178</v>
      </c>
      <c r="E1" s="66" t="s">
        <v>178</v>
      </c>
      <c r="F1" s="66" t="s">
        <v>178</v>
      </c>
      <c r="G1" s="66" t="s">
        <v>178</v>
      </c>
      <c r="H1" s="66" t="s">
        <v>178</v>
      </c>
      <c r="I1" s="66" t="s">
        <v>178</v>
      </c>
      <c r="J1" s="66" t="s">
        <v>178</v>
      </c>
      <c r="K1" s="66" t="s">
        <v>178</v>
      </c>
      <c r="L1" s="66" t="s">
        <v>178</v>
      </c>
      <c r="M1" s="66" t="s">
        <v>178</v>
      </c>
      <c r="N1" s="66" t="s">
        <v>178</v>
      </c>
      <c r="O1" s="66" t="s">
        <v>178</v>
      </c>
      <c r="P1" s="66" t="s">
        <v>178</v>
      </c>
      <c r="Q1" s="66" t="s">
        <v>178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0</v>
      </c>
      <c r="M4" s="63">
        <v>9.0909090909090912E-2</v>
      </c>
      <c r="N4" s="63">
        <v>0.27272727272727271</v>
      </c>
      <c r="O4" s="63">
        <v>1</v>
      </c>
      <c r="P4" s="63">
        <v>1</v>
      </c>
      <c r="Q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0</v>
      </c>
      <c r="M5" s="63">
        <v>9.0909090909090912E-2</v>
      </c>
      <c r="N5" s="63">
        <v>0.18181818181818182</v>
      </c>
      <c r="O5" s="63">
        <v>0.5</v>
      </c>
      <c r="P5" s="63">
        <v>0.75</v>
      </c>
      <c r="Q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</v>
      </c>
      <c r="M6" s="63">
        <v>0.12121212121212122</v>
      </c>
      <c r="N6" s="63">
        <v>0.15151515151515152</v>
      </c>
      <c r="O6" s="63">
        <v>0.75</v>
      </c>
      <c r="P6" s="63">
        <v>0.8</v>
      </c>
      <c r="Q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</v>
      </c>
      <c r="M7" s="63">
        <v>0.10256410256410256</v>
      </c>
      <c r="N7" s="63">
        <v>0.17948717948717949</v>
      </c>
      <c r="O7" s="63">
        <v>0.75</v>
      </c>
      <c r="P7" s="63">
        <v>0.5714285714285714</v>
      </c>
      <c r="Q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</v>
      </c>
      <c r="M8" s="63">
        <v>0.12</v>
      </c>
      <c r="N8" s="63">
        <v>0.16</v>
      </c>
      <c r="O8" s="63">
        <v>0.83333333333333337</v>
      </c>
      <c r="P8" s="63">
        <v>0.625</v>
      </c>
      <c r="Q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0.16666666666666666</v>
      </c>
      <c r="M9" s="63">
        <v>0.17241379310344829</v>
      </c>
      <c r="N9" s="63">
        <v>0.17241379310344829</v>
      </c>
      <c r="O9" s="63">
        <v>0.7</v>
      </c>
      <c r="P9" s="63">
        <v>0.6</v>
      </c>
      <c r="Q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0.14285714285714285</v>
      </c>
      <c r="M10" s="63">
        <v>0.171875</v>
      </c>
      <c r="N10" s="63">
        <v>0.15625</v>
      </c>
      <c r="O10" s="63">
        <v>0.63636363636363635</v>
      </c>
      <c r="P10" s="63">
        <v>0.6</v>
      </c>
      <c r="Q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0.125</v>
      </c>
      <c r="M11" s="63">
        <v>0.17808219178082191</v>
      </c>
      <c r="N11" s="63">
        <v>0.17808219178082191</v>
      </c>
      <c r="O11" s="63">
        <v>0.61538461538461542</v>
      </c>
      <c r="P11" s="63">
        <v>0.53846153846153844</v>
      </c>
      <c r="Q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0.1111111111111111</v>
      </c>
      <c r="M12" s="63">
        <v>0.16666666666666666</v>
      </c>
      <c r="N12" s="63">
        <v>0.17857142857142858</v>
      </c>
      <c r="O12" s="63">
        <v>0.6428571428571429</v>
      </c>
      <c r="P12" s="63">
        <v>0.46666666666666667</v>
      </c>
      <c r="Q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</v>
      </c>
      <c r="M13" s="63">
        <v>0.16853932584269662</v>
      </c>
      <c r="N13" s="63">
        <v>0.16853932584269662</v>
      </c>
      <c r="O13" s="63">
        <v>0.6</v>
      </c>
      <c r="P13" s="63">
        <v>0.46666666666666667</v>
      </c>
      <c r="Q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9.0909090909090912E-2</v>
      </c>
      <c r="M14" s="63">
        <v>0.19801980198019803</v>
      </c>
      <c r="N14" s="63">
        <v>0.19801980198019803</v>
      </c>
      <c r="O14" s="63">
        <v>0.55000000000000004</v>
      </c>
      <c r="P14" s="63">
        <v>0.45</v>
      </c>
      <c r="Q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8.3333333333333329E-2</v>
      </c>
      <c r="M15" s="63">
        <v>0.17699115044247787</v>
      </c>
      <c r="N15" s="63">
        <v>0.23008849557522124</v>
      </c>
      <c r="O15" s="63">
        <v>0.55000000000000004</v>
      </c>
      <c r="P15" s="63">
        <v>0.46153846153846156</v>
      </c>
      <c r="Q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7.6923076923076927E-2</v>
      </c>
      <c r="M16" s="63">
        <v>0.2032520325203252</v>
      </c>
      <c r="N16" s="63">
        <v>0.22764227642276422</v>
      </c>
      <c r="O16" s="63">
        <v>0.56000000000000005</v>
      </c>
      <c r="P16" s="63">
        <v>0.4642857142857143</v>
      </c>
      <c r="Q16" s="63">
        <v>0.35483870967741937</v>
      </c>
    </row>
    <row r="17" spans="1:17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7.1428571428571425E-2</v>
      </c>
      <c r="M17" s="63">
        <v>0.21374045801526717</v>
      </c>
      <c r="N17" s="63">
        <v>0.23664122137404581</v>
      </c>
      <c r="O17" s="63">
        <v>0.5714285714285714</v>
      </c>
      <c r="P17" s="63">
        <v>0.5161290322580645</v>
      </c>
      <c r="Q17" s="63">
        <v>0.3888888888888889</v>
      </c>
    </row>
    <row r="18" spans="1:17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6.6666666666666666E-2</v>
      </c>
      <c r="M18" s="63">
        <v>0.22302158273381295</v>
      </c>
      <c r="N18" s="63">
        <v>0.2446043165467626</v>
      </c>
      <c r="O18" s="63">
        <v>0.5161290322580645</v>
      </c>
      <c r="P18" s="63">
        <v>0.52941176470588236</v>
      </c>
      <c r="Q18" s="63">
        <v>0.36842105263157893</v>
      </c>
    </row>
    <row r="19" spans="1:17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6.25E-2</v>
      </c>
      <c r="M19" s="63">
        <v>0.2413793103448276</v>
      </c>
      <c r="N19" s="63">
        <v>0.2413793103448276</v>
      </c>
      <c r="O19" s="63">
        <v>0.45714285714285713</v>
      </c>
      <c r="P19" s="63">
        <v>0.54285714285714282</v>
      </c>
      <c r="Q19" s="63">
        <v>0.35897435897435898</v>
      </c>
    </row>
    <row r="20" spans="1:17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5.8823529411764705E-2</v>
      </c>
      <c r="M20" s="63">
        <v>0.25</v>
      </c>
      <c r="N20" s="63">
        <v>0.24342105263157895</v>
      </c>
      <c r="O20" s="63">
        <v>0.47368421052631576</v>
      </c>
      <c r="P20" s="63">
        <v>0.54054054054054057</v>
      </c>
      <c r="Q20" s="63">
        <v>0.35714285714285715</v>
      </c>
    </row>
    <row r="21" spans="1:17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5.5555555555555552E-2</v>
      </c>
      <c r="M21" s="63">
        <v>0.25</v>
      </c>
      <c r="N21" s="63">
        <v>0.25</v>
      </c>
      <c r="O21" s="63">
        <v>0.47619047619047616</v>
      </c>
      <c r="P21" s="63">
        <v>0.52380952380952384</v>
      </c>
      <c r="Q21" s="63">
        <v>0.36956521739130432</v>
      </c>
    </row>
    <row r="22" spans="1:17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5.2631578947368418E-2</v>
      </c>
      <c r="M22" s="63">
        <v>0.25568181818181818</v>
      </c>
      <c r="N22" s="63">
        <v>0.26136363636363635</v>
      </c>
      <c r="O22" s="63">
        <v>0.48888888888888887</v>
      </c>
      <c r="P22" s="63">
        <v>0.5</v>
      </c>
      <c r="Q22" s="63">
        <v>0.38775510204081631</v>
      </c>
    </row>
    <row r="23" spans="1:17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0.05</v>
      </c>
      <c r="M23" s="63">
        <v>0.26229508196721313</v>
      </c>
      <c r="N23" s="63">
        <v>0.25683060109289618</v>
      </c>
      <c r="O23" s="63">
        <v>0.47916666666666669</v>
      </c>
      <c r="P23" s="63">
        <v>0.48936170212765956</v>
      </c>
      <c r="Q23" s="63">
        <v>0.38</v>
      </c>
    </row>
    <row r="24" spans="1:17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4.7619047619047616E-2</v>
      </c>
      <c r="M24" s="63">
        <v>0.25654450261780104</v>
      </c>
      <c r="N24" s="63">
        <v>0.25654450261780104</v>
      </c>
      <c r="O24" s="63">
        <v>0.46938775510204084</v>
      </c>
      <c r="P24" s="63">
        <v>0.46938775510204084</v>
      </c>
      <c r="Q24" s="63">
        <v>0.38</v>
      </c>
    </row>
    <row r="25" spans="1:17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9.0909090909090912E-2</v>
      </c>
      <c r="M25" s="63">
        <v>0.26262626262626265</v>
      </c>
      <c r="N25" s="63">
        <v>0.25757575757575757</v>
      </c>
      <c r="O25" s="63">
        <v>0.46153846153846156</v>
      </c>
      <c r="P25" s="63">
        <v>0.47058823529411764</v>
      </c>
      <c r="Q25" s="63">
        <v>0.39622641509433965</v>
      </c>
    </row>
    <row r="26" spans="1:17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8.6956521739130432E-2</v>
      </c>
      <c r="M26" s="63">
        <v>0.26829268292682928</v>
      </c>
      <c r="N26" s="63">
        <v>0.25853658536585367</v>
      </c>
      <c r="O26" s="63">
        <v>0.45454545454545453</v>
      </c>
      <c r="P26" s="63">
        <v>0.47169811320754718</v>
      </c>
      <c r="Q26" s="63">
        <v>0.38181818181818183</v>
      </c>
    </row>
    <row r="27" spans="1:17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8.3333333333333329E-2</v>
      </c>
      <c r="M27" s="63">
        <v>0.25821596244131456</v>
      </c>
      <c r="N27" s="63">
        <v>0.26291079812206575</v>
      </c>
      <c r="O27" s="63">
        <v>0.45454545454545453</v>
      </c>
      <c r="P27" s="63">
        <v>0.4642857142857143</v>
      </c>
      <c r="Q27" s="63">
        <v>0.375</v>
      </c>
    </row>
    <row r="28" spans="1:17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0.08</v>
      </c>
      <c r="M28" s="63">
        <v>0.25339366515837103</v>
      </c>
      <c r="N28" s="63">
        <v>0.26244343891402716</v>
      </c>
      <c r="O28" s="63">
        <v>0.4642857142857143</v>
      </c>
      <c r="P28" s="63">
        <v>0.44827586206896552</v>
      </c>
      <c r="Q28" s="63">
        <v>0.37931034482758619</v>
      </c>
    </row>
    <row r="29" spans="1:17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7.6923076923076927E-2</v>
      </c>
      <c r="M29" s="63">
        <v>0.25438596491228072</v>
      </c>
      <c r="N29" s="63">
        <v>0.25877192982456143</v>
      </c>
      <c r="O29" s="63">
        <v>0.48275862068965519</v>
      </c>
      <c r="P29" s="63">
        <v>0.44067796610169491</v>
      </c>
      <c r="Q29" s="63">
        <v>0.4</v>
      </c>
    </row>
    <row r="30" spans="1:17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7.407407407407407E-2</v>
      </c>
      <c r="M30" s="63">
        <v>0.25108225108225107</v>
      </c>
      <c r="N30" s="63">
        <v>0.25974025974025972</v>
      </c>
      <c r="O30" s="63">
        <v>0.48275862068965519</v>
      </c>
      <c r="P30" s="63">
        <v>0.43333333333333335</v>
      </c>
      <c r="Q30" s="63">
        <v>0.39344262295081966</v>
      </c>
    </row>
    <row r="31" spans="1:17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7.1428571428571425E-2</v>
      </c>
      <c r="M31" s="63">
        <v>0.26050420168067229</v>
      </c>
      <c r="N31" s="63">
        <v>0.25630252100840334</v>
      </c>
      <c r="O31" s="63">
        <v>0.5</v>
      </c>
      <c r="P31" s="63">
        <v>0.42622950819672129</v>
      </c>
      <c r="Q31" s="63">
        <v>0.421875</v>
      </c>
    </row>
    <row r="32" spans="1:17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6.8965517241379309E-2</v>
      </c>
      <c r="M32" s="63">
        <v>0.25925925925925924</v>
      </c>
      <c r="N32" s="63">
        <v>0.25925925925925924</v>
      </c>
      <c r="O32" s="63">
        <v>0.49206349206349204</v>
      </c>
      <c r="P32" s="63">
        <v>0.41269841269841268</v>
      </c>
      <c r="Q32" s="63">
        <v>0.421875</v>
      </c>
    </row>
    <row r="33" spans="1:17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6.6666666666666666E-2</v>
      </c>
      <c r="M33" s="63">
        <v>0.25506072874493929</v>
      </c>
      <c r="N33" s="63">
        <v>0.25910931174089069</v>
      </c>
      <c r="O33" s="63">
        <v>0.49206349206349204</v>
      </c>
      <c r="P33" s="63">
        <v>0.40625</v>
      </c>
      <c r="Q33" s="63">
        <v>0.41538461538461541</v>
      </c>
    </row>
    <row r="34" spans="1:17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6.4516129032258063E-2</v>
      </c>
      <c r="M34" s="63">
        <v>0.25193798449612403</v>
      </c>
      <c r="N34" s="63">
        <v>0.27131782945736432</v>
      </c>
      <c r="O34" s="63">
        <v>0.50769230769230766</v>
      </c>
      <c r="P34" s="63">
        <v>0.4</v>
      </c>
      <c r="Q34" s="63">
        <v>0.40579710144927539</v>
      </c>
    </row>
    <row r="35" spans="1:17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9.375E-2</v>
      </c>
      <c r="M35" s="63">
        <v>0.2509505703422053</v>
      </c>
      <c r="N35" s="63">
        <v>0.28136882129277568</v>
      </c>
      <c r="O35" s="63">
        <v>0.51515151515151514</v>
      </c>
      <c r="P35" s="63">
        <v>0.40540540540540543</v>
      </c>
      <c r="Q35" s="63">
        <v>0.40277777777777779</v>
      </c>
    </row>
    <row r="36" spans="1:17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9.0909090909090912E-2</v>
      </c>
      <c r="M36" s="63">
        <v>0.24723247232472326</v>
      </c>
      <c r="N36" s="63">
        <v>0.28413284132841327</v>
      </c>
      <c r="O36" s="63">
        <v>0.5074626865671642</v>
      </c>
      <c r="P36" s="63">
        <v>0.38961038961038963</v>
      </c>
      <c r="Q36" s="63">
        <v>0.40277777777777779</v>
      </c>
    </row>
    <row r="37" spans="1:17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8.8235294117647065E-2</v>
      </c>
      <c r="M37" s="63">
        <v>0.24100719424460432</v>
      </c>
      <c r="N37" s="63">
        <v>0.29136690647482016</v>
      </c>
      <c r="O37" s="63">
        <v>0.5074626865671642</v>
      </c>
      <c r="P37" s="63">
        <v>0.39506172839506171</v>
      </c>
      <c r="Q37" s="63">
        <v>0.40540540540540543</v>
      </c>
    </row>
    <row r="38" spans="1:17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8.5714285714285715E-2</v>
      </c>
      <c r="M38" s="63">
        <v>0.23426573426573427</v>
      </c>
      <c r="N38" s="63">
        <v>0.2937062937062937</v>
      </c>
      <c r="O38" s="63">
        <v>0.5074626865671642</v>
      </c>
      <c r="P38" s="63">
        <v>0.40476190476190477</v>
      </c>
      <c r="Q38" s="63">
        <v>0.41558441558441561</v>
      </c>
    </row>
    <row r="39" spans="1:17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8.3333333333333329E-2</v>
      </c>
      <c r="M39" s="63">
        <v>0.2363013698630137</v>
      </c>
      <c r="N39" s="63">
        <v>0.28767123287671231</v>
      </c>
      <c r="O39" s="63">
        <v>0.52173913043478259</v>
      </c>
      <c r="P39" s="63">
        <v>0.40476190476190477</v>
      </c>
      <c r="Q39" s="63">
        <v>0.42499999999999999</v>
      </c>
    </row>
    <row r="40" spans="1:17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8.1081081081081086E-2</v>
      </c>
      <c r="M40" s="63">
        <v>0.24092409240924093</v>
      </c>
      <c r="N40" s="63">
        <v>0.28382838283828382</v>
      </c>
      <c r="O40" s="63">
        <v>0.54794520547945202</v>
      </c>
      <c r="P40" s="63">
        <v>0.39534883720930231</v>
      </c>
      <c r="Q40" s="63">
        <v>0.4</v>
      </c>
    </row>
    <row r="41" spans="1:17" x14ac:dyDescent="0.4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7.8947368421052627E-2</v>
      </c>
      <c r="M41" s="63">
        <v>0.24600638977635783</v>
      </c>
      <c r="N41" s="63">
        <v>0.27795527156549521</v>
      </c>
      <c r="O41" s="63">
        <v>0.53246753246753242</v>
      </c>
      <c r="P41" s="63">
        <v>0.39080459770114945</v>
      </c>
      <c r="Q41" s="63">
        <v>0.40229885057471265</v>
      </c>
    </row>
    <row r="42" spans="1:17" x14ac:dyDescent="0.4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7.6923076923076927E-2</v>
      </c>
      <c r="M42" s="63">
        <v>0.24374999999999999</v>
      </c>
      <c r="N42" s="63">
        <v>0.27500000000000002</v>
      </c>
      <c r="O42" s="63">
        <v>0.52564102564102566</v>
      </c>
      <c r="P42" s="63">
        <v>0.38636363636363635</v>
      </c>
      <c r="Q42" s="63">
        <v>0.39772727272727271</v>
      </c>
    </row>
    <row r="43" spans="1:17" x14ac:dyDescent="0.4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7.4999999999999997E-2</v>
      </c>
      <c r="M43" s="63">
        <v>0.24464831804281345</v>
      </c>
      <c r="N43" s="63">
        <v>0.27217125382262997</v>
      </c>
      <c r="O43" s="63">
        <v>0.53749999999999998</v>
      </c>
      <c r="P43" s="63">
        <v>0.38202247191011235</v>
      </c>
      <c r="Q43" s="63">
        <v>0.3888888888888889</v>
      </c>
    </row>
    <row r="44" spans="1:17" x14ac:dyDescent="0.4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7.3170731707317069E-2</v>
      </c>
      <c r="M44" s="63">
        <v>0.24850299401197604</v>
      </c>
      <c r="N44" s="63">
        <v>0.26946107784431139</v>
      </c>
      <c r="O44" s="63">
        <v>0.54216867469879515</v>
      </c>
      <c r="P44" s="63">
        <v>0.3888888888888889</v>
      </c>
      <c r="Q44" s="63">
        <v>0.39784946236559138</v>
      </c>
    </row>
    <row r="45" spans="1:17" x14ac:dyDescent="0.4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7.1428571428571425E-2</v>
      </c>
      <c r="M45" s="63">
        <v>0.25072886297376096</v>
      </c>
      <c r="N45" s="63">
        <v>0.26822157434402333</v>
      </c>
      <c r="O45" s="63">
        <v>0.55813953488372092</v>
      </c>
      <c r="P45" s="63">
        <v>0.39130434782608697</v>
      </c>
      <c r="Q45" s="63">
        <v>0.40206185567010311</v>
      </c>
    </row>
    <row r="46" spans="1:17" x14ac:dyDescent="0.4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6.9767441860465115E-2</v>
      </c>
      <c r="M46" s="63">
        <v>0.25714285714285712</v>
      </c>
      <c r="N46" s="63">
        <v>0.26285714285714284</v>
      </c>
      <c r="O46" s="63">
        <v>0.55555555555555558</v>
      </c>
      <c r="P46" s="63">
        <v>0.39130434782608697</v>
      </c>
      <c r="Q46" s="63">
        <v>0.41414141414141414</v>
      </c>
    </row>
    <row r="47" spans="1:17" x14ac:dyDescent="0.4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9.0909090909090912E-2</v>
      </c>
      <c r="M47" s="63">
        <v>0.26197183098591548</v>
      </c>
      <c r="N47" s="63">
        <v>0.25915492957746478</v>
      </c>
      <c r="O47" s="63">
        <v>0.56989247311827962</v>
      </c>
      <c r="P47" s="63">
        <v>0.39130434782608697</v>
      </c>
      <c r="Q47" s="63">
        <v>0.42156862745098039</v>
      </c>
    </row>
    <row r="48" spans="1:17" x14ac:dyDescent="0.4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8.8888888888888892E-2</v>
      </c>
      <c r="M48" s="63">
        <v>0.25683060109289618</v>
      </c>
      <c r="N48" s="63">
        <v>0.25683060109289618</v>
      </c>
      <c r="O48" s="63">
        <v>0.57446808510638303</v>
      </c>
      <c r="P48" s="63">
        <v>0.39361702127659576</v>
      </c>
      <c r="Q48" s="63">
        <v>0.41346153846153844</v>
      </c>
    </row>
    <row r="49" spans="1:17" x14ac:dyDescent="0.4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8.6956521739130432E-2</v>
      </c>
      <c r="M49" s="63">
        <v>0.25336927223719674</v>
      </c>
      <c r="N49" s="63">
        <v>0.2587601078167116</v>
      </c>
      <c r="O49" s="63">
        <v>0.57446808510638303</v>
      </c>
      <c r="P49" s="63">
        <v>0.38541666666666669</v>
      </c>
      <c r="Q49" s="63">
        <v>0.41904761904761906</v>
      </c>
    </row>
    <row r="50" spans="1:17" x14ac:dyDescent="0.4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8.5106382978723402E-2</v>
      </c>
      <c r="M50" s="63">
        <v>0.25129533678756477</v>
      </c>
      <c r="N50" s="63">
        <v>0.25647668393782386</v>
      </c>
      <c r="O50" s="63">
        <v>0.57731958762886593</v>
      </c>
      <c r="P50" s="63">
        <v>0.39393939393939392</v>
      </c>
      <c r="Q50" s="63">
        <v>0.42201834862385323</v>
      </c>
    </row>
    <row r="51" spans="1:17" x14ac:dyDescent="0.4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8.3333333333333329E-2</v>
      </c>
      <c r="M51" s="63">
        <v>0.25190839694656486</v>
      </c>
      <c r="N51" s="63">
        <v>0.2544529262086514</v>
      </c>
      <c r="O51" s="63">
        <v>0.58585858585858586</v>
      </c>
      <c r="P51" s="63">
        <v>0.4</v>
      </c>
      <c r="Q51" s="63">
        <v>0.41964285714285715</v>
      </c>
    </row>
    <row r="52" spans="1:17" x14ac:dyDescent="0.4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8.1632653061224483E-2</v>
      </c>
      <c r="M52" s="63">
        <v>0.2525</v>
      </c>
      <c r="N52" s="63">
        <v>0.255</v>
      </c>
      <c r="O52" s="63">
        <v>0.59405940594059403</v>
      </c>
      <c r="P52" s="63">
        <v>0.39215686274509803</v>
      </c>
      <c r="Q52" s="63">
        <v>0.42982456140350878</v>
      </c>
    </row>
    <row r="53" spans="1:17" x14ac:dyDescent="0.4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0.08</v>
      </c>
      <c r="M53" s="63">
        <v>0.25245098039215685</v>
      </c>
      <c r="N53" s="63">
        <v>0.25</v>
      </c>
      <c r="O53" s="63">
        <v>0.59223300970873782</v>
      </c>
      <c r="P53" s="63">
        <v>0.39215686274509803</v>
      </c>
      <c r="Q53" s="63">
        <v>0.43478260869565216</v>
      </c>
    </row>
    <row r="54" spans="1:17" x14ac:dyDescent="0.4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7.8431372549019607E-2</v>
      </c>
      <c r="M54" s="63">
        <v>0.25358851674641147</v>
      </c>
      <c r="N54" s="63">
        <v>0.25119617224880381</v>
      </c>
      <c r="O54" s="63">
        <v>0.58490566037735847</v>
      </c>
      <c r="P54" s="63">
        <v>0.38095238095238093</v>
      </c>
      <c r="Q54" s="63">
        <v>0.43965517241379309</v>
      </c>
    </row>
    <row r="55" spans="1:17" x14ac:dyDescent="0.4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7.6923076923076927E-2</v>
      </c>
      <c r="M55" s="63">
        <v>0.2541176470588235</v>
      </c>
      <c r="N55" s="63">
        <v>0.25176470588235295</v>
      </c>
      <c r="O55" s="63">
        <v>0.59259259259259256</v>
      </c>
      <c r="P55" s="63">
        <v>0.38317757009345793</v>
      </c>
      <c r="Q55" s="63">
        <v>0.43697478991596639</v>
      </c>
    </row>
    <row r="56" spans="1:17" x14ac:dyDescent="0.4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7.5471698113207544E-2</v>
      </c>
      <c r="M56" s="63">
        <v>0.25635103926096997</v>
      </c>
      <c r="N56" s="63">
        <v>0.24942263279445728</v>
      </c>
      <c r="O56" s="63">
        <v>0.5855855855855856</v>
      </c>
      <c r="P56" s="63">
        <v>0.3888888888888889</v>
      </c>
      <c r="Q56" s="63">
        <v>0.4344262295081967</v>
      </c>
    </row>
    <row r="57" spans="1:17" x14ac:dyDescent="0.4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7.407407407407407E-2</v>
      </c>
      <c r="M57" s="63">
        <v>0.25740318906605925</v>
      </c>
      <c r="N57" s="63">
        <v>0.24601366742596811</v>
      </c>
      <c r="O57" s="63">
        <v>0.58407079646017701</v>
      </c>
      <c r="P57" s="63">
        <v>0.3888888888888889</v>
      </c>
      <c r="Q57" s="63">
        <v>0.43089430894308944</v>
      </c>
    </row>
    <row r="58" spans="1:17" x14ac:dyDescent="0.4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9.0909090909090912E-2</v>
      </c>
      <c r="M58" s="63">
        <v>0.25733634311512416</v>
      </c>
      <c r="N58" s="63">
        <v>0.24830699774266365</v>
      </c>
      <c r="O58" s="63">
        <v>0.58771929824561409</v>
      </c>
      <c r="P58" s="63">
        <v>0.4</v>
      </c>
      <c r="Q58" s="63">
        <v>0.42063492063492064</v>
      </c>
    </row>
    <row r="59" spans="1:17" x14ac:dyDescent="0.4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8.9285714285714288E-2</v>
      </c>
      <c r="M59" s="63">
        <v>0.26096491228070173</v>
      </c>
      <c r="N59" s="63">
        <v>0.24561403508771928</v>
      </c>
      <c r="O59" s="63">
        <v>0.5714285714285714</v>
      </c>
      <c r="P59" s="63">
        <v>0.39285714285714285</v>
      </c>
      <c r="Q59" s="63">
        <v>0.421875</v>
      </c>
    </row>
    <row r="60" spans="1:17" x14ac:dyDescent="0.4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8.771929824561403E-2</v>
      </c>
      <c r="M60" s="63">
        <v>0.25751072961373389</v>
      </c>
      <c r="N60" s="63">
        <v>0.24678111587982832</v>
      </c>
      <c r="O60" s="63">
        <v>0.57499999999999996</v>
      </c>
      <c r="P60" s="63">
        <v>0.40869565217391307</v>
      </c>
      <c r="Q60" s="63">
        <v>0.41666666666666669</v>
      </c>
    </row>
    <row r="61" spans="1:17" x14ac:dyDescent="0.4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8.6206896551724144E-2</v>
      </c>
      <c r="M61" s="63">
        <v>0.25420168067226889</v>
      </c>
      <c r="N61" s="63">
        <v>0.24789915966386555</v>
      </c>
      <c r="O61" s="63">
        <v>0.57851239669421484</v>
      </c>
      <c r="P61" s="63">
        <v>0.4152542372881356</v>
      </c>
      <c r="Q61" s="63">
        <v>0.42222222222222222</v>
      </c>
    </row>
    <row r="62" spans="1:17" x14ac:dyDescent="0.4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8.4745762711864403E-2</v>
      </c>
      <c r="M62" s="63">
        <v>0.25465838509316768</v>
      </c>
      <c r="N62" s="63">
        <v>0.2484472049689441</v>
      </c>
      <c r="O62" s="63">
        <v>0.58536585365853655</v>
      </c>
      <c r="P62" s="63">
        <v>0.42499999999999999</v>
      </c>
      <c r="Q62" s="63">
        <v>0.44285714285714284</v>
      </c>
    </row>
    <row r="63" spans="1:17" x14ac:dyDescent="0.4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8.3333333333333329E-2</v>
      </c>
      <c r="M63" s="63">
        <v>0.25454545454545452</v>
      </c>
      <c r="N63" s="63">
        <v>0.25050505050505051</v>
      </c>
      <c r="O63" s="63">
        <v>0.57936507936507942</v>
      </c>
      <c r="P63" s="63">
        <v>0.41935483870967744</v>
      </c>
      <c r="Q63" s="63">
        <v>0.44055944055944057</v>
      </c>
    </row>
    <row r="64" spans="1:17" x14ac:dyDescent="0.4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8.1967213114754092E-2</v>
      </c>
      <c r="M64" s="63">
        <v>0.25595238095238093</v>
      </c>
      <c r="N64" s="63">
        <v>0.25198412698412698</v>
      </c>
      <c r="O64" s="63">
        <v>0.5736434108527132</v>
      </c>
      <c r="P64" s="63">
        <v>0.41732283464566927</v>
      </c>
      <c r="Q64" s="63">
        <v>0.43448275862068964</v>
      </c>
    </row>
    <row r="65" spans="1:17" x14ac:dyDescent="0.4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8.0645161290322578E-2</v>
      </c>
      <c r="M65" s="63">
        <v>0.255859375</v>
      </c>
      <c r="N65" s="63">
        <v>0.251953125</v>
      </c>
      <c r="O65" s="63">
        <v>0.58015267175572516</v>
      </c>
      <c r="P65" s="63">
        <v>0.41085271317829458</v>
      </c>
      <c r="Q65" s="63">
        <v>0.44217687074829931</v>
      </c>
    </row>
    <row r="66" spans="1:17" x14ac:dyDescent="0.4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9.5238095238095233E-2</v>
      </c>
      <c r="M66" s="63">
        <v>0.2558139534883721</v>
      </c>
      <c r="N66" s="63">
        <v>0.25193798449612403</v>
      </c>
      <c r="O66" s="63">
        <v>0.58333333333333337</v>
      </c>
      <c r="P66" s="63">
        <v>0.41538461538461541</v>
      </c>
      <c r="Q66" s="63">
        <v>0.44295302013422821</v>
      </c>
    </row>
    <row r="67" spans="1:17" x14ac:dyDescent="0.4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9.375E-2</v>
      </c>
      <c r="M67" s="63">
        <v>0.25478927203065133</v>
      </c>
      <c r="N67" s="63">
        <v>0.25287356321839083</v>
      </c>
      <c r="O67" s="63">
        <v>0.5864661654135338</v>
      </c>
      <c r="P67" s="63">
        <v>0.40909090909090912</v>
      </c>
      <c r="Q67" s="63">
        <v>0.44370860927152317</v>
      </c>
    </row>
    <row r="68" spans="1:17" x14ac:dyDescent="0.4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9.2307692307692313E-2</v>
      </c>
      <c r="M68" s="63">
        <v>0.25235404896421848</v>
      </c>
      <c r="N68" s="63">
        <v>0.25235404896421848</v>
      </c>
      <c r="O68" s="63">
        <v>0.58208955223880599</v>
      </c>
      <c r="P68" s="63">
        <v>0.41044776119402987</v>
      </c>
      <c r="Q68" s="63">
        <v>0.44078947368421051</v>
      </c>
    </row>
    <row r="69" spans="1:17" x14ac:dyDescent="0.4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9.0909090909090912E-2</v>
      </c>
      <c r="M69" s="63">
        <v>0.25139664804469275</v>
      </c>
      <c r="N69" s="63">
        <v>0.25139664804469275</v>
      </c>
      <c r="O69" s="63">
        <v>0.58518518518518514</v>
      </c>
      <c r="P69" s="63">
        <v>0.40740740740740738</v>
      </c>
      <c r="Q69" s="63">
        <v>0.44444444444444442</v>
      </c>
    </row>
    <row r="70" spans="1:17" x14ac:dyDescent="0.4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8.9552238805970144E-2</v>
      </c>
      <c r="M70" s="63">
        <v>0.25504587155963304</v>
      </c>
      <c r="N70" s="63">
        <v>0.25321100917431194</v>
      </c>
      <c r="O70" s="63">
        <v>0.58273381294964033</v>
      </c>
      <c r="P70" s="63">
        <v>0.40579710144927539</v>
      </c>
      <c r="Q70" s="63">
        <v>0.44871794871794873</v>
      </c>
    </row>
    <row r="71" spans="1:17" x14ac:dyDescent="0.4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8.8235294117647065E-2</v>
      </c>
      <c r="M71" s="63">
        <v>0.25362318840579712</v>
      </c>
      <c r="N71" s="63">
        <v>0.25362318840579712</v>
      </c>
      <c r="O71" s="63">
        <v>0.57857142857142863</v>
      </c>
      <c r="P71" s="63">
        <v>0.4</v>
      </c>
      <c r="Q71" s="63">
        <v>0.45222929936305734</v>
      </c>
    </row>
    <row r="72" spans="1:17" x14ac:dyDescent="0.4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8.6956521739130432E-2</v>
      </c>
      <c r="M72" s="63">
        <v>0.25223613595706618</v>
      </c>
      <c r="N72" s="63">
        <v>0.25223613595706618</v>
      </c>
      <c r="O72" s="63">
        <v>0.57446808510638303</v>
      </c>
      <c r="P72" s="63">
        <v>0.40425531914893614</v>
      </c>
      <c r="Q72" s="63">
        <v>0.44936708860759494</v>
      </c>
    </row>
    <row r="73" spans="1:17" x14ac:dyDescent="0.4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8.5714285714285715E-2</v>
      </c>
      <c r="M73" s="63">
        <v>0.25354609929078015</v>
      </c>
      <c r="N73" s="63">
        <v>0.25177304964539005</v>
      </c>
      <c r="O73" s="63">
        <v>0.57342657342657344</v>
      </c>
      <c r="P73" s="63">
        <v>0.40845070422535212</v>
      </c>
      <c r="Q73" s="63">
        <v>0.45624999999999999</v>
      </c>
    </row>
    <row r="74" spans="1:17" x14ac:dyDescent="0.4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8.4507042253521125E-2</v>
      </c>
      <c r="M74" s="63">
        <v>0.25043782837127848</v>
      </c>
      <c r="N74" s="63">
        <v>0.24868651488616461</v>
      </c>
      <c r="O74" s="63">
        <v>0.57342657342657344</v>
      </c>
      <c r="P74" s="63">
        <v>0.40845070422535212</v>
      </c>
      <c r="Q74" s="63">
        <v>0.453416149068323</v>
      </c>
    </row>
    <row r="75" spans="1:17" x14ac:dyDescent="0.4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8.3333333333333329E-2</v>
      </c>
      <c r="M75" s="63">
        <v>0.25043177892918828</v>
      </c>
      <c r="N75" s="63">
        <v>0.24525043177892919</v>
      </c>
      <c r="O75" s="63">
        <v>0.57241379310344831</v>
      </c>
      <c r="P75" s="63">
        <v>0.40845070422535212</v>
      </c>
      <c r="Q75" s="63">
        <v>0.46012269938650308</v>
      </c>
    </row>
    <row r="76" spans="1:17" x14ac:dyDescent="0.4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8.2191780821917804E-2</v>
      </c>
      <c r="M76" s="63">
        <v>0.24957264957264957</v>
      </c>
      <c r="N76" s="63">
        <v>0.24615384615384617</v>
      </c>
      <c r="O76" s="63">
        <v>0.57534246575342463</v>
      </c>
      <c r="P76" s="63">
        <v>0.40277777777777779</v>
      </c>
      <c r="Q76" s="63">
        <v>0.46341463414634149</v>
      </c>
    </row>
    <row r="77" spans="1:17" x14ac:dyDescent="0.4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8.1081081081081086E-2</v>
      </c>
      <c r="M77" s="63">
        <v>0.25126475548060706</v>
      </c>
      <c r="N77" s="63">
        <v>0.24283305227655985</v>
      </c>
      <c r="O77" s="63">
        <v>0.57718120805369133</v>
      </c>
      <c r="P77" s="63">
        <v>0.40277777777777779</v>
      </c>
      <c r="Q77" s="63">
        <v>0.44970414201183434</v>
      </c>
    </row>
    <row r="78" spans="1:17" x14ac:dyDescent="0.4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0.08</v>
      </c>
      <c r="M78" s="63">
        <v>0.25666666666666665</v>
      </c>
      <c r="N78" s="63">
        <v>0.24166666666666667</v>
      </c>
      <c r="O78" s="63">
        <v>0.5714285714285714</v>
      </c>
      <c r="P78" s="63">
        <v>0.4</v>
      </c>
      <c r="Q78" s="63">
        <v>0.45029239766081869</v>
      </c>
    </row>
    <row r="79" spans="1:17" x14ac:dyDescent="0.4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7.8947368421052627E-2</v>
      </c>
      <c r="M79" s="63">
        <v>0.25577557755775576</v>
      </c>
      <c r="N79" s="63">
        <v>0.24092409240924093</v>
      </c>
      <c r="O79" s="63">
        <v>0.5741935483870968</v>
      </c>
      <c r="P79" s="63">
        <v>0.4041095890410959</v>
      </c>
      <c r="Q79" s="63">
        <v>0.45086705202312138</v>
      </c>
    </row>
    <row r="80" spans="1:17" x14ac:dyDescent="0.4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7.792207792207792E-2</v>
      </c>
      <c r="M80" s="63">
        <v>0.25283630470016205</v>
      </c>
      <c r="N80" s="63">
        <v>0.23824959481361427</v>
      </c>
      <c r="O80" s="63">
        <v>0.57051282051282048</v>
      </c>
      <c r="P80" s="63">
        <v>0.40136054421768708</v>
      </c>
      <c r="Q80" s="63">
        <v>0.45086705202312138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28074-42DF-4E6D-8D33-C62B48F3A3ED}">
  <sheetPr codeName="Sheet16"/>
  <dimension ref="A1:Q5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177</v>
      </c>
      <c r="B1" s="66" t="s">
        <v>177</v>
      </c>
      <c r="C1" s="66" t="s">
        <v>177</v>
      </c>
      <c r="D1" s="67" t="s">
        <v>177</v>
      </c>
      <c r="E1" s="66" t="s">
        <v>177</v>
      </c>
      <c r="F1" s="66" t="s">
        <v>177</v>
      </c>
      <c r="G1" s="66" t="s">
        <v>177</v>
      </c>
      <c r="H1" s="66" t="s">
        <v>177</v>
      </c>
      <c r="I1" s="66" t="s">
        <v>177</v>
      </c>
      <c r="J1" s="66" t="s">
        <v>177</v>
      </c>
      <c r="K1" s="66" t="s">
        <v>177</v>
      </c>
      <c r="L1" s="66" t="s">
        <v>177</v>
      </c>
      <c r="M1" s="66" t="s">
        <v>177</v>
      </c>
      <c r="N1" s="66" t="s">
        <v>177</v>
      </c>
      <c r="O1" s="66" t="s">
        <v>177</v>
      </c>
      <c r="P1" s="66" t="s">
        <v>177</v>
      </c>
      <c r="Q1" s="66" t="s">
        <v>177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</v>
      </c>
      <c r="M4" s="63">
        <v>0.18181818181818182</v>
      </c>
      <c r="N4" s="63">
        <v>0.18181818181818182</v>
      </c>
      <c r="O4" s="63">
        <v>0.5</v>
      </c>
      <c r="P4" s="63">
        <v>0.5</v>
      </c>
      <c r="Q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</v>
      </c>
      <c r="M5" s="63">
        <v>0.15</v>
      </c>
      <c r="N5" s="63">
        <v>0.1</v>
      </c>
      <c r="O5" s="63">
        <v>0.66666666666666663</v>
      </c>
      <c r="P5" s="63">
        <v>0.5</v>
      </c>
      <c r="Q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</v>
      </c>
      <c r="M6" s="63">
        <v>0.2</v>
      </c>
      <c r="N6" s="63">
        <v>0.23333333333333334</v>
      </c>
      <c r="O6" s="63">
        <v>0.33333333333333331</v>
      </c>
      <c r="P6" s="63">
        <v>0.2857142857142857</v>
      </c>
      <c r="Q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0.25</v>
      </c>
      <c r="M7" s="63">
        <v>0.22222222222222221</v>
      </c>
      <c r="N7" s="63">
        <v>0.25</v>
      </c>
      <c r="O7" s="63">
        <v>0.5</v>
      </c>
      <c r="P7" s="63">
        <v>0.33333333333333331</v>
      </c>
      <c r="Q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0.2</v>
      </c>
      <c r="M8" s="63">
        <v>0.17777777777777778</v>
      </c>
      <c r="N8" s="63">
        <v>0.24444444444444444</v>
      </c>
      <c r="O8" s="63">
        <v>0.5</v>
      </c>
      <c r="P8" s="63">
        <v>0.36363636363636365</v>
      </c>
      <c r="Q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0.33333333333333331</v>
      </c>
      <c r="M9" s="63">
        <v>0.17391304347826086</v>
      </c>
      <c r="N9" s="63">
        <v>0.2391304347826087</v>
      </c>
      <c r="O9" s="63">
        <v>0.5</v>
      </c>
      <c r="P9" s="63">
        <v>0.36363636363636365</v>
      </c>
      <c r="Q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0.2857142857142857</v>
      </c>
      <c r="M10" s="63">
        <v>0.15094339622641509</v>
      </c>
      <c r="N10" s="63">
        <v>0.30188679245283018</v>
      </c>
      <c r="O10" s="63">
        <v>0.5</v>
      </c>
      <c r="P10" s="63">
        <v>0.4375</v>
      </c>
      <c r="Q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0.25</v>
      </c>
      <c r="M11" s="63">
        <v>0.18032786885245902</v>
      </c>
      <c r="N11" s="63">
        <v>0.26229508196721313</v>
      </c>
      <c r="O11" s="63">
        <v>0.36363636363636365</v>
      </c>
      <c r="P11" s="63">
        <v>0.4375</v>
      </c>
      <c r="Q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0.22222222222222221</v>
      </c>
      <c r="M12" s="63">
        <v>0.22388059701492538</v>
      </c>
      <c r="N12" s="63">
        <v>0.2537313432835821</v>
      </c>
      <c r="O12" s="63">
        <v>0.33333333333333331</v>
      </c>
      <c r="P12" s="63">
        <v>0.41176470588235292</v>
      </c>
      <c r="Q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0.2</v>
      </c>
      <c r="M13" s="63">
        <v>0.19736842105263158</v>
      </c>
      <c r="N13" s="63">
        <v>0.28947368421052633</v>
      </c>
      <c r="O13" s="63">
        <v>0.33333333333333331</v>
      </c>
      <c r="P13" s="63">
        <v>0.45454545454545453</v>
      </c>
      <c r="Q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0.18181818181818182</v>
      </c>
      <c r="M14" s="63">
        <v>0.20238095238095238</v>
      </c>
      <c r="N14" s="63">
        <v>0.26190476190476192</v>
      </c>
      <c r="O14" s="63">
        <v>0.29411764705882354</v>
      </c>
      <c r="P14" s="63">
        <v>0.45454545454545453</v>
      </c>
      <c r="Q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0.25</v>
      </c>
      <c r="M15" s="63">
        <v>0.18888888888888888</v>
      </c>
      <c r="N15" s="63">
        <v>0.25555555555555554</v>
      </c>
      <c r="O15" s="63">
        <v>0.29411764705882354</v>
      </c>
      <c r="P15" s="63">
        <v>0.47826086956521741</v>
      </c>
      <c r="Q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0.23076923076923078</v>
      </c>
      <c r="M16" s="63">
        <v>0.21212121212121213</v>
      </c>
      <c r="N16" s="63">
        <v>0.25252525252525254</v>
      </c>
      <c r="O16" s="63">
        <v>0.23809523809523808</v>
      </c>
      <c r="P16" s="63">
        <v>0.48</v>
      </c>
      <c r="Q16" s="63">
        <v>0.31818181818181818</v>
      </c>
    </row>
    <row r="17" spans="1:17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0.2857142857142857</v>
      </c>
      <c r="M17" s="63">
        <v>0.22641509433962265</v>
      </c>
      <c r="N17" s="63">
        <v>0.23584905660377359</v>
      </c>
      <c r="O17" s="63">
        <v>0.25</v>
      </c>
      <c r="P17" s="63">
        <v>0.48</v>
      </c>
      <c r="Q17" s="63">
        <v>0.33333333333333331</v>
      </c>
    </row>
    <row r="18" spans="1:17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0.26666666666666666</v>
      </c>
      <c r="M18" s="63">
        <v>0.22950819672131148</v>
      </c>
      <c r="N18" s="63">
        <v>0.23770491803278687</v>
      </c>
      <c r="O18" s="63">
        <v>0.25</v>
      </c>
      <c r="P18" s="63">
        <v>0.44827586206896552</v>
      </c>
      <c r="Q18" s="63">
        <v>0.29629629629629628</v>
      </c>
    </row>
    <row r="19" spans="1:17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0.25</v>
      </c>
      <c r="M19" s="63">
        <v>0.24031007751937986</v>
      </c>
      <c r="N19" s="63">
        <v>0.23255813953488372</v>
      </c>
      <c r="O19" s="63">
        <v>0.29032258064516131</v>
      </c>
      <c r="P19" s="63">
        <v>0.46666666666666667</v>
      </c>
      <c r="Q19" s="63">
        <v>0.36666666666666664</v>
      </c>
    </row>
    <row r="20" spans="1:17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0.23529411764705882</v>
      </c>
      <c r="M20" s="63">
        <v>0.24817518248175183</v>
      </c>
      <c r="N20" s="63">
        <v>0.22627737226277372</v>
      </c>
      <c r="O20" s="63">
        <v>0.3235294117647059</v>
      </c>
      <c r="P20" s="63">
        <v>0.4838709677419355</v>
      </c>
      <c r="Q20" s="63">
        <v>0.39393939393939392</v>
      </c>
    </row>
    <row r="21" spans="1:17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0.22222222222222221</v>
      </c>
      <c r="M21" s="63">
        <v>0.25517241379310346</v>
      </c>
      <c r="N21" s="63">
        <v>0.23448275862068965</v>
      </c>
      <c r="O21" s="63">
        <v>0.32432432432432434</v>
      </c>
      <c r="P21" s="63">
        <v>0.47058823529411764</v>
      </c>
      <c r="Q21" s="63">
        <v>0.41666666666666669</v>
      </c>
    </row>
    <row r="22" spans="1:17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0.21052631578947367</v>
      </c>
      <c r="M22" s="63">
        <v>0.25641025641025639</v>
      </c>
      <c r="N22" s="63">
        <v>0.22435897435897437</v>
      </c>
      <c r="O22" s="63">
        <v>0.35</v>
      </c>
      <c r="P22" s="63">
        <v>0.48571428571428571</v>
      </c>
      <c r="Q22" s="63">
        <v>0.41025641025641024</v>
      </c>
    </row>
    <row r="23" spans="1:17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</v>
      </c>
      <c r="M23" s="63">
        <v>0.26543209876543211</v>
      </c>
      <c r="N23" s="63">
        <v>0.22222222222222221</v>
      </c>
      <c r="O23" s="63">
        <v>0.34883720930232559</v>
      </c>
      <c r="P23" s="63">
        <v>0.47222222222222221</v>
      </c>
      <c r="Q23" s="63">
        <v>0.4</v>
      </c>
    </row>
    <row r="24" spans="1:17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0.19047619047619047</v>
      </c>
      <c r="M24" s="63">
        <v>0.26035502958579881</v>
      </c>
      <c r="N24" s="63">
        <v>0.21893491124260356</v>
      </c>
      <c r="O24" s="63">
        <v>0.34090909090909088</v>
      </c>
      <c r="P24" s="63">
        <v>0.48648648648648651</v>
      </c>
      <c r="Q24" s="63">
        <v>0.3902439024390244</v>
      </c>
    </row>
    <row r="25" spans="1:17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0.22727272727272727</v>
      </c>
      <c r="M25" s="63">
        <v>0.25568181818181818</v>
      </c>
      <c r="N25" s="63">
        <v>0.23295454545454544</v>
      </c>
      <c r="O25" s="63">
        <v>0.35555555555555557</v>
      </c>
      <c r="P25" s="63">
        <v>0.51219512195121952</v>
      </c>
      <c r="Q25" s="63">
        <v>0.4</v>
      </c>
    </row>
    <row r="26" spans="1:17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0.21739130434782608</v>
      </c>
      <c r="M26" s="63">
        <v>0.25683060109289618</v>
      </c>
      <c r="N26" s="63">
        <v>0.22950819672131148</v>
      </c>
      <c r="O26" s="63">
        <v>0.36170212765957449</v>
      </c>
      <c r="P26" s="63">
        <v>0.52380952380952384</v>
      </c>
      <c r="Q26" s="63">
        <v>0.42553191489361702</v>
      </c>
    </row>
    <row r="27" spans="1:17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0.20833333333333334</v>
      </c>
      <c r="M27" s="63">
        <v>0.26178010471204188</v>
      </c>
      <c r="N27" s="63">
        <v>0.2356020942408377</v>
      </c>
      <c r="O27" s="63">
        <v>0.36</v>
      </c>
      <c r="P27" s="63">
        <v>0.48888888888888887</v>
      </c>
      <c r="Q27" s="63">
        <v>0.4375</v>
      </c>
    </row>
    <row r="28" spans="1:17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</v>
      </c>
      <c r="M28" s="63">
        <v>0.26903553299492383</v>
      </c>
      <c r="N28" s="63">
        <v>0.22842639593908629</v>
      </c>
      <c r="O28" s="63">
        <v>0.37735849056603776</v>
      </c>
      <c r="P28" s="63">
        <v>0.48888888888888887</v>
      </c>
      <c r="Q28" s="63">
        <v>0.46</v>
      </c>
    </row>
    <row r="29" spans="1:17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0.19230769230769232</v>
      </c>
      <c r="M29" s="63">
        <v>0.2722772277227723</v>
      </c>
      <c r="N29" s="63">
        <v>0.22277227722772278</v>
      </c>
      <c r="O29" s="63">
        <v>0.36363636363636365</v>
      </c>
      <c r="P29" s="63">
        <v>0.48888888888888887</v>
      </c>
      <c r="Q29" s="63">
        <v>0.46</v>
      </c>
    </row>
    <row r="30" spans="1:17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0.22222222222222221</v>
      </c>
      <c r="M30" s="63">
        <v>0.27619047619047621</v>
      </c>
      <c r="N30" s="63">
        <v>0.21904761904761905</v>
      </c>
      <c r="O30" s="63">
        <v>0.39655172413793105</v>
      </c>
      <c r="P30" s="63">
        <v>0.5</v>
      </c>
      <c r="Q30" s="63">
        <v>0.46296296296296297</v>
      </c>
    </row>
    <row r="31" spans="1:17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0.21428571428571427</v>
      </c>
      <c r="M31" s="63">
        <v>0.27777777777777779</v>
      </c>
      <c r="N31" s="63">
        <v>0.21759259259259259</v>
      </c>
      <c r="O31" s="63">
        <v>0.41666666666666669</v>
      </c>
      <c r="P31" s="63">
        <v>0.48936170212765956</v>
      </c>
      <c r="Q31" s="63">
        <v>0.4642857142857143</v>
      </c>
    </row>
    <row r="32" spans="1:17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0.20689655172413793</v>
      </c>
      <c r="M32" s="63">
        <v>0.27876106194690264</v>
      </c>
      <c r="N32" s="63">
        <v>0.21238938053097345</v>
      </c>
      <c r="O32" s="63">
        <v>0.3968253968253968</v>
      </c>
      <c r="P32" s="63">
        <v>0.5</v>
      </c>
      <c r="Q32" s="63">
        <v>0.45614035087719296</v>
      </c>
    </row>
    <row r="33" spans="1:17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0.23333333333333334</v>
      </c>
      <c r="M33" s="63">
        <v>0.2813852813852814</v>
      </c>
      <c r="N33" s="63">
        <v>0.21212121212121213</v>
      </c>
      <c r="O33" s="63">
        <v>0.4</v>
      </c>
      <c r="P33" s="63">
        <v>0.51020408163265307</v>
      </c>
      <c r="Q33" s="63">
        <v>0.45</v>
      </c>
    </row>
    <row r="34" spans="1:17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0.22580645161290322</v>
      </c>
      <c r="M34" s="63">
        <v>0.2857142857142857</v>
      </c>
      <c r="N34" s="63">
        <v>0.21428571428571427</v>
      </c>
      <c r="O34" s="63">
        <v>0.41176470588235292</v>
      </c>
      <c r="P34" s="63">
        <v>0.52941176470588236</v>
      </c>
      <c r="Q34" s="63">
        <v>0.453125</v>
      </c>
    </row>
    <row r="35" spans="1:17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0.21875</v>
      </c>
      <c r="M35" s="63">
        <v>0.28163265306122448</v>
      </c>
      <c r="N35" s="63">
        <v>0.20816326530612245</v>
      </c>
      <c r="O35" s="63">
        <v>0.42028985507246375</v>
      </c>
      <c r="P35" s="63">
        <v>0.52941176470588236</v>
      </c>
      <c r="Q35" s="63">
        <v>0.45454545454545453</v>
      </c>
    </row>
    <row r="36" spans="1:17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0.21212121212121213</v>
      </c>
      <c r="M36" s="63">
        <v>0.28174603174603174</v>
      </c>
      <c r="N36" s="63">
        <v>0.20634920634920634</v>
      </c>
      <c r="O36" s="63">
        <v>0.43661971830985913</v>
      </c>
      <c r="P36" s="63">
        <v>0.51923076923076927</v>
      </c>
      <c r="Q36" s="63">
        <v>0.44117647058823528</v>
      </c>
    </row>
    <row r="37" spans="1:17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0.20588235294117646</v>
      </c>
      <c r="M37" s="63">
        <v>0.28244274809160308</v>
      </c>
      <c r="N37" s="63">
        <v>0.21374045801526717</v>
      </c>
      <c r="O37" s="63">
        <v>0.44594594594594594</v>
      </c>
      <c r="P37" s="63">
        <v>0.5</v>
      </c>
      <c r="Q37" s="63">
        <v>0.45070422535211269</v>
      </c>
    </row>
    <row r="38" spans="1:17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</v>
      </c>
      <c r="M38" s="63">
        <v>0.2857142857142857</v>
      </c>
      <c r="N38" s="63">
        <v>0.20512820512820512</v>
      </c>
      <c r="O38" s="63">
        <v>0.44871794871794873</v>
      </c>
      <c r="P38" s="63">
        <v>0.5</v>
      </c>
      <c r="Q38" s="63">
        <v>0.46666666666666667</v>
      </c>
    </row>
    <row r="39" spans="1:17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0.19444444444444445</v>
      </c>
      <c r="M39" s="63">
        <v>0.28472222222222221</v>
      </c>
      <c r="N39" s="63">
        <v>0.19791666666666666</v>
      </c>
      <c r="O39" s="63">
        <v>0.45121951219512196</v>
      </c>
      <c r="P39" s="63">
        <v>0.49122807017543857</v>
      </c>
      <c r="Q39" s="63">
        <v>0.47435897435897434</v>
      </c>
    </row>
    <row r="40" spans="1:17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0.1891891891891892</v>
      </c>
      <c r="M40" s="63">
        <v>0.28813559322033899</v>
      </c>
      <c r="N40" s="63">
        <v>0.2</v>
      </c>
      <c r="O40" s="63">
        <v>0.45882352941176469</v>
      </c>
      <c r="P40" s="63">
        <v>0.49152542372881358</v>
      </c>
      <c r="Q40" s="63">
        <v>0.48780487804878048</v>
      </c>
    </row>
    <row r="41" spans="1:17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0.18421052631578946</v>
      </c>
      <c r="M41" s="63">
        <v>0.29180327868852457</v>
      </c>
      <c r="N41" s="63">
        <v>0.20327868852459016</v>
      </c>
      <c r="O41" s="63">
        <v>0.4606741573033708</v>
      </c>
      <c r="P41" s="63">
        <v>0.4838709677419355</v>
      </c>
      <c r="Q41" s="63">
        <v>0.47058823529411764</v>
      </c>
    </row>
    <row r="42" spans="1:17" x14ac:dyDescent="0.4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0.17948717948717949</v>
      </c>
      <c r="M42" s="63">
        <v>0.29392971246006389</v>
      </c>
      <c r="N42" s="63">
        <v>0.20447284345047922</v>
      </c>
      <c r="O42" s="63">
        <v>0.45652173913043476</v>
      </c>
      <c r="P42" s="63">
        <v>0.46875</v>
      </c>
      <c r="Q42" s="63">
        <v>0.47674418604651164</v>
      </c>
    </row>
    <row r="43" spans="1:17" x14ac:dyDescent="0.4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0.17499999999999999</v>
      </c>
      <c r="M43" s="63">
        <v>0.29595015576323985</v>
      </c>
      <c r="N43" s="63">
        <v>0.20249221183800623</v>
      </c>
      <c r="O43" s="63">
        <v>0.4631578947368421</v>
      </c>
      <c r="P43" s="63">
        <v>0.47692307692307695</v>
      </c>
      <c r="Q43" s="63">
        <v>0.47191011235955055</v>
      </c>
    </row>
    <row r="44" spans="1:17" x14ac:dyDescent="0.4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0.17073170731707318</v>
      </c>
      <c r="M44" s="63">
        <v>0.30303030303030304</v>
      </c>
      <c r="N44" s="63">
        <v>0.2</v>
      </c>
      <c r="O44" s="63">
        <v>0.47</v>
      </c>
      <c r="P44" s="63">
        <v>0.46969696969696972</v>
      </c>
      <c r="Q44" s="63">
        <v>0.47826086956521741</v>
      </c>
    </row>
    <row r="45" spans="1:17" x14ac:dyDescent="0.4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0.19047619047619047</v>
      </c>
      <c r="M45" s="63">
        <v>0.30746268656716419</v>
      </c>
      <c r="N45" s="63">
        <v>0.19701492537313434</v>
      </c>
      <c r="O45" s="63">
        <v>0.4854368932038835</v>
      </c>
      <c r="P45" s="63">
        <v>0.46969696969696972</v>
      </c>
      <c r="Q45" s="63">
        <v>0.47368421052631576</v>
      </c>
    </row>
    <row r="46" spans="1:17" x14ac:dyDescent="0.4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0.18604651162790697</v>
      </c>
      <c r="M46" s="63">
        <v>0.30144927536231886</v>
      </c>
      <c r="N46" s="63">
        <v>0.2</v>
      </c>
      <c r="O46" s="63">
        <v>0.48076923076923078</v>
      </c>
      <c r="P46" s="63">
        <v>0.46376811594202899</v>
      </c>
      <c r="Q46" s="63">
        <v>0.46875</v>
      </c>
    </row>
    <row r="47" spans="1:17" x14ac:dyDescent="0.4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0.18181818181818182</v>
      </c>
      <c r="M47" s="63">
        <v>0.30311614730878189</v>
      </c>
      <c r="N47" s="63">
        <v>0.20113314447592068</v>
      </c>
      <c r="O47" s="63">
        <v>0.49532710280373832</v>
      </c>
      <c r="P47" s="63">
        <v>0.45070422535211269</v>
      </c>
      <c r="Q47" s="63">
        <v>0.46464646464646464</v>
      </c>
    </row>
    <row r="48" spans="1:17" x14ac:dyDescent="0.4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0.17777777777777778</v>
      </c>
      <c r="M48" s="63">
        <v>0.29945054945054944</v>
      </c>
      <c r="N48" s="63">
        <v>0.20054945054945056</v>
      </c>
      <c r="O48" s="63">
        <v>0.49541284403669728</v>
      </c>
      <c r="P48" s="63">
        <v>0.45205479452054792</v>
      </c>
      <c r="Q48" s="63">
        <v>0.46534653465346537</v>
      </c>
    </row>
    <row r="49" spans="1:17" x14ac:dyDescent="0.4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0.19565217391304349</v>
      </c>
      <c r="M49" s="63">
        <v>0.31016042780748665</v>
      </c>
      <c r="N49" s="63">
        <v>0.20053475935828877</v>
      </c>
      <c r="O49" s="63">
        <v>0.50862068965517238</v>
      </c>
      <c r="P49" s="63">
        <v>0.45333333333333331</v>
      </c>
      <c r="Q49" s="63">
        <v>0.46728971962616822</v>
      </c>
    </row>
    <row r="50" spans="1:17" x14ac:dyDescent="0.4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0.19148936170212766</v>
      </c>
      <c r="M50" s="63">
        <v>0.31675392670157065</v>
      </c>
      <c r="N50" s="63">
        <v>0.19633507853403143</v>
      </c>
      <c r="O50" s="63">
        <v>0.51239669421487599</v>
      </c>
      <c r="P50" s="63">
        <v>0.45333333333333331</v>
      </c>
      <c r="Q50" s="63">
        <v>0.47272727272727272</v>
      </c>
    </row>
    <row r="51" spans="1:17" x14ac:dyDescent="0.4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0.20833333333333334</v>
      </c>
      <c r="M51" s="63">
        <v>0.32133676092544988</v>
      </c>
      <c r="N51" s="63">
        <v>0.19537275064267351</v>
      </c>
      <c r="O51" s="63">
        <v>0.52800000000000002</v>
      </c>
      <c r="P51" s="63">
        <v>0.46052631578947367</v>
      </c>
      <c r="Q51" s="63">
        <v>0.46956521739130436</v>
      </c>
    </row>
    <row r="52" spans="1:17" x14ac:dyDescent="0.4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0.20408163265306123</v>
      </c>
      <c r="M52" s="63">
        <v>0.32070707070707072</v>
      </c>
      <c r="N52" s="63">
        <v>0.19696969696969696</v>
      </c>
      <c r="O52" s="63">
        <v>0.52755905511811019</v>
      </c>
      <c r="P52" s="63">
        <v>0.46153846153846156</v>
      </c>
      <c r="Q52" s="63">
        <v>0.46153846153846156</v>
      </c>
    </row>
    <row r="53" spans="1:17" x14ac:dyDescent="0.4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0.22</v>
      </c>
      <c r="M53" s="63">
        <v>0.31920199501246882</v>
      </c>
      <c r="N53" s="63">
        <v>0.19451371571072318</v>
      </c>
      <c r="O53" s="63">
        <v>0.53125</v>
      </c>
      <c r="P53" s="63">
        <v>0.46153846153846156</v>
      </c>
      <c r="Q53" s="63">
        <v>0.46610169491525422</v>
      </c>
    </row>
    <row r="54" spans="1:17" x14ac:dyDescent="0.4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0.21568627450980393</v>
      </c>
      <c r="M54" s="63">
        <v>0.32107843137254904</v>
      </c>
      <c r="N54" s="63">
        <v>0.19117647058823528</v>
      </c>
      <c r="O54" s="63">
        <v>0.52671755725190839</v>
      </c>
      <c r="P54" s="63">
        <v>0.46153846153846156</v>
      </c>
      <c r="Q54" s="63">
        <v>0.47499999999999998</v>
      </c>
    </row>
    <row r="55" spans="1:17" x14ac:dyDescent="0.4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0.21153846153846154</v>
      </c>
      <c r="M55" s="63">
        <v>0.32692307692307693</v>
      </c>
      <c r="N55" s="63">
        <v>0.18990384615384615</v>
      </c>
      <c r="O55" s="63">
        <v>0.53676470588235292</v>
      </c>
      <c r="P55" s="63">
        <v>0.46835443037974683</v>
      </c>
      <c r="Q55" s="63">
        <v>0.48799999999999999</v>
      </c>
    </row>
    <row r="56" spans="1:17" x14ac:dyDescent="0.4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0.20754716981132076</v>
      </c>
      <c r="M56" s="63">
        <v>0.32938388625592419</v>
      </c>
      <c r="N56" s="63">
        <v>0.1872037914691943</v>
      </c>
      <c r="O56" s="63">
        <v>0.53237410071942448</v>
      </c>
      <c r="P56" s="63">
        <v>0.46835443037974683</v>
      </c>
      <c r="Q56" s="63">
        <v>0.49206349206349204</v>
      </c>
    </row>
    <row r="57" spans="1:17" x14ac:dyDescent="0.4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0.20370370370370369</v>
      </c>
      <c r="M57" s="63">
        <v>0.32558139534883723</v>
      </c>
      <c r="N57" s="63">
        <v>0.18604651162790697</v>
      </c>
      <c r="O57" s="63">
        <v>0.5357142857142857</v>
      </c>
      <c r="P57" s="63">
        <v>0.46250000000000002</v>
      </c>
      <c r="Q57" s="63">
        <v>0.49612403100775193</v>
      </c>
    </row>
    <row r="58" spans="1:17" x14ac:dyDescent="0.4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0.2</v>
      </c>
      <c r="M58" s="63">
        <v>0.32118451025056949</v>
      </c>
      <c r="N58" s="63">
        <v>0.18223234624145787</v>
      </c>
      <c r="O58" s="63">
        <v>0.53191489361702127</v>
      </c>
      <c r="P58" s="63">
        <v>0.46250000000000002</v>
      </c>
      <c r="Q58" s="63">
        <v>0.49612403100775193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D5BD0-EC4F-4029-B08D-32CB7FCDEF5C}">
  <sheetPr codeName="Sheet14"/>
  <dimension ref="A1:Q62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179</v>
      </c>
      <c r="B1" s="66" t="s">
        <v>179</v>
      </c>
      <c r="C1" s="66" t="s">
        <v>179</v>
      </c>
      <c r="D1" s="67" t="s">
        <v>179</v>
      </c>
      <c r="E1" s="66" t="s">
        <v>179</v>
      </c>
      <c r="F1" s="66" t="s">
        <v>179</v>
      </c>
      <c r="G1" s="66" t="s">
        <v>179</v>
      </c>
      <c r="H1" s="66" t="s">
        <v>179</v>
      </c>
      <c r="I1" s="66" t="s">
        <v>179</v>
      </c>
      <c r="J1" s="66" t="s">
        <v>179</v>
      </c>
      <c r="K1" s="66" t="s">
        <v>179</v>
      </c>
      <c r="L1" s="66" t="s">
        <v>179</v>
      </c>
      <c r="M1" s="66" t="s">
        <v>179</v>
      </c>
      <c r="N1" s="66" t="s">
        <v>179</v>
      </c>
      <c r="O1" s="66" t="s">
        <v>179</v>
      </c>
      <c r="P1" s="66" t="s">
        <v>179</v>
      </c>
      <c r="Q1" s="66" t="s">
        <v>179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</v>
      </c>
      <c r="M4" s="63">
        <v>0.27272727272727271</v>
      </c>
      <c r="N4" s="63">
        <v>0</v>
      </c>
      <c r="O4" s="63">
        <v>0</v>
      </c>
      <c r="P4" s="63">
        <v>0</v>
      </c>
      <c r="Q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</v>
      </c>
      <c r="M5" s="63">
        <v>0.26315789473684209</v>
      </c>
      <c r="N5" s="63">
        <v>0.26315789473684209</v>
      </c>
      <c r="O5" s="63">
        <v>0.4</v>
      </c>
      <c r="P5" s="63">
        <v>0.2</v>
      </c>
      <c r="Q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</v>
      </c>
      <c r="M6" s="63">
        <v>0.26666666666666666</v>
      </c>
      <c r="N6" s="63">
        <v>0.23333333333333334</v>
      </c>
      <c r="O6" s="63">
        <v>0.625</v>
      </c>
      <c r="P6" s="63">
        <v>0.14285714285714285</v>
      </c>
      <c r="Q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</v>
      </c>
      <c r="M7" s="63">
        <v>0.25641025641025639</v>
      </c>
      <c r="N7" s="63">
        <v>0.23076923076923078</v>
      </c>
      <c r="O7" s="63">
        <v>0.7</v>
      </c>
      <c r="P7" s="63">
        <v>0.1111111111111111</v>
      </c>
      <c r="Q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</v>
      </c>
      <c r="M8" s="63">
        <v>0.26530612244897961</v>
      </c>
      <c r="N8" s="63">
        <v>0.20408163265306123</v>
      </c>
      <c r="O8" s="63">
        <v>0.69230769230769229</v>
      </c>
      <c r="P8" s="63">
        <v>0.2</v>
      </c>
      <c r="Q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</v>
      </c>
      <c r="M9" s="63">
        <v>0.2807017543859649</v>
      </c>
      <c r="N9" s="63">
        <v>0.21052631578947367</v>
      </c>
      <c r="O9" s="63">
        <v>0.625</v>
      </c>
      <c r="P9" s="63">
        <v>0.25</v>
      </c>
      <c r="Q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</v>
      </c>
      <c r="M10" s="63">
        <v>0.26865671641791045</v>
      </c>
      <c r="N10" s="63">
        <v>0.19402985074626866</v>
      </c>
      <c r="O10" s="63">
        <v>0.66666666666666663</v>
      </c>
      <c r="P10" s="63">
        <v>0.23076923076923078</v>
      </c>
      <c r="Q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</v>
      </c>
      <c r="M11" s="63">
        <v>0.25</v>
      </c>
      <c r="N11" s="63">
        <v>0.19736842105263158</v>
      </c>
      <c r="O11" s="63">
        <v>0.63157894736842102</v>
      </c>
      <c r="P11" s="63">
        <v>0.2</v>
      </c>
      <c r="Q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</v>
      </c>
      <c r="M12" s="63">
        <v>0.24705882352941178</v>
      </c>
      <c r="N12" s="63">
        <v>0.17647058823529413</v>
      </c>
      <c r="O12" s="63">
        <v>0.61904761904761907</v>
      </c>
      <c r="P12" s="63">
        <v>0.2</v>
      </c>
      <c r="Q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</v>
      </c>
      <c r="M13" s="63">
        <v>0.23958333333333334</v>
      </c>
      <c r="N13" s="63">
        <v>0.15625</v>
      </c>
      <c r="O13" s="63">
        <v>0.56521739130434778</v>
      </c>
      <c r="P13" s="63">
        <v>0.2</v>
      </c>
      <c r="Q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</v>
      </c>
      <c r="M14" s="63">
        <v>0.24</v>
      </c>
      <c r="N14" s="63">
        <v>0.15</v>
      </c>
      <c r="O14" s="63">
        <v>0.54166666666666663</v>
      </c>
      <c r="P14" s="63">
        <v>0.2</v>
      </c>
      <c r="Q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</v>
      </c>
      <c r="M15" s="63">
        <v>0.24545454545454545</v>
      </c>
      <c r="N15" s="63">
        <v>0.15454545454545454</v>
      </c>
      <c r="O15" s="63">
        <v>0.59259259259259256</v>
      </c>
      <c r="P15" s="63">
        <v>0.17647058823529413</v>
      </c>
      <c r="Q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</v>
      </c>
      <c r="M16" s="63">
        <v>0.26050420168067229</v>
      </c>
      <c r="N16" s="63">
        <v>0.15966386554621848</v>
      </c>
      <c r="O16" s="63">
        <v>0.58064516129032262</v>
      </c>
      <c r="P16" s="63">
        <v>0.15789473684210525</v>
      </c>
      <c r="Q16" s="63">
        <v>0.32142857142857145</v>
      </c>
    </row>
    <row r="17" spans="1:17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</v>
      </c>
      <c r="M17" s="63">
        <v>0.25</v>
      </c>
      <c r="N17" s="63">
        <v>0.171875</v>
      </c>
      <c r="O17" s="63">
        <v>0.59375</v>
      </c>
      <c r="P17" s="63">
        <v>0.22727272727272727</v>
      </c>
      <c r="Q17" s="63">
        <v>0.35483870967741937</v>
      </c>
    </row>
    <row r="18" spans="1:17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</v>
      </c>
      <c r="M18" s="63">
        <v>0.25362318840579712</v>
      </c>
      <c r="N18" s="63">
        <v>0.18840579710144928</v>
      </c>
      <c r="O18" s="63">
        <v>0.6</v>
      </c>
      <c r="P18" s="63">
        <v>0.26923076923076922</v>
      </c>
      <c r="Q18" s="63">
        <v>0.37142857142857144</v>
      </c>
    </row>
    <row r="19" spans="1:17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</v>
      </c>
      <c r="M19" s="63">
        <v>0.25333333333333335</v>
      </c>
      <c r="N19" s="63">
        <v>0.19333333333333333</v>
      </c>
      <c r="O19" s="63">
        <v>0.60526315789473684</v>
      </c>
      <c r="P19" s="63">
        <v>0.31034482758620691</v>
      </c>
      <c r="Q19" s="63">
        <v>0.375</v>
      </c>
    </row>
    <row r="20" spans="1:17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</v>
      </c>
      <c r="M20" s="63">
        <v>0.24203821656050956</v>
      </c>
      <c r="N20" s="63">
        <v>0.18471337579617833</v>
      </c>
      <c r="O20" s="63">
        <v>0.60526315789473684</v>
      </c>
      <c r="P20" s="63">
        <v>0.31034482758620691</v>
      </c>
      <c r="Q20" s="63">
        <v>0.375</v>
      </c>
    </row>
    <row r="21" spans="1:17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</v>
      </c>
      <c r="M21" s="63">
        <v>0.25149700598802394</v>
      </c>
      <c r="N21" s="63">
        <v>0.19161676646706588</v>
      </c>
      <c r="O21" s="63">
        <v>0.59523809523809523</v>
      </c>
      <c r="P21" s="63">
        <v>0.34375</v>
      </c>
      <c r="Q21" s="63">
        <v>0.38636363636363635</v>
      </c>
    </row>
    <row r="22" spans="1:17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</v>
      </c>
      <c r="M22" s="63">
        <v>0.24858757062146894</v>
      </c>
      <c r="N22" s="63">
        <v>0.19774011299435029</v>
      </c>
      <c r="O22" s="63">
        <v>0.59090909090909094</v>
      </c>
      <c r="P22" s="63">
        <v>0.4</v>
      </c>
      <c r="Q22" s="63">
        <v>0.36734693877551022</v>
      </c>
    </row>
    <row r="23" spans="1:17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0.05</v>
      </c>
      <c r="M23" s="63">
        <v>0.24861878453038674</v>
      </c>
      <c r="N23" s="63">
        <v>0.20441988950276244</v>
      </c>
      <c r="O23" s="63">
        <v>0.6</v>
      </c>
      <c r="P23" s="63">
        <v>0.40540540540540543</v>
      </c>
      <c r="Q23" s="63">
        <v>0.35294117647058826</v>
      </c>
    </row>
    <row r="24" spans="1:17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9.5238095238095233E-2</v>
      </c>
      <c r="M24" s="63">
        <v>0.25133689839572193</v>
      </c>
      <c r="N24" s="63">
        <v>0.20855614973262032</v>
      </c>
      <c r="O24" s="63">
        <v>0.61702127659574468</v>
      </c>
      <c r="P24" s="63">
        <v>0.4358974358974359</v>
      </c>
      <c r="Q24" s="63">
        <v>0.34545454545454546</v>
      </c>
    </row>
    <row r="25" spans="1:17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9.0909090909090912E-2</v>
      </c>
      <c r="M25" s="63">
        <v>0.24615384615384617</v>
      </c>
      <c r="N25" s="63">
        <v>0.2</v>
      </c>
      <c r="O25" s="63">
        <v>0.625</v>
      </c>
      <c r="P25" s="63">
        <v>0.4358974358974359</v>
      </c>
      <c r="Q25" s="63">
        <v>0.35714285714285715</v>
      </c>
    </row>
    <row r="26" spans="1:17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8.6956521739130432E-2</v>
      </c>
      <c r="M26" s="63">
        <v>0.25247524752475248</v>
      </c>
      <c r="N26" s="63">
        <v>0.19801980198019803</v>
      </c>
      <c r="O26" s="63">
        <v>0.6470588235294118</v>
      </c>
      <c r="P26" s="63">
        <v>0.42499999999999999</v>
      </c>
      <c r="Q26" s="63">
        <v>0.3728813559322034</v>
      </c>
    </row>
    <row r="27" spans="1:17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8.3333333333333329E-2</v>
      </c>
      <c r="M27" s="63">
        <v>0.26666666666666666</v>
      </c>
      <c r="N27" s="63">
        <v>0.19047619047619047</v>
      </c>
      <c r="O27" s="63">
        <v>0.6071428571428571</v>
      </c>
      <c r="P27" s="63">
        <v>0.42499999999999999</v>
      </c>
      <c r="Q27" s="63">
        <v>0.37096774193548387</v>
      </c>
    </row>
    <row r="28" spans="1:17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0.08</v>
      </c>
      <c r="M28" s="63">
        <v>0.28440366972477066</v>
      </c>
      <c r="N28" s="63">
        <v>0.18807339449541285</v>
      </c>
      <c r="O28" s="63">
        <v>0.58064516129032262</v>
      </c>
      <c r="P28" s="63">
        <v>0.41463414634146339</v>
      </c>
      <c r="Q28" s="63">
        <v>0.375</v>
      </c>
    </row>
    <row r="29" spans="1:17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7.6923076923076927E-2</v>
      </c>
      <c r="M29" s="63">
        <v>0.28000000000000003</v>
      </c>
      <c r="N29" s="63">
        <v>0.18666666666666668</v>
      </c>
      <c r="O29" s="63">
        <v>0.5714285714285714</v>
      </c>
      <c r="P29" s="63">
        <v>0.40476190476190477</v>
      </c>
      <c r="Q29" s="63">
        <v>0.375</v>
      </c>
    </row>
    <row r="30" spans="1:17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7.407407407407407E-2</v>
      </c>
      <c r="M30" s="63">
        <v>0.27896995708154504</v>
      </c>
      <c r="N30" s="63">
        <v>0.19313304721030042</v>
      </c>
      <c r="O30" s="63">
        <v>0.56923076923076921</v>
      </c>
      <c r="P30" s="63">
        <v>0.42222222222222222</v>
      </c>
      <c r="Q30" s="63">
        <v>0.38805970149253732</v>
      </c>
    </row>
    <row r="31" spans="1:17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7.1428571428571425E-2</v>
      </c>
      <c r="M31" s="63">
        <v>0.27800829875518673</v>
      </c>
      <c r="N31" s="63">
        <v>0.18672199170124482</v>
      </c>
      <c r="O31" s="63">
        <v>0.58208955223880599</v>
      </c>
      <c r="P31" s="63">
        <v>0.42222222222222222</v>
      </c>
      <c r="Q31" s="63">
        <v>0.37681159420289856</v>
      </c>
    </row>
    <row r="32" spans="1:17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6.8965517241379309E-2</v>
      </c>
      <c r="M32" s="63">
        <v>0.27822580645161288</v>
      </c>
      <c r="N32" s="63">
        <v>0.18145161290322581</v>
      </c>
      <c r="O32" s="63">
        <v>0.59420289855072461</v>
      </c>
      <c r="P32" s="63">
        <v>0.42222222222222222</v>
      </c>
      <c r="Q32" s="63">
        <v>0.39436619718309857</v>
      </c>
    </row>
    <row r="33" spans="1:17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6.6666666666666666E-2</v>
      </c>
      <c r="M33" s="63">
        <v>0.28125</v>
      </c>
      <c r="N33" s="63">
        <v>0.1796875</v>
      </c>
      <c r="O33" s="63">
        <v>0.58333333333333337</v>
      </c>
      <c r="P33" s="63">
        <v>0.43478260869565216</v>
      </c>
      <c r="Q33" s="63">
        <v>0.38356164383561642</v>
      </c>
    </row>
    <row r="34" spans="1:17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6.4516129032258063E-2</v>
      </c>
      <c r="M34" s="63">
        <v>0.2808988764044944</v>
      </c>
      <c r="N34" s="63">
        <v>0.1797752808988764</v>
      </c>
      <c r="O34" s="63">
        <v>0.58666666666666667</v>
      </c>
      <c r="P34" s="63">
        <v>0.4375</v>
      </c>
      <c r="Q34" s="63">
        <v>0.38157894736842107</v>
      </c>
    </row>
    <row r="35" spans="1:17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6.25E-2</v>
      </c>
      <c r="M35" s="63">
        <v>0.27536231884057971</v>
      </c>
      <c r="N35" s="63">
        <v>0.18115942028985507</v>
      </c>
      <c r="O35" s="63">
        <v>0.57894736842105265</v>
      </c>
      <c r="P35" s="63">
        <v>0.44</v>
      </c>
      <c r="Q35" s="63">
        <v>0.38461538461538464</v>
      </c>
    </row>
    <row r="36" spans="1:17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6.0606060606060608E-2</v>
      </c>
      <c r="M36" s="63">
        <v>0.28521126760563381</v>
      </c>
      <c r="N36" s="63">
        <v>0.176056338028169</v>
      </c>
      <c r="O36" s="63">
        <v>0.58024691358024694</v>
      </c>
      <c r="P36" s="63">
        <v>0.44</v>
      </c>
      <c r="Q36" s="63">
        <v>0.39506172839506171</v>
      </c>
    </row>
    <row r="37" spans="1:17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5.8823529411764705E-2</v>
      </c>
      <c r="M37" s="63">
        <v>0.28135593220338984</v>
      </c>
      <c r="N37" s="63">
        <v>0.17627118644067796</v>
      </c>
      <c r="O37" s="63">
        <v>0.59036144578313254</v>
      </c>
      <c r="P37" s="63">
        <v>0.42307692307692307</v>
      </c>
      <c r="Q37" s="63">
        <v>0.39285714285714285</v>
      </c>
    </row>
    <row r="38" spans="1:17" x14ac:dyDescent="0.4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5.7142857142857141E-2</v>
      </c>
      <c r="M38" s="63">
        <v>0.27814569536423839</v>
      </c>
      <c r="N38" s="63">
        <v>0.17218543046357615</v>
      </c>
      <c r="O38" s="63">
        <v>0.59523809523809523</v>
      </c>
      <c r="P38" s="63">
        <v>0.42307692307692307</v>
      </c>
      <c r="Q38" s="63">
        <v>0.4</v>
      </c>
    </row>
    <row r="39" spans="1:17" x14ac:dyDescent="0.4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5.5555555555555552E-2</v>
      </c>
      <c r="M39" s="63">
        <v>0.28387096774193549</v>
      </c>
      <c r="N39" s="63">
        <v>0.17419354838709677</v>
      </c>
      <c r="O39" s="63">
        <v>0.59090909090909094</v>
      </c>
      <c r="P39" s="63">
        <v>0.40740740740740738</v>
      </c>
      <c r="Q39" s="63">
        <v>0.41379310344827586</v>
      </c>
    </row>
    <row r="40" spans="1:17" x14ac:dyDescent="0.4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5.4054054054054057E-2</v>
      </c>
      <c r="M40" s="63">
        <v>0.28253968253968254</v>
      </c>
      <c r="N40" s="63">
        <v>0.17142857142857143</v>
      </c>
      <c r="O40" s="63">
        <v>0.5955056179775281</v>
      </c>
      <c r="P40" s="63">
        <v>0.40740740740740738</v>
      </c>
      <c r="Q40" s="63">
        <v>0.40909090909090912</v>
      </c>
    </row>
    <row r="41" spans="1:17" x14ac:dyDescent="0.4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5.2631578947368418E-2</v>
      </c>
      <c r="M41" s="63">
        <v>0.28963414634146339</v>
      </c>
      <c r="N41" s="63">
        <v>0.1676829268292683</v>
      </c>
      <c r="O41" s="63">
        <v>0.58947368421052626</v>
      </c>
      <c r="P41" s="63">
        <v>0.4</v>
      </c>
      <c r="Q41" s="63">
        <v>0.41304347826086957</v>
      </c>
    </row>
    <row r="42" spans="1:17" x14ac:dyDescent="0.4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5.128205128205128E-2</v>
      </c>
      <c r="M42" s="63">
        <v>0.29289940828402367</v>
      </c>
      <c r="N42" s="63">
        <v>0.16568047337278108</v>
      </c>
      <c r="O42" s="63">
        <v>0.58585858585858586</v>
      </c>
      <c r="P42" s="63">
        <v>0.4107142857142857</v>
      </c>
      <c r="Q42" s="63">
        <v>0.42105263157894735</v>
      </c>
    </row>
    <row r="43" spans="1:17" x14ac:dyDescent="0.4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0.05</v>
      </c>
      <c r="M43" s="63">
        <v>0.29142857142857143</v>
      </c>
      <c r="N43" s="63">
        <v>0.16857142857142857</v>
      </c>
      <c r="O43" s="63">
        <v>0.59803921568627449</v>
      </c>
      <c r="P43" s="63">
        <v>0.42372881355932202</v>
      </c>
      <c r="Q43" s="63">
        <v>0.42</v>
      </c>
    </row>
    <row r="44" spans="1:17" x14ac:dyDescent="0.4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4.878048780487805E-2</v>
      </c>
      <c r="M44" s="63">
        <v>0.29329608938547486</v>
      </c>
      <c r="N44" s="63">
        <v>0.16480446927374301</v>
      </c>
      <c r="O44" s="63">
        <v>0.6</v>
      </c>
      <c r="P44" s="63">
        <v>0.42372881355932202</v>
      </c>
      <c r="Q44" s="63">
        <v>0.42156862745098039</v>
      </c>
    </row>
    <row r="45" spans="1:17" x14ac:dyDescent="0.4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4.7619047619047616E-2</v>
      </c>
      <c r="M45" s="63">
        <v>0.29234972677595628</v>
      </c>
      <c r="N45" s="63">
        <v>0.16939890710382513</v>
      </c>
      <c r="O45" s="63">
        <v>0.60747663551401865</v>
      </c>
      <c r="P45" s="63">
        <v>0.40322580645161288</v>
      </c>
      <c r="Q45" s="63">
        <v>0.43269230769230771</v>
      </c>
    </row>
    <row r="46" spans="1:17" x14ac:dyDescent="0.4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4.6511627906976744E-2</v>
      </c>
      <c r="M46" s="63">
        <v>0.28799999999999998</v>
      </c>
      <c r="N46" s="63">
        <v>0.17599999999999999</v>
      </c>
      <c r="O46" s="63">
        <v>0.60185185185185186</v>
      </c>
      <c r="P46" s="63">
        <v>0.39393939393939392</v>
      </c>
      <c r="Q46" s="63">
        <v>0.43809523809523809</v>
      </c>
    </row>
    <row r="47" spans="1:17" x14ac:dyDescent="0.4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4.5454545454545456E-2</v>
      </c>
      <c r="M47" s="63">
        <v>0.28720626631853785</v>
      </c>
      <c r="N47" s="63">
        <v>0.18015665796344649</v>
      </c>
      <c r="O47" s="63">
        <v>0.59090909090909094</v>
      </c>
      <c r="P47" s="63">
        <v>0.39130434782608697</v>
      </c>
      <c r="Q47" s="63">
        <v>0.43396226415094341</v>
      </c>
    </row>
    <row r="48" spans="1:17" x14ac:dyDescent="0.4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4.4444444444444446E-2</v>
      </c>
      <c r="M48" s="63">
        <v>0.2879177377892031</v>
      </c>
      <c r="N48" s="63">
        <v>0.18508997429305912</v>
      </c>
      <c r="O48" s="63">
        <v>0.5892857142857143</v>
      </c>
      <c r="P48" s="63">
        <v>0.3888888888888889</v>
      </c>
      <c r="Q48" s="63">
        <v>0.42592592592592593</v>
      </c>
    </row>
    <row r="49" spans="1:17" x14ac:dyDescent="0.4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4.3478260869565216E-2</v>
      </c>
      <c r="M49" s="63">
        <v>0.28607594936708863</v>
      </c>
      <c r="N49" s="63">
        <v>0.18734177215189873</v>
      </c>
      <c r="O49" s="63">
        <v>0.59292035398230092</v>
      </c>
      <c r="P49" s="63">
        <v>0.39189189189189189</v>
      </c>
      <c r="Q49" s="63">
        <v>0.42727272727272725</v>
      </c>
    </row>
    <row r="50" spans="1:17" x14ac:dyDescent="0.4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4.2553191489361701E-2</v>
      </c>
      <c r="M50" s="63">
        <v>0.28678304239401498</v>
      </c>
      <c r="N50" s="63">
        <v>0.18703241895261846</v>
      </c>
      <c r="O50" s="63">
        <v>0.6</v>
      </c>
      <c r="P50" s="63">
        <v>0.4</v>
      </c>
      <c r="Q50" s="63">
        <v>0.4247787610619469</v>
      </c>
    </row>
    <row r="51" spans="1:17" x14ac:dyDescent="0.4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4.1666666666666664E-2</v>
      </c>
      <c r="M51" s="63">
        <v>0.29126213592233008</v>
      </c>
      <c r="N51" s="63">
        <v>0.18446601941747573</v>
      </c>
      <c r="O51" s="63">
        <v>0.6</v>
      </c>
      <c r="P51" s="63">
        <v>0.39473684210526316</v>
      </c>
      <c r="Q51" s="63">
        <v>0.4358974358974359</v>
      </c>
    </row>
    <row r="52" spans="1:17" x14ac:dyDescent="0.4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4.0816326530612242E-2</v>
      </c>
      <c r="M52" s="63">
        <v>0.28672985781990523</v>
      </c>
      <c r="N52" s="63">
        <v>0.1872037914691943</v>
      </c>
      <c r="O52" s="63">
        <v>0.60330578512396693</v>
      </c>
      <c r="P52" s="63">
        <v>0.39240506329113922</v>
      </c>
      <c r="Q52" s="63">
        <v>0.43697478991596639</v>
      </c>
    </row>
    <row r="53" spans="1:17" x14ac:dyDescent="0.4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0.04</v>
      </c>
      <c r="M53" s="63">
        <v>0.28504672897196259</v>
      </c>
      <c r="N53" s="63">
        <v>0.18457943925233644</v>
      </c>
      <c r="O53" s="63">
        <v>0.60655737704918034</v>
      </c>
      <c r="P53" s="63">
        <v>0.39240506329113922</v>
      </c>
      <c r="Q53" s="63">
        <v>0.44166666666666665</v>
      </c>
    </row>
    <row r="54" spans="1:17" x14ac:dyDescent="0.4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3.9215686274509803E-2</v>
      </c>
      <c r="M54" s="63">
        <v>0.28275862068965518</v>
      </c>
      <c r="N54" s="63">
        <v>0.18390804597701149</v>
      </c>
      <c r="O54" s="63">
        <v>0.60162601626016265</v>
      </c>
      <c r="P54" s="63">
        <v>0.38750000000000001</v>
      </c>
      <c r="Q54" s="63">
        <v>0.43801652892561982</v>
      </c>
    </row>
    <row r="55" spans="1:17" x14ac:dyDescent="0.4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3.8461538461538464E-2</v>
      </c>
      <c r="M55" s="63">
        <v>0.28411633109619688</v>
      </c>
      <c r="N55" s="63">
        <v>0.18568232662192394</v>
      </c>
      <c r="O55" s="63">
        <v>0.59055118110236215</v>
      </c>
      <c r="P55" s="63">
        <v>0.38554216867469882</v>
      </c>
      <c r="Q55" s="63">
        <v>0.44354838709677419</v>
      </c>
    </row>
    <row r="56" spans="1:17" x14ac:dyDescent="0.4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3.7735849056603772E-2</v>
      </c>
      <c r="M56" s="63">
        <v>0.28351648351648351</v>
      </c>
      <c r="N56" s="63">
        <v>0.18461538461538463</v>
      </c>
      <c r="O56" s="63">
        <v>0.5968992248062015</v>
      </c>
      <c r="P56" s="63">
        <v>0.39285714285714285</v>
      </c>
      <c r="Q56" s="63">
        <v>0.44881889763779526</v>
      </c>
    </row>
    <row r="57" spans="1:17" x14ac:dyDescent="0.4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3.7037037037037035E-2</v>
      </c>
      <c r="M57" s="63">
        <v>0.28104575163398693</v>
      </c>
      <c r="N57" s="63">
        <v>0.18300653594771241</v>
      </c>
      <c r="O57" s="63">
        <v>0.5968992248062015</v>
      </c>
      <c r="P57" s="63">
        <v>0.39285714285714285</v>
      </c>
      <c r="Q57" s="63">
        <v>0.44881889763779526</v>
      </c>
    </row>
    <row r="58" spans="1:17" x14ac:dyDescent="0.4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3.6363636363636362E-2</v>
      </c>
      <c r="M58" s="63">
        <v>0.28387096774193549</v>
      </c>
      <c r="N58" s="63">
        <v>0.18494623655913978</v>
      </c>
      <c r="O58" s="63">
        <v>0.60606060606060608</v>
      </c>
      <c r="P58" s="63">
        <v>0.39534883720930231</v>
      </c>
      <c r="Q58" s="63">
        <v>0.45038167938931295</v>
      </c>
    </row>
    <row r="59" spans="1:17" x14ac:dyDescent="0.4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3.5714285714285712E-2</v>
      </c>
      <c r="M59" s="63">
        <v>0.2848101265822785</v>
      </c>
      <c r="N59" s="63">
        <v>0.18354430379746836</v>
      </c>
      <c r="O59" s="63">
        <v>0.6074074074074074</v>
      </c>
      <c r="P59" s="63">
        <v>0.39080459770114945</v>
      </c>
      <c r="Q59" s="63">
        <v>0.45864661654135336</v>
      </c>
    </row>
    <row r="60" spans="1:17" x14ac:dyDescent="0.4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3.5087719298245612E-2</v>
      </c>
      <c r="M60" s="63">
        <v>0.28541666666666665</v>
      </c>
      <c r="N60" s="63">
        <v>0.18333333333333332</v>
      </c>
      <c r="O60" s="63">
        <v>0.61313868613138689</v>
      </c>
      <c r="P60" s="63">
        <v>0.38636363636363635</v>
      </c>
      <c r="Q60" s="63">
        <v>0.47058823529411764</v>
      </c>
    </row>
    <row r="61" spans="1:17" x14ac:dyDescent="0.4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3.4482758620689655E-2</v>
      </c>
      <c r="M61" s="63">
        <v>0.28834355828220859</v>
      </c>
      <c r="N61" s="63">
        <v>0.18404907975460122</v>
      </c>
      <c r="O61" s="63">
        <v>0.6028368794326241</v>
      </c>
      <c r="P61" s="63">
        <v>0.3888888888888889</v>
      </c>
      <c r="Q61" s="63">
        <v>0.46376811594202899</v>
      </c>
    </row>
    <row r="62" spans="1:17" x14ac:dyDescent="0.4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3.3898305084745763E-2</v>
      </c>
      <c r="M62" s="63">
        <v>0.28629032258064518</v>
      </c>
      <c r="N62" s="63">
        <v>0.1875</v>
      </c>
      <c r="O62" s="63">
        <v>0.59859154929577463</v>
      </c>
      <c r="P62" s="63">
        <v>0.38709677419354838</v>
      </c>
      <c r="Q62" s="63">
        <v>0.45714285714285713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2A1DE-4F14-4BC4-8B40-86C004BA5BA9}">
  <sheetPr codeName="Sheet12"/>
  <dimension ref="A1:Q8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</v>
      </c>
      <c r="M4" s="63">
        <v>0.4</v>
      </c>
      <c r="N4" s="63">
        <v>0.3</v>
      </c>
      <c r="O4" s="63">
        <v>0.25</v>
      </c>
      <c r="P4" s="63">
        <v>0.33333333333333331</v>
      </c>
      <c r="Q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</v>
      </c>
      <c r="M5" s="63">
        <v>0.47368421052631576</v>
      </c>
      <c r="N5" s="63">
        <v>0.21052631578947367</v>
      </c>
      <c r="O5" s="63">
        <v>0.44444444444444442</v>
      </c>
      <c r="P5" s="63">
        <v>0.25</v>
      </c>
      <c r="Q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</v>
      </c>
      <c r="M6" s="63">
        <v>0.34615384615384615</v>
      </c>
      <c r="N6" s="63">
        <v>0.15384615384615385</v>
      </c>
      <c r="O6" s="63">
        <v>0.44444444444444442</v>
      </c>
      <c r="P6" s="63">
        <v>0.25</v>
      </c>
      <c r="Q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</v>
      </c>
      <c r="M7" s="63">
        <v>0.35294117647058826</v>
      </c>
      <c r="N7" s="63">
        <v>0.17647058823529413</v>
      </c>
      <c r="O7" s="63">
        <v>0.58333333333333337</v>
      </c>
      <c r="P7" s="63">
        <v>0.33333333333333331</v>
      </c>
      <c r="Q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</v>
      </c>
      <c r="M8" s="63">
        <v>0.31707317073170732</v>
      </c>
      <c r="N8" s="63">
        <v>0.1951219512195122</v>
      </c>
      <c r="O8" s="63">
        <v>0.61538461538461542</v>
      </c>
      <c r="P8" s="63">
        <v>0.375</v>
      </c>
      <c r="Q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</v>
      </c>
      <c r="M9" s="63">
        <v>0.26</v>
      </c>
      <c r="N9" s="63">
        <v>0.22</v>
      </c>
      <c r="O9" s="63">
        <v>0.61538461538461542</v>
      </c>
      <c r="P9" s="63">
        <v>0.54545454545454541</v>
      </c>
      <c r="Q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</v>
      </c>
      <c r="M10" s="63">
        <v>0.25</v>
      </c>
      <c r="N10" s="63">
        <v>0.21875</v>
      </c>
      <c r="O10" s="63">
        <v>0.625</v>
      </c>
      <c r="P10" s="63">
        <v>0.42857142857142855</v>
      </c>
      <c r="Q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</v>
      </c>
      <c r="M11" s="63">
        <v>0.24</v>
      </c>
      <c r="N11" s="63">
        <v>0.22666666666666666</v>
      </c>
      <c r="O11" s="63">
        <v>0.61111111111111116</v>
      </c>
      <c r="P11" s="63">
        <v>0.47058823529411764</v>
      </c>
      <c r="Q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</v>
      </c>
      <c r="M12" s="63">
        <v>0.23529411764705882</v>
      </c>
      <c r="N12" s="63">
        <v>0.23529411764705882</v>
      </c>
      <c r="O12" s="63">
        <v>0.55000000000000004</v>
      </c>
      <c r="P12" s="63">
        <v>0.45</v>
      </c>
      <c r="Q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</v>
      </c>
      <c r="M13" s="63">
        <v>0.24468085106382978</v>
      </c>
      <c r="N13" s="63">
        <v>0.25531914893617019</v>
      </c>
      <c r="O13" s="63">
        <v>0.56521739130434778</v>
      </c>
      <c r="P13" s="63">
        <v>0.41666666666666669</v>
      </c>
      <c r="Q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</v>
      </c>
      <c r="M14" s="63">
        <v>0.25242718446601942</v>
      </c>
      <c r="N14" s="63">
        <v>0.25242718446601942</v>
      </c>
      <c r="O14" s="63">
        <v>0.53846153846153844</v>
      </c>
      <c r="P14" s="63">
        <v>0.38461538461538464</v>
      </c>
      <c r="Q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</v>
      </c>
      <c r="M15" s="63">
        <v>0.25663716814159293</v>
      </c>
      <c r="N15" s="63">
        <v>0.24778761061946902</v>
      </c>
      <c r="O15" s="63">
        <v>0.51724137931034486</v>
      </c>
      <c r="P15" s="63">
        <v>0.39285714285714285</v>
      </c>
      <c r="Q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</v>
      </c>
      <c r="M16" s="63">
        <v>0.24793388429752067</v>
      </c>
      <c r="N16" s="63">
        <v>0.23966942148760331</v>
      </c>
      <c r="O16" s="63">
        <v>0.53333333333333333</v>
      </c>
      <c r="P16" s="63">
        <v>0.41379310344827586</v>
      </c>
      <c r="Q16" s="63">
        <v>0.33333333333333331</v>
      </c>
    </row>
    <row r="17" spans="1:17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</v>
      </c>
      <c r="M17" s="63">
        <v>0.24427480916030533</v>
      </c>
      <c r="N17" s="63">
        <v>0.24427480916030533</v>
      </c>
      <c r="O17" s="63">
        <v>0.5</v>
      </c>
      <c r="P17" s="63">
        <v>0.40625</v>
      </c>
      <c r="Q17" s="63">
        <v>0.35135135135135137</v>
      </c>
    </row>
    <row r="18" spans="1:17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</v>
      </c>
      <c r="M18" s="63">
        <v>0.23571428571428571</v>
      </c>
      <c r="N18" s="63">
        <v>0.25</v>
      </c>
      <c r="O18" s="63">
        <v>0.51515151515151514</v>
      </c>
      <c r="P18" s="63">
        <v>0.42857142857142855</v>
      </c>
      <c r="Q18" s="63">
        <v>0.35</v>
      </c>
    </row>
    <row r="19" spans="1:17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</v>
      </c>
      <c r="M19" s="63">
        <v>0.22818791946308725</v>
      </c>
      <c r="N19" s="63">
        <v>0.25503355704697989</v>
      </c>
      <c r="O19" s="63">
        <v>0.5</v>
      </c>
      <c r="P19" s="63">
        <v>0.42105263157894735</v>
      </c>
      <c r="Q19" s="63">
        <v>0.34146341463414637</v>
      </c>
    </row>
    <row r="20" spans="1:17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</v>
      </c>
      <c r="M20" s="63">
        <v>0.21249999999999999</v>
      </c>
      <c r="N20" s="63">
        <v>0.25624999999999998</v>
      </c>
      <c r="O20" s="63">
        <v>0.5</v>
      </c>
      <c r="P20" s="63">
        <v>0.43902439024390244</v>
      </c>
      <c r="Q20" s="63">
        <v>0.31111111111111112</v>
      </c>
    </row>
    <row r="21" spans="1:17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5.5555555555555552E-2</v>
      </c>
      <c r="M21" s="63">
        <v>0.2073170731707317</v>
      </c>
      <c r="N21" s="63">
        <v>0.27439024390243905</v>
      </c>
      <c r="O21" s="63">
        <v>0.5</v>
      </c>
      <c r="P21" s="63">
        <v>0.48888888888888887</v>
      </c>
      <c r="Q21" s="63">
        <v>0.30612244897959184</v>
      </c>
    </row>
    <row r="22" spans="1:17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5.2631578947368418E-2</v>
      </c>
      <c r="M22" s="63">
        <v>0.20689655172413793</v>
      </c>
      <c r="N22" s="63">
        <v>0.27586206896551724</v>
      </c>
      <c r="O22" s="63">
        <v>0.5</v>
      </c>
      <c r="P22" s="63">
        <v>0.47916666666666669</v>
      </c>
      <c r="Q22" s="63">
        <v>0.29411764705882354</v>
      </c>
    </row>
    <row r="23" spans="1:17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0.1</v>
      </c>
      <c r="M23" s="63">
        <v>0.20765027322404372</v>
      </c>
      <c r="N23" s="63">
        <v>0.27868852459016391</v>
      </c>
      <c r="O23" s="63">
        <v>0.52631578947368418</v>
      </c>
      <c r="P23" s="63">
        <v>0.49019607843137253</v>
      </c>
      <c r="Q23" s="63">
        <v>0.2857142857142857</v>
      </c>
    </row>
    <row r="24" spans="1:17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0.14285714285714285</v>
      </c>
      <c r="M24" s="63">
        <v>0.20103092783505155</v>
      </c>
      <c r="N24" s="63">
        <v>0.29381443298969073</v>
      </c>
      <c r="O24" s="63">
        <v>0.51282051282051277</v>
      </c>
      <c r="P24" s="63">
        <v>0.47368421052631576</v>
      </c>
      <c r="Q24" s="63">
        <v>0.28333333333333333</v>
      </c>
    </row>
    <row r="25" spans="1:17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0.18181818181818182</v>
      </c>
      <c r="M25" s="63">
        <v>0.1951219512195122</v>
      </c>
      <c r="N25" s="63">
        <v>0.3073170731707317</v>
      </c>
      <c r="O25" s="63">
        <v>0.5</v>
      </c>
      <c r="P25" s="63">
        <v>0.46031746031746029</v>
      </c>
      <c r="Q25" s="63">
        <v>0.28125</v>
      </c>
    </row>
    <row r="26" spans="1:17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0.17391304347826086</v>
      </c>
      <c r="M26" s="63">
        <v>0.19158878504672897</v>
      </c>
      <c r="N26" s="63">
        <v>0.29906542056074764</v>
      </c>
      <c r="O26" s="63">
        <v>0.51219512195121952</v>
      </c>
      <c r="P26" s="63">
        <v>0.453125</v>
      </c>
      <c r="Q26" s="63">
        <v>0.27692307692307694</v>
      </c>
    </row>
    <row r="27" spans="1:17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0.16666666666666666</v>
      </c>
      <c r="M27" s="63">
        <v>0.19069767441860466</v>
      </c>
      <c r="N27" s="63">
        <v>0.29767441860465116</v>
      </c>
      <c r="O27" s="63">
        <v>0.51219512195121952</v>
      </c>
      <c r="P27" s="63">
        <v>0.453125</v>
      </c>
      <c r="Q27" s="63">
        <v>0.27692307692307694</v>
      </c>
    </row>
    <row r="28" spans="1:17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0.16</v>
      </c>
      <c r="M28" s="63">
        <v>0.19369369369369369</v>
      </c>
      <c r="N28" s="63">
        <v>0.29729729729729731</v>
      </c>
      <c r="O28" s="63">
        <v>0.53488372093023251</v>
      </c>
      <c r="P28" s="63">
        <v>0.45454545454545453</v>
      </c>
      <c r="Q28" s="63">
        <v>0.29411764705882354</v>
      </c>
    </row>
    <row r="29" spans="1:17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0.15384615384615385</v>
      </c>
      <c r="M29" s="63">
        <v>0.19130434782608696</v>
      </c>
      <c r="N29" s="63">
        <v>0.29565217391304349</v>
      </c>
      <c r="O29" s="63">
        <v>0.54545454545454541</v>
      </c>
      <c r="P29" s="63">
        <v>0.44117647058823528</v>
      </c>
      <c r="Q29" s="63">
        <v>0.28169014084507044</v>
      </c>
    </row>
    <row r="30" spans="1:17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0.14814814814814814</v>
      </c>
      <c r="M30" s="63">
        <v>0.189873417721519</v>
      </c>
      <c r="N30" s="63">
        <v>0.29535864978902954</v>
      </c>
      <c r="O30" s="63">
        <v>0.55555555555555558</v>
      </c>
      <c r="P30" s="63">
        <v>0.42857142857142855</v>
      </c>
      <c r="Q30" s="63">
        <v>0.29166666666666669</v>
      </c>
    </row>
    <row r="31" spans="1:17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0.14285714285714285</v>
      </c>
      <c r="M31" s="63">
        <v>0.19591836734693877</v>
      </c>
      <c r="N31" s="63">
        <v>0.29387755102040819</v>
      </c>
      <c r="O31" s="63">
        <v>0.5625</v>
      </c>
      <c r="P31" s="63">
        <v>0.44444444444444442</v>
      </c>
      <c r="Q31" s="63">
        <v>0.30263157894736842</v>
      </c>
    </row>
    <row r="32" spans="1:17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0.17241379310344829</v>
      </c>
      <c r="M32" s="63">
        <v>0.19920318725099601</v>
      </c>
      <c r="N32" s="63">
        <v>0.29482071713147412</v>
      </c>
      <c r="O32" s="63">
        <v>0.57999999999999996</v>
      </c>
      <c r="P32" s="63">
        <v>0.44594594594594594</v>
      </c>
      <c r="Q32" s="63">
        <v>0.32500000000000001</v>
      </c>
    </row>
    <row r="33" spans="1:17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0.16666666666666666</v>
      </c>
      <c r="M33" s="63">
        <v>0.2</v>
      </c>
      <c r="N33" s="63">
        <v>0.30384615384615382</v>
      </c>
      <c r="O33" s="63">
        <v>0.57692307692307687</v>
      </c>
      <c r="P33" s="63">
        <v>0.45569620253164556</v>
      </c>
      <c r="Q33" s="63">
        <v>0.33333333333333331</v>
      </c>
    </row>
    <row r="34" spans="1:17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0.16129032258064516</v>
      </c>
      <c r="M34" s="63">
        <v>0.21033210332103322</v>
      </c>
      <c r="N34" s="63">
        <v>0.30627306273062732</v>
      </c>
      <c r="O34" s="63">
        <v>0.59649122807017541</v>
      </c>
      <c r="P34" s="63">
        <v>0.45783132530120479</v>
      </c>
      <c r="Q34" s="63">
        <v>0.34444444444444444</v>
      </c>
    </row>
    <row r="35" spans="1:17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0.1875</v>
      </c>
      <c r="M35" s="63">
        <v>0.21014492753623187</v>
      </c>
      <c r="N35" s="63">
        <v>0.30434782608695654</v>
      </c>
      <c r="O35" s="63">
        <v>0.58620689655172409</v>
      </c>
      <c r="P35" s="63">
        <v>0.4642857142857143</v>
      </c>
      <c r="Q35" s="63">
        <v>0.34782608695652173</v>
      </c>
    </row>
    <row r="36" spans="1:17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0.18181818181818182</v>
      </c>
      <c r="M36" s="63">
        <v>0.21527777777777779</v>
      </c>
      <c r="N36" s="63">
        <v>0.30902777777777779</v>
      </c>
      <c r="O36" s="63">
        <v>0.58064516129032262</v>
      </c>
      <c r="P36" s="63">
        <v>0.449438202247191</v>
      </c>
      <c r="Q36" s="63">
        <v>0.35789473684210527</v>
      </c>
    </row>
    <row r="37" spans="1:17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0.17647058823529413</v>
      </c>
      <c r="M37" s="63">
        <v>0.21333333333333335</v>
      </c>
      <c r="N37" s="63">
        <v>0.32333333333333331</v>
      </c>
      <c r="O37" s="63">
        <v>0.578125</v>
      </c>
      <c r="P37" s="63">
        <v>0.44329896907216493</v>
      </c>
      <c r="Q37" s="63">
        <v>0.37</v>
      </c>
    </row>
    <row r="38" spans="1:17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0.17142857142857143</v>
      </c>
      <c r="M38" s="63">
        <v>0.21612903225806451</v>
      </c>
      <c r="N38" s="63">
        <v>0.32258064516129031</v>
      </c>
      <c r="O38" s="63">
        <v>0.56716417910447758</v>
      </c>
      <c r="P38" s="63">
        <v>0.43</v>
      </c>
      <c r="Q38" s="63">
        <v>0.36633663366336633</v>
      </c>
    </row>
    <row r="39" spans="1:17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0.16666666666666666</v>
      </c>
      <c r="M39" s="63">
        <v>0.21698113207547171</v>
      </c>
      <c r="N39" s="63">
        <v>0.330188679245283</v>
      </c>
      <c r="O39" s="63">
        <v>0.56521739130434778</v>
      </c>
      <c r="P39" s="63">
        <v>0.40952380952380951</v>
      </c>
      <c r="Q39" s="63">
        <v>0.36274509803921567</v>
      </c>
    </row>
    <row r="40" spans="1:17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0.16216216216216217</v>
      </c>
      <c r="M40" s="63">
        <v>0.21100917431192662</v>
      </c>
      <c r="N40" s="63">
        <v>0.3363914373088685</v>
      </c>
      <c r="O40" s="63">
        <v>0.56521739130434778</v>
      </c>
      <c r="P40" s="63">
        <v>0.40909090909090912</v>
      </c>
      <c r="Q40" s="63">
        <v>0.36538461538461536</v>
      </c>
    </row>
    <row r="41" spans="1:17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0.15789473684210525</v>
      </c>
      <c r="M41" s="63">
        <v>0.21257485029940121</v>
      </c>
      <c r="N41" s="63">
        <v>0.33532934131736525</v>
      </c>
      <c r="O41" s="63">
        <v>0.56338028169014087</v>
      </c>
      <c r="P41" s="63">
        <v>0.4107142857142857</v>
      </c>
      <c r="Q41" s="63">
        <v>0.36792452830188677</v>
      </c>
    </row>
    <row r="42" spans="1:17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0.15384615384615385</v>
      </c>
      <c r="M42" s="63">
        <v>0.22</v>
      </c>
      <c r="N42" s="63">
        <v>0.3342857142857143</v>
      </c>
      <c r="O42" s="63">
        <v>0.55844155844155841</v>
      </c>
      <c r="P42" s="63">
        <v>0.40170940170940173</v>
      </c>
      <c r="Q42" s="63">
        <v>0.36363636363636365</v>
      </c>
    </row>
    <row r="43" spans="1:17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0.15</v>
      </c>
      <c r="M43" s="63">
        <v>0.21629213483146068</v>
      </c>
      <c r="N43" s="63">
        <v>0.3342696629213483</v>
      </c>
      <c r="O43" s="63">
        <v>0.55844155844155841</v>
      </c>
      <c r="P43" s="63">
        <v>0.3949579831932773</v>
      </c>
      <c r="Q43" s="63">
        <v>0.36036036036036034</v>
      </c>
    </row>
    <row r="44" spans="1:17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0.14634146341463414</v>
      </c>
      <c r="M44" s="63">
        <v>0.21487603305785125</v>
      </c>
      <c r="N44" s="63">
        <v>0.33608815426997246</v>
      </c>
      <c r="O44" s="63">
        <v>0.5641025641025641</v>
      </c>
      <c r="P44" s="63">
        <v>0.39344262295081966</v>
      </c>
      <c r="Q44" s="63">
        <v>0.36283185840707965</v>
      </c>
    </row>
    <row r="45" spans="1:17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0.16666666666666666</v>
      </c>
      <c r="M45" s="63">
        <v>0.22192513368983957</v>
      </c>
      <c r="N45" s="63">
        <v>0.33155080213903743</v>
      </c>
      <c r="O45" s="63">
        <v>0.57831325301204817</v>
      </c>
      <c r="P45" s="63">
        <v>0.40322580645161288</v>
      </c>
      <c r="Q45" s="63">
        <v>0.37815126050420167</v>
      </c>
    </row>
    <row r="46" spans="1:17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0.16279069767441862</v>
      </c>
      <c r="M46" s="63">
        <v>0.22894736842105262</v>
      </c>
      <c r="N46" s="63">
        <v>0.32894736842105265</v>
      </c>
      <c r="O46" s="63">
        <v>0.57471264367816088</v>
      </c>
      <c r="P46" s="63">
        <v>0.4</v>
      </c>
      <c r="Q46" s="63">
        <v>0.39344262295081966</v>
      </c>
    </row>
    <row r="47" spans="1:17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0.15909090909090909</v>
      </c>
      <c r="M47" s="63">
        <v>0.23195876288659795</v>
      </c>
      <c r="N47" s="63">
        <v>0.32731958762886598</v>
      </c>
      <c r="O47" s="63">
        <v>0.57777777777777772</v>
      </c>
      <c r="P47" s="63">
        <v>0.40157480314960631</v>
      </c>
      <c r="Q47" s="63">
        <v>0.38095238095238093</v>
      </c>
    </row>
    <row r="48" spans="1:17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0.15555555555555556</v>
      </c>
      <c r="M48" s="63">
        <v>0.23291139240506328</v>
      </c>
      <c r="N48" s="63">
        <v>0.32658227848101268</v>
      </c>
      <c r="O48" s="63">
        <v>0.56521739130434778</v>
      </c>
      <c r="P48" s="63">
        <v>0.40310077519379844</v>
      </c>
      <c r="Q48" s="63">
        <v>0.37795275590551181</v>
      </c>
    </row>
    <row r="49" spans="1:17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0.15217391304347827</v>
      </c>
      <c r="M49" s="63">
        <v>0.23325062034739455</v>
      </c>
      <c r="N49" s="63">
        <v>0.32754342431761785</v>
      </c>
      <c r="O49" s="63">
        <v>0.55319148936170215</v>
      </c>
      <c r="P49" s="63">
        <v>0.40151515151515149</v>
      </c>
      <c r="Q49" s="63">
        <v>0.375</v>
      </c>
    </row>
    <row r="50" spans="1:17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0.1702127659574468</v>
      </c>
      <c r="M50" s="63">
        <v>0.23774509803921567</v>
      </c>
      <c r="N50" s="63">
        <v>0.3235294117647059</v>
      </c>
      <c r="O50" s="63">
        <v>0.55670103092783507</v>
      </c>
      <c r="P50" s="63">
        <v>0.40151515151515149</v>
      </c>
      <c r="Q50" s="63">
        <v>0.37878787878787878</v>
      </c>
    </row>
    <row r="51" spans="1:17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0.16666666666666666</v>
      </c>
      <c r="M51" s="63">
        <v>0.23798076923076922</v>
      </c>
      <c r="N51" s="63">
        <v>0.31971153846153844</v>
      </c>
      <c r="O51" s="63">
        <v>0.55555555555555558</v>
      </c>
      <c r="P51" s="63">
        <v>0.40601503759398494</v>
      </c>
      <c r="Q51" s="63">
        <v>0.37777777777777777</v>
      </c>
    </row>
    <row r="52" spans="1:17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0.16326530612244897</v>
      </c>
      <c r="M52" s="63">
        <v>0.23571428571428571</v>
      </c>
      <c r="N52" s="63">
        <v>0.31904761904761902</v>
      </c>
      <c r="O52" s="63">
        <v>0.55555555555555558</v>
      </c>
      <c r="P52" s="63">
        <v>0.40298507462686567</v>
      </c>
      <c r="Q52" s="63">
        <v>0.37777777777777777</v>
      </c>
    </row>
    <row r="53" spans="1:17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0.16</v>
      </c>
      <c r="M53" s="63">
        <v>0.23543123543123542</v>
      </c>
      <c r="N53" s="63">
        <v>0.32167832167832167</v>
      </c>
      <c r="O53" s="63">
        <v>0.5643564356435643</v>
      </c>
      <c r="P53" s="63">
        <v>0.40579710144927539</v>
      </c>
      <c r="Q53" s="63">
        <v>0.38848920863309355</v>
      </c>
    </row>
    <row r="54" spans="1:17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0.15686274509803921</v>
      </c>
      <c r="M54" s="63">
        <v>0.23744292237442921</v>
      </c>
      <c r="N54" s="63">
        <v>0.32420091324200911</v>
      </c>
      <c r="O54" s="63">
        <v>0.56730769230769229</v>
      </c>
      <c r="P54" s="63">
        <v>0.40140845070422537</v>
      </c>
      <c r="Q54" s="63">
        <v>0.38461538461538464</v>
      </c>
    </row>
    <row r="55" spans="1:17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0.15384615384615385</v>
      </c>
      <c r="M55" s="63">
        <v>0.24161073825503357</v>
      </c>
      <c r="N55" s="63">
        <v>0.32214765100671139</v>
      </c>
      <c r="O55" s="63">
        <v>0.56481481481481477</v>
      </c>
      <c r="P55" s="63">
        <v>0.40972222222222221</v>
      </c>
      <c r="Q55" s="63">
        <v>0.37414965986394561</v>
      </c>
    </row>
    <row r="56" spans="1:17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0.15094339622641509</v>
      </c>
      <c r="M56" s="63">
        <v>0.24449339207048459</v>
      </c>
      <c r="N56" s="63">
        <v>0.32158590308370044</v>
      </c>
      <c r="O56" s="63">
        <v>0.56756756756756754</v>
      </c>
      <c r="P56" s="63">
        <v>0.41095890410958902</v>
      </c>
      <c r="Q56" s="63">
        <v>0.38</v>
      </c>
    </row>
    <row r="57" spans="1:17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0.14814814814814814</v>
      </c>
      <c r="M57" s="63">
        <v>0.23922413793103448</v>
      </c>
      <c r="N57" s="63">
        <v>0.32112068965517243</v>
      </c>
      <c r="O57" s="63">
        <v>0.56756756756756754</v>
      </c>
      <c r="P57" s="63">
        <v>0.41610738255033558</v>
      </c>
      <c r="Q57" s="63">
        <v>0.37662337662337664</v>
      </c>
    </row>
    <row r="58" spans="1:17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0.14545454545454545</v>
      </c>
      <c r="M58" s="63">
        <v>0.23880597014925373</v>
      </c>
      <c r="N58" s="63">
        <v>0.31982942430703626</v>
      </c>
      <c r="O58" s="63">
        <v>0.5625</v>
      </c>
      <c r="P58" s="63">
        <v>0.41333333333333333</v>
      </c>
      <c r="Q58" s="63">
        <v>0.37662337662337664</v>
      </c>
    </row>
    <row r="59" spans="1:17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0.14285714285714285</v>
      </c>
      <c r="M59" s="63">
        <v>0.23590814196242171</v>
      </c>
      <c r="N59" s="63">
        <v>0.32150313152400833</v>
      </c>
      <c r="O59" s="63">
        <v>0.5663716814159292</v>
      </c>
      <c r="P59" s="63">
        <v>0.40909090909090912</v>
      </c>
      <c r="Q59" s="63">
        <v>0.36942675159235666</v>
      </c>
    </row>
    <row r="60" spans="1:17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0.14035087719298245</v>
      </c>
      <c r="M60" s="63">
        <v>0.23456790123456789</v>
      </c>
      <c r="N60" s="63">
        <v>0.31893004115226337</v>
      </c>
      <c r="O60" s="63">
        <v>0.57017543859649122</v>
      </c>
      <c r="P60" s="63">
        <v>0.41290322580645161</v>
      </c>
      <c r="Q60" s="63">
        <v>0.37106918238993708</v>
      </c>
    </row>
    <row r="61" spans="1:17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0.13793103448275862</v>
      </c>
      <c r="M61" s="63">
        <v>0.23232323232323232</v>
      </c>
      <c r="N61" s="63">
        <v>0.31919191919191919</v>
      </c>
      <c r="O61" s="63">
        <v>0.56521739130434778</v>
      </c>
      <c r="P61" s="63">
        <v>0.4050632911392405</v>
      </c>
      <c r="Q61" s="63">
        <v>0.36875000000000002</v>
      </c>
    </row>
    <row r="62" spans="1:17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0.13559322033898305</v>
      </c>
      <c r="M62" s="63">
        <v>0.23061630218687873</v>
      </c>
      <c r="N62" s="63">
        <v>0.31610337972166996</v>
      </c>
      <c r="O62" s="63">
        <v>0.56896551724137934</v>
      </c>
      <c r="P62" s="63">
        <v>0.40251572327044027</v>
      </c>
      <c r="Q62" s="63">
        <v>0.36645962732919257</v>
      </c>
    </row>
    <row r="63" spans="1:17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0.13333333333333333</v>
      </c>
      <c r="M63" s="63">
        <v>0.23228346456692914</v>
      </c>
      <c r="N63" s="63">
        <v>0.31496062992125984</v>
      </c>
      <c r="O63" s="63">
        <v>0.55932203389830504</v>
      </c>
      <c r="P63" s="63">
        <v>0.4</v>
      </c>
      <c r="Q63" s="63">
        <v>0.36645962732919257</v>
      </c>
    </row>
    <row r="64" spans="1:17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0.13114754098360656</v>
      </c>
      <c r="M64" s="63">
        <v>0.2335907335907336</v>
      </c>
      <c r="N64" s="63">
        <v>0.31853281853281851</v>
      </c>
      <c r="O64" s="63">
        <v>0.55371900826446285</v>
      </c>
      <c r="P64" s="63">
        <v>0.40606060606060607</v>
      </c>
      <c r="Q64" s="63">
        <v>0.36969696969696969</v>
      </c>
    </row>
    <row r="65" spans="1:17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0.12903225806451613</v>
      </c>
      <c r="M65" s="63">
        <v>0.23709369024856597</v>
      </c>
      <c r="N65" s="63">
        <v>0.31739961759082219</v>
      </c>
      <c r="O65" s="63">
        <v>0.54032258064516125</v>
      </c>
      <c r="P65" s="63">
        <v>0.40361445783132532</v>
      </c>
      <c r="Q65" s="63">
        <v>0.36969696969696969</v>
      </c>
    </row>
    <row r="66" spans="1:17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0.12698412698412698</v>
      </c>
      <c r="M66" s="63">
        <v>0.2342007434944238</v>
      </c>
      <c r="N66" s="63">
        <v>0.31412639405204462</v>
      </c>
      <c r="O66" s="63">
        <v>0.54761904761904767</v>
      </c>
      <c r="P66" s="63">
        <v>0.40236686390532544</v>
      </c>
      <c r="Q66" s="63">
        <v>0.37790697674418605</v>
      </c>
    </row>
    <row r="67" spans="1:17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0.125</v>
      </c>
      <c r="M67" s="63">
        <v>0.23302752293577983</v>
      </c>
      <c r="N67" s="63">
        <v>0.31559633027522938</v>
      </c>
      <c r="O67" s="63">
        <v>0.55118110236220474</v>
      </c>
      <c r="P67" s="63">
        <v>0.39534883720930231</v>
      </c>
      <c r="Q67" s="63">
        <v>0.37931034482758619</v>
      </c>
    </row>
    <row r="68" spans="1:17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0.12307692307692308</v>
      </c>
      <c r="M68" s="63">
        <v>0.22816399286987521</v>
      </c>
      <c r="N68" s="63">
        <v>0.3172905525846702</v>
      </c>
      <c r="O68" s="63">
        <v>0.5546875</v>
      </c>
      <c r="P68" s="63">
        <v>0.39325842696629215</v>
      </c>
      <c r="Q68" s="63">
        <v>0.37988826815642457</v>
      </c>
    </row>
    <row r="69" spans="1:17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0.12121212121212122</v>
      </c>
      <c r="M69" s="63">
        <v>0.2268760907504363</v>
      </c>
      <c r="N69" s="63">
        <v>0.32286212914485168</v>
      </c>
      <c r="O69" s="63">
        <v>0.55384615384615388</v>
      </c>
      <c r="P69" s="63">
        <v>0.39459459459459462</v>
      </c>
      <c r="Q69" s="63">
        <v>0.37704918032786883</v>
      </c>
    </row>
    <row r="70" spans="1:17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0.11940298507462686</v>
      </c>
      <c r="M70" s="63">
        <v>0.22758620689655173</v>
      </c>
      <c r="N70" s="63">
        <v>0.32241379310344825</v>
      </c>
      <c r="O70" s="63">
        <v>0.55303030303030298</v>
      </c>
      <c r="P70" s="63">
        <v>0.39572192513368987</v>
      </c>
      <c r="Q70" s="63">
        <v>0.38378378378378381</v>
      </c>
    </row>
    <row r="71" spans="1:17" x14ac:dyDescent="0.4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0.11764705882352941</v>
      </c>
      <c r="M71" s="63">
        <v>0.22789115646258504</v>
      </c>
      <c r="N71" s="63">
        <v>0.32142857142857145</v>
      </c>
      <c r="O71" s="63">
        <v>0.55223880597014929</v>
      </c>
      <c r="P71" s="63">
        <v>0.3968253968253968</v>
      </c>
      <c r="Q71" s="63">
        <v>0.38297872340425532</v>
      </c>
    </row>
    <row r="72" spans="1:17" x14ac:dyDescent="0.4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0.11594202898550725</v>
      </c>
      <c r="M72" s="63">
        <v>0.22613065326633167</v>
      </c>
      <c r="N72" s="63">
        <v>0.32160804020100503</v>
      </c>
      <c r="O72" s="63">
        <v>0.54814814814814816</v>
      </c>
      <c r="P72" s="63">
        <v>0.40625</v>
      </c>
      <c r="Q72" s="63">
        <v>0.38341968911917096</v>
      </c>
    </row>
    <row r="73" spans="1:17" x14ac:dyDescent="0.4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0.11428571428571428</v>
      </c>
      <c r="M73" s="63">
        <v>0.22644628099173553</v>
      </c>
      <c r="N73" s="63">
        <v>0.31900826446280994</v>
      </c>
      <c r="O73" s="63">
        <v>0.55474452554744524</v>
      </c>
      <c r="P73" s="63">
        <v>0.40414507772020725</v>
      </c>
      <c r="Q73" s="63">
        <v>0.37755102040816324</v>
      </c>
    </row>
    <row r="74" spans="1:17" x14ac:dyDescent="0.4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0.11267605633802817</v>
      </c>
      <c r="M74" s="63">
        <v>0.22585924713584288</v>
      </c>
      <c r="N74" s="63">
        <v>0.31914893617021278</v>
      </c>
      <c r="O74" s="63">
        <v>0.55072463768115942</v>
      </c>
      <c r="P74" s="63">
        <v>0.4</v>
      </c>
      <c r="Q74" s="63">
        <v>0.37563451776649748</v>
      </c>
    </row>
    <row r="75" spans="1:17" x14ac:dyDescent="0.4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0.1111111111111111</v>
      </c>
      <c r="M75" s="63">
        <v>0.22528363047001621</v>
      </c>
      <c r="N75" s="63">
        <v>0.31604538087520262</v>
      </c>
      <c r="O75" s="63">
        <v>0.5539568345323741</v>
      </c>
      <c r="P75" s="63">
        <v>0.4</v>
      </c>
      <c r="Q75" s="63">
        <v>0.37878787878787878</v>
      </c>
    </row>
    <row r="76" spans="1:17" x14ac:dyDescent="0.4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0.1095890410958904</v>
      </c>
      <c r="M76" s="63">
        <v>0.22792937399678972</v>
      </c>
      <c r="N76" s="63">
        <v>0.3146067415730337</v>
      </c>
      <c r="O76" s="63">
        <v>0.54929577464788737</v>
      </c>
      <c r="P76" s="63">
        <v>0.39795918367346939</v>
      </c>
      <c r="Q76" s="63">
        <v>0.38</v>
      </c>
    </row>
    <row r="77" spans="1:17" x14ac:dyDescent="0.4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0.10810810810810811</v>
      </c>
      <c r="M77" s="63">
        <v>0.22770700636942676</v>
      </c>
      <c r="N77" s="63">
        <v>0.31210191082802546</v>
      </c>
      <c r="O77" s="63">
        <v>0.54545454545454541</v>
      </c>
      <c r="P77" s="63">
        <v>0.39795918367346939</v>
      </c>
      <c r="Q77" s="63">
        <v>0.38</v>
      </c>
    </row>
    <row r="78" spans="1:17" x14ac:dyDescent="0.4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0.10666666666666667</v>
      </c>
      <c r="M78" s="63">
        <v>0.2304075235109718</v>
      </c>
      <c r="N78" s="63">
        <v>0.30877742946708464</v>
      </c>
      <c r="O78" s="63">
        <v>0.5374149659863946</v>
      </c>
      <c r="P78" s="63">
        <v>0.39593908629441626</v>
      </c>
      <c r="Q78" s="63">
        <v>0.38423645320197042</v>
      </c>
    </row>
    <row r="79" spans="1:17" x14ac:dyDescent="0.4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0.10526315789473684</v>
      </c>
      <c r="M79" s="63">
        <v>0.22910216718266255</v>
      </c>
      <c r="N79" s="63">
        <v>0.30804953560371517</v>
      </c>
      <c r="O79" s="63">
        <v>0.54054054054054057</v>
      </c>
      <c r="P79" s="63">
        <v>0.39698492462311558</v>
      </c>
      <c r="Q79" s="63">
        <v>0.39320388349514562</v>
      </c>
    </row>
    <row r="80" spans="1:17" x14ac:dyDescent="0.4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0.1038961038961039</v>
      </c>
      <c r="M80" s="63">
        <v>0.23088685015290519</v>
      </c>
      <c r="N80" s="63">
        <v>0.3058103975535168</v>
      </c>
      <c r="O80" s="63">
        <v>0.53642384105960261</v>
      </c>
      <c r="P80" s="63">
        <v>0.39500000000000002</v>
      </c>
      <c r="Q80" s="63">
        <v>0.39613526570048307</v>
      </c>
    </row>
    <row r="81" spans="1:17" x14ac:dyDescent="0.4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0.10256410256410256</v>
      </c>
      <c r="M81" s="63">
        <v>0.23100303951367782</v>
      </c>
      <c r="N81" s="63">
        <v>0.303951367781155</v>
      </c>
      <c r="O81" s="63">
        <v>0.53289473684210531</v>
      </c>
      <c r="P81" s="63">
        <v>0.39500000000000002</v>
      </c>
      <c r="Q81" s="63">
        <v>0.39423076923076922</v>
      </c>
    </row>
    <row r="82" spans="1:17" x14ac:dyDescent="0.4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0.10126582278481013</v>
      </c>
      <c r="M82" s="63">
        <v>0.22950819672131148</v>
      </c>
      <c r="N82" s="63">
        <v>0.30253353204172878</v>
      </c>
      <c r="O82" s="63">
        <v>0.53246753246753242</v>
      </c>
      <c r="P82" s="63">
        <v>0.39408866995073893</v>
      </c>
      <c r="Q82" s="63">
        <v>0.39336492890995262</v>
      </c>
    </row>
    <row r="83" spans="1:17" x14ac:dyDescent="0.4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0.1</v>
      </c>
      <c r="M83" s="63">
        <v>0.23201174743024963</v>
      </c>
      <c r="N83" s="63">
        <v>0.30102790014684289</v>
      </c>
      <c r="O83" s="63">
        <v>0.53797468354430378</v>
      </c>
      <c r="P83" s="63">
        <v>0.3902439024390244</v>
      </c>
      <c r="Q83" s="63">
        <v>0.3925233644859813</v>
      </c>
    </row>
    <row r="84" spans="1:17" x14ac:dyDescent="0.4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9.8765432098765427E-2</v>
      </c>
      <c r="M84" s="63">
        <v>0.23010130246020261</v>
      </c>
      <c r="N84" s="63">
        <v>0.29956584659913171</v>
      </c>
      <c r="O84" s="63">
        <v>0.54088050314465408</v>
      </c>
      <c r="P84" s="63">
        <v>0.38647342995169082</v>
      </c>
      <c r="Q84" s="63">
        <v>0.39170506912442399</v>
      </c>
    </row>
    <row r="85" spans="1:17" x14ac:dyDescent="0.4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9.7560975609756101E-2</v>
      </c>
      <c r="M85" s="63">
        <v>0.22857142857142856</v>
      </c>
      <c r="N85" s="63">
        <v>0.30285714285714288</v>
      </c>
      <c r="O85" s="63">
        <v>0.54374999999999996</v>
      </c>
      <c r="P85" s="63">
        <v>0.37735849056603776</v>
      </c>
      <c r="Q85" s="63">
        <v>0.39545454545454545</v>
      </c>
    </row>
    <row r="86" spans="1:17" x14ac:dyDescent="0.4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9.6385542168674704E-2</v>
      </c>
      <c r="M86" s="63">
        <v>0.22913719943422914</v>
      </c>
      <c r="N86" s="63">
        <v>0.30410183875530411</v>
      </c>
      <c r="O86" s="63">
        <v>0.53703703703703709</v>
      </c>
      <c r="P86" s="63">
        <v>0.37674418604651161</v>
      </c>
      <c r="Q86" s="63">
        <v>0.39189189189189189</v>
      </c>
    </row>
    <row r="87" spans="1:17" x14ac:dyDescent="0.4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9.5238095238095233E-2</v>
      </c>
      <c r="M87" s="63">
        <v>0.23001402524544179</v>
      </c>
      <c r="N87" s="63">
        <v>0.30575035063113604</v>
      </c>
      <c r="O87" s="63">
        <v>0.53048780487804881</v>
      </c>
      <c r="P87" s="63">
        <v>0.37155963302752293</v>
      </c>
      <c r="Q87" s="63">
        <v>0.39189189189189189</v>
      </c>
    </row>
    <row r="88" spans="1:17" x14ac:dyDescent="0.4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0.10588235294117647</v>
      </c>
      <c r="M88" s="63">
        <v>0.23204419889502761</v>
      </c>
      <c r="N88" s="63">
        <v>0.30524861878453041</v>
      </c>
      <c r="O88" s="63">
        <v>0.5357142857142857</v>
      </c>
      <c r="P88" s="63">
        <v>0.37104072398190047</v>
      </c>
      <c r="Q88" s="63">
        <v>0.38495575221238937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3A15F-83E3-499E-A8C2-2E19DFB397A7}">
  <sheetPr codeName="Sheet10"/>
  <dimension ref="A1:Q9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1</v>
      </c>
      <c r="M4" s="63">
        <v>0.3</v>
      </c>
      <c r="N4" s="63">
        <v>0.1</v>
      </c>
      <c r="O4" s="63">
        <v>1</v>
      </c>
      <c r="P4" s="63">
        <v>0</v>
      </c>
      <c r="Q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0.5</v>
      </c>
      <c r="M5" s="63">
        <v>0.36842105263157893</v>
      </c>
      <c r="N5" s="63">
        <v>0.15789473684210525</v>
      </c>
      <c r="O5" s="63">
        <v>0.5714285714285714</v>
      </c>
      <c r="P5" s="63">
        <v>0</v>
      </c>
      <c r="Q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0.33333333333333331</v>
      </c>
      <c r="M6" s="63">
        <v>0.38461538461538464</v>
      </c>
      <c r="N6" s="63">
        <v>0.11538461538461539</v>
      </c>
      <c r="O6" s="63">
        <v>0.7</v>
      </c>
      <c r="P6" s="63">
        <v>0</v>
      </c>
      <c r="Q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0.25</v>
      </c>
      <c r="M7" s="63">
        <v>0.35135135135135137</v>
      </c>
      <c r="N7" s="63">
        <v>0.1891891891891892</v>
      </c>
      <c r="O7" s="63">
        <v>0.69230769230769229</v>
      </c>
      <c r="P7" s="63">
        <v>0.5714285714285714</v>
      </c>
      <c r="Q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0.2</v>
      </c>
      <c r="M8" s="63">
        <v>0.36363636363636365</v>
      </c>
      <c r="N8" s="63">
        <v>0.18181818181818182</v>
      </c>
      <c r="O8" s="63">
        <v>0.6875</v>
      </c>
      <c r="P8" s="63">
        <v>0.5</v>
      </c>
      <c r="Q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0.16666666666666666</v>
      </c>
      <c r="M9" s="63">
        <v>0.35849056603773582</v>
      </c>
      <c r="N9" s="63">
        <v>0.15094339622641509</v>
      </c>
      <c r="O9" s="63">
        <v>0.68421052631578949</v>
      </c>
      <c r="P9" s="63">
        <v>0.5</v>
      </c>
      <c r="Q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0.14285714285714285</v>
      </c>
      <c r="M10" s="63">
        <v>0.31343283582089554</v>
      </c>
      <c r="N10" s="63">
        <v>0.14925373134328357</v>
      </c>
      <c r="O10" s="63">
        <v>0.61904761904761907</v>
      </c>
      <c r="P10" s="63">
        <v>0.6</v>
      </c>
      <c r="Q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0.25</v>
      </c>
      <c r="M11" s="63">
        <v>0.26923076923076922</v>
      </c>
      <c r="N11" s="63">
        <v>0.20512820512820512</v>
      </c>
      <c r="O11" s="63">
        <v>0.61904761904761907</v>
      </c>
      <c r="P11" s="63">
        <v>0.5625</v>
      </c>
      <c r="Q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0.22222222222222221</v>
      </c>
      <c r="M12" s="63">
        <v>0.28409090909090912</v>
      </c>
      <c r="N12" s="63">
        <v>0.19318181818181818</v>
      </c>
      <c r="O12" s="63">
        <v>0.6</v>
      </c>
      <c r="P12" s="63">
        <v>0.58823529411764708</v>
      </c>
      <c r="Q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</v>
      </c>
      <c r="M13" s="63">
        <v>0.26804123711340205</v>
      </c>
      <c r="N13" s="63">
        <v>0.20618556701030927</v>
      </c>
      <c r="O13" s="63">
        <v>0.61538461538461542</v>
      </c>
      <c r="P13" s="63">
        <v>0.5</v>
      </c>
      <c r="Q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0.18181818181818182</v>
      </c>
      <c r="M14" s="63">
        <v>0.25471698113207547</v>
      </c>
      <c r="N14" s="63">
        <v>0.19811320754716982</v>
      </c>
      <c r="O14" s="63">
        <v>0.59259259259259256</v>
      </c>
      <c r="P14" s="63">
        <v>0.52380952380952384</v>
      </c>
      <c r="Q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0.16666666666666666</v>
      </c>
      <c r="M15" s="63">
        <v>0.2413793103448276</v>
      </c>
      <c r="N15" s="63">
        <v>0.20689655172413793</v>
      </c>
      <c r="O15" s="63">
        <v>0.6071428571428571</v>
      </c>
      <c r="P15" s="63">
        <v>0.5</v>
      </c>
      <c r="Q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0.15384615384615385</v>
      </c>
      <c r="M16" s="63">
        <v>0.27419354838709675</v>
      </c>
      <c r="N16" s="63">
        <v>0.20161290322580644</v>
      </c>
      <c r="O16" s="63">
        <v>0.58823529411764708</v>
      </c>
      <c r="P16" s="63">
        <v>0.48</v>
      </c>
      <c r="Q16" s="63">
        <v>0.45238095238095238</v>
      </c>
    </row>
    <row r="17" spans="1:17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0.21428571428571427</v>
      </c>
      <c r="M17" s="63">
        <v>0.26865671641791045</v>
      </c>
      <c r="N17" s="63">
        <v>0.20895522388059701</v>
      </c>
      <c r="O17" s="63">
        <v>0.58333333333333337</v>
      </c>
      <c r="P17" s="63">
        <v>0.5357142857142857</v>
      </c>
      <c r="Q17" s="63">
        <v>0.5</v>
      </c>
    </row>
    <row r="18" spans="1:17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</v>
      </c>
      <c r="M18" s="63">
        <v>0.27972027972027974</v>
      </c>
      <c r="N18" s="63">
        <v>0.20279720279720279</v>
      </c>
      <c r="O18" s="63">
        <v>0.57499999999999996</v>
      </c>
      <c r="P18" s="63">
        <v>0.55172413793103448</v>
      </c>
      <c r="Q18" s="63">
        <v>0.5</v>
      </c>
    </row>
    <row r="19" spans="1:17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0.1875</v>
      </c>
      <c r="M19" s="63">
        <v>0.27631578947368424</v>
      </c>
      <c r="N19" s="63">
        <v>0.21710526315789475</v>
      </c>
      <c r="O19" s="63">
        <v>0.5714285714285714</v>
      </c>
      <c r="P19" s="63">
        <v>0.60606060606060608</v>
      </c>
      <c r="Q19" s="63">
        <v>0.50877192982456143</v>
      </c>
    </row>
    <row r="20" spans="1:17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0.17647058823529413</v>
      </c>
      <c r="M20" s="63">
        <v>0.27607361963190186</v>
      </c>
      <c r="N20" s="63">
        <v>0.21472392638036811</v>
      </c>
      <c r="O20" s="63">
        <v>0.57777777777777772</v>
      </c>
      <c r="P20" s="63">
        <v>0.62857142857142856</v>
      </c>
      <c r="Q20" s="63">
        <v>0.47619047619047616</v>
      </c>
    </row>
    <row r="21" spans="1:17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0.16666666666666666</v>
      </c>
      <c r="M21" s="63">
        <v>0.27544910179640719</v>
      </c>
      <c r="N21" s="63">
        <v>0.20958083832335328</v>
      </c>
      <c r="O21" s="63">
        <v>0.58695652173913049</v>
      </c>
      <c r="P21" s="63">
        <v>0.62857142857142856</v>
      </c>
      <c r="Q21" s="63">
        <v>0.46875</v>
      </c>
    </row>
    <row r="22" spans="1:17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0.21052631578947367</v>
      </c>
      <c r="M22" s="63">
        <v>0.28813559322033899</v>
      </c>
      <c r="N22" s="63">
        <v>0.20903954802259886</v>
      </c>
      <c r="O22" s="63">
        <v>0.60784313725490191</v>
      </c>
      <c r="P22" s="63">
        <v>0.6216216216216216</v>
      </c>
      <c r="Q22" s="63">
        <v>0.46376811594202899</v>
      </c>
    </row>
    <row r="23" spans="1:17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</v>
      </c>
      <c r="M23" s="63">
        <v>0.27956989247311825</v>
      </c>
      <c r="N23" s="63">
        <v>0.22043010752688172</v>
      </c>
      <c r="O23" s="63">
        <v>0.59615384615384615</v>
      </c>
      <c r="P23" s="63">
        <v>0.58536585365853655</v>
      </c>
      <c r="Q23" s="63">
        <v>0.47142857142857142</v>
      </c>
    </row>
    <row r="24" spans="1:17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0.19047619047619047</v>
      </c>
      <c r="M24" s="63">
        <v>0.28125</v>
      </c>
      <c r="N24" s="63">
        <v>0.21354166666666666</v>
      </c>
      <c r="O24" s="63">
        <v>0.59259259259259256</v>
      </c>
      <c r="P24" s="63">
        <v>0.58536585365853655</v>
      </c>
      <c r="Q24" s="63">
        <v>0.47222222222222221</v>
      </c>
    </row>
    <row r="25" spans="1:17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0.18181818181818182</v>
      </c>
      <c r="M25" s="63">
        <v>0.28358208955223879</v>
      </c>
      <c r="N25" s="63">
        <v>0.22388059701492538</v>
      </c>
      <c r="O25" s="63">
        <v>0.61403508771929827</v>
      </c>
      <c r="P25" s="63">
        <v>0.6</v>
      </c>
      <c r="Q25" s="63">
        <v>0.46153846153846156</v>
      </c>
    </row>
    <row r="26" spans="1:17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0.17391304347826086</v>
      </c>
      <c r="M26" s="63">
        <v>0.28217821782178215</v>
      </c>
      <c r="N26" s="63">
        <v>0.22277227722772278</v>
      </c>
      <c r="O26" s="63">
        <v>0.61403508771929827</v>
      </c>
      <c r="P26" s="63">
        <v>0.6</v>
      </c>
      <c r="Q26" s="63">
        <v>0.46153846153846156</v>
      </c>
    </row>
    <row r="27" spans="1:17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0.16666666666666666</v>
      </c>
      <c r="M27" s="63">
        <v>0.28708133971291866</v>
      </c>
      <c r="N27" s="63">
        <v>0.22966507177033493</v>
      </c>
      <c r="O27" s="63">
        <v>0.6</v>
      </c>
      <c r="P27" s="63">
        <v>0.5625</v>
      </c>
      <c r="Q27" s="63">
        <v>0.46835443037974683</v>
      </c>
    </row>
    <row r="28" spans="1:17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0.16</v>
      </c>
      <c r="M28" s="63">
        <v>0.28110599078341014</v>
      </c>
      <c r="N28" s="63">
        <v>0.23502304147465439</v>
      </c>
      <c r="O28" s="63">
        <v>0.5901639344262295</v>
      </c>
      <c r="P28" s="63">
        <v>0.5490196078431373</v>
      </c>
      <c r="Q28" s="63">
        <v>0.46250000000000002</v>
      </c>
    </row>
    <row r="29" spans="1:17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0.15384615384615385</v>
      </c>
      <c r="M29" s="63">
        <v>0.28125</v>
      </c>
      <c r="N29" s="63">
        <v>0.24553571428571427</v>
      </c>
      <c r="O29" s="63">
        <v>0.60317460317460314</v>
      </c>
      <c r="P29" s="63">
        <v>0.52727272727272723</v>
      </c>
      <c r="Q29" s="63">
        <v>0.4642857142857143</v>
      </c>
    </row>
    <row r="30" spans="1:17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0.14814814814814814</v>
      </c>
      <c r="M30" s="63">
        <v>0.27659574468085107</v>
      </c>
      <c r="N30" s="63">
        <v>0.24680851063829787</v>
      </c>
      <c r="O30" s="63">
        <v>0.61538461538461542</v>
      </c>
      <c r="P30" s="63">
        <v>0.53448275862068961</v>
      </c>
      <c r="Q30" s="63">
        <v>0.43820224719101125</v>
      </c>
    </row>
    <row r="31" spans="1:17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0.14285714285714285</v>
      </c>
      <c r="M31" s="63">
        <v>0.27642276422764228</v>
      </c>
      <c r="N31" s="63">
        <v>0.24796747967479674</v>
      </c>
      <c r="O31" s="63">
        <v>0.6029411764705882</v>
      </c>
      <c r="P31" s="63">
        <v>0.54098360655737709</v>
      </c>
      <c r="Q31" s="63">
        <v>0.42391304347826086</v>
      </c>
    </row>
    <row r="32" spans="1:17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0.13793103448275862</v>
      </c>
      <c r="M32" s="63">
        <v>0.27490039840637448</v>
      </c>
      <c r="N32" s="63">
        <v>0.24701195219123506</v>
      </c>
      <c r="O32" s="63">
        <v>0.59420289855072461</v>
      </c>
      <c r="P32" s="63">
        <v>0.54838709677419351</v>
      </c>
      <c r="Q32" s="63">
        <v>0.42553191489361702</v>
      </c>
    </row>
    <row r="33" spans="1:17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0.13333333333333333</v>
      </c>
      <c r="M33" s="63">
        <v>0.26615969581749049</v>
      </c>
      <c r="N33" s="63">
        <v>0.24714828897338403</v>
      </c>
      <c r="O33" s="63">
        <v>0.58571428571428574</v>
      </c>
      <c r="P33" s="63">
        <v>0.53846153846153844</v>
      </c>
      <c r="Q33" s="63">
        <v>0.42105263157894735</v>
      </c>
    </row>
    <row r="34" spans="1:17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0.12903225806451613</v>
      </c>
      <c r="M34" s="63">
        <v>0.25818181818181818</v>
      </c>
      <c r="N34" s="63">
        <v>0.24363636363636362</v>
      </c>
      <c r="O34" s="63">
        <v>0.59154929577464788</v>
      </c>
      <c r="P34" s="63">
        <v>0.52238805970149249</v>
      </c>
      <c r="Q34" s="63">
        <v>0.42857142857142855</v>
      </c>
    </row>
    <row r="35" spans="1:17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0.125</v>
      </c>
      <c r="M35" s="63">
        <v>0.25352112676056338</v>
      </c>
      <c r="N35" s="63">
        <v>0.23943661971830985</v>
      </c>
      <c r="O35" s="63">
        <v>0.59722222222222221</v>
      </c>
      <c r="P35" s="63">
        <v>0.52941176470588236</v>
      </c>
      <c r="Q35" s="63">
        <v>0.42574257425742573</v>
      </c>
    </row>
    <row r="36" spans="1:17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0.12121212121212122</v>
      </c>
      <c r="M36" s="63">
        <v>0.25085910652920962</v>
      </c>
      <c r="N36" s="63">
        <v>0.23711340206185566</v>
      </c>
      <c r="O36" s="63">
        <v>0.60273972602739723</v>
      </c>
      <c r="P36" s="63">
        <v>0.53623188405797106</v>
      </c>
      <c r="Q36" s="63">
        <v>0.42718446601941745</v>
      </c>
    </row>
    <row r="37" spans="1:17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0.11764705882352941</v>
      </c>
      <c r="M37" s="63">
        <v>0.24916943521594684</v>
      </c>
      <c r="N37" s="63">
        <v>0.2292358803986711</v>
      </c>
      <c r="O37" s="63">
        <v>0.61333333333333329</v>
      </c>
      <c r="P37" s="63">
        <v>0.53623188405797106</v>
      </c>
      <c r="Q37" s="63">
        <v>0.42857142857142855</v>
      </c>
    </row>
    <row r="38" spans="1:17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0.11428571428571428</v>
      </c>
      <c r="M38" s="63">
        <v>0.24758842443729903</v>
      </c>
      <c r="N38" s="63">
        <v>0.22508038585209003</v>
      </c>
      <c r="O38" s="63">
        <v>0.61038961038961037</v>
      </c>
      <c r="P38" s="63">
        <v>0.52857142857142858</v>
      </c>
      <c r="Q38" s="63">
        <v>0.43396226415094341</v>
      </c>
    </row>
    <row r="39" spans="1:17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0.1111111111111111</v>
      </c>
      <c r="M39" s="63">
        <v>0.24761904761904763</v>
      </c>
      <c r="N39" s="63">
        <v>0.22222222222222221</v>
      </c>
      <c r="O39" s="63">
        <v>0.60256410256410253</v>
      </c>
      <c r="P39" s="63">
        <v>0.52857142857142858</v>
      </c>
      <c r="Q39" s="63">
        <v>0.43396226415094341</v>
      </c>
    </row>
    <row r="40" spans="1:17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0.10810810810810811</v>
      </c>
      <c r="M40" s="63">
        <v>0.24610591900311526</v>
      </c>
      <c r="N40" s="63">
        <v>0.22118380062305296</v>
      </c>
      <c r="O40" s="63">
        <v>0.60759493670886078</v>
      </c>
      <c r="P40" s="63">
        <v>0.53521126760563376</v>
      </c>
      <c r="Q40" s="63">
        <v>0.42592592592592593</v>
      </c>
    </row>
    <row r="41" spans="1:17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0.10526315789473684</v>
      </c>
      <c r="M41" s="63">
        <v>0.24316109422492402</v>
      </c>
      <c r="N41" s="63">
        <v>0.22492401215805471</v>
      </c>
      <c r="O41" s="63">
        <v>0.61250000000000004</v>
      </c>
      <c r="P41" s="63">
        <v>0.54054054054054057</v>
      </c>
      <c r="Q41" s="63">
        <v>0.42857142857142855</v>
      </c>
    </row>
    <row r="42" spans="1:17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0.10256410256410256</v>
      </c>
      <c r="M42" s="63">
        <v>0.24477611940298508</v>
      </c>
      <c r="N42" s="63">
        <v>0.22388059701492538</v>
      </c>
      <c r="O42" s="63">
        <v>0.6097560975609756</v>
      </c>
      <c r="P42" s="63">
        <v>0.53333333333333333</v>
      </c>
      <c r="Q42" s="63">
        <v>0.4247787610619469</v>
      </c>
    </row>
    <row r="43" spans="1:17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0.1</v>
      </c>
      <c r="M43" s="63">
        <v>0.24489795918367346</v>
      </c>
      <c r="N43" s="63">
        <v>0.22157434402332363</v>
      </c>
      <c r="O43" s="63">
        <v>0.61904761904761907</v>
      </c>
      <c r="P43" s="63">
        <v>0.52631578947368418</v>
      </c>
      <c r="Q43" s="63">
        <v>0.43103448275862066</v>
      </c>
    </row>
    <row r="44" spans="1:17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9.7560975609756101E-2</v>
      </c>
      <c r="M44" s="63">
        <v>0.24501424501424501</v>
      </c>
      <c r="N44" s="63">
        <v>0.21652421652421652</v>
      </c>
      <c r="O44" s="63">
        <v>0.61627906976744184</v>
      </c>
      <c r="P44" s="63">
        <v>0.52631578947368418</v>
      </c>
      <c r="Q44" s="63">
        <v>0.44067796610169491</v>
      </c>
    </row>
    <row r="45" spans="1:17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9.5238095238095233E-2</v>
      </c>
      <c r="M45" s="63">
        <v>0.25139664804469275</v>
      </c>
      <c r="N45" s="63">
        <v>0.21508379888268156</v>
      </c>
      <c r="O45" s="63">
        <v>0.61111111111111116</v>
      </c>
      <c r="P45" s="63">
        <v>0.53246753246753242</v>
      </c>
      <c r="Q45" s="63">
        <v>0.42622950819672129</v>
      </c>
    </row>
    <row r="46" spans="1:17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9.3023255813953487E-2</v>
      </c>
      <c r="M46" s="63">
        <v>0.25136612021857924</v>
      </c>
      <c r="N46" s="63">
        <v>0.22131147540983606</v>
      </c>
      <c r="O46" s="63">
        <v>0.60869565217391308</v>
      </c>
      <c r="P46" s="63">
        <v>0.54320987654320985</v>
      </c>
      <c r="Q46" s="63">
        <v>0.41269841269841268</v>
      </c>
    </row>
    <row r="47" spans="1:17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9.0909090909090912E-2</v>
      </c>
      <c r="M47" s="63">
        <v>0.25133689839572193</v>
      </c>
      <c r="N47" s="63">
        <v>0.22459893048128343</v>
      </c>
      <c r="O47" s="63">
        <v>0.6063829787234043</v>
      </c>
      <c r="P47" s="63">
        <v>0.54761904761904767</v>
      </c>
      <c r="Q47" s="63">
        <v>0.41860465116279072</v>
      </c>
    </row>
    <row r="48" spans="1:17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8.8888888888888892E-2</v>
      </c>
      <c r="M48" s="63">
        <v>0.24934383202099739</v>
      </c>
      <c r="N48" s="63">
        <v>0.22572178477690288</v>
      </c>
      <c r="O48" s="63">
        <v>0.61052631578947369</v>
      </c>
      <c r="P48" s="63">
        <v>0.54651162790697672</v>
      </c>
      <c r="Q48" s="63">
        <v>0.41984732824427479</v>
      </c>
    </row>
    <row r="49" spans="1:17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8.6956521739130432E-2</v>
      </c>
      <c r="M49" s="63">
        <v>0.25192802056555269</v>
      </c>
      <c r="N49" s="63">
        <v>0.2262210796915167</v>
      </c>
      <c r="O49" s="63">
        <v>0.61224489795918369</v>
      </c>
      <c r="P49" s="63">
        <v>0.55681818181818177</v>
      </c>
      <c r="Q49" s="63">
        <v>0.40441176470588236</v>
      </c>
    </row>
    <row r="50" spans="1:17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8.5106382978723402E-2</v>
      </c>
      <c r="M50" s="63">
        <v>0.25</v>
      </c>
      <c r="N50" s="63">
        <v>0.22448979591836735</v>
      </c>
      <c r="O50" s="63">
        <v>0.61224489795918369</v>
      </c>
      <c r="P50" s="63">
        <v>0.55681818181818177</v>
      </c>
      <c r="Q50" s="63">
        <v>0.40441176470588236</v>
      </c>
    </row>
    <row r="51" spans="1:17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8.3333333333333329E-2</v>
      </c>
      <c r="M51" s="63">
        <v>0.24685138539042822</v>
      </c>
      <c r="N51" s="63">
        <v>0.22418136020151133</v>
      </c>
      <c r="O51" s="63">
        <v>0.61224489795918369</v>
      </c>
      <c r="P51" s="63">
        <v>0.5617977528089888</v>
      </c>
      <c r="Q51" s="63">
        <v>0.40145985401459855</v>
      </c>
    </row>
    <row r="52" spans="1:17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8.1632653061224483E-2</v>
      </c>
      <c r="M52" s="63">
        <v>0.24444444444444444</v>
      </c>
      <c r="N52" s="63">
        <v>0.2271604938271605</v>
      </c>
      <c r="O52" s="63">
        <v>0.60606060606060608</v>
      </c>
      <c r="P52" s="63">
        <v>0.56521739130434778</v>
      </c>
      <c r="Q52" s="63">
        <v>0.40287769784172661</v>
      </c>
    </row>
    <row r="53" spans="1:17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0.1</v>
      </c>
      <c r="M53" s="63">
        <v>0.24938875305623473</v>
      </c>
      <c r="N53" s="63">
        <v>0.22493887530562348</v>
      </c>
      <c r="O53" s="63">
        <v>0.61764705882352944</v>
      </c>
      <c r="P53" s="63">
        <v>0.56521739130434778</v>
      </c>
      <c r="Q53" s="63">
        <v>0.40140845070422537</v>
      </c>
    </row>
    <row r="54" spans="1:17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9.8039215686274508E-2</v>
      </c>
      <c r="M54" s="63">
        <v>0.24761904761904763</v>
      </c>
      <c r="N54" s="63">
        <v>0.22619047619047619</v>
      </c>
      <c r="O54" s="63">
        <v>0.61538461538461542</v>
      </c>
      <c r="P54" s="63">
        <v>0.55789473684210522</v>
      </c>
      <c r="Q54" s="63">
        <v>0.39310344827586208</v>
      </c>
    </row>
    <row r="55" spans="1:17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0.11538461538461539</v>
      </c>
      <c r="M55" s="63">
        <v>0.25117370892018781</v>
      </c>
      <c r="N55" s="63">
        <v>0.22300469483568075</v>
      </c>
      <c r="O55" s="63">
        <v>0.62616822429906538</v>
      </c>
      <c r="P55" s="63">
        <v>0.55789473684210522</v>
      </c>
      <c r="Q55" s="63">
        <v>0.38513513513513514</v>
      </c>
    </row>
    <row r="56" spans="1:17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0.11320754716981132</v>
      </c>
      <c r="M56" s="63">
        <v>0.25058004640371229</v>
      </c>
      <c r="N56" s="63">
        <v>0.22273781902552203</v>
      </c>
      <c r="O56" s="63">
        <v>0.62962962962962965</v>
      </c>
      <c r="P56" s="63">
        <v>0.55208333333333337</v>
      </c>
      <c r="Q56" s="63">
        <v>0.38666666666666666</v>
      </c>
    </row>
    <row r="57" spans="1:17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0.1111111111111111</v>
      </c>
      <c r="M57" s="63">
        <v>0.24829157175398633</v>
      </c>
      <c r="N57" s="63">
        <v>0.2255125284738041</v>
      </c>
      <c r="O57" s="63">
        <v>0.6330275229357798</v>
      </c>
      <c r="P57" s="63">
        <v>0.55555555555555558</v>
      </c>
      <c r="Q57" s="63">
        <v>0.38311688311688313</v>
      </c>
    </row>
    <row r="58" spans="1:17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0.10909090909090909</v>
      </c>
      <c r="M58" s="63">
        <v>0.25112107623318386</v>
      </c>
      <c r="N58" s="63">
        <v>0.22421524663677131</v>
      </c>
      <c r="O58" s="63">
        <v>0.6339285714285714</v>
      </c>
      <c r="P58" s="63">
        <v>0.55000000000000004</v>
      </c>
      <c r="Q58" s="63">
        <v>0.39102564102564102</v>
      </c>
    </row>
    <row r="59" spans="1:17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0.10714285714285714</v>
      </c>
      <c r="M59" s="63">
        <v>0.25274725274725274</v>
      </c>
      <c r="N59" s="63">
        <v>0.22857142857142856</v>
      </c>
      <c r="O59" s="63">
        <v>0.62608695652173918</v>
      </c>
      <c r="P59" s="63">
        <v>0.53846153846153844</v>
      </c>
      <c r="Q59" s="63">
        <v>0.40251572327044027</v>
      </c>
    </row>
    <row r="60" spans="1:17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0.10526315789473684</v>
      </c>
      <c r="M60" s="63">
        <v>0.25269978401727861</v>
      </c>
      <c r="N60" s="63">
        <v>0.23110151187904968</v>
      </c>
      <c r="O60" s="63">
        <v>0.62393162393162394</v>
      </c>
      <c r="P60" s="63">
        <v>0.53271028037383172</v>
      </c>
      <c r="Q60" s="63">
        <v>0.40372670807453415</v>
      </c>
    </row>
    <row r="61" spans="1:17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0.10344827586206896</v>
      </c>
      <c r="M61" s="63">
        <v>0.2521186440677966</v>
      </c>
      <c r="N61" s="63">
        <v>0.23305084745762711</v>
      </c>
      <c r="O61" s="63">
        <v>0.62184873949579833</v>
      </c>
      <c r="P61" s="63">
        <v>0.52727272727272723</v>
      </c>
      <c r="Q61" s="63">
        <v>0.3987730061349693</v>
      </c>
    </row>
    <row r="62" spans="1:17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0.10169491525423729</v>
      </c>
      <c r="M62" s="63">
        <v>0.24948024948024949</v>
      </c>
      <c r="N62" s="63">
        <v>0.23700623700623702</v>
      </c>
      <c r="O62" s="63">
        <v>0.6166666666666667</v>
      </c>
      <c r="P62" s="63">
        <v>0.50877192982456143</v>
      </c>
      <c r="Q62" s="63">
        <v>0.3987730061349693</v>
      </c>
    </row>
    <row r="63" spans="1:17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0.1</v>
      </c>
      <c r="M63" s="63">
        <v>0.24795081967213115</v>
      </c>
      <c r="N63" s="63">
        <v>0.23770491803278687</v>
      </c>
      <c r="O63" s="63">
        <v>0.61157024793388426</v>
      </c>
      <c r="P63" s="63">
        <v>0.50862068965517238</v>
      </c>
      <c r="Q63" s="63">
        <v>0.40243902439024393</v>
      </c>
    </row>
    <row r="64" spans="1:17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9.8360655737704916E-2</v>
      </c>
      <c r="M64" s="63">
        <v>0.24899598393574296</v>
      </c>
      <c r="N64" s="63">
        <v>0.23694779116465864</v>
      </c>
      <c r="O64" s="63">
        <v>0.60483870967741937</v>
      </c>
      <c r="P64" s="63">
        <v>0.5</v>
      </c>
      <c r="Q64" s="63">
        <v>0.40361445783132532</v>
      </c>
    </row>
    <row r="65" spans="1:17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9.6774193548387094E-2</v>
      </c>
      <c r="M65" s="63">
        <v>0.24652087475149106</v>
      </c>
      <c r="N65" s="63">
        <v>0.23658051689860835</v>
      </c>
      <c r="O65" s="63">
        <v>0.60483870967741937</v>
      </c>
      <c r="P65" s="63">
        <v>0.49579831932773111</v>
      </c>
      <c r="Q65" s="63">
        <v>0.40718562874251496</v>
      </c>
    </row>
    <row r="66" spans="1:17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9.5238095238095233E-2</v>
      </c>
      <c r="M66" s="63">
        <v>0.24902723735408561</v>
      </c>
      <c r="N66" s="63">
        <v>0.23929961089494164</v>
      </c>
      <c r="O66" s="63">
        <v>0.59375</v>
      </c>
      <c r="P66" s="63">
        <v>0.48780487804878048</v>
      </c>
      <c r="Q66" s="63">
        <v>0.40828402366863903</v>
      </c>
    </row>
    <row r="67" spans="1:17" x14ac:dyDescent="0.4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9.375E-2</v>
      </c>
      <c r="M67" s="63">
        <v>0.25047801147227533</v>
      </c>
      <c r="N67" s="63">
        <v>0.23709369024856597</v>
      </c>
      <c r="O67" s="63">
        <v>0.59541984732824427</v>
      </c>
      <c r="P67" s="63">
        <v>0.4838709677419355</v>
      </c>
      <c r="Q67" s="63">
        <v>0.41860465116279072</v>
      </c>
    </row>
    <row r="68" spans="1:17" x14ac:dyDescent="0.4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9.2307692307692313E-2</v>
      </c>
      <c r="M68" s="63">
        <v>0.25283018867924528</v>
      </c>
      <c r="N68" s="63">
        <v>0.23962264150943396</v>
      </c>
      <c r="O68" s="63">
        <v>0.58955223880597019</v>
      </c>
      <c r="P68" s="63">
        <v>0.48818897637795278</v>
      </c>
      <c r="Q68" s="63">
        <v>0.42045454545454547</v>
      </c>
    </row>
    <row r="69" spans="1:17" x14ac:dyDescent="0.4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9.0909090909090912E-2</v>
      </c>
      <c r="M69" s="63">
        <v>0.25092936802973975</v>
      </c>
      <c r="N69" s="63">
        <v>0.23977695167286245</v>
      </c>
      <c r="O69" s="63">
        <v>0.59259259259259256</v>
      </c>
      <c r="P69" s="63">
        <v>0.49612403100775193</v>
      </c>
      <c r="Q69" s="63">
        <v>0.41666666666666669</v>
      </c>
    </row>
    <row r="70" spans="1:17" x14ac:dyDescent="0.4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8.9552238805970144E-2</v>
      </c>
      <c r="M70" s="63">
        <v>0.25</v>
      </c>
      <c r="N70" s="63">
        <v>0.24270072992700731</v>
      </c>
      <c r="O70" s="63">
        <v>0.59124087591240881</v>
      </c>
      <c r="P70" s="63">
        <v>0.48872180451127817</v>
      </c>
      <c r="Q70" s="63">
        <v>0.41208791208791207</v>
      </c>
    </row>
    <row r="71" spans="1:17" x14ac:dyDescent="0.4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0.10294117647058823</v>
      </c>
      <c r="M71" s="63">
        <v>0.24954792043399637</v>
      </c>
      <c r="N71" s="63">
        <v>0.24231464737793851</v>
      </c>
      <c r="O71" s="63">
        <v>0.59420289855072461</v>
      </c>
      <c r="P71" s="63">
        <v>0.4925373134328358</v>
      </c>
      <c r="Q71" s="63">
        <v>0.40860215053763443</v>
      </c>
    </row>
    <row r="72" spans="1:17" x14ac:dyDescent="0.4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0.11594202898550725</v>
      </c>
      <c r="M72" s="63">
        <v>0.25265017667844525</v>
      </c>
      <c r="N72" s="63">
        <v>0.23851590106007067</v>
      </c>
      <c r="O72" s="63">
        <v>0.60139860139860135</v>
      </c>
      <c r="P72" s="63">
        <v>0.48888888888888887</v>
      </c>
      <c r="Q72" s="63">
        <v>0.41361256544502617</v>
      </c>
    </row>
    <row r="73" spans="1:17" x14ac:dyDescent="0.4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0.11428571428571428</v>
      </c>
      <c r="M73" s="63">
        <v>0.24956369982547993</v>
      </c>
      <c r="N73" s="63">
        <v>0.23734729493891799</v>
      </c>
      <c r="O73" s="63">
        <v>0.60139860139860135</v>
      </c>
      <c r="P73" s="63">
        <v>0.48529411764705882</v>
      </c>
      <c r="Q73" s="63">
        <v>0.41666666666666669</v>
      </c>
    </row>
    <row r="74" spans="1:17" x14ac:dyDescent="0.4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0.11267605633802817</v>
      </c>
      <c r="M74" s="63">
        <v>0.2512908777969019</v>
      </c>
      <c r="N74" s="63">
        <v>0.23580034423407917</v>
      </c>
      <c r="O74" s="63">
        <v>0.60273972602739723</v>
      </c>
      <c r="P74" s="63">
        <v>0.48175182481751827</v>
      </c>
      <c r="Q74" s="63">
        <v>0.42268041237113402</v>
      </c>
    </row>
    <row r="75" spans="1:17" x14ac:dyDescent="0.4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0.1111111111111111</v>
      </c>
      <c r="M75" s="63">
        <v>0.25127334465195245</v>
      </c>
      <c r="N75" s="63">
        <v>0.23769100169779286</v>
      </c>
      <c r="O75" s="63">
        <v>0.60810810810810811</v>
      </c>
      <c r="P75" s="63">
        <v>0.47857142857142859</v>
      </c>
      <c r="Q75" s="63">
        <v>0.42424242424242425</v>
      </c>
    </row>
    <row r="76" spans="1:17" x14ac:dyDescent="0.4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0.1095890410958904</v>
      </c>
      <c r="M76" s="63">
        <v>0.25628140703517588</v>
      </c>
      <c r="N76" s="63">
        <v>0.23785594639865998</v>
      </c>
      <c r="O76" s="63">
        <v>0.60784313725490191</v>
      </c>
      <c r="P76" s="63">
        <v>0.47887323943661969</v>
      </c>
      <c r="Q76" s="63">
        <v>0.42079207920792078</v>
      </c>
    </row>
    <row r="77" spans="1:17" x14ac:dyDescent="0.4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0.10810810810810811</v>
      </c>
      <c r="M77" s="63">
        <v>0.25538971807628524</v>
      </c>
      <c r="N77" s="63">
        <v>0.23714759535655058</v>
      </c>
      <c r="O77" s="63">
        <v>0.61038961038961037</v>
      </c>
      <c r="P77" s="63">
        <v>0.47552447552447552</v>
      </c>
      <c r="Q77" s="63">
        <v>0.42156862745098039</v>
      </c>
    </row>
    <row r="78" spans="1:17" x14ac:dyDescent="0.4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0.10666666666666667</v>
      </c>
      <c r="M78" s="63">
        <v>0.25451559934318557</v>
      </c>
      <c r="N78" s="63">
        <v>0.2348111658456486</v>
      </c>
      <c r="O78" s="63">
        <v>0.61290322580645162</v>
      </c>
      <c r="P78" s="63">
        <v>0.47552447552447552</v>
      </c>
      <c r="Q78" s="63">
        <v>0.42028985507246375</v>
      </c>
    </row>
    <row r="79" spans="1:17" x14ac:dyDescent="0.4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0.10526315789473684</v>
      </c>
      <c r="M79" s="63">
        <v>0.25365853658536586</v>
      </c>
      <c r="N79" s="63">
        <v>0.23577235772357724</v>
      </c>
      <c r="O79" s="63">
        <v>0.60897435897435892</v>
      </c>
      <c r="P79" s="63">
        <v>0.4689655172413793</v>
      </c>
      <c r="Q79" s="63">
        <v>0.42028985507246375</v>
      </c>
    </row>
    <row r="80" spans="1:17" x14ac:dyDescent="0.4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0.1038961038961039</v>
      </c>
      <c r="M80" s="63">
        <v>0.25241157556270094</v>
      </c>
      <c r="N80" s="63">
        <v>0.23794212218649519</v>
      </c>
      <c r="O80" s="63">
        <v>0.61146496815286622</v>
      </c>
      <c r="P80" s="63">
        <v>0.46621621621621623</v>
      </c>
      <c r="Q80" s="63">
        <v>0.42105263157894735</v>
      </c>
    </row>
    <row r="81" spans="1:17" x14ac:dyDescent="0.4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0.10256410256410256</v>
      </c>
      <c r="M81" s="63">
        <v>0.2527646129541864</v>
      </c>
      <c r="N81" s="63">
        <v>0.24328593996840442</v>
      </c>
      <c r="O81" s="63">
        <v>0.60624999999999996</v>
      </c>
      <c r="P81" s="63">
        <v>0.46753246753246752</v>
      </c>
      <c r="Q81" s="63">
        <v>0.42253521126760563</v>
      </c>
    </row>
    <row r="82" spans="1:17" x14ac:dyDescent="0.4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0.10126582278481013</v>
      </c>
      <c r="M82" s="63">
        <v>0.25038880248833595</v>
      </c>
      <c r="N82" s="63">
        <v>0.24105754276827371</v>
      </c>
      <c r="O82" s="63">
        <v>0.60248447204968947</v>
      </c>
      <c r="P82" s="63">
        <v>0.46451612903225808</v>
      </c>
      <c r="Q82" s="63">
        <v>0.42056074766355139</v>
      </c>
    </row>
    <row r="83" spans="1:17" x14ac:dyDescent="0.4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0.1</v>
      </c>
      <c r="M83" s="63">
        <v>0.2526964560862866</v>
      </c>
      <c r="N83" s="63">
        <v>0.24191063174114022</v>
      </c>
      <c r="O83" s="63">
        <v>0.60365853658536583</v>
      </c>
      <c r="P83" s="63">
        <v>0.46496815286624205</v>
      </c>
      <c r="Q83" s="63">
        <v>0.42396313364055299</v>
      </c>
    </row>
    <row r="84" spans="1:17" x14ac:dyDescent="0.4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9.8765432098765427E-2</v>
      </c>
      <c r="M84" s="63">
        <v>0.25114854517611024</v>
      </c>
      <c r="N84" s="63">
        <v>0.24042879019908117</v>
      </c>
      <c r="O84" s="63">
        <v>0.60365853658536583</v>
      </c>
      <c r="P84" s="63">
        <v>0.46496815286624205</v>
      </c>
      <c r="Q84" s="63">
        <v>0.42396313364055299</v>
      </c>
    </row>
    <row r="85" spans="1:17" x14ac:dyDescent="0.4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9.7560975609756101E-2</v>
      </c>
      <c r="M85" s="63">
        <v>0.25375375375375375</v>
      </c>
      <c r="N85" s="63">
        <v>0.23723723723723725</v>
      </c>
      <c r="O85" s="63">
        <v>0.60946745562130178</v>
      </c>
      <c r="P85" s="63">
        <v>0.46835443037974683</v>
      </c>
      <c r="Q85" s="63">
        <v>0.42342342342342343</v>
      </c>
    </row>
    <row r="86" spans="1:17" x14ac:dyDescent="0.4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9.6385542168674704E-2</v>
      </c>
      <c r="M86" s="63">
        <v>0.25519287833827892</v>
      </c>
      <c r="N86" s="63">
        <v>0.23738872403560832</v>
      </c>
      <c r="O86" s="63">
        <v>0.60465116279069764</v>
      </c>
      <c r="P86" s="63">
        <v>0.46875</v>
      </c>
      <c r="Q86" s="63">
        <v>0.42410714285714285</v>
      </c>
    </row>
    <row r="87" spans="1:17" x14ac:dyDescent="0.4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9.5238095238095233E-2</v>
      </c>
      <c r="M87" s="63">
        <v>0.25663716814159293</v>
      </c>
      <c r="N87" s="63">
        <v>0.2359882005899705</v>
      </c>
      <c r="O87" s="63">
        <v>0.60919540229885061</v>
      </c>
      <c r="P87" s="63">
        <v>0.46875</v>
      </c>
      <c r="Q87" s="63">
        <v>0.4247787610619469</v>
      </c>
    </row>
    <row r="88" spans="1:17" x14ac:dyDescent="0.4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9.4117647058823528E-2</v>
      </c>
      <c r="M88" s="63">
        <v>0.25877192982456143</v>
      </c>
      <c r="N88" s="63">
        <v>0.23391812865497075</v>
      </c>
      <c r="O88" s="63">
        <v>0.59887005649717517</v>
      </c>
      <c r="P88" s="63">
        <v>0.46875</v>
      </c>
      <c r="Q88" s="63">
        <v>0.4247787610619469</v>
      </c>
    </row>
    <row r="89" spans="1:17" x14ac:dyDescent="0.4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9.3023255813953487E-2</v>
      </c>
      <c r="M89" s="63">
        <v>0.26118326118326118</v>
      </c>
      <c r="N89" s="63">
        <v>0.23376623376623376</v>
      </c>
      <c r="O89" s="63">
        <v>0.59668508287292821</v>
      </c>
      <c r="P89" s="63">
        <v>0.47530864197530864</v>
      </c>
      <c r="Q89" s="63">
        <v>0.42608695652173911</v>
      </c>
    </row>
    <row r="90" spans="1:17" x14ac:dyDescent="0.4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9.1954022988505746E-2</v>
      </c>
      <c r="M90" s="63">
        <v>0.2603719599427754</v>
      </c>
      <c r="N90" s="63">
        <v>0.23319027181688126</v>
      </c>
      <c r="O90" s="63">
        <v>0.59890109890109888</v>
      </c>
      <c r="P90" s="63">
        <v>0.4785276073619632</v>
      </c>
      <c r="Q90" s="63">
        <v>0.42672413793103448</v>
      </c>
    </row>
    <row r="91" spans="1:17" x14ac:dyDescent="0.4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9.0909090909090912E-2</v>
      </c>
      <c r="M91" s="63">
        <v>0.26203966005665724</v>
      </c>
      <c r="N91" s="63">
        <v>0.23229461756373937</v>
      </c>
      <c r="O91" s="63">
        <v>0.6</v>
      </c>
      <c r="P91" s="63">
        <v>0.47560975609756095</v>
      </c>
      <c r="Q91" s="63">
        <v>0.42735042735042733</v>
      </c>
    </row>
    <row r="92" spans="1:17" x14ac:dyDescent="0.4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8.98876404494382E-2</v>
      </c>
      <c r="M92" s="63">
        <v>0.26470588235294118</v>
      </c>
      <c r="N92" s="63">
        <v>0.22969187675070027</v>
      </c>
      <c r="O92" s="63">
        <v>0.59259259259259256</v>
      </c>
      <c r="P92" s="63">
        <v>0.47560975609756095</v>
      </c>
      <c r="Q92" s="63">
        <v>0.43220338983050849</v>
      </c>
    </row>
    <row r="93" spans="1:17" x14ac:dyDescent="0.4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8.8888888888888892E-2</v>
      </c>
      <c r="M93" s="63">
        <v>0.26490984743411927</v>
      </c>
      <c r="N93" s="63">
        <v>0.2288488210818308</v>
      </c>
      <c r="O93" s="63">
        <v>0.58638743455497377</v>
      </c>
      <c r="P93" s="63">
        <v>0.47272727272727272</v>
      </c>
      <c r="Q93" s="63">
        <v>0.43459915611814348</v>
      </c>
    </row>
    <row r="94" spans="1:17" x14ac:dyDescent="0.4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8.7912087912087919E-2</v>
      </c>
      <c r="M94" s="63">
        <v>0.26438356164383564</v>
      </c>
      <c r="N94" s="63">
        <v>0.23013698630136986</v>
      </c>
      <c r="O94" s="63">
        <v>0.59067357512953367</v>
      </c>
      <c r="P94" s="63">
        <v>0.47023809523809523</v>
      </c>
      <c r="Q94" s="63">
        <v>0.43388429752066116</v>
      </c>
    </row>
    <row r="95" spans="1:17" x14ac:dyDescent="0.4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8.6956521739130432E-2</v>
      </c>
      <c r="M95" s="63">
        <v>0.26458616010854819</v>
      </c>
      <c r="N95" s="63">
        <v>0.22930800542740842</v>
      </c>
      <c r="O95" s="63">
        <v>0.59487179487179487</v>
      </c>
      <c r="P95" s="63">
        <v>0.46745562130177515</v>
      </c>
      <c r="Q95" s="63">
        <v>0.43265306122448982</v>
      </c>
    </row>
    <row r="96" spans="1:17" x14ac:dyDescent="0.4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9.6774193548387094E-2</v>
      </c>
      <c r="M96" s="63">
        <v>0.26648721399730824</v>
      </c>
      <c r="N96" s="63">
        <v>0.22880215343203231</v>
      </c>
      <c r="O96" s="63">
        <v>0.59595959595959591</v>
      </c>
      <c r="P96" s="63">
        <v>0.47058823529411764</v>
      </c>
      <c r="Q96" s="63">
        <v>0.42741935483870969</v>
      </c>
    </row>
    <row r="97" spans="1:17" x14ac:dyDescent="0.4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9.5744680851063829E-2</v>
      </c>
      <c r="M97" s="63">
        <v>0.26790450928381965</v>
      </c>
      <c r="N97" s="63">
        <v>0.22944297082228116</v>
      </c>
      <c r="O97" s="63">
        <v>0.59405940594059403</v>
      </c>
      <c r="P97" s="63">
        <v>0.47976878612716761</v>
      </c>
      <c r="Q97" s="63">
        <v>0.42292490118577075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35D12-20C0-44BC-8A8C-FDB840461A88}">
  <sheetPr codeName="Sheet8"/>
  <dimension ref="A1:Q4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166</v>
      </c>
      <c r="B1" s="66" t="s">
        <v>166</v>
      </c>
      <c r="C1" s="66" t="s">
        <v>166</v>
      </c>
      <c r="D1" s="67" t="s">
        <v>166</v>
      </c>
      <c r="E1" s="66" t="s">
        <v>166</v>
      </c>
      <c r="F1" s="66" t="s">
        <v>166</v>
      </c>
      <c r="G1" s="66" t="s">
        <v>166</v>
      </c>
      <c r="H1" s="66" t="s">
        <v>166</v>
      </c>
      <c r="I1" s="66" t="s">
        <v>166</v>
      </c>
      <c r="J1" s="66" t="s">
        <v>166</v>
      </c>
      <c r="K1" s="66" t="s">
        <v>166</v>
      </c>
      <c r="L1" s="66" t="s">
        <v>166</v>
      </c>
      <c r="M1" s="66" t="s">
        <v>166</v>
      </c>
      <c r="N1" s="66" t="s">
        <v>166</v>
      </c>
      <c r="O1" s="66" t="s">
        <v>166</v>
      </c>
      <c r="P1" s="66" t="s">
        <v>166</v>
      </c>
      <c r="Q1" s="66" t="s">
        <v>166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</v>
      </c>
      <c r="M4" s="63">
        <v>0.4</v>
      </c>
      <c r="N4" s="63">
        <v>0.2</v>
      </c>
      <c r="O4" s="63">
        <v>0.25</v>
      </c>
      <c r="P4" s="63">
        <v>0.5</v>
      </c>
      <c r="Q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</v>
      </c>
      <c r="M5" s="63">
        <v>0.36842105263157893</v>
      </c>
      <c r="N5" s="63">
        <v>0.26315789473684209</v>
      </c>
      <c r="O5" s="63">
        <v>0.42857142857142855</v>
      </c>
      <c r="P5" s="63">
        <v>0.4</v>
      </c>
      <c r="Q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</v>
      </c>
      <c r="M6" s="63">
        <v>0.33333333333333331</v>
      </c>
      <c r="N6" s="63">
        <v>0.22222222222222221</v>
      </c>
      <c r="O6" s="63">
        <v>0.44444444444444442</v>
      </c>
      <c r="P6" s="63">
        <v>0.33333333333333331</v>
      </c>
      <c r="Q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</v>
      </c>
      <c r="M7" s="63">
        <v>0.34210526315789475</v>
      </c>
      <c r="N7" s="63">
        <v>0.23684210526315788</v>
      </c>
      <c r="O7" s="63">
        <v>0.46153846153846156</v>
      </c>
      <c r="P7" s="63">
        <v>0.33333333333333331</v>
      </c>
      <c r="Q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</v>
      </c>
      <c r="M8" s="63">
        <v>0.28888888888888886</v>
      </c>
      <c r="N8" s="63">
        <v>0.26666666666666666</v>
      </c>
      <c r="O8" s="63">
        <v>0.46153846153846156</v>
      </c>
      <c r="P8" s="63">
        <v>0.33333333333333331</v>
      </c>
      <c r="Q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</v>
      </c>
      <c r="M9" s="63">
        <v>0.29629629629629628</v>
      </c>
      <c r="N9" s="63">
        <v>0.24074074074074073</v>
      </c>
      <c r="O9" s="63">
        <v>0.5</v>
      </c>
      <c r="P9" s="63">
        <v>0.30769230769230771</v>
      </c>
      <c r="Q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</v>
      </c>
      <c r="M10" s="63">
        <v>0.25</v>
      </c>
      <c r="N10" s="63">
        <v>0.26470588235294118</v>
      </c>
      <c r="O10" s="63">
        <v>0.52941176470588236</v>
      </c>
      <c r="P10" s="63">
        <v>0.27777777777777779</v>
      </c>
      <c r="Q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</v>
      </c>
      <c r="M11" s="63">
        <v>0.24358974358974358</v>
      </c>
      <c r="N11" s="63">
        <v>0.26923076923076922</v>
      </c>
      <c r="O11" s="63">
        <v>0.47368421052631576</v>
      </c>
      <c r="P11" s="63">
        <v>0.23809523809523808</v>
      </c>
      <c r="Q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</v>
      </c>
      <c r="M12" s="63">
        <v>0.2413793103448276</v>
      </c>
      <c r="N12" s="63">
        <v>0.26436781609195403</v>
      </c>
      <c r="O12" s="63">
        <v>0.52380952380952384</v>
      </c>
      <c r="P12" s="63">
        <v>0.2608695652173913</v>
      </c>
      <c r="Q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</v>
      </c>
      <c r="M13" s="63">
        <v>0.24210526315789474</v>
      </c>
      <c r="N13" s="63">
        <v>0.27368421052631581</v>
      </c>
      <c r="O13" s="63">
        <v>0.56521739130434778</v>
      </c>
      <c r="P13" s="63">
        <v>0.23076923076923078</v>
      </c>
      <c r="Q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</v>
      </c>
      <c r="M14" s="63">
        <v>0.22549019607843138</v>
      </c>
      <c r="N14" s="63">
        <v>0.27450980392156865</v>
      </c>
      <c r="O14" s="63">
        <v>0.56521739130434778</v>
      </c>
      <c r="P14" s="63">
        <v>0.25</v>
      </c>
      <c r="Q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</v>
      </c>
      <c r="M15" s="63">
        <v>0.21621621621621623</v>
      </c>
      <c r="N15" s="63">
        <v>0.27027027027027029</v>
      </c>
      <c r="O15" s="63">
        <v>0.58333333333333337</v>
      </c>
      <c r="P15" s="63">
        <v>0.26666666666666666</v>
      </c>
      <c r="Q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</v>
      </c>
      <c r="M16" s="63">
        <v>0.20491803278688525</v>
      </c>
      <c r="N16" s="63">
        <v>0.27868852459016391</v>
      </c>
      <c r="O16" s="63">
        <v>0.6</v>
      </c>
      <c r="P16" s="63">
        <v>0.23529411764705882</v>
      </c>
      <c r="Q16" s="63">
        <v>0.5</v>
      </c>
    </row>
    <row r="17" spans="1:17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</v>
      </c>
      <c r="M17" s="63">
        <v>0.18939393939393939</v>
      </c>
      <c r="N17" s="63">
        <v>0.27272727272727271</v>
      </c>
      <c r="O17" s="63">
        <v>0.6</v>
      </c>
      <c r="P17" s="63">
        <v>0.25</v>
      </c>
      <c r="Q17" s="63">
        <v>0.51515151515151514</v>
      </c>
    </row>
    <row r="18" spans="1:17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</v>
      </c>
      <c r="M18" s="63">
        <v>0.1875</v>
      </c>
      <c r="N18" s="63">
        <v>0.25694444444444442</v>
      </c>
      <c r="O18" s="63">
        <v>0.59259259259259256</v>
      </c>
      <c r="P18" s="63">
        <v>0.27027027027027029</v>
      </c>
      <c r="Q18" s="63">
        <v>0.5</v>
      </c>
    </row>
    <row r="19" spans="1:17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</v>
      </c>
      <c r="M19" s="63">
        <v>0.18831168831168832</v>
      </c>
      <c r="N19" s="63">
        <v>0.24025974025974026</v>
      </c>
      <c r="O19" s="63">
        <v>0.58620689655172409</v>
      </c>
      <c r="P19" s="63">
        <v>0.27027027027027029</v>
      </c>
      <c r="Q19" s="63">
        <v>0.48648648648648651</v>
      </c>
    </row>
    <row r="20" spans="1:17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</v>
      </c>
      <c r="M20" s="63">
        <v>0.189873417721519</v>
      </c>
      <c r="N20" s="63">
        <v>0.23417721518987342</v>
      </c>
      <c r="O20" s="63">
        <v>0.56666666666666665</v>
      </c>
      <c r="P20" s="63">
        <v>0.27027027027027029</v>
      </c>
      <c r="Q20" s="63">
        <v>0.47368421052631576</v>
      </c>
    </row>
    <row r="21" spans="1:17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</v>
      </c>
      <c r="M21" s="63">
        <v>0.18902439024390244</v>
      </c>
      <c r="N21" s="63">
        <v>0.22560975609756098</v>
      </c>
      <c r="O21" s="63">
        <v>0.58064516129032262</v>
      </c>
      <c r="P21" s="63">
        <v>0.27027027027027029</v>
      </c>
      <c r="Q21" s="63">
        <v>0.5</v>
      </c>
    </row>
    <row r="22" spans="1:17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</v>
      </c>
      <c r="M22" s="63">
        <v>0.19186046511627908</v>
      </c>
      <c r="N22" s="63">
        <v>0.22674418604651161</v>
      </c>
      <c r="O22" s="63">
        <v>0.54545454545454541</v>
      </c>
      <c r="P22" s="63">
        <v>0.28205128205128205</v>
      </c>
      <c r="Q22" s="63">
        <v>0.51219512195121952</v>
      </c>
    </row>
    <row r="23" spans="1:17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</v>
      </c>
      <c r="M23" s="63">
        <v>0.18333333333333332</v>
      </c>
      <c r="N23" s="63">
        <v>0.23333333333333334</v>
      </c>
      <c r="O23" s="63">
        <v>0.54545454545454541</v>
      </c>
      <c r="P23" s="63">
        <v>0.2857142857142857</v>
      </c>
      <c r="Q23" s="63">
        <v>0.52272727272727271</v>
      </c>
    </row>
    <row r="24" spans="1:17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</v>
      </c>
      <c r="M24" s="63">
        <v>0.18617021276595744</v>
      </c>
      <c r="N24" s="63">
        <v>0.23404255319148937</v>
      </c>
      <c r="O24" s="63">
        <v>0.54285714285714282</v>
      </c>
      <c r="P24" s="63">
        <v>0.29545454545454547</v>
      </c>
      <c r="Q24" s="63">
        <v>0.5</v>
      </c>
    </row>
    <row r="25" spans="1:17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</v>
      </c>
      <c r="M25" s="63">
        <v>0.18367346938775511</v>
      </c>
      <c r="N25" s="63">
        <v>0.22448979591836735</v>
      </c>
      <c r="O25" s="63">
        <v>0.52777777777777779</v>
      </c>
      <c r="P25" s="63">
        <v>0.29545454545454547</v>
      </c>
      <c r="Q25" s="63">
        <v>0.5</v>
      </c>
    </row>
    <row r="26" spans="1:17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4.3478260869565216E-2</v>
      </c>
      <c r="M26" s="63">
        <v>0.18090452261306533</v>
      </c>
      <c r="N26" s="63">
        <v>0.23115577889447236</v>
      </c>
      <c r="O26" s="63">
        <v>0.52777777777777779</v>
      </c>
      <c r="P26" s="63">
        <v>0.30434782608695654</v>
      </c>
      <c r="Q26" s="63">
        <v>0.5</v>
      </c>
    </row>
    <row r="27" spans="1:17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4.1666666666666664E-2</v>
      </c>
      <c r="M27" s="63">
        <v>0.18446601941747573</v>
      </c>
      <c r="N27" s="63">
        <v>0.22815533980582525</v>
      </c>
      <c r="O27" s="63">
        <v>0.52631578947368418</v>
      </c>
      <c r="P27" s="63">
        <v>0.2978723404255319</v>
      </c>
      <c r="Q27" s="63">
        <v>0.49056603773584906</v>
      </c>
    </row>
    <row r="28" spans="1:17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0.04</v>
      </c>
      <c r="M28" s="63">
        <v>0.1822429906542056</v>
      </c>
      <c r="N28" s="63">
        <v>0.23364485981308411</v>
      </c>
      <c r="O28" s="63">
        <v>0.51282051282051277</v>
      </c>
      <c r="P28" s="63">
        <v>0.32</v>
      </c>
      <c r="Q28" s="63">
        <v>0.47272727272727272</v>
      </c>
    </row>
    <row r="29" spans="1:17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3.8461538461538464E-2</v>
      </c>
      <c r="M29" s="63">
        <v>0.17488789237668162</v>
      </c>
      <c r="N29" s="63">
        <v>0.23318385650224216</v>
      </c>
      <c r="O29" s="63">
        <v>0.51282051282051277</v>
      </c>
      <c r="P29" s="63">
        <v>0.32692307692307693</v>
      </c>
      <c r="Q29" s="63">
        <v>0.47368421052631576</v>
      </c>
    </row>
    <row r="30" spans="1:17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3.7037037037037035E-2</v>
      </c>
      <c r="M30" s="63">
        <v>0.17241379310344829</v>
      </c>
      <c r="N30" s="63">
        <v>0.23706896551724138</v>
      </c>
      <c r="O30" s="63">
        <v>0.5</v>
      </c>
      <c r="P30" s="63">
        <v>0.34545454545454546</v>
      </c>
      <c r="Q30" s="63">
        <v>0.47457627118644069</v>
      </c>
    </row>
    <row r="31" spans="1:17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3.5714285714285712E-2</v>
      </c>
      <c r="M31" s="63">
        <v>0.17154811715481172</v>
      </c>
      <c r="N31" s="63">
        <v>0.23012552301255229</v>
      </c>
      <c r="O31" s="63">
        <v>0.51219512195121952</v>
      </c>
      <c r="P31" s="63">
        <v>0.34545454545454546</v>
      </c>
      <c r="Q31" s="63">
        <v>0.47540983606557374</v>
      </c>
    </row>
    <row r="32" spans="1:17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3.4482758620689655E-2</v>
      </c>
      <c r="M32" s="63">
        <v>0.17269076305220885</v>
      </c>
      <c r="N32" s="63">
        <v>0.22489959839357429</v>
      </c>
      <c r="O32" s="63">
        <v>0.51162790697674421</v>
      </c>
      <c r="P32" s="63">
        <v>0.35714285714285715</v>
      </c>
      <c r="Q32" s="63">
        <v>0.46031746031746029</v>
      </c>
    </row>
    <row r="33" spans="1:17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3.3333333333333333E-2</v>
      </c>
      <c r="M33" s="63">
        <v>0.16796875</v>
      </c>
      <c r="N33" s="63">
        <v>0.23046875</v>
      </c>
      <c r="O33" s="63">
        <v>0.51162790697674421</v>
      </c>
      <c r="P33" s="63">
        <v>0.3559322033898305</v>
      </c>
      <c r="Q33" s="63">
        <v>0.453125</v>
      </c>
    </row>
    <row r="34" spans="1:17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3.2258064516129031E-2</v>
      </c>
      <c r="M34" s="63">
        <v>0.16730038022813687</v>
      </c>
      <c r="N34" s="63">
        <v>0.23193916349809887</v>
      </c>
      <c r="O34" s="63">
        <v>0.52272727272727271</v>
      </c>
      <c r="P34" s="63">
        <v>0.36065573770491804</v>
      </c>
      <c r="Q34" s="63">
        <v>0.43939393939393939</v>
      </c>
    </row>
    <row r="35" spans="1:17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3.125E-2</v>
      </c>
      <c r="M35" s="63">
        <v>0.16845878136200718</v>
      </c>
      <c r="N35" s="63">
        <v>0.23297491039426524</v>
      </c>
      <c r="O35" s="63">
        <v>0.51063829787234039</v>
      </c>
      <c r="P35" s="63">
        <v>0.36923076923076925</v>
      </c>
      <c r="Q35" s="63">
        <v>0.44285714285714284</v>
      </c>
    </row>
    <row r="36" spans="1:17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3.0303030303030304E-2</v>
      </c>
      <c r="M36" s="63">
        <v>0.16494845360824742</v>
      </c>
      <c r="N36" s="63">
        <v>0.23367697594501718</v>
      </c>
      <c r="O36" s="63">
        <v>0.52083333333333337</v>
      </c>
      <c r="P36" s="63">
        <v>0.35294117647058826</v>
      </c>
      <c r="Q36" s="63">
        <v>0.43835616438356162</v>
      </c>
    </row>
    <row r="37" spans="1:17" x14ac:dyDescent="0.4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2.9411764705882353E-2</v>
      </c>
      <c r="M37" s="63">
        <v>0.16053511705685619</v>
      </c>
      <c r="N37" s="63">
        <v>0.22742474916387959</v>
      </c>
      <c r="O37" s="63">
        <v>0.52083333333333337</v>
      </c>
      <c r="P37" s="63">
        <v>0.35294117647058826</v>
      </c>
      <c r="Q37" s="63">
        <v>0.44</v>
      </c>
    </row>
    <row r="38" spans="1:17" x14ac:dyDescent="0.4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2.8571428571428571E-2</v>
      </c>
      <c r="M38" s="63">
        <v>0.1553398058252427</v>
      </c>
      <c r="N38" s="63">
        <v>0.22977346278317151</v>
      </c>
      <c r="O38" s="63">
        <v>0.52083333333333337</v>
      </c>
      <c r="P38" s="63">
        <v>0.352112676056338</v>
      </c>
      <c r="Q38" s="63">
        <v>0.45454545454545453</v>
      </c>
    </row>
    <row r="39" spans="1:17" x14ac:dyDescent="0.4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2.7777777777777776E-2</v>
      </c>
      <c r="M39" s="63">
        <v>0.15605095541401273</v>
      </c>
      <c r="N39" s="63">
        <v>0.22929936305732485</v>
      </c>
      <c r="O39" s="63">
        <v>0.51020408163265307</v>
      </c>
      <c r="P39" s="63">
        <v>0.3611111111111111</v>
      </c>
      <c r="Q39" s="63">
        <v>0.44303797468354428</v>
      </c>
    </row>
    <row r="40" spans="1:17" x14ac:dyDescent="0.4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2.7027027027027029E-2</v>
      </c>
      <c r="M40" s="63">
        <v>0.15432098765432098</v>
      </c>
      <c r="N40" s="63">
        <v>0.23765432098765432</v>
      </c>
      <c r="O40" s="63">
        <v>0.52</v>
      </c>
      <c r="P40" s="63">
        <v>0.35064935064935066</v>
      </c>
      <c r="Q40" s="63">
        <v>0.44578313253012047</v>
      </c>
    </row>
    <row r="41" spans="1:17" x14ac:dyDescent="0.4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2.6315789473684209E-2</v>
      </c>
      <c r="M41" s="63">
        <v>0.15662650602409639</v>
      </c>
      <c r="N41" s="63">
        <v>0.23493975903614459</v>
      </c>
      <c r="O41" s="63">
        <v>0.5</v>
      </c>
      <c r="P41" s="63">
        <v>0.34615384615384615</v>
      </c>
      <c r="Q41" s="63">
        <v>0.44047619047619047</v>
      </c>
    </row>
    <row r="42" spans="1:17" x14ac:dyDescent="0.4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2.564102564102564E-2</v>
      </c>
      <c r="M42" s="63">
        <v>0.15634218289085547</v>
      </c>
      <c r="N42" s="63">
        <v>0.2359882005899705</v>
      </c>
      <c r="O42" s="63">
        <v>0.49056603773584906</v>
      </c>
      <c r="P42" s="63">
        <v>0.33750000000000002</v>
      </c>
      <c r="Q42" s="63">
        <v>0.44047619047619047</v>
      </c>
    </row>
    <row r="43" spans="1:17" x14ac:dyDescent="0.4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0.05</v>
      </c>
      <c r="M43" s="63">
        <v>0.150997150997151</v>
      </c>
      <c r="N43" s="63">
        <v>0.23646723646723647</v>
      </c>
      <c r="O43" s="63">
        <v>0.49056603773584906</v>
      </c>
      <c r="P43" s="63">
        <v>0.3493975903614458</v>
      </c>
      <c r="Q43" s="63">
        <v>0.4157303370786517</v>
      </c>
    </row>
    <row r="44" spans="1:17" x14ac:dyDescent="0.4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4.878048780487805E-2</v>
      </c>
      <c r="M44" s="63">
        <v>0.15277777777777779</v>
      </c>
      <c r="N44" s="63">
        <v>0.23333333333333334</v>
      </c>
      <c r="O44" s="63">
        <v>0.50909090909090904</v>
      </c>
      <c r="P44" s="63">
        <v>0.34523809523809523</v>
      </c>
      <c r="Q44" s="63">
        <v>0.41304347826086957</v>
      </c>
    </row>
    <row r="45" spans="1:17" x14ac:dyDescent="0.4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4.7619047619047616E-2</v>
      </c>
      <c r="M45" s="63">
        <v>0.15258855585831063</v>
      </c>
      <c r="N45" s="63">
        <v>0.23160762942779292</v>
      </c>
      <c r="O45" s="63">
        <v>0.5178571428571429</v>
      </c>
      <c r="P45" s="63">
        <v>0.35294117647058826</v>
      </c>
      <c r="Q45" s="63">
        <v>0.40625</v>
      </c>
    </row>
    <row r="46" spans="1:17" x14ac:dyDescent="0.4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4.6511627906976744E-2</v>
      </c>
      <c r="M46" s="63">
        <v>0.152</v>
      </c>
      <c r="N46" s="63">
        <v>0.22666666666666666</v>
      </c>
      <c r="O46" s="63">
        <v>0.50877192982456143</v>
      </c>
      <c r="P46" s="63">
        <v>0.35294117647058826</v>
      </c>
      <c r="Q46" s="63">
        <v>0.41237113402061853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6B99A-13DC-44A1-ACFB-E468DDBB39F4}">
  <sheetPr codeName="Sheet6"/>
  <dimension ref="A1:Q16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143</v>
      </c>
      <c r="B1" s="66" t="s">
        <v>143</v>
      </c>
      <c r="C1" s="66" t="s">
        <v>143</v>
      </c>
      <c r="D1" s="67" t="s">
        <v>143</v>
      </c>
      <c r="E1" s="66" t="s">
        <v>143</v>
      </c>
      <c r="F1" s="66" t="s">
        <v>143</v>
      </c>
      <c r="G1" s="66" t="s">
        <v>143</v>
      </c>
      <c r="H1" s="66" t="s">
        <v>143</v>
      </c>
      <c r="I1" s="66" t="s">
        <v>143</v>
      </c>
      <c r="J1" s="66" t="s">
        <v>143</v>
      </c>
      <c r="K1" s="66" t="s">
        <v>143</v>
      </c>
      <c r="L1" s="66" t="s">
        <v>143</v>
      </c>
      <c r="M1" s="66" t="s">
        <v>143</v>
      </c>
      <c r="N1" s="66" t="s">
        <v>143</v>
      </c>
      <c r="O1" s="66" t="s">
        <v>143</v>
      </c>
      <c r="P1" s="66" t="s">
        <v>143</v>
      </c>
      <c r="Q1" s="66" t="s">
        <v>143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0.33333333333333331</v>
      </c>
      <c r="M4" s="63">
        <v>0.36666666666666664</v>
      </c>
      <c r="N4" s="63">
        <v>0.2</v>
      </c>
      <c r="O4" s="63">
        <v>0.45454545454545453</v>
      </c>
      <c r="P4" s="63">
        <v>0.33333333333333331</v>
      </c>
      <c r="Q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0.16666666666666666</v>
      </c>
      <c r="M5" s="63">
        <v>0.40350877192982454</v>
      </c>
      <c r="N5" s="63">
        <v>0.21052631578947367</v>
      </c>
      <c r="O5" s="63">
        <v>0.47826086956521741</v>
      </c>
      <c r="P5" s="63">
        <v>0.25</v>
      </c>
      <c r="Q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0.1111111111111111</v>
      </c>
      <c r="M6" s="63">
        <v>0.32222222222222224</v>
      </c>
      <c r="N6" s="63">
        <v>0.18888888888888888</v>
      </c>
      <c r="O6" s="63">
        <v>0.44827586206896552</v>
      </c>
      <c r="P6" s="63">
        <v>0.41176470588235292</v>
      </c>
      <c r="Q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0.16666666666666666</v>
      </c>
      <c r="M7" s="63">
        <v>0.3247863247863248</v>
      </c>
      <c r="N7" s="63">
        <v>0.1623931623931624</v>
      </c>
      <c r="O7" s="63">
        <v>0.5</v>
      </c>
      <c r="P7" s="63">
        <v>0.42105263157894735</v>
      </c>
      <c r="Q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0.13333333333333333</v>
      </c>
      <c r="M8" s="63">
        <v>0.31159420289855072</v>
      </c>
      <c r="N8" s="63">
        <v>0.13768115942028986</v>
      </c>
      <c r="O8" s="63">
        <v>0.55813953488372092</v>
      </c>
      <c r="P8" s="63">
        <v>0.42105263157894735</v>
      </c>
      <c r="Q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0.1111111111111111</v>
      </c>
      <c r="M9" s="63">
        <v>0.30864197530864196</v>
      </c>
      <c r="N9" s="63">
        <v>0.16666666666666666</v>
      </c>
      <c r="O9" s="63">
        <v>0.6</v>
      </c>
      <c r="P9" s="63">
        <v>0.37037037037037035</v>
      </c>
      <c r="Q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9.5238095238095233E-2</v>
      </c>
      <c r="M10" s="63">
        <v>0.29743589743589743</v>
      </c>
      <c r="N10" s="63">
        <v>0.17948717948717949</v>
      </c>
      <c r="O10" s="63">
        <v>0.58620689655172409</v>
      </c>
      <c r="P10" s="63">
        <v>0.42857142857142855</v>
      </c>
      <c r="Q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8.3333333333333329E-2</v>
      </c>
      <c r="M11" s="63">
        <v>0.28703703703703703</v>
      </c>
      <c r="N11" s="63">
        <v>0.18981481481481483</v>
      </c>
      <c r="O11" s="63">
        <v>0.59677419354838712</v>
      </c>
      <c r="P11" s="63">
        <v>0.41463414634146339</v>
      </c>
      <c r="Q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7.407407407407407E-2</v>
      </c>
      <c r="M12" s="63">
        <v>0.27983539094650206</v>
      </c>
      <c r="N12" s="63">
        <v>0.18518518518518517</v>
      </c>
      <c r="O12" s="63">
        <v>0.6029411764705882</v>
      </c>
      <c r="P12" s="63">
        <v>0.44444444444444442</v>
      </c>
      <c r="Q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6.6666666666666666E-2</v>
      </c>
      <c r="M13" s="63">
        <v>0.25964912280701752</v>
      </c>
      <c r="N13" s="63">
        <v>0.19298245614035087</v>
      </c>
      <c r="O13" s="63">
        <v>0.59459459459459463</v>
      </c>
      <c r="P13" s="63">
        <v>0.41818181818181815</v>
      </c>
      <c r="Q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9.0909090909090912E-2</v>
      </c>
      <c r="M14" s="63">
        <v>0.24842767295597484</v>
      </c>
      <c r="N14" s="63">
        <v>0.20754716981132076</v>
      </c>
      <c r="O14" s="63">
        <v>0.60759493670886078</v>
      </c>
      <c r="P14" s="63">
        <v>0.42424242424242425</v>
      </c>
      <c r="Q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8.3333333333333329E-2</v>
      </c>
      <c r="M15" s="63">
        <v>0.25</v>
      </c>
      <c r="N15" s="63">
        <v>0.20977011494252873</v>
      </c>
      <c r="O15" s="63">
        <v>0.57471264367816088</v>
      </c>
      <c r="P15" s="63">
        <v>0.41095890410958902</v>
      </c>
      <c r="Q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7.6923076923076927E-2</v>
      </c>
      <c r="M16" s="63">
        <v>0.248</v>
      </c>
      <c r="N16" s="63">
        <v>0.21866666666666668</v>
      </c>
      <c r="O16" s="63">
        <v>0.59139784946236562</v>
      </c>
      <c r="P16" s="63">
        <v>0.3902439024390244</v>
      </c>
      <c r="Q16" s="63">
        <v>0.4017857142857143</v>
      </c>
    </row>
    <row r="17" spans="1:17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7.1428571428571425E-2</v>
      </c>
      <c r="M17" s="63">
        <v>0.2462686567164179</v>
      </c>
      <c r="N17" s="63">
        <v>0.21641791044776118</v>
      </c>
      <c r="O17" s="63">
        <v>0.58585858585858586</v>
      </c>
      <c r="P17" s="63">
        <v>0.37931034482758619</v>
      </c>
      <c r="Q17" s="63">
        <v>0.38983050847457629</v>
      </c>
    </row>
    <row r="18" spans="1:17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6.6666666666666666E-2</v>
      </c>
      <c r="M18" s="63">
        <v>0.24537037037037038</v>
      </c>
      <c r="N18" s="63">
        <v>0.21527777777777779</v>
      </c>
      <c r="O18" s="63">
        <v>0.58490566037735847</v>
      </c>
      <c r="P18" s="63">
        <v>0.38709677419354838</v>
      </c>
      <c r="Q18" s="63">
        <v>0.3984375</v>
      </c>
    </row>
    <row r="19" spans="1:17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6.25E-2</v>
      </c>
      <c r="M19" s="63">
        <v>0.25438596491228072</v>
      </c>
      <c r="N19" s="63">
        <v>0.21271929824561403</v>
      </c>
      <c r="O19" s="63">
        <v>0.57758620689655171</v>
      </c>
      <c r="P19" s="63">
        <v>0.39175257731958762</v>
      </c>
      <c r="Q19" s="63">
        <v>0.38970588235294118</v>
      </c>
    </row>
    <row r="20" spans="1:17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7.8431372549019607E-2</v>
      </c>
      <c r="M20" s="63">
        <v>0.25102880658436216</v>
      </c>
      <c r="N20" s="63">
        <v>0.2139917695473251</v>
      </c>
      <c r="O20" s="63">
        <v>0.57377049180327866</v>
      </c>
      <c r="P20" s="63">
        <v>0.40384615384615385</v>
      </c>
      <c r="Q20" s="63">
        <v>0.4178082191780822</v>
      </c>
    </row>
    <row r="21" spans="1:17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7.407407407407407E-2</v>
      </c>
      <c r="M21" s="63">
        <v>0.24951267056530213</v>
      </c>
      <c r="N21" s="63">
        <v>0.21442495126705652</v>
      </c>
      <c r="O21" s="63">
        <v>0.5703125</v>
      </c>
      <c r="P21" s="63">
        <v>0.40909090909090912</v>
      </c>
      <c r="Q21" s="63">
        <v>0.41830065359477125</v>
      </c>
    </row>
    <row r="22" spans="1:17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7.0175438596491224E-2</v>
      </c>
      <c r="M22" s="63">
        <v>0.24629629629629629</v>
      </c>
      <c r="N22" s="63">
        <v>0.21666666666666667</v>
      </c>
      <c r="O22" s="63">
        <v>0.56390977443609025</v>
      </c>
      <c r="P22" s="63">
        <v>0.42735042735042733</v>
      </c>
      <c r="Q22" s="63">
        <v>0.42592592592592593</v>
      </c>
    </row>
    <row r="23" spans="1:17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6.6666666666666666E-2</v>
      </c>
      <c r="M23" s="63">
        <v>0.24083769633507854</v>
      </c>
      <c r="N23" s="63">
        <v>0.21291448516579406</v>
      </c>
      <c r="O23" s="63">
        <v>0.55797101449275366</v>
      </c>
      <c r="P23" s="63">
        <v>0.44262295081967212</v>
      </c>
      <c r="Q23" s="63">
        <v>0.40697674418604651</v>
      </c>
    </row>
    <row r="24" spans="1:17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7.9365079365079361E-2</v>
      </c>
      <c r="M24" s="63">
        <v>0.23931623931623933</v>
      </c>
      <c r="N24" s="63">
        <v>0.2153846153846154</v>
      </c>
      <c r="O24" s="63">
        <v>0.55714285714285716</v>
      </c>
      <c r="P24" s="63">
        <v>0.46031746031746029</v>
      </c>
      <c r="Q24" s="63">
        <v>0.40112994350282488</v>
      </c>
    </row>
    <row r="25" spans="1:17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9.0909090909090912E-2</v>
      </c>
      <c r="M25" s="63">
        <v>0.24390243902439024</v>
      </c>
      <c r="N25" s="63">
        <v>0.216260162601626</v>
      </c>
      <c r="O25" s="63">
        <v>0.57333333333333336</v>
      </c>
      <c r="P25" s="63">
        <v>0.45112781954887216</v>
      </c>
      <c r="Q25" s="63">
        <v>0.39572192513368987</v>
      </c>
    </row>
    <row r="26" spans="1:17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0.10144927536231885</v>
      </c>
      <c r="M26" s="63">
        <v>0.24454828660436137</v>
      </c>
      <c r="N26" s="63">
        <v>0.22118380062305296</v>
      </c>
      <c r="O26" s="63">
        <v>0.57324840764331209</v>
      </c>
      <c r="P26" s="63">
        <v>0.44366197183098594</v>
      </c>
      <c r="Q26" s="63">
        <v>0.38974358974358975</v>
      </c>
    </row>
    <row r="27" spans="1:17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0.1111111111111111</v>
      </c>
      <c r="M27" s="63">
        <v>0.24148148148148149</v>
      </c>
      <c r="N27" s="63">
        <v>0.22666666666666666</v>
      </c>
      <c r="O27" s="63">
        <v>0.57055214723926384</v>
      </c>
      <c r="P27" s="63">
        <v>0.43137254901960786</v>
      </c>
      <c r="Q27" s="63">
        <v>0.39215686274509803</v>
      </c>
    </row>
    <row r="28" spans="1:17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0.10666666666666667</v>
      </c>
      <c r="M28" s="63">
        <v>0.24281609195402298</v>
      </c>
      <c r="N28" s="63">
        <v>0.22557471264367815</v>
      </c>
      <c r="O28" s="63">
        <v>0.57396449704142016</v>
      </c>
      <c r="P28" s="63">
        <v>0.43312101910828027</v>
      </c>
      <c r="Q28" s="63">
        <v>0.40284360189573459</v>
      </c>
    </row>
    <row r="29" spans="1:17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0.11538461538461539</v>
      </c>
      <c r="M29" s="63">
        <v>0.24655647382920109</v>
      </c>
      <c r="N29" s="63">
        <v>0.22865013774104684</v>
      </c>
      <c r="O29" s="63">
        <v>0.56983240223463683</v>
      </c>
      <c r="P29" s="63">
        <v>0.42168674698795183</v>
      </c>
      <c r="Q29" s="63">
        <v>0.39908256880733944</v>
      </c>
    </row>
    <row r="30" spans="1:17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0.12345679012345678</v>
      </c>
      <c r="M30" s="63">
        <v>0.24596774193548387</v>
      </c>
      <c r="N30" s="63">
        <v>0.22849462365591397</v>
      </c>
      <c r="O30" s="63">
        <v>0.57377049180327866</v>
      </c>
      <c r="P30" s="63">
        <v>0.41764705882352943</v>
      </c>
      <c r="Q30" s="63">
        <v>0.3991031390134529</v>
      </c>
    </row>
    <row r="31" spans="1:17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0.13095238095238096</v>
      </c>
      <c r="M31" s="63">
        <v>0.24324324324324326</v>
      </c>
      <c r="N31" s="63">
        <v>0.23294723294723294</v>
      </c>
      <c r="O31" s="63">
        <v>0.5714285714285714</v>
      </c>
      <c r="P31" s="63">
        <v>0.40883977900552487</v>
      </c>
      <c r="Q31" s="63">
        <v>0.40086206896551724</v>
      </c>
    </row>
    <row r="32" spans="1:17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0.12643678160919541</v>
      </c>
      <c r="M32" s="63">
        <v>0.24004975124378108</v>
      </c>
      <c r="N32" s="63">
        <v>0.23383084577114427</v>
      </c>
      <c r="O32" s="63">
        <v>0.5803108808290155</v>
      </c>
      <c r="P32" s="63">
        <v>0.41489361702127658</v>
      </c>
      <c r="Q32" s="63">
        <v>0.39583333333333331</v>
      </c>
    </row>
    <row r="33" spans="1:17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0.13333333333333333</v>
      </c>
      <c r="M33" s="63">
        <v>0.23915737298636927</v>
      </c>
      <c r="N33" s="63">
        <v>0.23296158612143741</v>
      </c>
      <c r="O33" s="63">
        <v>0.5803108808290155</v>
      </c>
      <c r="P33" s="63">
        <v>0.41489361702127658</v>
      </c>
      <c r="Q33" s="63">
        <v>0.39419087136929459</v>
      </c>
    </row>
    <row r="34" spans="1:17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0.12903225806451613</v>
      </c>
      <c r="M34" s="63">
        <v>0.2391304347826087</v>
      </c>
      <c r="N34" s="63">
        <v>0.2391304347826087</v>
      </c>
      <c r="O34" s="63">
        <v>0.58080808080808077</v>
      </c>
      <c r="P34" s="63">
        <v>0.41414141414141414</v>
      </c>
      <c r="Q34" s="63">
        <v>0.40322580645161288</v>
      </c>
    </row>
    <row r="35" spans="1:17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0.125</v>
      </c>
      <c r="M35" s="63">
        <v>0.23708920187793428</v>
      </c>
      <c r="N35" s="63">
        <v>0.24178403755868544</v>
      </c>
      <c r="O35" s="63">
        <v>0.58415841584158412</v>
      </c>
      <c r="P35" s="63">
        <v>0.40291262135922329</v>
      </c>
      <c r="Q35" s="63">
        <v>0.396078431372549</v>
      </c>
    </row>
    <row r="36" spans="1:17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0.12121212121212122</v>
      </c>
      <c r="M36" s="63">
        <v>0.23482245131729668</v>
      </c>
      <c r="N36" s="63">
        <v>0.24513172966781213</v>
      </c>
      <c r="O36" s="63">
        <v>0.59024390243902436</v>
      </c>
      <c r="P36" s="63">
        <v>0.39719626168224298</v>
      </c>
      <c r="Q36" s="63">
        <v>0.39846743295019155</v>
      </c>
    </row>
    <row r="37" spans="1:17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0.12745098039215685</v>
      </c>
      <c r="M37" s="63">
        <v>0.23509933774834438</v>
      </c>
      <c r="N37" s="63">
        <v>0.24613686534216336</v>
      </c>
      <c r="O37" s="63">
        <v>0.58685446009389675</v>
      </c>
      <c r="P37" s="63">
        <v>0.39013452914798208</v>
      </c>
      <c r="Q37" s="63">
        <v>0.39405204460966542</v>
      </c>
    </row>
    <row r="38" spans="1:17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0.13333333333333333</v>
      </c>
      <c r="M38" s="63">
        <v>0.23978494623655913</v>
      </c>
      <c r="N38" s="63">
        <v>0.24408602150537634</v>
      </c>
      <c r="O38" s="63">
        <v>0.57847533632286996</v>
      </c>
      <c r="P38" s="63">
        <v>0.3964757709251101</v>
      </c>
      <c r="Q38" s="63">
        <v>0.39350180505415161</v>
      </c>
    </row>
    <row r="39" spans="1:17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0.1388888888888889</v>
      </c>
      <c r="M39" s="63">
        <v>0.24261603375527427</v>
      </c>
      <c r="N39" s="63">
        <v>0.24261603375527427</v>
      </c>
      <c r="O39" s="63">
        <v>0.57391304347826089</v>
      </c>
      <c r="P39" s="63">
        <v>0.39565217391304347</v>
      </c>
      <c r="Q39" s="63">
        <v>0.40070921985815605</v>
      </c>
    </row>
    <row r="40" spans="1:17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0.13513513513513514</v>
      </c>
      <c r="M40" s="63">
        <v>0.24</v>
      </c>
      <c r="N40" s="63">
        <v>0.24923076923076923</v>
      </c>
      <c r="O40" s="63">
        <v>0.57264957264957261</v>
      </c>
      <c r="P40" s="63">
        <v>0.40329218106995884</v>
      </c>
      <c r="Q40" s="63">
        <v>0.3951890034364261</v>
      </c>
    </row>
    <row r="41" spans="1:17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0.13157894736842105</v>
      </c>
      <c r="M41" s="63">
        <v>0.23952095808383234</v>
      </c>
      <c r="N41" s="63">
        <v>0.249500998003992</v>
      </c>
      <c r="O41" s="63">
        <v>0.58333333333333337</v>
      </c>
      <c r="P41" s="63">
        <v>0.40400000000000003</v>
      </c>
      <c r="Q41" s="63">
        <v>0.4</v>
      </c>
    </row>
    <row r="42" spans="1:17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0.12820512820512819</v>
      </c>
      <c r="M42" s="63">
        <v>0.23768115942028986</v>
      </c>
      <c r="N42" s="63">
        <v>0.24927536231884059</v>
      </c>
      <c r="O42" s="63">
        <v>0.58130081300813008</v>
      </c>
      <c r="P42" s="63">
        <v>0.40310077519379844</v>
      </c>
      <c r="Q42" s="63">
        <v>0.39805825242718446</v>
      </c>
    </row>
    <row r="43" spans="1:17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0.125</v>
      </c>
      <c r="M43" s="63">
        <v>0.23876404494382023</v>
      </c>
      <c r="N43" s="63">
        <v>0.25</v>
      </c>
      <c r="O43" s="63">
        <v>0.58431372549019611</v>
      </c>
      <c r="P43" s="63">
        <v>0.4044943820224719</v>
      </c>
      <c r="Q43" s="63">
        <v>0.39811912225705332</v>
      </c>
    </row>
    <row r="44" spans="1:17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0.13008130081300814</v>
      </c>
      <c r="M44" s="63">
        <v>0.23822714681440443</v>
      </c>
      <c r="N44" s="63">
        <v>0.24838411819021236</v>
      </c>
      <c r="O44" s="63">
        <v>0.57751937984496127</v>
      </c>
      <c r="P44" s="63">
        <v>0.40892193308550184</v>
      </c>
      <c r="Q44" s="63">
        <v>0.39938080495356038</v>
      </c>
    </row>
    <row r="45" spans="1:17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0.12698412698412698</v>
      </c>
      <c r="M45" s="63">
        <v>0.23949955317247543</v>
      </c>
      <c r="N45" s="63">
        <v>0.25201072386058981</v>
      </c>
      <c r="O45" s="63">
        <v>0.57089552238805974</v>
      </c>
      <c r="P45" s="63">
        <v>0.40425531914893614</v>
      </c>
      <c r="Q45" s="63">
        <v>0.40483383685800606</v>
      </c>
    </row>
    <row r="46" spans="1:17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0.12403100775193798</v>
      </c>
      <c r="M46" s="63">
        <v>0.23463203463203464</v>
      </c>
      <c r="N46" s="63">
        <v>0.25800865800865802</v>
      </c>
      <c r="O46" s="63">
        <v>0.5719557195571956</v>
      </c>
      <c r="P46" s="63">
        <v>0.40268456375838924</v>
      </c>
      <c r="Q46" s="63">
        <v>0.4064327485380117</v>
      </c>
    </row>
    <row r="47" spans="1:17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0.12121212121212122</v>
      </c>
      <c r="M47" s="63">
        <v>0.2320675105485232</v>
      </c>
      <c r="N47" s="63">
        <v>0.25907172995780592</v>
      </c>
      <c r="O47" s="63">
        <v>0.57454545454545458</v>
      </c>
      <c r="P47" s="63">
        <v>0.40390879478827363</v>
      </c>
      <c r="Q47" s="63">
        <v>0.40909090909090912</v>
      </c>
    </row>
    <row r="48" spans="1:17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0.11851851851851852</v>
      </c>
      <c r="M48" s="63">
        <v>0.23013923013923013</v>
      </c>
      <c r="N48" s="63">
        <v>0.25716625716625718</v>
      </c>
      <c r="O48" s="63">
        <v>0.57651245551601427</v>
      </c>
      <c r="P48" s="63">
        <v>0.40764331210191085</v>
      </c>
      <c r="Q48" s="63">
        <v>0.41322314049586778</v>
      </c>
    </row>
    <row r="49" spans="1:17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0.11594202898550725</v>
      </c>
      <c r="M49" s="63">
        <v>0.23341326938449242</v>
      </c>
      <c r="N49" s="63">
        <v>0.25659472422062352</v>
      </c>
      <c r="O49" s="63">
        <v>0.56849315068493156</v>
      </c>
      <c r="P49" s="63">
        <v>0.40186915887850466</v>
      </c>
      <c r="Q49" s="63">
        <v>0.40921409214092141</v>
      </c>
    </row>
    <row r="50" spans="1:17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0.11347517730496454</v>
      </c>
      <c r="M50" s="63">
        <v>0.23372549019607844</v>
      </c>
      <c r="N50" s="63">
        <v>0.25803921568627453</v>
      </c>
      <c r="O50" s="63">
        <v>0.56711409395973156</v>
      </c>
      <c r="P50" s="63">
        <v>0.40121580547112462</v>
      </c>
      <c r="Q50" s="63">
        <v>0.41066666666666668</v>
      </c>
    </row>
    <row r="51" spans="1:17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0.11805555555555555</v>
      </c>
      <c r="M51" s="63">
        <v>0.23556581986143188</v>
      </c>
      <c r="N51" s="63">
        <v>0.25789068514241725</v>
      </c>
      <c r="O51" s="63">
        <v>0.55882352941176472</v>
      </c>
      <c r="P51" s="63">
        <v>0.40895522388059702</v>
      </c>
      <c r="Q51" s="63">
        <v>0.40992167101827676</v>
      </c>
    </row>
    <row r="52" spans="1:17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0.12244897959183673</v>
      </c>
      <c r="M52" s="63">
        <v>0.23690205011389523</v>
      </c>
      <c r="N52" s="63">
        <v>0.25664388762338647</v>
      </c>
      <c r="O52" s="63">
        <v>0.55128205128205132</v>
      </c>
      <c r="P52" s="63">
        <v>0.41420118343195267</v>
      </c>
      <c r="Q52" s="63">
        <v>0.40979381443298968</v>
      </c>
    </row>
    <row r="53" spans="1:17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0.12</v>
      </c>
      <c r="M53" s="63">
        <v>0.23586309523809523</v>
      </c>
      <c r="N53" s="63">
        <v>0.25744047619047616</v>
      </c>
      <c r="O53" s="63">
        <v>0.5457413249211357</v>
      </c>
      <c r="P53" s="63">
        <v>0.41618497109826591</v>
      </c>
      <c r="Q53" s="63">
        <v>0.40862944162436549</v>
      </c>
    </row>
    <row r="54" spans="1:17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0.12418300653594772</v>
      </c>
      <c r="M54" s="63">
        <v>0.23663003663003662</v>
      </c>
      <c r="N54" s="63">
        <v>0.25567765567765566</v>
      </c>
      <c r="O54" s="63">
        <v>0.54489164086687303</v>
      </c>
      <c r="P54" s="63">
        <v>0.41833810888252149</v>
      </c>
      <c r="Q54" s="63">
        <v>0.41</v>
      </c>
    </row>
    <row r="55" spans="1:17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0.12179487179487179</v>
      </c>
      <c r="M55" s="63">
        <v>0.23809523809523808</v>
      </c>
      <c r="N55" s="63">
        <v>0.25396825396825395</v>
      </c>
      <c r="O55" s="63">
        <v>0.54545454545454541</v>
      </c>
      <c r="P55" s="63">
        <v>0.42045454545454547</v>
      </c>
      <c r="Q55" s="63">
        <v>0.40886699507389163</v>
      </c>
    </row>
    <row r="56" spans="1:17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0.11949685534591195</v>
      </c>
      <c r="M56" s="63">
        <v>0.23799435028248589</v>
      </c>
      <c r="N56" s="63">
        <v>0.25141242937853109</v>
      </c>
      <c r="O56" s="63">
        <v>0.54896142433234418</v>
      </c>
      <c r="P56" s="63">
        <v>0.42134831460674155</v>
      </c>
      <c r="Q56" s="63">
        <v>0.41445783132530123</v>
      </c>
    </row>
    <row r="57" spans="1:17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0.11728395061728394</v>
      </c>
      <c r="M57" s="63">
        <v>0.23720608575380359</v>
      </c>
      <c r="N57" s="63">
        <v>0.24896265560165975</v>
      </c>
      <c r="O57" s="63">
        <v>0.54810495626822153</v>
      </c>
      <c r="P57" s="63">
        <v>0.42499999999999999</v>
      </c>
      <c r="Q57" s="63">
        <v>0.41232227488151657</v>
      </c>
    </row>
    <row r="58" spans="1:17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0.12121212121212122</v>
      </c>
      <c r="M58" s="63">
        <v>0.23731138545953362</v>
      </c>
      <c r="N58" s="63">
        <v>0.24828532235939643</v>
      </c>
      <c r="O58" s="63">
        <v>0.54624277456647397</v>
      </c>
      <c r="P58" s="63">
        <v>0.425414364640884</v>
      </c>
      <c r="Q58" s="63">
        <v>0.40941176470588236</v>
      </c>
    </row>
    <row r="59" spans="1:17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0.11904761904761904</v>
      </c>
      <c r="M59" s="63">
        <v>0.23904382470119523</v>
      </c>
      <c r="N59" s="63">
        <v>0.24966799468791501</v>
      </c>
      <c r="O59" s="63">
        <v>0.54166666666666663</v>
      </c>
      <c r="P59" s="63">
        <v>0.42021276595744683</v>
      </c>
      <c r="Q59" s="63">
        <v>0.40596330275229359</v>
      </c>
    </row>
    <row r="60" spans="1:17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0.11695906432748537</v>
      </c>
      <c r="M60" s="63">
        <v>0.23818897637795275</v>
      </c>
      <c r="N60" s="63">
        <v>0.24803149606299213</v>
      </c>
      <c r="O60" s="63">
        <v>0.54545454545454541</v>
      </c>
      <c r="P60" s="63">
        <v>0.42328042328042326</v>
      </c>
      <c r="Q60" s="63">
        <v>0.40723981900452488</v>
      </c>
    </row>
    <row r="61" spans="1:17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0.11494252873563218</v>
      </c>
      <c r="M61" s="63">
        <v>0.23708010335917312</v>
      </c>
      <c r="N61" s="63">
        <v>0.24935400516795866</v>
      </c>
      <c r="O61" s="63">
        <v>0.54495912806539515</v>
      </c>
      <c r="P61" s="63">
        <v>0.42746113989637308</v>
      </c>
      <c r="Q61" s="63">
        <v>0.40888888888888891</v>
      </c>
    </row>
    <row r="62" spans="1:17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0.11864406779661017</v>
      </c>
      <c r="M62" s="63">
        <v>0.23690932311621968</v>
      </c>
      <c r="N62" s="63">
        <v>0.24968071519795657</v>
      </c>
      <c r="O62" s="63">
        <v>0.54716981132075471</v>
      </c>
      <c r="P62" s="63">
        <v>0.42710997442455245</v>
      </c>
      <c r="Q62" s="63">
        <v>0.4057017543859649</v>
      </c>
    </row>
    <row r="63" spans="1:17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0.11666666666666667</v>
      </c>
      <c r="M63" s="63">
        <v>0.23710691823899371</v>
      </c>
      <c r="N63" s="63">
        <v>0.25094339622641509</v>
      </c>
      <c r="O63" s="63">
        <v>0.55172413793103448</v>
      </c>
      <c r="P63" s="63">
        <v>0.42606516290726815</v>
      </c>
      <c r="Q63" s="63">
        <v>0.40732758620689657</v>
      </c>
    </row>
    <row r="64" spans="1:17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0.11475409836065574</v>
      </c>
      <c r="M64" s="63">
        <v>0.23711980136561142</v>
      </c>
      <c r="N64" s="63">
        <v>0.25139664804469275</v>
      </c>
      <c r="O64" s="63">
        <v>0.55759162303664922</v>
      </c>
      <c r="P64" s="63">
        <v>0.42222222222222222</v>
      </c>
      <c r="Q64" s="63">
        <v>0.40851063829787232</v>
      </c>
    </row>
    <row r="65" spans="1:17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0.11290322580645161</v>
      </c>
      <c r="M65" s="63">
        <v>0.23897058823529413</v>
      </c>
      <c r="N65" s="63">
        <v>0.25</v>
      </c>
      <c r="O65" s="63">
        <v>0.55897435897435899</v>
      </c>
      <c r="P65" s="63">
        <v>0.42156862745098039</v>
      </c>
      <c r="Q65" s="63">
        <v>0.41090146750524109</v>
      </c>
    </row>
    <row r="66" spans="1:17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0.1111111111111111</v>
      </c>
      <c r="M66" s="63">
        <v>0.23973429951690822</v>
      </c>
      <c r="N66" s="63">
        <v>0.24879227053140096</v>
      </c>
      <c r="O66" s="63">
        <v>0.5617128463476071</v>
      </c>
      <c r="P66" s="63">
        <v>0.4199029126213592</v>
      </c>
      <c r="Q66" s="63">
        <v>0.41528925619834711</v>
      </c>
    </row>
    <row r="67" spans="1:17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0.109375</v>
      </c>
      <c r="M67" s="63">
        <v>0.24166666666666667</v>
      </c>
      <c r="N67" s="63">
        <v>0.24821428571428572</v>
      </c>
      <c r="O67" s="63">
        <v>0.55418719211822665</v>
      </c>
      <c r="P67" s="63">
        <v>0.41726618705035973</v>
      </c>
      <c r="Q67" s="63">
        <v>0.41632653061224489</v>
      </c>
    </row>
    <row r="68" spans="1:17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0.11282051282051282</v>
      </c>
      <c r="M68" s="63">
        <v>0.24460011675423235</v>
      </c>
      <c r="N68" s="63">
        <v>0.24576765907764156</v>
      </c>
      <c r="O68" s="63">
        <v>0.55369928400954649</v>
      </c>
      <c r="P68" s="63">
        <v>0.42280285035629456</v>
      </c>
      <c r="Q68" s="63">
        <v>0.41916167664670656</v>
      </c>
    </row>
    <row r="69" spans="1:17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0.1111111111111111</v>
      </c>
      <c r="M69" s="63">
        <v>0.24610051993067592</v>
      </c>
      <c r="N69" s="63">
        <v>0.24610051993067592</v>
      </c>
      <c r="O69" s="63">
        <v>0.55164319248826288</v>
      </c>
      <c r="P69" s="63">
        <v>0.42018779342723006</v>
      </c>
      <c r="Q69" s="63">
        <v>0.42094861660079053</v>
      </c>
    </row>
    <row r="70" spans="1:17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0.10945273631840796</v>
      </c>
      <c r="M70" s="63">
        <v>0.249002849002849</v>
      </c>
      <c r="N70" s="63">
        <v>0.24444444444444444</v>
      </c>
      <c r="O70" s="63">
        <v>0.54919908466819223</v>
      </c>
      <c r="P70" s="63">
        <v>0.41958041958041958</v>
      </c>
      <c r="Q70" s="63">
        <v>0.42023346303501946</v>
      </c>
    </row>
    <row r="71" spans="1:17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0.10784313725490197</v>
      </c>
      <c r="M71" s="63">
        <v>0.25</v>
      </c>
      <c r="N71" s="63">
        <v>0.24380630630630631</v>
      </c>
      <c r="O71" s="63">
        <v>0.54504504504504503</v>
      </c>
      <c r="P71" s="63">
        <v>0.42032332563510394</v>
      </c>
      <c r="Q71" s="63">
        <v>0.41618497109826591</v>
      </c>
    </row>
    <row r="72" spans="1:17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0.1111111111111111</v>
      </c>
      <c r="M72" s="63">
        <v>0.24930439621591541</v>
      </c>
      <c r="N72" s="63">
        <v>0.24429604897050641</v>
      </c>
      <c r="O72" s="63">
        <v>0.5424107142857143</v>
      </c>
      <c r="P72" s="63">
        <v>0.4191343963553531</v>
      </c>
      <c r="Q72" s="63">
        <v>0.4168260038240918</v>
      </c>
    </row>
    <row r="73" spans="1:17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0.11428571428571428</v>
      </c>
      <c r="M73" s="63">
        <v>0.24972497249724973</v>
      </c>
      <c r="N73" s="63">
        <v>0.24532453245324531</v>
      </c>
      <c r="O73" s="63">
        <v>0.54185022026431717</v>
      </c>
      <c r="P73" s="63">
        <v>0.42152466367713004</v>
      </c>
      <c r="Q73" s="63">
        <v>0.41509433962264153</v>
      </c>
    </row>
    <row r="74" spans="1:17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0.11267605633802817</v>
      </c>
      <c r="M74" s="63">
        <v>0.24755700325732899</v>
      </c>
      <c r="N74" s="63">
        <v>0.24755700325732899</v>
      </c>
      <c r="O74" s="63">
        <v>0.54166666666666663</v>
      </c>
      <c r="P74" s="63">
        <v>0.4232456140350877</v>
      </c>
      <c r="Q74" s="63">
        <v>0.41263940520446096</v>
      </c>
    </row>
    <row r="75" spans="1:17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0.1111111111111111</v>
      </c>
      <c r="M75" s="63">
        <v>0.24758842443729903</v>
      </c>
      <c r="N75" s="63">
        <v>0.24866023579849947</v>
      </c>
      <c r="O75" s="63">
        <v>0.54112554112554112</v>
      </c>
      <c r="P75" s="63">
        <v>0.42672413793103448</v>
      </c>
      <c r="Q75" s="63">
        <v>0.41391941391941389</v>
      </c>
    </row>
    <row r="76" spans="1:17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0.1095890410958904</v>
      </c>
      <c r="M76" s="63">
        <v>0.24656084656084656</v>
      </c>
      <c r="N76" s="63">
        <v>0.24656084656084656</v>
      </c>
      <c r="O76" s="63">
        <v>0.5429184549356223</v>
      </c>
      <c r="P76" s="63">
        <v>0.42489270386266093</v>
      </c>
      <c r="Q76" s="63">
        <v>0.41335740072202165</v>
      </c>
    </row>
    <row r="77" spans="1:17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0.10810810810810811</v>
      </c>
      <c r="M77" s="63">
        <v>0.24646781789638933</v>
      </c>
      <c r="N77" s="63">
        <v>0.24594453165881738</v>
      </c>
      <c r="O77" s="63">
        <v>0.54564755838641188</v>
      </c>
      <c r="P77" s="63">
        <v>0.42553191489361702</v>
      </c>
      <c r="Q77" s="63">
        <v>0.41785714285714287</v>
      </c>
    </row>
    <row r="78" spans="1:17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0.10666666666666667</v>
      </c>
      <c r="M78" s="63">
        <v>0.24754521963824289</v>
      </c>
      <c r="N78" s="63">
        <v>0.24702842377260981</v>
      </c>
      <c r="O78" s="63">
        <v>0.54279749478079331</v>
      </c>
      <c r="P78" s="63">
        <v>0.42468619246861927</v>
      </c>
      <c r="Q78" s="63">
        <v>0.41446208112874777</v>
      </c>
    </row>
    <row r="79" spans="1:17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0.10964912280701754</v>
      </c>
      <c r="M79" s="63">
        <v>0.24639917695473251</v>
      </c>
      <c r="N79" s="63">
        <v>0.24742798353909465</v>
      </c>
      <c r="O79" s="63">
        <v>0.54279749478079331</v>
      </c>
      <c r="P79" s="63">
        <v>0.42411642411642414</v>
      </c>
      <c r="Q79" s="63">
        <v>0.41403508771929826</v>
      </c>
    </row>
    <row r="80" spans="1:17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0.10822510822510822</v>
      </c>
      <c r="M80" s="63">
        <v>0.24783715012722646</v>
      </c>
      <c r="N80" s="63">
        <v>0.24580152671755726</v>
      </c>
      <c r="O80" s="63">
        <v>0.5462012320328542</v>
      </c>
      <c r="P80" s="63">
        <v>0.42236024844720499</v>
      </c>
      <c r="Q80" s="63">
        <v>0.41840277777777779</v>
      </c>
    </row>
    <row r="81" spans="1:17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0.1111111111111111</v>
      </c>
      <c r="M81" s="63">
        <v>0.24797979797979797</v>
      </c>
      <c r="N81" s="63">
        <v>0.24545454545454545</v>
      </c>
      <c r="O81" s="63">
        <v>0.54582484725050917</v>
      </c>
      <c r="P81" s="63">
        <v>0.42181069958847739</v>
      </c>
      <c r="Q81" s="63">
        <v>0.41824440619621345</v>
      </c>
    </row>
    <row r="82" spans="1:17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0.10970464135021098</v>
      </c>
      <c r="M82" s="63">
        <v>0.24800399201596807</v>
      </c>
      <c r="N82" s="63">
        <v>0.24500998003992017</v>
      </c>
      <c r="O82" s="63">
        <v>0.54325955734406439</v>
      </c>
      <c r="P82" s="63">
        <v>0.42566191446028512</v>
      </c>
      <c r="Q82" s="63">
        <v>0.41666666666666669</v>
      </c>
    </row>
    <row r="83" spans="1:17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0.1125</v>
      </c>
      <c r="M83" s="63">
        <v>0.24801587301587302</v>
      </c>
      <c r="N83" s="63">
        <v>0.24454365079365079</v>
      </c>
      <c r="O83" s="63">
        <v>0.54600000000000004</v>
      </c>
      <c r="P83" s="63">
        <v>0.42393509127789047</v>
      </c>
      <c r="Q83" s="63">
        <v>0.41554054054054052</v>
      </c>
    </row>
    <row r="84" spans="1:17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0.1111111111111111</v>
      </c>
      <c r="M84" s="63">
        <v>0.24743777452415813</v>
      </c>
      <c r="N84" s="63">
        <v>0.24597364568081992</v>
      </c>
      <c r="O84" s="63">
        <v>0.5483234714003945</v>
      </c>
      <c r="P84" s="63">
        <v>0.42261904761904762</v>
      </c>
      <c r="Q84" s="63">
        <v>0.41196013289036543</v>
      </c>
    </row>
    <row r="85" spans="1:17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0.11382113821138211</v>
      </c>
      <c r="M85" s="63">
        <v>0.24818577648766327</v>
      </c>
      <c r="N85" s="63">
        <v>0.24479922593130141</v>
      </c>
      <c r="O85" s="63">
        <v>0.55165692007797273</v>
      </c>
      <c r="P85" s="63">
        <v>0.42094861660079053</v>
      </c>
      <c r="Q85" s="63">
        <v>0.41282894736842107</v>
      </c>
    </row>
    <row r="86" spans="1:17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0.11646586345381527</v>
      </c>
      <c r="M86" s="63">
        <v>0.24831892411143131</v>
      </c>
      <c r="N86" s="63">
        <v>0.24543707973102785</v>
      </c>
      <c r="O86" s="63">
        <v>0.55125725338491294</v>
      </c>
      <c r="P86" s="63">
        <v>0.42074363992172209</v>
      </c>
      <c r="Q86" s="63">
        <v>0.41272430668841764</v>
      </c>
    </row>
    <row r="87" spans="1:17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0.11507936507936507</v>
      </c>
      <c r="M87" s="63">
        <v>0.24691358024691357</v>
      </c>
      <c r="N87" s="63">
        <v>0.24596391263057929</v>
      </c>
      <c r="O87" s="63">
        <v>0.55192307692307696</v>
      </c>
      <c r="P87" s="63">
        <v>0.41891891891891891</v>
      </c>
      <c r="Q87" s="63">
        <v>0.41033925686591277</v>
      </c>
    </row>
    <row r="88" spans="1:17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0.11372549019607843</v>
      </c>
      <c r="M88" s="63">
        <v>0.24635637047484721</v>
      </c>
      <c r="N88" s="63">
        <v>0.24682651622002821</v>
      </c>
      <c r="O88" s="63">
        <v>0.55152671755725191</v>
      </c>
      <c r="P88" s="63">
        <v>0.41904761904761906</v>
      </c>
      <c r="Q88" s="63">
        <v>0.41120000000000001</v>
      </c>
    </row>
    <row r="89" spans="1:17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0.11627906976744186</v>
      </c>
      <c r="M89" s="63">
        <v>0.24500232450023246</v>
      </c>
      <c r="N89" s="63">
        <v>0.24593212459321245</v>
      </c>
      <c r="O89" s="63">
        <v>0.5540796963946869</v>
      </c>
      <c r="P89" s="63">
        <v>0.42155009451795838</v>
      </c>
      <c r="Q89" s="63">
        <v>0.41297468354430378</v>
      </c>
    </row>
    <row r="90" spans="1:17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0.11494252873563218</v>
      </c>
      <c r="M90" s="63">
        <v>0.24481327800829875</v>
      </c>
      <c r="N90" s="63">
        <v>0.24435223605348086</v>
      </c>
      <c r="O90" s="63">
        <v>0.55743879472693036</v>
      </c>
      <c r="P90" s="63">
        <v>0.42075471698113209</v>
      </c>
      <c r="Q90" s="63">
        <v>0.41444270015698587</v>
      </c>
    </row>
    <row r="91" spans="1:17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0.11363636363636363</v>
      </c>
      <c r="M91" s="63">
        <v>0.24453551912568305</v>
      </c>
      <c r="N91" s="63">
        <v>0.24590163934426229</v>
      </c>
      <c r="O91" s="63">
        <v>0.55679702048417135</v>
      </c>
      <c r="P91" s="63">
        <v>0.42037037037037039</v>
      </c>
      <c r="Q91" s="63">
        <v>0.41950464396284831</v>
      </c>
    </row>
    <row r="92" spans="1:17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0.11235955056179775</v>
      </c>
      <c r="M92" s="63">
        <v>0.24549549549549549</v>
      </c>
      <c r="N92" s="63">
        <v>0.24594594594594596</v>
      </c>
      <c r="O92" s="63">
        <v>0.55596330275229355</v>
      </c>
      <c r="P92" s="63">
        <v>0.42124542124542125</v>
      </c>
      <c r="Q92" s="63">
        <v>0.41960183767228176</v>
      </c>
    </row>
    <row r="93" spans="1:17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0.1111111111111111</v>
      </c>
      <c r="M93" s="63">
        <v>0.24477080551846908</v>
      </c>
      <c r="N93" s="63">
        <v>0.24699599465954605</v>
      </c>
      <c r="O93" s="63">
        <v>0.55636363636363639</v>
      </c>
      <c r="P93" s="63">
        <v>0.41981981981981981</v>
      </c>
      <c r="Q93" s="63">
        <v>0.41754916792738278</v>
      </c>
    </row>
    <row r="94" spans="1:17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0.10989010989010989</v>
      </c>
      <c r="M94" s="63">
        <v>0.24450307827616535</v>
      </c>
      <c r="N94" s="63">
        <v>0.24802110817941952</v>
      </c>
      <c r="O94" s="63">
        <v>0.5539568345323741</v>
      </c>
      <c r="P94" s="63">
        <v>0.42021276595744683</v>
      </c>
      <c r="Q94" s="63">
        <v>0.41529235382308843</v>
      </c>
    </row>
    <row r="95" spans="1:17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0.10869565217391304</v>
      </c>
      <c r="M95" s="63">
        <v>0.24444444444444444</v>
      </c>
      <c r="N95" s="63">
        <v>0.24749455337690632</v>
      </c>
      <c r="O95" s="63">
        <v>0.55436720142602491</v>
      </c>
      <c r="P95" s="63">
        <v>0.42077464788732394</v>
      </c>
      <c r="Q95" s="63">
        <v>0.41753343239227342</v>
      </c>
    </row>
    <row r="96" spans="1:17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0.10752688172043011</v>
      </c>
      <c r="M96" s="63">
        <v>0.24387096774193548</v>
      </c>
      <c r="N96" s="63">
        <v>0.24688172043010753</v>
      </c>
      <c r="O96" s="63">
        <v>0.55026455026455023</v>
      </c>
      <c r="P96" s="63">
        <v>0.42160278745644597</v>
      </c>
      <c r="Q96" s="63">
        <v>0.41617647058823531</v>
      </c>
    </row>
    <row r="97" spans="1:17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0.1099290780141844</v>
      </c>
      <c r="M97" s="63">
        <v>0.24358974358974358</v>
      </c>
      <c r="N97" s="63">
        <v>0.24658119658119659</v>
      </c>
      <c r="O97" s="63">
        <v>0.5491228070175439</v>
      </c>
      <c r="P97" s="63">
        <v>0.42114384748700173</v>
      </c>
      <c r="Q97" s="63">
        <v>0.41666666666666669</v>
      </c>
    </row>
    <row r="98" spans="1:17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0.10877192982456141</v>
      </c>
      <c r="M98" s="63">
        <v>0.24441635061104089</v>
      </c>
      <c r="N98" s="63">
        <v>0.24652338811630847</v>
      </c>
      <c r="O98" s="63">
        <v>0.55172413793103448</v>
      </c>
      <c r="P98" s="63">
        <v>0.41709401709401711</v>
      </c>
      <c r="Q98" s="63">
        <v>0.41354466858789624</v>
      </c>
    </row>
    <row r="99" spans="1:17" x14ac:dyDescent="0.4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0.1076388888888889</v>
      </c>
      <c r="M99" s="63">
        <v>0.24427798585101956</v>
      </c>
      <c r="N99" s="63">
        <v>0.2459425717852684</v>
      </c>
      <c r="O99" s="63">
        <v>0.55025553662691651</v>
      </c>
      <c r="P99" s="63">
        <v>0.41624365482233505</v>
      </c>
      <c r="Q99" s="63">
        <v>0.41084165477888729</v>
      </c>
    </row>
    <row r="100" spans="1:17" x14ac:dyDescent="0.4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0.10652920962199312</v>
      </c>
      <c r="M100" s="63">
        <v>0.24381188118811881</v>
      </c>
      <c r="N100" s="63">
        <v>0.24628712871287128</v>
      </c>
      <c r="O100" s="63">
        <v>0.54991539763113362</v>
      </c>
      <c r="P100" s="63">
        <v>0.41708542713567837</v>
      </c>
      <c r="Q100" s="63">
        <v>0.41018387553041019</v>
      </c>
    </row>
    <row r="101" spans="1:17" x14ac:dyDescent="0.4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0.10544217687074831</v>
      </c>
      <c r="M101" s="63">
        <v>0.24335378323108384</v>
      </c>
      <c r="N101" s="63">
        <v>0.24498977505112474</v>
      </c>
      <c r="O101" s="63">
        <v>0.55294117647058827</v>
      </c>
      <c r="P101" s="63">
        <v>0.41736227045075125</v>
      </c>
      <c r="Q101" s="63">
        <v>0.40953716690042075</v>
      </c>
    </row>
    <row r="102" spans="1:17" x14ac:dyDescent="0.4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0.10437710437710437</v>
      </c>
      <c r="M102" s="63">
        <v>0.24371451743714517</v>
      </c>
      <c r="N102" s="63">
        <v>0.24452554744525548</v>
      </c>
      <c r="O102" s="63">
        <v>0.55574043261231276</v>
      </c>
      <c r="P102" s="63">
        <v>0.41791044776119401</v>
      </c>
      <c r="Q102" s="63">
        <v>0.40833333333333333</v>
      </c>
    </row>
    <row r="103" spans="1:17" x14ac:dyDescent="0.4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0.10333333333333333</v>
      </c>
      <c r="M103" s="63">
        <v>0.2438828720417168</v>
      </c>
      <c r="N103" s="63">
        <v>0.24428399518652227</v>
      </c>
      <c r="O103" s="63">
        <v>0.55756578947368418</v>
      </c>
      <c r="P103" s="63">
        <v>0.4154351395730706</v>
      </c>
      <c r="Q103" s="63">
        <v>0.4107142857142857</v>
      </c>
    </row>
    <row r="104" spans="1:17" x14ac:dyDescent="0.4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0.10231023102310231</v>
      </c>
      <c r="M104" s="63">
        <v>0.24502784407319014</v>
      </c>
      <c r="N104" s="63">
        <v>0.24343675417661098</v>
      </c>
      <c r="O104" s="63">
        <v>0.55681818181818177</v>
      </c>
      <c r="P104" s="63">
        <v>0.41666666666666669</v>
      </c>
      <c r="Q104" s="63">
        <v>0.41360544217687073</v>
      </c>
    </row>
    <row r="105" spans="1:17" x14ac:dyDescent="0.4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0.10130718954248366</v>
      </c>
      <c r="M105" s="63">
        <v>0.24507486209613868</v>
      </c>
      <c r="N105" s="63">
        <v>0.24310480693459416</v>
      </c>
      <c r="O105" s="63">
        <v>0.55787781350482313</v>
      </c>
      <c r="P105" s="63">
        <v>0.41653160453808752</v>
      </c>
      <c r="Q105" s="63">
        <v>0.4137466307277628</v>
      </c>
    </row>
    <row r="106" spans="1:17" x14ac:dyDescent="0.4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0.10355987055016182</v>
      </c>
      <c r="M106" s="63">
        <v>0.24598511555033295</v>
      </c>
      <c r="N106" s="63">
        <v>0.24206815511163338</v>
      </c>
      <c r="O106" s="63">
        <v>0.55891719745222934</v>
      </c>
      <c r="P106" s="63">
        <v>0.41585760517799353</v>
      </c>
      <c r="Q106" s="63">
        <v>0.41420911528150134</v>
      </c>
    </row>
    <row r="107" spans="1:17" x14ac:dyDescent="0.4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0.10256410256410256</v>
      </c>
      <c r="M107" s="63">
        <v>0.24622531939605111</v>
      </c>
      <c r="N107" s="63">
        <v>0.24428958575300039</v>
      </c>
      <c r="O107" s="63">
        <v>0.55817610062893086</v>
      </c>
      <c r="P107" s="63">
        <v>0.41521394611727419</v>
      </c>
      <c r="Q107" s="63">
        <v>0.41456953642384103</v>
      </c>
    </row>
    <row r="108" spans="1:17" x14ac:dyDescent="0.4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0.10158730158730159</v>
      </c>
      <c r="M108" s="63">
        <v>0.24541284403669725</v>
      </c>
      <c r="N108" s="63">
        <v>0.24273700305810397</v>
      </c>
      <c r="O108" s="63">
        <v>0.55919003115264798</v>
      </c>
      <c r="P108" s="63">
        <v>0.41574803149606299</v>
      </c>
      <c r="Q108" s="63">
        <v>0.41753926701570682</v>
      </c>
    </row>
    <row r="109" spans="1:17" x14ac:dyDescent="0.4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0.10377358490566038</v>
      </c>
      <c r="M109" s="63">
        <v>0.24553401748384646</v>
      </c>
      <c r="N109" s="63">
        <v>0.24287343215507412</v>
      </c>
      <c r="O109" s="63">
        <v>0.55727554179566563</v>
      </c>
      <c r="P109" s="63">
        <v>0.41471048513302033</v>
      </c>
      <c r="Q109" s="63">
        <v>0.4174252275682705</v>
      </c>
    </row>
    <row r="110" spans="1:17" x14ac:dyDescent="0.4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0.1059190031152648</v>
      </c>
      <c r="M110" s="63">
        <v>0.24644194756554308</v>
      </c>
      <c r="N110" s="63">
        <v>0.24044943820224718</v>
      </c>
      <c r="O110" s="63">
        <v>0.55927051671732519</v>
      </c>
      <c r="P110" s="63">
        <v>0.41277258566978192</v>
      </c>
      <c r="Q110" s="63">
        <v>0.41848523748395378</v>
      </c>
    </row>
    <row r="111" spans="1:17" x14ac:dyDescent="0.4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0.10493827160493827</v>
      </c>
      <c r="M111" s="63">
        <v>0.24567219152854511</v>
      </c>
      <c r="N111" s="63">
        <v>0.23904235727440148</v>
      </c>
      <c r="O111" s="63">
        <v>0.56071964017991005</v>
      </c>
      <c r="P111" s="63">
        <v>0.41294298921417566</v>
      </c>
      <c r="Q111" s="63">
        <v>0.42118537200504413</v>
      </c>
    </row>
    <row r="112" spans="1:17" x14ac:dyDescent="0.4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0.10397553516819572</v>
      </c>
      <c r="M112" s="63">
        <v>0.24524853801169591</v>
      </c>
      <c r="N112" s="63">
        <v>0.23940058479532164</v>
      </c>
      <c r="O112" s="63">
        <v>0.56184798807749625</v>
      </c>
      <c r="P112" s="63">
        <v>0.41068702290076337</v>
      </c>
      <c r="Q112" s="63">
        <v>0.42375000000000002</v>
      </c>
    </row>
    <row r="113" spans="1:17" x14ac:dyDescent="0.4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0.10303030303030303</v>
      </c>
      <c r="M113" s="63">
        <v>0.24656543745480838</v>
      </c>
      <c r="N113" s="63">
        <v>0.23933477946493131</v>
      </c>
      <c r="O113" s="63">
        <v>0.56158357771260992</v>
      </c>
      <c r="P113" s="63">
        <v>0.41087613293051362</v>
      </c>
      <c r="Q113" s="63">
        <v>0.42274412855377008</v>
      </c>
    </row>
    <row r="114" spans="1:17" x14ac:dyDescent="0.4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0.1021021021021021</v>
      </c>
      <c r="M114" s="63">
        <v>0.24591329068941009</v>
      </c>
      <c r="N114" s="63">
        <v>0.23987206823027718</v>
      </c>
      <c r="O114" s="63">
        <v>0.55924855491329484</v>
      </c>
      <c r="P114" s="63">
        <v>0.41037037037037039</v>
      </c>
      <c r="Q114" s="63">
        <v>0.42509135200974424</v>
      </c>
    </row>
    <row r="115" spans="1:17" x14ac:dyDescent="0.4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0.10119047619047619</v>
      </c>
      <c r="M115" s="63">
        <v>0.24491228070175439</v>
      </c>
      <c r="N115" s="63">
        <v>0.24140350877192981</v>
      </c>
      <c r="O115" s="63">
        <v>0.56160458452722062</v>
      </c>
      <c r="P115" s="63">
        <v>0.40988372093023256</v>
      </c>
      <c r="Q115" s="63">
        <v>0.42376950780312123</v>
      </c>
    </row>
    <row r="116" spans="1:17" x14ac:dyDescent="0.4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0.10029498525073746</v>
      </c>
      <c r="M116" s="63">
        <v>0.24486241727621039</v>
      </c>
      <c r="N116" s="63">
        <v>0.24103099965168931</v>
      </c>
      <c r="O116" s="63">
        <v>0.56187766714082499</v>
      </c>
      <c r="P116" s="63">
        <v>0.41184971098265893</v>
      </c>
      <c r="Q116" s="63">
        <v>0.42550655542312277</v>
      </c>
    </row>
    <row r="117" spans="1:17" x14ac:dyDescent="0.4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9.9415204678362568E-2</v>
      </c>
      <c r="M117" s="63">
        <v>0.24455958549222798</v>
      </c>
      <c r="N117" s="63">
        <v>0.24145077720207253</v>
      </c>
      <c r="O117" s="63">
        <v>0.56214689265536721</v>
      </c>
      <c r="P117" s="63">
        <v>0.413447782546495</v>
      </c>
      <c r="Q117" s="63">
        <v>0.42334905660377359</v>
      </c>
    </row>
    <row r="118" spans="1:17" x14ac:dyDescent="0.4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9.8550724637681164E-2</v>
      </c>
      <c r="M118" s="63">
        <v>0.2448559670781893</v>
      </c>
      <c r="N118" s="63">
        <v>0.24074074074074073</v>
      </c>
      <c r="O118" s="63">
        <v>0.56302521008403361</v>
      </c>
      <c r="P118" s="63">
        <v>0.4131054131054131</v>
      </c>
      <c r="Q118" s="63">
        <v>0.42505854800936765</v>
      </c>
    </row>
    <row r="119" spans="1:17" x14ac:dyDescent="0.4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9.7701149425287362E-2</v>
      </c>
      <c r="M119" s="63">
        <v>0.24557823129251702</v>
      </c>
      <c r="N119" s="63">
        <v>0.24047619047619048</v>
      </c>
      <c r="O119" s="63">
        <v>0.56371191135734067</v>
      </c>
      <c r="P119" s="63">
        <v>0.4115983026874116</v>
      </c>
      <c r="Q119" s="63">
        <v>0.42624854819976771</v>
      </c>
    </row>
    <row r="120" spans="1:17" x14ac:dyDescent="0.4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9.686609686609686E-2</v>
      </c>
      <c r="M120" s="63">
        <v>0.24595141700404857</v>
      </c>
      <c r="N120" s="63">
        <v>0.24055330634278002</v>
      </c>
      <c r="O120" s="63">
        <v>0.56515775034293558</v>
      </c>
      <c r="P120" s="63">
        <v>0.4109396914446003</v>
      </c>
      <c r="Q120" s="63">
        <v>0.42692750287686998</v>
      </c>
    </row>
    <row r="121" spans="1:17" x14ac:dyDescent="0.4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9.6045197740112997E-2</v>
      </c>
      <c r="M121" s="63">
        <v>0.24607154797726513</v>
      </c>
      <c r="N121" s="63">
        <v>0.24105650284185892</v>
      </c>
      <c r="O121" s="63">
        <v>0.56385869565217395</v>
      </c>
      <c r="P121" s="63">
        <v>0.41192787794729541</v>
      </c>
      <c r="Q121" s="63">
        <v>0.42824601366742598</v>
      </c>
    </row>
    <row r="122" spans="1:17" x14ac:dyDescent="0.4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9.5238095238095233E-2</v>
      </c>
      <c r="M122" s="63">
        <v>0.2470978441127695</v>
      </c>
      <c r="N122" s="63">
        <v>0.24112769485903815</v>
      </c>
      <c r="O122" s="63">
        <v>0.56375838926174493</v>
      </c>
      <c r="P122" s="63">
        <v>0.41127922971114167</v>
      </c>
      <c r="Q122" s="63">
        <v>0.4255079006772009</v>
      </c>
    </row>
    <row r="123" spans="1:17" x14ac:dyDescent="0.4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9.4444444444444442E-2</v>
      </c>
      <c r="M123" s="63">
        <v>0.24695021430926475</v>
      </c>
      <c r="N123" s="63">
        <v>0.24167490933069569</v>
      </c>
      <c r="O123" s="63">
        <v>0.56341789052069424</v>
      </c>
      <c r="P123" s="63">
        <v>0.40927694406548432</v>
      </c>
      <c r="Q123" s="63">
        <v>0.42424242424242425</v>
      </c>
    </row>
    <row r="124" spans="1:17" x14ac:dyDescent="0.4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9.366391184573003E-2</v>
      </c>
      <c r="M124" s="63">
        <v>0.24647656506063587</v>
      </c>
      <c r="N124" s="63">
        <v>0.24090462143559488</v>
      </c>
      <c r="O124" s="63">
        <v>0.56515957446808507</v>
      </c>
      <c r="P124" s="63">
        <v>0.40952380952380951</v>
      </c>
      <c r="Q124" s="63">
        <v>0.42474916387959866</v>
      </c>
    </row>
    <row r="125" spans="1:17" x14ac:dyDescent="0.4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9.2896174863387984E-2</v>
      </c>
      <c r="M125" s="63">
        <v>0.2469859889214728</v>
      </c>
      <c r="N125" s="63">
        <v>0.24079504724666015</v>
      </c>
      <c r="O125" s="63">
        <v>0.56464379947229548</v>
      </c>
      <c r="P125" s="63">
        <v>0.40866035182679294</v>
      </c>
      <c r="Q125" s="63">
        <v>0.42461197339246121</v>
      </c>
    </row>
    <row r="126" spans="1:17" x14ac:dyDescent="0.4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9.2140921409214094E-2</v>
      </c>
      <c r="M126" s="63">
        <v>0.24636275460717749</v>
      </c>
      <c r="N126" s="63">
        <v>0.23957322987390883</v>
      </c>
      <c r="O126" s="63">
        <v>0.56561679790026242</v>
      </c>
      <c r="P126" s="63">
        <v>0.40890688259109309</v>
      </c>
      <c r="Q126" s="63">
        <v>0.42511013215859028</v>
      </c>
    </row>
    <row r="127" spans="1:17" x14ac:dyDescent="0.4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9.1397849462365593E-2</v>
      </c>
      <c r="M127" s="63">
        <v>0.24591738712776176</v>
      </c>
      <c r="N127" s="63">
        <v>0.23983349343579891</v>
      </c>
      <c r="O127" s="63">
        <v>0.56640625</v>
      </c>
      <c r="P127" s="63">
        <v>0.40720961281708945</v>
      </c>
      <c r="Q127" s="63">
        <v>0.42903930131004364</v>
      </c>
    </row>
    <row r="128" spans="1:17" x14ac:dyDescent="0.4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9.3333333333333338E-2</v>
      </c>
      <c r="M128" s="63">
        <v>0.24633524537922244</v>
      </c>
      <c r="N128" s="63">
        <v>0.23900573613766729</v>
      </c>
      <c r="O128" s="63">
        <v>0.5666235446313066</v>
      </c>
      <c r="P128" s="63">
        <v>0.40799999999999997</v>
      </c>
      <c r="Q128" s="63">
        <v>0.42779587404994573</v>
      </c>
    </row>
    <row r="129" spans="1:17" x14ac:dyDescent="0.4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9.2592592592592587E-2</v>
      </c>
      <c r="M129" s="63">
        <v>0.24589646464646464</v>
      </c>
      <c r="N129" s="63">
        <v>0.23958333333333334</v>
      </c>
      <c r="O129" s="63">
        <v>0.56482670089858789</v>
      </c>
      <c r="P129" s="63">
        <v>0.40579710144927539</v>
      </c>
      <c r="Q129" s="63">
        <v>0.42841765339074273</v>
      </c>
    </row>
    <row r="130" spans="1:17" x14ac:dyDescent="0.4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9.1863517060367453E-2</v>
      </c>
      <c r="M130" s="63">
        <v>0.24553151458137348</v>
      </c>
      <c r="N130" s="63">
        <v>0.24020068987143306</v>
      </c>
      <c r="O130" s="63">
        <v>0.56704980842911878</v>
      </c>
      <c r="P130" s="63">
        <v>0.40600522193211486</v>
      </c>
      <c r="Q130" s="63">
        <v>0.42948717948717946</v>
      </c>
    </row>
    <row r="131" spans="1:17" x14ac:dyDescent="0.4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9.1145833333333329E-2</v>
      </c>
      <c r="M131" s="63">
        <v>0.24556489262371614</v>
      </c>
      <c r="N131" s="63">
        <v>0.23996265172735762</v>
      </c>
      <c r="O131" s="63">
        <v>0.56780735107731306</v>
      </c>
      <c r="P131" s="63">
        <v>0.40466926070038911</v>
      </c>
      <c r="Q131" s="63">
        <v>0.43054082714740188</v>
      </c>
    </row>
    <row r="132" spans="1:17" x14ac:dyDescent="0.4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9.0439276485788117E-2</v>
      </c>
      <c r="M132" s="63">
        <v>0.24590670373802903</v>
      </c>
      <c r="N132" s="63">
        <v>0.23972814334260117</v>
      </c>
      <c r="O132" s="63">
        <v>0.5653266331658291</v>
      </c>
      <c r="P132" s="63">
        <v>0.40463917525773196</v>
      </c>
      <c r="Q132" s="63">
        <v>0.43143459915611815</v>
      </c>
    </row>
    <row r="133" spans="1:17" x14ac:dyDescent="0.4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8.9743589743589744E-2</v>
      </c>
      <c r="M133" s="63">
        <v>0.24648318042813455</v>
      </c>
      <c r="N133" s="63">
        <v>0.2400611620795107</v>
      </c>
      <c r="O133" s="63">
        <v>0.56451612903225812</v>
      </c>
      <c r="P133" s="63">
        <v>0.40509554140127391</v>
      </c>
      <c r="Q133" s="63">
        <v>0.43319415448851772</v>
      </c>
    </row>
    <row r="134" spans="1:17" x14ac:dyDescent="0.4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9.1603053435114504E-2</v>
      </c>
      <c r="M134" s="63">
        <v>0.24696969696969698</v>
      </c>
      <c r="N134" s="63">
        <v>0.23969696969696969</v>
      </c>
      <c r="O134" s="63">
        <v>0.56564417177914106</v>
      </c>
      <c r="P134" s="63">
        <v>0.40455120101137798</v>
      </c>
      <c r="Q134" s="63">
        <v>0.43329886246122029</v>
      </c>
    </row>
    <row r="135" spans="1:17" x14ac:dyDescent="0.4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9.0909090909090912E-2</v>
      </c>
      <c r="M135" s="63">
        <v>0.24743821579264616</v>
      </c>
      <c r="N135" s="63">
        <v>0.23899939722724534</v>
      </c>
      <c r="O135" s="63">
        <v>0.5663824604141291</v>
      </c>
      <c r="P135" s="63">
        <v>0.4047919293820933</v>
      </c>
      <c r="Q135" s="63">
        <v>0.43415637860082307</v>
      </c>
    </row>
    <row r="136" spans="1:17" x14ac:dyDescent="0.4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9.2731829573934832E-2</v>
      </c>
      <c r="M136" s="63">
        <v>0.24714714714714714</v>
      </c>
      <c r="N136" s="63">
        <v>0.23873873873873874</v>
      </c>
      <c r="O136" s="63">
        <v>0.56622114216281894</v>
      </c>
      <c r="P136" s="63">
        <v>0.40628930817610065</v>
      </c>
      <c r="Q136" s="63">
        <v>0.43237704918032788</v>
      </c>
    </row>
    <row r="137" spans="1:17" x14ac:dyDescent="0.4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9.2039800995024873E-2</v>
      </c>
      <c r="M137" s="63">
        <v>0.24784802612051055</v>
      </c>
      <c r="N137" s="63">
        <v>0.2377560106856634</v>
      </c>
      <c r="O137" s="63">
        <v>0.56526946107784426</v>
      </c>
      <c r="P137" s="63">
        <v>0.40574282147315854</v>
      </c>
      <c r="Q137" s="63">
        <v>0.43204868154158216</v>
      </c>
    </row>
    <row r="138" spans="1:17" x14ac:dyDescent="0.4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9.1358024691358022E-2</v>
      </c>
      <c r="M138" s="63">
        <v>0.24801412180052956</v>
      </c>
      <c r="N138" s="63">
        <v>0.23771697558105326</v>
      </c>
      <c r="O138" s="63">
        <v>0.5658362989323843</v>
      </c>
      <c r="P138" s="63">
        <v>0.40841584158415839</v>
      </c>
      <c r="Q138" s="63">
        <v>0.42971887550200805</v>
      </c>
    </row>
    <row r="139" spans="1:17" x14ac:dyDescent="0.4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9.0686274509803919E-2</v>
      </c>
      <c r="M139" s="63">
        <v>0.24671916010498687</v>
      </c>
      <c r="N139" s="63">
        <v>0.23826188393117528</v>
      </c>
      <c r="O139" s="63">
        <v>0.56619385342789597</v>
      </c>
      <c r="P139" s="63">
        <v>0.41003671970624234</v>
      </c>
      <c r="Q139" s="63">
        <v>0.43084577114427863</v>
      </c>
    </row>
    <row r="140" spans="1:17" x14ac:dyDescent="0.4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9.002433090024331E-2</v>
      </c>
      <c r="M140" s="63">
        <v>0.24637681159420291</v>
      </c>
      <c r="N140" s="63">
        <v>0.23826086956521739</v>
      </c>
      <c r="O140" s="63">
        <v>0.5658823529411765</v>
      </c>
      <c r="P140" s="63">
        <v>0.40997566909975669</v>
      </c>
      <c r="Q140" s="63">
        <v>0.43323442136498519</v>
      </c>
    </row>
    <row r="141" spans="1:17" x14ac:dyDescent="0.4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9.1787439613526575E-2</v>
      </c>
      <c r="M141" s="63">
        <v>0.24584050487664946</v>
      </c>
      <c r="N141" s="63">
        <v>0.23866896156052783</v>
      </c>
      <c r="O141" s="63">
        <v>0.56359393232205368</v>
      </c>
      <c r="P141" s="63">
        <v>0.40985576923076922</v>
      </c>
      <c r="Q141" s="63">
        <v>0.4315068493150685</v>
      </c>
    </row>
    <row r="142" spans="1:17" x14ac:dyDescent="0.4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9.1127098321342928E-2</v>
      </c>
      <c r="M142" s="63">
        <v>0.24565898092798177</v>
      </c>
      <c r="N142" s="63">
        <v>0.23939652718474239</v>
      </c>
      <c r="O142" s="63">
        <v>0.56431054461181929</v>
      </c>
      <c r="P142" s="63">
        <v>0.40665873959571935</v>
      </c>
      <c r="Q142" s="63">
        <v>0.43106796116504853</v>
      </c>
    </row>
    <row r="143" spans="1:17" x14ac:dyDescent="0.4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9.0476190476190474E-2</v>
      </c>
      <c r="M143" s="63">
        <v>0.24597116200169636</v>
      </c>
      <c r="N143" s="63">
        <v>0.23918575063613232</v>
      </c>
      <c r="O143" s="63">
        <v>0.56551724137931036</v>
      </c>
      <c r="P143" s="63">
        <v>0.40661938534278957</v>
      </c>
      <c r="Q143" s="63">
        <v>0.43297974927675986</v>
      </c>
    </row>
    <row r="144" spans="1:17" x14ac:dyDescent="0.4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9.2198581560283682E-2</v>
      </c>
      <c r="M144" s="63">
        <v>0.24598478444632291</v>
      </c>
      <c r="N144" s="63">
        <v>0.23865877712031558</v>
      </c>
      <c r="O144" s="63">
        <v>0.5670103092783505</v>
      </c>
      <c r="P144" s="63">
        <v>0.40731995277449823</v>
      </c>
      <c r="Q144" s="63">
        <v>0.43323727185398653</v>
      </c>
    </row>
    <row r="145" spans="1:17" x14ac:dyDescent="0.4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9.154929577464789E-2</v>
      </c>
      <c r="M145" s="63">
        <v>0.24670591533501543</v>
      </c>
      <c r="N145" s="63">
        <v>0.23857583403420241</v>
      </c>
      <c r="O145" s="63">
        <v>0.56704545454545452</v>
      </c>
      <c r="P145" s="63">
        <v>0.40658049353701525</v>
      </c>
      <c r="Q145" s="63">
        <v>0.43361986628462273</v>
      </c>
    </row>
    <row r="146" spans="1:17" x14ac:dyDescent="0.4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9.0909090909090912E-2</v>
      </c>
      <c r="M146" s="63">
        <v>0.24707846410684475</v>
      </c>
      <c r="N146" s="63">
        <v>0.23817473567056205</v>
      </c>
      <c r="O146" s="63">
        <v>0.56644144144144148</v>
      </c>
      <c r="P146" s="63">
        <v>0.40771028037383178</v>
      </c>
      <c r="Q146" s="63">
        <v>0.43453510436432635</v>
      </c>
    </row>
    <row r="147" spans="1:17" x14ac:dyDescent="0.4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9.0277777777777776E-2</v>
      </c>
      <c r="M147" s="63">
        <v>0.24695459579180509</v>
      </c>
      <c r="N147" s="63">
        <v>0.23781838316722037</v>
      </c>
      <c r="O147" s="63">
        <v>0.56838565022421528</v>
      </c>
      <c r="P147" s="63">
        <v>0.40745052386495928</v>
      </c>
      <c r="Q147" s="63">
        <v>0.43679245283018869</v>
      </c>
    </row>
    <row r="148" spans="1:17" x14ac:dyDescent="0.4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8.9655172413793102E-2</v>
      </c>
      <c r="M148" s="63">
        <v>0.24690338563170933</v>
      </c>
      <c r="N148" s="63">
        <v>0.23809523809523808</v>
      </c>
      <c r="O148" s="63">
        <v>0.56744704570791527</v>
      </c>
      <c r="P148" s="63">
        <v>0.40578034682080927</v>
      </c>
      <c r="Q148" s="63">
        <v>0.43568075117370891</v>
      </c>
    </row>
    <row r="149" spans="1:17" x14ac:dyDescent="0.4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8.9041095890410954E-2</v>
      </c>
      <c r="M149" s="63">
        <v>0.24883784522832922</v>
      </c>
      <c r="N149" s="63">
        <v>0.23735302160240634</v>
      </c>
      <c r="O149" s="63">
        <v>0.56593406593406592</v>
      </c>
      <c r="P149" s="63">
        <v>0.40552995391705071</v>
      </c>
      <c r="Q149" s="63">
        <v>0.43802423112767941</v>
      </c>
    </row>
    <row r="150" spans="1:17" x14ac:dyDescent="0.4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9.0702947845804988E-2</v>
      </c>
      <c r="M150" s="63">
        <v>0.24932028276237087</v>
      </c>
      <c r="N150" s="63">
        <v>0.23708537248504621</v>
      </c>
      <c r="O150" s="63">
        <v>0.56597600872410037</v>
      </c>
      <c r="P150" s="63">
        <v>0.40481651376146788</v>
      </c>
      <c r="Q150" s="63">
        <v>0.43888888888888888</v>
      </c>
    </row>
    <row r="151" spans="1:17" x14ac:dyDescent="0.4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9.0090090090090086E-2</v>
      </c>
      <c r="M151" s="63">
        <v>0.2492565558258989</v>
      </c>
      <c r="N151" s="63">
        <v>0.23655041903217086</v>
      </c>
      <c r="O151" s="63">
        <v>0.56616052060737532</v>
      </c>
      <c r="P151" s="63">
        <v>0.40571428571428569</v>
      </c>
      <c r="Q151" s="63">
        <v>0.43738489871086556</v>
      </c>
    </row>
    <row r="152" spans="1:17" x14ac:dyDescent="0.4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9.1722595078299773E-2</v>
      </c>
      <c r="M152" s="63">
        <v>0.24986537425955843</v>
      </c>
      <c r="N152" s="63">
        <v>0.23586429725363489</v>
      </c>
      <c r="O152" s="63">
        <v>0.56573275862068961</v>
      </c>
      <c r="P152" s="63">
        <v>0.40639269406392692</v>
      </c>
      <c r="Q152" s="63">
        <v>0.43944954128440367</v>
      </c>
    </row>
    <row r="153" spans="1:17" x14ac:dyDescent="0.4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9.1111111111111115E-2</v>
      </c>
      <c r="M153" s="63">
        <v>0.24953145917001338</v>
      </c>
      <c r="N153" s="63">
        <v>0.23480589022757697</v>
      </c>
      <c r="O153" s="63">
        <v>0.56545064377682408</v>
      </c>
      <c r="P153" s="63">
        <v>0.40706955530216649</v>
      </c>
      <c r="Q153" s="63">
        <v>0.43938012762078393</v>
      </c>
    </row>
    <row r="154" spans="1:17" x14ac:dyDescent="0.4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9.0507726269315678E-2</v>
      </c>
      <c r="M154" s="63">
        <v>0.25006650704974726</v>
      </c>
      <c r="N154" s="63">
        <v>0.23357275871242353</v>
      </c>
      <c r="O154" s="63">
        <v>0.56595744680851068</v>
      </c>
      <c r="P154" s="63">
        <v>0.40774487471526194</v>
      </c>
      <c r="Q154" s="63">
        <v>0.44253393665158369</v>
      </c>
    </row>
    <row r="155" spans="1:17" x14ac:dyDescent="0.4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8.9912280701754388E-2</v>
      </c>
      <c r="M155" s="63">
        <v>0.25019857029388404</v>
      </c>
      <c r="N155" s="63">
        <v>0.23325390521577971</v>
      </c>
      <c r="O155" s="63">
        <v>0.56613756613756616</v>
      </c>
      <c r="P155" s="63">
        <v>0.40749148694665155</v>
      </c>
      <c r="Q155" s="63">
        <v>0.44464446444644462</v>
      </c>
    </row>
    <row r="156" spans="1:17" x14ac:dyDescent="0.4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8.9324618736383449E-2</v>
      </c>
      <c r="M156" s="63">
        <v>0.2496711391739016</v>
      </c>
      <c r="N156" s="63">
        <v>0.23204419889502761</v>
      </c>
      <c r="O156" s="63">
        <v>0.5669125395152792</v>
      </c>
      <c r="P156" s="63">
        <v>0.40702947845804988</v>
      </c>
      <c r="Q156" s="63">
        <v>0.44325290437890974</v>
      </c>
    </row>
    <row r="157" spans="1:17" x14ac:dyDescent="0.4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8.8744588744588751E-2</v>
      </c>
      <c r="M157" s="63">
        <v>0.2497387669801463</v>
      </c>
      <c r="N157" s="63">
        <v>0.23171368861024033</v>
      </c>
      <c r="O157" s="63">
        <v>0.56589958158995812</v>
      </c>
      <c r="P157" s="63">
        <v>0.40698985343855693</v>
      </c>
      <c r="Q157" s="63">
        <v>0.44227353463587921</v>
      </c>
    </row>
    <row r="158" spans="1:17" x14ac:dyDescent="0.4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8.8172043010752682E-2</v>
      </c>
      <c r="M158" s="63">
        <v>0.25045466354897378</v>
      </c>
      <c r="N158" s="63">
        <v>0.23174850610548195</v>
      </c>
      <c r="O158" s="63">
        <v>0.56535269709543567</v>
      </c>
      <c r="P158" s="63">
        <v>0.40582959641255606</v>
      </c>
      <c r="Q158" s="63">
        <v>0.44130626654898497</v>
      </c>
    </row>
    <row r="159" spans="1:17" x14ac:dyDescent="0.4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8.9743589743589744E-2</v>
      </c>
      <c r="M159" s="63">
        <v>0.25084044478924233</v>
      </c>
      <c r="N159" s="63">
        <v>0.23196276183087663</v>
      </c>
      <c r="O159" s="63">
        <v>0.56494845360824741</v>
      </c>
      <c r="P159" s="63">
        <v>0.40579710144927539</v>
      </c>
      <c r="Q159" s="63">
        <v>0.44024604569420034</v>
      </c>
    </row>
    <row r="160" spans="1:17" x14ac:dyDescent="0.4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9.1295116772823773E-2</v>
      </c>
      <c r="M160" s="63">
        <v>0.25102564102564101</v>
      </c>
      <c r="N160" s="63">
        <v>0.23179487179487179</v>
      </c>
      <c r="O160" s="63">
        <v>0.56486210418794691</v>
      </c>
      <c r="P160" s="63">
        <v>0.40707964601769914</v>
      </c>
      <c r="Q160" s="63">
        <v>0.43766346992153443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いっしー!ふっとばし率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いっしー!ふっとび数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いっしー!逆転率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いっしー!最大ドラ数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2019-10-30T09:54:26Z</dcterms:modified>
</cp:coreProperties>
</file>