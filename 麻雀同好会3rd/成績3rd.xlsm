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4748A256-6D51-43F7-A2C0-8158658916D3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287" r:id="rId6"/>
    <sheet name="たかの" sheetId="6289" r:id="rId7"/>
    <sheet name="だいち" sheetId="6291" r:id="rId8"/>
    <sheet name="ただ" sheetId="6293" r:id="rId9"/>
    <sheet name="りくと" sheetId="6295" r:id="rId10"/>
    <sheet name="れんたろう" sheetId="6297" r:id="rId11"/>
    <sheet name="まっつん" sheetId="6299" r:id="rId12"/>
    <sheet name="のり" sheetId="6301" r:id="rId13"/>
    <sheet name="ぱぱ" sheetId="6303" r:id="rId14"/>
    <sheet name="ほたに" sheetId="6305" r:id="rId15"/>
    <sheet name="いっしー" sheetId="6307" r:id="rId16"/>
    <sheet name="ともき" sheetId="6309" r:id="rId17"/>
    <sheet name="たか" sheetId="6311" r:id="rId18"/>
    <sheet name="ゆう" sheetId="6313" r:id="rId19"/>
    <sheet name="ゆう2" sheetId="6314" state="hidden" r:id="rId20"/>
    <sheet name="たか2" sheetId="6312" state="hidden" r:id="rId21"/>
    <sheet name="ともき2" sheetId="6310" state="hidden" r:id="rId22"/>
    <sheet name="いっしー2" sheetId="6308" state="hidden" r:id="rId23"/>
    <sheet name="ほたに2" sheetId="6306" state="hidden" r:id="rId24"/>
    <sheet name="ぱぱ2" sheetId="6304" state="hidden" r:id="rId25"/>
    <sheet name="のり2" sheetId="6302" state="hidden" r:id="rId26"/>
    <sheet name="まっつん2" sheetId="6300" state="hidden" r:id="rId27"/>
    <sheet name="れんたろう2" sheetId="6298" state="hidden" r:id="rId28"/>
    <sheet name="りくと2" sheetId="6296" state="hidden" r:id="rId29"/>
    <sheet name="ただ2" sheetId="6294" state="hidden" r:id="rId30"/>
    <sheet name="だいち2" sheetId="6292" state="hidden" r:id="rId31"/>
    <sheet name="たかの2" sheetId="6290" state="hidden" r:id="rId32"/>
    <sheet name="全体2" sheetId="6288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299" l="1"/>
  <c r="O16" i="6309"/>
  <c r="O16" i="6311" l="1"/>
  <c r="O23" i="6289"/>
  <c r="O20" i="6299" l="1"/>
  <c r="O16" i="6313"/>
  <c r="O18" i="6311"/>
  <c r="O15" i="6289" l="1"/>
  <c r="O22" i="6309"/>
  <c r="O19" i="6311" l="1"/>
  <c r="O15" i="6313"/>
  <c r="O17" i="6313"/>
  <c r="H34" i="6313"/>
  <c r="C30" i="6313"/>
  <c r="H12" i="6313"/>
  <c r="B25" i="6313"/>
  <c r="C19" i="6313"/>
  <c r="C16" i="6313"/>
  <c r="B15" i="6313"/>
  <c r="H50" i="6313" s="1"/>
  <c r="H18" i="6313"/>
  <c r="B14" i="6313"/>
  <c r="B24" i="6313" s="1"/>
  <c r="B13" i="6313"/>
  <c r="C13" i="6313" s="1"/>
  <c r="O12" i="6313"/>
  <c r="C12" i="6313"/>
  <c r="O11" i="6313"/>
  <c r="C11" i="6313"/>
  <c r="O10" i="6313"/>
  <c r="C10" i="6313"/>
  <c r="C9" i="6313"/>
  <c r="H13" i="6313"/>
  <c r="C8" i="6313"/>
  <c r="O7" i="6313"/>
  <c r="C7" i="6313"/>
  <c r="O6" i="6313"/>
  <c r="B6" i="6313"/>
  <c r="O5" i="6313"/>
  <c r="B5" i="6313"/>
  <c r="O4" i="6313"/>
  <c r="O3" i="6313"/>
  <c r="O2" i="6313"/>
  <c r="O16" i="6301"/>
  <c r="O15" i="6311"/>
  <c r="O17" i="6311"/>
  <c r="C30" i="6311"/>
  <c r="B25" i="6311"/>
  <c r="C16" i="6311"/>
  <c r="B15" i="6311"/>
  <c r="H52" i="6311" s="1"/>
  <c r="B14" i="6311"/>
  <c r="B24" i="6311" s="1"/>
  <c r="B13" i="6311"/>
  <c r="C13" i="6311" s="1"/>
  <c r="O12" i="6311"/>
  <c r="C12" i="6311"/>
  <c r="O11" i="6311"/>
  <c r="C11" i="6311"/>
  <c r="O10" i="6311"/>
  <c r="C10" i="6311"/>
  <c r="C9" i="6311"/>
  <c r="C8" i="6311"/>
  <c r="O7" i="6311"/>
  <c r="C7" i="6311"/>
  <c r="O6" i="6311"/>
  <c r="B6" i="6311"/>
  <c r="O5" i="6311"/>
  <c r="B5" i="6311"/>
  <c r="O4" i="6311"/>
  <c r="O3" i="6311"/>
  <c r="O2" i="6311"/>
  <c r="O15" i="6287"/>
  <c r="H2" i="6313" l="1"/>
  <c r="C14" i="6311"/>
  <c r="C14" i="6313"/>
  <c r="H39" i="6313"/>
  <c r="C44" i="6313"/>
  <c r="H47" i="6313"/>
  <c r="H40" i="6313"/>
  <c r="H16" i="6313"/>
  <c r="H29" i="6313"/>
  <c r="C21" i="6313"/>
  <c r="H41" i="6313"/>
  <c r="H48" i="6313"/>
  <c r="H28" i="6313"/>
  <c r="H10" i="6313"/>
  <c r="H42" i="6313"/>
  <c r="H6" i="6313"/>
  <c r="C20" i="6313"/>
  <c r="H35" i="6313"/>
  <c r="H30" i="6313"/>
  <c r="H3" i="6313"/>
  <c r="H8" i="6313"/>
  <c r="H24" i="6313"/>
  <c r="C36" i="6313"/>
  <c r="H7" i="6313"/>
  <c r="C17" i="6313"/>
  <c r="B22" i="6313"/>
  <c r="H32" i="6313"/>
  <c r="H37" i="6313"/>
  <c r="C42" i="6313"/>
  <c r="H51" i="6313"/>
  <c r="H22" i="6313"/>
  <c r="H45" i="6313"/>
  <c r="H14" i="6313"/>
  <c r="H36" i="6313"/>
  <c r="H20" i="6313"/>
  <c r="H26" i="6313"/>
  <c r="C32" i="6313"/>
  <c r="H38" i="6313"/>
  <c r="H43" i="6313"/>
  <c r="H4" i="6313"/>
  <c r="C34" i="6313"/>
  <c r="C15" i="6313"/>
  <c r="C40" i="6313"/>
  <c r="H19" i="6313"/>
  <c r="H49" i="6313"/>
  <c r="H11" i="6313"/>
  <c r="H15" i="6313"/>
  <c r="C18" i="6313"/>
  <c r="H33" i="6313"/>
  <c r="C38" i="6313"/>
  <c r="H44" i="6313"/>
  <c r="H52" i="6313"/>
  <c r="H21" i="6313"/>
  <c r="H25" i="6313"/>
  <c r="H9" i="6313"/>
  <c r="C33" i="6313"/>
  <c r="C37" i="6313"/>
  <c r="C41" i="6313"/>
  <c r="H46" i="6313"/>
  <c r="B23" i="6313"/>
  <c r="H17" i="6313"/>
  <c r="H5" i="6313"/>
  <c r="H23" i="6313"/>
  <c r="H27" i="6313"/>
  <c r="H31" i="6313"/>
  <c r="C35" i="6313"/>
  <c r="C39" i="6313"/>
  <c r="C43" i="6313"/>
  <c r="H15" i="6311"/>
  <c r="C15" i="6311"/>
  <c r="H4" i="6311"/>
  <c r="H16" i="6311"/>
  <c r="H11" i="6311"/>
  <c r="H6" i="6311"/>
  <c r="C19" i="6311"/>
  <c r="B23" i="6311"/>
  <c r="H9" i="6311"/>
  <c r="H30" i="6311"/>
  <c r="H22" i="6311"/>
  <c r="H25" i="6311"/>
  <c r="H13" i="6311"/>
  <c r="C33" i="6311"/>
  <c r="C37" i="6311"/>
  <c r="C41" i="6311"/>
  <c r="H46" i="6311"/>
  <c r="H34" i="6311"/>
  <c r="H38" i="6311"/>
  <c r="H42" i="6311"/>
  <c r="H47" i="6311"/>
  <c r="H2" i="6311"/>
  <c r="H8" i="6311"/>
  <c r="H19" i="6311"/>
  <c r="H12" i="6311"/>
  <c r="H26" i="6311"/>
  <c r="H14" i="6311"/>
  <c r="C34" i="6311"/>
  <c r="C38" i="6311"/>
  <c r="C42" i="6311"/>
  <c r="H48" i="6311"/>
  <c r="H7" i="6311"/>
  <c r="C20" i="6311"/>
  <c r="H35" i="6311"/>
  <c r="H39" i="6311"/>
  <c r="H43" i="6311"/>
  <c r="H49" i="6311"/>
  <c r="H17" i="6311"/>
  <c r="H20" i="6311"/>
  <c r="H23" i="6311"/>
  <c r="H27" i="6311"/>
  <c r="H31" i="6311"/>
  <c r="C35" i="6311"/>
  <c r="C39" i="6311"/>
  <c r="C43" i="6311"/>
  <c r="H50" i="6311"/>
  <c r="C17" i="6311"/>
  <c r="C21" i="6311"/>
  <c r="H32" i="6311"/>
  <c r="H36" i="6311"/>
  <c r="H40" i="6311"/>
  <c r="H44" i="6311"/>
  <c r="H51" i="6311"/>
  <c r="H3" i="6311"/>
  <c r="H10" i="6311"/>
  <c r="H21" i="6311"/>
  <c r="H24" i="6311"/>
  <c r="H28" i="6311"/>
  <c r="C32" i="6311"/>
  <c r="C36" i="6311"/>
  <c r="C40" i="6311"/>
  <c r="C44" i="6311"/>
  <c r="H5" i="6311"/>
  <c r="H18" i="6311"/>
  <c r="C18" i="6311"/>
  <c r="B22" i="6311"/>
  <c r="H29" i="6311"/>
  <c r="H33" i="6311"/>
  <c r="H37" i="6311"/>
  <c r="H41" i="6311"/>
  <c r="H45" i="6311"/>
  <c r="O21" i="6309" l="1"/>
  <c r="O15" i="6291"/>
  <c r="O20" i="6293" l="1"/>
  <c r="O17" i="6309"/>
  <c r="O19" i="6309"/>
  <c r="O22" i="6295"/>
  <c r="O23" i="6303" l="1"/>
  <c r="O15" i="6309"/>
  <c r="O19" i="6297" l="1"/>
  <c r="O18" i="6309"/>
  <c r="O20" i="6309"/>
  <c r="C30" i="6309"/>
  <c r="B25" i="6309"/>
  <c r="C16" i="6309"/>
  <c r="B15" i="6309"/>
  <c r="H48" i="6309" s="1"/>
  <c r="C14" i="6309"/>
  <c r="B14" i="6309"/>
  <c r="B24" i="6309" s="1"/>
  <c r="B13" i="6309"/>
  <c r="C13" i="6309" s="1"/>
  <c r="O12" i="6309"/>
  <c r="C12" i="6309"/>
  <c r="O11" i="6309"/>
  <c r="C11" i="6309"/>
  <c r="O10" i="6309"/>
  <c r="C10" i="6309"/>
  <c r="C9" i="6309"/>
  <c r="C8" i="6309"/>
  <c r="O7" i="6309"/>
  <c r="C7" i="6309"/>
  <c r="O6" i="6309"/>
  <c r="B6" i="6309"/>
  <c r="O5" i="6309"/>
  <c r="B5" i="6309"/>
  <c r="O4" i="6309"/>
  <c r="O3" i="6309"/>
  <c r="O2" i="6309"/>
  <c r="O18" i="6301"/>
  <c r="O20" i="6287"/>
  <c r="H18" i="6309" l="1"/>
  <c r="H9" i="6309"/>
  <c r="H8" i="6309"/>
  <c r="C21" i="6309"/>
  <c r="H20" i="6309"/>
  <c r="H16" i="6309"/>
  <c r="H35" i="6309"/>
  <c r="H37" i="6309"/>
  <c r="C35" i="6309"/>
  <c r="H36" i="6309"/>
  <c r="C18" i="6309"/>
  <c r="H15" i="6309"/>
  <c r="C20" i="6309"/>
  <c r="H41" i="6309"/>
  <c r="H44" i="6309"/>
  <c r="H27" i="6309"/>
  <c r="H43" i="6309"/>
  <c r="H28" i="6309"/>
  <c r="C17" i="6309"/>
  <c r="C44" i="6309"/>
  <c r="C15" i="6309"/>
  <c r="H49" i="6309"/>
  <c r="H39" i="6309"/>
  <c r="H45" i="6309"/>
  <c r="H6" i="6309"/>
  <c r="H10" i="6309"/>
  <c r="H12" i="6309"/>
  <c r="H32" i="6309"/>
  <c r="C39" i="6309"/>
  <c r="C32" i="6309"/>
  <c r="H40" i="6309"/>
  <c r="H50" i="6309"/>
  <c r="H31" i="6309"/>
  <c r="B22" i="6309"/>
  <c r="H2" i="6309"/>
  <c r="H22" i="6309"/>
  <c r="H17" i="6309"/>
  <c r="H33" i="6309"/>
  <c r="C40" i="6309"/>
  <c r="H7" i="6309"/>
  <c r="H51" i="6309"/>
  <c r="H25" i="6309"/>
  <c r="C36" i="6309"/>
  <c r="C43" i="6309"/>
  <c r="H52" i="6309"/>
  <c r="H5" i="6309"/>
  <c r="H14" i="6309"/>
  <c r="H19" i="6309"/>
  <c r="H23" i="6309"/>
  <c r="H26" i="6309"/>
  <c r="C33" i="6309"/>
  <c r="C41" i="6309"/>
  <c r="C19" i="6309"/>
  <c r="B23" i="6309"/>
  <c r="H29" i="6309"/>
  <c r="H34" i="6309"/>
  <c r="H38" i="6309"/>
  <c r="H42" i="6309"/>
  <c r="H47" i="6309"/>
  <c r="H11" i="6309"/>
  <c r="C37" i="6309"/>
  <c r="H46" i="6309"/>
  <c r="H3" i="6309"/>
  <c r="H4" i="6309"/>
  <c r="H21" i="6309"/>
  <c r="H24" i="6309"/>
  <c r="H13" i="6309"/>
  <c r="H30" i="6309"/>
  <c r="C34" i="6309"/>
  <c r="C38" i="6309"/>
  <c r="C42" i="6309"/>
  <c r="O16" i="6299" l="1"/>
  <c r="O17" i="6307"/>
  <c r="O23" i="6291"/>
  <c r="O16" i="6307"/>
  <c r="O15" i="6307"/>
  <c r="C30" i="6307"/>
  <c r="B25" i="6307"/>
  <c r="C16" i="6307"/>
  <c r="B15" i="6307"/>
  <c r="H11" i="6307" s="1"/>
  <c r="B14" i="6307"/>
  <c r="B24" i="6307" s="1"/>
  <c r="B13" i="6307"/>
  <c r="C13" i="6307" s="1"/>
  <c r="O12" i="6307"/>
  <c r="C12" i="6307"/>
  <c r="O11" i="6307"/>
  <c r="C11" i="6307"/>
  <c r="O10" i="6307"/>
  <c r="C10" i="6307"/>
  <c r="C9" i="6307"/>
  <c r="C8" i="6307"/>
  <c r="O7" i="6307"/>
  <c r="C7" i="6307"/>
  <c r="O6" i="6307"/>
  <c r="B6" i="6307"/>
  <c r="O5" i="6307"/>
  <c r="B5" i="6307"/>
  <c r="O4" i="6307"/>
  <c r="O3" i="6307"/>
  <c r="O2" i="6307"/>
  <c r="O21" i="6301"/>
  <c r="O26" i="6287"/>
  <c r="H14" i="6307" l="1"/>
  <c r="H34" i="6307"/>
  <c r="C19" i="6307"/>
  <c r="H3" i="6307"/>
  <c r="B22" i="6307"/>
  <c r="H17" i="6307"/>
  <c r="H37" i="6307"/>
  <c r="C14" i="6307"/>
  <c r="H38" i="6307"/>
  <c r="B23" i="6307"/>
  <c r="H45" i="6307"/>
  <c r="H4" i="6307"/>
  <c r="H15" i="6307"/>
  <c r="C15" i="6307"/>
  <c r="H28" i="6307"/>
  <c r="H42" i="6307"/>
  <c r="C17" i="6307"/>
  <c r="H47" i="6307"/>
  <c r="H41" i="6307"/>
  <c r="H10" i="6307"/>
  <c r="H29" i="6307"/>
  <c r="H12" i="6307"/>
  <c r="H7" i="6307"/>
  <c r="C18" i="6307"/>
  <c r="H33" i="6307"/>
  <c r="H52" i="6307"/>
  <c r="H21" i="6307"/>
  <c r="H24" i="6307"/>
  <c r="H5" i="6307"/>
  <c r="C33" i="6307"/>
  <c r="C37" i="6307"/>
  <c r="C41" i="6307"/>
  <c r="H46" i="6307"/>
  <c r="H2" i="6307"/>
  <c r="H22" i="6307"/>
  <c r="H30" i="6307"/>
  <c r="C42" i="6307"/>
  <c r="H13" i="6307"/>
  <c r="C20" i="6307"/>
  <c r="H35" i="6307"/>
  <c r="H39" i="6307"/>
  <c r="H43" i="6307"/>
  <c r="H49" i="6307"/>
  <c r="H18" i="6307"/>
  <c r="H25" i="6307"/>
  <c r="C34" i="6307"/>
  <c r="C38" i="6307"/>
  <c r="H48" i="6307"/>
  <c r="H16" i="6307"/>
  <c r="H19" i="6307"/>
  <c r="H23" i="6307"/>
  <c r="H26" i="6307"/>
  <c r="H31" i="6307"/>
  <c r="C35" i="6307"/>
  <c r="C39" i="6307"/>
  <c r="C43" i="6307"/>
  <c r="H50" i="6307"/>
  <c r="C21" i="6307"/>
  <c r="H32" i="6307"/>
  <c r="H36" i="6307"/>
  <c r="H40" i="6307"/>
  <c r="H44" i="6307"/>
  <c r="H51" i="6307"/>
  <c r="H6" i="6307"/>
  <c r="H9" i="6307"/>
  <c r="H20" i="6307"/>
  <c r="H8" i="6307"/>
  <c r="H27" i="6307"/>
  <c r="C32" i="6307"/>
  <c r="C36" i="6307"/>
  <c r="C40" i="6307"/>
  <c r="C44" i="6307"/>
  <c r="O22" i="6289" l="1"/>
  <c r="O16" i="6297"/>
  <c r="O15" i="6297" l="1"/>
  <c r="O19" i="6305"/>
  <c r="O15" i="6295" l="1"/>
  <c r="O22" i="6301"/>
  <c r="O16" i="6305" l="1"/>
  <c r="O23" i="6295"/>
  <c r="O21" i="6289" l="1"/>
  <c r="O17" i="6291"/>
  <c r="O15" i="6301"/>
  <c r="O23" i="6301"/>
  <c r="O19" i="6299" l="1"/>
  <c r="O18" i="6303"/>
  <c r="O17" i="6293" l="1"/>
  <c r="O17" i="6299"/>
  <c r="O19" i="6301"/>
  <c r="O20" i="6301"/>
  <c r="O16" i="6289" l="1"/>
  <c r="O17" i="6303"/>
  <c r="O19" i="6303"/>
  <c r="O18" i="6295"/>
  <c r="O22" i="6293" l="1"/>
  <c r="O21" i="6297"/>
  <c r="O20" i="6297" l="1"/>
  <c r="O22" i="6291"/>
  <c r="O25" i="6301"/>
  <c r="O17" i="6305"/>
  <c r="O15" i="6305"/>
  <c r="O21" i="6303"/>
  <c r="O15" i="6293" l="1"/>
  <c r="O21" i="6293"/>
  <c r="O18" i="6305"/>
  <c r="O20" i="6305"/>
  <c r="C30" i="6305"/>
  <c r="B25" i="6305"/>
  <c r="C16" i="6305"/>
  <c r="B15" i="6305"/>
  <c r="H48" i="6305" s="1"/>
  <c r="B14" i="6305"/>
  <c r="B24" i="6305" s="1"/>
  <c r="B13" i="6305"/>
  <c r="C13" i="6305" s="1"/>
  <c r="O12" i="6305"/>
  <c r="C12" i="6305"/>
  <c r="O11" i="6305"/>
  <c r="C11" i="6305"/>
  <c r="O10" i="6305"/>
  <c r="C10" i="6305"/>
  <c r="C9" i="6305"/>
  <c r="C8" i="6305"/>
  <c r="O7" i="6305"/>
  <c r="C7" i="6305"/>
  <c r="O6" i="6305"/>
  <c r="B6" i="6305"/>
  <c r="O5" i="6305"/>
  <c r="B5" i="6305"/>
  <c r="O4" i="6305"/>
  <c r="O3" i="6305"/>
  <c r="O2" i="6305"/>
  <c r="O21" i="6299"/>
  <c r="O15" i="6299"/>
  <c r="O16" i="6287"/>
  <c r="C14" i="6305" l="1"/>
  <c r="C20" i="6305"/>
  <c r="C44" i="6305"/>
  <c r="H8" i="6305"/>
  <c r="H17" i="6305"/>
  <c r="H34" i="6305"/>
  <c r="H24" i="6305"/>
  <c r="H35" i="6305"/>
  <c r="H40" i="6305"/>
  <c r="H2" i="6305"/>
  <c r="C21" i="6305"/>
  <c r="C40" i="6305"/>
  <c r="H10" i="6305"/>
  <c r="H21" i="6305"/>
  <c r="H14" i="6305"/>
  <c r="H36" i="6305"/>
  <c r="H41" i="6305"/>
  <c r="H49" i="6305"/>
  <c r="H7" i="6305"/>
  <c r="H12" i="6305"/>
  <c r="C15" i="6305"/>
  <c r="H29" i="6305"/>
  <c r="H50" i="6305"/>
  <c r="H27" i="6305"/>
  <c r="C17" i="6305"/>
  <c r="B22" i="6305"/>
  <c r="H31" i="6305"/>
  <c r="C36" i="6305"/>
  <c r="H42" i="6305"/>
  <c r="H4" i="6305"/>
  <c r="H16" i="6305"/>
  <c r="B23" i="6305"/>
  <c r="H13" i="6305"/>
  <c r="H32" i="6305"/>
  <c r="H37" i="6305"/>
  <c r="H43" i="6305"/>
  <c r="H51" i="6305"/>
  <c r="C39" i="6305"/>
  <c r="H28" i="6305"/>
  <c r="H45" i="6305"/>
  <c r="H5" i="6305"/>
  <c r="C35" i="6305"/>
  <c r="H47" i="6305"/>
  <c r="H18" i="6305"/>
  <c r="H3" i="6305"/>
  <c r="H11" i="6305"/>
  <c r="C18" i="6305"/>
  <c r="H15" i="6305"/>
  <c r="C32" i="6305"/>
  <c r="H38" i="6305"/>
  <c r="C43" i="6305"/>
  <c r="H6" i="6305"/>
  <c r="H19" i="6305"/>
  <c r="C19" i="6305"/>
  <c r="H33" i="6305"/>
  <c r="H39" i="6305"/>
  <c r="H44" i="6305"/>
  <c r="H52" i="6305"/>
  <c r="H22" i="6305"/>
  <c r="H25" i="6305"/>
  <c r="H9" i="6305"/>
  <c r="C33" i="6305"/>
  <c r="C37" i="6305"/>
  <c r="C41" i="6305"/>
  <c r="H46" i="6305"/>
  <c r="H20" i="6305"/>
  <c r="H23" i="6305"/>
  <c r="H26" i="6305"/>
  <c r="H30" i="6305"/>
  <c r="C34" i="6305"/>
  <c r="C38" i="6305"/>
  <c r="C42" i="6305"/>
  <c r="O19" i="6291" l="1"/>
  <c r="O20" i="6295"/>
  <c r="O18" i="6291" l="1"/>
  <c r="O22" i="6299"/>
  <c r="O24" i="6299"/>
  <c r="O17" i="6289"/>
  <c r="O16" i="6293"/>
  <c r="O17" i="6295"/>
  <c r="O21" i="6295"/>
  <c r="O18" i="6289"/>
  <c r="O18" i="6293"/>
  <c r="O16" i="6291"/>
  <c r="O20" i="6303"/>
  <c r="O22" i="6303"/>
  <c r="O23" i="6297" l="1"/>
  <c r="O18" i="6297"/>
  <c r="O15" i="6303"/>
  <c r="O16" i="6303"/>
  <c r="C30" i="6303"/>
  <c r="B25" i="6303"/>
  <c r="B24" i="6303"/>
  <c r="C16" i="6303"/>
  <c r="B15" i="6303"/>
  <c r="H20" i="6303" s="1"/>
  <c r="B14" i="6303"/>
  <c r="C14" i="6303" s="1"/>
  <c r="B13" i="6303"/>
  <c r="C13" i="6303" s="1"/>
  <c r="O12" i="6303"/>
  <c r="C12" i="6303"/>
  <c r="O11" i="6303"/>
  <c r="C11" i="6303"/>
  <c r="O10" i="6303"/>
  <c r="C10" i="6303"/>
  <c r="C9" i="6303"/>
  <c r="C8" i="6303"/>
  <c r="O7" i="6303"/>
  <c r="C7" i="6303"/>
  <c r="O6" i="6303"/>
  <c r="B6" i="6303"/>
  <c r="O5" i="6303"/>
  <c r="B5" i="6303"/>
  <c r="O4" i="6303"/>
  <c r="O3" i="6303"/>
  <c r="O2" i="6303"/>
  <c r="O17" i="6287"/>
  <c r="O17" i="6301"/>
  <c r="O24" i="6301"/>
  <c r="C30" i="6301"/>
  <c r="B25" i="6301"/>
  <c r="C16" i="6301"/>
  <c r="B15" i="6301"/>
  <c r="H21" i="6301" s="1"/>
  <c r="B14" i="6301"/>
  <c r="B24" i="6301" s="1"/>
  <c r="B13" i="6301"/>
  <c r="C13" i="6301" s="1"/>
  <c r="O12" i="6301"/>
  <c r="C12" i="6301"/>
  <c r="O11" i="6301"/>
  <c r="C11" i="6301"/>
  <c r="O10" i="6301"/>
  <c r="C10" i="6301"/>
  <c r="C9" i="6301"/>
  <c r="C8" i="6301"/>
  <c r="O7" i="6301"/>
  <c r="C7" i="6301"/>
  <c r="O6" i="6301"/>
  <c r="B6" i="6301"/>
  <c r="O5" i="6301"/>
  <c r="B5" i="6301"/>
  <c r="O4" i="6301"/>
  <c r="O3" i="6301"/>
  <c r="O2" i="6301"/>
  <c r="O21" i="6287"/>
  <c r="C14" i="6301" l="1"/>
  <c r="H4" i="6301"/>
  <c r="H9" i="6303"/>
  <c r="H10" i="6303"/>
  <c r="C36" i="6303"/>
  <c r="H15" i="6303"/>
  <c r="H6" i="6303"/>
  <c r="H23" i="6303"/>
  <c r="H42" i="6303"/>
  <c r="H49" i="6303"/>
  <c r="H25" i="6303"/>
  <c r="H19" i="6303"/>
  <c r="H38" i="6303"/>
  <c r="H5" i="6303"/>
  <c r="H2" i="6303"/>
  <c r="H8" i="6303"/>
  <c r="C18" i="6303"/>
  <c r="H29" i="6303"/>
  <c r="C38" i="6303"/>
  <c r="H52" i="6303"/>
  <c r="H17" i="6303"/>
  <c r="H31" i="6303"/>
  <c r="C40" i="6303"/>
  <c r="B22" i="6303"/>
  <c r="C32" i="6303"/>
  <c r="C42" i="6303"/>
  <c r="H3" i="6303"/>
  <c r="H22" i="6303"/>
  <c r="C15" i="6303"/>
  <c r="H18" i="6303"/>
  <c r="H34" i="6303"/>
  <c r="C44" i="6303"/>
  <c r="H4" i="6303"/>
  <c r="H11" i="6303"/>
  <c r="H24" i="6303"/>
  <c r="C34" i="6303"/>
  <c r="H46" i="6303"/>
  <c r="H26" i="6303"/>
  <c r="H28" i="6303"/>
  <c r="H12" i="6303"/>
  <c r="C33" i="6303"/>
  <c r="C37" i="6303"/>
  <c r="C41" i="6303"/>
  <c r="H47" i="6303"/>
  <c r="C19" i="6303"/>
  <c r="B23" i="6303"/>
  <c r="H30" i="6303"/>
  <c r="H35" i="6303"/>
  <c r="H39" i="6303"/>
  <c r="H43" i="6303"/>
  <c r="H48" i="6303"/>
  <c r="H50" i="6303"/>
  <c r="H16" i="6303"/>
  <c r="H13" i="6303"/>
  <c r="H27" i="6303"/>
  <c r="H14" i="6303"/>
  <c r="H32" i="6303"/>
  <c r="C35" i="6303"/>
  <c r="C39" i="6303"/>
  <c r="C43" i="6303"/>
  <c r="H51" i="6303"/>
  <c r="C20" i="6303"/>
  <c r="H36" i="6303"/>
  <c r="H40" i="6303"/>
  <c r="H44" i="6303"/>
  <c r="H7" i="6303"/>
  <c r="H21" i="6303"/>
  <c r="C17" i="6303"/>
  <c r="C21" i="6303"/>
  <c r="H33" i="6303"/>
  <c r="H37" i="6303"/>
  <c r="H41" i="6303"/>
  <c r="H45" i="6303"/>
  <c r="H24" i="6301"/>
  <c r="H2" i="6301"/>
  <c r="H31" i="6301"/>
  <c r="H3" i="6301"/>
  <c r="C38" i="6301"/>
  <c r="C42" i="6301"/>
  <c r="C34" i="6301"/>
  <c r="H11" i="6301"/>
  <c r="H15" i="6301"/>
  <c r="H7" i="6301"/>
  <c r="B23" i="6301"/>
  <c r="H49" i="6301"/>
  <c r="H26" i="6301"/>
  <c r="H30" i="6301"/>
  <c r="C32" i="6301"/>
  <c r="C40" i="6301"/>
  <c r="H5" i="6301"/>
  <c r="H10" i="6301"/>
  <c r="C18" i="6301"/>
  <c r="H35" i="6301"/>
  <c r="H42" i="6301"/>
  <c r="H52" i="6301"/>
  <c r="C19" i="6301"/>
  <c r="H20" i="6301"/>
  <c r="H43" i="6301"/>
  <c r="C20" i="6301"/>
  <c r="H32" i="6301"/>
  <c r="C36" i="6301"/>
  <c r="C44" i="6301"/>
  <c r="H17" i="6301"/>
  <c r="C15" i="6301"/>
  <c r="H13" i="6301"/>
  <c r="H33" i="6301"/>
  <c r="H38" i="6301"/>
  <c r="H46" i="6301"/>
  <c r="H9" i="6301"/>
  <c r="H6" i="6301"/>
  <c r="H12" i="6301"/>
  <c r="H25" i="6301"/>
  <c r="B22" i="6301"/>
  <c r="H16" i="6301"/>
  <c r="H39" i="6301"/>
  <c r="H48" i="6301"/>
  <c r="H27" i="6301"/>
  <c r="H29" i="6301"/>
  <c r="H8" i="6301"/>
  <c r="C33" i="6301"/>
  <c r="C37" i="6301"/>
  <c r="C41" i="6301"/>
  <c r="H47" i="6301"/>
  <c r="H36" i="6301"/>
  <c r="H40" i="6301"/>
  <c r="H44" i="6301"/>
  <c r="H50" i="6301"/>
  <c r="H23" i="6301"/>
  <c r="H18" i="6301"/>
  <c r="H28" i="6301"/>
  <c r="H14" i="6301"/>
  <c r="H19" i="6301"/>
  <c r="C35" i="6301"/>
  <c r="C39" i="6301"/>
  <c r="C43" i="6301"/>
  <c r="H51" i="6301"/>
  <c r="H22" i="6301"/>
  <c r="C17" i="6301"/>
  <c r="C21" i="6301"/>
  <c r="H34" i="6301"/>
  <c r="H37" i="6301"/>
  <c r="H41" i="6301"/>
  <c r="H45" i="6301"/>
  <c r="O23" i="6299" l="1"/>
  <c r="O18" i="6299"/>
  <c r="C30" i="6299"/>
  <c r="B25" i="6299"/>
  <c r="C16" i="6299"/>
  <c r="B15" i="6299"/>
  <c r="H51" i="6299" s="1"/>
  <c r="B14" i="6299"/>
  <c r="B24" i="6299" s="1"/>
  <c r="B13" i="6299"/>
  <c r="C13" i="6299" s="1"/>
  <c r="O12" i="6299"/>
  <c r="C12" i="6299"/>
  <c r="O11" i="6299"/>
  <c r="C11" i="6299"/>
  <c r="O10" i="6299"/>
  <c r="C10" i="6299"/>
  <c r="C9" i="6299"/>
  <c r="C8" i="6299"/>
  <c r="O7" i="6299"/>
  <c r="C7" i="6299"/>
  <c r="O6" i="6299"/>
  <c r="B6" i="6299"/>
  <c r="O5" i="6299"/>
  <c r="B5" i="6299"/>
  <c r="O4" i="6299"/>
  <c r="O3" i="6299"/>
  <c r="O2" i="6299"/>
  <c r="O22" i="6297"/>
  <c r="O17" i="6297"/>
  <c r="C30" i="6297"/>
  <c r="B25" i="6297"/>
  <c r="C16" i="6297"/>
  <c r="B15" i="6297"/>
  <c r="H12" i="6297" s="1"/>
  <c r="B14" i="6297"/>
  <c r="C14" i="6297" s="1"/>
  <c r="B13" i="6297"/>
  <c r="C13" i="6297" s="1"/>
  <c r="O12" i="6297"/>
  <c r="C12" i="6297"/>
  <c r="O11" i="6297"/>
  <c r="C11" i="6297"/>
  <c r="O10" i="6297"/>
  <c r="C10" i="6297"/>
  <c r="C9" i="6297"/>
  <c r="C8" i="6297"/>
  <c r="O7" i="6297"/>
  <c r="C7" i="6297"/>
  <c r="O6" i="6297"/>
  <c r="B6" i="6297"/>
  <c r="O5" i="6297"/>
  <c r="B5" i="6297"/>
  <c r="O4" i="6297"/>
  <c r="O3" i="6297"/>
  <c r="O2" i="6297"/>
  <c r="O18" i="6287"/>
  <c r="O19" i="6295"/>
  <c r="O16" i="6295"/>
  <c r="C30" i="6295"/>
  <c r="B25" i="6295"/>
  <c r="C16" i="6295"/>
  <c r="B15" i="6295"/>
  <c r="H17" i="6295" s="1"/>
  <c r="B14" i="6295"/>
  <c r="B24" i="6295" s="1"/>
  <c r="B13" i="6295"/>
  <c r="C13" i="6295" s="1"/>
  <c r="O12" i="6295"/>
  <c r="C12" i="6295"/>
  <c r="O11" i="6295"/>
  <c r="C11" i="6295"/>
  <c r="O10" i="6295"/>
  <c r="C10" i="6295"/>
  <c r="C9" i="6295"/>
  <c r="C8" i="6295"/>
  <c r="O7" i="6295"/>
  <c r="C7" i="6295"/>
  <c r="O6" i="6295"/>
  <c r="B6" i="6295"/>
  <c r="O5" i="6295"/>
  <c r="B5" i="6295"/>
  <c r="O4" i="6295"/>
  <c r="O3" i="6295"/>
  <c r="O2" i="6295"/>
  <c r="O22" i="6287"/>
  <c r="O24" i="6287"/>
  <c r="B24" i="6297" l="1"/>
  <c r="C14" i="6295"/>
  <c r="H28" i="6299"/>
  <c r="H30" i="6297"/>
  <c r="H19" i="6295"/>
  <c r="H2" i="6295"/>
  <c r="H20" i="6295"/>
  <c r="C40" i="6295"/>
  <c r="H23" i="6295"/>
  <c r="C14" i="6299"/>
  <c r="H4" i="6299"/>
  <c r="H12" i="6299"/>
  <c r="C19" i="6299"/>
  <c r="H24" i="6299"/>
  <c r="H36" i="6299"/>
  <c r="H41" i="6299"/>
  <c r="C44" i="6299"/>
  <c r="H18" i="6299"/>
  <c r="H46" i="6299"/>
  <c r="H7" i="6299"/>
  <c r="H10" i="6299"/>
  <c r="C20" i="6299"/>
  <c r="H37" i="6299"/>
  <c r="H48" i="6299"/>
  <c r="C21" i="6299"/>
  <c r="H22" i="6299"/>
  <c r="H38" i="6299"/>
  <c r="H42" i="6299"/>
  <c r="H49" i="6299"/>
  <c r="H25" i="6299"/>
  <c r="H23" i="6299"/>
  <c r="H50" i="6299"/>
  <c r="C34" i="6299"/>
  <c r="H29" i="6299"/>
  <c r="H2" i="6299"/>
  <c r="H3" i="6299"/>
  <c r="H14" i="6299"/>
  <c r="C36" i="6299"/>
  <c r="H43" i="6299"/>
  <c r="H8" i="6299"/>
  <c r="C17" i="6299"/>
  <c r="B22" i="6299"/>
  <c r="H26" i="6299"/>
  <c r="H39" i="6299"/>
  <c r="C42" i="6299"/>
  <c r="H16" i="6299"/>
  <c r="H27" i="6299"/>
  <c r="H11" i="6299"/>
  <c r="C15" i="6299"/>
  <c r="H33" i="6299"/>
  <c r="C40" i="6299"/>
  <c r="H15" i="6299"/>
  <c r="H20" i="6299"/>
  <c r="C32" i="6299"/>
  <c r="H40" i="6299"/>
  <c r="H44" i="6299"/>
  <c r="H5" i="6299"/>
  <c r="H6" i="6299"/>
  <c r="H17" i="6299"/>
  <c r="C18" i="6299"/>
  <c r="H35" i="6299"/>
  <c r="C38" i="6299"/>
  <c r="H45" i="6299"/>
  <c r="H52" i="6299"/>
  <c r="H30" i="6299"/>
  <c r="H32" i="6299"/>
  <c r="H9" i="6299"/>
  <c r="C33" i="6299"/>
  <c r="C37" i="6299"/>
  <c r="C41" i="6299"/>
  <c r="H47" i="6299"/>
  <c r="B23" i="6299"/>
  <c r="H21" i="6299"/>
  <c r="H19" i="6299"/>
  <c r="H31" i="6299"/>
  <c r="H13" i="6299"/>
  <c r="H34" i="6299"/>
  <c r="C35" i="6299"/>
  <c r="C39" i="6299"/>
  <c r="C43" i="6299"/>
  <c r="H10" i="6297"/>
  <c r="H11" i="6297"/>
  <c r="H15" i="6297"/>
  <c r="C36" i="6297"/>
  <c r="H42" i="6297"/>
  <c r="H49" i="6297"/>
  <c r="H4" i="6297"/>
  <c r="H21" i="6297"/>
  <c r="H33" i="6297"/>
  <c r="H38" i="6297"/>
  <c r="H7" i="6297"/>
  <c r="H2" i="6297"/>
  <c r="H9" i="6297"/>
  <c r="C18" i="6297"/>
  <c r="H34" i="6297"/>
  <c r="C38" i="6297"/>
  <c r="H52" i="6297"/>
  <c r="H17" i="6297"/>
  <c r="H18" i="6297"/>
  <c r="C40" i="6297"/>
  <c r="B22" i="6297"/>
  <c r="C32" i="6297"/>
  <c r="C42" i="6297"/>
  <c r="H3" i="6297"/>
  <c r="H29" i="6297"/>
  <c r="C15" i="6297"/>
  <c r="H26" i="6297"/>
  <c r="H35" i="6297"/>
  <c r="C44" i="6297"/>
  <c r="H6" i="6297"/>
  <c r="H13" i="6297"/>
  <c r="H25" i="6297"/>
  <c r="C34" i="6297"/>
  <c r="H46" i="6297"/>
  <c r="H31" i="6297"/>
  <c r="H22" i="6297"/>
  <c r="H8" i="6297"/>
  <c r="C33" i="6297"/>
  <c r="C37" i="6297"/>
  <c r="C41" i="6297"/>
  <c r="H47" i="6297"/>
  <c r="C19" i="6297"/>
  <c r="B23" i="6297"/>
  <c r="H23" i="6297"/>
  <c r="H36" i="6297"/>
  <c r="H39" i="6297"/>
  <c r="H43" i="6297"/>
  <c r="H48" i="6297"/>
  <c r="H44" i="6297"/>
  <c r="H24" i="6297"/>
  <c r="H16" i="6297"/>
  <c r="H32" i="6297"/>
  <c r="H14" i="6297"/>
  <c r="H19" i="6297"/>
  <c r="C35" i="6297"/>
  <c r="C39" i="6297"/>
  <c r="C43" i="6297"/>
  <c r="H51" i="6297"/>
  <c r="C20" i="6297"/>
  <c r="H37" i="6297"/>
  <c r="H40" i="6297"/>
  <c r="H50" i="6297"/>
  <c r="H5" i="6297"/>
  <c r="H20" i="6297"/>
  <c r="C17" i="6297"/>
  <c r="C21" i="6297"/>
  <c r="H27" i="6297"/>
  <c r="H28" i="6297"/>
  <c r="H41" i="6297"/>
  <c r="H45" i="6297"/>
  <c r="H42" i="6295"/>
  <c r="H28" i="6295"/>
  <c r="H3" i="6295"/>
  <c r="B22" i="6295"/>
  <c r="C15" i="6295"/>
  <c r="C44" i="6295"/>
  <c r="H24" i="6295"/>
  <c r="C36" i="6295"/>
  <c r="H49" i="6295"/>
  <c r="C34" i="6295"/>
  <c r="H46" i="6295"/>
  <c r="H6" i="6295"/>
  <c r="H38" i="6295"/>
  <c r="H5" i="6295"/>
  <c r="H12" i="6295"/>
  <c r="H9" i="6295"/>
  <c r="C32" i="6295"/>
  <c r="C42" i="6295"/>
  <c r="H22" i="6295"/>
  <c r="H34" i="6295"/>
  <c r="H14" i="6295"/>
  <c r="H10" i="6295"/>
  <c r="H4" i="6295"/>
  <c r="H16" i="6295"/>
  <c r="H29" i="6295"/>
  <c r="C18" i="6295"/>
  <c r="H30" i="6295"/>
  <c r="C38" i="6295"/>
  <c r="H52" i="6295"/>
  <c r="H25" i="6295"/>
  <c r="H27" i="6295"/>
  <c r="H11" i="6295"/>
  <c r="C33" i="6295"/>
  <c r="C37" i="6295"/>
  <c r="C41" i="6295"/>
  <c r="H47" i="6295"/>
  <c r="C19" i="6295"/>
  <c r="B23" i="6295"/>
  <c r="H31" i="6295"/>
  <c r="H35" i="6295"/>
  <c r="H39" i="6295"/>
  <c r="H43" i="6295"/>
  <c r="H48" i="6295"/>
  <c r="H8" i="6295"/>
  <c r="C20" i="6295"/>
  <c r="H36" i="6295"/>
  <c r="H40" i="6295"/>
  <c r="H44" i="6295"/>
  <c r="H50" i="6295"/>
  <c r="H18" i="6295"/>
  <c r="H15" i="6295"/>
  <c r="H26" i="6295"/>
  <c r="H13" i="6295"/>
  <c r="H32" i="6295"/>
  <c r="C35" i="6295"/>
  <c r="C39" i="6295"/>
  <c r="C43" i="6295"/>
  <c r="H51" i="6295"/>
  <c r="H7" i="6295"/>
  <c r="H21" i="6295"/>
  <c r="C17" i="6295"/>
  <c r="C21" i="6295"/>
  <c r="H33" i="6295"/>
  <c r="H37" i="6295"/>
  <c r="H41" i="6295"/>
  <c r="H45" i="6295"/>
  <c r="O23" i="6293" l="1"/>
  <c r="O19" i="6293"/>
  <c r="C30" i="6293"/>
  <c r="B25" i="6293"/>
  <c r="C16" i="6293"/>
  <c r="B15" i="6293"/>
  <c r="H19" i="6293" s="1"/>
  <c r="B14" i="6293"/>
  <c r="B24" i="6293" s="1"/>
  <c r="B13" i="6293"/>
  <c r="C13" i="6293" s="1"/>
  <c r="O12" i="6293"/>
  <c r="C12" i="6293"/>
  <c r="O11" i="6293"/>
  <c r="C11" i="6293"/>
  <c r="O10" i="6293"/>
  <c r="C10" i="6293"/>
  <c r="C9" i="6293"/>
  <c r="C8" i="6293"/>
  <c r="O7" i="6293"/>
  <c r="C7" i="6293"/>
  <c r="O6" i="6293"/>
  <c r="B6" i="6293"/>
  <c r="O5" i="6293"/>
  <c r="B5" i="6293"/>
  <c r="O4" i="6293"/>
  <c r="O3" i="6293"/>
  <c r="O2" i="6293"/>
  <c r="O20" i="6291"/>
  <c r="O21" i="6291"/>
  <c r="C30" i="6291"/>
  <c r="B25" i="6291"/>
  <c r="C16" i="6291"/>
  <c r="B15" i="6291"/>
  <c r="H16" i="6291" s="1"/>
  <c r="B14" i="6291"/>
  <c r="B24" i="6291" s="1"/>
  <c r="B13" i="6291"/>
  <c r="C13" i="6291" s="1"/>
  <c r="O12" i="6291"/>
  <c r="C12" i="6291"/>
  <c r="O11" i="6291"/>
  <c r="C11" i="6291"/>
  <c r="O10" i="6291"/>
  <c r="C10" i="6291"/>
  <c r="C9" i="6291"/>
  <c r="C8" i="6291"/>
  <c r="O7" i="6291"/>
  <c r="C7" i="6291"/>
  <c r="O6" i="6291"/>
  <c r="B6" i="6291"/>
  <c r="O5" i="6291"/>
  <c r="B5" i="6291"/>
  <c r="O4" i="6291"/>
  <c r="O3" i="6291"/>
  <c r="O2" i="6291"/>
  <c r="O19" i="6287"/>
  <c r="O19" i="6289"/>
  <c r="O20" i="6289"/>
  <c r="C30" i="6289"/>
  <c r="B25" i="6289"/>
  <c r="C16" i="6289"/>
  <c r="B15" i="6289"/>
  <c r="H51" i="6289" s="1"/>
  <c r="B14" i="6289"/>
  <c r="B24" i="6289" s="1"/>
  <c r="B13" i="6289"/>
  <c r="C13" i="6289" s="1"/>
  <c r="O12" i="6289"/>
  <c r="C12" i="6289"/>
  <c r="O11" i="6289"/>
  <c r="C11" i="6289"/>
  <c r="O10" i="6289"/>
  <c r="C10" i="6289"/>
  <c r="C9" i="6289"/>
  <c r="C8" i="6289"/>
  <c r="O7" i="6289"/>
  <c r="C7" i="6289"/>
  <c r="O6" i="6289"/>
  <c r="B6" i="6289"/>
  <c r="O5" i="6289"/>
  <c r="B5" i="6289"/>
  <c r="O4" i="6289"/>
  <c r="O3" i="6289"/>
  <c r="O2" i="6289"/>
  <c r="O23" i="6287"/>
  <c r="O25" i="6287"/>
  <c r="C30" i="6287"/>
  <c r="B25" i="6287"/>
  <c r="C16" i="6287"/>
  <c r="B15" i="6287"/>
  <c r="H52" i="6287" s="1"/>
  <c r="B14" i="6287"/>
  <c r="B24" i="6287" s="1"/>
  <c r="B13" i="6287"/>
  <c r="C13" i="6287" s="1"/>
  <c r="O12" i="6287"/>
  <c r="C12" i="6287"/>
  <c r="O11" i="6287"/>
  <c r="C11" i="6287"/>
  <c r="O10" i="6287"/>
  <c r="C10" i="6287"/>
  <c r="C9" i="6287"/>
  <c r="C8" i="6287"/>
  <c r="O7" i="6287"/>
  <c r="C7" i="6287"/>
  <c r="O6" i="6287"/>
  <c r="B6" i="6287"/>
  <c r="O5" i="6287"/>
  <c r="B5" i="6287"/>
  <c r="O4" i="6287"/>
  <c r="O3" i="6287"/>
  <c r="O2" i="6287"/>
  <c r="C14" i="6293" l="1"/>
  <c r="C14" i="6291"/>
  <c r="C32" i="6289"/>
  <c r="H12" i="6293"/>
  <c r="H32" i="6293"/>
  <c r="H3" i="6293"/>
  <c r="C36" i="6293"/>
  <c r="H38" i="6293"/>
  <c r="H28" i="6293"/>
  <c r="C14" i="6289"/>
  <c r="H33" i="6293"/>
  <c r="H8" i="6293"/>
  <c r="C38" i="6293"/>
  <c r="H2" i="6293"/>
  <c r="H18" i="6293"/>
  <c r="H15" i="6293"/>
  <c r="H10" i="6293"/>
  <c r="C18" i="6293"/>
  <c r="C44" i="6293"/>
  <c r="H44" i="6293"/>
  <c r="H17" i="6293"/>
  <c r="C34" i="6293"/>
  <c r="H46" i="6293"/>
  <c r="C42" i="6293"/>
  <c r="C20" i="6293"/>
  <c r="H36" i="6293"/>
  <c r="H49" i="6293"/>
  <c r="H14" i="6293"/>
  <c r="H40" i="6293"/>
  <c r="H50" i="6293"/>
  <c r="H5" i="6293"/>
  <c r="H21" i="6293"/>
  <c r="C15" i="6293"/>
  <c r="B22" i="6293"/>
  <c r="C32" i="6293"/>
  <c r="C40" i="6293"/>
  <c r="H4" i="6293"/>
  <c r="H6" i="6293"/>
  <c r="H11" i="6293"/>
  <c r="H24" i="6293"/>
  <c r="H31" i="6293"/>
  <c r="H35" i="6293"/>
  <c r="H42" i="6293"/>
  <c r="H52" i="6293"/>
  <c r="H29" i="6293"/>
  <c r="H25" i="6293"/>
  <c r="H9" i="6293"/>
  <c r="C33" i="6293"/>
  <c r="C37" i="6293"/>
  <c r="C41" i="6293"/>
  <c r="H47" i="6293"/>
  <c r="C19" i="6293"/>
  <c r="B23" i="6293"/>
  <c r="H26" i="6293"/>
  <c r="H27" i="6293"/>
  <c r="H39" i="6293"/>
  <c r="H43" i="6293"/>
  <c r="H48" i="6293"/>
  <c r="H22" i="6293"/>
  <c r="H16" i="6293"/>
  <c r="H30" i="6293"/>
  <c r="H13" i="6293"/>
  <c r="H20" i="6293"/>
  <c r="C35" i="6293"/>
  <c r="C39" i="6293"/>
  <c r="C43" i="6293"/>
  <c r="H51" i="6293"/>
  <c r="H7" i="6293"/>
  <c r="H23" i="6293"/>
  <c r="C17" i="6293"/>
  <c r="C21" i="6293"/>
  <c r="H34" i="6293"/>
  <c r="H37" i="6293"/>
  <c r="H41" i="6293"/>
  <c r="H45" i="6293"/>
  <c r="C14" i="6287"/>
  <c r="H31" i="6291"/>
  <c r="H10" i="6291"/>
  <c r="H34" i="6291"/>
  <c r="H13" i="6291"/>
  <c r="H25" i="6291"/>
  <c r="C32" i="6291"/>
  <c r="H11" i="6291"/>
  <c r="H40" i="6291"/>
  <c r="H36" i="6291"/>
  <c r="C19" i="6291"/>
  <c r="C36" i="6291"/>
  <c r="C40" i="6291"/>
  <c r="C15" i="6291"/>
  <c r="H14" i="6291"/>
  <c r="B22" i="6291"/>
  <c r="H29" i="6291"/>
  <c r="H5" i="6291"/>
  <c r="H52" i="6291"/>
  <c r="B23" i="6291"/>
  <c r="H39" i="6291"/>
  <c r="H19" i="6291"/>
  <c r="H26" i="6291"/>
  <c r="H43" i="6291"/>
  <c r="H4" i="6291"/>
  <c r="H6" i="6291"/>
  <c r="C18" i="6291"/>
  <c r="C44" i="6291"/>
  <c r="H32" i="6291"/>
  <c r="H22" i="6291"/>
  <c r="H8" i="6291"/>
  <c r="C33" i="6291"/>
  <c r="C37" i="6291"/>
  <c r="C41" i="6291"/>
  <c r="H47" i="6291"/>
  <c r="H27" i="6291"/>
  <c r="H44" i="6291"/>
  <c r="H17" i="6291"/>
  <c r="H20" i="6291"/>
  <c r="C42" i="6291"/>
  <c r="H9" i="6291"/>
  <c r="C20" i="6291"/>
  <c r="H37" i="6291"/>
  <c r="H41" i="6291"/>
  <c r="H45" i="6291"/>
  <c r="H50" i="6291"/>
  <c r="H49" i="6291"/>
  <c r="H18" i="6291"/>
  <c r="H15" i="6291"/>
  <c r="H33" i="6291"/>
  <c r="H12" i="6291"/>
  <c r="H24" i="6291"/>
  <c r="C35" i="6291"/>
  <c r="C39" i="6291"/>
  <c r="C43" i="6291"/>
  <c r="H51" i="6291"/>
  <c r="H28" i="6291"/>
  <c r="H48" i="6291"/>
  <c r="H2" i="6291"/>
  <c r="H3" i="6291"/>
  <c r="H21" i="6291"/>
  <c r="H23" i="6291"/>
  <c r="C34" i="6291"/>
  <c r="C38" i="6291"/>
  <c r="H7" i="6291"/>
  <c r="H30" i="6291"/>
  <c r="C17" i="6291"/>
  <c r="C21" i="6291"/>
  <c r="H35" i="6291"/>
  <c r="H38" i="6291"/>
  <c r="H42" i="6291"/>
  <c r="H46" i="6291"/>
  <c r="H27" i="6289"/>
  <c r="H20" i="6289"/>
  <c r="H11" i="6289"/>
  <c r="H17" i="6289"/>
  <c r="C18" i="6289"/>
  <c r="H2" i="6289"/>
  <c r="H41" i="6289"/>
  <c r="H14" i="6289"/>
  <c r="C38" i="6289"/>
  <c r="C40" i="6289"/>
  <c r="H52" i="6289"/>
  <c r="H10" i="6289"/>
  <c r="C42" i="6289"/>
  <c r="C34" i="6289"/>
  <c r="C15" i="6289"/>
  <c r="H30" i="6289"/>
  <c r="C44" i="6289"/>
  <c r="H5" i="6289"/>
  <c r="H9" i="6289"/>
  <c r="H23" i="6289"/>
  <c r="H45" i="6289"/>
  <c r="H6" i="6289"/>
  <c r="C36" i="6289"/>
  <c r="H48" i="6289"/>
  <c r="B22" i="6289"/>
  <c r="H18" i="6289"/>
  <c r="H33" i="6289"/>
  <c r="H12" i="6289"/>
  <c r="H3" i="6289"/>
  <c r="H16" i="6289"/>
  <c r="H25" i="6289"/>
  <c r="H37" i="6289"/>
  <c r="H4" i="6289"/>
  <c r="C33" i="6289"/>
  <c r="H28" i="6289"/>
  <c r="H24" i="6289"/>
  <c r="H13" i="6289"/>
  <c r="C37" i="6289"/>
  <c r="C41" i="6289"/>
  <c r="H46" i="6289"/>
  <c r="C19" i="6289"/>
  <c r="B23" i="6289"/>
  <c r="H31" i="6289"/>
  <c r="H34" i="6289"/>
  <c r="H38" i="6289"/>
  <c r="H42" i="6289"/>
  <c r="H47" i="6289"/>
  <c r="H8" i="6289"/>
  <c r="C20" i="6289"/>
  <c r="H35" i="6289"/>
  <c r="H39" i="6289"/>
  <c r="H43" i="6289"/>
  <c r="H49" i="6289"/>
  <c r="H22" i="6289"/>
  <c r="H19" i="6289"/>
  <c r="H29" i="6289"/>
  <c r="H15" i="6289"/>
  <c r="H32" i="6289"/>
  <c r="C35" i="6289"/>
  <c r="C39" i="6289"/>
  <c r="C43" i="6289"/>
  <c r="H50" i="6289"/>
  <c r="H7" i="6289"/>
  <c r="H26" i="6289"/>
  <c r="C17" i="6289"/>
  <c r="C21" i="6289"/>
  <c r="H21" i="6289"/>
  <c r="H36" i="6289"/>
  <c r="H40" i="6289"/>
  <c r="H44" i="6289"/>
  <c r="C15" i="6287"/>
  <c r="H6" i="6287"/>
  <c r="H10" i="6287"/>
  <c r="H23" i="6287"/>
  <c r="H24" i="6287"/>
  <c r="H7" i="6287"/>
  <c r="H12" i="6287"/>
  <c r="H36" i="6287"/>
  <c r="H25" i="6287"/>
  <c r="H9" i="6287"/>
  <c r="C33" i="6287"/>
  <c r="C37" i="6287"/>
  <c r="C41" i="6287"/>
  <c r="H47" i="6287"/>
  <c r="C19" i="6287"/>
  <c r="H29" i="6287"/>
  <c r="H31" i="6287"/>
  <c r="H41" i="6287"/>
  <c r="H48" i="6287"/>
  <c r="H26" i="6287"/>
  <c r="H22" i="6287"/>
  <c r="H19" i="6287"/>
  <c r="C34" i="6287"/>
  <c r="C38" i="6287"/>
  <c r="C42" i="6287"/>
  <c r="H49" i="6287"/>
  <c r="H8" i="6287"/>
  <c r="C20" i="6287"/>
  <c r="H39" i="6287"/>
  <c r="H42" i="6287"/>
  <c r="H45" i="6287"/>
  <c r="H50" i="6287"/>
  <c r="B23" i="6287"/>
  <c r="H44" i="6287"/>
  <c r="H2" i="6287"/>
  <c r="H3" i="6287"/>
  <c r="H17" i="6287"/>
  <c r="H20" i="6287"/>
  <c r="H15" i="6287"/>
  <c r="H37" i="6287"/>
  <c r="H13" i="6287"/>
  <c r="H21" i="6287"/>
  <c r="C35" i="6287"/>
  <c r="C39" i="6287"/>
  <c r="C43" i="6287"/>
  <c r="H51" i="6287"/>
  <c r="C17" i="6287"/>
  <c r="C21" i="6287"/>
  <c r="H30" i="6287"/>
  <c r="H32" i="6287"/>
  <c r="H33" i="6287"/>
  <c r="H46" i="6287"/>
  <c r="H16" i="6287"/>
  <c r="H4" i="6287"/>
  <c r="H11" i="6287"/>
  <c r="H18" i="6287"/>
  <c r="H14" i="6287"/>
  <c r="H28" i="6287"/>
  <c r="C32" i="6287"/>
  <c r="C36" i="6287"/>
  <c r="C40" i="6287"/>
  <c r="C44" i="6287"/>
  <c r="H5" i="6287"/>
  <c r="H35" i="6287"/>
  <c r="C18" i="6287"/>
  <c r="B22" i="6287"/>
  <c r="H27" i="6287"/>
  <c r="H38" i="6287"/>
  <c r="H40" i="6287"/>
  <c r="H43" i="6287"/>
  <c r="H34" i="6287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<sst xmlns="http://schemas.openxmlformats.org/spreadsheetml/2006/main" count="3814" uniqueCount="293">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</sst>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全体!$K$2:$K$824</c:f>
              <c:numCache>
                <c:formatCode>General</c:formatCode>
                <c:ptCount val="8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</c:numCache>
            </c:numRef>
          </c:xVal>
          <c:yVal>
            <c:numRef>
              <c:f>全体!$L$2:$L$824</c:f>
              <c:numCache>
                <c:formatCode>\+0.0;\-0.0;\±0</c:formatCode>
                <c:ptCount val="823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C-4829-BE2E-74ED29529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-26.862026862026863</c:v>
                </c:pt>
                <c:pt idx="1">
                  <c:v>9.9132589838909535</c:v>
                </c:pt>
                <c:pt idx="2">
                  <c:v>-7.8740157480314963</c:v>
                </c:pt>
                <c:pt idx="3">
                  <c:v>11.111111111111111</c:v>
                </c:pt>
                <c:pt idx="4">
                  <c:v>3.0165912518853695</c:v>
                </c:pt>
                <c:pt idx="5">
                  <c:v>16.129032258064516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E1-4D67-AADF-EA656367C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160</c:v>
                </c:pt>
                <c:pt idx="1">
                  <c:v>343</c:v>
                </c:pt>
                <c:pt idx="2">
                  <c:v>400</c:v>
                </c:pt>
                <c:pt idx="3">
                  <c:v>361</c:v>
                </c:pt>
                <c:pt idx="4">
                  <c:v>320</c:v>
                </c:pt>
                <c:pt idx="5">
                  <c:v>217</c:v>
                </c:pt>
                <c:pt idx="6">
                  <c:v>110</c:v>
                </c:pt>
                <c:pt idx="7">
                  <c:v>56</c:v>
                </c:pt>
                <c:pt idx="8">
                  <c:v>27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2-4D4E-A86C-2C13FD38D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たかの!$L$2:$L$75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A-4C8D-B9B8-EBF6BA105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2147.9452054794519</c:v>
                </c:pt>
                <c:pt idx="1">
                  <c:v>-1718.0555555555557</c:v>
                </c:pt>
                <c:pt idx="2">
                  <c:v>-1652.8571428571429</c:v>
                </c:pt>
                <c:pt idx="3">
                  <c:v>-1203.030303030303</c:v>
                </c:pt>
                <c:pt idx="4">
                  <c:v>-190.76923076923077</c:v>
                </c:pt>
                <c:pt idx="5">
                  <c:v>-2245.6140350877195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33-46E0-BD3C-6C281CAF2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26</c:v>
                </c:pt>
                <c:pt idx="1">
                  <c:v>37</c:v>
                </c:pt>
                <c:pt idx="2">
                  <c:v>38</c:v>
                </c:pt>
                <c:pt idx="3">
                  <c:v>26</c:v>
                </c:pt>
                <c:pt idx="4">
                  <c:v>19</c:v>
                </c:pt>
                <c:pt idx="5">
                  <c:v>14</c:v>
                </c:pt>
                <c:pt idx="6">
                  <c:v>10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98-46F5-B84B-4AD779FBA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だいち!$K$2:$K$161</c:f>
              <c:numCache>
                <c:formatCode>General</c:formatCode>
                <c:ptCount val="1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</c:numCache>
            </c:numRef>
          </c:xVal>
          <c:yVal>
            <c:numRef>
              <c:f>だいち!$L$2:$L$161</c:f>
              <c:numCache>
                <c:formatCode>\+0.0;\-0.0;\±0</c:formatCode>
                <c:ptCount val="160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69-4674-9AB4-B90428BD2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1312.0253164556962</c:v>
                </c:pt>
                <c:pt idx="1">
                  <c:v>1080</c:v>
                </c:pt>
                <c:pt idx="2">
                  <c:v>765.77181208053696</c:v>
                </c:pt>
                <c:pt idx="3">
                  <c:v>376.25899280575538</c:v>
                </c:pt>
                <c:pt idx="4">
                  <c:v>1972.0930232558139</c:v>
                </c:pt>
                <c:pt idx="5">
                  <c:v>1879.047619047619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EE-4EAE-83AE-C34D265A9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42</c:v>
                </c:pt>
                <c:pt idx="1">
                  <c:v>84</c:v>
                </c:pt>
                <c:pt idx="2">
                  <c:v>92</c:v>
                </c:pt>
                <c:pt idx="3">
                  <c:v>82</c:v>
                </c:pt>
                <c:pt idx="4">
                  <c:v>63</c:v>
                </c:pt>
                <c:pt idx="5">
                  <c:v>41</c:v>
                </c:pt>
                <c:pt idx="6">
                  <c:v>23</c:v>
                </c:pt>
                <c:pt idx="7">
                  <c:v>6</c:v>
                </c:pt>
                <c:pt idx="8">
                  <c:v>10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6C-47FD-8426-D47072E24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ただ!$K$2:$K$141</c:f>
              <c:numCache>
                <c:formatCode>General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ただ!$L$2:$L$141</c:f>
              <c:numCache>
                <c:formatCode>\+0.0;\-0.0;\±0</c:formatCode>
                <c:ptCount val="140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60-4C2F-99BA-3A8E16B56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-1588.4057971014493</c:v>
                </c:pt>
                <c:pt idx="1">
                  <c:v>1443.3823529411766</c:v>
                </c:pt>
                <c:pt idx="2">
                  <c:v>-388</c:v>
                </c:pt>
                <c:pt idx="3">
                  <c:v>321.00840336134456</c:v>
                </c:pt>
                <c:pt idx="4">
                  <c:v>-931.48148148148152</c:v>
                </c:pt>
                <c:pt idx="5">
                  <c:v>1419.5652173913043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6C-4BDE-9C99-EC3A3D817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24</c:v>
                </c:pt>
                <c:pt idx="1">
                  <c:v>57</c:v>
                </c:pt>
                <c:pt idx="2">
                  <c:v>72</c:v>
                </c:pt>
                <c:pt idx="3">
                  <c:v>76</c:v>
                </c:pt>
                <c:pt idx="4">
                  <c:v>52</c:v>
                </c:pt>
                <c:pt idx="5">
                  <c:v>38</c:v>
                </c:pt>
                <c:pt idx="6">
                  <c:v>12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AB-40B4-8840-BB33542C3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りくと!$L$2:$L$95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F-48D9-834F-5AFC51A83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-309.78260869565219</c:v>
                </c:pt>
                <c:pt idx="1">
                  <c:v>-1053.2608695652175</c:v>
                </c:pt>
                <c:pt idx="2">
                  <c:v>647.67441860465112</c:v>
                </c:pt>
                <c:pt idx="3">
                  <c:v>-785.88235294117646</c:v>
                </c:pt>
                <c:pt idx="4">
                  <c:v>-3083.75</c:v>
                </c:pt>
                <c:pt idx="5">
                  <c:v>-1332.8571428571429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A6-49C6-B9A7-D63E139E0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16</c:v>
                </c:pt>
                <c:pt idx="1">
                  <c:v>39</c:v>
                </c:pt>
                <c:pt idx="2">
                  <c:v>49</c:v>
                </c:pt>
                <c:pt idx="3">
                  <c:v>33</c:v>
                </c:pt>
                <c:pt idx="4">
                  <c:v>36</c:v>
                </c:pt>
                <c:pt idx="5">
                  <c:v>23</c:v>
                </c:pt>
                <c:pt idx="6">
                  <c:v>13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3D-4074-8671-31D818FF9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れんたろう!$K$2:$K$114</c:f>
              <c:numCache>
                <c:formatCode>General</c:formatCode>
                <c:ptCount val="1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</c:numCache>
            </c:numRef>
          </c:xVal>
          <c:yVal>
            <c:numRef>
              <c:f>れんたろう!$L$2:$L$114</c:f>
              <c:numCache>
                <c:formatCode>\+0.0;\-0.0;\±0</c:formatCode>
                <c:ptCount val="113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E4-4104-81A5-97C1CBB1D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1386.6071428571429</c:v>
                </c:pt>
                <c:pt idx="1">
                  <c:v>-1337.2727272727273</c:v>
                </c:pt>
                <c:pt idx="2">
                  <c:v>521.78217821782175</c:v>
                </c:pt>
                <c:pt idx="3">
                  <c:v>2544.7916666666665</c:v>
                </c:pt>
                <c:pt idx="4">
                  <c:v>1118.6046511627908</c:v>
                </c:pt>
                <c:pt idx="5">
                  <c:v>472.05882352941177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D3-49A9-A8ED-141836A20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35</c:v>
                </c:pt>
                <c:pt idx="3">
                  <c:v>51</c:v>
                </c:pt>
                <c:pt idx="4">
                  <c:v>59</c:v>
                </c:pt>
                <c:pt idx="5">
                  <c:v>34</c:v>
                </c:pt>
                <c:pt idx="6">
                  <c:v>21</c:v>
                </c:pt>
                <c:pt idx="7">
                  <c:v>16</c:v>
                </c:pt>
                <c:pt idx="8">
                  <c:v>6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7E-4847-926A-7F94AB5F5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まっつん!$K$2:$K$129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まっつん!$L$2:$L$129</c:f>
              <c:numCache>
                <c:formatCode>\+0.0;\-0.0;\±0</c:formatCode>
                <c:ptCount val="12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87-418C-A984-365F16EB3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51.968503937007874</c:v>
                </c:pt>
                <c:pt idx="1">
                  <c:v>-17.741935483870968</c:v>
                </c:pt>
                <c:pt idx="2">
                  <c:v>213.5593220338983</c:v>
                </c:pt>
                <c:pt idx="3">
                  <c:v>153.7037037037037</c:v>
                </c:pt>
                <c:pt idx="4">
                  <c:v>-160.82474226804123</c:v>
                </c:pt>
                <c:pt idx="5">
                  <c:v>-1177.3809523809523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65-4F55-82B4-E5991AF1E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18</c:v>
                </c:pt>
                <c:pt idx="1">
                  <c:v>52</c:v>
                </c:pt>
                <c:pt idx="2">
                  <c:v>61</c:v>
                </c:pt>
                <c:pt idx="3">
                  <c:v>53</c:v>
                </c:pt>
                <c:pt idx="4">
                  <c:v>41</c:v>
                </c:pt>
                <c:pt idx="5">
                  <c:v>33</c:v>
                </c:pt>
                <c:pt idx="6">
                  <c:v>14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E5-4AA9-B39D-144BE07C5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のり!$L$2:$L$61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9-407F-992E-8A0BEBE69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-2438.9830508474574</c:v>
                </c:pt>
                <c:pt idx="1">
                  <c:v>564.40677966101691</c:v>
                </c:pt>
                <c:pt idx="2">
                  <c:v>-1310.5263157894738</c:v>
                </c:pt>
                <c:pt idx="3">
                  <c:v>-1750.9803921568628</c:v>
                </c:pt>
                <c:pt idx="4">
                  <c:v>-1802.0408163265306</c:v>
                </c:pt>
                <c:pt idx="5">
                  <c:v>-2182.9268292682927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4F-47C8-A893-2009A1F12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25</c:v>
                </c:pt>
                <c:pt idx="2">
                  <c:v>27</c:v>
                </c:pt>
                <c:pt idx="3">
                  <c:v>18</c:v>
                </c:pt>
                <c:pt idx="4">
                  <c:v>18</c:v>
                </c:pt>
                <c:pt idx="5">
                  <c:v>11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DF-442C-A290-88DC2E90A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A6-46D9-9773-A2F58DD28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6A-46A6-B73F-D255408CE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B1-449D-9858-E40BB783C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AE-4316-9B49-ED5DB23C7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3-4121-BDF4-C0F100419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C8-42D5-9F41-B70F62B8B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5-40E1-AE88-F44157585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4D-4C80-B2BB-85B1CA70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F7-44E5-BCC4-94D3C4C6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5-4609-A6BC-048FD1C5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-2923.0769230769229</c:v>
                </c:pt>
                <c:pt idx="1">
                  <c:v>-430.76923076923077</c:v>
                </c:pt>
                <c:pt idx="2">
                  <c:v>-2992.3076923076924</c:v>
                </c:pt>
                <c:pt idx="3">
                  <c:v>623.07692307692309</c:v>
                </c:pt>
                <c:pt idx="4">
                  <c:v>-827.27272727272725</c:v>
                </c:pt>
                <c:pt idx="5">
                  <c:v>4244.4444444444443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1-4F21-AB57-066C031F0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7B-4124-9BFB-4DFC1BE07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9-47BE-8B72-2AB77D4DA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E3-4A5F-AE7D-C2B1AEAEA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1-4BEE-AEB9-9ECDE1EAA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E5-4931-9047-F93ACA9B7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2A-4F84-98B1-9C334343B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C4-41BE-8BB2-3BBB3FCBB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ともき2!$B$1:$B$2</c:f>
              <c:strCache>
                <c:ptCount val="2"/>
                <c:pt idx="0">
                  <c:v>ともき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ともき2!$B$3:$B$16</c:f>
              <c:numCache>
                <c:formatCode>\+0.0;\-0.0;\±0</c:formatCode>
                <c:ptCount val="14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ともき2!$C$1:$C$2</c:f>
              <c:strCache>
                <c:ptCount val="2"/>
                <c:pt idx="0">
                  <c:v>ともき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ともき2!$C$3:$C$16</c:f>
              <c:numCache>
                <c:formatCode>\+0.0;\-0.0;\±0</c:formatCode>
                <c:ptCount val="14"/>
                <c:pt idx="1">
                  <c:v>17.600000000000001</c:v>
                </c:pt>
                <c:pt idx="2">
                  <c:v>13.9</c:v>
                </c:pt>
                <c:pt idx="3">
                  <c:v>6.8</c:v>
                </c:pt>
                <c:pt idx="4">
                  <c:v>13.275</c:v>
                </c:pt>
                <c:pt idx="5">
                  <c:v>5.7200000000000006</c:v>
                </c:pt>
                <c:pt idx="6">
                  <c:v>-2.9666666666666663</c:v>
                </c:pt>
                <c:pt idx="7">
                  <c:v>3.3000000000000003</c:v>
                </c:pt>
                <c:pt idx="8">
                  <c:v>5.1624999999999996</c:v>
                </c:pt>
                <c:pt idx="9">
                  <c:v>8.8555555555555543</c:v>
                </c:pt>
                <c:pt idx="10">
                  <c:v>8.61</c:v>
                </c:pt>
                <c:pt idx="11">
                  <c:v>4.9272727272727268</c:v>
                </c:pt>
                <c:pt idx="12">
                  <c:v>0.40833333333333321</c:v>
                </c:pt>
                <c:pt idx="13">
                  <c:v>-3.6615384615384619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186443326716059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ともき2!$D$1:$D$2</c:f>
              <c:strCache>
                <c:ptCount val="2"/>
                <c:pt idx="0">
                  <c:v>ともき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ともき2!$D$3:$D$16</c:f>
              <c:numCache>
                <c:formatCode>0.00\ "位"</c:formatCode>
                <c:ptCount val="14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1.8571428571428572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1.7</c:v>
                </c:pt>
                <c:pt idx="11">
                  <c:v>1.8181818181818181</c:v>
                </c:pt>
                <c:pt idx="12">
                  <c:v>1.9166666666666667</c:v>
                </c:pt>
                <c:pt idx="13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ともき2!$E$1:$E$2</c:f>
              <c:strCache>
                <c:ptCount val="2"/>
                <c:pt idx="0">
                  <c:v>ともき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ともき2!$E$3:$E$16</c:f>
              <c:numCache>
                <c:formatCode>0.0%</c:formatCode>
                <c:ptCount val="14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ともき2!$F$1:$F$2</c:f>
              <c:strCache>
                <c:ptCount val="2"/>
                <c:pt idx="0">
                  <c:v>ともき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ともき2!$F$3:$F$16</c:f>
              <c:numCache>
                <c:formatCode>0.0%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0.33333333333333331</c:v>
                </c:pt>
                <c:pt idx="13">
                  <c:v>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ともき2!$G$1:$G$2</c:f>
              <c:strCache>
                <c:ptCount val="2"/>
                <c:pt idx="0">
                  <c:v>ともき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ともき2!$G$3:$G$16</c:f>
              <c:numCache>
                <c:formatCode>0.0%</c:formatCode>
                <c:ptCount val="14"/>
                <c:pt idx="1">
                  <c:v>0.66666666666666663</c:v>
                </c:pt>
                <c:pt idx="2">
                  <c:v>0.47058823529411764</c:v>
                </c:pt>
                <c:pt idx="3">
                  <c:v>0.37931034482758619</c:v>
                </c:pt>
                <c:pt idx="4">
                  <c:v>0.39473684210526316</c:v>
                </c:pt>
                <c:pt idx="5">
                  <c:v>0.35555555555555557</c:v>
                </c:pt>
                <c:pt idx="6">
                  <c:v>0.32075471698113206</c:v>
                </c:pt>
                <c:pt idx="7">
                  <c:v>0.35</c:v>
                </c:pt>
                <c:pt idx="8">
                  <c:v>0.36764705882352944</c:v>
                </c:pt>
                <c:pt idx="9">
                  <c:v>0.39240506329113922</c:v>
                </c:pt>
                <c:pt idx="10">
                  <c:v>0.37777777777777777</c:v>
                </c:pt>
                <c:pt idx="11">
                  <c:v>0.38</c:v>
                </c:pt>
                <c:pt idx="12">
                  <c:v>0.37614678899082571</c:v>
                </c:pt>
                <c:pt idx="13">
                  <c:v>0.3559322033898305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671300318563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ともき2!$H$1:$H$2</c:f>
              <c:strCache>
                <c:ptCount val="2"/>
                <c:pt idx="0">
                  <c:v>ともき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ともき2!$H$3:$H$16</c:f>
              <c:numCache>
                <c:formatCode>0.0%</c:formatCode>
                <c:ptCount val="14"/>
                <c:pt idx="1">
                  <c:v>0.16666666666666666</c:v>
                </c:pt>
                <c:pt idx="2">
                  <c:v>5.8823529411764705E-2</c:v>
                </c:pt>
                <c:pt idx="3">
                  <c:v>6.8965517241379309E-2</c:v>
                </c:pt>
                <c:pt idx="4">
                  <c:v>7.8947368421052627E-2</c:v>
                </c:pt>
                <c:pt idx="5">
                  <c:v>8.8888888888888892E-2</c:v>
                </c:pt>
                <c:pt idx="6">
                  <c:v>0.11320754716981132</c:v>
                </c:pt>
                <c:pt idx="7">
                  <c:v>0.1</c:v>
                </c:pt>
                <c:pt idx="8">
                  <c:v>0.13235294117647059</c:v>
                </c:pt>
                <c:pt idx="9">
                  <c:v>0.12658227848101267</c:v>
                </c:pt>
                <c:pt idx="10">
                  <c:v>0.12222222222222222</c:v>
                </c:pt>
                <c:pt idx="11">
                  <c:v>0.13</c:v>
                </c:pt>
                <c:pt idx="12">
                  <c:v>0.14678899082568808</c:v>
                </c:pt>
                <c:pt idx="13">
                  <c:v>0.16949152542372881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757022878656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ともき2!$I$1:$I$2</c:f>
              <c:strCache>
                <c:ptCount val="2"/>
                <c:pt idx="0">
                  <c:v>ともき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ともき2!$I$3:$I$16</c:f>
              <c:numCache>
                <c:formatCode>0</c:formatCode>
                <c:ptCount val="14"/>
                <c:pt idx="1">
                  <c:v>3900</c:v>
                </c:pt>
                <c:pt idx="2">
                  <c:v>5575</c:v>
                </c:pt>
                <c:pt idx="3">
                  <c:v>6427.272727272727</c:v>
                </c:pt>
                <c:pt idx="4">
                  <c:v>6793.333333333333</c:v>
                </c:pt>
                <c:pt idx="5">
                  <c:v>6868.75</c:v>
                </c:pt>
                <c:pt idx="6">
                  <c:v>6935.2941176470586</c:v>
                </c:pt>
                <c:pt idx="7">
                  <c:v>7342.8571428571431</c:v>
                </c:pt>
                <c:pt idx="8">
                  <c:v>7608</c:v>
                </c:pt>
                <c:pt idx="9">
                  <c:v>7138.7096774193551</c:v>
                </c:pt>
                <c:pt idx="10">
                  <c:v>7147.0588235294117</c:v>
                </c:pt>
                <c:pt idx="11">
                  <c:v>6765.7894736842109</c:v>
                </c:pt>
                <c:pt idx="12">
                  <c:v>6531.707317073171</c:v>
                </c:pt>
                <c:pt idx="13">
                  <c:v>6407.1428571428569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62.26044226044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ともき2!$J$1:$J$2</c:f>
              <c:strCache>
                <c:ptCount val="2"/>
                <c:pt idx="0">
                  <c:v>ともき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ともき2!$J$3:$J$16</c:f>
              <c:numCache>
                <c:formatCode>0</c:formatCode>
                <c:ptCount val="14"/>
                <c:pt idx="1">
                  <c:v>-8000</c:v>
                </c:pt>
                <c:pt idx="2">
                  <c:v>-8000</c:v>
                </c:pt>
                <c:pt idx="3">
                  <c:v>-5600</c:v>
                </c:pt>
                <c:pt idx="4">
                  <c:v>-4700</c:v>
                </c:pt>
                <c:pt idx="5">
                  <c:v>-6525</c:v>
                </c:pt>
                <c:pt idx="6">
                  <c:v>-8500</c:v>
                </c:pt>
                <c:pt idx="7">
                  <c:v>-8500</c:v>
                </c:pt>
                <c:pt idx="8">
                  <c:v>-8477.7777777777774</c:v>
                </c:pt>
                <c:pt idx="9">
                  <c:v>-8150</c:v>
                </c:pt>
                <c:pt idx="10">
                  <c:v>-7990.909090909091</c:v>
                </c:pt>
                <c:pt idx="11">
                  <c:v>-7800</c:v>
                </c:pt>
                <c:pt idx="12">
                  <c:v>-8337.5</c:v>
                </c:pt>
                <c:pt idx="13">
                  <c:v>-8205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53.02491103202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ともき2!$K$1:$K$2</c:f>
              <c:strCache>
                <c:ptCount val="2"/>
                <c:pt idx="0">
                  <c:v>ともき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ともき2!$K$3:$K$16</c:f>
              <c:numCache>
                <c:formatCode>0.0%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489051094890510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ともき2!$L$1:$L$2</c:f>
              <c:strCache>
                <c:ptCount val="2"/>
                <c:pt idx="0">
                  <c:v>ともき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ともき2!$L$3:$L$16</c:f>
              <c:numCache>
                <c:formatCode>0.0%</c:formatCode>
                <c:ptCount val="14"/>
                <c:pt idx="1">
                  <c:v>0.66666666666666663</c:v>
                </c:pt>
                <c:pt idx="2">
                  <c:v>0.52941176470588236</c:v>
                </c:pt>
                <c:pt idx="3">
                  <c:v>0.37931034482758619</c:v>
                </c:pt>
                <c:pt idx="4">
                  <c:v>0.34210526315789475</c:v>
                </c:pt>
                <c:pt idx="5">
                  <c:v>0.31111111111111112</c:v>
                </c:pt>
                <c:pt idx="6">
                  <c:v>0.32075471698113206</c:v>
                </c:pt>
                <c:pt idx="7">
                  <c:v>0.35</c:v>
                </c:pt>
                <c:pt idx="8">
                  <c:v>0.36764705882352944</c:v>
                </c:pt>
                <c:pt idx="9">
                  <c:v>0.35443037974683544</c:v>
                </c:pt>
                <c:pt idx="10">
                  <c:v>0.35555555555555557</c:v>
                </c:pt>
                <c:pt idx="11">
                  <c:v>0.34</c:v>
                </c:pt>
                <c:pt idx="12">
                  <c:v>0.32110091743119268</c:v>
                </c:pt>
                <c:pt idx="13">
                  <c:v>0.30508474576271188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5864465682015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ともき2!$M$1:$M$2</c:f>
              <c:strCache>
                <c:ptCount val="2"/>
                <c:pt idx="0">
                  <c:v>ともき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ともき2!$M$3:$M$16</c:f>
              <c:numCache>
                <c:formatCode>0.0%</c:formatCode>
                <c:ptCount val="14"/>
                <c:pt idx="1">
                  <c:v>0</c:v>
                </c:pt>
                <c:pt idx="2">
                  <c:v>0.17647058823529413</c:v>
                </c:pt>
                <c:pt idx="3">
                  <c:v>0.13793103448275862</c:v>
                </c:pt>
                <c:pt idx="4">
                  <c:v>0.18421052631578946</c:v>
                </c:pt>
                <c:pt idx="5">
                  <c:v>0.15555555555555556</c:v>
                </c:pt>
                <c:pt idx="6">
                  <c:v>0.13207547169811321</c:v>
                </c:pt>
                <c:pt idx="7">
                  <c:v>0.11666666666666667</c:v>
                </c:pt>
                <c:pt idx="8">
                  <c:v>0.13235294117647059</c:v>
                </c:pt>
                <c:pt idx="9">
                  <c:v>0.12658227848101267</c:v>
                </c:pt>
                <c:pt idx="10">
                  <c:v>0.12222222222222222</c:v>
                </c:pt>
                <c:pt idx="11">
                  <c:v>0.12</c:v>
                </c:pt>
                <c:pt idx="12">
                  <c:v>0.12844036697247707</c:v>
                </c:pt>
                <c:pt idx="13">
                  <c:v>0.1271186440677966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786562409498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ともき2!$N$1:$N$2</c:f>
              <c:strCache>
                <c:ptCount val="2"/>
                <c:pt idx="0">
                  <c:v>ともき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ともき2!$N$3:$N$16</c:f>
              <c:numCache>
                <c:formatCode>0.0%</c:formatCode>
                <c:ptCount val="14"/>
                <c:pt idx="1">
                  <c:v>1</c:v>
                </c:pt>
                <c:pt idx="2">
                  <c:v>0.66666666666666663</c:v>
                </c:pt>
                <c:pt idx="3">
                  <c:v>0.63636363636363635</c:v>
                </c:pt>
                <c:pt idx="4">
                  <c:v>0.69230769230769229</c:v>
                </c:pt>
                <c:pt idx="5">
                  <c:v>0.7142857142857143</c:v>
                </c:pt>
                <c:pt idx="6">
                  <c:v>0.6470588235294118</c:v>
                </c:pt>
                <c:pt idx="7">
                  <c:v>0.7142857142857143</c:v>
                </c:pt>
                <c:pt idx="8">
                  <c:v>0.68</c:v>
                </c:pt>
                <c:pt idx="9">
                  <c:v>0.6785714285714286</c:v>
                </c:pt>
                <c:pt idx="10">
                  <c:v>0.65625</c:v>
                </c:pt>
                <c:pt idx="11">
                  <c:v>0.6470588235294118</c:v>
                </c:pt>
                <c:pt idx="12">
                  <c:v>0.62857142857142856</c:v>
                </c:pt>
                <c:pt idx="13">
                  <c:v>0.61111111111111116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1782682512733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ともき2!$O$1:$O$2</c:f>
              <c:strCache>
                <c:ptCount val="2"/>
                <c:pt idx="0">
                  <c:v>ともき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ともき2!$O$3:$O$16</c:f>
              <c:numCache>
                <c:formatCode>0.0%</c:formatCode>
                <c:ptCount val="14"/>
                <c:pt idx="1">
                  <c:v>0</c:v>
                </c:pt>
                <c:pt idx="2">
                  <c:v>0.66666666666666663</c:v>
                </c:pt>
                <c:pt idx="3">
                  <c:v>0.75</c:v>
                </c:pt>
                <c:pt idx="4">
                  <c:v>0.7142857142857143</c:v>
                </c:pt>
                <c:pt idx="5">
                  <c:v>0.7142857142857143</c:v>
                </c:pt>
                <c:pt idx="6">
                  <c:v>0.7142857142857143</c:v>
                </c:pt>
                <c:pt idx="7">
                  <c:v>0.7142857142857143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0.72727272727272729</c:v>
                </c:pt>
                <c:pt idx="11">
                  <c:v>0.75</c:v>
                </c:pt>
                <c:pt idx="12">
                  <c:v>0.7142857142857143</c:v>
                </c:pt>
                <c:pt idx="13">
                  <c:v>0.73333333333333328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3417721518987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ともき2!$P$1:$P$2</c:f>
              <c:strCache>
                <c:ptCount val="2"/>
                <c:pt idx="0">
                  <c:v>ともき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ともき2!$P$3:$P$16</c:f>
              <c:numCache>
                <c:formatCode>0.0%</c:formatCode>
                <c:ptCount val="14"/>
                <c:pt idx="1">
                  <c:v>0.25</c:v>
                </c:pt>
                <c:pt idx="2">
                  <c:v>0.125</c:v>
                </c:pt>
                <c:pt idx="3">
                  <c:v>0.36363636363636365</c:v>
                </c:pt>
                <c:pt idx="4">
                  <c:v>0.4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0.38095238095238093</c:v>
                </c:pt>
                <c:pt idx="8">
                  <c:v>0.44</c:v>
                </c:pt>
                <c:pt idx="9">
                  <c:v>0.4838709677419355</c:v>
                </c:pt>
                <c:pt idx="10">
                  <c:v>0.47058823529411764</c:v>
                </c:pt>
                <c:pt idx="11">
                  <c:v>0.5</c:v>
                </c:pt>
                <c:pt idx="12">
                  <c:v>0.51219512195121952</c:v>
                </c:pt>
                <c:pt idx="1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2260442260442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86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282</v>
      </c>
      <c r="B76" s="29">
        <v>43809.906898148147</v>
      </c>
      <c r="C76" s="28" t="s">
        <v>128</v>
      </c>
    </row>
    <row r="77" spans="1:12" x14ac:dyDescent="0.45">
      <c r="A77" s="28" t="s">
        <v>283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285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284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286</v>
      </c>
      <c r="B80" s="29">
        <v>43812.000752314816</v>
      </c>
      <c r="C80" s="28" t="s">
        <v>128</v>
      </c>
    </row>
    <row r="81" spans="1:6" x14ac:dyDescent="0.45">
      <c r="A81" s="28" t="s">
        <v>287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6" x14ac:dyDescent="0.45">
      <c r="A82" s="28" t="s">
        <v>288</v>
      </c>
      <c r="B82" s="29">
        <v>43814.578449074077</v>
      </c>
      <c r="C82" s="28" t="s">
        <v>128</v>
      </c>
    </row>
    <row r="83" spans="1:6" x14ac:dyDescent="0.45">
      <c r="A83" s="28" t="s">
        <v>289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6" x14ac:dyDescent="0.45">
      <c r="A84" s="28" t="s">
        <v>290</v>
      </c>
      <c r="B84" s="29">
        <v>43818.430601851855</v>
      </c>
      <c r="C84" s="28" t="s">
        <v>128</v>
      </c>
      <c r="D84" s="28" t="s">
        <v>129</v>
      </c>
    </row>
    <row r="85" spans="1:6" x14ac:dyDescent="0.45">
      <c r="A85" s="28" t="s">
        <v>291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6" x14ac:dyDescent="0.45">
      <c r="A86" s="28" t="s">
        <v>292</v>
      </c>
      <c r="B86" s="29">
        <v>43819.091747685183</v>
      </c>
      <c r="C86" s="28" t="s">
        <v>128</v>
      </c>
      <c r="D86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822</v>
      </c>
    </row>
    <row r="2" spans="1:2" x14ac:dyDescent="0.45">
      <c r="A2" t="s">
        <v>161</v>
      </c>
      <c r="B2">
        <v>73</v>
      </c>
    </row>
    <row r="3" spans="1:2" x14ac:dyDescent="0.45">
      <c r="A3" t="s">
        <v>126</v>
      </c>
      <c r="B3">
        <v>159</v>
      </c>
    </row>
    <row r="4" spans="1:2" x14ac:dyDescent="0.45">
      <c r="A4" t="s">
        <v>127</v>
      </c>
      <c r="B4">
        <v>139</v>
      </c>
    </row>
    <row r="5" spans="1:2" x14ac:dyDescent="0.45">
      <c r="A5" t="s">
        <v>172</v>
      </c>
      <c r="B5">
        <v>93</v>
      </c>
    </row>
    <row r="6" spans="1:2" x14ac:dyDescent="0.45">
      <c r="A6" t="s">
        <v>170</v>
      </c>
      <c r="B6">
        <v>112</v>
      </c>
    </row>
    <row r="7" spans="1:2" x14ac:dyDescent="0.45">
      <c r="A7" t="s">
        <v>171</v>
      </c>
      <c r="B7">
        <v>127</v>
      </c>
    </row>
    <row r="8" spans="1:2" x14ac:dyDescent="0.45">
      <c r="A8" t="s">
        <v>197</v>
      </c>
      <c r="B8">
        <v>59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13</v>
      </c>
    </row>
    <row r="13" spans="1:2" x14ac:dyDescent="0.45">
      <c r="A13" t="s">
        <v>281</v>
      </c>
      <c r="B13">
        <v>8</v>
      </c>
    </row>
    <row r="14" spans="1:2" x14ac:dyDescent="0.45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 x14ac:dyDescent="0.45">
      <c r="A2" s="68" t="s">
        <v>154</v>
      </c>
      <c r="B2" s="166"/>
      <c r="C2" s="167"/>
      <c r="D2" s="166"/>
      <c r="E2" s="167"/>
      <c r="F2" s="162">
        <v>0.96400785636191788</v>
      </c>
      <c r="G2" s="163"/>
      <c r="H2" s="162">
        <v>0.826246012384937</v>
      </c>
      <c r="I2" s="163"/>
      <c r="J2" s="162">
        <v>0.90839756680767469</v>
      </c>
      <c r="K2" s="163"/>
      <c r="L2" s="162">
        <v>0.47258025027605655</v>
      </c>
      <c r="M2" s="163"/>
      <c r="N2" s="162">
        <v>0.52711931441846949</v>
      </c>
      <c r="O2" s="163"/>
      <c r="P2" s="162">
        <v>0.53818187296278452</v>
      </c>
      <c r="Q2" s="163"/>
      <c r="R2" s="162">
        <v>0.19726804533964229</v>
      </c>
      <c r="S2" s="163"/>
      <c r="T2" s="162">
        <v>0.40551964875020208</v>
      </c>
      <c r="U2" s="163"/>
      <c r="V2" s="162">
        <v>0.47739952619967441</v>
      </c>
      <c r="W2" s="163"/>
      <c r="X2" s="162">
        <v>6.2541752805495487E-3</v>
      </c>
      <c r="Y2" s="163"/>
      <c r="Z2" s="162">
        <v>0.3084178922416046</v>
      </c>
      <c r="AA2" s="163"/>
      <c r="AB2" s="162">
        <v>-7.0459492742848341E-4</v>
      </c>
      <c r="AC2" s="163"/>
      <c r="AD2" s="162">
        <v>-6.4034716248275517E-2</v>
      </c>
      <c r="AE2" s="163"/>
      <c r="AF2" s="162">
        <v>0.8473989568254926</v>
      </c>
      <c r="AG2" s="163"/>
    </row>
    <row r="3" spans="1:33" x14ac:dyDescent="0.45">
      <c r="A3" s="70">
        <v>1</v>
      </c>
      <c r="B3" s="71" t="s">
        <v>126</v>
      </c>
      <c r="C3" s="72">
        <v>1345.9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10779.536679536679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616.4000000000002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0.25157232704402516</v>
      </c>
      <c r="L4" s="81" t="s">
        <v>281</v>
      </c>
      <c r="M4" s="84">
        <v>0.37681159420289856</v>
      </c>
      <c r="N4" s="81" t="s">
        <v>126</v>
      </c>
      <c r="O4" s="84">
        <v>0.13159908186687069</v>
      </c>
      <c r="P4" s="81" t="s">
        <v>281</v>
      </c>
      <c r="Q4" s="85">
        <v>9534.6153846153848</v>
      </c>
      <c r="R4" s="81" t="s">
        <v>171</v>
      </c>
      <c r="S4" s="85">
        <v>-7157.2413793103451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0.61111111111111116</v>
      </c>
      <c r="AB4" s="81" t="s">
        <v>274</v>
      </c>
      <c r="AC4" s="84">
        <v>0.73333333333333328</v>
      </c>
      <c r="AD4" s="81" t="s">
        <v>274</v>
      </c>
      <c r="AE4" s="84">
        <v>0.5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281</v>
      </c>
      <c r="C5" s="80">
        <v>106.5</v>
      </c>
      <c r="D5" s="81" t="s">
        <v>126</v>
      </c>
      <c r="E5" s="93">
        <v>8.4647798742138374</v>
      </c>
      <c r="F5" s="81" t="s">
        <v>126</v>
      </c>
      <c r="G5" s="82">
        <v>1.7924528301886793</v>
      </c>
      <c r="H5" s="81" t="s">
        <v>126</v>
      </c>
      <c r="I5" s="83">
        <v>0.45911949685534592</v>
      </c>
      <c r="J5" s="81" t="s">
        <v>170</v>
      </c>
      <c r="K5" s="83">
        <v>0.29464285714285715</v>
      </c>
      <c r="L5" s="81" t="s">
        <v>274</v>
      </c>
      <c r="M5" s="84">
        <v>0.3559322033898305</v>
      </c>
      <c r="N5" s="81" t="s">
        <v>171</v>
      </c>
      <c r="O5" s="84">
        <v>0.13996138996138996</v>
      </c>
      <c r="P5" s="81" t="s">
        <v>280</v>
      </c>
      <c r="Q5" s="85">
        <v>8512.5</v>
      </c>
      <c r="R5" s="81" t="s">
        <v>126</v>
      </c>
      <c r="S5" s="85">
        <v>-7604.0697674418607</v>
      </c>
      <c r="T5" s="81" t="s">
        <v>126</v>
      </c>
      <c r="U5" s="83">
        <v>4.40251572327044E-2</v>
      </c>
      <c r="V5" s="81" t="s">
        <v>170</v>
      </c>
      <c r="W5" s="84">
        <v>0.31406761177753545</v>
      </c>
      <c r="X5" s="81" t="s">
        <v>127</v>
      </c>
      <c r="Y5" s="84">
        <v>0.30017152658662094</v>
      </c>
      <c r="Z5" s="81" t="s">
        <v>126</v>
      </c>
      <c r="AA5" s="84">
        <v>0.59885386819484243</v>
      </c>
      <c r="AB5" s="81" t="s">
        <v>126</v>
      </c>
      <c r="AC5" s="84">
        <v>0.49508196721311476</v>
      </c>
      <c r="AD5" s="81" t="s">
        <v>170</v>
      </c>
      <c r="AE5" s="84">
        <v>0.49806949806949807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127</v>
      </c>
      <c r="C6" s="80">
        <v>32.099999999999817</v>
      </c>
      <c r="D6" s="81" t="s">
        <v>170</v>
      </c>
      <c r="E6" s="93">
        <v>5.5035714285714308</v>
      </c>
      <c r="F6" s="81" t="s">
        <v>170</v>
      </c>
      <c r="G6" s="82">
        <v>1.875</v>
      </c>
      <c r="H6" s="81" t="s">
        <v>228</v>
      </c>
      <c r="I6" s="83">
        <v>0.42857142857142855</v>
      </c>
      <c r="J6" s="81" t="s">
        <v>127</v>
      </c>
      <c r="K6" s="83">
        <v>0.29496402877697842</v>
      </c>
      <c r="L6" s="81" t="s">
        <v>126</v>
      </c>
      <c r="M6" s="84">
        <v>0.34429992348890587</v>
      </c>
      <c r="N6" s="81" t="s">
        <v>161</v>
      </c>
      <c r="O6" s="84">
        <v>0.15620214395099541</v>
      </c>
      <c r="P6" s="81" t="s">
        <v>196</v>
      </c>
      <c r="Q6" s="85">
        <v>8385.7142857142862</v>
      </c>
      <c r="R6" s="81" t="s">
        <v>172</v>
      </c>
      <c r="S6" s="85">
        <v>-7630.3448275862065</v>
      </c>
      <c r="T6" s="81" t="s">
        <v>161</v>
      </c>
      <c r="U6" s="83">
        <v>6.8493150684931503E-2</v>
      </c>
      <c r="V6" s="81" t="s">
        <v>274</v>
      </c>
      <c r="W6" s="84">
        <v>0.30508474576271188</v>
      </c>
      <c r="X6" s="81" t="s">
        <v>161</v>
      </c>
      <c r="Y6" s="84">
        <v>0.25267993874425726</v>
      </c>
      <c r="Z6" s="81" t="s">
        <v>196</v>
      </c>
      <c r="AA6" s="84">
        <v>0.59677419354838712</v>
      </c>
      <c r="AB6" s="81" t="s">
        <v>281</v>
      </c>
      <c r="AC6" s="84">
        <v>0.45454545454545453</v>
      </c>
      <c r="AD6" s="81" t="s">
        <v>172</v>
      </c>
      <c r="AE6" s="84">
        <v>0.46330275229357798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203</v>
      </c>
      <c r="C7" s="80">
        <v>26.2</v>
      </c>
      <c r="D7" s="81" t="s">
        <v>127</v>
      </c>
      <c r="E7" s="93">
        <v>0.23093525179855984</v>
      </c>
      <c r="F7" s="81" t="s">
        <v>127</v>
      </c>
      <c r="G7" s="82">
        <v>1.9568345323741008</v>
      </c>
      <c r="H7" s="81" t="s">
        <v>170</v>
      </c>
      <c r="I7" s="83">
        <v>0.41964285714285715</v>
      </c>
      <c r="J7" s="81" t="s">
        <v>171</v>
      </c>
      <c r="K7" s="83">
        <v>0.31496062992125984</v>
      </c>
      <c r="L7" s="81" t="s">
        <v>127</v>
      </c>
      <c r="M7" s="84">
        <v>0.30102915951972553</v>
      </c>
      <c r="N7" s="81" t="s">
        <v>141</v>
      </c>
      <c r="O7" s="84">
        <v>0.16275702287865623</v>
      </c>
      <c r="P7" s="81" t="s">
        <v>127</v>
      </c>
      <c r="Q7" s="85">
        <v>8363.5327635327631</v>
      </c>
      <c r="R7" s="81" t="s">
        <v>141</v>
      </c>
      <c r="S7" s="85">
        <v>-7753.0249110320283</v>
      </c>
      <c r="T7" s="81" t="s">
        <v>171</v>
      </c>
      <c r="U7" s="83">
        <v>7.0866141732283464E-2</v>
      </c>
      <c r="V7" s="81" t="s">
        <v>172</v>
      </c>
      <c r="W7" s="84">
        <v>0.27763819095477388</v>
      </c>
      <c r="X7" s="81" t="s">
        <v>126</v>
      </c>
      <c r="Y7" s="84">
        <v>0.23335883703136956</v>
      </c>
      <c r="Z7" s="81" t="s">
        <v>170</v>
      </c>
      <c r="AA7" s="84">
        <v>0.55208333333333337</v>
      </c>
      <c r="AB7" s="81" t="s">
        <v>171</v>
      </c>
      <c r="AC7" s="84">
        <v>0.43043478260869567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141</v>
      </c>
      <c r="C8" s="80">
        <v>-4.2632564145606011E-14</v>
      </c>
      <c r="D8" s="81" t="s">
        <v>141</v>
      </c>
      <c r="E8" s="93">
        <v>-5.1864433267160596E-17</v>
      </c>
      <c r="F8" s="81" t="s">
        <v>274</v>
      </c>
      <c r="G8" s="82">
        <v>2</v>
      </c>
      <c r="H8" s="81" t="s">
        <v>274</v>
      </c>
      <c r="I8" s="83">
        <v>0.38461538461538464</v>
      </c>
      <c r="J8" s="81" t="s">
        <v>141</v>
      </c>
      <c r="K8" s="83">
        <v>0.33333333333333331</v>
      </c>
      <c r="L8" s="81" t="s">
        <v>141</v>
      </c>
      <c r="M8" s="84">
        <v>0.29467130031856359</v>
      </c>
      <c r="N8" s="81" t="s">
        <v>274</v>
      </c>
      <c r="O8" s="84">
        <v>0.16949152542372881</v>
      </c>
      <c r="P8" s="81" t="s">
        <v>141</v>
      </c>
      <c r="Q8" s="85">
        <v>8362.2604422604418</v>
      </c>
      <c r="R8" s="81" t="s">
        <v>161</v>
      </c>
      <c r="S8" s="85">
        <v>-7789.2156862745096</v>
      </c>
      <c r="T8" s="81" t="s">
        <v>172</v>
      </c>
      <c r="U8" s="83">
        <v>7.5268817204301078E-2</v>
      </c>
      <c r="V8" s="81" t="s">
        <v>171</v>
      </c>
      <c r="W8" s="84">
        <v>0.2673745173745174</v>
      </c>
      <c r="X8" s="81" t="s">
        <v>197</v>
      </c>
      <c r="Y8" s="84">
        <v>0.23203285420944558</v>
      </c>
      <c r="Z8" s="81" t="s">
        <v>141</v>
      </c>
      <c r="AA8" s="84">
        <v>0.55178268251273344</v>
      </c>
      <c r="AB8" s="81" t="s">
        <v>197</v>
      </c>
      <c r="AC8" s="84">
        <v>0.4247787610619469</v>
      </c>
      <c r="AD8" s="81" t="s">
        <v>197</v>
      </c>
      <c r="AE8" s="84">
        <v>0.453125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196</v>
      </c>
      <c r="C9" s="80">
        <v>-45.7</v>
      </c>
      <c r="D9" s="81" t="s">
        <v>171</v>
      </c>
      <c r="E9" s="93">
        <v>-1.0433070866141732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281</v>
      </c>
      <c r="K9" s="83">
        <v>0.375</v>
      </c>
      <c r="L9" s="81" t="s">
        <v>170</v>
      </c>
      <c r="M9" s="84">
        <v>0.28244274809160308</v>
      </c>
      <c r="N9" s="81" t="s">
        <v>170</v>
      </c>
      <c r="O9" s="84">
        <v>0.17121046892039257</v>
      </c>
      <c r="P9" s="81" t="s">
        <v>171</v>
      </c>
      <c r="Q9" s="85">
        <v>8278.5467128027685</v>
      </c>
      <c r="R9" s="81" t="s">
        <v>127</v>
      </c>
      <c r="S9" s="85">
        <v>-7917.6744186046508</v>
      </c>
      <c r="T9" s="81" t="s">
        <v>141</v>
      </c>
      <c r="U9" s="83">
        <v>9.4890510948905105E-2</v>
      </c>
      <c r="V9" s="81" t="s">
        <v>126</v>
      </c>
      <c r="W9" s="84">
        <v>0.26702371843917366</v>
      </c>
      <c r="X9" s="81" t="s">
        <v>141</v>
      </c>
      <c r="Y9" s="84">
        <v>0.22878656240949899</v>
      </c>
      <c r="Z9" s="81" t="s">
        <v>171</v>
      </c>
      <c r="AA9" s="84">
        <v>0.54512635379061369</v>
      </c>
      <c r="AB9" s="81" t="s">
        <v>141</v>
      </c>
      <c r="AC9" s="84">
        <v>0.42341772151898732</v>
      </c>
      <c r="AD9" s="81" t="s">
        <v>171</v>
      </c>
      <c r="AE9" s="84">
        <v>0.44636678200692043</v>
      </c>
      <c r="AF9" s="81" t="s">
        <v>161</v>
      </c>
      <c r="AG9" s="88">
        <v>86900</v>
      </c>
    </row>
    <row r="10" spans="1:33" x14ac:dyDescent="0.45">
      <c r="A10" s="78">
        <v>8</v>
      </c>
      <c r="B10" s="79" t="s">
        <v>274</v>
      </c>
      <c r="C10" s="80">
        <v>-47.6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127</v>
      </c>
      <c r="I10" s="83">
        <v>0.33812949640287771</v>
      </c>
      <c r="J10" s="81" t="s">
        <v>274</v>
      </c>
      <c r="K10" s="83">
        <v>0.38461538461538464</v>
      </c>
      <c r="L10" s="81" t="s">
        <v>171</v>
      </c>
      <c r="M10" s="84">
        <v>0.27895752895752896</v>
      </c>
      <c r="N10" s="81" t="s">
        <v>196</v>
      </c>
      <c r="O10" s="84">
        <v>0.17499999999999999</v>
      </c>
      <c r="P10" s="81" t="s">
        <v>126</v>
      </c>
      <c r="Q10" s="85">
        <v>8114.4444444444443</v>
      </c>
      <c r="R10" s="81" t="s">
        <v>280</v>
      </c>
      <c r="S10" s="85">
        <v>-7987.5</v>
      </c>
      <c r="T10" s="81" t="s">
        <v>170</v>
      </c>
      <c r="U10" s="83">
        <v>9.8214285714285712E-2</v>
      </c>
      <c r="V10" s="81" t="s">
        <v>203</v>
      </c>
      <c r="W10" s="84">
        <v>0.26666666666666666</v>
      </c>
      <c r="X10" s="81" t="s">
        <v>171</v>
      </c>
      <c r="Y10" s="84">
        <v>0.22200772200772201</v>
      </c>
      <c r="Z10" s="81" t="s">
        <v>172</v>
      </c>
      <c r="AA10" s="84">
        <v>0.54298642533936647</v>
      </c>
      <c r="AB10" s="81" t="s">
        <v>172</v>
      </c>
      <c r="AC10" s="84">
        <v>0.41509433962264153</v>
      </c>
      <c r="AD10" s="81" t="s">
        <v>141</v>
      </c>
      <c r="AE10" s="84">
        <v>0.44226044226044225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280</v>
      </c>
      <c r="C11" s="80">
        <v>-80.800000000000011</v>
      </c>
      <c r="D11" s="81" t="s">
        <v>274</v>
      </c>
      <c r="E11" s="93">
        <v>-3.6615384615384619</v>
      </c>
      <c r="F11" s="81" t="s">
        <v>171</v>
      </c>
      <c r="G11" s="82">
        <v>2.0787401574803148</v>
      </c>
      <c r="H11" s="81" t="s">
        <v>141</v>
      </c>
      <c r="I11" s="83">
        <v>0.33333333333333331</v>
      </c>
      <c r="J11" s="81" t="s">
        <v>172</v>
      </c>
      <c r="K11" s="83">
        <v>0.38709677419354838</v>
      </c>
      <c r="L11" s="81" t="s">
        <v>161</v>
      </c>
      <c r="M11" s="84">
        <v>0.27411944869831545</v>
      </c>
      <c r="N11" s="81" t="s">
        <v>172</v>
      </c>
      <c r="O11" s="84">
        <v>0.18216080402010051</v>
      </c>
      <c r="P11" s="81" t="s">
        <v>197</v>
      </c>
      <c r="Q11" s="85">
        <v>7987.5</v>
      </c>
      <c r="R11" s="81" t="s">
        <v>203</v>
      </c>
      <c r="S11" s="85">
        <v>-8000</v>
      </c>
      <c r="T11" s="81" t="s">
        <v>196</v>
      </c>
      <c r="U11" s="83">
        <v>0.12</v>
      </c>
      <c r="V11" s="81" t="s">
        <v>196</v>
      </c>
      <c r="W11" s="84">
        <v>0.25833333333333336</v>
      </c>
      <c r="X11" s="81" t="s">
        <v>172</v>
      </c>
      <c r="Y11" s="84">
        <v>0.19974874371859297</v>
      </c>
      <c r="Z11" s="81" t="s">
        <v>197</v>
      </c>
      <c r="AA11" s="84">
        <v>0.53846153846153844</v>
      </c>
      <c r="AB11" s="81" t="s">
        <v>161</v>
      </c>
      <c r="AC11" s="84">
        <v>0.40606060606060607</v>
      </c>
      <c r="AD11" s="81" t="s">
        <v>161</v>
      </c>
      <c r="AE11" s="84">
        <v>0.41899441340782123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228</v>
      </c>
      <c r="C12" s="80">
        <v>-104.80000000000001</v>
      </c>
      <c r="D12" s="81" t="s">
        <v>161</v>
      </c>
      <c r="E12" s="93">
        <v>-6.3082191780821955</v>
      </c>
      <c r="F12" s="81" t="s">
        <v>161</v>
      </c>
      <c r="G12" s="82">
        <v>2.1369863013698631</v>
      </c>
      <c r="H12" s="81" t="s">
        <v>161</v>
      </c>
      <c r="I12" s="83">
        <v>0.31506849315068491</v>
      </c>
      <c r="J12" s="81" t="s">
        <v>196</v>
      </c>
      <c r="K12" s="83">
        <v>0.4</v>
      </c>
      <c r="L12" s="81" t="s">
        <v>172</v>
      </c>
      <c r="M12" s="84">
        <v>0.27386934673366836</v>
      </c>
      <c r="N12" s="81" t="s">
        <v>197</v>
      </c>
      <c r="O12" s="84">
        <v>0.18275154004106775</v>
      </c>
      <c r="P12" s="81" t="s">
        <v>172</v>
      </c>
      <c r="Q12" s="85">
        <v>7760.5504587155965</v>
      </c>
      <c r="R12" s="81" t="s">
        <v>170</v>
      </c>
      <c r="S12" s="85">
        <v>-8036.9426751592355</v>
      </c>
      <c r="T12" s="81" t="s">
        <v>127</v>
      </c>
      <c r="U12" s="83">
        <v>0.12949640287769784</v>
      </c>
      <c r="V12" s="81" t="s">
        <v>141</v>
      </c>
      <c r="W12" s="84">
        <v>0.25586446568201565</v>
      </c>
      <c r="X12" s="81" t="s">
        <v>170</v>
      </c>
      <c r="Y12" s="84">
        <v>0.17775354416575789</v>
      </c>
      <c r="Z12" s="81" t="s">
        <v>228</v>
      </c>
      <c r="AA12" s="84">
        <v>0.53333333333333333</v>
      </c>
      <c r="AB12" s="81" t="s">
        <v>170</v>
      </c>
      <c r="AC12" s="84">
        <v>0.3987730061349693</v>
      </c>
      <c r="AD12" s="81" t="s">
        <v>126</v>
      </c>
      <c r="AE12" s="84">
        <v>0.41333333333333333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171</v>
      </c>
      <c r="C13" s="80">
        <v>-132.5</v>
      </c>
      <c r="D13" s="81" t="s">
        <v>172</v>
      </c>
      <c r="E13" s="93">
        <v>-6.7505376344086017</v>
      </c>
      <c r="F13" s="81" t="s">
        <v>228</v>
      </c>
      <c r="G13" s="82">
        <v>2.1428571428571428</v>
      </c>
      <c r="H13" s="81" t="s">
        <v>171</v>
      </c>
      <c r="I13" s="83">
        <v>0.23622047244094488</v>
      </c>
      <c r="J13" s="81" t="s">
        <v>280</v>
      </c>
      <c r="K13" s="83">
        <v>0.4</v>
      </c>
      <c r="L13" s="81" t="s">
        <v>197</v>
      </c>
      <c r="M13" s="84">
        <v>0.26283367556468173</v>
      </c>
      <c r="N13" s="81" t="s">
        <v>127</v>
      </c>
      <c r="O13" s="84">
        <v>0.18439108061749571</v>
      </c>
      <c r="P13" s="81" t="s">
        <v>228</v>
      </c>
      <c r="Q13" s="85">
        <v>7473.333333333333</v>
      </c>
      <c r="R13" s="81" t="s">
        <v>274</v>
      </c>
      <c r="S13" s="85">
        <v>-8205</v>
      </c>
      <c r="T13" s="81" t="s">
        <v>197</v>
      </c>
      <c r="U13" s="83">
        <v>0.16949152542372881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161</v>
      </c>
      <c r="AA13" s="84">
        <v>0.52083333333333337</v>
      </c>
      <c r="AB13" s="81" t="s">
        <v>127</v>
      </c>
      <c r="AC13" s="84">
        <v>0.37714285714285717</v>
      </c>
      <c r="AD13" s="81" t="s">
        <v>127</v>
      </c>
      <c r="AE13" s="84">
        <v>0.41025641025641024</v>
      </c>
      <c r="AF13" s="81" t="s">
        <v>274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-460.50000000000028</v>
      </c>
      <c r="D14" s="81" t="s">
        <v>197</v>
      </c>
      <c r="E14" s="93">
        <v>-10.633898305084747</v>
      </c>
      <c r="F14" s="81" t="s">
        <v>172</v>
      </c>
      <c r="G14" s="82">
        <v>2.172043010752688</v>
      </c>
      <c r="H14" s="81" t="s">
        <v>172</v>
      </c>
      <c r="I14" s="83">
        <v>0.21505376344086022</v>
      </c>
      <c r="J14" s="81" t="s">
        <v>161</v>
      </c>
      <c r="K14" s="83">
        <v>0.45205479452054792</v>
      </c>
      <c r="L14" s="81" t="s">
        <v>196</v>
      </c>
      <c r="M14" s="84">
        <v>0.26250000000000001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-8258.4269662921342</v>
      </c>
      <c r="T14" s="81" t="s">
        <v>280</v>
      </c>
      <c r="U14" s="83">
        <v>0.2</v>
      </c>
      <c r="V14" s="81" t="s">
        <v>127</v>
      </c>
      <c r="W14" s="84">
        <v>0.23327615780445971</v>
      </c>
      <c r="X14" s="81" t="s">
        <v>196</v>
      </c>
      <c r="Y14" s="84">
        <v>0.15</v>
      </c>
      <c r="Z14" s="81" t="s">
        <v>127</v>
      </c>
      <c r="AA14" s="84">
        <v>0.5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5">
      <c r="A15" s="78">
        <v>13</v>
      </c>
      <c r="B15" s="79" t="s">
        <v>197</v>
      </c>
      <c r="C15" s="80">
        <v>-627.40000000000009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197</v>
      </c>
      <c r="K15" s="83">
        <v>0.4576271186440678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7007.2625698324018</v>
      </c>
      <c r="R15" s="81" t="s">
        <v>281</v>
      </c>
      <c r="S15" s="85">
        <v>-8437.5</v>
      </c>
      <c r="T15" s="81" t="s">
        <v>274</v>
      </c>
      <c r="U15" s="83">
        <v>0.23076923076923078</v>
      </c>
      <c r="V15" s="81" t="s">
        <v>197</v>
      </c>
      <c r="W15" s="84">
        <v>0.2135523613963039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172</v>
      </c>
      <c r="C16" s="80">
        <v>-627.79999999999995</v>
      </c>
      <c r="D16" s="81" t="s">
        <v>280</v>
      </c>
      <c r="E16" s="93">
        <v>-16.160000000000004</v>
      </c>
      <c r="F16" s="81" t="s">
        <v>197</v>
      </c>
      <c r="G16" s="82">
        <v>2.2881355932203391</v>
      </c>
      <c r="H16" s="81" t="s">
        <v>197</v>
      </c>
      <c r="I16" s="83">
        <v>0.16949152542372881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6407.1428571428569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0.14701378254211334</v>
      </c>
      <c r="X16" s="81" t="s">
        <v>274</v>
      </c>
      <c r="Y16" s="84">
        <v>0.1271186440677966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4076-27D6-4B40-91E6-5E64137BA194}">
  <sheetPr codeName="Sheet4"/>
  <dimension ref="A1:Q82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822</v>
      </c>
      <c r="C2" s="155"/>
      <c r="E2" s="58" t="s">
        <v>66</v>
      </c>
      <c r="F2" s="55" t="s">
        <v>22</v>
      </c>
      <c r="G2" s="43">
        <v>1543</v>
      </c>
      <c r="H2" s="128">
        <f>IF(B$15=0,0,G2/B$15)</f>
        <v>0.75823095823095821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-26.862026862026863</v>
      </c>
      <c r="P2" s="114">
        <v>819</v>
      </c>
      <c r="Q2" s="98">
        <v>-22000</v>
      </c>
    </row>
    <row r="3" spans="1:17" x14ac:dyDescent="0.45">
      <c r="A3" s="51" t="s">
        <v>8</v>
      </c>
      <c r="B3" s="156">
        <v>6906</v>
      </c>
      <c r="C3" s="157"/>
      <c r="E3" s="59" t="s">
        <v>72</v>
      </c>
      <c r="F3" s="56" t="s">
        <v>27</v>
      </c>
      <c r="G3" s="44">
        <v>1090</v>
      </c>
      <c r="H3" s="129">
        <f>IF(B$15=0,0,G3/B$15)</f>
        <v>0.53562653562653562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9.9132589838909535</v>
      </c>
      <c r="P3" s="115">
        <v>807</v>
      </c>
      <c r="Q3" s="99">
        <v>8000</v>
      </c>
    </row>
    <row r="4" spans="1:17" x14ac:dyDescent="0.45">
      <c r="A4" s="51" t="s">
        <v>6</v>
      </c>
      <c r="B4" s="158">
        <v>-4.2632564145606011E-14</v>
      </c>
      <c r="C4" s="159"/>
      <c r="E4" s="59" t="s">
        <v>64</v>
      </c>
      <c r="F4" s="56" t="s">
        <v>20</v>
      </c>
      <c r="G4" s="44">
        <v>940</v>
      </c>
      <c r="H4" s="129">
        <f>IF(B$15=0,0,G4/B$15)</f>
        <v>0.46191646191646191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-7.8740157480314963</v>
      </c>
      <c r="P4" s="115">
        <v>762</v>
      </c>
      <c r="Q4" s="99">
        <v>-6000</v>
      </c>
    </row>
    <row r="5" spans="1:17" x14ac:dyDescent="0.45">
      <c r="A5" s="51" t="s">
        <v>7</v>
      </c>
      <c r="B5" s="160">
        <f>IF(B$2=0,0,B$4/B$2)</f>
        <v>-5.1864433267160596E-17</v>
      </c>
      <c r="C5" s="161"/>
      <c r="E5" s="59" t="s">
        <v>166</v>
      </c>
      <c r="F5" s="56" t="s">
        <v>167</v>
      </c>
      <c r="G5" s="44">
        <v>787</v>
      </c>
      <c r="H5" s="129">
        <f>IF(B$15=0,0,G5/B$15)</f>
        <v>0.38673218673218673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11.111111111111111</v>
      </c>
      <c r="P5" s="115">
        <v>720</v>
      </c>
      <c r="Q5" s="99">
        <v>8000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626</v>
      </c>
      <c r="H6" s="129">
        <f>IF(B$15=0,0,G6/B$15)</f>
        <v>0.30761670761670762</v>
      </c>
      <c r="I6" s="90">
        <v>7</v>
      </c>
      <c r="K6" s="36">
        <v>4</v>
      </c>
      <c r="L6" s="95">
        <v>24.5</v>
      </c>
      <c r="N6" s="111" t="s">
        <v>134</v>
      </c>
      <c r="O6" s="118">
        <f t="shared" si="0"/>
        <v>3.0165912518853695</v>
      </c>
      <c r="P6" s="115">
        <v>663</v>
      </c>
      <c r="Q6" s="99">
        <v>2000</v>
      </c>
    </row>
    <row r="7" spans="1:17" x14ac:dyDescent="0.45">
      <c r="A7" s="51" t="s">
        <v>2</v>
      </c>
      <c r="B7" s="44">
        <v>274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579</v>
      </c>
      <c r="H7" s="129">
        <f>IF(B$15=0,0,G7/B$15)</f>
        <v>0.28452088452088453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16.129032258064516</v>
      </c>
      <c r="P7" s="116">
        <v>558</v>
      </c>
      <c r="Q7" s="100">
        <v>9000</v>
      </c>
    </row>
    <row r="8" spans="1:17" x14ac:dyDescent="0.45">
      <c r="A8" s="51" t="s">
        <v>3</v>
      </c>
      <c r="B8" s="44">
        <v>274</v>
      </c>
      <c r="C8" s="37">
        <f t="shared" si="1"/>
        <v>0.33333333333333331</v>
      </c>
      <c r="E8" s="59" t="s">
        <v>69</v>
      </c>
      <c r="F8" s="56" t="s">
        <v>24</v>
      </c>
      <c r="G8" s="44">
        <v>290</v>
      </c>
      <c r="H8" s="129">
        <f>IF(B$15=0,0,G8/B$15)</f>
        <v>0.14250614250614252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274</v>
      </c>
      <c r="C9" s="38">
        <f t="shared" si="1"/>
        <v>0.33333333333333331</v>
      </c>
      <c r="E9" s="59" t="s">
        <v>89</v>
      </c>
      <c r="F9" s="56" t="s">
        <v>44</v>
      </c>
      <c r="G9" s="44">
        <v>277</v>
      </c>
      <c r="H9" s="129">
        <f>IF(B$15=0,0,G9/B$15)</f>
        <v>0.13611793611793613</v>
      </c>
      <c r="I9" s="90">
        <v>6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78</v>
      </c>
      <c r="C10" s="40">
        <f t="shared" si="1"/>
        <v>9.4890510948905105E-2</v>
      </c>
      <c r="E10" s="59" t="s">
        <v>65</v>
      </c>
      <c r="F10" s="56" t="s">
        <v>21</v>
      </c>
      <c r="G10" s="44">
        <v>219</v>
      </c>
      <c r="H10" s="129">
        <f>IF(B$15=0,0,G10/B$15)</f>
        <v>0.10761670761670762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-2.5879562043795628</v>
      </c>
      <c r="P10" s="114">
        <v>274</v>
      </c>
      <c r="Q10" s="102">
        <v>-709.10000000000014</v>
      </c>
    </row>
    <row r="11" spans="1:17" x14ac:dyDescent="0.45">
      <c r="A11" s="54" t="s">
        <v>121</v>
      </c>
      <c r="B11" s="47">
        <v>1767</v>
      </c>
      <c r="C11" s="42">
        <f>IF(B$3=0,0,B11/B$3)</f>
        <v>0.25586446568201565</v>
      </c>
      <c r="E11" s="59" t="s">
        <v>70</v>
      </c>
      <c r="F11" s="56" t="s">
        <v>25</v>
      </c>
      <c r="G11" s="44">
        <v>186</v>
      </c>
      <c r="H11" s="129">
        <f>IF(B$15=0,0,G11/B$15)</f>
        <v>9.1400491400491404E-2</v>
      </c>
      <c r="I11" s="90">
        <v>10</v>
      </c>
      <c r="K11" s="36">
        <v>9</v>
      </c>
      <c r="L11" s="95">
        <v>0</v>
      </c>
      <c r="N11" s="111" t="s">
        <v>158</v>
      </c>
      <c r="O11" s="121">
        <f>IF(P11=0,0,Q11/P11)</f>
        <v>0.83540145985401471</v>
      </c>
      <c r="P11" s="115">
        <v>274</v>
      </c>
      <c r="Q11" s="103">
        <v>228.90000000000003</v>
      </c>
    </row>
    <row r="12" spans="1:17" x14ac:dyDescent="0.45">
      <c r="A12" s="51" t="s">
        <v>118</v>
      </c>
      <c r="B12" s="44">
        <v>1580</v>
      </c>
      <c r="C12" s="37">
        <f>IF(B$3=0,0,B12/B$3)</f>
        <v>0.22878656240949899</v>
      </c>
      <c r="E12" s="59" t="s">
        <v>71</v>
      </c>
      <c r="F12" s="56" t="s">
        <v>26</v>
      </c>
      <c r="G12" s="44">
        <v>163</v>
      </c>
      <c r="H12" s="129">
        <f>IF(B$15=0,0,G12/B$15)</f>
        <v>8.00982800982801E-2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1.7525547445255469</v>
      </c>
      <c r="P12" s="116">
        <v>274</v>
      </c>
      <c r="Q12" s="104">
        <v>480.19999999999987</v>
      </c>
    </row>
    <row r="13" spans="1:17" x14ac:dyDescent="0.45">
      <c r="A13" s="50" t="s">
        <v>123</v>
      </c>
      <c r="B13" s="43">
        <f>B19</f>
        <v>975</v>
      </c>
      <c r="C13" s="35">
        <f>IF(B$11=0,0,B13/B$11)</f>
        <v>0.55178268251273344</v>
      </c>
      <c r="E13" s="59" t="s">
        <v>86</v>
      </c>
      <c r="F13" s="56" t="s">
        <v>41</v>
      </c>
      <c r="G13" s="44">
        <v>106</v>
      </c>
      <c r="H13" s="129">
        <f>IF(B$15=0,0,G13/B$15)</f>
        <v>5.2088452088452086E-2</v>
      </c>
      <c r="I13" s="90">
        <v>5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669</v>
      </c>
      <c r="C14" s="35">
        <f>IF(B$12=0,0,B14/B$12)</f>
        <v>0.42341772151898732</v>
      </c>
      <c r="E14" s="59" t="s">
        <v>83</v>
      </c>
      <c r="F14" s="56" t="s">
        <v>38</v>
      </c>
      <c r="G14" s="44">
        <v>103</v>
      </c>
      <c r="H14" s="129">
        <f>IF(B$15=0,0,G14/B$15)</f>
        <v>5.0614250614250615E-2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2035</v>
      </c>
      <c r="C15" s="35">
        <f>IF(B$3=0,0,B15/B$3)</f>
        <v>0.29467130031856359</v>
      </c>
      <c r="E15" s="59" t="s">
        <v>78</v>
      </c>
      <c r="F15" s="56" t="s">
        <v>33</v>
      </c>
      <c r="G15" s="44">
        <v>52</v>
      </c>
      <c r="H15" s="129">
        <f>IF(B$15=0,0,G15/B$15)</f>
        <v>2.5552825552825554E-2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1124</v>
      </c>
      <c r="C16" s="37">
        <f>IF(B$3=0,0,B16/B$3)</f>
        <v>0.16275702287865623</v>
      </c>
      <c r="E16" s="59" t="s">
        <v>162</v>
      </c>
      <c r="F16" s="56" t="s">
        <v>163</v>
      </c>
      <c r="G16" s="44">
        <v>47</v>
      </c>
      <c r="H16" s="129">
        <f>IF(B$15=0,0,G16/B$15)</f>
        <v>2.3095823095823097E-2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900</v>
      </c>
      <c r="C17" s="37">
        <f>IF(B$15=0,0,B17/B$15)</f>
        <v>0.44226044226044225</v>
      </c>
      <c r="E17" s="59" t="s">
        <v>81</v>
      </c>
      <c r="F17" s="56" t="s">
        <v>36</v>
      </c>
      <c r="G17" s="44">
        <v>42</v>
      </c>
      <c r="H17" s="129">
        <f>IF(B$15=0,0,G17/B$15)</f>
        <v>2.0638820638820637E-2</v>
      </c>
      <c r="I17" s="90">
        <v>5</v>
      </c>
      <c r="K17" s="36">
        <v>15</v>
      </c>
      <c r="L17" s="95">
        <v>0</v>
      </c>
      <c r="N17" s="111" t="s">
        <v>197</v>
      </c>
      <c r="O17" s="121">
        <f>IF(P17=0,0,Q17/P17)</f>
        <v>15.950847457627104</v>
      </c>
      <c r="P17" s="115">
        <v>118</v>
      </c>
      <c r="Q17" s="103">
        <v>1882.1999999999982</v>
      </c>
    </row>
    <row r="18" spans="1:17" x14ac:dyDescent="0.45">
      <c r="A18" s="51" t="s">
        <v>11</v>
      </c>
      <c r="B18" s="44">
        <v>1135</v>
      </c>
      <c r="C18" s="37">
        <f>IF(B$15=0,0,B18/B$15)</f>
        <v>0.55773955773955775</v>
      </c>
      <c r="E18" s="59" t="s">
        <v>79</v>
      </c>
      <c r="F18" s="56" t="s">
        <v>34</v>
      </c>
      <c r="G18" s="44">
        <v>28</v>
      </c>
      <c r="H18" s="129">
        <f>IF(B$15=0,0,G18/B$15)</f>
        <v>1.3759213759213759E-2</v>
      </c>
      <c r="I18" s="90">
        <v>7</v>
      </c>
      <c r="K18" s="36">
        <v>16</v>
      </c>
      <c r="L18" s="95">
        <v>-28.2</v>
      </c>
      <c r="N18" s="111" t="s">
        <v>172</v>
      </c>
      <c r="O18" s="121">
        <f>IF(P18=0,0,Q18/P18)</f>
        <v>10.125806451612897</v>
      </c>
      <c r="P18" s="115">
        <v>186</v>
      </c>
      <c r="Q18" s="103">
        <v>1883.399999999999</v>
      </c>
    </row>
    <row r="19" spans="1:17" x14ac:dyDescent="0.45">
      <c r="A19" s="51" t="s">
        <v>195</v>
      </c>
      <c r="B19" s="44">
        <v>975</v>
      </c>
      <c r="C19" s="37">
        <f>IF(B$15=0,0,B19/B$15)</f>
        <v>0.47911547911547914</v>
      </c>
      <c r="E19" s="59" t="s">
        <v>91</v>
      </c>
      <c r="F19" s="56" t="s">
        <v>46</v>
      </c>
      <c r="G19" s="44">
        <v>28</v>
      </c>
      <c r="H19" s="129">
        <f>IF(B$15=0,0,G19/B$15)</f>
        <v>1.3759213759213759E-2</v>
      </c>
      <c r="I19" s="90">
        <v>6</v>
      </c>
      <c r="K19" s="36">
        <v>17</v>
      </c>
      <c r="L19" s="95">
        <v>-20.5</v>
      </c>
      <c r="N19" s="111" t="s">
        <v>161</v>
      </c>
      <c r="O19" s="121">
        <f>IF(P19=0,0,Q19/P19)</f>
        <v>6.5555555555555483</v>
      </c>
      <c r="P19" s="115">
        <v>162</v>
      </c>
      <c r="Q19" s="103">
        <v>1061.9999999999989</v>
      </c>
    </row>
    <row r="20" spans="1:17" x14ac:dyDescent="0.45">
      <c r="A20" s="51" t="s">
        <v>193</v>
      </c>
      <c r="B20" s="44">
        <v>669</v>
      </c>
      <c r="C20" s="37">
        <f>IF(B$15=0,0,B20/B$15)</f>
        <v>0.32874692874692873</v>
      </c>
      <c r="E20" s="59" t="s">
        <v>75</v>
      </c>
      <c r="F20" s="56" t="s">
        <v>30</v>
      </c>
      <c r="G20" s="44">
        <v>16</v>
      </c>
      <c r="H20" s="129">
        <f>IF(B$15=0,0,G20/B$15)</f>
        <v>7.8624078624078622E-3</v>
      </c>
      <c r="I20" s="90">
        <v>5</v>
      </c>
      <c r="K20" s="36">
        <v>18</v>
      </c>
      <c r="L20" s="95">
        <v>0</v>
      </c>
      <c r="N20" s="111" t="s">
        <v>274</v>
      </c>
      <c r="O20" s="121">
        <f>IF(P20=0,0,Q20/P20)</f>
        <v>5.4923076923076897</v>
      </c>
      <c r="P20" s="115">
        <v>26</v>
      </c>
      <c r="Q20" s="103">
        <v>142.79999999999993</v>
      </c>
    </row>
    <row r="21" spans="1:17" x14ac:dyDescent="0.45">
      <c r="A21" s="51" t="s">
        <v>194</v>
      </c>
      <c r="B21" s="44">
        <v>391</v>
      </c>
      <c r="C21" s="37">
        <f>IF(B$15=0,0,B21/B$15)</f>
        <v>0.19213759213759213</v>
      </c>
      <c r="E21" s="59" t="s">
        <v>92</v>
      </c>
      <c r="F21" s="56" t="s">
        <v>47</v>
      </c>
      <c r="G21" s="44">
        <v>11</v>
      </c>
      <c r="H21" s="129">
        <f>IF(B$15=0,0,G21/B$15)</f>
        <v>5.4054054054054057E-3</v>
      </c>
      <c r="I21" s="90">
        <v>5</v>
      </c>
      <c r="K21" s="36">
        <v>19</v>
      </c>
      <c r="L21" s="95">
        <v>-22.4</v>
      </c>
      <c r="N21" s="111" t="s">
        <v>196</v>
      </c>
      <c r="O21" s="121">
        <f>IF(P21=0,0,Q21/P21)</f>
        <v>2.742</v>
      </c>
      <c r="P21" s="115">
        <v>50</v>
      </c>
      <c r="Q21" s="103">
        <v>137.1</v>
      </c>
    </row>
    <row r="22" spans="1:17" x14ac:dyDescent="0.45">
      <c r="A22" s="51" t="s">
        <v>5</v>
      </c>
      <c r="B22" s="48">
        <f>IF(B$15=0,0,C22/B$15)</f>
        <v>8362.2604422604418</v>
      </c>
      <c r="C22" s="39">
        <v>17017200</v>
      </c>
      <c r="E22" s="59" t="s">
        <v>85</v>
      </c>
      <c r="F22" s="56" t="s">
        <v>40</v>
      </c>
      <c r="G22" s="44">
        <v>10</v>
      </c>
      <c r="H22" s="129">
        <f>IF(B$15=0,0,G22/B$15)</f>
        <v>4.9140049140049139E-3</v>
      </c>
      <c r="I22" s="90">
        <v>5</v>
      </c>
      <c r="K22" s="36">
        <v>20</v>
      </c>
      <c r="L22" s="95">
        <v>-61.199999999999996</v>
      </c>
      <c r="N22" s="111" t="s">
        <v>171</v>
      </c>
      <c r="O22" s="121">
        <f>IF(P22=0,0,Q22/P22)</f>
        <v>1.5649606299212597</v>
      </c>
      <c r="P22" s="115">
        <v>254</v>
      </c>
      <c r="Q22" s="103">
        <v>397.49999999999994</v>
      </c>
    </row>
    <row r="23" spans="1:17" x14ac:dyDescent="0.45">
      <c r="A23" s="52" t="s">
        <v>177</v>
      </c>
      <c r="B23" s="136">
        <f>IF($B$15-B$14=0,0,C23/($B$15-B$14))</f>
        <v>9001.9765739385057</v>
      </c>
      <c r="C23" s="137">
        <v>12296700</v>
      </c>
      <c r="E23" s="59" t="s">
        <v>73</v>
      </c>
      <c r="F23" s="56" t="s">
        <v>28</v>
      </c>
      <c r="G23" s="44">
        <v>8</v>
      </c>
      <c r="H23" s="129">
        <f>IF(B$15=0,0,G23/B$15)</f>
        <v>3.9312039312039311E-3</v>
      </c>
      <c r="I23" s="90">
        <v>3</v>
      </c>
      <c r="K23" s="36">
        <v>21</v>
      </c>
      <c r="L23" s="95">
        <v>7.1054273576010019E-15</v>
      </c>
      <c r="N23" s="111" t="s">
        <v>127</v>
      </c>
      <c r="O23" s="121">
        <f>IF(P23=0,0,Q23/P23)</f>
        <v>-0.34640287769784595</v>
      </c>
      <c r="P23" s="115">
        <v>278</v>
      </c>
      <c r="Q23" s="103">
        <v>-96.300000000001177</v>
      </c>
    </row>
    <row r="24" spans="1:17" x14ac:dyDescent="0.45">
      <c r="A24" s="52" t="s">
        <v>178</v>
      </c>
      <c r="B24" s="136">
        <f>IF(B$14=0,0,C24/B$14)</f>
        <v>7056.0538116591924</v>
      </c>
      <c r="C24" s="137">
        <v>4720500</v>
      </c>
      <c r="E24" s="59" t="s">
        <v>74</v>
      </c>
      <c r="F24" s="56" t="s">
        <v>29</v>
      </c>
      <c r="G24" s="44">
        <v>8</v>
      </c>
      <c r="H24" s="129">
        <f>IF(B$15=0,0,G24/B$15)</f>
        <v>3.9312039312039311E-3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-8.255357142857136</v>
      </c>
      <c r="P24" s="115">
        <v>224</v>
      </c>
      <c r="Q24" s="103">
        <v>-1849.1999999999985</v>
      </c>
    </row>
    <row r="25" spans="1:17" x14ac:dyDescent="0.45">
      <c r="A25" s="52" t="s">
        <v>176</v>
      </c>
      <c r="B25" s="136">
        <f>IF(B$16=0,0,C25/B$16)</f>
        <v>-7753.0249110320283</v>
      </c>
      <c r="C25" s="137">
        <v>-8714400</v>
      </c>
      <c r="E25" s="59" t="s">
        <v>84</v>
      </c>
      <c r="F25" s="56" t="s">
        <v>39</v>
      </c>
      <c r="G25" s="44">
        <v>7</v>
      </c>
      <c r="H25" s="129">
        <f>IF(B$15=0,0,G25/B$15)</f>
        <v>3.4398034398034397E-3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-12.69716981132075</v>
      </c>
      <c r="P25" s="115">
        <v>318</v>
      </c>
      <c r="Q25" s="103">
        <v>-4037.6999999999985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6</v>
      </c>
      <c r="H26" s="129">
        <f>IF(B$15=0,0,G26/B$15)</f>
        <v>2.9484029484029483E-3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0</v>
      </c>
      <c r="E27" s="59" t="s">
        <v>88</v>
      </c>
      <c r="F27" s="56" t="s">
        <v>43</v>
      </c>
      <c r="G27" s="44">
        <v>5</v>
      </c>
      <c r="H27" s="129">
        <f>IF(B$15=0,0,G27/B$15)</f>
        <v>2.4570024570024569E-3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4</v>
      </c>
      <c r="H28" s="129">
        <f>IF(B$15=0,0,G28/B$15)</f>
        <v>1.9656019656019656E-3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1.9656019656019656E-3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19</v>
      </c>
      <c r="C30" s="40">
        <f>IF(B$3=0,0,B30/B$3)</f>
        <v>2.7512308137851143E-3</v>
      </c>
      <c r="E30" s="59" t="s">
        <v>93</v>
      </c>
      <c r="F30" s="56" t="s">
        <v>48</v>
      </c>
      <c r="G30" s="44">
        <v>4</v>
      </c>
      <c r="H30" s="129">
        <f>IF(B$15=0,0,G30/B$15)</f>
        <v>1.9656019656019656E-3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95</v>
      </c>
      <c r="F31" s="56" t="s">
        <v>50</v>
      </c>
      <c r="G31" s="44">
        <v>4</v>
      </c>
      <c r="H31" s="129">
        <f>IF(B$15=0,0,G31/B$15)</f>
        <v>1.9656019656019656E-3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160</v>
      </c>
      <c r="C32" s="141">
        <f>IF(B$15=0,0,B32/B$15)</f>
        <v>7.8624078624078622E-2</v>
      </c>
      <c r="E32" s="59" t="s">
        <v>97</v>
      </c>
      <c r="F32" s="56" t="s">
        <v>52</v>
      </c>
      <c r="G32" s="44">
        <v>1</v>
      </c>
      <c r="H32" s="129">
        <f>IF(B$15=0,0,G32/B$15)</f>
        <v>4.9140049140049139E-4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343</v>
      </c>
      <c r="C33" s="37">
        <f t="shared" ref="C33:C44" si="2">IF(B$15=0,0,B33/B$15)</f>
        <v>0.16855036855036856</v>
      </c>
      <c r="E33" s="59" t="s">
        <v>101</v>
      </c>
      <c r="F33" s="56" t="s">
        <v>56</v>
      </c>
      <c r="G33" s="44">
        <v>1</v>
      </c>
      <c r="H33" s="129">
        <f>IF(B$15=0,0,G33/B$15)</f>
        <v>4.9140049140049139E-4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400</v>
      </c>
      <c r="C34" s="37">
        <f>IF(B$15=0,0,B34/B$15)</f>
        <v>0.19656019656019655</v>
      </c>
      <c r="E34" s="59" t="s">
        <v>106</v>
      </c>
      <c r="F34" s="56" t="s">
        <v>113</v>
      </c>
      <c r="G34" s="44">
        <v>1</v>
      </c>
      <c r="H34" s="129">
        <f>IF(B$15=0,0,G34/B$15)</f>
        <v>4.9140049140049139E-4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361</v>
      </c>
      <c r="C35" s="37">
        <f t="shared" si="2"/>
        <v>0.1773955773955774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320</v>
      </c>
      <c r="C36" s="37">
        <f t="shared" si="2"/>
        <v>0.15724815724815724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217</v>
      </c>
      <c r="C37" s="37">
        <f t="shared" si="2"/>
        <v>0.10663390663390664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110</v>
      </c>
      <c r="C38" s="37">
        <f t="shared" si="2"/>
        <v>5.4054054054054057E-2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56</v>
      </c>
      <c r="C39" s="37">
        <f t="shared" si="2"/>
        <v>2.7518427518427518E-2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27</v>
      </c>
      <c r="C40" s="37">
        <f t="shared" si="2"/>
        <v>1.3267813267813268E-2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7</v>
      </c>
      <c r="C41" s="37">
        <f t="shared" si="2"/>
        <v>3.4398034398034397E-3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2.9484029484029483E-3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2.9484029484029483E-3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22</v>
      </c>
      <c r="C44" s="40">
        <f t="shared" si="2"/>
        <v>1.0810810810810811E-2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0B195-D258-48A2-8E8D-20C7D7DDB60A}">
  <sheetPr codeName="Sheet7"/>
  <dimension ref="A1:Q7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73</v>
      </c>
      <c r="C2" s="155"/>
      <c r="E2" s="58" t="s">
        <v>66</v>
      </c>
      <c r="F2" s="55" t="s">
        <v>22</v>
      </c>
      <c r="G2" s="43">
        <v>130</v>
      </c>
      <c r="H2" s="128">
        <f>IF(B$15=0,0,G2/B$15)</f>
        <v>0.72625698324022347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2147.9452054794519</v>
      </c>
      <c r="P2" s="114">
        <v>73</v>
      </c>
      <c r="Q2" s="98">
        <v>156800</v>
      </c>
    </row>
    <row r="3" spans="1:17" x14ac:dyDescent="0.45">
      <c r="A3" s="51" t="s">
        <v>8</v>
      </c>
      <c r="B3" s="156">
        <v>653</v>
      </c>
      <c r="C3" s="157"/>
      <c r="E3" s="59" t="s">
        <v>72</v>
      </c>
      <c r="F3" s="56" t="s">
        <v>27</v>
      </c>
      <c r="G3" s="44">
        <v>96</v>
      </c>
      <c r="H3" s="129">
        <f>IF(B$15=0,0,G3/B$15)</f>
        <v>0.53631284916201116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-1718.0555555555557</v>
      </c>
      <c r="P3" s="115">
        <v>72</v>
      </c>
      <c r="Q3" s="99">
        <v>-123700</v>
      </c>
    </row>
    <row r="4" spans="1:17" x14ac:dyDescent="0.45">
      <c r="A4" s="51" t="s">
        <v>6</v>
      </c>
      <c r="B4" s="158">
        <v>-460.50000000000028</v>
      </c>
      <c r="C4" s="159"/>
      <c r="E4" s="59" t="s">
        <v>166</v>
      </c>
      <c r="F4" s="56" t="s">
        <v>167</v>
      </c>
      <c r="G4" s="44">
        <v>68</v>
      </c>
      <c r="H4" s="129">
        <f>IF(B$15=0,0,G4/B$15)</f>
        <v>0.37988826815642457</v>
      </c>
      <c r="I4" s="90">
        <v>8</v>
      </c>
      <c r="K4" s="36">
        <v>2</v>
      </c>
      <c r="L4" s="95">
        <v>19.899999999999999</v>
      </c>
      <c r="N4" s="111" t="s">
        <v>132</v>
      </c>
      <c r="O4" s="118">
        <f t="shared" si="0"/>
        <v>-1652.8571428571429</v>
      </c>
      <c r="P4" s="115">
        <v>70</v>
      </c>
      <c r="Q4" s="99">
        <v>-115700</v>
      </c>
    </row>
    <row r="5" spans="1:17" x14ac:dyDescent="0.45">
      <c r="A5" s="51" t="s">
        <v>7</v>
      </c>
      <c r="B5" s="160">
        <f>IF(B$2=0,0,B$4/B$2)</f>
        <v>-6.3082191780821955</v>
      </c>
      <c r="C5" s="161"/>
      <c r="E5" s="59" t="s">
        <v>64</v>
      </c>
      <c r="F5" s="56" t="s">
        <v>20</v>
      </c>
      <c r="G5" s="44">
        <v>48</v>
      </c>
      <c r="H5" s="129">
        <f>IF(B$15=0,0,G5/B$15)</f>
        <v>0.26815642458100558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-1203.030303030303</v>
      </c>
      <c r="P5" s="115">
        <v>66</v>
      </c>
      <c r="Q5" s="99">
        <v>-79400</v>
      </c>
    </row>
    <row r="6" spans="1:17" x14ac:dyDescent="0.45">
      <c r="A6" s="51" t="s">
        <v>1</v>
      </c>
      <c r="B6" s="150">
        <f>IF(B$2=0,0,(B$7*1+B$8*2+B$9*3)/B$2)</f>
        <v>2.1369863013698631</v>
      </c>
      <c r="C6" s="151"/>
      <c r="E6" s="59" t="s">
        <v>68</v>
      </c>
      <c r="F6" s="56" t="s">
        <v>12</v>
      </c>
      <c r="G6" s="44">
        <v>48</v>
      </c>
      <c r="H6" s="129">
        <f>IF(B$15=0,0,G6/B$15)</f>
        <v>0.26815642458100558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-190.76923076923077</v>
      </c>
      <c r="P6" s="115">
        <v>65</v>
      </c>
      <c r="Q6" s="99">
        <v>-12400</v>
      </c>
    </row>
    <row r="7" spans="1:17" x14ac:dyDescent="0.45">
      <c r="A7" s="51" t="s">
        <v>2</v>
      </c>
      <c r="B7" s="44">
        <v>23</v>
      </c>
      <c r="C7" s="37">
        <f t="shared" ref="C7:C10" si="1">IF(B$2=0,0,B7/B$2)</f>
        <v>0.31506849315068491</v>
      </c>
      <c r="E7" s="59" t="s">
        <v>67</v>
      </c>
      <c r="F7" s="56" t="s">
        <v>23</v>
      </c>
      <c r="G7" s="44">
        <v>32</v>
      </c>
      <c r="H7" s="129">
        <f>IF(B$15=0,0,G7/B$15)</f>
        <v>0.1787709497206704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-2245.6140350877195</v>
      </c>
      <c r="P7" s="116">
        <v>57</v>
      </c>
      <c r="Q7" s="100">
        <v>-128000</v>
      </c>
    </row>
    <row r="8" spans="1:17" x14ac:dyDescent="0.45">
      <c r="A8" s="51" t="s">
        <v>3</v>
      </c>
      <c r="B8" s="44">
        <v>17</v>
      </c>
      <c r="C8" s="37">
        <f t="shared" si="1"/>
        <v>0.23287671232876711</v>
      </c>
      <c r="E8" s="59" t="s">
        <v>69</v>
      </c>
      <c r="F8" s="56" t="s">
        <v>24</v>
      </c>
      <c r="G8" s="44">
        <v>32</v>
      </c>
      <c r="H8" s="129">
        <f>IF(B$15=0,0,G8/B$15)</f>
        <v>0.1787709497206704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33</v>
      </c>
      <c r="C9" s="38">
        <f t="shared" si="1"/>
        <v>0.45205479452054792</v>
      </c>
      <c r="E9" s="59" t="s">
        <v>71</v>
      </c>
      <c r="F9" s="56" t="s">
        <v>26</v>
      </c>
      <c r="G9" s="44">
        <v>22</v>
      </c>
      <c r="H9" s="129">
        <f>IF(B$15=0,0,G9/B$15)</f>
        <v>0.12290502793296089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6.8493150684931503E-2</v>
      </c>
      <c r="E10" s="59" t="s">
        <v>70</v>
      </c>
      <c r="F10" s="56" t="s">
        <v>25</v>
      </c>
      <c r="G10" s="44">
        <v>21</v>
      </c>
      <c r="H10" s="129">
        <f>IF(B$15=0,0,G10/B$15)</f>
        <v>0.11731843575418995</v>
      </c>
      <c r="I10" s="90">
        <v>4</v>
      </c>
      <c r="K10" s="36">
        <v>8</v>
      </c>
      <c r="L10" s="95">
        <v>-76.900000000000006</v>
      </c>
      <c r="N10" s="110" t="s">
        <v>157</v>
      </c>
      <c r="O10" s="120">
        <f>IF(P10=0,0,Q10/P10)</f>
        <v>-11.592592592592593</v>
      </c>
      <c r="P10" s="114">
        <v>27</v>
      </c>
      <c r="Q10" s="102">
        <v>-313</v>
      </c>
    </row>
    <row r="11" spans="1:17" x14ac:dyDescent="0.45">
      <c r="A11" s="54" t="s">
        <v>121</v>
      </c>
      <c r="B11" s="47">
        <v>96</v>
      </c>
      <c r="C11" s="42">
        <f>IF(B$3=0,0,B11/B$3)</f>
        <v>0.14701378254211334</v>
      </c>
      <c r="E11" s="59" t="s">
        <v>83</v>
      </c>
      <c r="F11" s="56" t="s">
        <v>38</v>
      </c>
      <c r="G11" s="44">
        <v>15</v>
      </c>
      <c r="H11" s="129">
        <f>IF(B$15=0,0,G11/B$15)</f>
        <v>8.3798882681564241E-2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-6.0904761904761902</v>
      </c>
      <c r="P11" s="115">
        <v>21</v>
      </c>
      <c r="Q11" s="103">
        <v>-127.89999999999999</v>
      </c>
    </row>
    <row r="12" spans="1:17" x14ac:dyDescent="0.45">
      <c r="A12" s="51" t="s">
        <v>118</v>
      </c>
      <c r="B12" s="44">
        <v>165</v>
      </c>
      <c r="C12" s="37">
        <f>IF(B$3=0,0,B12/B$3)</f>
        <v>0.25267993874425726</v>
      </c>
      <c r="E12" s="59" t="s">
        <v>65</v>
      </c>
      <c r="F12" s="56" t="s">
        <v>21</v>
      </c>
      <c r="G12" s="44">
        <v>11</v>
      </c>
      <c r="H12" s="129">
        <f>IF(B$15=0,0,G12/B$15)</f>
        <v>6.1452513966480445E-2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-0.78399999999999959</v>
      </c>
      <c r="P12" s="116">
        <v>25</v>
      </c>
      <c r="Q12" s="104">
        <v>-19.599999999999991</v>
      </c>
    </row>
    <row r="13" spans="1:17" x14ac:dyDescent="0.45">
      <c r="A13" s="50" t="s">
        <v>123</v>
      </c>
      <c r="B13" s="43">
        <f>B19</f>
        <v>50</v>
      </c>
      <c r="C13" s="35">
        <f>IF(B$11=0,0,B13/B$11)</f>
        <v>0.52083333333333337</v>
      </c>
      <c r="E13" s="59" t="s">
        <v>89</v>
      </c>
      <c r="F13" s="56" t="s">
        <v>44</v>
      </c>
      <c r="G13" s="44">
        <v>9</v>
      </c>
      <c r="H13" s="129">
        <f>IF(B$15=0,0,G13/B$15)</f>
        <v>5.027932960893855E-2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67</v>
      </c>
      <c r="C14" s="35">
        <f>IF(B$12=0,0,B14/B$12)</f>
        <v>0.40606060606060607</v>
      </c>
      <c r="E14" s="59" t="s">
        <v>81</v>
      </c>
      <c r="F14" s="56" t="s">
        <v>36</v>
      </c>
      <c r="G14" s="44">
        <v>8</v>
      </c>
      <c r="H14" s="129">
        <f>IF(B$15=0,0,G14/B$15)</f>
        <v>4.4692737430167599E-2</v>
      </c>
      <c r="I14" s="90">
        <v>2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179</v>
      </c>
      <c r="C15" s="35">
        <f>IF(B$3=0,0,B15/B$3)</f>
        <v>0.27411944869831545</v>
      </c>
      <c r="E15" s="59" t="s">
        <v>86</v>
      </c>
      <c r="F15" s="56" t="s">
        <v>41</v>
      </c>
      <c r="G15" s="44">
        <v>5</v>
      </c>
      <c r="H15" s="129">
        <f>IF(B$15=0,0,G15/B$15)</f>
        <v>2.7932960893854747E-2</v>
      </c>
      <c r="I15" s="90">
        <v>10</v>
      </c>
      <c r="K15" s="36">
        <v>13</v>
      </c>
      <c r="L15" s="95">
        <v>-66.2</v>
      </c>
      <c r="N15" s="110" t="s">
        <v>274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102</v>
      </c>
      <c r="C16" s="37">
        <f>IF(B$3=0,0,B16/B$3)</f>
        <v>0.15620214395099541</v>
      </c>
      <c r="E16" s="59" t="s">
        <v>79</v>
      </c>
      <c r="F16" s="56" t="s">
        <v>34</v>
      </c>
      <c r="G16" s="44">
        <v>3</v>
      </c>
      <c r="H16" s="129">
        <f>IF(B$15=0,0,G16/B$15)</f>
        <v>1.6759776536312849E-2</v>
      </c>
      <c r="I16" s="90">
        <v>6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75</v>
      </c>
      <c r="C17" s="37">
        <f>IF(B$15=0,0,B17/B$15)</f>
        <v>0.41899441340782123</v>
      </c>
      <c r="E17" s="59" t="s">
        <v>91</v>
      </c>
      <c r="F17" s="56" t="s">
        <v>46</v>
      </c>
      <c r="G17" s="44">
        <v>3</v>
      </c>
      <c r="H17" s="129">
        <f>IF(B$15=0,0,G17/B$15)</f>
        <v>1.6759776536312849E-2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 t="shared" si="2"/>
        <v>1.7280000000000002</v>
      </c>
      <c r="P17" s="115">
        <v>25</v>
      </c>
      <c r="Q17" s="103">
        <v>43.2</v>
      </c>
    </row>
    <row r="18" spans="1:17" x14ac:dyDescent="0.45">
      <c r="A18" s="51" t="s">
        <v>11</v>
      </c>
      <c r="B18" s="44">
        <v>104</v>
      </c>
      <c r="C18" s="37">
        <f>IF(B$15=0,0,B18/B$15)</f>
        <v>0.58100558659217882</v>
      </c>
      <c r="E18" s="59" t="s">
        <v>74</v>
      </c>
      <c r="F18" s="56" t="s">
        <v>29</v>
      </c>
      <c r="G18" s="44">
        <v>2</v>
      </c>
      <c r="H18" s="129">
        <f>IF(B$15=0,0,G18/B$15)</f>
        <v>1.11731843575419E-2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 t="shared" si="2"/>
        <v>-1.4666666666666697</v>
      </c>
      <c r="P18" s="115">
        <v>18</v>
      </c>
      <c r="Q18" s="103">
        <v>-26.400000000000055</v>
      </c>
    </row>
    <row r="19" spans="1:17" x14ac:dyDescent="0.45">
      <c r="A19" s="51" t="s">
        <v>195</v>
      </c>
      <c r="B19" s="44">
        <v>50</v>
      </c>
      <c r="C19" s="37">
        <f>IF(B$15=0,0,B19/B$15)</f>
        <v>0.27932960893854747</v>
      </c>
      <c r="E19" s="59" t="s">
        <v>78</v>
      </c>
      <c r="F19" s="56" t="s">
        <v>33</v>
      </c>
      <c r="G19" s="44">
        <v>2</v>
      </c>
      <c r="H19" s="129">
        <f>IF(B$15=0,0,G19/B$15)</f>
        <v>1.11731843575419E-2</v>
      </c>
      <c r="I19" s="90">
        <v>8</v>
      </c>
      <c r="K19" s="36">
        <v>17</v>
      </c>
      <c r="L19" s="95">
        <v>-65.2</v>
      </c>
      <c r="N19" s="111" t="s">
        <v>127</v>
      </c>
      <c r="O19" s="121">
        <f t="shared" si="2"/>
        <v>-3.0250000000000017</v>
      </c>
      <c r="P19" s="115">
        <v>28</v>
      </c>
      <c r="Q19" s="103">
        <v>-84.700000000000045</v>
      </c>
    </row>
    <row r="20" spans="1:17" x14ac:dyDescent="0.45">
      <c r="A20" s="51" t="s">
        <v>193</v>
      </c>
      <c r="B20" s="44">
        <v>67</v>
      </c>
      <c r="C20" s="37">
        <f>IF(B$15=0,0,B20/B$15)</f>
        <v>0.37430167597765363</v>
      </c>
      <c r="E20" s="59" t="s">
        <v>88</v>
      </c>
      <c r="F20" s="56" t="s">
        <v>43</v>
      </c>
      <c r="G20" s="44">
        <v>2</v>
      </c>
      <c r="H20" s="129">
        <f>IF(B$15=0,0,G20/B$15)</f>
        <v>1.11731843575419E-2</v>
      </c>
      <c r="I20" s="90">
        <v>1</v>
      </c>
      <c r="K20" s="36">
        <v>18</v>
      </c>
      <c r="L20" s="95">
        <v>-80.2</v>
      </c>
      <c r="N20" s="111" t="s">
        <v>126</v>
      </c>
      <c r="O20" s="121">
        <f t="shared" si="2"/>
        <v>-12.572222222222225</v>
      </c>
      <c r="P20" s="115">
        <v>36</v>
      </c>
      <c r="Q20" s="103">
        <v>-452.60000000000008</v>
      </c>
    </row>
    <row r="21" spans="1:17" x14ac:dyDescent="0.45">
      <c r="A21" s="51" t="s">
        <v>194</v>
      </c>
      <c r="B21" s="44">
        <v>62</v>
      </c>
      <c r="C21" s="37">
        <f>IF(B$15=0,0,B21/B$15)</f>
        <v>0.34636871508379891</v>
      </c>
      <c r="E21" s="59" t="s">
        <v>93</v>
      </c>
      <c r="F21" s="56" t="s">
        <v>48</v>
      </c>
      <c r="G21" s="44">
        <v>2</v>
      </c>
      <c r="H21" s="129">
        <f>IF(B$15=0,0,G21/B$15)</f>
        <v>1.11731843575419E-2</v>
      </c>
      <c r="I21" s="90">
        <v>1</v>
      </c>
      <c r="K21" s="36">
        <v>19</v>
      </c>
      <c r="L21" s="95">
        <v>-115.1</v>
      </c>
      <c r="N21" s="111" t="s">
        <v>197</v>
      </c>
      <c r="O21" s="121">
        <f t="shared" si="2"/>
        <v>-32.455555555555549</v>
      </c>
      <c r="P21" s="115">
        <v>9</v>
      </c>
      <c r="Q21" s="103">
        <v>-292.09999999999997</v>
      </c>
    </row>
    <row r="22" spans="1:17" x14ac:dyDescent="0.45">
      <c r="A22" s="51" t="s">
        <v>5</v>
      </c>
      <c r="B22" s="48">
        <f>IF(B$15=0,0,C22/B$15)</f>
        <v>7007.2625698324018</v>
      </c>
      <c r="C22" s="39">
        <v>1254300</v>
      </c>
      <c r="E22" s="59" t="s">
        <v>75</v>
      </c>
      <c r="F22" s="56" t="s">
        <v>30</v>
      </c>
      <c r="G22" s="44">
        <v>1</v>
      </c>
      <c r="H22" s="129">
        <f>IF(B$15=0,0,G22/B$15)</f>
        <v>5.5865921787709499E-3</v>
      </c>
      <c r="I22" s="90">
        <v>8</v>
      </c>
      <c r="K22" s="36">
        <v>20</v>
      </c>
      <c r="L22" s="95">
        <v>-88.8</v>
      </c>
      <c r="N22" s="111" t="s">
        <v>170</v>
      </c>
      <c r="O22" s="121">
        <f t="shared" si="2"/>
        <v>-37.36</v>
      </c>
      <c r="P22" s="115">
        <v>20</v>
      </c>
      <c r="Q22" s="103">
        <v>-747.19999999999993</v>
      </c>
    </row>
    <row r="23" spans="1:17" x14ac:dyDescent="0.45">
      <c r="A23" s="52" t="s">
        <v>177</v>
      </c>
      <c r="B23" s="136">
        <f>IF($B$15-B$14=0,0,C23/($B$15-B$14))</f>
        <v>7578.5714285714284</v>
      </c>
      <c r="C23" s="137">
        <v>848800</v>
      </c>
      <c r="E23" s="59" t="s">
        <v>77</v>
      </c>
      <c r="F23" s="56" t="s">
        <v>32</v>
      </c>
      <c r="G23" s="44">
        <v>1</v>
      </c>
      <c r="H23" s="129">
        <f>IF(B$15=0,0,G23/B$15)</f>
        <v>5.5865921787709499E-3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 t="shared" si="2"/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6052.2388059701489</v>
      </c>
      <c r="C24" s="137">
        <v>405500</v>
      </c>
      <c r="E24" s="59" t="s">
        <v>84</v>
      </c>
      <c r="F24" s="56" t="s">
        <v>39</v>
      </c>
      <c r="G24" s="44">
        <v>1</v>
      </c>
      <c r="H24" s="129">
        <f>IF(B$15=0,0,G24/B$15)</f>
        <v>5.5865921787709499E-3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-7789.2156862745096</v>
      </c>
      <c r="C25" s="137">
        <v>-794500</v>
      </c>
      <c r="E25" s="59" t="s">
        <v>87</v>
      </c>
      <c r="F25" s="56" t="s">
        <v>42</v>
      </c>
      <c r="G25" s="44">
        <v>1</v>
      </c>
      <c r="H25" s="129">
        <f>IF(B$15=0,0,G25/B$15)</f>
        <v>5.5865921787709499E-3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1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86900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3.0627871362940277E-3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26</v>
      </c>
      <c r="C32" s="141">
        <f>IF(B$15=0,0,B32/B$15)</f>
        <v>0.14525139664804471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37</v>
      </c>
      <c r="C33" s="37">
        <f t="shared" ref="C33:C44" si="3">IF(B$15=0,0,B33/B$15)</f>
        <v>0.20670391061452514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38</v>
      </c>
      <c r="C34" s="37">
        <f>IF(B$15=0,0,B34/B$15)</f>
        <v>0.21229050279329609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26</v>
      </c>
      <c r="C35" s="37">
        <f t="shared" si="3"/>
        <v>0.14525139664804471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19</v>
      </c>
      <c r="C36" s="37">
        <f t="shared" si="3"/>
        <v>0.10614525139664804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14</v>
      </c>
      <c r="C37" s="37">
        <f t="shared" si="3"/>
        <v>7.8212290502793297E-2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10</v>
      </c>
      <c r="C38" s="37">
        <f t="shared" si="3"/>
        <v>5.5865921787709494E-2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3"/>
        <v>3.3519553072625698E-2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3"/>
        <v>5.5865921787709499E-3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3"/>
        <v>1.11731843575419E-2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</sheetData>
  <sortState xmlns:xlrd2="http://schemas.microsoft.com/office/spreadsheetml/2017/richdata2" ref="E2:I76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3936A-FFBA-47AA-B3FB-F4468E511BF9}">
  <sheetPr codeName="Sheet9"/>
  <dimension ref="A1:Q16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159</v>
      </c>
      <c r="C2" s="155"/>
      <c r="E2" s="58" t="s">
        <v>66</v>
      </c>
      <c r="F2" s="55" t="s">
        <v>22</v>
      </c>
      <c r="G2" s="43">
        <v>300</v>
      </c>
      <c r="H2" s="128">
        <f>IF(B$15=0,0,G2/B$15)</f>
        <v>0.66666666666666663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1312.0253164556962</v>
      </c>
      <c r="P2" s="114">
        <v>158</v>
      </c>
      <c r="Q2" s="98">
        <v>207300</v>
      </c>
    </row>
    <row r="3" spans="1:17" x14ac:dyDescent="0.45">
      <c r="A3" s="51" t="s">
        <v>8</v>
      </c>
      <c r="B3" s="156">
        <v>1307</v>
      </c>
      <c r="C3" s="157"/>
      <c r="E3" s="59" t="s">
        <v>72</v>
      </c>
      <c r="F3" s="56" t="s">
        <v>27</v>
      </c>
      <c r="G3" s="44">
        <v>239</v>
      </c>
      <c r="H3" s="129">
        <f>IF(B$15=0,0,G3/B$15)</f>
        <v>0.53111111111111109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1080</v>
      </c>
      <c r="P3" s="115">
        <v>155</v>
      </c>
      <c r="Q3" s="99">
        <v>167400</v>
      </c>
    </row>
    <row r="4" spans="1:17" x14ac:dyDescent="0.45">
      <c r="A4" s="51" t="s">
        <v>6</v>
      </c>
      <c r="B4" s="158">
        <v>1345.9</v>
      </c>
      <c r="C4" s="159"/>
      <c r="E4" s="59" t="s">
        <v>64</v>
      </c>
      <c r="F4" s="56" t="s">
        <v>20</v>
      </c>
      <c r="G4" s="44">
        <v>199</v>
      </c>
      <c r="H4" s="129">
        <f>IF(B$15=0,0,G4/B$15)</f>
        <v>0.44222222222222224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765.77181208053696</v>
      </c>
      <c r="P4" s="115">
        <v>149</v>
      </c>
      <c r="Q4" s="99">
        <v>114100</v>
      </c>
    </row>
    <row r="5" spans="1:17" x14ac:dyDescent="0.45">
      <c r="A5" s="51" t="s">
        <v>7</v>
      </c>
      <c r="B5" s="160">
        <f>IF(B$2=0,0,B$4/B$2)</f>
        <v>8.4647798742138374</v>
      </c>
      <c r="C5" s="161"/>
      <c r="E5" s="59" t="s">
        <v>166</v>
      </c>
      <c r="F5" s="56" t="s">
        <v>167</v>
      </c>
      <c r="G5" s="44">
        <v>169</v>
      </c>
      <c r="H5" s="129">
        <f>IF(B$15=0,0,G5/B$15)</f>
        <v>0.37555555555555553</v>
      </c>
      <c r="I5" s="90">
        <v>9</v>
      </c>
      <c r="K5" s="36">
        <v>3</v>
      </c>
      <c r="L5" s="95">
        <v>40.400000000000006</v>
      </c>
      <c r="N5" s="111" t="s">
        <v>133</v>
      </c>
      <c r="O5" s="118">
        <f t="shared" si="0"/>
        <v>376.25899280575538</v>
      </c>
      <c r="P5" s="115">
        <v>139</v>
      </c>
      <c r="Q5" s="99">
        <v>52300</v>
      </c>
    </row>
    <row r="6" spans="1:17" x14ac:dyDescent="0.45">
      <c r="A6" s="51" t="s">
        <v>1</v>
      </c>
      <c r="B6" s="150">
        <f>IF(B$2=0,0,(B$7*1+B$8*2+B$9*3)/B$2)</f>
        <v>1.7924528301886793</v>
      </c>
      <c r="C6" s="151"/>
      <c r="E6" s="59" t="s">
        <v>68</v>
      </c>
      <c r="F6" s="56" t="s">
        <v>12</v>
      </c>
      <c r="G6" s="44">
        <v>122</v>
      </c>
      <c r="H6" s="129">
        <f>IF(B$15=0,0,G6/B$15)</f>
        <v>0.27111111111111114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1972.0930232558139</v>
      </c>
      <c r="P6" s="115">
        <v>129</v>
      </c>
      <c r="Q6" s="99">
        <v>254400</v>
      </c>
    </row>
    <row r="7" spans="1:17" x14ac:dyDescent="0.45">
      <c r="A7" s="51" t="s">
        <v>2</v>
      </c>
      <c r="B7" s="44">
        <v>73</v>
      </c>
      <c r="C7" s="37">
        <f t="shared" ref="C7:C10" si="1">IF(B$2=0,0,B7/B$2)</f>
        <v>0.45911949685534592</v>
      </c>
      <c r="E7" s="59" t="s">
        <v>67</v>
      </c>
      <c r="F7" s="56" t="s">
        <v>23</v>
      </c>
      <c r="G7" s="44">
        <v>112</v>
      </c>
      <c r="H7" s="129">
        <f>IF(B$15=0,0,G7/B$15)</f>
        <v>0.24888888888888888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1879.047619047619</v>
      </c>
      <c r="P7" s="116">
        <v>105</v>
      </c>
      <c r="Q7" s="100">
        <v>197300</v>
      </c>
    </row>
    <row r="8" spans="1:17" x14ac:dyDescent="0.45">
      <c r="A8" s="51" t="s">
        <v>3</v>
      </c>
      <c r="B8" s="44">
        <v>46</v>
      </c>
      <c r="C8" s="37">
        <f t="shared" si="1"/>
        <v>0.28930817610062892</v>
      </c>
      <c r="E8" s="59" t="s">
        <v>89</v>
      </c>
      <c r="F8" s="56" t="s">
        <v>44</v>
      </c>
      <c r="G8" s="44">
        <v>63</v>
      </c>
      <c r="H8" s="129">
        <f>IF(B$15=0,0,G8/B$15)</f>
        <v>0.14000000000000001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40</v>
      </c>
      <c r="C9" s="38">
        <f t="shared" si="1"/>
        <v>0.25157232704402516</v>
      </c>
      <c r="E9" s="59" t="s">
        <v>69</v>
      </c>
      <c r="F9" s="56" t="s">
        <v>24</v>
      </c>
      <c r="G9" s="44">
        <v>58</v>
      </c>
      <c r="H9" s="129">
        <f>IF(B$15=0,0,G9/B$15)</f>
        <v>0.12888888888888889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4.40251572327044E-2</v>
      </c>
      <c r="E10" s="59" t="s">
        <v>65</v>
      </c>
      <c r="F10" s="56" t="s">
        <v>21</v>
      </c>
      <c r="G10" s="44">
        <v>50</v>
      </c>
      <c r="H10" s="129">
        <f>IF(B$15=0,0,G10/B$15)</f>
        <v>0.1111111111111111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13.158695652173908</v>
      </c>
      <c r="P10" s="114">
        <v>46</v>
      </c>
      <c r="Q10" s="102">
        <v>605.29999999999973</v>
      </c>
    </row>
    <row r="11" spans="1:17" x14ac:dyDescent="0.45">
      <c r="A11" s="54" t="s">
        <v>121</v>
      </c>
      <c r="B11" s="47">
        <v>349</v>
      </c>
      <c r="C11" s="42">
        <f>IF(B$3=0,0,B11/B$3)</f>
        <v>0.26702371843917366</v>
      </c>
      <c r="E11" s="59" t="s">
        <v>71</v>
      </c>
      <c r="F11" s="56" t="s">
        <v>26</v>
      </c>
      <c r="G11" s="44">
        <v>31</v>
      </c>
      <c r="H11" s="129">
        <f>IF(B$15=0,0,G11/B$15)</f>
        <v>6.8888888888888888E-2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2.6132075471698109</v>
      </c>
      <c r="P11" s="115">
        <v>53</v>
      </c>
      <c r="Q11" s="103">
        <v>138.49999999999997</v>
      </c>
    </row>
    <row r="12" spans="1:17" x14ac:dyDescent="0.45">
      <c r="A12" s="51" t="s">
        <v>118</v>
      </c>
      <c r="B12" s="44">
        <v>305</v>
      </c>
      <c r="C12" s="37">
        <f>IF(B$3=0,0,B12/B$3)</f>
        <v>0.23335883703136956</v>
      </c>
      <c r="E12" s="59" t="s">
        <v>86</v>
      </c>
      <c r="F12" s="56" t="s">
        <v>41</v>
      </c>
      <c r="G12" s="44">
        <v>30</v>
      </c>
      <c r="H12" s="129">
        <f>IF(B$15=0,0,G12/B$15)</f>
        <v>6.6666666666666666E-2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10.034999999999998</v>
      </c>
      <c r="P12" s="116">
        <v>60</v>
      </c>
      <c r="Q12" s="104">
        <v>602.09999999999991</v>
      </c>
    </row>
    <row r="13" spans="1:17" x14ac:dyDescent="0.45">
      <c r="A13" s="50" t="s">
        <v>123</v>
      </c>
      <c r="B13" s="43">
        <f>B19</f>
        <v>209</v>
      </c>
      <c r="C13" s="35">
        <f>IF(B$11=0,0,B13/B$11)</f>
        <v>0.59885386819484243</v>
      </c>
      <c r="E13" s="59" t="s">
        <v>70</v>
      </c>
      <c r="F13" s="56" t="s">
        <v>25</v>
      </c>
      <c r="G13" s="44">
        <v>24</v>
      </c>
      <c r="H13" s="129">
        <f>IF(B$15=0,0,G13/B$15)</f>
        <v>5.3333333333333337E-2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151</v>
      </c>
      <c r="C14" s="35">
        <f>IF(B$12=0,0,B14/B$12)</f>
        <v>0.49508196721311476</v>
      </c>
      <c r="E14" s="59" t="s">
        <v>83</v>
      </c>
      <c r="F14" s="56" t="s">
        <v>38</v>
      </c>
      <c r="G14" s="44">
        <v>22</v>
      </c>
      <c r="H14" s="129">
        <f>IF(B$15=0,0,G14/B$15)</f>
        <v>4.8888888888888891E-2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450</v>
      </c>
      <c r="C15" s="35">
        <f>IF(B$3=0,0,B15/B$3)</f>
        <v>0.34429992348890587</v>
      </c>
      <c r="E15" s="59" t="s">
        <v>78</v>
      </c>
      <c r="F15" s="56" t="s">
        <v>33</v>
      </c>
      <c r="G15" s="44">
        <v>19</v>
      </c>
      <c r="H15" s="129">
        <f>IF(B$15=0,0,G15/B$15)</f>
        <v>4.2222222222222223E-2</v>
      </c>
      <c r="I15" s="90">
        <v>3</v>
      </c>
      <c r="K15" s="36">
        <v>13</v>
      </c>
      <c r="L15" s="95">
        <v>206.39999999999998</v>
      </c>
      <c r="N15" s="110" t="s">
        <v>274</v>
      </c>
      <c r="O15" s="120">
        <f>IF(P15=0,0,Q15/P15)</f>
        <v>49.766666666666659</v>
      </c>
      <c r="P15" s="114">
        <v>3</v>
      </c>
      <c r="Q15" s="102">
        <v>149.29999999999998</v>
      </c>
    </row>
    <row r="16" spans="1:17" x14ac:dyDescent="0.45">
      <c r="A16" s="51" t="s">
        <v>13</v>
      </c>
      <c r="B16" s="44">
        <v>172</v>
      </c>
      <c r="C16" s="37">
        <f>IF(B$3=0,0,B16/B$3)</f>
        <v>0.13159908186687069</v>
      </c>
      <c r="E16" s="59" t="s">
        <v>162</v>
      </c>
      <c r="F16" s="56" t="s">
        <v>163</v>
      </c>
      <c r="G16" s="44">
        <v>13</v>
      </c>
      <c r="H16" s="129">
        <f>IF(B$15=0,0,G16/B$15)</f>
        <v>2.8888888888888888E-2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39.662500000000009</v>
      </c>
      <c r="P16" s="115">
        <v>8</v>
      </c>
      <c r="Q16" s="103">
        <v>317.30000000000007</v>
      </c>
    </row>
    <row r="17" spans="1:17" x14ac:dyDescent="0.45">
      <c r="A17" s="51" t="s">
        <v>12</v>
      </c>
      <c r="B17" s="44">
        <v>186</v>
      </c>
      <c r="C17" s="37">
        <f>IF(B$15=0,0,B17/B$15)</f>
        <v>0.41333333333333333</v>
      </c>
      <c r="E17" s="59" t="s">
        <v>81</v>
      </c>
      <c r="F17" s="56" t="s">
        <v>36</v>
      </c>
      <c r="G17" s="44">
        <v>6</v>
      </c>
      <c r="H17" s="129">
        <f>IF(B$15=0,0,G17/B$15)</f>
        <v>1.3333333333333334E-2</v>
      </c>
      <c r="I17" s="90">
        <v>10</v>
      </c>
      <c r="K17" s="36">
        <v>15</v>
      </c>
      <c r="L17" s="95">
        <v>269.49999999999994</v>
      </c>
      <c r="N17" s="111" t="s">
        <v>197</v>
      </c>
      <c r="O17" s="121">
        <f>IF(P17=0,0,Q17/P17)</f>
        <v>26.642105263157898</v>
      </c>
      <c r="P17" s="115">
        <v>19</v>
      </c>
      <c r="Q17" s="103">
        <v>506.20000000000005</v>
      </c>
    </row>
    <row r="18" spans="1:17" x14ac:dyDescent="0.45">
      <c r="A18" s="51" t="s">
        <v>11</v>
      </c>
      <c r="B18" s="44">
        <v>264</v>
      </c>
      <c r="C18" s="37">
        <f>IF(B$15=0,0,B18/B$15)</f>
        <v>0.58666666666666667</v>
      </c>
      <c r="E18" s="59" t="s">
        <v>75</v>
      </c>
      <c r="F18" s="56" t="s">
        <v>30</v>
      </c>
      <c r="G18" s="44">
        <v>5</v>
      </c>
      <c r="H18" s="129">
        <f>IF(B$15=0,0,G18/B$15)</f>
        <v>1.1111111111111112E-2</v>
      </c>
      <c r="I18" s="90">
        <v>4</v>
      </c>
      <c r="K18" s="36">
        <v>16</v>
      </c>
      <c r="L18" s="95">
        <v>323.69999999999993</v>
      </c>
      <c r="N18" s="111" t="s">
        <v>171</v>
      </c>
      <c r="O18" s="121">
        <f>IF(P18=0,0,Q18/P18)</f>
        <v>14.101724137931035</v>
      </c>
      <c r="P18" s="115">
        <v>58</v>
      </c>
      <c r="Q18" s="103">
        <v>817.9</v>
      </c>
    </row>
    <row r="19" spans="1:17" x14ac:dyDescent="0.45">
      <c r="A19" s="51" t="s">
        <v>195</v>
      </c>
      <c r="B19" s="44">
        <v>209</v>
      </c>
      <c r="C19" s="37">
        <f>IF(B$15=0,0,B19/B$15)</f>
        <v>0.46444444444444444</v>
      </c>
      <c r="E19" s="59" t="s">
        <v>79</v>
      </c>
      <c r="F19" s="56" t="s">
        <v>34</v>
      </c>
      <c r="G19" s="44">
        <v>4</v>
      </c>
      <c r="H19" s="129">
        <f>IF(B$15=0,0,G19/B$15)</f>
        <v>8.8888888888888889E-3</v>
      </c>
      <c r="I19" s="90">
        <v>8</v>
      </c>
      <c r="K19" s="36">
        <v>17</v>
      </c>
      <c r="L19" s="95">
        <v>359.09999999999991</v>
      </c>
      <c r="N19" s="111" t="s">
        <v>172</v>
      </c>
      <c r="O19" s="121">
        <f>IF(P19=0,0,Q19/P19)</f>
        <v>13.508771929824562</v>
      </c>
      <c r="P19" s="115">
        <v>57</v>
      </c>
      <c r="Q19" s="103">
        <v>770</v>
      </c>
    </row>
    <row r="20" spans="1:17" x14ac:dyDescent="0.45">
      <c r="A20" s="51" t="s">
        <v>193</v>
      </c>
      <c r="B20" s="44">
        <v>151</v>
      </c>
      <c r="C20" s="37">
        <f>IF(B$15=0,0,B20/B$15)</f>
        <v>0.33555555555555555</v>
      </c>
      <c r="E20" s="59" t="s">
        <v>91</v>
      </c>
      <c r="F20" s="56" t="s">
        <v>46</v>
      </c>
      <c r="G20" s="44">
        <v>4</v>
      </c>
      <c r="H20" s="129">
        <f>IF(B$15=0,0,G20/B$15)</f>
        <v>8.8888888888888889E-3</v>
      </c>
      <c r="I20" s="90">
        <v>7</v>
      </c>
      <c r="K20" s="36">
        <v>18</v>
      </c>
      <c r="L20" s="95">
        <v>352.39999999999992</v>
      </c>
      <c r="N20" s="111" t="s">
        <v>161</v>
      </c>
      <c r="O20" s="121">
        <f>IF(P20=0,0,Q20/P20)</f>
        <v>13.075675675675678</v>
      </c>
      <c r="P20" s="115">
        <v>37</v>
      </c>
      <c r="Q20" s="103">
        <v>483.80000000000007</v>
      </c>
    </row>
    <row r="21" spans="1:17" x14ac:dyDescent="0.45">
      <c r="A21" s="51" t="s">
        <v>194</v>
      </c>
      <c r="B21" s="44">
        <v>90</v>
      </c>
      <c r="C21" s="37">
        <f>IF(B$15=0,0,B21/B$15)</f>
        <v>0.2</v>
      </c>
      <c r="E21" s="59" t="s">
        <v>77</v>
      </c>
      <c r="F21" s="56" t="s">
        <v>32</v>
      </c>
      <c r="G21" s="44">
        <v>3</v>
      </c>
      <c r="H21" s="129">
        <f>IF(B$15=0,0,G21/B$15)</f>
        <v>6.6666666666666671E-3</v>
      </c>
      <c r="I21" s="90">
        <v>1</v>
      </c>
      <c r="K21" s="36">
        <v>19</v>
      </c>
      <c r="L21" s="95">
        <v>383.19999999999993</v>
      </c>
      <c r="N21" s="111" t="s">
        <v>127</v>
      </c>
      <c r="O21" s="121">
        <f>IF(P21=0,0,Q21/P21)</f>
        <v>12.341935483870968</v>
      </c>
      <c r="P21" s="115">
        <v>93</v>
      </c>
      <c r="Q21" s="103">
        <v>1147.8</v>
      </c>
    </row>
    <row r="22" spans="1:17" x14ac:dyDescent="0.45">
      <c r="A22" s="51" t="s">
        <v>5</v>
      </c>
      <c r="B22" s="48">
        <f>IF(B$15=0,0,C22/B$15)</f>
        <v>8114.4444444444443</v>
      </c>
      <c r="C22" s="39">
        <v>3651500</v>
      </c>
      <c r="E22" s="59" t="s">
        <v>84</v>
      </c>
      <c r="F22" s="56" t="s">
        <v>39</v>
      </c>
      <c r="G22" s="44">
        <v>3</v>
      </c>
      <c r="H22" s="129">
        <f>IF(B$15=0,0,G22/B$15)</f>
        <v>6.6666666666666671E-3</v>
      </c>
      <c r="I22" s="90">
        <v>2</v>
      </c>
      <c r="K22" s="36">
        <v>20</v>
      </c>
      <c r="L22" s="95">
        <v>365.49999999999994</v>
      </c>
      <c r="N22" s="111" t="s">
        <v>170</v>
      </c>
      <c r="O22" s="121">
        <f>IF(P22=0,0,Q22/P22)</f>
        <v>-2.0023809523809515</v>
      </c>
      <c r="P22" s="115">
        <v>42</v>
      </c>
      <c r="Q22" s="103">
        <v>-84.099999999999966</v>
      </c>
    </row>
    <row r="23" spans="1:17" x14ac:dyDescent="0.45">
      <c r="A23" s="52" t="s">
        <v>177</v>
      </c>
      <c r="B23" s="136">
        <f>IF($B$15-B$14=0,0,C23/($B$15-B$14))</f>
        <v>8580.9364548494977</v>
      </c>
      <c r="C23" s="137">
        <v>2565700</v>
      </c>
      <c r="E23" s="59" t="s">
        <v>85</v>
      </c>
      <c r="F23" s="56" t="s">
        <v>40</v>
      </c>
      <c r="G23" s="44">
        <v>3</v>
      </c>
      <c r="H23" s="129">
        <f>IF(B$15=0,0,G23/B$15)</f>
        <v>6.6666666666666671E-3</v>
      </c>
      <c r="I23" s="90">
        <v>4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7190.7284768211921</v>
      </c>
      <c r="C24" s="137">
        <v>1085800</v>
      </c>
      <c r="E24" s="59" t="s">
        <v>92</v>
      </c>
      <c r="F24" s="56" t="s">
        <v>47</v>
      </c>
      <c r="G24" s="44">
        <v>3</v>
      </c>
      <c r="H24" s="129">
        <f>IF(B$15=0,0,G24/B$15)</f>
        <v>6.6666666666666671E-3</v>
      </c>
      <c r="I24" s="90">
        <v>4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-7604.0697674418607</v>
      </c>
      <c r="C25" s="137">
        <v>-1307900</v>
      </c>
      <c r="E25" s="59" t="s">
        <v>74</v>
      </c>
      <c r="F25" s="56" t="s">
        <v>29</v>
      </c>
      <c r="G25" s="44">
        <v>2</v>
      </c>
      <c r="H25" s="129">
        <f>IF(B$15=0,0,G25/B$15)</f>
        <v>4.4444444444444444E-3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88</v>
      </c>
      <c r="F26" s="56" t="s">
        <v>43</v>
      </c>
      <c r="G26" s="44">
        <v>2</v>
      </c>
      <c r="H26" s="129">
        <f>IF(B$15=0,0,G26/B$15)</f>
        <v>4.4444444444444444E-3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2</v>
      </c>
      <c r="E27" s="59" t="s">
        <v>95</v>
      </c>
      <c r="F27" s="56" t="s">
        <v>50</v>
      </c>
      <c r="G27" s="44">
        <v>2</v>
      </c>
      <c r="H27" s="129">
        <f>IF(B$15=0,0,G27/B$15)</f>
        <v>4.4444444444444444E-3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2.2222222222222222E-3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2.2222222222222222E-3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7.6511094108645751E-4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42</v>
      </c>
      <c r="C32" s="141">
        <f>IF(B$15=0,0,B32/B$15)</f>
        <v>9.3333333333333338E-2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84</v>
      </c>
      <c r="C33" s="37">
        <f t="shared" ref="C33:C44" si="2">IF(B$15=0,0,B33/B$15)</f>
        <v>0.18666666666666668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92</v>
      </c>
      <c r="C34" s="37">
        <f>IF(B$15=0,0,B34/B$15)</f>
        <v>0.20444444444444446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82</v>
      </c>
      <c r="C35" s="37">
        <f t="shared" si="2"/>
        <v>0.18222222222222223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63</v>
      </c>
      <c r="C36" s="37">
        <f t="shared" si="2"/>
        <v>0.14000000000000001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41</v>
      </c>
      <c r="C37" s="37">
        <f t="shared" si="2"/>
        <v>9.1111111111111115E-2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23</v>
      </c>
      <c r="C38" s="37">
        <f t="shared" si="2"/>
        <v>5.1111111111111114E-2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6</v>
      </c>
      <c r="C39" s="37">
        <f t="shared" si="2"/>
        <v>1.3333333333333334E-2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10</v>
      </c>
      <c r="C40" s="37">
        <f t="shared" si="2"/>
        <v>2.2222222222222223E-2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2.2222222222222222E-3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6</v>
      </c>
      <c r="C44" s="40">
        <f t="shared" si="2"/>
        <v>1.3333333333333334E-2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EE9E7-DD4A-4E07-9B69-31E4074A2932}">
  <sheetPr codeName="Sheet11"/>
  <dimension ref="A1:Q14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139</v>
      </c>
      <c r="C2" s="155"/>
      <c r="E2" s="58" t="s">
        <v>66</v>
      </c>
      <c r="F2" s="55" t="s">
        <v>22</v>
      </c>
      <c r="G2" s="43">
        <v>283</v>
      </c>
      <c r="H2" s="128">
        <f>IF(B$15=0,0,G2/B$15)</f>
        <v>0.80626780626780625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-1588.4057971014493</v>
      </c>
      <c r="P2" s="114">
        <v>138</v>
      </c>
      <c r="Q2" s="98">
        <v>-219200</v>
      </c>
    </row>
    <row r="3" spans="1:17" x14ac:dyDescent="0.45">
      <c r="A3" s="51" t="s">
        <v>8</v>
      </c>
      <c r="B3" s="156">
        <v>1166</v>
      </c>
      <c r="C3" s="157"/>
      <c r="E3" s="59" t="s">
        <v>72</v>
      </c>
      <c r="F3" s="56" t="s">
        <v>27</v>
      </c>
      <c r="G3" s="44">
        <v>199</v>
      </c>
      <c r="H3" s="129">
        <f>IF(B$15=0,0,G3/B$15)</f>
        <v>0.5669515669515669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1443.3823529411766</v>
      </c>
      <c r="P3" s="115">
        <v>136</v>
      </c>
      <c r="Q3" s="99">
        <v>196300</v>
      </c>
    </row>
    <row r="4" spans="1:17" x14ac:dyDescent="0.45">
      <c r="A4" s="51" t="s">
        <v>6</v>
      </c>
      <c r="B4" s="158">
        <v>32.099999999999817</v>
      </c>
      <c r="C4" s="159"/>
      <c r="E4" s="59" t="s">
        <v>166</v>
      </c>
      <c r="F4" s="56" t="s">
        <v>167</v>
      </c>
      <c r="G4" s="44">
        <v>137</v>
      </c>
      <c r="H4" s="129">
        <f>IF(B$15=0,0,G4/B$15)</f>
        <v>0.3903133903133903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-388</v>
      </c>
      <c r="P4" s="115">
        <v>125</v>
      </c>
      <c r="Q4" s="99">
        <v>-48500</v>
      </c>
    </row>
    <row r="5" spans="1:17" x14ac:dyDescent="0.45">
      <c r="A5" s="51" t="s">
        <v>7</v>
      </c>
      <c r="B5" s="160">
        <f>IF(B$2=0,0,B$4/B$2)</f>
        <v>0.23093525179855984</v>
      </c>
      <c r="C5" s="161"/>
      <c r="E5" s="59" t="s">
        <v>64</v>
      </c>
      <c r="F5" s="56" t="s">
        <v>20</v>
      </c>
      <c r="G5" s="44">
        <v>136</v>
      </c>
      <c r="H5" s="129">
        <f>IF(B$15=0,0,G5/B$15)</f>
        <v>0.38746438746438744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321.00840336134456</v>
      </c>
      <c r="P5" s="115">
        <v>119</v>
      </c>
      <c r="Q5" s="99">
        <v>38200</v>
      </c>
    </row>
    <row r="6" spans="1:17" x14ac:dyDescent="0.45">
      <c r="A6" s="51" t="s">
        <v>1</v>
      </c>
      <c r="B6" s="150">
        <f>IF(B$2=0,0,(B$7*1+B$8*2+B$9*3)/B$2)</f>
        <v>1.9568345323741008</v>
      </c>
      <c r="C6" s="151"/>
      <c r="E6" s="59" t="s">
        <v>68</v>
      </c>
      <c r="F6" s="56" t="s">
        <v>12</v>
      </c>
      <c r="G6" s="44">
        <v>97</v>
      </c>
      <c r="H6" s="129">
        <f>IF(B$15=0,0,G6/B$15)</f>
        <v>0.27635327635327633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-931.48148148148152</v>
      </c>
      <c r="P6" s="115">
        <v>108</v>
      </c>
      <c r="Q6" s="99">
        <v>-100600</v>
      </c>
    </row>
    <row r="7" spans="1:17" x14ac:dyDescent="0.45">
      <c r="A7" s="51" t="s">
        <v>2</v>
      </c>
      <c r="B7" s="44">
        <v>47</v>
      </c>
      <c r="C7" s="37">
        <f t="shared" ref="C7:C10" si="1">IF(B$2=0,0,B7/B$2)</f>
        <v>0.33812949640287771</v>
      </c>
      <c r="E7" s="59" t="s">
        <v>67</v>
      </c>
      <c r="F7" s="56" t="s">
        <v>23</v>
      </c>
      <c r="G7" s="44">
        <v>73</v>
      </c>
      <c r="H7" s="129">
        <f>IF(B$15=0,0,G7/B$15)</f>
        <v>0.20797720797720798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1419.5652173913043</v>
      </c>
      <c r="P7" s="116">
        <v>92</v>
      </c>
      <c r="Q7" s="100">
        <v>130600</v>
      </c>
    </row>
    <row r="8" spans="1:17" x14ac:dyDescent="0.45">
      <c r="A8" s="51" t="s">
        <v>3</v>
      </c>
      <c r="B8" s="44">
        <v>51</v>
      </c>
      <c r="C8" s="37">
        <f t="shared" si="1"/>
        <v>0.36690647482014388</v>
      </c>
      <c r="E8" s="59" t="s">
        <v>69</v>
      </c>
      <c r="F8" s="56" t="s">
        <v>24</v>
      </c>
      <c r="G8" s="44">
        <v>41</v>
      </c>
      <c r="H8" s="129">
        <f>IF(B$15=0,0,G8/B$15)</f>
        <v>0.11680911680911681</v>
      </c>
      <c r="I8" s="90">
        <v>11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41</v>
      </c>
      <c r="C9" s="38">
        <f t="shared" si="1"/>
        <v>0.29496402877697842</v>
      </c>
      <c r="E9" s="59" t="s">
        <v>89</v>
      </c>
      <c r="F9" s="56" t="s">
        <v>44</v>
      </c>
      <c r="G9" s="44">
        <v>41</v>
      </c>
      <c r="H9" s="129">
        <f>IF(B$15=0,0,G9/B$15)</f>
        <v>0.11680911680911681</v>
      </c>
      <c r="I9" s="90">
        <v>9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0.12949640287769784</v>
      </c>
      <c r="E10" s="59" t="s">
        <v>70</v>
      </c>
      <c r="F10" s="56" t="s">
        <v>25</v>
      </c>
      <c r="G10" s="44">
        <v>35</v>
      </c>
      <c r="H10" s="129">
        <f>IF(B$15=0,0,G10/B$15)</f>
        <v>9.9715099715099717E-2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1.371052631578948</v>
      </c>
      <c r="P10" s="114">
        <v>38</v>
      </c>
      <c r="Q10" s="102">
        <v>52.100000000000023</v>
      </c>
    </row>
    <row r="11" spans="1:17" x14ac:dyDescent="0.45">
      <c r="A11" s="54" t="s">
        <v>121</v>
      </c>
      <c r="B11" s="47">
        <v>272</v>
      </c>
      <c r="C11" s="42">
        <f>IF(B$3=0,0,B11/B$3)</f>
        <v>0.23327615780445971</v>
      </c>
      <c r="E11" s="59" t="s">
        <v>71</v>
      </c>
      <c r="F11" s="56" t="s">
        <v>26</v>
      </c>
      <c r="G11" s="44">
        <v>34</v>
      </c>
      <c r="H11" s="129">
        <f>IF(B$15=0,0,G11/B$15)</f>
        <v>9.686609686609686E-2</v>
      </c>
      <c r="I11" s="90">
        <v>5</v>
      </c>
      <c r="K11" s="36">
        <v>9</v>
      </c>
      <c r="L11" s="95">
        <v>-83.699999999999989</v>
      </c>
      <c r="N11" s="111" t="s">
        <v>158</v>
      </c>
      <c r="O11" s="121">
        <f>IF(P11=0,0,Q11/P11)</f>
        <v>4.1333333333333346</v>
      </c>
      <c r="P11" s="115">
        <v>48</v>
      </c>
      <c r="Q11" s="103">
        <v>198.40000000000006</v>
      </c>
    </row>
    <row r="12" spans="1:17" x14ac:dyDescent="0.45">
      <c r="A12" s="51" t="s">
        <v>118</v>
      </c>
      <c r="B12" s="44">
        <v>350</v>
      </c>
      <c r="C12" s="37">
        <f>IF(B$3=0,0,B12/B$3)</f>
        <v>0.30017152658662094</v>
      </c>
      <c r="E12" s="59" t="s">
        <v>65</v>
      </c>
      <c r="F12" s="56" t="s">
        <v>21</v>
      </c>
      <c r="G12" s="44">
        <v>30</v>
      </c>
      <c r="H12" s="129">
        <f>IF(B$15=0,0,G12/B$15)</f>
        <v>8.5470085470085472E-2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-4.1207547169811329</v>
      </c>
      <c r="P12" s="116">
        <v>53</v>
      </c>
      <c r="Q12" s="104">
        <v>-218.40000000000003</v>
      </c>
    </row>
    <row r="13" spans="1:17" x14ac:dyDescent="0.45">
      <c r="A13" s="50" t="s">
        <v>123</v>
      </c>
      <c r="B13" s="43">
        <f>B19</f>
        <v>136</v>
      </c>
      <c r="C13" s="35">
        <f>IF(B$11=0,0,B13/B$11)</f>
        <v>0.5</v>
      </c>
      <c r="E13" s="59" t="s">
        <v>86</v>
      </c>
      <c r="F13" s="56" t="s">
        <v>41</v>
      </c>
      <c r="G13" s="44">
        <v>24</v>
      </c>
      <c r="H13" s="129">
        <f>IF(B$15=0,0,G13/B$15)</f>
        <v>6.8376068376068383E-2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132</v>
      </c>
      <c r="C14" s="35">
        <f>IF(B$12=0,0,B14/B$12)</f>
        <v>0.37714285714285717</v>
      </c>
      <c r="E14" s="59" t="s">
        <v>83</v>
      </c>
      <c r="F14" s="56" t="s">
        <v>38</v>
      </c>
      <c r="G14" s="44">
        <v>19</v>
      </c>
      <c r="H14" s="129">
        <f>IF(B$15=0,0,G14/B$15)</f>
        <v>5.4131054131054131E-2</v>
      </c>
      <c r="I14" s="90">
        <v>6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351</v>
      </c>
      <c r="C15" s="35">
        <f>IF(B$3=0,0,B15/B$3)</f>
        <v>0.30102915951972553</v>
      </c>
      <c r="E15" s="59" t="s">
        <v>91</v>
      </c>
      <c r="F15" s="56" t="s">
        <v>46</v>
      </c>
      <c r="G15" s="44">
        <v>11</v>
      </c>
      <c r="H15" s="129">
        <f>IF(B$15=0,0,G15/B$15)</f>
        <v>3.1339031339031341E-2</v>
      </c>
      <c r="I15" s="90">
        <v>2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215</v>
      </c>
      <c r="C16" s="37">
        <f>IF(B$3=0,0,B16/B$3)</f>
        <v>0.18439108061749571</v>
      </c>
      <c r="E16" s="59" t="s">
        <v>78</v>
      </c>
      <c r="F16" s="56" t="s">
        <v>33</v>
      </c>
      <c r="G16" s="44">
        <v>10</v>
      </c>
      <c r="H16" s="129">
        <f>IF(B$15=0,0,G16/B$15)</f>
        <v>2.8490028490028491E-2</v>
      </c>
      <c r="I16" s="90">
        <v>5</v>
      </c>
      <c r="K16" s="36">
        <v>14</v>
      </c>
      <c r="L16" s="95">
        <v>-138.4</v>
      </c>
      <c r="N16" s="111" t="s">
        <v>172</v>
      </c>
      <c r="O16" s="121">
        <f>IF(P16=0,0,Q16/P16)</f>
        <v>17.456249999999994</v>
      </c>
      <c r="P16" s="115">
        <v>48</v>
      </c>
      <c r="Q16" s="103">
        <v>837.89999999999964</v>
      </c>
    </row>
    <row r="17" spans="1:17" x14ac:dyDescent="0.45">
      <c r="A17" s="51" t="s">
        <v>12</v>
      </c>
      <c r="B17" s="44">
        <v>144</v>
      </c>
      <c r="C17" s="37">
        <f>IF(B$15=0,0,B17/B$15)</f>
        <v>0.41025641025641024</v>
      </c>
      <c r="E17" s="59" t="s">
        <v>81</v>
      </c>
      <c r="F17" s="56" t="s">
        <v>36</v>
      </c>
      <c r="G17" s="44">
        <v>8</v>
      </c>
      <c r="H17" s="129">
        <f>IF(B$15=0,0,G17/B$15)</f>
        <v>2.2792022792022793E-2</v>
      </c>
      <c r="I17" s="90">
        <v>4</v>
      </c>
      <c r="K17" s="36">
        <v>15</v>
      </c>
      <c r="L17" s="95">
        <v>-144.30000000000001</v>
      </c>
      <c r="N17" s="111" t="s">
        <v>197</v>
      </c>
      <c r="O17" s="121">
        <f>IF(P17=0,0,Q17/P17)</f>
        <v>16.62857142857143</v>
      </c>
      <c r="P17" s="115">
        <v>14</v>
      </c>
      <c r="Q17" s="103">
        <v>232.8</v>
      </c>
    </row>
    <row r="18" spans="1:17" x14ac:dyDescent="0.45">
      <c r="A18" s="51" t="s">
        <v>11</v>
      </c>
      <c r="B18" s="44">
        <v>207</v>
      </c>
      <c r="C18" s="37">
        <f>IF(B$15=0,0,B18/B$15)</f>
        <v>0.58974358974358976</v>
      </c>
      <c r="E18" s="59" t="s">
        <v>79</v>
      </c>
      <c r="F18" s="56" t="s">
        <v>34</v>
      </c>
      <c r="G18" s="44">
        <v>6</v>
      </c>
      <c r="H18" s="129">
        <f>IF(B$15=0,0,G18/B$15)</f>
        <v>1.7094017094017096E-2</v>
      </c>
      <c r="I18" s="90">
        <v>5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136</v>
      </c>
      <c r="C19" s="37">
        <f>IF(B$15=0,0,B19/B$15)</f>
        <v>0.38746438746438744</v>
      </c>
      <c r="E19" s="59" t="s">
        <v>162</v>
      </c>
      <c r="F19" s="56" t="s">
        <v>163</v>
      </c>
      <c r="G19" s="44">
        <v>5</v>
      </c>
      <c r="H19" s="129">
        <f>IF(B$15=0,0,G19/B$15)</f>
        <v>1.4245014245014245E-2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3.0249999999999995</v>
      </c>
      <c r="P19" s="115">
        <v>28</v>
      </c>
      <c r="Q19" s="103">
        <v>84.699999999999989</v>
      </c>
    </row>
    <row r="20" spans="1:17" x14ac:dyDescent="0.45">
      <c r="A20" s="51" t="s">
        <v>193</v>
      </c>
      <c r="B20" s="44">
        <v>132</v>
      </c>
      <c r="C20" s="37">
        <f>IF(B$15=0,0,B20/B$15)</f>
        <v>0.37606837606837606</v>
      </c>
      <c r="E20" s="59" t="s">
        <v>92</v>
      </c>
      <c r="F20" s="56" t="s">
        <v>47</v>
      </c>
      <c r="G20" s="44">
        <v>3</v>
      </c>
      <c r="H20" s="129">
        <f>IF(B$15=0,0,G20/B$15)</f>
        <v>8.5470085470085479E-3</v>
      </c>
      <c r="I20" s="90">
        <v>2</v>
      </c>
      <c r="K20" s="36">
        <v>18</v>
      </c>
      <c r="L20" s="95">
        <v>-112.90000000000002</v>
      </c>
      <c r="N20" s="111" t="s">
        <v>274</v>
      </c>
      <c r="O20" s="121">
        <f>IF(P20=0,0,Q20/P20)</f>
        <v>0.40000000000000036</v>
      </c>
      <c r="P20" s="115">
        <v>4</v>
      </c>
      <c r="Q20" s="103">
        <v>1.6000000000000014</v>
      </c>
    </row>
    <row r="21" spans="1:17" x14ac:dyDescent="0.45">
      <c r="A21" s="51" t="s">
        <v>194</v>
      </c>
      <c r="B21" s="44">
        <v>83</v>
      </c>
      <c r="C21" s="37">
        <f>IF(B$15=0,0,B21/B$15)</f>
        <v>0.23646723646723647</v>
      </c>
      <c r="E21" s="59" t="s">
        <v>74</v>
      </c>
      <c r="F21" s="56" t="s">
        <v>29</v>
      </c>
      <c r="G21" s="44">
        <v>2</v>
      </c>
      <c r="H21" s="129">
        <f>IF(B$15=0,0,G21/B$15)</f>
        <v>5.6980056980056983E-3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-1.1651162790697653</v>
      </c>
      <c r="P21" s="115">
        <v>43</v>
      </c>
      <c r="Q21" s="103">
        <v>-50.099999999999909</v>
      </c>
    </row>
    <row r="22" spans="1:17" x14ac:dyDescent="0.45">
      <c r="A22" s="51" t="s">
        <v>5</v>
      </c>
      <c r="B22" s="48">
        <f>IF(B$15=0,0,C22/B$15)</f>
        <v>8363.5327635327631</v>
      </c>
      <c r="C22" s="39">
        <v>2935600</v>
      </c>
      <c r="E22" s="59" t="s">
        <v>75</v>
      </c>
      <c r="F22" s="56" t="s">
        <v>30</v>
      </c>
      <c r="G22" s="44">
        <v>2</v>
      </c>
      <c r="H22" s="129">
        <f>IF(B$15=0,0,G22/B$15)</f>
        <v>5.6980056980056983E-3</v>
      </c>
      <c r="I22" s="90">
        <v>7</v>
      </c>
      <c r="K22" s="36">
        <v>20</v>
      </c>
      <c r="L22" s="95">
        <v>-96.000000000000028</v>
      </c>
      <c r="N22" s="111" t="s">
        <v>170</v>
      </c>
      <c r="O22" s="121">
        <f>IF(P22=0,0,Q22/P22)</f>
        <v>-1.9731707317073117</v>
      </c>
      <c r="P22" s="115">
        <v>41</v>
      </c>
      <c r="Q22" s="103">
        <v>-80.899999999999778</v>
      </c>
    </row>
    <row r="23" spans="1:17" x14ac:dyDescent="0.45">
      <c r="A23" s="52" t="s">
        <v>177</v>
      </c>
      <c r="B23" s="136">
        <f>IF($B$15-B$14=0,0,C23/($B$15-B$14))</f>
        <v>8981.278538812785</v>
      </c>
      <c r="C23" s="137">
        <v>1966900</v>
      </c>
      <c r="E23" s="59" t="s">
        <v>73</v>
      </c>
      <c r="F23" s="56" t="s">
        <v>28</v>
      </c>
      <c r="G23" s="44">
        <v>1</v>
      </c>
      <c r="H23" s="129">
        <f>IF(B$15=0,0,G23/B$15)</f>
        <v>2.8490028490028491E-3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-12.341935483870968</v>
      </c>
      <c r="P23" s="115">
        <v>93</v>
      </c>
      <c r="Q23" s="103">
        <v>-1147.8</v>
      </c>
    </row>
    <row r="24" spans="1:17" x14ac:dyDescent="0.45">
      <c r="A24" s="52" t="s">
        <v>178</v>
      </c>
      <c r="B24" s="136">
        <f>IF(B$14=0,0,C24/B$14)</f>
        <v>7338.636363636364</v>
      </c>
      <c r="C24" s="137">
        <v>968700</v>
      </c>
      <c r="E24" s="59" t="s">
        <v>77</v>
      </c>
      <c r="F24" s="56" t="s">
        <v>32</v>
      </c>
      <c r="G24" s="44">
        <v>1</v>
      </c>
      <c r="H24" s="129">
        <f>IF(B$15=0,0,G24/B$15)</f>
        <v>2.8490028490028491E-3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-7917.6744186046508</v>
      </c>
      <c r="C25" s="137">
        <v>-1702300</v>
      </c>
      <c r="E25" s="59" t="s">
        <v>84</v>
      </c>
      <c r="F25" s="56" t="s">
        <v>39</v>
      </c>
      <c r="G25" s="44">
        <v>1</v>
      </c>
      <c r="H25" s="129">
        <f>IF(B$15=0,0,G25/B$15)</f>
        <v>2.8490028490028491E-3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2.8490028490028491E-3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5</v>
      </c>
      <c r="E27" s="59" t="s">
        <v>95</v>
      </c>
      <c r="F27" s="56" t="s">
        <v>50</v>
      </c>
      <c r="G27" s="44">
        <v>1</v>
      </c>
      <c r="H27" s="129">
        <f>IF(B$15=0,0,G27/B$15)</f>
        <v>2.8490028490028491E-3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4</v>
      </c>
      <c r="C30" s="40">
        <f>IF(B$3=0,0,B30/B$3)</f>
        <v>3.4305317324185248E-3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24</v>
      </c>
      <c r="C32" s="141">
        <f>IF(B$15=0,0,B32/B$15)</f>
        <v>6.8376068376068383E-2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57</v>
      </c>
      <c r="C33" s="37">
        <f t="shared" ref="C33:C44" si="2">IF(B$15=0,0,B33/B$15)</f>
        <v>0.1623931623931624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72</v>
      </c>
      <c r="C34" s="37">
        <f>IF(B$15=0,0,B34/B$15)</f>
        <v>0.20512820512820512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76</v>
      </c>
      <c r="C35" s="37">
        <f t="shared" si="2"/>
        <v>0.21652421652421652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52</v>
      </c>
      <c r="C36" s="37">
        <f t="shared" si="2"/>
        <v>0.14814814814814814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38</v>
      </c>
      <c r="C37" s="37">
        <f t="shared" si="2"/>
        <v>0.10826210826210826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12</v>
      </c>
      <c r="C38" s="37">
        <f t="shared" si="2"/>
        <v>3.4188034188034191E-2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8</v>
      </c>
      <c r="C39" s="37">
        <f t="shared" si="2"/>
        <v>2.2792022792022793E-2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5</v>
      </c>
      <c r="C40" s="37">
        <f t="shared" si="2"/>
        <v>1.4245014245014245E-2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2.8490028490028491E-3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2"/>
        <v>5.6980056980056983E-3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1.1396011396011397E-2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DFA27-4FB8-41E3-AD24-9C0B441EEF80}">
  <sheetPr codeName="Sheet13"/>
  <dimension ref="A1:Q9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93</v>
      </c>
      <c r="C2" s="155"/>
      <c r="E2" s="58" t="s">
        <v>66</v>
      </c>
      <c r="F2" s="55" t="s">
        <v>22</v>
      </c>
      <c r="G2" s="43">
        <v>173</v>
      </c>
      <c r="H2" s="128">
        <f>IF(B$15=0,0,G2/B$15)</f>
        <v>0.79357798165137616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-309.78260869565219</v>
      </c>
      <c r="P2" s="114">
        <v>92</v>
      </c>
      <c r="Q2" s="98">
        <v>-28500</v>
      </c>
    </row>
    <row r="3" spans="1:17" x14ac:dyDescent="0.45">
      <c r="A3" s="51" t="s">
        <v>8</v>
      </c>
      <c r="B3" s="156">
        <v>796</v>
      </c>
      <c r="C3" s="157"/>
      <c r="E3" s="59" t="s">
        <v>64</v>
      </c>
      <c r="F3" s="56" t="s">
        <v>20</v>
      </c>
      <c r="G3" s="44">
        <v>121</v>
      </c>
      <c r="H3" s="129">
        <f>IF(B$15=0,0,G3/B$15)</f>
        <v>0.55504587155963303</v>
      </c>
      <c r="I3" s="90">
        <v>4</v>
      </c>
      <c r="K3" s="36">
        <v>1</v>
      </c>
      <c r="L3" s="95">
        <v>-37.799999999999997</v>
      </c>
      <c r="N3" s="111" t="s">
        <v>131</v>
      </c>
      <c r="O3" s="118">
        <f t="shared" si="0"/>
        <v>-1053.2608695652175</v>
      </c>
      <c r="P3" s="115">
        <v>92</v>
      </c>
      <c r="Q3" s="99">
        <v>-96900</v>
      </c>
    </row>
    <row r="4" spans="1:17" x14ac:dyDescent="0.45">
      <c r="A4" s="51" t="s">
        <v>6</v>
      </c>
      <c r="B4" s="158">
        <v>-627.79999999999995</v>
      </c>
      <c r="C4" s="159"/>
      <c r="E4" s="59" t="s">
        <v>72</v>
      </c>
      <c r="F4" s="56" t="s">
        <v>27</v>
      </c>
      <c r="G4" s="44">
        <v>110</v>
      </c>
      <c r="H4" s="129">
        <f>IF(B$15=0,0,G4/B$15)</f>
        <v>0.50458715596330272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647.67441860465112</v>
      </c>
      <c r="P4" s="115">
        <v>86</v>
      </c>
      <c r="Q4" s="99">
        <v>55700</v>
      </c>
    </row>
    <row r="5" spans="1:17" x14ac:dyDescent="0.45">
      <c r="A5" s="51" t="s">
        <v>7</v>
      </c>
      <c r="B5" s="160">
        <f>IF(B$2=0,0,B$4/B$2)</f>
        <v>-6.7505376344086017</v>
      </c>
      <c r="C5" s="161"/>
      <c r="E5" s="59" t="s">
        <v>166</v>
      </c>
      <c r="F5" s="56" t="s">
        <v>167</v>
      </c>
      <c r="G5" s="44">
        <v>91</v>
      </c>
      <c r="H5" s="129">
        <f>IF(B$15=0,0,G5/B$15)</f>
        <v>0.41743119266055045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-785.88235294117646</v>
      </c>
      <c r="P5" s="115">
        <v>85</v>
      </c>
      <c r="Q5" s="99">
        <v>-66800</v>
      </c>
    </row>
    <row r="6" spans="1:17" x14ac:dyDescent="0.45">
      <c r="A6" s="51" t="s">
        <v>1</v>
      </c>
      <c r="B6" s="150">
        <f>IF(B$2=0,0,(B$7*1+B$8*2+B$9*3)/B$2)</f>
        <v>2.172043010752688</v>
      </c>
      <c r="C6" s="151"/>
      <c r="E6" s="59" t="s">
        <v>68</v>
      </c>
      <c r="F6" s="56" t="s">
        <v>12</v>
      </c>
      <c r="G6" s="44">
        <v>74</v>
      </c>
      <c r="H6" s="129">
        <f>IF(B$15=0,0,G6/B$15)</f>
        <v>0.33944954128440369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-3083.75</v>
      </c>
      <c r="P6" s="115">
        <v>80</v>
      </c>
      <c r="Q6" s="99">
        <v>-246700</v>
      </c>
    </row>
    <row r="7" spans="1:17" x14ac:dyDescent="0.45">
      <c r="A7" s="51" t="s">
        <v>2</v>
      </c>
      <c r="B7" s="44">
        <v>20</v>
      </c>
      <c r="C7" s="37">
        <f t="shared" ref="C7:C10" si="1">IF(B$2=0,0,B7/B$2)</f>
        <v>0.21505376344086022</v>
      </c>
      <c r="E7" s="59" t="s">
        <v>67</v>
      </c>
      <c r="F7" s="56" t="s">
        <v>23</v>
      </c>
      <c r="G7" s="44">
        <v>64</v>
      </c>
      <c r="H7" s="129">
        <f>IF(B$15=0,0,G7/B$15)</f>
        <v>0.29357798165137616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-1332.8571428571429</v>
      </c>
      <c r="P7" s="116">
        <v>70</v>
      </c>
      <c r="Q7" s="100">
        <v>-93300</v>
      </c>
    </row>
    <row r="8" spans="1:17" x14ac:dyDescent="0.45">
      <c r="A8" s="51" t="s">
        <v>3</v>
      </c>
      <c r="B8" s="44">
        <v>37</v>
      </c>
      <c r="C8" s="37">
        <f t="shared" si="1"/>
        <v>0.39784946236559138</v>
      </c>
      <c r="E8" s="59" t="s">
        <v>69</v>
      </c>
      <c r="F8" s="56" t="s">
        <v>24</v>
      </c>
      <c r="G8" s="44">
        <v>30</v>
      </c>
      <c r="H8" s="129">
        <f>IF(B$15=0,0,G8/B$15)</f>
        <v>0.13761467889908258</v>
      </c>
      <c r="I8" s="90">
        <v>7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36</v>
      </c>
      <c r="C9" s="38">
        <f t="shared" si="1"/>
        <v>0.38709677419354838</v>
      </c>
      <c r="E9" s="59" t="s">
        <v>70</v>
      </c>
      <c r="F9" s="56" t="s">
        <v>25</v>
      </c>
      <c r="G9" s="44">
        <v>27</v>
      </c>
      <c r="H9" s="129">
        <f>IF(B$15=0,0,G9/B$15)</f>
        <v>0.12385321100917432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7.5268817204301078E-2</v>
      </c>
      <c r="E10" s="59" t="s">
        <v>65</v>
      </c>
      <c r="F10" s="56" t="s">
        <v>21</v>
      </c>
      <c r="G10" s="44">
        <v>26</v>
      </c>
      <c r="H10" s="129">
        <f>IF(B$15=0,0,G10/B$15)</f>
        <v>0.11926605504587157</v>
      </c>
      <c r="I10" s="90">
        <v>7</v>
      </c>
      <c r="K10" s="36">
        <v>8</v>
      </c>
      <c r="L10" s="95">
        <v>-62.999999999999993</v>
      </c>
      <c r="N10" s="110" t="s">
        <v>157</v>
      </c>
      <c r="O10" s="120">
        <f>IF(P10=0,0,Q10/P10)</f>
        <v>-5.0026315789473701</v>
      </c>
      <c r="P10" s="114">
        <v>38</v>
      </c>
      <c r="Q10" s="102">
        <v>-190.10000000000008</v>
      </c>
    </row>
    <row r="11" spans="1:17" x14ac:dyDescent="0.45">
      <c r="A11" s="54" t="s">
        <v>121</v>
      </c>
      <c r="B11" s="47">
        <v>221</v>
      </c>
      <c r="C11" s="42">
        <f>IF(B$3=0,0,B11/B$3)</f>
        <v>0.27763819095477388</v>
      </c>
      <c r="E11" s="59" t="s">
        <v>89</v>
      </c>
      <c r="F11" s="56" t="s">
        <v>44</v>
      </c>
      <c r="G11" s="44">
        <v>25</v>
      </c>
      <c r="H11" s="129">
        <f>IF(B$15=0,0,G11/B$15)</f>
        <v>0.11467889908256881</v>
      </c>
      <c r="I11" s="90">
        <v>10</v>
      </c>
      <c r="K11" s="36">
        <v>9</v>
      </c>
      <c r="L11" s="95">
        <v>-74.199999999999989</v>
      </c>
      <c r="N11" s="111" t="s">
        <v>158</v>
      </c>
      <c r="O11" s="121">
        <f>IF(P11=0,0,Q11/P11)</f>
        <v>-6.8115384615384631</v>
      </c>
      <c r="P11" s="115">
        <v>26</v>
      </c>
      <c r="Q11" s="103">
        <v>-177.10000000000005</v>
      </c>
    </row>
    <row r="12" spans="1:17" x14ac:dyDescent="0.45">
      <c r="A12" s="51" t="s">
        <v>118</v>
      </c>
      <c r="B12" s="44">
        <v>159</v>
      </c>
      <c r="C12" s="37">
        <f>IF(B$3=0,0,B12/B$3)</f>
        <v>0.19974874371859297</v>
      </c>
      <c r="E12" s="59" t="s">
        <v>83</v>
      </c>
      <c r="F12" s="56" t="s">
        <v>38</v>
      </c>
      <c r="G12" s="44">
        <v>12</v>
      </c>
      <c r="H12" s="129">
        <f>IF(B$15=0,0,G12/B$15)</f>
        <v>5.5045871559633031E-2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-8.9862068965517228</v>
      </c>
      <c r="P12" s="116">
        <v>29</v>
      </c>
      <c r="Q12" s="104">
        <v>-260.59999999999997</v>
      </c>
    </row>
    <row r="13" spans="1:17" x14ac:dyDescent="0.45">
      <c r="A13" s="50" t="s">
        <v>123</v>
      </c>
      <c r="B13" s="43">
        <f>B19</f>
        <v>120</v>
      </c>
      <c r="C13" s="35">
        <f>IF(B$11=0,0,B13/B$11)</f>
        <v>0.54298642533936647</v>
      </c>
      <c r="E13" s="59" t="s">
        <v>86</v>
      </c>
      <c r="F13" s="56" t="s">
        <v>41</v>
      </c>
      <c r="G13" s="44">
        <v>10</v>
      </c>
      <c r="H13" s="129">
        <f>IF(B$15=0,0,G13/B$15)</f>
        <v>4.5871559633027525E-2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66</v>
      </c>
      <c r="C14" s="35">
        <f>IF(B$12=0,0,B14/B$12)</f>
        <v>0.41509433962264153</v>
      </c>
      <c r="E14" s="59" t="s">
        <v>71</v>
      </c>
      <c r="F14" s="56" t="s">
        <v>26</v>
      </c>
      <c r="G14" s="44">
        <v>9</v>
      </c>
      <c r="H14" s="129">
        <f>IF(B$15=0,0,G14/B$15)</f>
        <v>4.1284403669724773E-2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218</v>
      </c>
      <c r="C15" s="35">
        <f>IF(B$3=0,0,B15/B$3)</f>
        <v>0.27386934673366836</v>
      </c>
      <c r="E15" s="59" t="s">
        <v>78</v>
      </c>
      <c r="F15" s="56" t="s">
        <v>33</v>
      </c>
      <c r="G15" s="44">
        <v>7</v>
      </c>
      <c r="H15" s="129">
        <f>IF(B$15=0,0,G15/B$15)</f>
        <v>3.2110091743119268E-2</v>
      </c>
      <c r="I15" s="90">
        <v>4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145</v>
      </c>
      <c r="C16" s="37">
        <f>IF(B$3=0,0,B16/B$3)</f>
        <v>0.18216080402010051</v>
      </c>
      <c r="E16" s="59" t="s">
        <v>79</v>
      </c>
      <c r="F16" s="56" t="s">
        <v>34</v>
      </c>
      <c r="G16" s="44">
        <v>4</v>
      </c>
      <c r="H16" s="129">
        <f>IF(B$15=0,0,G16/B$15)</f>
        <v>1.834862385321101E-2</v>
      </c>
      <c r="I16" s="90">
        <v>4</v>
      </c>
      <c r="K16" s="36">
        <v>14</v>
      </c>
      <c r="L16" s="95">
        <v>-204.8</v>
      </c>
      <c r="N16" s="111" t="s">
        <v>170</v>
      </c>
      <c r="O16" s="121">
        <f t="shared" si="2"/>
        <v>2.5450000000000008</v>
      </c>
      <c r="P16" s="115">
        <v>20</v>
      </c>
      <c r="Q16" s="103">
        <v>50.90000000000002</v>
      </c>
    </row>
    <row r="17" spans="1:17" x14ac:dyDescent="0.45">
      <c r="A17" s="51" t="s">
        <v>12</v>
      </c>
      <c r="B17" s="44">
        <v>101</v>
      </c>
      <c r="C17" s="37">
        <f>IF(B$15=0,0,B17/B$15)</f>
        <v>0.46330275229357798</v>
      </c>
      <c r="E17" s="59" t="s">
        <v>162</v>
      </c>
      <c r="F17" s="56" t="s">
        <v>163</v>
      </c>
      <c r="G17" s="44">
        <v>4</v>
      </c>
      <c r="H17" s="129">
        <f>IF(B$15=0,0,G17/B$15)</f>
        <v>1.834862385321101E-2</v>
      </c>
      <c r="I17" s="90">
        <v>5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117</v>
      </c>
      <c r="C18" s="37">
        <f>IF(B$15=0,0,B18/B$15)</f>
        <v>0.53669724770642202</v>
      </c>
      <c r="E18" s="59" t="s">
        <v>75</v>
      </c>
      <c r="F18" s="56" t="s">
        <v>30</v>
      </c>
      <c r="G18" s="44">
        <v>3</v>
      </c>
      <c r="H18" s="129">
        <f>IF(B$15=0,0,G18/B$15)</f>
        <v>1.3761467889908258E-2</v>
      </c>
      <c r="I18" s="90">
        <v>3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120</v>
      </c>
      <c r="C19" s="37">
        <f>IF(B$15=0,0,B19/B$15)</f>
        <v>0.55045871559633031</v>
      </c>
      <c r="E19" s="59" t="s">
        <v>81</v>
      </c>
      <c r="F19" s="56" t="s">
        <v>36</v>
      </c>
      <c r="G19" s="44">
        <v>3</v>
      </c>
      <c r="H19" s="129">
        <f>IF(B$15=0,0,G19/B$15)</f>
        <v>1.3761467889908258E-2</v>
      </c>
      <c r="I19" s="90">
        <v>9</v>
      </c>
      <c r="K19" s="36">
        <v>17</v>
      </c>
      <c r="L19" s="95">
        <v>-251.4</v>
      </c>
      <c r="N19" s="111" t="s">
        <v>171</v>
      </c>
      <c r="O19" s="121">
        <f t="shared" si="2"/>
        <v>-13.237499999999999</v>
      </c>
      <c r="P19" s="115">
        <v>24</v>
      </c>
      <c r="Q19" s="103">
        <v>-317.7</v>
      </c>
    </row>
    <row r="20" spans="1:17" x14ac:dyDescent="0.45">
      <c r="A20" s="51" t="s">
        <v>193</v>
      </c>
      <c r="B20" s="44">
        <v>66</v>
      </c>
      <c r="C20" s="37">
        <f>IF(B$15=0,0,B20/B$15)</f>
        <v>0.30275229357798167</v>
      </c>
      <c r="E20" s="59" t="s">
        <v>91</v>
      </c>
      <c r="F20" s="56" t="s">
        <v>46</v>
      </c>
      <c r="G20" s="44">
        <v>1</v>
      </c>
      <c r="H20" s="129">
        <f>IF(B$15=0,0,G20/B$15)</f>
        <v>4.5871559633027525E-3</v>
      </c>
      <c r="I20" s="90">
        <v>9</v>
      </c>
      <c r="K20" s="36">
        <v>18</v>
      </c>
      <c r="L20" s="95">
        <v>-240</v>
      </c>
      <c r="N20" s="111" t="s">
        <v>126</v>
      </c>
      <c r="O20" s="121">
        <f t="shared" si="2"/>
        <v>-13.508771929824563</v>
      </c>
      <c r="P20" s="115">
        <v>57</v>
      </c>
      <c r="Q20" s="103">
        <v>-770.00000000000011</v>
      </c>
    </row>
    <row r="21" spans="1:17" x14ac:dyDescent="0.45">
      <c r="A21" s="51" t="s">
        <v>194</v>
      </c>
      <c r="B21" s="44">
        <v>32</v>
      </c>
      <c r="C21" s="37">
        <f>IF(B$15=0,0,B21/B$15)</f>
        <v>0.14678899082568808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 t="shared" si="2"/>
        <v>-17.456249999999994</v>
      </c>
      <c r="P21" s="115">
        <v>48</v>
      </c>
      <c r="Q21" s="103">
        <v>-837.89999999999964</v>
      </c>
    </row>
    <row r="22" spans="1:17" x14ac:dyDescent="0.45">
      <c r="A22" s="51" t="s">
        <v>5</v>
      </c>
      <c r="B22" s="48">
        <f>IF(B$15=0,0,C22/B$15)</f>
        <v>7760.5504587155965</v>
      </c>
      <c r="C22" s="39">
        <v>1691800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 t="shared" si="2"/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8407.894736842105</v>
      </c>
      <c r="C23" s="137">
        <v>1278000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6269.69696969697</v>
      </c>
      <c r="C24" s="137">
        <v>413800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-7630.3448275862065</v>
      </c>
      <c r="C25" s="137">
        <v>-1106400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2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3.7688442211055275E-3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16</v>
      </c>
      <c r="C32" s="141">
        <f>IF(B$15=0,0,B32/B$15)</f>
        <v>7.3394495412844041E-2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0.17889908256880735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49</v>
      </c>
      <c r="C34" s="37">
        <f>IF(B$15=0,0,B34/B$15)</f>
        <v>0.22477064220183487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33</v>
      </c>
      <c r="C35" s="37">
        <f t="shared" si="3"/>
        <v>0.15137614678899083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36</v>
      </c>
      <c r="C36" s="37">
        <f t="shared" si="3"/>
        <v>0.16513761467889909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3"/>
        <v>0.10550458715596331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13</v>
      </c>
      <c r="C38" s="37">
        <f t="shared" si="3"/>
        <v>5.9633027522935783E-2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5</v>
      </c>
      <c r="C39" s="37">
        <f t="shared" si="3"/>
        <v>2.2935779816513763E-2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4.5871559633027525E-3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4.5871559633027525E-3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9.1743119266055051E-3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</sheetData>
  <sortState xmlns:xlrd2="http://schemas.microsoft.com/office/spreadsheetml/2017/richdata2" ref="E2:I96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EFEC4-D515-4649-81B7-B78167B410F6}">
  <sheetPr codeName="Sheet15"/>
  <dimension ref="A1:Q11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112</v>
      </c>
      <c r="C2" s="155"/>
      <c r="E2" s="58" t="s">
        <v>66</v>
      </c>
      <c r="F2" s="55" t="s">
        <v>22</v>
      </c>
      <c r="G2" s="43">
        <v>228</v>
      </c>
      <c r="H2" s="128">
        <f>IF(B$15=0,0,G2/B$15)</f>
        <v>0.88030888030888033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1386.6071428571429</v>
      </c>
      <c r="P2" s="114">
        <v>112</v>
      </c>
      <c r="Q2" s="98">
        <v>155300</v>
      </c>
    </row>
    <row r="3" spans="1:17" x14ac:dyDescent="0.45">
      <c r="A3" s="51" t="s">
        <v>8</v>
      </c>
      <c r="B3" s="156">
        <v>917</v>
      </c>
      <c r="C3" s="157"/>
      <c r="E3" s="59" t="s">
        <v>64</v>
      </c>
      <c r="F3" s="56" t="s">
        <v>20</v>
      </c>
      <c r="G3" s="44">
        <v>142</v>
      </c>
      <c r="H3" s="129">
        <f>IF(B$15=0,0,G3/B$15)</f>
        <v>0.54826254826254828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-1337.2727272727273</v>
      </c>
      <c r="P3" s="115">
        <v>110</v>
      </c>
      <c r="Q3" s="99">
        <v>-147100</v>
      </c>
    </row>
    <row r="4" spans="1:17" x14ac:dyDescent="0.45">
      <c r="A4" s="51" t="s">
        <v>6</v>
      </c>
      <c r="B4" s="158">
        <v>616.4000000000002</v>
      </c>
      <c r="C4" s="159"/>
      <c r="E4" s="59" t="s">
        <v>72</v>
      </c>
      <c r="F4" s="56" t="s">
        <v>27</v>
      </c>
      <c r="G4" s="44">
        <v>141</v>
      </c>
      <c r="H4" s="129">
        <f>IF(B$15=0,0,G4/B$15)</f>
        <v>0.54440154440154442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521.78217821782175</v>
      </c>
      <c r="P4" s="115">
        <v>101</v>
      </c>
      <c r="Q4" s="99">
        <v>52700</v>
      </c>
    </row>
    <row r="5" spans="1:17" x14ac:dyDescent="0.45">
      <c r="A5" s="51" t="s">
        <v>7</v>
      </c>
      <c r="B5" s="160">
        <f>IF(B$2=0,0,B$4/B$2)</f>
        <v>5.5035714285714308</v>
      </c>
      <c r="C5" s="161"/>
      <c r="E5" s="59" t="s">
        <v>67</v>
      </c>
      <c r="F5" s="56" t="s">
        <v>23</v>
      </c>
      <c r="G5" s="44">
        <v>108</v>
      </c>
      <c r="H5" s="129">
        <f>IF(B$15=0,0,G5/B$15)</f>
        <v>0.41698841698841699</v>
      </c>
      <c r="I5" s="90">
        <v>4</v>
      </c>
      <c r="K5" s="36">
        <v>3</v>
      </c>
      <c r="L5" s="95">
        <v>-113.8</v>
      </c>
      <c r="N5" s="111" t="s">
        <v>133</v>
      </c>
      <c r="O5" s="118">
        <f t="shared" si="0"/>
        <v>2544.7916666666665</v>
      </c>
      <c r="P5" s="115">
        <v>96</v>
      </c>
      <c r="Q5" s="99">
        <v>244300</v>
      </c>
    </row>
    <row r="6" spans="1:17" x14ac:dyDescent="0.45">
      <c r="A6" s="51" t="s">
        <v>1</v>
      </c>
      <c r="B6" s="150">
        <f>IF(B$2=0,0,(B$7*1+B$8*2+B$9*3)/B$2)</f>
        <v>1.875</v>
      </c>
      <c r="C6" s="151"/>
      <c r="E6" s="59" t="s">
        <v>68</v>
      </c>
      <c r="F6" s="56" t="s">
        <v>12</v>
      </c>
      <c r="G6" s="44">
        <v>101</v>
      </c>
      <c r="H6" s="129">
        <f>IF(B$15=0,0,G6/B$15)</f>
        <v>0.38996138996138996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1118.6046511627908</v>
      </c>
      <c r="P6" s="115">
        <v>86</v>
      </c>
      <c r="Q6" s="99">
        <v>96200</v>
      </c>
    </row>
    <row r="7" spans="1:17" x14ac:dyDescent="0.45">
      <c r="A7" s="51" t="s">
        <v>2</v>
      </c>
      <c r="B7" s="44">
        <v>47</v>
      </c>
      <c r="C7" s="37">
        <f t="shared" ref="C7:C10" si="1">IF(B$2=0,0,B7/B$2)</f>
        <v>0.41964285714285715</v>
      </c>
      <c r="E7" s="59" t="s">
        <v>166</v>
      </c>
      <c r="F7" s="56" t="s">
        <v>167</v>
      </c>
      <c r="G7" s="44">
        <v>94</v>
      </c>
      <c r="H7" s="129">
        <f>IF(B$15=0,0,G7/B$15)</f>
        <v>0.36293436293436293</v>
      </c>
      <c r="I7" s="90">
        <v>10</v>
      </c>
      <c r="K7" s="36">
        <v>5</v>
      </c>
      <c r="L7" s="95">
        <v>-118.3</v>
      </c>
      <c r="N7" s="112" t="s">
        <v>135</v>
      </c>
      <c r="O7" s="119">
        <f t="shared" si="0"/>
        <v>472.05882352941177</v>
      </c>
      <c r="P7" s="116">
        <v>68</v>
      </c>
      <c r="Q7" s="100">
        <v>32100</v>
      </c>
    </row>
    <row r="8" spans="1:17" x14ac:dyDescent="0.45">
      <c r="A8" s="51" t="s">
        <v>3</v>
      </c>
      <c r="B8" s="44">
        <v>32</v>
      </c>
      <c r="C8" s="37">
        <f t="shared" si="1"/>
        <v>0.2857142857142857</v>
      </c>
      <c r="E8" s="59" t="s">
        <v>89</v>
      </c>
      <c r="F8" s="56" t="s">
        <v>44</v>
      </c>
      <c r="G8" s="44">
        <v>67</v>
      </c>
      <c r="H8" s="129">
        <f>IF(B$15=0,0,G8/B$15)</f>
        <v>0.25868725868725867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33</v>
      </c>
      <c r="C9" s="38">
        <f t="shared" si="1"/>
        <v>0.29464285714285715</v>
      </c>
      <c r="E9" s="59" t="s">
        <v>69</v>
      </c>
      <c r="F9" s="56" t="s">
        <v>24</v>
      </c>
      <c r="G9" s="44">
        <v>53</v>
      </c>
      <c r="H9" s="129">
        <f>IF(B$15=0,0,G9/B$15)</f>
        <v>0.20463320463320464</v>
      </c>
      <c r="I9" s="90">
        <v>3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11</v>
      </c>
      <c r="C10" s="40">
        <f t="shared" si="1"/>
        <v>9.8214285714285712E-2</v>
      </c>
      <c r="E10" s="59" t="s">
        <v>65</v>
      </c>
      <c r="F10" s="56" t="s">
        <v>21</v>
      </c>
      <c r="G10" s="44">
        <v>39</v>
      </c>
      <c r="H10" s="129">
        <f>IF(B$15=0,0,G10/B$15)</f>
        <v>0.15057915057915058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-0.913333333333333</v>
      </c>
      <c r="P10" s="114">
        <v>30</v>
      </c>
      <c r="Q10" s="102">
        <v>-27.399999999999991</v>
      </c>
    </row>
    <row r="11" spans="1:17" x14ac:dyDescent="0.45">
      <c r="A11" s="54" t="s">
        <v>121</v>
      </c>
      <c r="B11" s="47">
        <v>288</v>
      </c>
      <c r="C11" s="42">
        <f>IF(B$3=0,0,B11/B$3)</f>
        <v>0.31406761177753545</v>
      </c>
      <c r="E11" s="59" t="s">
        <v>70</v>
      </c>
      <c r="F11" s="56" t="s">
        <v>25</v>
      </c>
      <c r="G11" s="44">
        <v>27</v>
      </c>
      <c r="H11" s="129">
        <f>IF(B$15=0,0,G11/B$15)</f>
        <v>0.10424710424710425</v>
      </c>
      <c r="I11" s="90">
        <v>6</v>
      </c>
      <c r="K11" s="36">
        <v>9</v>
      </c>
      <c r="L11" s="95">
        <v>-120.99999999999999</v>
      </c>
      <c r="N11" s="111" t="s">
        <v>158</v>
      </c>
      <c r="O11" s="121">
        <f>IF(P11=0,0,Q11/P11)</f>
        <v>8.2804347826086939</v>
      </c>
      <c r="P11" s="115">
        <v>46</v>
      </c>
      <c r="Q11" s="103">
        <v>380.89999999999992</v>
      </c>
    </row>
    <row r="12" spans="1:17" x14ac:dyDescent="0.45">
      <c r="A12" s="51" t="s">
        <v>118</v>
      </c>
      <c r="B12" s="44">
        <v>163</v>
      </c>
      <c r="C12" s="37">
        <f>IF(B$3=0,0,B12/B$3)</f>
        <v>0.17775354416575789</v>
      </c>
      <c r="E12" s="59" t="s">
        <v>162</v>
      </c>
      <c r="F12" s="56" t="s">
        <v>163</v>
      </c>
      <c r="G12" s="44">
        <v>17</v>
      </c>
      <c r="H12" s="129">
        <f>IF(B$15=0,0,G12/B$15)</f>
        <v>6.5637065637065631E-2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7.3027777777777789</v>
      </c>
      <c r="P12" s="116">
        <v>36</v>
      </c>
      <c r="Q12" s="104">
        <v>262.90000000000003</v>
      </c>
    </row>
    <row r="13" spans="1:17" x14ac:dyDescent="0.45">
      <c r="A13" s="50" t="s">
        <v>123</v>
      </c>
      <c r="B13" s="43">
        <f>B19</f>
        <v>159</v>
      </c>
      <c r="C13" s="35">
        <f>IF(B$11=0,0,B13/B$11)</f>
        <v>0.55208333333333337</v>
      </c>
      <c r="E13" s="59" t="s">
        <v>71</v>
      </c>
      <c r="F13" s="56" t="s">
        <v>26</v>
      </c>
      <c r="G13" s="44">
        <v>14</v>
      </c>
      <c r="H13" s="129">
        <f>IF(B$15=0,0,G13/B$15)</f>
        <v>5.4054054054054057E-2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65</v>
      </c>
      <c r="C14" s="35">
        <f>IF(B$12=0,0,B14/B$12)</f>
        <v>0.3987730061349693</v>
      </c>
      <c r="E14" s="59" t="s">
        <v>86</v>
      </c>
      <c r="F14" s="56" t="s">
        <v>41</v>
      </c>
      <c r="G14" s="44">
        <v>10</v>
      </c>
      <c r="H14" s="129">
        <f>IF(B$15=0,0,G14/B$15)</f>
        <v>3.8610038610038609E-2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259</v>
      </c>
      <c r="C15" s="35">
        <f>IF(B$3=0,0,B15/B$3)</f>
        <v>0.28244274809160308</v>
      </c>
      <c r="E15" s="59" t="s">
        <v>83</v>
      </c>
      <c r="F15" s="56" t="s">
        <v>38</v>
      </c>
      <c r="G15" s="44">
        <v>8</v>
      </c>
      <c r="H15" s="129">
        <f>IF(B$15=0,0,G15/B$15)</f>
        <v>3.0888030888030889E-2</v>
      </c>
      <c r="I15" s="90">
        <v>12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157</v>
      </c>
      <c r="C16" s="37">
        <f>IF(B$3=0,0,B16/B$3)</f>
        <v>0.17121046892039257</v>
      </c>
      <c r="E16" s="59" t="s">
        <v>78</v>
      </c>
      <c r="F16" s="56" t="s">
        <v>33</v>
      </c>
      <c r="G16" s="44">
        <v>4</v>
      </c>
      <c r="H16" s="129">
        <f>IF(B$15=0,0,G16/B$15)</f>
        <v>1.5444015444015444E-2</v>
      </c>
      <c r="I16" s="90">
        <v>7</v>
      </c>
      <c r="K16" s="36">
        <v>14</v>
      </c>
      <c r="L16" s="95">
        <v>-86.499999999999972</v>
      </c>
      <c r="N16" s="111" t="s">
        <v>161</v>
      </c>
      <c r="O16" s="121">
        <f>IF(P16=0,0,Q16/P16)</f>
        <v>37.36</v>
      </c>
      <c r="P16" s="115">
        <v>20</v>
      </c>
      <c r="Q16" s="103">
        <v>747.19999999999993</v>
      </c>
    </row>
    <row r="17" spans="1:17" x14ac:dyDescent="0.45">
      <c r="A17" s="51" t="s">
        <v>12</v>
      </c>
      <c r="B17" s="44">
        <v>129</v>
      </c>
      <c r="C17" s="37">
        <f>IF(B$15=0,0,B17/B$15)</f>
        <v>0.49806949806949807</v>
      </c>
      <c r="E17" s="59" t="s">
        <v>81</v>
      </c>
      <c r="F17" s="56" t="s">
        <v>36</v>
      </c>
      <c r="G17" s="44">
        <v>4</v>
      </c>
      <c r="H17" s="129">
        <f>IF(B$15=0,0,G17/B$15)</f>
        <v>1.5444015444015444E-2</v>
      </c>
      <c r="I17" s="90">
        <v>8</v>
      </c>
      <c r="K17" s="36">
        <v>15</v>
      </c>
      <c r="L17" s="95">
        <v>-101.79999999999997</v>
      </c>
      <c r="N17" s="111" t="s">
        <v>171</v>
      </c>
      <c r="O17" s="121">
        <f>IF(P17=0,0,Q17/P17)</f>
        <v>11.448275862068964</v>
      </c>
      <c r="P17" s="115">
        <v>58</v>
      </c>
      <c r="Q17" s="103">
        <v>663.99999999999989</v>
      </c>
    </row>
    <row r="18" spans="1:17" x14ac:dyDescent="0.45">
      <c r="A18" s="51" t="s">
        <v>11</v>
      </c>
      <c r="B18" s="44">
        <v>130</v>
      </c>
      <c r="C18" s="37">
        <f>IF(B$15=0,0,B18/B$15)</f>
        <v>0.50193050193050193</v>
      </c>
      <c r="E18" s="59" t="s">
        <v>91</v>
      </c>
      <c r="F18" s="56" t="s">
        <v>46</v>
      </c>
      <c r="G18" s="44">
        <v>4</v>
      </c>
      <c r="H18" s="129">
        <f>IF(B$15=0,0,G18/B$15)</f>
        <v>1.5444015444015444E-2</v>
      </c>
      <c r="I18" s="90">
        <v>5</v>
      </c>
      <c r="K18" s="36">
        <v>16</v>
      </c>
      <c r="L18" s="95">
        <v>-63.099999999999966</v>
      </c>
      <c r="N18" s="111" t="s">
        <v>197</v>
      </c>
      <c r="O18" s="121">
        <f>IF(P18=0,0,Q18/P18)</f>
        <v>10.864000000000003</v>
      </c>
      <c r="P18" s="115">
        <v>25</v>
      </c>
      <c r="Q18" s="103">
        <v>271.60000000000008</v>
      </c>
    </row>
    <row r="19" spans="1:17" x14ac:dyDescent="0.45">
      <c r="A19" s="51" t="s">
        <v>195</v>
      </c>
      <c r="B19" s="44">
        <v>159</v>
      </c>
      <c r="C19" s="37">
        <f>IF(B$15=0,0,B19/B$15)</f>
        <v>0.61389961389961389</v>
      </c>
      <c r="E19" s="59" t="s">
        <v>92</v>
      </c>
      <c r="F19" s="56" t="s">
        <v>47</v>
      </c>
      <c r="G19" s="44">
        <v>4</v>
      </c>
      <c r="H19" s="129">
        <f>IF(B$15=0,0,G19/B$15)</f>
        <v>1.5444015444015444E-2</v>
      </c>
      <c r="I19" s="90">
        <v>1</v>
      </c>
      <c r="K19" s="36">
        <v>17</v>
      </c>
      <c r="L19" s="95">
        <v>-55.799999999999969</v>
      </c>
      <c r="N19" s="111" t="s">
        <v>274</v>
      </c>
      <c r="O19" s="121">
        <f>IF(P19=0,0,Q19/P19)</f>
        <v>5.4749999999999988</v>
      </c>
      <c r="P19" s="115">
        <v>8</v>
      </c>
      <c r="Q19" s="103">
        <v>43.79999999999999</v>
      </c>
    </row>
    <row r="20" spans="1:17" x14ac:dyDescent="0.45">
      <c r="A20" s="51" t="s">
        <v>193</v>
      </c>
      <c r="B20" s="44">
        <v>65</v>
      </c>
      <c r="C20" s="37">
        <f>IF(B$15=0,0,B20/B$15)</f>
        <v>0.25096525096525096</v>
      </c>
      <c r="E20" s="59" t="s">
        <v>73</v>
      </c>
      <c r="F20" s="56" t="s">
        <v>28</v>
      </c>
      <c r="G20" s="44">
        <v>2</v>
      </c>
      <c r="H20" s="129">
        <f>IF(B$15=0,0,G20/B$15)</f>
        <v>7.7220077220077222E-3</v>
      </c>
      <c r="I20" s="90">
        <v>2</v>
      </c>
      <c r="K20" s="36">
        <v>18</v>
      </c>
      <c r="L20" s="95">
        <v>-24.999999999999968</v>
      </c>
      <c r="N20" s="111" t="s">
        <v>126</v>
      </c>
      <c r="O20" s="121">
        <f>IF(P20=0,0,Q20/P20)</f>
        <v>2.0023809523809497</v>
      </c>
      <c r="P20" s="115">
        <v>42</v>
      </c>
      <c r="Q20" s="103">
        <v>84.099999999999881</v>
      </c>
    </row>
    <row r="21" spans="1:17" x14ac:dyDescent="0.45">
      <c r="A21" s="51" t="s">
        <v>194</v>
      </c>
      <c r="B21" s="44">
        <v>35</v>
      </c>
      <c r="C21" s="37">
        <f>IF(B$15=0,0,B21/B$15)</f>
        <v>0.13513513513513514</v>
      </c>
      <c r="E21" s="59" t="s">
        <v>79</v>
      </c>
      <c r="F21" s="56" t="s">
        <v>34</v>
      </c>
      <c r="G21" s="44">
        <v>2</v>
      </c>
      <c r="H21" s="129">
        <f>IF(B$15=0,0,G21/B$15)</f>
        <v>7.7220077220077222E-3</v>
      </c>
      <c r="I21" s="90">
        <v>9</v>
      </c>
      <c r="K21" s="36">
        <v>19</v>
      </c>
      <c r="L21" s="95">
        <v>-27.799999999999969</v>
      </c>
      <c r="N21" s="111" t="s">
        <v>127</v>
      </c>
      <c r="O21" s="121">
        <f>IF(P21=0,0,Q21/P21)</f>
        <v>1.9731707317073144</v>
      </c>
      <c r="P21" s="115">
        <v>41</v>
      </c>
      <c r="Q21" s="103">
        <v>80.899999999999892</v>
      </c>
    </row>
    <row r="22" spans="1:17" x14ac:dyDescent="0.45">
      <c r="A22" s="51" t="s">
        <v>5</v>
      </c>
      <c r="B22" s="48">
        <f>IF(B$15=0,0,C22/B$15)</f>
        <v>10779.536679536679</v>
      </c>
      <c r="C22" s="39">
        <v>2791900</v>
      </c>
      <c r="E22" s="59" t="s">
        <v>84</v>
      </c>
      <c r="F22" s="56" t="s">
        <v>39</v>
      </c>
      <c r="G22" s="44">
        <v>2</v>
      </c>
      <c r="H22" s="129">
        <f>IF(B$15=0,0,G22/B$15)</f>
        <v>7.7220077220077222E-3</v>
      </c>
      <c r="I22" s="90">
        <v>1</v>
      </c>
      <c r="K22" s="36">
        <v>20</v>
      </c>
      <c r="L22" s="95">
        <v>-50.39999999999997</v>
      </c>
      <c r="N22" s="111" t="s">
        <v>172</v>
      </c>
      <c r="O22" s="121">
        <f>IF(P22=0,0,Q22/P22)</f>
        <v>-2.5450000000000008</v>
      </c>
      <c r="P22" s="115">
        <v>20</v>
      </c>
      <c r="Q22" s="103">
        <v>-50.90000000000002</v>
      </c>
    </row>
    <row r="23" spans="1:17" x14ac:dyDescent="0.45">
      <c r="A23" s="52" t="s">
        <v>177</v>
      </c>
      <c r="B23" s="136">
        <f>IF($B$15-B$14=0,0,C23/($B$15-B$14))</f>
        <v>11455.154639175258</v>
      </c>
      <c r="C23" s="137">
        <v>2222300</v>
      </c>
      <c r="E23" s="59" t="s">
        <v>90</v>
      </c>
      <c r="F23" s="56" t="s">
        <v>45</v>
      </c>
      <c r="G23" s="44">
        <v>2</v>
      </c>
      <c r="H23" s="129">
        <f>IF(B$15=0,0,G23/B$15)</f>
        <v>7.7220077220077222E-3</v>
      </c>
      <c r="I23" s="90">
        <v>1</v>
      </c>
      <c r="K23" s="36">
        <v>21</v>
      </c>
      <c r="L23" s="95">
        <v>-59.89999999999997</v>
      </c>
      <c r="N23" s="111" t="s">
        <v>196</v>
      </c>
      <c r="O23" s="121">
        <f>IF(P23=0,0,Q23/P23)</f>
        <v>-14.099999999999998</v>
      </c>
      <c r="P23" s="115">
        <v>8</v>
      </c>
      <c r="Q23" s="103">
        <v>-112.79999999999998</v>
      </c>
    </row>
    <row r="24" spans="1:17" x14ac:dyDescent="0.45">
      <c r="A24" s="52" t="s">
        <v>178</v>
      </c>
      <c r="B24" s="136">
        <f>IF(B$14=0,0,C24/B$14)</f>
        <v>8763.0769230769238</v>
      </c>
      <c r="C24" s="137">
        <v>569600</v>
      </c>
      <c r="E24" s="59" t="s">
        <v>75</v>
      </c>
      <c r="F24" s="56" t="s">
        <v>30</v>
      </c>
      <c r="G24" s="44">
        <v>1</v>
      </c>
      <c r="H24" s="129">
        <f>IF(B$15=0,0,G24/B$15)</f>
        <v>3.8610038610038611E-3</v>
      </c>
      <c r="I24" s="90">
        <v>9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-8036.9426751592355</v>
      </c>
      <c r="C25" s="137">
        <v>-1261800</v>
      </c>
      <c r="E25" s="59" t="s">
        <v>77</v>
      </c>
      <c r="F25" s="56" t="s">
        <v>32</v>
      </c>
      <c r="G25" s="44">
        <v>1</v>
      </c>
      <c r="H25" s="129">
        <f>IF(B$15=0,0,G25/B$15)</f>
        <v>3.8610038610038611E-3</v>
      </c>
      <c r="I25" s="90">
        <v>3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85</v>
      </c>
      <c r="F26" s="56" t="s">
        <v>40</v>
      </c>
      <c r="G26" s="44">
        <v>1</v>
      </c>
      <c r="H26" s="129">
        <f>IF(B$15=0,0,G26/B$15)</f>
        <v>3.8610038610038611E-3</v>
      </c>
      <c r="I26" s="90">
        <v>6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3</v>
      </c>
      <c r="E27" s="59" t="s">
        <v>93</v>
      </c>
      <c r="F27" s="56" t="s">
        <v>48</v>
      </c>
      <c r="G27" s="44">
        <v>1</v>
      </c>
      <c r="H27" s="129">
        <f>IF(B$15=0,0,G27/B$15)</f>
        <v>3.8610038610038611E-3</v>
      </c>
      <c r="I27" s="90">
        <v>2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97</v>
      </c>
      <c r="F28" s="56" t="s">
        <v>52</v>
      </c>
      <c r="G28" s="44">
        <v>1</v>
      </c>
      <c r="H28" s="129">
        <f>IF(B$15=0,0,G28/B$15)</f>
        <v>3.8610038610038611E-3</v>
      </c>
      <c r="I28" s="90">
        <v>1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74</v>
      </c>
      <c r="F29" s="56" t="s">
        <v>29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1</v>
      </c>
      <c r="C30" s="40">
        <f>IF(B$3=0,0,B30/B$3)</f>
        <v>1.0905125408942203E-3</v>
      </c>
      <c r="E30" s="59" t="s">
        <v>76</v>
      </c>
      <c r="F30" s="56" t="s">
        <v>31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6</v>
      </c>
      <c r="C32" s="141">
        <f>IF(B$15=0,0,B32/B$15)</f>
        <v>2.3166023166023165E-2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20</v>
      </c>
      <c r="C33" s="37">
        <f t="shared" ref="C33:C44" si="2">IF(B$15=0,0,B33/B$15)</f>
        <v>7.7220077220077218E-2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35</v>
      </c>
      <c r="C34" s="37">
        <f>IF(B$15=0,0,B34/B$15)</f>
        <v>0.13513513513513514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51</v>
      </c>
      <c r="C35" s="37">
        <f t="shared" si="2"/>
        <v>0.19691119691119691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59</v>
      </c>
      <c r="C36" s="37">
        <f t="shared" si="2"/>
        <v>0.22779922779922779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34</v>
      </c>
      <c r="C37" s="37">
        <f t="shared" si="2"/>
        <v>0.13127413127413126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21</v>
      </c>
      <c r="C38" s="37">
        <f t="shared" si="2"/>
        <v>8.1081081081081086E-2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16</v>
      </c>
      <c r="C39" s="37">
        <f t="shared" si="2"/>
        <v>6.1776061776061778E-2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6</v>
      </c>
      <c r="C40" s="37">
        <f t="shared" si="2"/>
        <v>2.3166023166023165E-2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2</v>
      </c>
      <c r="C41" s="37">
        <f t="shared" si="2"/>
        <v>7.7220077220077222E-3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7.7220077220077222E-3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3.8610038610038611E-3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6</v>
      </c>
      <c r="C44" s="40">
        <f t="shared" si="2"/>
        <v>2.3166023166023165E-2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37830-C718-4016-B021-38A1C7A32203}">
  <sheetPr codeName="Sheet17"/>
  <dimension ref="A1:Q12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127</v>
      </c>
      <c r="C2" s="155"/>
      <c r="E2" s="58" t="s">
        <v>66</v>
      </c>
      <c r="F2" s="55" t="s">
        <v>22</v>
      </c>
      <c r="G2" s="43">
        <v>216</v>
      </c>
      <c r="H2" s="128">
        <f>IF(B$15=0,0,G2/B$15)</f>
        <v>0.74740484429065746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51.968503937007874</v>
      </c>
      <c r="P2" s="114">
        <v>127</v>
      </c>
      <c r="Q2" s="98">
        <v>6600</v>
      </c>
    </row>
    <row r="3" spans="1:17" x14ac:dyDescent="0.45">
      <c r="A3" s="51" t="s">
        <v>8</v>
      </c>
      <c r="B3" s="156">
        <v>1036</v>
      </c>
      <c r="C3" s="157"/>
      <c r="E3" s="59" t="s">
        <v>72</v>
      </c>
      <c r="F3" s="56" t="s">
        <v>27</v>
      </c>
      <c r="G3" s="44">
        <v>161</v>
      </c>
      <c r="H3" s="129">
        <f>IF(B$15=0,0,G3/B$15)</f>
        <v>0.55709342560553632</v>
      </c>
      <c r="I3" s="90">
        <v>4</v>
      </c>
      <c r="K3" s="36">
        <v>1</v>
      </c>
      <c r="L3" s="95">
        <v>46.9</v>
      </c>
      <c r="N3" s="111" t="s">
        <v>131</v>
      </c>
      <c r="O3" s="118">
        <f t="shared" si="0"/>
        <v>-17.741935483870968</v>
      </c>
      <c r="P3" s="115">
        <v>124</v>
      </c>
      <c r="Q3" s="99">
        <v>-2200</v>
      </c>
    </row>
    <row r="4" spans="1:17" x14ac:dyDescent="0.45">
      <c r="A4" s="51" t="s">
        <v>6</v>
      </c>
      <c r="B4" s="158">
        <v>-132.5</v>
      </c>
      <c r="C4" s="159"/>
      <c r="E4" s="59" t="s">
        <v>64</v>
      </c>
      <c r="F4" s="56" t="s">
        <v>20</v>
      </c>
      <c r="G4" s="44">
        <v>145</v>
      </c>
      <c r="H4" s="129">
        <f>IF(B$15=0,0,G4/B$15)</f>
        <v>0.5017301038062284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213.5593220338983</v>
      </c>
      <c r="P4" s="115">
        <v>118</v>
      </c>
      <c r="Q4" s="99">
        <v>25200</v>
      </c>
    </row>
    <row r="5" spans="1:17" x14ac:dyDescent="0.45">
      <c r="A5" s="51" t="s">
        <v>7</v>
      </c>
      <c r="B5" s="160">
        <f>IF(B$2=0,0,B$4/B$2)</f>
        <v>-1.0433070866141732</v>
      </c>
      <c r="C5" s="161"/>
      <c r="E5" s="59" t="s">
        <v>166</v>
      </c>
      <c r="F5" s="56" t="s">
        <v>167</v>
      </c>
      <c r="G5" s="44">
        <v>126</v>
      </c>
      <c r="H5" s="129">
        <f>IF(B$15=0,0,G5/B$15)</f>
        <v>0.43598615916955019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153.7037037037037</v>
      </c>
      <c r="P5" s="115">
        <v>108</v>
      </c>
      <c r="Q5" s="99">
        <v>16600</v>
      </c>
    </row>
    <row r="6" spans="1:17" x14ac:dyDescent="0.45">
      <c r="A6" s="51" t="s">
        <v>1</v>
      </c>
      <c r="B6" s="150">
        <f>IF(B$2=0,0,(B$7*1+B$8*2+B$9*3)/B$2)</f>
        <v>2.0787401574803148</v>
      </c>
      <c r="C6" s="151"/>
      <c r="E6" s="59" t="s">
        <v>67</v>
      </c>
      <c r="F6" s="56" t="s">
        <v>23</v>
      </c>
      <c r="G6" s="44">
        <v>103</v>
      </c>
      <c r="H6" s="129">
        <f>IF(B$15=0,0,G6/B$15)</f>
        <v>0.356401384083045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-160.82474226804123</v>
      </c>
      <c r="P6" s="115">
        <v>97</v>
      </c>
      <c r="Q6" s="99">
        <v>-15600</v>
      </c>
    </row>
    <row r="7" spans="1:17" x14ac:dyDescent="0.45">
      <c r="A7" s="51" t="s">
        <v>2</v>
      </c>
      <c r="B7" s="44">
        <v>30</v>
      </c>
      <c r="C7" s="37">
        <f t="shared" ref="C7:C10" si="1">IF(B$2=0,0,B7/B$2)</f>
        <v>0.23622047244094488</v>
      </c>
      <c r="E7" s="59" t="s">
        <v>68</v>
      </c>
      <c r="F7" s="56" t="s">
        <v>12</v>
      </c>
      <c r="G7" s="44">
        <v>91</v>
      </c>
      <c r="H7" s="129">
        <f>IF(B$15=0,0,G7/B$15)</f>
        <v>0.31487889273356401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-1177.3809523809523</v>
      </c>
      <c r="P7" s="116">
        <v>84</v>
      </c>
      <c r="Q7" s="100">
        <v>-98900</v>
      </c>
    </row>
    <row r="8" spans="1:17" x14ac:dyDescent="0.45">
      <c r="A8" s="51" t="s">
        <v>3</v>
      </c>
      <c r="B8" s="44">
        <v>57</v>
      </c>
      <c r="C8" s="37">
        <f t="shared" si="1"/>
        <v>0.44881889763779526</v>
      </c>
      <c r="E8" s="59" t="s">
        <v>69</v>
      </c>
      <c r="F8" s="56" t="s">
        <v>24</v>
      </c>
      <c r="G8" s="44">
        <v>38</v>
      </c>
      <c r="H8" s="129">
        <f>IF(B$15=0,0,G8/B$15)</f>
        <v>0.13148788927335639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40</v>
      </c>
      <c r="C9" s="38">
        <f t="shared" si="1"/>
        <v>0.31496062992125984</v>
      </c>
      <c r="E9" s="59" t="s">
        <v>89</v>
      </c>
      <c r="F9" s="56" t="s">
        <v>44</v>
      </c>
      <c r="G9" s="44">
        <v>36</v>
      </c>
      <c r="H9" s="129">
        <f>IF(B$15=0,0,G9/B$15)</f>
        <v>0.1245674740484429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7.0866141732283464E-2</v>
      </c>
      <c r="E10" s="59" t="s">
        <v>71</v>
      </c>
      <c r="F10" s="56" t="s">
        <v>26</v>
      </c>
      <c r="G10" s="44">
        <v>29</v>
      </c>
      <c r="H10" s="129">
        <f>IF(B$15=0,0,G10/B$15)</f>
        <v>0.10034602076124567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-2.2792452830188683</v>
      </c>
      <c r="P10" s="114">
        <v>53</v>
      </c>
      <c r="Q10" s="102">
        <v>-120.80000000000001</v>
      </c>
    </row>
    <row r="11" spans="1:17" x14ac:dyDescent="0.45">
      <c r="A11" s="54" t="s">
        <v>121</v>
      </c>
      <c r="B11" s="47">
        <v>277</v>
      </c>
      <c r="C11" s="42">
        <f>IF(B$3=0,0,B11/B$3)</f>
        <v>0.2673745173745174</v>
      </c>
      <c r="E11" s="59" t="s">
        <v>65</v>
      </c>
      <c r="F11" s="56" t="s">
        <v>21</v>
      </c>
      <c r="G11" s="44">
        <v>24</v>
      </c>
      <c r="H11" s="129">
        <f>IF(B$15=0,0,G11/B$15)</f>
        <v>8.3044982698961933E-2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1.1210526315789482</v>
      </c>
      <c r="P11" s="115">
        <v>38</v>
      </c>
      <c r="Q11" s="103">
        <v>42.60000000000003</v>
      </c>
    </row>
    <row r="12" spans="1:17" x14ac:dyDescent="0.45">
      <c r="A12" s="51" t="s">
        <v>118</v>
      </c>
      <c r="B12" s="44">
        <v>230</v>
      </c>
      <c r="C12" s="37">
        <f>IF(B$3=0,0,B12/B$3)</f>
        <v>0.22200772200772201</v>
      </c>
      <c r="E12" s="59" t="s">
        <v>70</v>
      </c>
      <c r="F12" s="56" t="s">
        <v>25</v>
      </c>
      <c r="G12" s="44">
        <v>23</v>
      </c>
      <c r="H12" s="129">
        <f>IF(B$15=0,0,G12/B$15)</f>
        <v>7.9584775086505188E-2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-1.5083333333333337</v>
      </c>
      <c r="P12" s="116">
        <v>36</v>
      </c>
      <c r="Q12" s="104">
        <v>-54.300000000000011</v>
      </c>
    </row>
    <row r="13" spans="1:17" x14ac:dyDescent="0.45">
      <c r="A13" s="50" t="s">
        <v>123</v>
      </c>
      <c r="B13" s="43">
        <f>B19</f>
        <v>151</v>
      </c>
      <c r="C13" s="35">
        <f>IF(B$11=0,0,B13/B$11)</f>
        <v>0.54512635379061369</v>
      </c>
      <c r="E13" s="59" t="s">
        <v>86</v>
      </c>
      <c r="F13" s="56" t="s">
        <v>41</v>
      </c>
      <c r="G13" s="44">
        <v>14</v>
      </c>
      <c r="H13" s="129">
        <f>IF(B$15=0,0,G13/B$15)</f>
        <v>4.8442906574394463E-2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99</v>
      </c>
      <c r="C14" s="35">
        <f>IF(B$12=0,0,B14/B$12)</f>
        <v>0.43043478260869567</v>
      </c>
      <c r="E14" s="59" t="s">
        <v>83</v>
      </c>
      <c r="F14" s="56" t="s">
        <v>38</v>
      </c>
      <c r="G14" s="44">
        <v>12</v>
      </c>
      <c r="H14" s="129">
        <f>IF(B$15=0,0,G14/B$15)</f>
        <v>4.1522491349480967E-2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289</v>
      </c>
      <c r="C15" s="35">
        <f>IF(B$3=0,0,B15/B$3)</f>
        <v>0.27895752895752896</v>
      </c>
      <c r="E15" s="59" t="s">
        <v>79</v>
      </c>
      <c r="F15" s="56" t="s">
        <v>34</v>
      </c>
      <c r="G15" s="44">
        <v>7</v>
      </c>
      <c r="H15" s="129">
        <f>IF(B$15=0,0,G15/B$15)</f>
        <v>2.4221453287197232E-2</v>
      </c>
      <c r="I15" s="90">
        <v>2</v>
      </c>
      <c r="K15" s="36">
        <v>13</v>
      </c>
      <c r="L15" s="95">
        <v>-68.399999999999991</v>
      </c>
      <c r="N15" s="110" t="s">
        <v>228</v>
      </c>
      <c r="O15" s="120">
        <f t="shared" ref="O15:O25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145</v>
      </c>
      <c r="C16" s="37">
        <f>IF(B$3=0,0,B16/B$3)</f>
        <v>0.13996138996138996</v>
      </c>
      <c r="E16" s="59" t="s">
        <v>162</v>
      </c>
      <c r="F16" s="56" t="s">
        <v>163</v>
      </c>
      <c r="G16" s="44">
        <v>6</v>
      </c>
      <c r="H16" s="129">
        <f>IF(B$15=0,0,G16/B$15)</f>
        <v>2.0761245674740483E-2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129</v>
      </c>
      <c r="C17" s="37">
        <f>IF(B$15=0,0,B17/B$15)</f>
        <v>0.44636678200692043</v>
      </c>
      <c r="E17" s="59" t="s">
        <v>73</v>
      </c>
      <c r="F17" s="56" t="s">
        <v>28</v>
      </c>
      <c r="G17" s="44">
        <v>5</v>
      </c>
      <c r="H17" s="129">
        <f>IF(B$15=0,0,G17/B$15)</f>
        <v>1.7301038062283738E-2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 t="shared" si="2"/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160</v>
      </c>
      <c r="C18" s="37">
        <f>IF(B$15=0,0,B18/B$15)</f>
        <v>0.55363321799307963</v>
      </c>
      <c r="E18" s="59" t="s">
        <v>81</v>
      </c>
      <c r="F18" s="56" t="s">
        <v>36</v>
      </c>
      <c r="G18" s="44">
        <v>5</v>
      </c>
      <c r="H18" s="129">
        <f>IF(B$15=0,0,G18/B$15)</f>
        <v>1.7301038062283738E-2</v>
      </c>
      <c r="I18" s="90">
        <v>6</v>
      </c>
      <c r="K18" s="36">
        <v>16</v>
      </c>
      <c r="L18" s="95">
        <v>-35.599999999999987</v>
      </c>
      <c r="N18" s="111" t="s">
        <v>172</v>
      </c>
      <c r="O18" s="121">
        <f t="shared" si="2"/>
        <v>13.237500000000002</v>
      </c>
      <c r="P18" s="115">
        <v>24</v>
      </c>
      <c r="Q18" s="103">
        <v>317.70000000000005</v>
      </c>
    </row>
    <row r="19" spans="1:17" x14ac:dyDescent="0.45">
      <c r="A19" s="51" t="s">
        <v>195</v>
      </c>
      <c r="B19" s="44">
        <v>151</v>
      </c>
      <c r="C19" s="37">
        <f>IF(B$15=0,0,B19/B$15)</f>
        <v>0.52249134948096887</v>
      </c>
      <c r="E19" s="59" t="s">
        <v>78</v>
      </c>
      <c r="F19" s="56" t="s">
        <v>33</v>
      </c>
      <c r="G19" s="44">
        <v>3</v>
      </c>
      <c r="H19" s="129">
        <f>IF(B$15=0,0,G19/B$15)</f>
        <v>1.0380622837370242E-2</v>
      </c>
      <c r="I19" s="90">
        <v>9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99</v>
      </c>
      <c r="C20" s="37">
        <f>IF(B$15=0,0,B20/B$15)</f>
        <v>0.34256055363321797</v>
      </c>
      <c r="E20" s="59" t="s">
        <v>85</v>
      </c>
      <c r="F20" s="56" t="s">
        <v>40</v>
      </c>
      <c r="G20" s="44">
        <v>3</v>
      </c>
      <c r="H20" s="129">
        <f>IF(B$15=0,0,G20/B$15)</f>
        <v>1.0380622837370242E-2</v>
      </c>
      <c r="I20" s="90">
        <v>3</v>
      </c>
      <c r="K20" s="36">
        <v>18</v>
      </c>
      <c r="L20" s="95">
        <v>-62.399999999999991</v>
      </c>
      <c r="N20" s="111" t="s">
        <v>280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39</v>
      </c>
      <c r="C21" s="37">
        <f>IF(B$15=0,0,B21/B$15)</f>
        <v>0.13494809688581316</v>
      </c>
      <c r="E21" s="59" t="s">
        <v>75</v>
      </c>
      <c r="F21" s="56" t="s">
        <v>30</v>
      </c>
      <c r="G21" s="44">
        <v>2</v>
      </c>
      <c r="H21" s="129">
        <f>IF(B$15=0,0,G21/B$15)</f>
        <v>6.920415224913495E-3</v>
      </c>
      <c r="I21" s="90">
        <v>6</v>
      </c>
      <c r="K21" s="36">
        <v>19</v>
      </c>
      <c r="L21" s="95">
        <v>-56.399999999999991</v>
      </c>
      <c r="N21" s="111" t="s">
        <v>127</v>
      </c>
      <c r="O21" s="121">
        <f t="shared" si="2"/>
        <v>1.1651162790697678</v>
      </c>
      <c r="P21" s="115">
        <v>43</v>
      </c>
      <c r="Q21" s="103">
        <v>50.100000000000016</v>
      </c>
    </row>
    <row r="22" spans="1:17" x14ac:dyDescent="0.45">
      <c r="A22" s="51" t="s">
        <v>5</v>
      </c>
      <c r="B22" s="48">
        <f>IF(B$15=0,0,C22/B$15)</f>
        <v>8278.5467128027685</v>
      </c>
      <c r="C22" s="39">
        <v>2392500</v>
      </c>
      <c r="E22" s="59" t="s">
        <v>91</v>
      </c>
      <c r="F22" s="56" t="s">
        <v>46</v>
      </c>
      <c r="G22" s="44">
        <v>2</v>
      </c>
      <c r="H22" s="129">
        <f>IF(B$15=0,0,G22/B$15)</f>
        <v>6.920415224913495E-3</v>
      </c>
      <c r="I22" s="90">
        <v>8</v>
      </c>
      <c r="K22" s="36">
        <v>20</v>
      </c>
      <c r="L22" s="95">
        <v>-93.199999999999989</v>
      </c>
      <c r="N22" s="111" t="s">
        <v>161</v>
      </c>
      <c r="O22" s="121">
        <f t="shared" si="2"/>
        <v>-0.36428571428571388</v>
      </c>
      <c r="P22" s="115">
        <v>28</v>
      </c>
      <c r="Q22" s="103">
        <v>-10.199999999999989</v>
      </c>
    </row>
    <row r="23" spans="1:17" x14ac:dyDescent="0.45">
      <c r="A23" s="52" t="s">
        <v>177</v>
      </c>
      <c r="B23" s="136">
        <f>IF($B$15-B$14=0,0,C23/($B$15-B$14))</f>
        <v>9115.2631578947367</v>
      </c>
      <c r="C23" s="137">
        <v>1731900</v>
      </c>
      <c r="E23" s="59" t="s">
        <v>74</v>
      </c>
      <c r="F23" s="56" t="s">
        <v>29</v>
      </c>
      <c r="G23" s="44">
        <v>1</v>
      </c>
      <c r="H23" s="129">
        <f>IF(B$15=0,0,G23/B$15)</f>
        <v>3.4602076124567475E-3</v>
      </c>
      <c r="I23" s="90">
        <v>6</v>
      </c>
      <c r="K23" s="36">
        <v>21</v>
      </c>
      <c r="L23" s="95">
        <v>-123.69999999999999</v>
      </c>
      <c r="N23" s="111" t="s">
        <v>170</v>
      </c>
      <c r="O23" s="121">
        <f t="shared" si="2"/>
        <v>-11.448275862068964</v>
      </c>
      <c r="P23" s="115">
        <v>58</v>
      </c>
      <c r="Q23" s="103">
        <v>-663.99999999999989</v>
      </c>
    </row>
    <row r="24" spans="1:17" x14ac:dyDescent="0.45">
      <c r="A24" s="52" t="s">
        <v>178</v>
      </c>
      <c r="B24" s="136">
        <f>IF(B$14=0,0,C24/B$14)</f>
        <v>6672.727272727273</v>
      </c>
      <c r="C24" s="137">
        <v>660600</v>
      </c>
      <c r="E24" s="59" t="s">
        <v>87</v>
      </c>
      <c r="F24" s="56" t="s">
        <v>42</v>
      </c>
      <c r="G24" s="44">
        <v>1</v>
      </c>
      <c r="H24" s="129">
        <f>IF(B$15=0,0,G24/B$15)</f>
        <v>3.4602076124567475E-3</v>
      </c>
      <c r="I24" s="90">
        <v>4</v>
      </c>
      <c r="K24" s="36">
        <v>22</v>
      </c>
      <c r="L24" s="95">
        <v>-66.999999999999986</v>
      </c>
      <c r="N24" s="111" t="s">
        <v>126</v>
      </c>
      <c r="O24" s="121">
        <f t="shared" si="2"/>
        <v>-14.101724137931035</v>
      </c>
      <c r="P24" s="115">
        <v>58</v>
      </c>
      <c r="Q24" s="103">
        <v>-817.9</v>
      </c>
    </row>
    <row r="25" spans="1:17" x14ac:dyDescent="0.45">
      <c r="A25" s="52" t="s">
        <v>176</v>
      </c>
      <c r="B25" s="136">
        <f>IF(B$16=0,0,C25/B$16)</f>
        <v>-7157.2413793103451</v>
      </c>
      <c r="C25" s="137">
        <v>-1037800</v>
      </c>
      <c r="E25" s="59" t="s">
        <v>88</v>
      </c>
      <c r="F25" s="56" t="s">
        <v>43</v>
      </c>
      <c r="G25" s="44">
        <v>1</v>
      </c>
      <c r="H25" s="129">
        <f>IF(B$15=0,0,G25/B$15)</f>
        <v>3.4602076124567475E-3</v>
      </c>
      <c r="I25" s="90">
        <v>3</v>
      </c>
      <c r="K25" s="36">
        <v>23</v>
      </c>
      <c r="L25" s="95">
        <v>-59.599999999999987</v>
      </c>
      <c r="N25" s="111" t="s">
        <v>274</v>
      </c>
      <c r="O25" s="121">
        <f t="shared" si="2"/>
        <v>-38.25</v>
      </c>
      <c r="P25" s="115">
        <v>2</v>
      </c>
      <c r="Q25" s="103">
        <v>-76.5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3.4602076124567475E-3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0</v>
      </c>
      <c r="E27" s="59" t="s">
        <v>101</v>
      </c>
      <c r="F27" s="56" t="s">
        <v>56</v>
      </c>
      <c r="G27" s="44">
        <v>1</v>
      </c>
      <c r="H27" s="129">
        <f>IF(B$15=0,0,G27/B$15)</f>
        <v>3.4602076124567475E-3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1.9305019305019305E-3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18</v>
      </c>
      <c r="C32" s="141">
        <f>IF(B$15=0,0,B32/B$15)</f>
        <v>6.228373702422145E-2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52</v>
      </c>
      <c r="C33" s="37">
        <f t="shared" ref="C33:C44" si="3">IF(B$15=0,0,B33/B$15)</f>
        <v>0.17993079584775087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61</v>
      </c>
      <c r="C34" s="37">
        <f>IF(B$15=0,0,B34/B$15)</f>
        <v>0.21107266435986158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53</v>
      </c>
      <c r="C35" s="37">
        <f t="shared" si="3"/>
        <v>0.18339100346020762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41</v>
      </c>
      <c r="C36" s="37">
        <f t="shared" si="3"/>
        <v>0.14186851211072665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33</v>
      </c>
      <c r="C37" s="37">
        <f t="shared" si="3"/>
        <v>0.11418685121107267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14</v>
      </c>
      <c r="C38" s="37">
        <f t="shared" si="3"/>
        <v>4.8442906574394463E-2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3"/>
        <v>2.4221453287197232E-2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1.0380622837370242E-2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6.920415224913495E-3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3.4602076124567475E-3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6.920415224913495E-3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2</v>
      </c>
      <c r="C44" s="40">
        <f t="shared" si="3"/>
        <v>6.920415224913495E-3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</sheetData>
  <sortState xmlns:xlrd2="http://schemas.microsoft.com/office/spreadsheetml/2017/richdata2" ref="E2:I13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45D3F-1200-4132-ACAD-F44D900A678B}">
  <sheetPr codeName="Sheet19"/>
  <dimension ref="A1:Q6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59</v>
      </c>
      <c r="C2" s="155"/>
      <c r="E2" s="58" t="s">
        <v>66</v>
      </c>
      <c r="F2" s="55" t="s">
        <v>22</v>
      </c>
      <c r="G2" s="43">
        <v>83</v>
      </c>
      <c r="H2" s="128">
        <f>IF(B$15=0,0,G2/B$15)</f>
        <v>0.6484375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-2438.9830508474574</v>
      </c>
      <c r="P2" s="114">
        <v>59</v>
      </c>
      <c r="Q2" s="98">
        <v>-143900</v>
      </c>
    </row>
    <row r="3" spans="1:17" x14ac:dyDescent="0.45">
      <c r="A3" s="51" t="s">
        <v>8</v>
      </c>
      <c r="B3" s="156">
        <v>487</v>
      </c>
      <c r="C3" s="157"/>
      <c r="E3" s="59" t="s">
        <v>72</v>
      </c>
      <c r="F3" s="56" t="s">
        <v>27</v>
      </c>
      <c r="G3" s="44">
        <v>82</v>
      </c>
      <c r="H3" s="129">
        <f>IF(B$15=0,0,G3/B$15)</f>
        <v>0.640625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564.40677966101691</v>
      </c>
      <c r="P3" s="115">
        <v>59</v>
      </c>
      <c r="Q3" s="99">
        <v>33300</v>
      </c>
    </row>
    <row r="4" spans="1:17" x14ac:dyDescent="0.45">
      <c r="A4" s="51" t="s">
        <v>6</v>
      </c>
      <c r="B4" s="158">
        <v>-627.40000000000009</v>
      </c>
      <c r="C4" s="159"/>
      <c r="E4" s="59" t="s">
        <v>64</v>
      </c>
      <c r="F4" s="56" t="s">
        <v>20</v>
      </c>
      <c r="G4" s="44">
        <v>54</v>
      </c>
      <c r="H4" s="129">
        <f>IF(B$15=0,0,G4/B$15)</f>
        <v>0.421875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-1310.5263157894738</v>
      </c>
      <c r="P4" s="115">
        <v>57</v>
      </c>
      <c r="Q4" s="99">
        <v>-74700</v>
      </c>
    </row>
    <row r="5" spans="1:17" x14ac:dyDescent="0.45">
      <c r="A5" s="51" t="s">
        <v>7</v>
      </c>
      <c r="B5" s="160">
        <f>IF(B$2=0,0,B$4/B$2)</f>
        <v>-10.633898305084747</v>
      </c>
      <c r="C5" s="161"/>
      <c r="E5" s="59" t="s">
        <v>166</v>
      </c>
      <c r="F5" s="56" t="s">
        <v>167</v>
      </c>
      <c r="G5" s="44">
        <v>45</v>
      </c>
      <c r="H5" s="129">
        <f>IF(B$15=0,0,G5/B$15)</f>
        <v>0.3515625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-1750.9803921568628</v>
      </c>
      <c r="P5" s="115">
        <v>51</v>
      </c>
      <c r="Q5" s="99">
        <v>-89300</v>
      </c>
    </row>
    <row r="6" spans="1:17" x14ac:dyDescent="0.45">
      <c r="A6" s="51" t="s">
        <v>1</v>
      </c>
      <c r="B6" s="150">
        <f>IF(B$2=0,0,(B$7*1+B$8*2+B$9*3)/B$2)</f>
        <v>2.2881355932203391</v>
      </c>
      <c r="C6" s="151"/>
      <c r="E6" s="59" t="s">
        <v>68</v>
      </c>
      <c r="F6" s="56" t="s">
        <v>12</v>
      </c>
      <c r="G6" s="44">
        <v>34</v>
      </c>
      <c r="H6" s="129">
        <f>IF(B$15=0,0,G6/B$15)</f>
        <v>0.265625</v>
      </c>
      <c r="I6" s="90">
        <v>12</v>
      </c>
      <c r="K6" s="36">
        <v>4</v>
      </c>
      <c r="L6" s="95">
        <v>-80.5</v>
      </c>
      <c r="N6" s="111" t="s">
        <v>134</v>
      </c>
      <c r="O6" s="118">
        <f t="shared" si="0"/>
        <v>-1802.0408163265306</v>
      </c>
      <c r="P6" s="115">
        <v>49</v>
      </c>
      <c r="Q6" s="99">
        <v>-88300</v>
      </c>
    </row>
    <row r="7" spans="1:17" x14ac:dyDescent="0.45">
      <c r="A7" s="51" t="s">
        <v>2</v>
      </c>
      <c r="B7" s="44">
        <v>10</v>
      </c>
      <c r="C7" s="37">
        <f t="shared" ref="C7:C10" si="1">IF(B$2=0,0,B7/B$2)</f>
        <v>0.16949152542372881</v>
      </c>
      <c r="E7" s="59" t="s">
        <v>67</v>
      </c>
      <c r="F7" s="56" t="s">
        <v>23</v>
      </c>
      <c r="G7" s="44">
        <v>30</v>
      </c>
      <c r="H7" s="129">
        <f>IF(B$15=0,0,G7/B$15)</f>
        <v>0.234375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-2182.9268292682927</v>
      </c>
      <c r="P7" s="116">
        <v>41</v>
      </c>
      <c r="Q7" s="100">
        <v>-89500</v>
      </c>
    </row>
    <row r="8" spans="1:17" x14ac:dyDescent="0.45">
      <c r="A8" s="51" t="s">
        <v>3</v>
      </c>
      <c r="B8" s="44">
        <v>22</v>
      </c>
      <c r="C8" s="37">
        <f t="shared" si="1"/>
        <v>0.3728813559322034</v>
      </c>
      <c r="E8" s="59" t="s">
        <v>89</v>
      </c>
      <c r="F8" s="56" t="s">
        <v>44</v>
      </c>
      <c r="G8" s="44">
        <v>20</v>
      </c>
      <c r="H8" s="129">
        <f>IF(B$15=0,0,G8/B$15)</f>
        <v>0.15625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27</v>
      </c>
      <c r="C9" s="38">
        <f t="shared" si="1"/>
        <v>0.4576271186440678</v>
      </c>
      <c r="E9" s="59" t="s">
        <v>65</v>
      </c>
      <c r="F9" s="56" t="s">
        <v>21</v>
      </c>
      <c r="G9" s="44">
        <v>15</v>
      </c>
      <c r="H9" s="129">
        <f>IF(B$15=0,0,G9/B$15)</f>
        <v>0.1171875</v>
      </c>
      <c r="I9" s="90">
        <v>8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0.16949152542372881</v>
      </c>
      <c r="E10" s="59" t="s">
        <v>69</v>
      </c>
      <c r="F10" s="56" t="s">
        <v>24</v>
      </c>
      <c r="G10" s="44">
        <v>12</v>
      </c>
      <c r="H10" s="129">
        <f>IF(B$15=0,0,G10/B$15)</f>
        <v>9.375E-2</v>
      </c>
      <c r="I10" s="90">
        <v>12</v>
      </c>
      <c r="K10" s="36">
        <v>8</v>
      </c>
      <c r="L10" s="95">
        <v>-152.6</v>
      </c>
      <c r="N10" s="110" t="s">
        <v>157</v>
      </c>
      <c r="O10" s="120">
        <f>IF(P10=0,0,Q10/P10)</f>
        <v>-18.315999999999999</v>
      </c>
      <c r="P10" s="114">
        <v>25</v>
      </c>
      <c r="Q10" s="102">
        <v>-457.9</v>
      </c>
    </row>
    <row r="11" spans="1:17" x14ac:dyDescent="0.45">
      <c r="A11" s="54" t="s">
        <v>121</v>
      </c>
      <c r="B11" s="47">
        <v>104</v>
      </c>
      <c r="C11" s="42">
        <f>IF(B$3=0,0,B11/B$3)</f>
        <v>0.2135523613963039</v>
      </c>
      <c r="E11" s="59" t="s">
        <v>70</v>
      </c>
      <c r="F11" s="56" t="s">
        <v>25</v>
      </c>
      <c r="G11" s="44">
        <v>12</v>
      </c>
      <c r="H11" s="129">
        <f>IF(B$15=0,0,G11/B$15)</f>
        <v>9.375E-2</v>
      </c>
      <c r="I11" s="90">
        <v>9</v>
      </c>
      <c r="K11" s="36">
        <v>9</v>
      </c>
      <c r="L11" s="95">
        <v>-150.6</v>
      </c>
      <c r="N11" s="111" t="s">
        <v>158</v>
      </c>
      <c r="O11" s="121">
        <f>IF(P11=0,0,Q11/P11)</f>
        <v>-3.1882352941176464</v>
      </c>
      <c r="P11" s="115">
        <v>17</v>
      </c>
      <c r="Q11" s="103">
        <v>-54.199999999999989</v>
      </c>
    </row>
    <row r="12" spans="1:17" x14ac:dyDescent="0.45">
      <c r="A12" s="51" t="s">
        <v>118</v>
      </c>
      <c r="B12" s="44">
        <v>113</v>
      </c>
      <c r="C12" s="37">
        <f>IF(B$3=0,0,B12/B$3)</f>
        <v>0.23203285420944558</v>
      </c>
      <c r="E12" s="59" t="s">
        <v>71</v>
      </c>
      <c r="F12" s="56" t="s">
        <v>26</v>
      </c>
      <c r="G12" s="44">
        <v>12</v>
      </c>
      <c r="H12" s="129">
        <f>IF(B$15=0,0,G12/B$15)</f>
        <v>9.375E-2</v>
      </c>
      <c r="I12" s="90">
        <v>7</v>
      </c>
      <c r="K12" s="36">
        <v>10</v>
      </c>
      <c r="L12" s="95">
        <v>-151.1</v>
      </c>
      <c r="N12" s="112" t="s">
        <v>159</v>
      </c>
      <c r="O12" s="122">
        <f>IF(P12=0,0,Q12/P12)</f>
        <v>-6.7823529411764705</v>
      </c>
      <c r="P12" s="116">
        <v>17</v>
      </c>
      <c r="Q12" s="104">
        <v>-115.3</v>
      </c>
    </row>
    <row r="13" spans="1:17" x14ac:dyDescent="0.45">
      <c r="A13" s="50" t="s">
        <v>123</v>
      </c>
      <c r="B13" s="43">
        <f>B19</f>
        <v>56</v>
      </c>
      <c r="C13" s="35">
        <f>IF(B$11=0,0,B13/B$11)</f>
        <v>0.53846153846153844</v>
      </c>
      <c r="E13" s="59" t="s">
        <v>83</v>
      </c>
      <c r="F13" s="56" t="s">
        <v>38</v>
      </c>
      <c r="G13" s="44">
        <v>8</v>
      </c>
      <c r="H13" s="129">
        <f>IF(B$15=0,0,G13/B$15)</f>
        <v>6.25E-2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48</v>
      </c>
      <c r="C14" s="35">
        <f>IF(B$12=0,0,B14/B$12)</f>
        <v>0.4247787610619469</v>
      </c>
      <c r="E14" s="59" t="s">
        <v>86</v>
      </c>
      <c r="F14" s="56" t="s">
        <v>41</v>
      </c>
      <c r="G14" s="44">
        <v>8</v>
      </c>
      <c r="H14" s="129">
        <f>IF(B$15=0,0,G14/B$15)</f>
        <v>6.25E-2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128</v>
      </c>
      <c r="C15" s="35">
        <f>IF(B$3=0,0,B15/B$3)</f>
        <v>0.26283367556468173</v>
      </c>
      <c r="E15" s="59" t="s">
        <v>81</v>
      </c>
      <c r="F15" s="56" t="s">
        <v>36</v>
      </c>
      <c r="G15" s="44">
        <v>5</v>
      </c>
      <c r="H15" s="129">
        <f>IF(B$15=0,0,G15/B$15)</f>
        <v>3.90625E-2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11.526666666666662</v>
      </c>
      <c r="P15" s="114">
        <v>15</v>
      </c>
      <c r="Q15" s="102">
        <v>172.89999999999992</v>
      </c>
    </row>
    <row r="16" spans="1:17" x14ac:dyDescent="0.45">
      <c r="A16" s="51" t="s">
        <v>13</v>
      </c>
      <c r="B16" s="44">
        <v>89</v>
      </c>
      <c r="C16" s="37">
        <f>IF(B$3=0,0,B16/B$3)</f>
        <v>0.18275154004106775</v>
      </c>
      <c r="E16" s="59" t="s">
        <v>91</v>
      </c>
      <c r="F16" s="56" t="s">
        <v>46</v>
      </c>
      <c r="G16" s="44">
        <v>2</v>
      </c>
      <c r="H16" s="129">
        <f>IF(B$15=0,0,G16/B$15)</f>
        <v>1.5625E-2</v>
      </c>
      <c r="I16" s="90">
        <v>4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58</v>
      </c>
      <c r="C17" s="37">
        <f>IF(B$15=0,0,B17/B$15)</f>
        <v>0.453125</v>
      </c>
      <c r="E17" s="59" t="s">
        <v>74</v>
      </c>
      <c r="F17" s="56" t="s">
        <v>29</v>
      </c>
      <c r="G17" s="44">
        <v>1</v>
      </c>
      <c r="H17" s="129">
        <f>IF(B$15=0,0,G17/B$15)</f>
        <v>7.8125E-3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 t="shared" si="2"/>
        <v>-10.864000000000001</v>
      </c>
      <c r="P17" s="115">
        <v>25</v>
      </c>
      <c r="Q17" s="103">
        <v>-271.60000000000002</v>
      </c>
    </row>
    <row r="18" spans="1:17" x14ac:dyDescent="0.45">
      <c r="A18" s="51" t="s">
        <v>11</v>
      </c>
      <c r="B18" s="44">
        <v>70</v>
      </c>
      <c r="C18" s="37">
        <f>IF(B$15=0,0,B18/B$15)</f>
        <v>0.546875</v>
      </c>
      <c r="E18" s="59" t="s">
        <v>78</v>
      </c>
      <c r="F18" s="56" t="s">
        <v>33</v>
      </c>
      <c r="G18" s="44">
        <v>1</v>
      </c>
      <c r="H18" s="129">
        <f>IF(B$15=0,0,G18/B$15)</f>
        <v>7.8125E-3</v>
      </c>
      <c r="I18" s="90">
        <v>10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56</v>
      </c>
      <c r="C19" s="37">
        <f>IF(B$15=0,0,B19/B$15)</f>
        <v>0.4375</v>
      </c>
      <c r="E19" s="59" t="s">
        <v>92</v>
      </c>
      <c r="F19" s="56" t="s">
        <v>47</v>
      </c>
      <c r="G19" s="44">
        <v>1</v>
      </c>
      <c r="H19" s="129">
        <f>IF(B$15=0,0,G19/B$15)</f>
        <v>7.8125E-3</v>
      </c>
      <c r="I19" s="90">
        <v>3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48</v>
      </c>
      <c r="C20" s="37">
        <f>IF(B$15=0,0,B20/B$15)</f>
        <v>0.375</v>
      </c>
      <c r="E20" s="59" t="s">
        <v>95</v>
      </c>
      <c r="F20" s="56" t="s">
        <v>50</v>
      </c>
      <c r="G20" s="44">
        <v>1</v>
      </c>
      <c r="H20" s="129">
        <f>IF(B$15=0,0,G20/B$15)</f>
        <v>7.8125E-3</v>
      </c>
      <c r="I20" s="90">
        <v>1</v>
      </c>
      <c r="K20" s="36">
        <v>18</v>
      </c>
      <c r="L20" s="95">
        <v>-355.50000000000006</v>
      </c>
      <c r="N20" s="111" t="s">
        <v>171</v>
      </c>
      <c r="O20" s="121">
        <f t="shared" si="2"/>
        <v>-16.860714285714284</v>
      </c>
      <c r="P20" s="115">
        <v>28</v>
      </c>
      <c r="Q20" s="103">
        <v>-472.09999999999997</v>
      </c>
    </row>
    <row r="21" spans="1:17" x14ac:dyDescent="0.45">
      <c r="A21" s="51" t="s">
        <v>194</v>
      </c>
      <c r="B21" s="44">
        <v>24</v>
      </c>
      <c r="C21" s="37">
        <f>IF(B$15=0,0,B21/B$15)</f>
        <v>0.1875</v>
      </c>
      <c r="E21" s="59" t="s">
        <v>162</v>
      </c>
      <c r="F21" s="56" t="s">
        <v>163</v>
      </c>
      <c r="G21" s="44">
        <v>1</v>
      </c>
      <c r="H21" s="129">
        <f>IF(B$15=0,0,G21/B$15)</f>
        <v>7.8125E-3</v>
      </c>
      <c r="I21" s="90">
        <v>8</v>
      </c>
      <c r="K21" s="36">
        <v>19</v>
      </c>
      <c r="L21" s="95">
        <v>-400.60000000000008</v>
      </c>
      <c r="N21" s="111" t="s">
        <v>203</v>
      </c>
      <c r="O21" s="121">
        <f t="shared" si="2"/>
        <v>-17.649999999999999</v>
      </c>
      <c r="P21" s="115">
        <v>2</v>
      </c>
      <c r="Q21" s="103">
        <v>-35.299999999999997</v>
      </c>
    </row>
    <row r="22" spans="1:17" x14ac:dyDescent="0.45">
      <c r="A22" s="51" t="s">
        <v>5</v>
      </c>
      <c r="B22" s="48">
        <f>IF(B$15=0,0,C22/B$15)</f>
        <v>7987.5</v>
      </c>
      <c r="C22" s="39">
        <v>1022400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 t="shared" si="2"/>
        <v>-24.274999999999999</v>
      </c>
      <c r="P22" s="115">
        <v>4</v>
      </c>
      <c r="Q22" s="103">
        <v>-97.1</v>
      </c>
    </row>
    <row r="23" spans="1:17" x14ac:dyDescent="0.45">
      <c r="A23" s="52" t="s">
        <v>177</v>
      </c>
      <c r="B23" s="136">
        <f>IF($B$15-B$14=0,0,C23/($B$15-B$14))</f>
        <v>8442.5</v>
      </c>
      <c r="C23" s="137">
        <v>675400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10</v>
      </c>
      <c r="K23" s="36">
        <v>21</v>
      </c>
      <c r="L23" s="95">
        <v>-423.7000000000001</v>
      </c>
      <c r="N23" s="111" t="s">
        <v>126</v>
      </c>
      <c r="O23" s="121">
        <f t="shared" si="2"/>
        <v>-26.642105263157902</v>
      </c>
      <c r="P23" s="115">
        <v>19</v>
      </c>
      <c r="Q23" s="103">
        <v>-506.2000000000001</v>
      </c>
    </row>
    <row r="24" spans="1:17" x14ac:dyDescent="0.45">
      <c r="A24" s="52" t="s">
        <v>178</v>
      </c>
      <c r="B24" s="136">
        <f>IF(B$14=0,0,C24/B$14)</f>
        <v>7229.166666666667</v>
      </c>
      <c r="C24" s="137">
        <v>347000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-8258.4269662921342</v>
      </c>
      <c r="C25" s="137">
        <v>-735000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1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6.1601642710472282E-3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9.375E-2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25</v>
      </c>
      <c r="C33" s="37">
        <f t="shared" ref="C33:C44" si="3">IF(B$15=0,0,B33/B$15)</f>
        <v>0.1953125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27</v>
      </c>
      <c r="C34" s="37">
        <f>IF(B$15=0,0,B34/B$15)</f>
        <v>0.2109375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18</v>
      </c>
      <c r="C35" s="37">
        <f t="shared" si="3"/>
        <v>0.140625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18</v>
      </c>
      <c r="C36" s="37">
        <f t="shared" si="3"/>
        <v>0.140625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11</v>
      </c>
      <c r="C37" s="37">
        <f t="shared" si="3"/>
        <v>8.59375E-2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9</v>
      </c>
      <c r="C38" s="37">
        <f t="shared" si="3"/>
        <v>7.03125E-2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3"/>
        <v>3.90625E-2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7.8125E-3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1.5625E-2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</sheetData>
  <sortState xmlns:xlrd2="http://schemas.microsoft.com/office/spreadsheetml/2017/richdata2" ref="E2:I62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2A8A-D1EA-40D1-93F0-45F51FCA97B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7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5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4644E-546A-467E-B351-9A5F1982A84A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7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AE79-C9C1-4D7F-81E4-FA0ACF216028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BF6F9-9176-4A0B-9C37-B44708655C10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</v>
      </c>
      <c r="C2" s="155"/>
      <c r="E2" s="58" t="s">
        <v>64</v>
      </c>
      <c r="F2" s="55" t="s">
        <v>20</v>
      </c>
      <c r="G2" s="43">
        <v>23</v>
      </c>
      <c r="H2" s="128">
        <f>IF(B$15=0,0,G2/B$15)</f>
        <v>0.54761904761904767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-2923.0769230769229</v>
      </c>
      <c r="P2" s="114">
        <v>13</v>
      </c>
      <c r="Q2" s="98">
        <v>-38000</v>
      </c>
    </row>
    <row r="3" spans="1:17" x14ac:dyDescent="0.45">
      <c r="A3" s="51" t="s">
        <v>8</v>
      </c>
      <c r="B3" s="156">
        <v>118</v>
      </c>
      <c r="C3" s="157"/>
      <c r="E3" s="59" t="s">
        <v>66</v>
      </c>
      <c r="F3" s="56" t="s">
        <v>22</v>
      </c>
      <c r="G3" s="44">
        <v>22</v>
      </c>
      <c r="H3" s="129">
        <f>IF(B$15=0,0,G3/B$15)</f>
        <v>0.52380952380952384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-430.76923076923077</v>
      </c>
      <c r="P3" s="115">
        <v>13</v>
      </c>
      <c r="Q3" s="99">
        <v>-5600</v>
      </c>
    </row>
    <row r="4" spans="1:17" x14ac:dyDescent="0.45">
      <c r="A4" s="51" t="s">
        <v>6</v>
      </c>
      <c r="B4" s="158">
        <v>-47.6</v>
      </c>
      <c r="C4" s="159"/>
      <c r="E4" s="59" t="s">
        <v>72</v>
      </c>
      <c r="F4" s="56" t="s">
        <v>27</v>
      </c>
      <c r="G4" s="44">
        <v>20</v>
      </c>
      <c r="H4" s="129">
        <f>IF(B$15=0,0,G4/B$15)</f>
        <v>0.47619047619047616</v>
      </c>
      <c r="I4" s="90">
        <v>10</v>
      </c>
      <c r="K4" s="36">
        <v>2</v>
      </c>
      <c r="L4" s="95">
        <v>27.8</v>
      </c>
      <c r="N4" s="111" t="s">
        <v>132</v>
      </c>
      <c r="O4" s="118">
        <f t="shared" si="0"/>
        <v>-2992.3076923076924</v>
      </c>
      <c r="P4" s="115">
        <v>13</v>
      </c>
      <c r="Q4" s="99">
        <v>-38900</v>
      </c>
    </row>
    <row r="5" spans="1:17" x14ac:dyDescent="0.45">
      <c r="A5" s="51" t="s">
        <v>7</v>
      </c>
      <c r="B5" s="160">
        <f>IF(B$2=0,0,B$4/B$2)</f>
        <v>-3.6615384615384619</v>
      </c>
      <c r="C5" s="161"/>
      <c r="E5" s="59" t="s">
        <v>68</v>
      </c>
      <c r="F5" s="56" t="s">
        <v>12</v>
      </c>
      <c r="G5" s="44">
        <v>16</v>
      </c>
      <c r="H5" s="129">
        <f>IF(B$15=0,0,G5/B$15)</f>
        <v>0.38095238095238093</v>
      </c>
      <c r="I5" s="90">
        <v>3</v>
      </c>
      <c r="K5" s="36">
        <v>3</v>
      </c>
      <c r="L5" s="95">
        <v>20.399999999999999</v>
      </c>
      <c r="N5" s="111" t="s">
        <v>133</v>
      </c>
      <c r="O5" s="118">
        <f t="shared" si="0"/>
        <v>623.07692307692309</v>
      </c>
      <c r="P5" s="115">
        <v>13</v>
      </c>
      <c r="Q5" s="99">
        <v>8100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67</v>
      </c>
      <c r="F6" s="56" t="s">
        <v>23</v>
      </c>
      <c r="G6" s="44">
        <v>13</v>
      </c>
      <c r="H6" s="129">
        <f>IF(B$15=0,0,G6/B$15)</f>
        <v>0.30952380952380953</v>
      </c>
      <c r="I6" s="90">
        <v>6</v>
      </c>
      <c r="K6" s="36">
        <v>4</v>
      </c>
      <c r="L6" s="95">
        <v>53.1</v>
      </c>
      <c r="N6" s="111" t="s">
        <v>134</v>
      </c>
      <c r="O6" s="118">
        <f t="shared" si="0"/>
        <v>-827.27272727272725</v>
      </c>
      <c r="P6" s="115">
        <v>11</v>
      </c>
      <c r="Q6" s="99">
        <v>-9100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0.38461538461538464</v>
      </c>
      <c r="E7" s="59" t="s">
        <v>166</v>
      </c>
      <c r="F7" s="56" t="s">
        <v>167</v>
      </c>
      <c r="G7" s="44">
        <v>11</v>
      </c>
      <c r="H7" s="129">
        <f>IF(B$15=0,0,G7/B$15)</f>
        <v>0.26190476190476192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4244.4444444444443</v>
      </c>
      <c r="P7" s="116">
        <v>9</v>
      </c>
      <c r="Q7" s="100">
        <v>38200</v>
      </c>
    </row>
    <row r="8" spans="1:17" x14ac:dyDescent="0.45">
      <c r="A8" s="51" t="s">
        <v>3</v>
      </c>
      <c r="B8" s="44">
        <v>3</v>
      </c>
      <c r="C8" s="37">
        <f t="shared" si="1"/>
        <v>0.23076923076923078</v>
      </c>
      <c r="E8" s="59" t="s">
        <v>65</v>
      </c>
      <c r="F8" s="56" t="s">
        <v>21</v>
      </c>
      <c r="G8" s="44">
        <v>7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0.38461538461538464</v>
      </c>
      <c r="E9" s="59" t="s">
        <v>69</v>
      </c>
      <c r="F9" s="56" t="s">
        <v>24</v>
      </c>
      <c r="G9" s="44">
        <v>5</v>
      </c>
      <c r="H9" s="129">
        <f>IF(B$15=0,0,G9/B$15)</f>
        <v>0.11904761904761904</v>
      </c>
      <c r="I9" s="90">
        <v>10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0.23076923076923078</v>
      </c>
      <c r="E10" s="59" t="s">
        <v>70</v>
      </c>
      <c r="F10" s="56" t="s">
        <v>25</v>
      </c>
      <c r="G10" s="44">
        <v>4</v>
      </c>
      <c r="H10" s="129">
        <f>IF(B$15=0,0,G10/B$15)</f>
        <v>9.5238095238095233E-2</v>
      </c>
      <c r="I10" s="90">
        <v>8</v>
      </c>
      <c r="K10" s="36">
        <v>8</v>
      </c>
      <c r="L10" s="95">
        <v>41.3</v>
      </c>
      <c r="N10" s="110" t="s">
        <v>157</v>
      </c>
      <c r="O10" s="120">
        <f>IF(P10=0,0,Q10/P10)</f>
        <v>-24.75</v>
      </c>
      <c r="P10" s="114">
        <v>4</v>
      </c>
      <c r="Q10" s="102">
        <v>-99</v>
      </c>
    </row>
    <row r="11" spans="1:17" x14ac:dyDescent="0.45">
      <c r="A11" s="54" t="s">
        <v>121</v>
      </c>
      <c r="B11" s="47">
        <v>36</v>
      </c>
      <c r="C11" s="42">
        <f>IF(B$3=0,0,B11/B$3)</f>
        <v>0.30508474576271188</v>
      </c>
      <c r="E11" s="59" t="s">
        <v>89</v>
      </c>
      <c r="F11" s="56" t="s">
        <v>44</v>
      </c>
      <c r="G11" s="44">
        <v>3</v>
      </c>
      <c r="H11" s="129">
        <f>IF(B$15=0,0,G11/B$15)</f>
        <v>7.1428571428571425E-2</v>
      </c>
      <c r="I11" s="90">
        <v>12</v>
      </c>
      <c r="K11" s="36">
        <v>9</v>
      </c>
      <c r="L11" s="95">
        <v>79.699999999999989</v>
      </c>
      <c r="N11" s="111" t="s">
        <v>158</v>
      </c>
      <c r="O11" s="121">
        <f>IF(P11=0,0,Q11/P11)</f>
        <v>1.6166666666666674</v>
      </c>
      <c r="P11" s="115">
        <v>6</v>
      </c>
      <c r="Q11" s="103">
        <v>9.7000000000000046</v>
      </c>
    </row>
    <row r="12" spans="1:17" x14ac:dyDescent="0.45">
      <c r="A12" s="51" t="s">
        <v>118</v>
      </c>
      <c r="B12" s="44">
        <v>15</v>
      </c>
      <c r="C12" s="37">
        <f>IF(B$3=0,0,B12/B$3)</f>
        <v>0.1271186440677966</v>
      </c>
      <c r="E12" s="59" t="s">
        <v>83</v>
      </c>
      <c r="F12" s="56" t="s">
        <v>38</v>
      </c>
      <c r="G12" s="44">
        <v>2</v>
      </c>
      <c r="H12" s="129">
        <f>IF(B$15=0,0,G12/B$15)</f>
        <v>4.7619047619047616E-2</v>
      </c>
      <c r="I12" s="90">
        <v>9</v>
      </c>
      <c r="K12" s="36">
        <v>10</v>
      </c>
      <c r="L12" s="95">
        <v>86.1</v>
      </c>
      <c r="N12" s="112" t="s">
        <v>159</v>
      </c>
      <c r="O12" s="122">
        <f>IF(P12=0,0,Q12/P12)</f>
        <v>13.899999999999999</v>
      </c>
      <c r="P12" s="116">
        <v>3</v>
      </c>
      <c r="Q12" s="104">
        <v>41.699999999999996</v>
      </c>
    </row>
    <row r="13" spans="1:17" x14ac:dyDescent="0.45">
      <c r="A13" s="50" t="s">
        <v>123</v>
      </c>
      <c r="B13" s="43">
        <f>B19</f>
        <v>22</v>
      </c>
      <c r="C13" s="35">
        <f>IF(B$11=0,0,B13/B$11)</f>
        <v>0.61111111111111116</v>
      </c>
      <c r="E13" s="59" t="s">
        <v>85</v>
      </c>
      <c r="F13" s="56" t="s">
        <v>40</v>
      </c>
      <c r="G13" s="44">
        <v>2</v>
      </c>
      <c r="H13" s="129">
        <f>IF(B$15=0,0,G13/B$15)</f>
        <v>4.7619047619047616E-2</v>
      </c>
      <c r="I13" s="90">
        <v>1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11</v>
      </c>
      <c r="C14" s="35">
        <f>IF(B$12=0,0,B14/B$12)</f>
        <v>0.73333333333333328</v>
      </c>
      <c r="E14" s="59" t="s">
        <v>71</v>
      </c>
      <c r="F14" s="56" t="s">
        <v>26</v>
      </c>
      <c r="G14" s="44">
        <v>1</v>
      </c>
      <c r="H14" s="129">
        <f>IF(B$15=0,0,G14/B$15)</f>
        <v>2.3809523809523808E-2</v>
      </c>
      <c r="I14" s="90">
        <v>13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42</v>
      </c>
      <c r="C15" s="35">
        <f>IF(B$3=0,0,B15/B$3)</f>
        <v>0.3559322033898305</v>
      </c>
      <c r="E15" s="59" t="s">
        <v>75</v>
      </c>
      <c r="F15" s="56" t="s">
        <v>30</v>
      </c>
      <c r="G15" s="44">
        <v>1</v>
      </c>
      <c r="H15" s="129">
        <f>IF(B$15=0,0,G15/B$15)</f>
        <v>2.3809523809523808E-2</v>
      </c>
      <c r="I15" s="90">
        <v>1</v>
      </c>
      <c r="K15" s="36">
        <v>13</v>
      </c>
      <c r="L15" s="95">
        <v>-47.6</v>
      </c>
      <c r="N15" s="110" t="s">
        <v>196</v>
      </c>
      <c r="O15" s="120">
        <f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20</v>
      </c>
      <c r="C16" s="37">
        <f>IF(B$3=0,0,B16/B$3)</f>
        <v>0.16949152542372881</v>
      </c>
      <c r="E16" s="59" t="s">
        <v>79</v>
      </c>
      <c r="F16" s="56" t="s">
        <v>34</v>
      </c>
      <c r="G16" s="44">
        <v>1</v>
      </c>
      <c r="H16" s="129">
        <f>IF(B$15=0,0,G16/B$15)</f>
        <v>2.3809523809523808E-2</v>
      </c>
      <c r="I16" s="90">
        <v>3</v>
      </c>
      <c r="N16" s="111" t="s">
        <v>171</v>
      </c>
      <c r="O16" s="121">
        <f>IF(P16=0,0,Q16/P16)</f>
        <v>38.25</v>
      </c>
      <c r="P16" s="115">
        <v>2</v>
      </c>
      <c r="Q16" s="103">
        <v>76.5</v>
      </c>
    </row>
    <row r="17" spans="1:17" x14ac:dyDescent="0.45">
      <c r="A17" s="51" t="s">
        <v>12</v>
      </c>
      <c r="B17" s="44">
        <v>21</v>
      </c>
      <c r="C17" s="37">
        <f>IF(B$15=0,0,B17/B$15)</f>
        <v>0.5</v>
      </c>
      <c r="E17" s="59" t="s">
        <v>86</v>
      </c>
      <c r="F17" s="56" t="s">
        <v>41</v>
      </c>
      <c r="G17" s="44">
        <v>1</v>
      </c>
      <c r="H17" s="129">
        <f>IF(B$15=0,0,G17/B$15)</f>
        <v>2.3809523809523808E-2</v>
      </c>
      <c r="I17" s="90">
        <v>11</v>
      </c>
      <c r="N17" s="111" t="s">
        <v>172</v>
      </c>
      <c r="O17" s="121">
        <f>IF(P17=0,0,Q17/P17)</f>
        <v>19.249999999999996</v>
      </c>
      <c r="P17" s="115">
        <v>4</v>
      </c>
      <c r="Q17" s="103">
        <v>76.999999999999986</v>
      </c>
    </row>
    <row r="18" spans="1:17" x14ac:dyDescent="0.45">
      <c r="A18" s="51" t="s">
        <v>11</v>
      </c>
      <c r="B18" s="44">
        <v>21</v>
      </c>
      <c r="C18" s="37">
        <f>IF(B$15=0,0,B18/B$15)</f>
        <v>0.5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197</v>
      </c>
      <c r="O18" s="121">
        <f>IF(P18=0,0,Q18/P18)</f>
        <v>12.000000000000002</v>
      </c>
      <c r="P18" s="115">
        <v>1</v>
      </c>
      <c r="Q18" s="103">
        <v>12.000000000000002</v>
      </c>
    </row>
    <row r="19" spans="1:17" x14ac:dyDescent="0.45">
      <c r="A19" s="51" t="s">
        <v>195</v>
      </c>
      <c r="B19" s="44">
        <v>22</v>
      </c>
      <c r="C19" s="37">
        <f>IF(B$15=0,0,B19/B$15)</f>
        <v>0.52380952380952384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127</v>
      </c>
      <c r="O19" s="121">
        <f>IF(P19=0,0,Q19/P19)</f>
        <v>-0.39999999999999858</v>
      </c>
      <c r="P19" s="115">
        <v>4</v>
      </c>
      <c r="Q19" s="103">
        <v>-1.5999999999999943</v>
      </c>
    </row>
    <row r="20" spans="1:17" x14ac:dyDescent="0.45">
      <c r="A20" s="51" t="s">
        <v>193</v>
      </c>
      <c r="B20" s="44">
        <v>11</v>
      </c>
      <c r="C20" s="37">
        <f>IF(B$15=0,0,B20/B$15)</f>
        <v>0.26190476190476192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170</v>
      </c>
      <c r="O20" s="121">
        <f>IF(P20=0,0,Q20/P20)</f>
        <v>-5.4749999999999988</v>
      </c>
      <c r="P20" s="115">
        <v>8</v>
      </c>
      <c r="Q20" s="103">
        <v>-43.79999999999999</v>
      </c>
    </row>
    <row r="21" spans="1:17" x14ac:dyDescent="0.45">
      <c r="A21" s="51" t="s">
        <v>194</v>
      </c>
      <c r="B21" s="44">
        <v>9</v>
      </c>
      <c r="C21" s="37">
        <f>IF(B$15=0,0,B21/B$15)</f>
        <v>0.21428571428571427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>IF(P21=0,0,Q21/P21)</f>
        <v>-49.766666666666659</v>
      </c>
      <c r="P21" s="115">
        <v>3</v>
      </c>
      <c r="Q21" s="103">
        <v>-149.29999999999998</v>
      </c>
    </row>
    <row r="22" spans="1:17" x14ac:dyDescent="0.45">
      <c r="A22" s="51" t="s">
        <v>5</v>
      </c>
      <c r="B22" s="48">
        <f>IF(B$15=0,0,C22/B$15)</f>
        <v>6407.1428571428569</v>
      </c>
      <c r="C22" s="39">
        <v>269100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>IF(P22=0,0,Q22/P22)</f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6983.8709677419356</v>
      </c>
      <c r="C23" s="137">
        <v>216500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4781.818181818182</v>
      </c>
      <c r="C24" s="137">
        <v>52600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-8205</v>
      </c>
      <c r="C25" s="137">
        <v>-164100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8.4745762711864406E-3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5</v>
      </c>
      <c r="C32" s="141">
        <f>IF(B$15=0,0,B32/B$15)</f>
        <v>0.11904761904761904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12</v>
      </c>
      <c r="C33" s="37">
        <f t="shared" ref="C33:C44" si="2">IF(B$15=0,0,B33/B$15)</f>
        <v>0.2857142857142857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0.14285714285714285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9</v>
      </c>
      <c r="C35" s="37">
        <f t="shared" si="2"/>
        <v>0.21428571428571427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6</v>
      </c>
      <c r="C36" s="37">
        <f t="shared" si="2"/>
        <v>0.14285714285714285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2.3809523809523808E-2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2</v>
      </c>
      <c r="C38" s="37">
        <f t="shared" si="2"/>
        <v>4.7619047619047616E-2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2"/>
        <v>2.3809523809523808E-2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B558C-F29D-4B81-AD84-8320E1DE089B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5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5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6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5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8BE4F-8688-4B5E-B6F4-C728D5575C5D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1F0F5-ABCD-4491-BFE6-FA0AC94AC333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3874B-69A4-4136-8D0C-A3A278D0C55F}">
  <sheetPr codeName="Sheet30"/>
  <dimension ref="A1:Q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A7E39-A4F7-4AC5-88D1-4F9BDA057695}">
  <sheetPr codeName="Sheet28"/>
  <dimension ref="A1:Q1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2C86A-12CA-4FEF-9B88-4A8B5431690C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9D213-C087-48A7-A889-08E268BFBE2C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5E434-7161-4FB7-A879-72565ED7A2E3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BA320-6766-4C89-A279-03F82D199659}">
  <sheetPr codeName="Sheet20"/>
  <dimension ref="A1:Q6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D2168-54B2-4E12-BADF-FE05B57DF42D}">
  <sheetPr codeName="Sheet18"/>
  <dimension ref="A1:Q13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E863E-991F-48B9-852E-595E113ACF3E}">
  <sheetPr codeName="Sheet16"/>
  <dimension ref="A1:Q11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0CC3-FD8B-4C15-B65B-85B4A980437A}">
  <sheetPr codeName="Sheet14"/>
  <dimension ref="A1:Q9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F3AA7-FB39-4144-B109-1B9FB849F24C}">
  <sheetPr codeName="Sheet12"/>
  <dimension ref="A1:Q14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CF1A7-6EBA-4DE2-A6F1-1818D7199BD9}">
  <sheetPr codeName="Sheet10"/>
  <dimension ref="A1:Q16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99D68-F0CE-435E-B4BA-B07C6FD8E624}">
  <sheetPr codeName="Sheet8"/>
  <dimension ref="A1:Q7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76675-D5A0-40FB-A79B-0896A8E10BA9}">
  <sheetPr codeName="Sheet6"/>
  <dimension ref="A1:Q27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2019-12-19T17:13:11Z</dcterms:modified>
</cp:coreProperties>
</file>