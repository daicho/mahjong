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6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7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8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9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0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1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2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3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AE42E69C-5290-430E-9D71-A046F2A0CF1B}" xr6:coauthVersionLast="41" xr6:coauthVersionMax="41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119" r:id="rId6"/>
    <sheet name="たかの" sheetId="6121" r:id="rId7"/>
    <sheet name="だいち" sheetId="6123" r:id="rId8"/>
    <sheet name="ただ" sheetId="6125" r:id="rId9"/>
    <sheet name="りくと" sheetId="6127" r:id="rId10"/>
    <sheet name="れんたろう" sheetId="6129" r:id="rId11"/>
    <sheet name="まっつん" sheetId="6131" r:id="rId12"/>
    <sheet name="のり" sheetId="6133" r:id="rId13"/>
    <sheet name="ぱぱ" sheetId="6135" r:id="rId14"/>
    <sheet name="ほたに" sheetId="6137" r:id="rId15"/>
    <sheet name="いっしー" sheetId="6139" r:id="rId16"/>
    <sheet name="ともき" sheetId="6141" r:id="rId17"/>
    <sheet name="ともき2" sheetId="6142" state="hidden" r:id="rId18"/>
    <sheet name="いっしー2" sheetId="6140" state="hidden" r:id="rId19"/>
    <sheet name="ほたに2" sheetId="6138" state="hidden" r:id="rId20"/>
    <sheet name="ぱぱ2" sheetId="6136" state="hidden" r:id="rId21"/>
    <sheet name="のり2" sheetId="6134" state="hidden" r:id="rId22"/>
    <sheet name="まっつん2" sheetId="6132" state="hidden" r:id="rId23"/>
    <sheet name="れんたろう2" sheetId="6130" state="hidden" r:id="rId24"/>
    <sheet name="りくと2" sheetId="6128" state="hidden" r:id="rId25"/>
    <sheet name="ただ2" sheetId="6126" state="hidden" r:id="rId26"/>
    <sheet name="だいち2" sheetId="6124" state="hidden" r:id="rId27"/>
    <sheet name="たかの2" sheetId="6122" state="hidden" r:id="rId28"/>
    <sheet name="全体2" sheetId="6120" state="hidden" r:id="rId29"/>
    <sheet name="通算スコア" sheetId="3331" state="hidden" r:id="rId30"/>
    <sheet name="平均スコア" sheetId="3493" state="hidden" r:id="rId31"/>
    <sheet name="平均順位" sheetId="3183" state="hidden" r:id="rId32"/>
    <sheet name="トップ率" sheetId="3185" state="hidden" r:id="rId33"/>
    <sheet name="ラス率" sheetId="4886" state="hidden" r:id="rId34"/>
    <sheet name="アガリ率" sheetId="3189" state="hidden" r:id="rId35"/>
    <sheet name="放銃率" sheetId="3190" state="hidden" r:id="rId36"/>
    <sheet name="平均アガリ点" sheetId="3520" state="hidden" r:id="rId37"/>
    <sheet name="平均放銃点" sheetId="3521" state="hidden" r:id="rId38"/>
    <sheet name="ふっとび率" sheetId="3522" state="hidden" r:id="rId39"/>
    <sheet name="リーチ率" sheetId="3524" state="hidden" r:id="rId40"/>
    <sheet name="副露率" sheetId="3525" state="hidden" r:id="rId41"/>
    <sheet name="リーチ成功率" sheetId="4841" state="hidden" r:id="rId42"/>
    <sheet name="副露成功率" sheetId="3527" state="hidden" r:id="rId43"/>
    <sheet name="ツモ率" sheetId="3528" state="hidden" r:id="rId44"/>
  </sheets>
  <definedNames>
    <definedName name="アガリ数" localSheetId="15">いっしー!$B$15</definedName>
    <definedName name="アガリ数" localSheetId="7">だいち!$B$15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18">Template1!#REF!</definedName>
    <definedName name="ダマアガリ点" localSheetId="7">だいち!#REF!</definedName>
    <definedName name="ダマアガリ点" localSheetId="26">Template1!#REF!</definedName>
    <definedName name="ダマアガリ点" localSheetId="6">たかの!#REF!</definedName>
    <definedName name="ダマアガリ点" localSheetId="27">Template1!#REF!</definedName>
    <definedName name="ダマアガリ点" localSheetId="8">ただ!#REF!</definedName>
    <definedName name="ダマアガリ点" localSheetId="25">Template1!#REF!</definedName>
    <definedName name="ダマアガリ点" localSheetId="16">ともき!#REF!</definedName>
    <definedName name="ダマアガリ点" localSheetId="17">Template1!#REF!</definedName>
    <definedName name="ダマアガリ点" localSheetId="12">のり!#REF!</definedName>
    <definedName name="ダマアガリ点" localSheetId="21">Template1!#REF!</definedName>
    <definedName name="ダマアガリ点" localSheetId="13">ぱぱ!#REF!</definedName>
    <definedName name="ダマアガリ点" localSheetId="20">Template1!#REF!</definedName>
    <definedName name="ダマアガリ点" localSheetId="14">ほたに!#REF!</definedName>
    <definedName name="ダマアガリ点" localSheetId="19">Template1!#REF!</definedName>
    <definedName name="ダマアガリ点" localSheetId="11">まっつん!#REF!</definedName>
    <definedName name="ダマアガリ点" localSheetId="22">Template1!#REF!</definedName>
    <definedName name="ダマアガリ点" localSheetId="9">りくと!#REF!</definedName>
    <definedName name="ダマアガリ点" localSheetId="24">Template1!#REF!</definedName>
    <definedName name="ダマアガリ点" localSheetId="10">れんたろう!#REF!</definedName>
    <definedName name="ダマアガリ点" localSheetId="23">Template1!#REF!</definedName>
    <definedName name="ダマアガリ点" localSheetId="5">全体!#REF!</definedName>
    <definedName name="ダマアガリ点" localSheetId="28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18">Template1!#REF!</definedName>
    <definedName name="ふっとばし数" localSheetId="7">だいち!#REF!</definedName>
    <definedName name="ふっとばし数" localSheetId="26">Template1!#REF!</definedName>
    <definedName name="ふっとばし数" localSheetId="6">たかの!#REF!</definedName>
    <definedName name="ふっとばし数" localSheetId="27">Template1!#REF!</definedName>
    <definedName name="ふっとばし数" localSheetId="8">ただ!#REF!</definedName>
    <definedName name="ふっとばし数" localSheetId="25">Template1!#REF!</definedName>
    <definedName name="ふっとばし数" localSheetId="16">ともき!#REF!</definedName>
    <definedName name="ふっとばし数" localSheetId="17">Template1!#REF!</definedName>
    <definedName name="ふっとばし数" localSheetId="12">のり!#REF!</definedName>
    <definedName name="ふっとばし数" localSheetId="21">Template1!#REF!</definedName>
    <definedName name="ふっとばし数" localSheetId="13">ぱぱ!#REF!</definedName>
    <definedName name="ふっとばし数" localSheetId="20">Template1!#REF!</definedName>
    <definedName name="ふっとばし数" localSheetId="14">ほたに!#REF!</definedName>
    <definedName name="ふっとばし数" localSheetId="19">Template1!#REF!</definedName>
    <definedName name="ふっとばし数" localSheetId="11">まっつん!#REF!</definedName>
    <definedName name="ふっとばし数" localSheetId="22">Template1!#REF!</definedName>
    <definedName name="ふっとばし数" localSheetId="9">りくと!#REF!</definedName>
    <definedName name="ふっとばし数" localSheetId="24">Template1!#REF!</definedName>
    <definedName name="ふっとばし数" localSheetId="10">れんたろう!#REF!</definedName>
    <definedName name="ふっとばし数" localSheetId="23">Template1!#REF!</definedName>
    <definedName name="ふっとばし数" localSheetId="5">全体!#REF!</definedName>
    <definedName name="ふっとばし数" localSheetId="28">Template1!#REF!</definedName>
    <definedName name="ふっとばし数">Template1!#REF!</definedName>
    <definedName name="ふっとばし率" localSheetId="15">いっしー!#REF!</definedName>
    <definedName name="ふっとばし率" localSheetId="18">Template1!#REF!</definedName>
    <definedName name="ふっとばし率" localSheetId="7">だいち!#REF!</definedName>
    <definedName name="ふっとばし率" localSheetId="26">Template1!#REF!</definedName>
    <definedName name="ふっとばし率" localSheetId="6">たかの!#REF!</definedName>
    <definedName name="ふっとばし率" localSheetId="27">Template1!#REF!</definedName>
    <definedName name="ふっとばし率" localSheetId="8">ただ!#REF!</definedName>
    <definedName name="ふっとばし率" localSheetId="25">Template1!#REF!</definedName>
    <definedName name="ふっとばし率" localSheetId="16">ともき!#REF!</definedName>
    <definedName name="ふっとばし率" localSheetId="17">Template1!#REF!</definedName>
    <definedName name="ふっとばし率" localSheetId="12">のり!#REF!</definedName>
    <definedName name="ふっとばし率" localSheetId="21">Template1!#REF!</definedName>
    <definedName name="ふっとばし率" localSheetId="13">ぱぱ!#REF!</definedName>
    <definedName name="ふっとばし率" localSheetId="20">Template1!#REF!</definedName>
    <definedName name="ふっとばし率" localSheetId="14">ほたに!#REF!</definedName>
    <definedName name="ふっとばし率" localSheetId="19">Template1!#REF!</definedName>
    <definedName name="ふっとばし率" localSheetId="11">まっつん!#REF!</definedName>
    <definedName name="ふっとばし率" localSheetId="22">Template1!#REF!</definedName>
    <definedName name="ふっとばし率" localSheetId="9">りくと!#REF!</definedName>
    <definedName name="ふっとばし率" localSheetId="24">Template1!#REF!</definedName>
    <definedName name="ふっとばし率" localSheetId="10">れんたろう!#REF!</definedName>
    <definedName name="ふっとばし率" localSheetId="23">Template1!#REF!</definedName>
    <definedName name="ふっとばし率" localSheetId="5">全体!#REF!</definedName>
    <definedName name="ふっとばし率" localSheetId="28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18">Template1!#REF!</definedName>
    <definedName name="逆転数" localSheetId="7">だいち!#REF!</definedName>
    <definedName name="逆転数" localSheetId="26">Template1!#REF!</definedName>
    <definedName name="逆転数" localSheetId="6">たかの!#REF!</definedName>
    <definedName name="逆転数" localSheetId="27">Template1!#REF!</definedName>
    <definedName name="逆転数" localSheetId="8">ただ!#REF!</definedName>
    <definedName name="逆転数" localSheetId="25">Template1!#REF!</definedName>
    <definedName name="逆転数" localSheetId="16">ともき!#REF!</definedName>
    <definedName name="逆転数" localSheetId="17">Template1!#REF!</definedName>
    <definedName name="逆転数" localSheetId="12">のり!#REF!</definedName>
    <definedName name="逆転数" localSheetId="21">Template1!#REF!</definedName>
    <definedName name="逆転数" localSheetId="13">ぱぱ!#REF!</definedName>
    <definedName name="逆転数" localSheetId="20">Template1!#REF!</definedName>
    <definedName name="逆転数" localSheetId="14">ほたに!#REF!</definedName>
    <definedName name="逆転数" localSheetId="19">Template1!#REF!</definedName>
    <definedName name="逆転数" localSheetId="11">まっつん!#REF!</definedName>
    <definedName name="逆転数" localSheetId="22">Template1!#REF!</definedName>
    <definedName name="逆転数" localSheetId="9">りくと!#REF!</definedName>
    <definedName name="逆転数" localSheetId="24">Template1!#REF!</definedName>
    <definedName name="逆転数" localSheetId="10">れんたろう!#REF!</definedName>
    <definedName name="逆転数" localSheetId="23">Template1!#REF!</definedName>
    <definedName name="逆転数" localSheetId="5">全体!#REF!</definedName>
    <definedName name="逆転数" localSheetId="28">Template1!#REF!</definedName>
    <definedName name="逆転数">Template1!#REF!</definedName>
    <definedName name="逆転率" localSheetId="15">いっしー!#REF!</definedName>
    <definedName name="逆転率" localSheetId="18">Template1!#REF!</definedName>
    <definedName name="逆転率" localSheetId="7">だいち!#REF!</definedName>
    <definedName name="逆転率" localSheetId="26">Template1!#REF!</definedName>
    <definedName name="逆転率" localSheetId="6">たかの!#REF!</definedName>
    <definedName name="逆転率" localSheetId="27">Template1!#REF!</definedName>
    <definedName name="逆転率" localSheetId="8">ただ!#REF!</definedName>
    <definedName name="逆転率" localSheetId="25">Template1!#REF!</definedName>
    <definedName name="逆転率" localSheetId="16">ともき!#REF!</definedName>
    <definedName name="逆転率" localSheetId="17">Template1!#REF!</definedName>
    <definedName name="逆転率" localSheetId="12">のり!#REF!</definedName>
    <definedName name="逆転率" localSheetId="21">Template1!#REF!</definedName>
    <definedName name="逆転率" localSheetId="13">ぱぱ!#REF!</definedName>
    <definedName name="逆転率" localSheetId="20">Template1!#REF!</definedName>
    <definedName name="逆転率" localSheetId="14">ほたに!#REF!</definedName>
    <definedName name="逆転率" localSheetId="19">Template1!#REF!</definedName>
    <definedName name="逆転率" localSheetId="11">まっつん!#REF!</definedName>
    <definedName name="逆転率" localSheetId="22">Template1!#REF!</definedName>
    <definedName name="逆転率" localSheetId="9">りくと!#REF!</definedName>
    <definedName name="逆転率" localSheetId="24">Template1!#REF!</definedName>
    <definedName name="逆転率" localSheetId="10">れんたろう!#REF!</definedName>
    <definedName name="逆転率" localSheetId="23">Template1!#REF!</definedName>
    <definedName name="逆転率" localSheetId="5">全体!#REF!</definedName>
    <definedName name="逆転率" localSheetId="28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3" i="6129" l="1"/>
  <c r="O16" i="6141"/>
  <c r="O15" i="6141"/>
  <c r="C30" i="6141"/>
  <c r="B25" i="6141"/>
  <c r="B24" i="6141"/>
  <c r="C16" i="6141"/>
  <c r="B15" i="6141"/>
  <c r="H50" i="6141" s="1"/>
  <c r="C14" i="6141"/>
  <c r="B14" i="6141"/>
  <c r="B13" i="6141"/>
  <c r="C13" i="6141" s="1"/>
  <c r="O12" i="6141"/>
  <c r="C12" i="6141"/>
  <c r="O11" i="6141"/>
  <c r="C11" i="6141"/>
  <c r="O10" i="6141"/>
  <c r="C10" i="6141"/>
  <c r="C9" i="6141"/>
  <c r="C8" i="6141"/>
  <c r="O7" i="6141"/>
  <c r="C7" i="6141"/>
  <c r="O6" i="6141"/>
  <c r="B6" i="6141"/>
  <c r="O5" i="6141"/>
  <c r="B5" i="6141"/>
  <c r="O4" i="6141"/>
  <c r="O3" i="6141"/>
  <c r="O2" i="6141"/>
  <c r="O18" i="6133"/>
  <c r="O25" i="6119"/>
  <c r="H25" i="6141" l="1"/>
  <c r="C18" i="6141"/>
  <c r="H19" i="6141"/>
  <c r="H10" i="6141"/>
  <c r="H26" i="6141"/>
  <c r="H17" i="6141"/>
  <c r="H36" i="6141"/>
  <c r="H40" i="6141"/>
  <c r="C38" i="6141"/>
  <c r="C40" i="6141"/>
  <c r="H14" i="6141"/>
  <c r="B22" i="6141"/>
  <c r="C15" i="6141"/>
  <c r="H44" i="6141"/>
  <c r="C32" i="6141"/>
  <c r="C44" i="6141"/>
  <c r="H4" i="6141"/>
  <c r="H23" i="6141"/>
  <c r="H51" i="6141"/>
  <c r="H2" i="6141"/>
  <c r="H29" i="6141"/>
  <c r="H21" i="6141"/>
  <c r="H32" i="6141"/>
  <c r="H7" i="6141"/>
  <c r="H15" i="6141"/>
  <c r="C34" i="6141"/>
  <c r="C36" i="6141"/>
  <c r="H52" i="6141"/>
  <c r="H18" i="6141"/>
  <c r="H22" i="6141"/>
  <c r="H27" i="6141"/>
  <c r="C33" i="6141"/>
  <c r="C37" i="6141"/>
  <c r="C41" i="6141"/>
  <c r="H45" i="6141"/>
  <c r="H3" i="6141"/>
  <c r="H5" i="6141"/>
  <c r="H8" i="6141"/>
  <c r="H12" i="6141"/>
  <c r="C19" i="6141"/>
  <c r="B23" i="6141"/>
  <c r="H28" i="6141"/>
  <c r="H33" i="6141"/>
  <c r="H37" i="6141"/>
  <c r="H41" i="6141"/>
  <c r="H46" i="6141"/>
  <c r="C42" i="6141"/>
  <c r="H47" i="6141"/>
  <c r="H6" i="6141"/>
  <c r="C20" i="6141"/>
  <c r="H34" i="6141"/>
  <c r="H38" i="6141"/>
  <c r="H42" i="6141"/>
  <c r="H48" i="6141"/>
  <c r="H13" i="6141"/>
  <c r="H16" i="6141"/>
  <c r="H20" i="6141"/>
  <c r="H24" i="6141"/>
  <c r="H30" i="6141"/>
  <c r="C35" i="6141"/>
  <c r="C39" i="6141"/>
  <c r="C43" i="6141"/>
  <c r="H49" i="6141"/>
  <c r="H9" i="6141"/>
  <c r="H11" i="6141"/>
  <c r="C17" i="6141"/>
  <c r="C21" i="6141"/>
  <c r="H31" i="6141"/>
  <c r="H35" i="6141"/>
  <c r="H39" i="6141"/>
  <c r="H43" i="6141"/>
  <c r="O16" i="6131"/>
  <c r="O17" i="6139"/>
  <c r="O22" i="6123"/>
  <c r="O16" i="6139"/>
  <c r="O15" i="6139"/>
  <c r="C30" i="6139"/>
  <c r="B25" i="6139"/>
  <c r="C16" i="6139"/>
  <c r="B15" i="6139"/>
  <c r="H51" i="6139" s="1"/>
  <c r="H17" i="6139"/>
  <c r="B14" i="6139"/>
  <c r="C14" i="6139" s="1"/>
  <c r="B13" i="6139"/>
  <c r="C13" i="6139" s="1"/>
  <c r="O12" i="6139"/>
  <c r="C12" i="6139"/>
  <c r="O11" i="6139"/>
  <c r="C11" i="6139"/>
  <c r="O10" i="6139"/>
  <c r="C10" i="6139"/>
  <c r="C9" i="6139"/>
  <c r="C8" i="6139"/>
  <c r="O7" i="6139"/>
  <c r="C7" i="6139"/>
  <c r="O6" i="6139"/>
  <c r="B6" i="6139"/>
  <c r="O5" i="6139"/>
  <c r="B5" i="6139"/>
  <c r="O4" i="6139"/>
  <c r="O3" i="6139"/>
  <c r="O2" i="6139"/>
  <c r="O20" i="6133"/>
  <c r="O24" i="6119"/>
  <c r="H8" i="6139" l="1"/>
  <c r="H22" i="6139"/>
  <c r="H30" i="6139"/>
  <c r="B24" i="6139"/>
  <c r="C40" i="6139"/>
  <c r="H41" i="6139"/>
  <c r="H9" i="6139"/>
  <c r="H25" i="6139"/>
  <c r="H6" i="6139"/>
  <c r="C32" i="6139"/>
  <c r="C15" i="6139"/>
  <c r="C44" i="6139"/>
  <c r="H7" i="6139"/>
  <c r="H10" i="6139"/>
  <c r="H18" i="6139"/>
  <c r="H45" i="6139"/>
  <c r="H48" i="6139"/>
  <c r="B22" i="6139"/>
  <c r="C34" i="6139"/>
  <c r="H12" i="6139"/>
  <c r="H27" i="6139"/>
  <c r="H11" i="6139"/>
  <c r="C42" i="6139"/>
  <c r="H15" i="6139"/>
  <c r="H33" i="6139"/>
  <c r="C36" i="6139"/>
  <c r="H2" i="6139"/>
  <c r="H20" i="6139"/>
  <c r="H37" i="6139"/>
  <c r="H3" i="6139"/>
  <c r="H13" i="6139"/>
  <c r="C18" i="6139"/>
  <c r="H28" i="6139"/>
  <c r="C38" i="6139"/>
  <c r="H52" i="6139"/>
  <c r="H21" i="6139"/>
  <c r="H24" i="6139"/>
  <c r="H5" i="6139"/>
  <c r="C33" i="6139"/>
  <c r="C37" i="6139"/>
  <c r="C41" i="6139"/>
  <c r="H46" i="6139"/>
  <c r="C19" i="6139"/>
  <c r="B23" i="6139"/>
  <c r="H29" i="6139"/>
  <c r="H34" i="6139"/>
  <c r="H38" i="6139"/>
  <c r="H42" i="6139"/>
  <c r="H47" i="6139"/>
  <c r="H39" i="6139"/>
  <c r="H16" i="6139"/>
  <c r="H19" i="6139"/>
  <c r="H23" i="6139"/>
  <c r="H26" i="6139"/>
  <c r="H31" i="6139"/>
  <c r="C35" i="6139"/>
  <c r="C39" i="6139"/>
  <c r="C43" i="6139"/>
  <c r="H50" i="6139"/>
  <c r="C20" i="6139"/>
  <c r="H35" i="6139"/>
  <c r="H43" i="6139"/>
  <c r="H49" i="6139"/>
  <c r="H4" i="6139"/>
  <c r="H14" i="6139"/>
  <c r="C17" i="6139"/>
  <c r="C21" i="6139"/>
  <c r="H32" i="6139"/>
  <c r="H36" i="6139"/>
  <c r="H40" i="6139"/>
  <c r="H44" i="6139"/>
  <c r="O21" i="6121" l="1"/>
  <c r="O16" i="6129"/>
  <c r="O15" i="6129" l="1"/>
  <c r="O19" i="6137"/>
  <c r="O17" i="6127" l="1"/>
  <c r="O16" i="6133"/>
  <c r="O16" i="6137" l="1"/>
  <c r="O22" i="6127"/>
  <c r="O20" i="6121" l="1"/>
  <c r="O16" i="6123"/>
  <c r="O15" i="6133"/>
  <c r="O22" i="6133"/>
  <c r="O19" i="6131" l="1"/>
  <c r="O18" i="6135"/>
  <c r="O16" i="6125" l="1"/>
  <c r="O17" i="6131"/>
  <c r="O19" i="6133"/>
  <c r="O21" i="6133"/>
  <c r="O15" i="6121" l="1"/>
  <c r="O17" i="6135"/>
  <c r="O19" i="6135"/>
  <c r="O18" i="6127"/>
  <c r="O20" i="6125" l="1"/>
  <c r="O21" i="6129"/>
  <c r="O19" i="6129" l="1"/>
  <c r="O21" i="6123"/>
  <c r="O24" i="6133"/>
  <c r="O17" i="6137"/>
  <c r="O15" i="6137"/>
  <c r="O21" i="6135"/>
  <c r="O15" i="6125" l="1"/>
  <c r="O21" i="6125"/>
  <c r="O18" i="6137"/>
  <c r="O20" i="6137"/>
  <c r="C44" i="6137"/>
  <c r="C30" i="6137"/>
  <c r="B25" i="6137"/>
  <c r="C16" i="6137"/>
  <c r="B15" i="6137"/>
  <c r="H50" i="6137" s="1"/>
  <c r="H19" i="6137"/>
  <c r="B14" i="6137"/>
  <c r="B24" i="6137" s="1"/>
  <c r="B13" i="6137"/>
  <c r="C13" i="6137" s="1"/>
  <c r="O12" i="6137"/>
  <c r="C12" i="6137"/>
  <c r="O11" i="6137"/>
  <c r="H16" i="6137"/>
  <c r="C11" i="6137"/>
  <c r="O10" i="6137"/>
  <c r="C10" i="6137"/>
  <c r="C9" i="6137"/>
  <c r="C8" i="6137"/>
  <c r="O7" i="6137"/>
  <c r="C7" i="6137"/>
  <c r="O6" i="6137"/>
  <c r="B6" i="6137"/>
  <c r="O5" i="6137"/>
  <c r="B5" i="6137"/>
  <c r="O4" i="6137"/>
  <c r="O3" i="6137"/>
  <c r="O2" i="6137"/>
  <c r="H3" i="6137"/>
  <c r="O21" i="6131"/>
  <c r="O15" i="6131"/>
  <c r="O15" i="6119"/>
  <c r="C14" i="6137" l="1"/>
  <c r="H27" i="6137"/>
  <c r="H28" i="6137"/>
  <c r="H34" i="6137"/>
  <c r="C36" i="6137"/>
  <c r="H11" i="6137"/>
  <c r="H13" i="6137"/>
  <c r="C18" i="6137"/>
  <c r="H42" i="6137"/>
  <c r="H36" i="6137"/>
  <c r="H4" i="6137"/>
  <c r="C19" i="6137"/>
  <c r="H44" i="6137"/>
  <c r="H45" i="6137"/>
  <c r="H17" i="6137"/>
  <c r="H23" i="6137"/>
  <c r="H37" i="6137"/>
  <c r="H12" i="6137"/>
  <c r="C15" i="6137"/>
  <c r="C21" i="6137"/>
  <c r="H38" i="6137"/>
  <c r="H47" i="6137"/>
  <c r="H7" i="6137"/>
  <c r="H8" i="6137"/>
  <c r="H20" i="6137"/>
  <c r="H14" i="6137"/>
  <c r="H32" i="6137"/>
  <c r="H40" i="6137"/>
  <c r="H51" i="6137"/>
  <c r="H29" i="6137"/>
  <c r="H5" i="6137"/>
  <c r="B22" i="6137"/>
  <c r="C32" i="6137"/>
  <c r="C40" i="6137"/>
  <c r="H6" i="6137"/>
  <c r="H2" i="6137"/>
  <c r="C17" i="6137"/>
  <c r="H26" i="6137"/>
  <c r="H33" i="6137"/>
  <c r="H41" i="6137"/>
  <c r="H52" i="6137"/>
  <c r="H22" i="6137"/>
  <c r="H25" i="6137"/>
  <c r="H9" i="6137"/>
  <c r="C33" i="6137"/>
  <c r="C37" i="6137"/>
  <c r="C41" i="6137"/>
  <c r="H46" i="6137"/>
  <c r="B23" i="6137"/>
  <c r="H30" i="6137"/>
  <c r="C34" i="6137"/>
  <c r="C38" i="6137"/>
  <c r="C42" i="6137"/>
  <c r="H48" i="6137"/>
  <c r="H10" i="6137"/>
  <c r="C20" i="6137"/>
  <c r="H35" i="6137"/>
  <c r="H39" i="6137"/>
  <c r="H43" i="6137"/>
  <c r="H49" i="6137"/>
  <c r="H18" i="6137"/>
  <c r="H21" i="6137"/>
  <c r="H24" i="6137"/>
  <c r="H15" i="6137"/>
  <c r="H31" i="6137"/>
  <c r="C35" i="6137"/>
  <c r="C39" i="6137"/>
  <c r="C43" i="6137"/>
  <c r="O17" i="6123" l="1"/>
  <c r="O20" i="6127"/>
  <c r="O19" i="6123" l="1"/>
  <c r="O20" i="6131"/>
  <c r="O23" i="6131"/>
  <c r="O16" i="6121"/>
  <c r="O17" i="6125"/>
  <c r="O15" i="6127"/>
  <c r="O21" i="6127"/>
  <c r="O18" i="6121"/>
  <c r="O18" i="6125"/>
  <c r="O15" i="6123"/>
  <c r="O20" i="6135"/>
  <c r="O22" i="6135"/>
  <c r="O22" i="6129" l="1"/>
  <c r="O17" i="6129"/>
  <c r="O15" i="6135"/>
  <c r="O16" i="6135"/>
  <c r="C30" i="6135"/>
  <c r="B25" i="6135"/>
  <c r="C16" i="6135"/>
  <c r="B15" i="6135"/>
  <c r="H51" i="6135" s="1"/>
  <c r="B14" i="6135"/>
  <c r="B24" i="6135" s="1"/>
  <c r="B13" i="6135"/>
  <c r="C13" i="6135" s="1"/>
  <c r="O12" i="6135"/>
  <c r="C12" i="6135"/>
  <c r="O11" i="6135"/>
  <c r="C11" i="6135"/>
  <c r="O10" i="6135"/>
  <c r="C10" i="6135"/>
  <c r="C9" i="6135"/>
  <c r="C8" i="6135"/>
  <c r="O7" i="6135"/>
  <c r="C7" i="6135"/>
  <c r="O6" i="6135"/>
  <c r="B6" i="6135"/>
  <c r="O5" i="6135"/>
  <c r="B5" i="6135"/>
  <c r="O4" i="6135"/>
  <c r="O3" i="6135"/>
  <c r="O2" i="6135"/>
  <c r="O16" i="6119"/>
  <c r="O17" i="6133"/>
  <c r="O23" i="6133"/>
  <c r="C30" i="6133"/>
  <c r="B25" i="6133"/>
  <c r="C16" i="6133"/>
  <c r="B15" i="6133"/>
  <c r="H50" i="6133" s="1"/>
  <c r="B14" i="6133"/>
  <c r="B24" i="6133" s="1"/>
  <c r="B13" i="6133"/>
  <c r="C13" i="6133" s="1"/>
  <c r="O12" i="6133"/>
  <c r="C12" i="6133"/>
  <c r="O11" i="6133"/>
  <c r="C11" i="6133"/>
  <c r="O10" i="6133"/>
  <c r="C10" i="6133"/>
  <c r="C9" i="6133"/>
  <c r="C8" i="6133"/>
  <c r="O7" i="6133"/>
  <c r="C7" i="6133"/>
  <c r="O6" i="6133"/>
  <c r="B6" i="6133"/>
  <c r="O5" i="6133"/>
  <c r="B5" i="6133"/>
  <c r="O4" i="6133"/>
  <c r="O3" i="6133"/>
  <c r="O2" i="6133"/>
  <c r="O19" i="6119"/>
  <c r="C14" i="6133" l="1"/>
  <c r="C14" i="6135"/>
  <c r="H23" i="6135"/>
  <c r="H21" i="6135"/>
  <c r="H8" i="6135"/>
  <c r="H19" i="6135"/>
  <c r="H38" i="6135"/>
  <c r="H29" i="6135"/>
  <c r="C15" i="6135"/>
  <c r="H42" i="6135"/>
  <c r="H45" i="6135"/>
  <c r="H3" i="6135"/>
  <c r="H33" i="6135"/>
  <c r="H4" i="6135"/>
  <c r="C18" i="6135"/>
  <c r="H20" i="6135"/>
  <c r="C17" i="6135"/>
  <c r="C44" i="6135"/>
  <c r="C21" i="6135"/>
  <c r="H5" i="6135"/>
  <c r="H41" i="6135"/>
  <c r="H7" i="6135"/>
  <c r="H10" i="6135"/>
  <c r="C32" i="6135"/>
  <c r="H9" i="6135"/>
  <c r="H34" i="6135"/>
  <c r="H15" i="6135"/>
  <c r="C36" i="6135"/>
  <c r="H52" i="6135"/>
  <c r="H25" i="6135"/>
  <c r="C40" i="6135"/>
  <c r="B22" i="6135"/>
  <c r="H37" i="6135"/>
  <c r="H46" i="6135"/>
  <c r="H11" i="6135"/>
  <c r="H22" i="6135"/>
  <c r="H26" i="6135"/>
  <c r="H12" i="6135"/>
  <c r="C41" i="6135"/>
  <c r="C19" i="6135"/>
  <c r="B23" i="6135"/>
  <c r="H30" i="6135"/>
  <c r="H35" i="6135"/>
  <c r="H39" i="6135"/>
  <c r="H43" i="6135"/>
  <c r="H48" i="6135"/>
  <c r="H28" i="6135"/>
  <c r="C33" i="6135"/>
  <c r="C37" i="6135"/>
  <c r="H47" i="6135"/>
  <c r="H2" i="6135"/>
  <c r="H6" i="6135"/>
  <c r="H24" i="6135"/>
  <c r="H17" i="6135"/>
  <c r="H18" i="6135"/>
  <c r="H31" i="6135"/>
  <c r="C34" i="6135"/>
  <c r="C38" i="6135"/>
  <c r="C42" i="6135"/>
  <c r="H49" i="6135"/>
  <c r="C20" i="6135"/>
  <c r="H36" i="6135"/>
  <c r="H40" i="6135"/>
  <c r="H44" i="6135"/>
  <c r="H50" i="6135"/>
  <c r="H16" i="6135"/>
  <c r="H13" i="6135"/>
  <c r="H27" i="6135"/>
  <c r="H14" i="6135"/>
  <c r="H32" i="6135"/>
  <c r="C35" i="6135"/>
  <c r="C39" i="6135"/>
  <c r="C43" i="6135"/>
  <c r="H12" i="6133"/>
  <c r="B22" i="6133"/>
  <c r="H33" i="6133"/>
  <c r="C17" i="6133"/>
  <c r="H37" i="6133"/>
  <c r="C42" i="6133"/>
  <c r="H51" i="6133"/>
  <c r="H25" i="6133"/>
  <c r="H29" i="6133"/>
  <c r="C32" i="6133"/>
  <c r="H38" i="6133"/>
  <c r="H43" i="6133"/>
  <c r="H5" i="6133"/>
  <c r="H6" i="6133"/>
  <c r="H21" i="6133"/>
  <c r="C18" i="6133"/>
  <c r="H34" i="6133"/>
  <c r="C38" i="6133"/>
  <c r="H44" i="6133"/>
  <c r="H52" i="6133"/>
  <c r="H4" i="6133"/>
  <c r="H9" i="6133"/>
  <c r="H23" i="6133"/>
  <c r="C19" i="6133"/>
  <c r="H30" i="6133"/>
  <c r="H20" i="6133"/>
  <c r="H39" i="6133"/>
  <c r="C44" i="6133"/>
  <c r="H15" i="6133"/>
  <c r="H31" i="6133"/>
  <c r="C34" i="6133"/>
  <c r="H40" i="6133"/>
  <c r="H45" i="6133"/>
  <c r="H10" i="6133"/>
  <c r="H7" i="6133"/>
  <c r="H11" i="6133"/>
  <c r="H17" i="6133"/>
  <c r="C15" i="6133"/>
  <c r="C20" i="6133"/>
  <c r="H32" i="6133"/>
  <c r="H35" i="6133"/>
  <c r="C40" i="6133"/>
  <c r="H47" i="6133"/>
  <c r="H24" i="6133"/>
  <c r="C21" i="6133"/>
  <c r="H16" i="6133"/>
  <c r="H36" i="6133"/>
  <c r="H41" i="6133"/>
  <c r="H48" i="6133"/>
  <c r="H2" i="6133"/>
  <c r="H3" i="6133"/>
  <c r="H13" i="6133"/>
  <c r="C36" i="6133"/>
  <c r="H42" i="6133"/>
  <c r="H49" i="6133"/>
  <c r="H26" i="6133"/>
  <c r="H28" i="6133"/>
  <c r="H8" i="6133"/>
  <c r="C33" i="6133"/>
  <c r="C37" i="6133"/>
  <c r="C41" i="6133"/>
  <c r="H46" i="6133"/>
  <c r="B23" i="6133"/>
  <c r="H22" i="6133"/>
  <c r="H18" i="6133"/>
  <c r="H27" i="6133"/>
  <c r="H14" i="6133"/>
  <c r="H19" i="6133"/>
  <c r="C35" i="6133"/>
  <c r="C39" i="6133"/>
  <c r="C43" i="6133"/>
  <c r="O22" i="6131" l="1"/>
  <c r="O18" i="6131"/>
  <c r="C30" i="6131"/>
  <c r="B25" i="6131"/>
  <c r="C16" i="6131"/>
  <c r="B15" i="6131"/>
  <c r="H51" i="6131" s="1"/>
  <c r="B14" i="6131"/>
  <c r="B24" i="6131" s="1"/>
  <c r="B13" i="6131"/>
  <c r="C13" i="6131" s="1"/>
  <c r="O12" i="6131"/>
  <c r="C12" i="6131"/>
  <c r="O11" i="6131"/>
  <c r="C11" i="6131"/>
  <c r="O10" i="6131"/>
  <c r="C10" i="6131"/>
  <c r="C9" i="6131"/>
  <c r="C8" i="6131"/>
  <c r="O7" i="6131"/>
  <c r="C7" i="6131"/>
  <c r="O6" i="6131"/>
  <c r="B6" i="6131"/>
  <c r="O5" i="6131"/>
  <c r="B5" i="6131"/>
  <c r="O4" i="6131"/>
  <c r="O3" i="6131"/>
  <c r="O2" i="6131"/>
  <c r="O20" i="6129"/>
  <c r="O18" i="6129"/>
  <c r="C30" i="6129"/>
  <c r="B25" i="6129"/>
  <c r="C16" i="6129"/>
  <c r="B15" i="6129"/>
  <c r="H52" i="6129" s="1"/>
  <c r="B14" i="6129"/>
  <c r="B24" i="6129" s="1"/>
  <c r="B13" i="6129"/>
  <c r="C13" i="6129" s="1"/>
  <c r="O12" i="6129"/>
  <c r="C12" i="6129"/>
  <c r="O11" i="6129"/>
  <c r="C11" i="6129"/>
  <c r="O10" i="6129"/>
  <c r="C10" i="6129"/>
  <c r="C9" i="6129"/>
  <c r="C8" i="6129"/>
  <c r="O7" i="6129"/>
  <c r="C7" i="6129"/>
  <c r="O6" i="6129"/>
  <c r="B6" i="6129"/>
  <c r="O5" i="6129"/>
  <c r="B5" i="6129"/>
  <c r="O4" i="6129"/>
  <c r="O3" i="6129"/>
  <c r="O2" i="6129"/>
  <c r="O18" i="6119"/>
  <c r="O19" i="6127"/>
  <c r="O16" i="6127"/>
  <c r="C30" i="6127"/>
  <c r="B25" i="6127"/>
  <c r="C16" i="6127"/>
  <c r="B15" i="6127"/>
  <c r="H52" i="6127" s="1"/>
  <c r="B14" i="6127"/>
  <c r="B24" i="6127" s="1"/>
  <c r="B13" i="6127"/>
  <c r="C13" i="6127" s="1"/>
  <c r="O12" i="6127"/>
  <c r="C12" i="6127"/>
  <c r="O11" i="6127"/>
  <c r="C11" i="6127"/>
  <c r="O10" i="6127"/>
  <c r="C10" i="6127"/>
  <c r="C9" i="6127"/>
  <c r="C8" i="6127"/>
  <c r="O7" i="6127"/>
  <c r="C7" i="6127"/>
  <c r="O6" i="6127"/>
  <c r="B6" i="6127"/>
  <c r="O5" i="6127"/>
  <c r="B5" i="6127"/>
  <c r="O4" i="6127"/>
  <c r="O3" i="6127"/>
  <c r="O2" i="6127"/>
  <c r="O21" i="6119"/>
  <c r="O22" i="6119"/>
  <c r="C14" i="6129" l="1"/>
  <c r="C14" i="6127"/>
  <c r="C19" i="6127"/>
  <c r="C14" i="6131"/>
  <c r="H4" i="6131"/>
  <c r="H12" i="6131"/>
  <c r="C19" i="6131"/>
  <c r="H36" i="6131"/>
  <c r="H24" i="6131"/>
  <c r="H28" i="6131"/>
  <c r="H41" i="6131"/>
  <c r="C44" i="6131"/>
  <c r="C34" i="6131"/>
  <c r="H10" i="6131"/>
  <c r="H48" i="6131"/>
  <c r="H27" i="6131"/>
  <c r="H7" i="6131"/>
  <c r="H22" i="6131"/>
  <c r="C20" i="6131"/>
  <c r="C21" i="6131"/>
  <c r="H21" i="6131"/>
  <c r="H38" i="6131"/>
  <c r="H42" i="6131"/>
  <c r="H49" i="6131"/>
  <c r="H18" i="6131"/>
  <c r="H50" i="6131"/>
  <c r="H33" i="6131"/>
  <c r="H29" i="6131"/>
  <c r="H2" i="6131"/>
  <c r="H14" i="6131"/>
  <c r="C36" i="6131"/>
  <c r="C17" i="6131"/>
  <c r="B22" i="6131"/>
  <c r="H26" i="6131"/>
  <c r="H39" i="6131"/>
  <c r="C42" i="6131"/>
  <c r="H16" i="6131"/>
  <c r="H25" i="6131"/>
  <c r="H11" i="6131"/>
  <c r="C40" i="6131"/>
  <c r="H8" i="6131"/>
  <c r="H15" i="6131"/>
  <c r="C32" i="6131"/>
  <c r="H40" i="6131"/>
  <c r="H44" i="6131"/>
  <c r="H5" i="6131"/>
  <c r="H46" i="6131"/>
  <c r="C15" i="6131"/>
  <c r="H37" i="6131"/>
  <c r="H3" i="6131"/>
  <c r="H43" i="6131"/>
  <c r="H20" i="6131"/>
  <c r="H6" i="6131"/>
  <c r="H17" i="6131"/>
  <c r="C18" i="6131"/>
  <c r="H35" i="6131"/>
  <c r="C38" i="6131"/>
  <c r="H45" i="6131"/>
  <c r="H52" i="6131"/>
  <c r="H30" i="6131"/>
  <c r="H32" i="6131"/>
  <c r="H9" i="6131"/>
  <c r="C33" i="6131"/>
  <c r="C37" i="6131"/>
  <c r="C41" i="6131"/>
  <c r="H47" i="6131"/>
  <c r="B23" i="6131"/>
  <c r="H23" i="6131"/>
  <c r="H19" i="6131"/>
  <c r="H31" i="6131"/>
  <c r="H13" i="6131"/>
  <c r="H34" i="6131"/>
  <c r="C35" i="6131"/>
  <c r="C39" i="6131"/>
  <c r="C43" i="6131"/>
  <c r="C19" i="6129"/>
  <c r="H19" i="6129"/>
  <c r="H24" i="6129"/>
  <c r="H23" i="6129"/>
  <c r="C40" i="6129"/>
  <c r="H18" i="6129"/>
  <c r="C39" i="6129"/>
  <c r="H2" i="6129"/>
  <c r="C17" i="6129"/>
  <c r="H21" i="6129"/>
  <c r="H43" i="6129"/>
  <c r="C43" i="6129"/>
  <c r="C32" i="6129"/>
  <c r="H11" i="6129"/>
  <c r="H14" i="6129"/>
  <c r="H36" i="6129"/>
  <c r="H4" i="6129"/>
  <c r="H28" i="6129"/>
  <c r="H15" i="6129"/>
  <c r="C44" i="6129"/>
  <c r="H45" i="6129"/>
  <c r="C15" i="6129"/>
  <c r="H51" i="6129"/>
  <c r="H32" i="6129"/>
  <c r="H5" i="6129"/>
  <c r="C35" i="6129"/>
  <c r="H13" i="6129"/>
  <c r="H27" i="6129"/>
  <c r="H10" i="6129"/>
  <c r="H6" i="6129"/>
  <c r="H20" i="6129"/>
  <c r="H33" i="6129"/>
  <c r="C36" i="6129"/>
  <c r="H7" i="6129"/>
  <c r="H39" i="6129"/>
  <c r="H48" i="6129"/>
  <c r="C21" i="6129"/>
  <c r="H26" i="6129"/>
  <c r="H41" i="6129"/>
  <c r="H12" i="6129"/>
  <c r="H31" i="6129"/>
  <c r="H22" i="6129"/>
  <c r="H8" i="6129"/>
  <c r="C33" i="6129"/>
  <c r="C37" i="6129"/>
  <c r="C41" i="6129"/>
  <c r="H47" i="6129"/>
  <c r="H3" i="6129"/>
  <c r="H30" i="6129"/>
  <c r="H16" i="6129"/>
  <c r="H25" i="6129"/>
  <c r="H17" i="6129"/>
  <c r="C34" i="6129"/>
  <c r="C38" i="6129"/>
  <c r="C42" i="6129"/>
  <c r="H49" i="6129"/>
  <c r="B23" i="6129"/>
  <c r="H9" i="6129"/>
  <c r="C20" i="6129"/>
  <c r="H37" i="6129"/>
  <c r="H40" i="6129"/>
  <c r="H44" i="6129"/>
  <c r="H50" i="6129"/>
  <c r="H29" i="6129"/>
  <c r="C18" i="6129"/>
  <c r="B22" i="6129"/>
  <c r="H34" i="6129"/>
  <c r="H35" i="6129"/>
  <c r="H38" i="6129"/>
  <c r="H42" i="6129"/>
  <c r="H46" i="6129"/>
  <c r="H6" i="6127"/>
  <c r="H10" i="6127"/>
  <c r="H37" i="6127"/>
  <c r="C21" i="6127"/>
  <c r="H21" i="6127"/>
  <c r="H33" i="6127"/>
  <c r="H41" i="6127"/>
  <c r="C15" i="6127"/>
  <c r="H7" i="6127"/>
  <c r="H22" i="6127"/>
  <c r="H13" i="6127"/>
  <c r="C17" i="6127"/>
  <c r="H45" i="6127"/>
  <c r="H25" i="6127"/>
  <c r="H27" i="6127"/>
  <c r="H11" i="6127"/>
  <c r="C33" i="6127"/>
  <c r="C37" i="6127"/>
  <c r="C41" i="6127"/>
  <c r="H47" i="6127"/>
  <c r="H43" i="6127"/>
  <c r="H24" i="6127"/>
  <c r="H18" i="6127"/>
  <c r="H20" i="6127"/>
  <c r="C34" i="6127"/>
  <c r="C38" i="6127"/>
  <c r="H49" i="6127"/>
  <c r="H8" i="6127"/>
  <c r="C20" i="6127"/>
  <c r="H36" i="6127"/>
  <c r="H40" i="6127"/>
  <c r="H44" i="6127"/>
  <c r="H50" i="6127"/>
  <c r="B23" i="6127"/>
  <c r="H31" i="6127"/>
  <c r="H35" i="6127"/>
  <c r="H39" i="6127"/>
  <c r="H48" i="6127"/>
  <c r="H2" i="6127"/>
  <c r="H4" i="6127"/>
  <c r="H28" i="6127"/>
  <c r="C42" i="6127"/>
  <c r="H17" i="6127"/>
  <c r="H15" i="6127"/>
  <c r="H26" i="6127"/>
  <c r="H14" i="6127"/>
  <c r="H32" i="6127"/>
  <c r="C35" i="6127"/>
  <c r="C39" i="6127"/>
  <c r="C43" i="6127"/>
  <c r="H51" i="6127"/>
  <c r="H16" i="6127"/>
  <c r="H3" i="6127"/>
  <c r="H9" i="6127"/>
  <c r="H19" i="6127"/>
  <c r="H12" i="6127"/>
  <c r="H29" i="6127"/>
  <c r="C32" i="6127"/>
  <c r="C36" i="6127"/>
  <c r="C40" i="6127"/>
  <c r="C44" i="6127"/>
  <c r="H5" i="6127"/>
  <c r="H23" i="6127"/>
  <c r="C18" i="6127"/>
  <c r="B22" i="6127"/>
  <c r="H30" i="6127"/>
  <c r="H34" i="6127"/>
  <c r="H38" i="6127"/>
  <c r="H42" i="6127"/>
  <c r="H46" i="6127"/>
  <c r="O22" i="6125" l="1"/>
  <c r="O19" i="6125"/>
  <c r="C30" i="6125"/>
  <c r="B25" i="6125"/>
  <c r="C16" i="6125"/>
  <c r="B15" i="6125"/>
  <c r="H4" i="6125" s="1"/>
  <c r="B14" i="6125"/>
  <c r="B24" i="6125" s="1"/>
  <c r="B13" i="6125"/>
  <c r="C13" i="6125" s="1"/>
  <c r="O12" i="6125"/>
  <c r="C12" i="6125"/>
  <c r="O11" i="6125"/>
  <c r="C11" i="6125"/>
  <c r="O10" i="6125"/>
  <c r="C10" i="6125"/>
  <c r="C9" i="6125"/>
  <c r="C8" i="6125"/>
  <c r="O7" i="6125"/>
  <c r="C7" i="6125"/>
  <c r="O6" i="6125"/>
  <c r="B6" i="6125"/>
  <c r="O5" i="6125"/>
  <c r="B5" i="6125"/>
  <c r="O4" i="6125"/>
  <c r="O3" i="6125"/>
  <c r="O2" i="6125"/>
  <c r="O20" i="6123"/>
  <c r="O18" i="6123"/>
  <c r="C30" i="6123"/>
  <c r="B25" i="6123"/>
  <c r="C16" i="6123"/>
  <c r="B15" i="6123"/>
  <c r="H5" i="6123" s="1"/>
  <c r="B14" i="6123"/>
  <c r="B24" i="6123" s="1"/>
  <c r="B13" i="6123"/>
  <c r="C13" i="6123" s="1"/>
  <c r="O12" i="6123"/>
  <c r="C12" i="6123"/>
  <c r="O11" i="6123"/>
  <c r="C11" i="6123"/>
  <c r="O10" i="6123"/>
  <c r="C10" i="6123"/>
  <c r="C9" i="6123"/>
  <c r="C8" i="6123"/>
  <c r="O7" i="6123"/>
  <c r="C7" i="6123"/>
  <c r="O6" i="6123"/>
  <c r="B6" i="6123"/>
  <c r="O5" i="6123"/>
  <c r="B5" i="6123"/>
  <c r="O4" i="6123"/>
  <c r="O3" i="6123"/>
  <c r="O2" i="6123"/>
  <c r="O17" i="6119"/>
  <c r="O17" i="6121"/>
  <c r="O19" i="6121"/>
  <c r="C30" i="6121"/>
  <c r="B25" i="6121"/>
  <c r="C16" i="6121"/>
  <c r="B15" i="6121"/>
  <c r="H4" i="6121" s="1"/>
  <c r="B14" i="6121"/>
  <c r="B24" i="6121" s="1"/>
  <c r="B13" i="6121"/>
  <c r="C13" i="6121" s="1"/>
  <c r="O12" i="6121"/>
  <c r="C12" i="6121"/>
  <c r="O11" i="6121"/>
  <c r="C11" i="6121"/>
  <c r="O10" i="6121"/>
  <c r="C10" i="6121"/>
  <c r="C9" i="6121"/>
  <c r="C8" i="6121"/>
  <c r="O7" i="6121"/>
  <c r="C7" i="6121"/>
  <c r="O6" i="6121"/>
  <c r="B6" i="6121"/>
  <c r="O5" i="6121"/>
  <c r="B5" i="6121"/>
  <c r="O4" i="6121"/>
  <c r="O3" i="6121"/>
  <c r="O2" i="6121"/>
  <c r="O20" i="6119"/>
  <c r="O23" i="6119"/>
  <c r="C30" i="6119"/>
  <c r="B25" i="6119"/>
  <c r="C16" i="6119"/>
  <c r="B15" i="6119"/>
  <c r="H51" i="6119" s="1"/>
  <c r="B14" i="6119"/>
  <c r="B24" i="6119" s="1"/>
  <c r="B13" i="6119"/>
  <c r="C13" i="6119" s="1"/>
  <c r="O12" i="6119"/>
  <c r="C12" i="6119"/>
  <c r="O11" i="6119"/>
  <c r="C11" i="6119"/>
  <c r="O10" i="6119"/>
  <c r="C10" i="6119"/>
  <c r="C9" i="6119"/>
  <c r="C8" i="6119"/>
  <c r="O7" i="6119"/>
  <c r="C7" i="6119"/>
  <c r="O6" i="6119"/>
  <c r="B6" i="6119"/>
  <c r="O5" i="6119"/>
  <c r="B5" i="6119"/>
  <c r="O4" i="6119"/>
  <c r="O3" i="6119"/>
  <c r="O2" i="6119"/>
  <c r="C14" i="6125" l="1"/>
  <c r="C14" i="6123"/>
  <c r="H28" i="6125"/>
  <c r="H31" i="6123"/>
  <c r="C14" i="6121"/>
  <c r="H12" i="6125"/>
  <c r="H33" i="6125"/>
  <c r="C15" i="6125"/>
  <c r="H35" i="6125"/>
  <c r="C18" i="6125"/>
  <c r="H42" i="6125"/>
  <c r="H9" i="6125"/>
  <c r="H10" i="6125"/>
  <c r="B22" i="6125"/>
  <c r="H46" i="6125"/>
  <c r="H38" i="6125"/>
  <c r="H6" i="6125"/>
  <c r="H52" i="6125"/>
  <c r="H25" i="6125"/>
  <c r="C33" i="6125"/>
  <c r="C41" i="6125"/>
  <c r="C19" i="6125"/>
  <c r="B23" i="6125"/>
  <c r="H26" i="6125"/>
  <c r="H27" i="6125"/>
  <c r="H39" i="6125"/>
  <c r="H43" i="6125"/>
  <c r="H48" i="6125"/>
  <c r="H21" i="6125"/>
  <c r="H29" i="6125"/>
  <c r="H8" i="6125"/>
  <c r="C37" i="6125"/>
  <c r="H47" i="6125"/>
  <c r="H2" i="6125"/>
  <c r="H3" i="6125"/>
  <c r="H24" i="6125"/>
  <c r="H17" i="6125"/>
  <c r="H31" i="6125"/>
  <c r="H16" i="6125"/>
  <c r="C34" i="6125"/>
  <c r="C38" i="6125"/>
  <c r="C42" i="6125"/>
  <c r="H49" i="6125"/>
  <c r="C20" i="6125"/>
  <c r="H50" i="6125"/>
  <c r="H22" i="6125"/>
  <c r="H15" i="6125"/>
  <c r="H30" i="6125"/>
  <c r="H13" i="6125"/>
  <c r="H19" i="6125"/>
  <c r="C35" i="6125"/>
  <c r="C39" i="6125"/>
  <c r="C43" i="6125"/>
  <c r="H51" i="6125"/>
  <c r="H40" i="6125"/>
  <c r="H7" i="6125"/>
  <c r="H23" i="6125"/>
  <c r="C17" i="6125"/>
  <c r="C21" i="6125"/>
  <c r="H34" i="6125"/>
  <c r="H37" i="6125"/>
  <c r="H41" i="6125"/>
  <c r="H45" i="6125"/>
  <c r="H20" i="6125"/>
  <c r="H36" i="6125"/>
  <c r="H44" i="6125"/>
  <c r="H5" i="6125"/>
  <c r="H11" i="6125"/>
  <c r="H18" i="6125"/>
  <c r="H14" i="6125"/>
  <c r="H32" i="6125"/>
  <c r="C32" i="6125"/>
  <c r="C36" i="6125"/>
  <c r="C40" i="6125"/>
  <c r="C44" i="6125"/>
  <c r="C14" i="6119"/>
  <c r="H4" i="6123"/>
  <c r="C21" i="6123"/>
  <c r="H26" i="6123"/>
  <c r="H44" i="6123"/>
  <c r="H46" i="6123"/>
  <c r="H7" i="6123"/>
  <c r="H45" i="6123"/>
  <c r="H27" i="6123"/>
  <c r="H11" i="6123"/>
  <c r="H25" i="6123"/>
  <c r="H39" i="6123"/>
  <c r="H29" i="6123"/>
  <c r="H37" i="6123"/>
  <c r="H48" i="6123"/>
  <c r="H6" i="6123"/>
  <c r="C17" i="6123"/>
  <c r="H28" i="6123"/>
  <c r="C18" i="6123"/>
  <c r="H41" i="6123"/>
  <c r="H50" i="6123"/>
  <c r="B22" i="6123"/>
  <c r="H38" i="6123"/>
  <c r="H2" i="6123"/>
  <c r="C19" i="6123"/>
  <c r="H35" i="6123"/>
  <c r="H42" i="6123"/>
  <c r="H16" i="6123"/>
  <c r="C15" i="6123"/>
  <c r="H10" i="6123"/>
  <c r="H40" i="6123"/>
  <c r="H9" i="6123"/>
  <c r="H30" i="6123"/>
  <c r="C20" i="6123"/>
  <c r="H36" i="6123"/>
  <c r="H43" i="6123"/>
  <c r="H52" i="6123"/>
  <c r="H32" i="6123"/>
  <c r="H20" i="6123"/>
  <c r="H8" i="6123"/>
  <c r="C33" i="6123"/>
  <c r="C37" i="6123"/>
  <c r="C41" i="6123"/>
  <c r="H47" i="6123"/>
  <c r="B23" i="6123"/>
  <c r="H3" i="6123"/>
  <c r="H19" i="6123"/>
  <c r="H18" i="6123"/>
  <c r="H24" i="6123"/>
  <c r="H21" i="6123"/>
  <c r="C34" i="6123"/>
  <c r="C38" i="6123"/>
  <c r="C42" i="6123"/>
  <c r="H49" i="6123"/>
  <c r="H17" i="6123"/>
  <c r="H15" i="6123"/>
  <c r="H33" i="6123"/>
  <c r="H12" i="6123"/>
  <c r="H22" i="6123"/>
  <c r="C35" i="6123"/>
  <c r="C39" i="6123"/>
  <c r="C43" i="6123"/>
  <c r="H51" i="6123"/>
  <c r="H13" i="6123"/>
  <c r="H23" i="6123"/>
  <c r="H14" i="6123"/>
  <c r="H34" i="6123"/>
  <c r="C32" i="6123"/>
  <c r="C36" i="6123"/>
  <c r="C40" i="6123"/>
  <c r="C44" i="6123"/>
  <c r="H4" i="6119"/>
  <c r="H7" i="6121"/>
  <c r="H52" i="6121"/>
  <c r="C20" i="6121"/>
  <c r="H8" i="6121"/>
  <c r="C21" i="6121"/>
  <c r="H33" i="6121"/>
  <c r="H25" i="6121"/>
  <c r="H26" i="6121"/>
  <c r="H34" i="6121"/>
  <c r="H41" i="6121"/>
  <c r="H42" i="6121"/>
  <c r="H35" i="6121"/>
  <c r="H43" i="6121"/>
  <c r="H47" i="6121"/>
  <c r="H19" i="6121"/>
  <c r="H36" i="6121"/>
  <c r="H44" i="6121"/>
  <c r="H5" i="6121"/>
  <c r="H10" i="6121"/>
  <c r="H18" i="6121"/>
  <c r="H37" i="6121"/>
  <c r="H45" i="6121"/>
  <c r="H6" i="6121"/>
  <c r="C17" i="6121"/>
  <c r="H31" i="6121"/>
  <c r="H12" i="6121"/>
  <c r="C18" i="6121"/>
  <c r="H39" i="6121"/>
  <c r="H49" i="6121"/>
  <c r="B22" i="6121"/>
  <c r="C15" i="6121"/>
  <c r="H38" i="6121"/>
  <c r="C19" i="6121"/>
  <c r="H24" i="6121"/>
  <c r="H40" i="6121"/>
  <c r="H51" i="6121"/>
  <c r="H27" i="6121"/>
  <c r="H23" i="6121"/>
  <c r="H13" i="6121"/>
  <c r="C33" i="6121"/>
  <c r="C37" i="6121"/>
  <c r="C41" i="6121"/>
  <c r="H46" i="6121"/>
  <c r="B23" i="6121"/>
  <c r="H2" i="6121"/>
  <c r="H3" i="6121"/>
  <c r="H21" i="6121"/>
  <c r="H14" i="6121"/>
  <c r="H29" i="6121"/>
  <c r="H17" i="6121"/>
  <c r="C34" i="6121"/>
  <c r="C38" i="6121"/>
  <c r="C42" i="6121"/>
  <c r="H48" i="6121"/>
  <c r="H20" i="6121"/>
  <c r="H22" i="6121"/>
  <c r="H28" i="6121"/>
  <c r="H15" i="6121"/>
  <c r="H32" i="6121"/>
  <c r="C35" i="6121"/>
  <c r="C39" i="6121"/>
  <c r="C43" i="6121"/>
  <c r="H50" i="6121"/>
  <c r="H9" i="6121"/>
  <c r="H16" i="6121"/>
  <c r="H11" i="6121"/>
  <c r="H30" i="6121"/>
  <c r="C32" i="6121"/>
  <c r="C36" i="6121"/>
  <c r="C40" i="6121"/>
  <c r="C44" i="6121"/>
  <c r="H11" i="6119"/>
  <c r="C19" i="6119"/>
  <c r="C20" i="6119"/>
  <c r="H31" i="6119"/>
  <c r="H35" i="6119"/>
  <c r="H29" i="6119"/>
  <c r="H42" i="6119"/>
  <c r="C44" i="6119"/>
  <c r="H17" i="6119"/>
  <c r="H34" i="6119"/>
  <c r="H24" i="6119"/>
  <c r="C40" i="6119"/>
  <c r="H49" i="6119"/>
  <c r="H27" i="6119"/>
  <c r="H6" i="6119"/>
  <c r="H14" i="6119"/>
  <c r="H12" i="6119"/>
  <c r="H48" i="6119"/>
  <c r="C21" i="6119"/>
  <c r="H18" i="6119"/>
  <c r="H43" i="6119"/>
  <c r="H2" i="6119"/>
  <c r="H3" i="6119"/>
  <c r="C36" i="6119"/>
  <c r="H8" i="6119"/>
  <c r="H40" i="6119"/>
  <c r="H15" i="6119"/>
  <c r="C34" i="6119"/>
  <c r="H10" i="6119"/>
  <c r="H28" i="6119"/>
  <c r="H50" i="6119"/>
  <c r="C17" i="6119"/>
  <c r="B22" i="6119"/>
  <c r="H30" i="6119"/>
  <c r="C42" i="6119"/>
  <c r="C32" i="6119"/>
  <c r="H45" i="6119"/>
  <c r="H5" i="6119"/>
  <c r="H33" i="6119"/>
  <c r="C15" i="6119"/>
  <c r="H39" i="6119"/>
  <c r="H26" i="6119"/>
  <c r="H32" i="6119"/>
  <c r="H44" i="6119"/>
  <c r="H19" i="6119"/>
  <c r="H25" i="6119"/>
  <c r="H41" i="6119"/>
  <c r="H7" i="6119"/>
  <c r="H22" i="6119"/>
  <c r="C18" i="6119"/>
  <c r="H38" i="6119"/>
  <c r="C38" i="6119"/>
  <c r="H46" i="6119"/>
  <c r="H52" i="6119"/>
  <c r="H36" i="6119"/>
  <c r="H23" i="6119"/>
  <c r="H9" i="6119"/>
  <c r="C33" i="6119"/>
  <c r="C37" i="6119"/>
  <c r="C41" i="6119"/>
  <c r="H47" i="6119"/>
  <c r="B23" i="6119"/>
  <c r="H20" i="6119"/>
  <c r="H16" i="6119"/>
  <c r="H37" i="6119"/>
  <c r="H13" i="6119"/>
  <c r="H21" i="6119"/>
  <c r="C35" i="6119"/>
  <c r="C39" i="6119"/>
  <c r="C43" i="6119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<sst xmlns="http://schemas.openxmlformats.org/spreadsheetml/2006/main" count="3290" uniqueCount="276">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</sst>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7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0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5.xml"/><Relationship Id="rId42" Type="http://schemas.openxmlformats.org/officeDocument/2006/relationships/chartsheet" Target="chartsheets/sheet13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4.xml"/><Relationship Id="rId38" Type="http://schemas.openxmlformats.org/officeDocument/2006/relationships/chartsheet" Target="chartsheets/sheet9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3.xml"/><Relationship Id="rId37" Type="http://schemas.openxmlformats.org/officeDocument/2006/relationships/chartsheet" Target="chartsheets/sheet8.xml"/><Relationship Id="rId40" Type="http://schemas.openxmlformats.org/officeDocument/2006/relationships/chartsheet" Target="chartsheets/sheet11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7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2.xml"/><Relationship Id="rId44" Type="http://schemas.openxmlformats.org/officeDocument/2006/relationships/chartsheet" Target="chartsheets/sheet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1.xml"/><Relationship Id="rId35" Type="http://schemas.openxmlformats.org/officeDocument/2006/relationships/chartsheet" Target="chartsheets/sheet6.xml"/><Relationship Id="rId43" Type="http://schemas.openxmlformats.org/officeDocument/2006/relationships/chartsheet" Target="chartsheets/sheet14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全体!$K$2:$K$713</c:f>
              <c:numCache>
                <c:formatCode>General</c:formatCode>
                <c:ptCount val="7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</c:numCache>
            </c:numRef>
          </c:xVal>
          <c:yVal>
            <c:numRef>
              <c:f>全体!$L$2:$L$713</c:f>
              <c:numCache>
                <c:formatCode>\+0.0;\-0.0;\±0</c:formatCode>
                <c:ptCount val="712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3D-44ED-A25F-9E8D6F21C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-25.423728813559322</c:v>
                </c:pt>
                <c:pt idx="1">
                  <c:v>10.057471264367816</c:v>
                </c:pt>
                <c:pt idx="2">
                  <c:v>-10.703363914373089</c:v>
                </c:pt>
                <c:pt idx="3">
                  <c:v>9.7560975609756095</c:v>
                </c:pt>
                <c:pt idx="4">
                  <c:v>8.8652482269503547</c:v>
                </c:pt>
                <c:pt idx="5">
                  <c:v>12.738853503184714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DD-4B35-B07D-AD2EF257D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132</c:v>
                </c:pt>
                <c:pt idx="1">
                  <c:v>290</c:v>
                </c:pt>
                <c:pt idx="2">
                  <c:v>346</c:v>
                </c:pt>
                <c:pt idx="3">
                  <c:v>306</c:v>
                </c:pt>
                <c:pt idx="4">
                  <c:v>282</c:v>
                </c:pt>
                <c:pt idx="5">
                  <c:v>183</c:v>
                </c:pt>
                <c:pt idx="6">
                  <c:v>92</c:v>
                </c:pt>
                <c:pt idx="7">
                  <c:v>52</c:v>
                </c:pt>
                <c:pt idx="8">
                  <c:v>20</c:v>
                </c:pt>
                <c:pt idx="9">
                  <c:v>7</c:v>
                </c:pt>
                <c:pt idx="10">
                  <c:v>6</c:v>
                </c:pt>
                <c:pt idx="11">
                  <c:v>6</c:v>
                </c:pt>
                <c:pt idx="1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32-4D5B-BFF0-19D0CD6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たかの!$L$2:$L$67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7A-42E7-AEDA-418DAF8A1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1363.0769230769231</c:v>
                </c:pt>
                <c:pt idx="1">
                  <c:v>-2112.5</c:v>
                </c:pt>
                <c:pt idx="2">
                  <c:v>-1511.2903225806451</c:v>
                </c:pt>
                <c:pt idx="3">
                  <c:v>-1355.1724137931035</c:v>
                </c:pt>
                <c:pt idx="4">
                  <c:v>-221.05263157894737</c:v>
                </c:pt>
                <c:pt idx="5">
                  <c:v>-2379.591836734694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8C-4646-A386-0129434D4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21</c:v>
                </c:pt>
                <c:pt idx="1">
                  <c:v>33</c:v>
                </c:pt>
                <c:pt idx="2">
                  <c:v>31</c:v>
                </c:pt>
                <c:pt idx="3">
                  <c:v>23</c:v>
                </c:pt>
                <c:pt idx="4">
                  <c:v>17</c:v>
                </c:pt>
                <c:pt idx="5">
                  <c:v>14</c:v>
                </c:pt>
                <c:pt idx="6">
                  <c:v>9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5B-4FA1-BEAC-44029251A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だいち!$K$2:$K$147</c:f>
              <c:numCache>
                <c:formatCode>General</c:formatCode>
                <c:ptCount val="1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</c:numCache>
            </c:numRef>
          </c:xVal>
          <c:yVal>
            <c:numRef>
              <c:f>だいち!$L$2:$L$147</c:f>
              <c:numCache>
                <c:formatCode>\+0.0;\-0.0;\±0</c:formatCode>
                <c:ptCount val="146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54-4A8D-8521-F28E6BEFA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1027.0833333333333</c:v>
                </c:pt>
                <c:pt idx="1">
                  <c:v>1007.8014184397163</c:v>
                </c:pt>
                <c:pt idx="2">
                  <c:v>994.07407407407402</c:v>
                </c:pt>
                <c:pt idx="3">
                  <c:v>170.4</c:v>
                </c:pt>
                <c:pt idx="4">
                  <c:v>1865.2173913043478</c:v>
                </c:pt>
                <c:pt idx="5">
                  <c:v>2041.0526315789473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A5-4A3D-81F1-B3E00C234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36</c:v>
                </c:pt>
                <c:pt idx="1">
                  <c:v>70</c:v>
                </c:pt>
                <c:pt idx="2">
                  <c:v>88</c:v>
                </c:pt>
                <c:pt idx="3">
                  <c:v>75</c:v>
                </c:pt>
                <c:pt idx="4">
                  <c:v>60</c:v>
                </c:pt>
                <c:pt idx="5">
                  <c:v>37</c:v>
                </c:pt>
                <c:pt idx="6">
                  <c:v>18</c:v>
                </c:pt>
                <c:pt idx="7">
                  <c:v>6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99-4663-A8AF-51CE2FA78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ただ!$K$2:$K$131</c:f>
              <c:numCache>
                <c:formatCode>General</c:formatCode>
                <c:ptCount val="1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</c:numCache>
            </c:numRef>
          </c:xVal>
          <c:yVal>
            <c:numRef>
              <c:f>ただ!$L$2:$L$131</c:f>
              <c:numCache>
                <c:formatCode>\+0.0;\-0.0;\±0</c:formatCode>
                <c:ptCount val="130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7C-4647-82F2-630678748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-1472.65625</c:v>
                </c:pt>
                <c:pt idx="1">
                  <c:v>1412.6984126984128</c:v>
                </c:pt>
                <c:pt idx="2">
                  <c:v>-255.65217391304347</c:v>
                </c:pt>
                <c:pt idx="3">
                  <c:v>237.61467889908258</c:v>
                </c:pt>
                <c:pt idx="4">
                  <c:v>-927</c:v>
                </c:pt>
                <c:pt idx="5">
                  <c:v>1467.0588235294117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AA-4162-A6D4-2429DC642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23</c:v>
                </c:pt>
                <c:pt idx="1">
                  <c:v>50</c:v>
                </c:pt>
                <c:pt idx="2">
                  <c:v>69</c:v>
                </c:pt>
                <c:pt idx="3">
                  <c:v>68</c:v>
                </c:pt>
                <c:pt idx="4">
                  <c:v>49</c:v>
                </c:pt>
                <c:pt idx="5">
                  <c:v>36</c:v>
                </c:pt>
                <c:pt idx="6">
                  <c:v>10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BA-473C-9946-C1DE8A8BD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りくと!$K$2:$K$85</c:f>
              <c:numCache>
                <c:formatCode>General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りくと!$L$2:$L$85</c:f>
              <c:numCache>
                <c:formatCode>\+0.0;\-0.0;\±0</c:formatCode>
                <c:ptCount val="84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16-47AF-B37F-09F21151F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-432.92682926829269</c:v>
                </c:pt>
                <c:pt idx="1">
                  <c:v>-998.78048780487802</c:v>
                </c:pt>
                <c:pt idx="2">
                  <c:v>596.0526315789474</c:v>
                </c:pt>
                <c:pt idx="3">
                  <c:v>-212</c:v>
                </c:pt>
                <c:pt idx="4">
                  <c:v>-3135.211267605634</c:v>
                </c:pt>
                <c:pt idx="5">
                  <c:v>-1636.0655737704917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7-4942-923C-78BE7DC28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14</c:v>
                </c:pt>
                <c:pt idx="1">
                  <c:v>37</c:v>
                </c:pt>
                <c:pt idx="2">
                  <c:v>45</c:v>
                </c:pt>
                <c:pt idx="3">
                  <c:v>30</c:v>
                </c:pt>
                <c:pt idx="4">
                  <c:v>35</c:v>
                </c:pt>
                <c:pt idx="5">
                  <c:v>19</c:v>
                </c:pt>
                <c:pt idx="6">
                  <c:v>11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6-4259-AB5E-61990DE2C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れんたろう!$L$2:$L$99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21-4F4C-AA6F-5074DC715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1393.8144329896907</c:v>
                </c:pt>
                <c:pt idx="1">
                  <c:v>-1326.3157894736842</c:v>
                </c:pt>
                <c:pt idx="2">
                  <c:v>-596.51162790697674</c:v>
                </c:pt>
                <c:pt idx="3">
                  <c:v>2763.4146341463415</c:v>
                </c:pt>
                <c:pt idx="4">
                  <c:v>465.75342465753425</c:v>
                </c:pt>
                <c:pt idx="5">
                  <c:v>229.82456140350877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4-4896-8F81-AD328DBB6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5</c:v>
                </c:pt>
                <c:pt idx="1">
                  <c:v>18</c:v>
                </c:pt>
                <c:pt idx="2">
                  <c:v>28</c:v>
                </c:pt>
                <c:pt idx="3">
                  <c:v>38</c:v>
                </c:pt>
                <c:pt idx="4">
                  <c:v>54</c:v>
                </c:pt>
                <c:pt idx="5">
                  <c:v>24</c:v>
                </c:pt>
                <c:pt idx="6">
                  <c:v>20</c:v>
                </c:pt>
                <c:pt idx="7">
                  <c:v>15</c:v>
                </c:pt>
                <c:pt idx="8">
                  <c:v>4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DE-418D-9AC6-2CB947580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まっつん!$K$2:$K$112</c:f>
              <c:numCache>
                <c:formatCode>General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まっつん!$L$2:$L$112</c:f>
              <c:numCache>
                <c:formatCode>\+0.0;\-0.0;\±0</c:formatCode>
                <c:ptCount val="111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7-4B8C-9A79-B9AAC1A7C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441.81818181818181</c:v>
                </c:pt>
                <c:pt idx="1">
                  <c:v>363.55140186915889</c:v>
                </c:pt>
                <c:pt idx="2">
                  <c:v>599.00990099009903</c:v>
                </c:pt>
                <c:pt idx="3">
                  <c:v>100</c:v>
                </c:pt>
                <c:pt idx="4">
                  <c:v>28.395061728395063</c:v>
                </c:pt>
                <c:pt idx="5">
                  <c:v>-813.04347826086962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C4-4B5A-8CDF-892CD5D1F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15</c:v>
                </c:pt>
                <c:pt idx="1">
                  <c:v>46</c:v>
                </c:pt>
                <c:pt idx="2">
                  <c:v>50</c:v>
                </c:pt>
                <c:pt idx="3">
                  <c:v>46</c:v>
                </c:pt>
                <c:pt idx="4">
                  <c:v>40</c:v>
                </c:pt>
                <c:pt idx="5">
                  <c:v>31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2F-43D3-BDA1-6C913AD6F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のり!$L$2:$L$50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9-4685-9BA5-954D003CA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-2208.3333333333335</c:v>
                </c:pt>
                <c:pt idx="1">
                  <c:v>497.91666666666669</c:v>
                </c:pt>
                <c:pt idx="2">
                  <c:v>-1412.7659574468084</c:v>
                </c:pt>
                <c:pt idx="3">
                  <c:v>-3121.4285714285716</c:v>
                </c:pt>
                <c:pt idx="4">
                  <c:v>-1230</c:v>
                </c:pt>
                <c:pt idx="5">
                  <c:v>-2094.1176470588234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A6-48F7-840D-C9219320E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8</c:v>
                </c:pt>
                <c:pt idx="1">
                  <c:v>22</c:v>
                </c:pt>
                <c:pt idx="2">
                  <c:v>21</c:v>
                </c:pt>
                <c:pt idx="3">
                  <c:v>13</c:v>
                </c:pt>
                <c:pt idx="4">
                  <c:v>13</c:v>
                </c:pt>
                <c:pt idx="5">
                  <c:v>7</c:v>
                </c:pt>
                <c:pt idx="6">
                  <c:v>7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40-4C98-8AD9-9789242E8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C-444A-B49C-04FC49A24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-3145.8333333333335</c:v>
                </c:pt>
                <c:pt idx="1">
                  <c:v>-1225</c:v>
                </c:pt>
                <c:pt idx="2">
                  <c:v>1560.8695652173913</c:v>
                </c:pt>
                <c:pt idx="3">
                  <c:v>-2230.4347826086955</c:v>
                </c:pt>
                <c:pt idx="4">
                  <c:v>5409.5238095238092</c:v>
                </c:pt>
                <c:pt idx="5">
                  <c:v>1223.5294117647059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F4-4336-8A9A-BA353C595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32-423C-B20E-3850F504E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7D-4BA9-B19C-C9DB91427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CE-48F8-BA5E-8A12854F9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A5-4486-BDC5-6507FA805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71-486C-A6BC-7DA513A19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88-40E2-BFC1-CA7F3061B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85-461E-8F32-72F4F743B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17.600000000000001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C1-416F-AA73-CF0DA93A2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2600</c:v>
                </c:pt>
                <c:pt idx="1">
                  <c:v>0</c:v>
                </c:pt>
                <c:pt idx="2">
                  <c:v>1300</c:v>
                </c:pt>
                <c:pt idx="3">
                  <c:v>4000</c:v>
                </c:pt>
                <c:pt idx="4">
                  <c:v>-8000</c:v>
                </c:pt>
                <c:pt idx="5">
                  <c:v>7700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A3-42BE-BB81-9FC0B4AEB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D5-4AEC-99E9-FEBC1C790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まっつん2!$A$3:$A$113</c:f>
              <c:numCache>
                <c:formatCode>0\ "回"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まっつん2!$B$3:$B$113</c:f>
              <c:numCache>
                <c:formatCode>\+0.0;\-0.0;\±0</c:formatCode>
                <c:ptCount val="111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085620730620576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まっつん2!$A$3:$A$113</c:f>
              <c:numCache>
                <c:formatCode>0\ "回"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まっつん2!$C$3:$C$113</c:f>
              <c:numCache>
                <c:formatCode>\+0.0;\-0.0;\±0</c:formatCode>
                <c:ptCount val="111"/>
                <c:pt idx="1">
                  <c:v>46.9</c:v>
                </c:pt>
                <c:pt idx="2">
                  <c:v>4.0500000000000007</c:v>
                </c:pt>
                <c:pt idx="3">
                  <c:v>8.6</c:v>
                </c:pt>
                <c:pt idx="4">
                  <c:v>-4.8250000000000002</c:v>
                </c:pt>
                <c:pt idx="5">
                  <c:v>-0.32000000000000028</c:v>
                </c:pt>
                <c:pt idx="6">
                  <c:v>4.9666666666666659</c:v>
                </c:pt>
                <c:pt idx="7">
                  <c:v>-2.3285714285714292</c:v>
                </c:pt>
                <c:pt idx="8">
                  <c:v>-5.8375000000000004</c:v>
                </c:pt>
                <c:pt idx="9">
                  <c:v>-10.100000000000001</c:v>
                </c:pt>
                <c:pt idx="10">
                  <c:v>-14.669999999999998</c:v>
                </c:pt>
                <c:pt idx="11">
                  <c:v>-10.454545454545453</c:v>
                </c:pt>
                <c:pt idx="12">
                  <c:v>-9.8666666666666654</c:v>
                </c:pt>
                <c:pt idx="13">
                  <c:v>-5.2615384615384606</c:v>
                </c:pt>
                <c:pt idx="14">
                  <c:v>-1.8428571428571421</c:v>
                </c:pt>
                <c:pt idx="15">
                  <c:v>-2.3666666666666658</c:v>
                </c:pt>
                <c:pt idx="16">
                  <c:v>-2.2249999999999992</c:v>
                </c:pt>
                <c:pt idx="17">
                  <c:v>-1.7529411764705873</c:v>
                </c:pt>
                <c:pt idx="18">
                  <c:v>-3.4666666666666663</c:v>
                </c:pt>
                <c:pt idx="19">
                  <c:v>-2.9684210526315784</c:v>
                </c:pt>
                <c:pt idx="20">
                  <c:v>-4.6599999999999993</c:v>
                </c:pt>
                <c:pt idx="21">
                  <c:v>-5.89047619047619</c:v>
                </c:pt>
                <c:pt idx="22">
                  <c:v>-3.045454545454545</c:v>
                </c:pt>
                <c:pt idx="23">
                  <c:v>-2.5913043478260862</c:v>
                </c:pt>
                <c:pt idx="24">
                  <c:v>-3.8083333333333331</c:v>
                </c:pt>
                <c:pt idx="25">
                  <c:v>-1.6519999999999997</c:v>
                </c:pt>
                <c:pt idx="26">
                  <c:v>-2.0807692307692305</c:v>
                </c:pt>
                <c:pt idx="27">
                  <c:v>-2.5999999999999996</c:v>
                </c:pt>
                <c:pt idx="28">
                  <c:v>-2.1892857142857141</c:v>
                </c:pt>
                <c:pt idx="29">
                  <c:v>-3.7827586206896546</c:v>
                </c:pt>
                <c:pt idx="30">
                  <c:v>-3.5766666666666662</c:v>
                </c:pt>
                <c:pt idx="31">
                  <c:v>-3.1225806451612899</c:v>
                </c:pt>
                <c:pt idx="32">
                  <c:v>-1.6906249999999994</c:v>
                </c:pt>
                <c:pt idx="33">
                  <c:v>-1.481818181818181</c:v>
                </c:pt>
                <c:pt idx="34">
                  <c:v>-1.8823529411764699</c:v>
                </c:pt>
                <c:pt idx="35">
                  <c:v>-2.0685714285714281</c:v>
                </c:pt>
                <c:pt idx="36">
                  <c:v>-1.816666666666666</c:v>
                </c:pt>
                <c:pt idx="37">
                  <c:v>-1.5837837837837832</c:v>
                </c:pt>
                <c:pt idx="38">
                  <c:v>-1.3631578947368417</c:v>
                </c:pt>
                <c:pt idx="39">
                  <c:v>-1.7410256410256404</c:v>
                </c:pt>
                <c:pt idx="40">
                  <c:v>-1.5324999999999993</c:v>
                </c:pt>
                <c:pt idx="41">
                  <c:v>-1.3878048780487799</c:v>
                </c:pt>
                <c:pt idx="42">
                  <c:v>-1.3928571428571423</c:v>
                </c:pt>
                <c:pt idx="43">
                  <c:v>-1.1604651162790693</c:v>
                </c:pt>
                <c:pt idx="44">
                  <c:v>0.26363636363636417</c:v>
                </c:pt>
                <c:pt idx="45">
                  <c:v>-0.51777777777777723</c:v>
                </c:pt>
                <c:pt idx="46">
                  <c:v>-0.24130434782608645</c:v>
                </c:pt>
                <c:pt idx="47">
                  <c:v>-0.66170212765957392</c:v>
                </c:pt>
                <c:pt idx="48">
                  <c:v>-0.38541666666666624</c:v>
                </c:pt>
                <c:pt idx="49">
                  <c:v>0.14489795918367393</c:v>
                </c:pt>
                <c:pt idx="50">
                  <c:v>0.13000000000000045</c:v>
                </c:pt>
                <c:pt idx="51">
                  <c:v>-5.8823529411760143E-3</c:v>
                </c:pt>
                <c:pt idx="52">
                  <c:v>0.16923076923076966</c:v>
                </c:pt>
                <c:pt idx="53">
                  <c:v>0.10943396226415136</c:v>
                </c:pt>
                <c:pt idx="54">
                  <c:v>-0.23148148148148109</c:v>
                </c:pt>
                <c:pt idx="55">
                  <c:v>0.66181818181818219</c:v>
                </c:pt>
                <c:pt idx="56">
                  <c:v>-6.607142857142824E-2</c:v>
                </c:pt>
                <c:pt idx="57">
                  <c:v>0.22631578947368455</c:v>
                </c:pt>
                <c:pt idx="58">
                  <c:v>0.65000000000000024</c:v>
                </c:pt>
                <c:pt idx="59">
                  <c:v>1.3050847457627122</c:v>
                </c:pt>
                <c:pt idx="60">
                  <c:v>0.3516666666666669</c:v>
                </c:pt>
                <c:pt idx="61">
                  <c:v>0.44426229508196746</c:v>
                </c:pt>
                <c:pt idx="62">
                  <c:v>0.19032258064516153</c:v>
                </c:pt>
                <c:pt idx="63">
                  <c:v>0.73650793650793678</c:v>
                </c:pt>
                <c:pt idx="64">
                  <c:v>0.62343750000000031</c:v>
                </c:pt>
                <c:pt idx="65">
                  <c:v>0.22461538461538491</c:v>
                </c:pt>
                <c:pt idx="66">
                  <c:v>-9.5454545454545139E-2</c:v>
                </c:pt>
                <c:pt idx="67">
                  <c:v>-4.1791044776119092E-2</c:v>
                </c:pt>
                <c:pt idx="68">
                  <c:v>-0.52647058823529391</c:v>
                </c:pt>
                <c:pt idx="69">
                  <c:v>-0.86811594202898523</c:v>
                </c:pt>
                <c:pt idx="70">
                  <c:v>-0.7085714285714283</c:v>
                </c:pt>
                <c:pt idx="71">
                  <c:v>-0.76056338028168979</c:v>
                </c:pt>
                <c:pt idx="72">
                  <c:v>-0.94722222222222185</c:v>
                </c:pt>
                <c:pt idx="73">
                  <c:v>-0.89999999999999969</c:v>
                </c:pt>
                <c:pt idx="74">
                  <c:v>-0.48108108108108072</c:v>
                </c:pt>
                <c:pt idx="75">
                  <c:v>-0.49999999999999961</c:v>
                </c:pt>
                <c:pt idx="76">
                  <c:v>-0.37105263157894697</c:v>
                </c:pt>
                <c:pt idx="77">
                  <c:v>-1.1337662337662333</c:v>
                </c:pt>
                <c:pt idx="78">
                  <c:v>-1.71025641025641</c:v>
                </c:pt>
                <c:pt idx="79">
                  <c:v>-2.1518987341772147</c:v>
                </c:pt>
                <c:pt idx="80">
                  <c:v>-2.0724999999999998</c:v>
                </c:pt>
                <c:pt idx="81">
                  <c:v>-1.4320987654320987</c:v>
                </c:pt>
                <c:pt idx="82">
                  <c:v>-1.4292682926829268</c:v>
                </c:pt>
                <c:pt idx="83">
                  <c:v>-1.5493975903614456</c:v>
                </c:pt>
                <c:pt idx="84">
                  <c:v>-1.4261904761904762</c:v>
                </c:pt>
                <c:pt idx="85">
                  <c:v>-1.1458823529411766</c:v>
                </c:pt>
                <c:pt idx="86">
                  <c:v>-0.97441860465116292</c:v>
                </c:pt>
                <c:pt idx="87">
                  <c:v>-0.65977011494252891</c:v>
                </c:pt>
                <c:pt idx="88">
                  <c:v>-0.71818181818181825</c:v>
                </c:pt>
                <c:pt idx="89">
                  <c:v>-1.3438202247191011</c:v>
                </c:pt>
                <c:pt idx="90">
                  <c:v>-0.64000000000000012</c:v>
                </c:pt>
                <c:pt idx="91">
                  <c:v>-0.60329670329670337</c:v>
                </c:pt>
                <c:pt idx="92">
                  <c:v>-0.1858695652173914</c:v>
                </c:pt>
                <c:pt idx="93">
                  <c:v>9.4623655913978394E-2</c:v>
                </c:pt>
                <c:pt idx="94">
                  <c:v>-4.3617021276595856E-2</c:v>
                </c:pt>
                <c:pt idx="95">
                  <c:v>0.33578947368421042</c:v>
                </c:pt>
                <c:pt idx="96">
                  <c:v>0.54479166666666656</c:v>
                </c:pt>
                <c:pt idx="97">
                  <c:v>0.14432989690721643</c:v>
                </c:pt>
                <c:pt idx="98">
                  <c:v>0.21836734693877544</c:v>
                </c:pt>
                <c:pt idx="99">
                  <c:v>-5.454545454545464E-2</c:v>
                </c:pt>
                <c:pt idx="100">
                  <c:v>-0.25600000000000006</c:v>
                </c:pt>
                <c:pt idx="101">
                  <c:v>0.31881188118811871</c:v>
                </c:pt>
                <c:pt idx="102">
                  <c:v>0.27156862745098026</c:v>
                </c:pt>
                <c:pt idx="103">
                  <c:v>0.44466019417475716</c:v>
                </c:pt>
                <c:pt idx="104">
                  <c:v>1.1749999999999998</c:v>
                </c:pt>
                <c:pt idx="105">
                  <c:v>0.82190476190476169</c:v>
                </c:pt>
                <c:pt idx="106">
                  <c:v>0.79528301886792441</c:v>
                </c:pt>
                <c:pt idx="107">
                  <c:v>0.99345794392523346</c:v>
                </c:pt>
                <c:pt idx="108">
                  <c:v>0.9185185185185184</c:v>
                </c:pt>
                <c:pt idx="109">
                  <c:v>1.2128440366972475</c:v>
                </c:pt>
                <c:pt idx="110">
                  <c:v>1.0918181818181818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7463020121245801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まっつん2!$A$3:$A$113</c:f>
              <c:numCache>
                <c:formatCode>0\ "回"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まっつん2!$D$3:$D$113</c:f>
              <c:numCache>
                <c:formatCode>0.00\ "位"</c:formatCode>
                <c:ptCount val="111"/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2.1904761904761907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2.12</c:v>
                </c:pt>
                <c:pt idx="26">
                  <c:v>2.1538461538461537</c:v>
                </c:pt>
                <c:pt idx="27">
                  <c:v>2.1481481481481484</c:v>
                </c:pt>
                <c:pt idx="28">
                  <c:v>2.1428571428571428</c:v>
                </c:pt>
                <c:pt idx="29">
                  <c:v>2.1724137931034484</c:v>
                </c:pt>
                <c:pt idx="30">
                  <c:v>2.1666666666666665</c:v>
                </c:pt>
                <c:pt idx="31">
                  <c:v>2.161290322580645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2.1470588235294117</c:v>
                </c:pt>
                <c:pt idx="35">
                  <c:v>2.1428571428571428</c:v>
                </c:pt>
                <c:pt idx="36">
                  <c:v>2.1388888888888888</c:v>
                </c:pt>
                <c:pt idx="37">
                  <c:v>2.1351351351351351</c:v>
                </c:pt>
                <c:pt idx="38">
                  <c:v>2.1315789473684212</c:v>
                </c:pt>
                <c:pt idx="39">
                  <c:v>2.1282051282051282</c:v>
                </c:pt>
                <c:pt idx="40">
                  <c:v>2.125</c:v>
                </c:pt>
                <c:pt idx="41">
                  <c:v>2.1219512195121952</c:v>
                </c:pt>
                <c:pt idx="42">
                  <c:v>2.1190476190476191</c:v>
                </c:pt>
                <c:pt idx="43">
                  <c:v>2.1162790697674421</c:v>
                </c:pt>
                <c:pt idx="44">
                  <c:v>2.0909090909090908</c:v>
                </c:pt>
                <c:pt idx="45">
                  <c:v>2.1111111111111112</c:v>
                </c:pt>
                <c:pt idx="46">
                  <c:v>2.1086956521739131</c:v>
                </c:pt>
                <c:pt idx="47">
                  <c:v>2.1063829787234041</c:v>
                </c:pt>
                <c:pt idx="48">
                  <c:v>2.1041666666666665</c:v>
                </c:pt>
                <c:pt idx="49">
                  <c:v>2.0816326530612246</c:v>
                </c:pt>
                <c:pt idx="50">
                  <c:v>2.08</c:v>
                </c:pt>
                <c:pt idx="51">
                  <c:v>2.0784313725490198</c:v>
                </c:pt>
                <c:pt idx="52">
                  <c:v>2.0769230769230771</c:v>
                </c:pt>
                <c:pt idx="53">
                  <c:v>2.0754716981132075</c:v>
                </c:pt>
                <c:pt idx="54">
                  <c:v>2.0925925925925926</c:v>
                </c:pt>
                <c:pt idx="55">
                  <c:v>2.0727272727272728</c:v>
                </c:pt>
                <c:pt idx="56">
                  <c:v>2.0892857142857144</c:v>
                </c:pt>
                <c:pt idx="57">
                  <c:v>2.0701754385964914</c:v>
                </c:pt>
                <c:pt idx="58">
                  <c:v>2.0517241379310347</c:v>
                </c:pt>
                <c:pt idx="59">
                  <c:v>2.0338983050847457</c:v>
                </c:pt>
                <c:pt idx="60">
                  <c:v>2.0499999999999998</c:v>
                </c:pt>
                <c:pt idx="61">
                  <c:v>2.0491803278688523</c:v>
                </c:pt>
                <c:pt idx="62">
                  <c:v>2.064516129032258</c:v>
                </c:pt>
                <c:pt idx="63">
                  <c:v>2.0476190476190474</c:v>
                </c:pt>
                <c:pt idx="64">
                  <c:v>2.046875</c:v>
                </c:pt>
                <c:pt idx="65">
                  <c:v>2.0615384615384613</c:v>
                </c:pt>
                <c:pt idx="66">
                  <c:v>2.0757575757575757</c:v>
                </c:pt>
                <c:pt idx="67">
                  <c:v>2.0746268656716418</c:v>
                </c:pt>
                <c:pt idx="68">
                  <c:v>2.0735294117647061</c:v>
                </c:pt>
                <c:pt idx="69">
                  <c:v>2.0869565217391304</c:v>
                </c:pt>
                <c:pt idx="70">
                  <c:v>2.0857142857142859</c:v>
                </c:pt>
                <c:pt idx="71">
                  <c:v>2.084507042253521</c:v>
                </c:pt>
                <c:pt idx="72">
                  <c:v>2.0833333333333335</c:v>
                </c:pt>
                <c:pt idx="73">
                  <c:v>2.0821917808219177</c:v>
                </c:pt>
                <c:pt idx="74">
                  <c:v>2.0675675675675675</c:v>
                </c:pt>
                <c:pt idx="75">
                  <c:v>2.0666666666666669</c:v>
                </c:pt>
                <c:pt idx="76">
                  <c:v>2.0657894736842106</c:v>
                </c:pt>
                <c:pt idx="77">
                  <c:v>2.0779220779220777</c:v>
                </c:pt>
                <c:pt idx="78">
                  <c:v>2.0897435897435899</c:v>
                </c:pt>
                <c:pt idx="79">
                  <c:v>2.1012658227848102</c:v>
                </c:pt>
                <c:pt idx="80">
                  <c:v>2.1</c:v>
                </c:pt>
                <c:pt idx="81">
                  <c:v>2.0864197530864197</c:v>
                </c:pt>
                <c:pt idx="82">
                  <c:v>2.0853658536585367</c:v>
                </c:pt>
                <c:pt idx="83">
                  <c:v>2.0843373493975905</c:v>
                </c:pt>
                <c:pt idx="84">
                  <c:v>2.0833333333333335</c:v>
                </c:pt>
                <c:pt idx="85">
                  <c:v>2.0705882352941178</c:v>
                </c:pt>
                <c:pt idx="86">
                  <c:v>2.058139534883721</c:v>
                </c:pt>
                <c:pt idx="87">
                  <c:v>2.0459770114942528</c:v>
                </c:pt>
                <c:pt idx="88">
                  <c:v>2.0454545454545454</c:v>
                </c:pt>
                <c:pt idx="89">
                  <c:v>2.0561797752808988</c:v>
                </c:pt>
                <c:pt idx="90">
                  <c:v>2.0444444444444443</c:v>
                </c:pt>
                <c:pt idx="91">
                  <c:v>2.0439560439560438</c:v>
                </c:pt>
                <c:pt idx="92">
                  <c:v>2.0326086956521738</c:v>
                </c:pt>
                <c:pt idx="93">
                  <c:v>2.021505376344086</c:v>
                </c:pt>
                <c:pt idx="94">
                  <c:v>2.021276595744681</c:v>
                </c:pt>
                <c:pt idx="95">
                  <c:v>2.0105263157894737</c:v>
                </c:pt>
                <c:pt idx="96">
                  <c:v>2.0104166666666665</c:v>
                </c:pt>
                <c:pt idx="97">
                  <c:v>2.0206185567010309</c:v>
                </c:pt>
                <c:pt idx="98">
                  <c:v>2.0204081632653059</c:v>
                </c:pt>
                <c:pt idx="99">
                  <c:v>2.0303030303030303</c:v>
                </c:pt>
                <c:pt idx="100">
                  <c:v>2.04</c:v>
                </c:pt>
                <c:pt idx="101">
                  <c:v>2.0297029702970297</c:v>
                </c:pt>
                <c:pt idx="102">
                  <c:v>2.0294117647058822</c:v>
                </c:pt>
                <c:pt idx="103">
                  <c:v>2.0194174757281553</c:v>
                </c:pt>
                <c:pt idx="104">
                  <c:v>2.0096153846153846</c:v>
                </c:pt>
                <c:pt idx="105">
                  <c:v>2.019047619047619</c:v>
                </c:pt>
                <c:pt idx="106">
                  <c:v>2.0188679245283021</c:v>
                </c:pt>
                <c:pt idx="107">
                  <c:v>2.0093457943925235</c:v>
                </c:pt>
                <c:pt idx="108">
                  <c:v>2.0092592592592591</c:v>
                </c:pt>
                <c:pt idx="109">
                  <c:v>2</c:v>
                </c:pt>
                <c:pt idx="110">
                  <c:v>2.0090909090909093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まっつん2!$A$3:$A$113</c:f>
              <c:numCache>
                <c:formatCode>0\ "回"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まっつん2!$E$3:$E$113</c:f>
              <c:numCache>
                <c:formatCode>0.0%</c:formatCode>
                <c:ptCount val="111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0.23529411764705882</c:v>
                </c:pt>
                <c:pt idx="35">
                  <c:v>0.22857142857142856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0.20408163265306123</c:v>
                </c:pt>
                <c:pt idx="50">
                  <c:v>0.2</c:v>
                </c:pt>
                <c:pt idx="51">
                  <c:v>0.19607843137254902</c:v>
                </c:pt>
                <c:pt idx="52">
                  <c:v>0.19230769230769232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0.21052631578947367</c:v>
                </c:pt>
                <c:pt idx="58">
                  <c:v>0.22413793103448276</c:v>
                </c:pt>
                <c:pt idx="59">
                  <c:v>0.23728813559322035</c:v>
                </c:pt>
                <c:pt idx="60">
                  <c:v>0.23333333333333334</c:v>
                </c:pt>
                <c:pt idx="61">
                  <c:v>0.22950819672131148</c:v>
                </c:pt>
                <c:pt idx="62">
                  <c:v>0.22580645161290322</c:v>
                </c:pt>
                <c:pt idx="63">
                  <c:v>0.23809523809523808</c:v>
                </c:pt>
                <c:pt idx="64">
                  <c:v>0.234375</c:v>
                </c:pt>
                <c:pt idx="65">
                  <c:v>0.23076923076923078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0.22058823529411764</c:v>
                </c:pt>
                <c:pt idx="69">
                  <c:v>0.21739130434782608</c:v>
                </c:pt>
                <c:pt idx="70">
                  <c:v>0.21428571428571427</c:v>
                </c:pt>
                <c:pt idx="71">
                  <c:v>0.21126760563380281</c:v>
                </c:pt>
                <c:pt idx="72">
                  <c:v>0.20833333333333334</c:v>
                </c:pt>
                <c:pt idx="73">
                  <c:v>0.20547945205479451</c:v>
                </c:pt>
                <c:pt idx="74">
                  <c:v>0.21621621621621623</c:v>
                </c:pt>
                <c:pt idx="75">
                  <c:v>0.21333333333333335</c:v>
                </c:pt>
                <c:pt idx="76">
                  <c:v>0.21052631578947367</c:v>
                </c:pt>
                <c:pt idx="77">
                  <c:v>0.20779220779220781</c:v>
                </c:pt>
                <c:pt idx="78">
                  <c:v>0.20512820512820512</c:v>
                </c:pt>
                <c:pt idx="79">
                  <c:v>0.20253164556962025</c:v>
                </c:pt>
                <c:pt idx="80">
                  <c:v>0.2</c:v>
                </c:pt>
                <c:pt idx="81">
                  <c:v>0.20987654320987653</c:v>
                </c:pt>
                <c:pt idx="82">
                  <c:v>0.2073170731707317</c:v>
                </c:pt>
                <c:pt idx="83">
                  <c:v>0.20481927710843373</c:v>
                </c:pt>
                <c:pt idx="84">
                  <c:v>0.20238095238095238</c:v>
                </c:pt>
                <c:pt idx="85">
                  <c:v>0.21176470588235294</c:v>
                </c:pt>
                <c:pt idx="86">
                  <c:v>0.22093023255813954</c:v>
                </c:pt>
                <c:pt idx="87">
                  <c:v>0.22988505747126436</c:v>
                </c:pt>
                <c:pt idx="88">
                  <c:v>0.22727272727272727</c:v>
                </c:pt>
                <c:pt idx="89">
                  <c:v>0.2247191011235955</c:v>
                </c:pt>
                <c:pt idx="90">
                  <c:v>0.23333333333333334</c:v>
                </c:pt>
                <c:pt idx="91">
                  <c:v>0.23076923076923078</c:v>
                </c:pt>
                <c:pt idx="92">
                  <c:v>0.2391304347826087</c:v>
                </c:pt>
                <c:pt idx="93">
                  <c:v>0.24731182795698925</c:v>
                </c:pt>
                <c:pt idx="94">
                  <c:v>0.24468085106382978</c:v>
                </c:pt>
                <c:pt idx="95">
                  <c:v>0.25263157894736843</c:v>
                </c:pt>
                <c:pt idx="96">
                  <c:v>0.25</c:v>
                </c:pt>
                <c:pt idx="97">
                  <c:v>0.24742268041237114</c:v>
                </c:pt>
                <c:pt idx="98">
                  <c:v>0.24489795918367346</c:v>
                </c:pt>
                <c:pt idx="99">
                  <c:v>0.24242424242424243</c:v>
                </c:pt>
                <c:pt idx="100">
                  <c:v>0.24</c:v>
                </c:pt>
                <c:pt idx="101">
                  <c:v>0.24752475247524752</c:v>
                </c:pt>
                <c:pt idx="102">
                  <c:v>0.24509803921568626</c:v>
                </c:pt>
                <c:pt idx="103">
                  <c:v>0.25242718446601942</c:v>
                </c:pt>
                <c:pt idx="104">
                  <c:v>0.25961538461538464</c:v>
                </c:pt>
                <c:pt idx="105">
                  <c:v>0.25714285714285712</c:v>
                </c:pt>
                <c:pt idx="106">
                  <c:v>0.25471698113207547</c:v>
                </c:pt>
                <c:pt idx="107">
                  <c:v>0.26168224299065418</c:v>
                </c:pt>
                <c:pt idx="108">
                  <c:v>0.25925925925925924</c:v>
                </c:pt>
                <c:pt idx="109">
                  <c:v>0.26605504587155965</c:v>
                </c:pt>
                <c:pt idx="110">
                  <c:v>0.26363636363636361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まっつん2!$A$3:$A$113</c:f>
              <c:numCache>
                <c:formatCode>0\ "回"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まっつん2!$F$3:$F$113</c:f>
              <c:numCache>
                <c:formatCode>0.0%</c:formatCode>
                <c:ptCount val="111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0.37142857142857144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0.30232558139534882</c:v>
                </c:pt>
                <c:pt idx="44">
                  <c:v>0.29545454545454547</c:v>
                </c:pt>
                <c:pt idx="45">
                  <c:v>0.31111111111111112</c:v>
                </c:pt>
                <c:pt idx="46">
                  <c:v>0.30434782608695654</c:v>
                </c:pt>
                <c:pt idx="47">
                  <c:v>0.2978723404255319</c:v>
                </c:pt>
                <c:pt idx="48">
                  <c:v>0.29166666666666669</c:v>
                </c:pt>
                <c:pt idx="49">
                  <c:v>0.2857142857142857</c:v>
                </c:pt>
                <c:pt idx="50">
                  <c:v>0.28000000000000003</c:v>
                </c:pt>
                <c:pt idx="51">
                  <c:v>0.27450980392156865</c:v>
                </c:pt>
                <c:pt idx="52">
                  <c:v>0.26923076923076922</c:v>
                </c:pt>
                <c:pt idx="53">
                  <c:v>0.26415094339622641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0.2857142857142857</c:v>
                </c:pt>
                <c:pt idx="57">
                  <c:v>0.2807017543859649</c:v>
                </c:pt>
                <c:pt idx="58">
                  <c:v>0.27586206896551724</c:v>
                </c:pt>
                <c:pt idx="59">
                  <c:v>0.2711864406779661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0.29032258064516131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0.29230769230769232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0.30434782608695654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0.28767123287671231</c:v>
                </c:pt>
                <c:pt idx="74">
                  <c:v>0.28378378378378377</c:v>
                </c:pt>
                <c:pt idx="75">
                  <c:v>0.28000000000000003</c:v>
                </c:pt>
                <c:pt idx="76">
                  <c:v>0.27631578947368424</c:v>
                </c:pt>
                <c:pt idx="77">
                  <c:v>0.2857142857142857</c:v>
                </c:pt>
                <c:pt idx="78">
                  <c:v>0.29487179487179488</c:v>
                </c:pt>
                <c:pt idx="79">
                  <c:v>0.30379746835443039</c:v>
                </c:pt>
                <c:pt idx="80">
                  <c:v>0.3</c:v>
                </c:pt>
                <c:pt idx="81">
                  <c:v>0.29629629629629628</c:v>
                </c:pt>
                <c:pt idx="82">
                  <c:v>0.29268292682926828</c:v>
                </c:pt>
                <c:pt idx="83">
                  <c:v>0.28915662650602408</c:v>
                </c:pt>
                <c:pt idx="84">
                  <c:v>0.2857142857142857</c:v>
                </c:pt>
                <c:pt idx="85">
                  <c:v>0.28235294117647058</c:v>
                </c:pt>
                <c:pt idx="86">
                  <c:v>0.27906976744186046</c:v>
                </c:pt>
                <c:pt idx="87">
                  <c:v>0.27586206896551724</c:v>
                </c:pt>
                <c:pt idx="88">
                  <c:v>0.27272727272727271</c:v>
                </c:pt>
                <c:pt idx="89">
                  <c:v>0.2808988764044944</c:v>
                </c:pt>
                <c:pt idx="90">
                  <c:v>0.27777777777777779</c:v>
                </c:pt>
                <c:pt idx="91">
                  <c:v>0.27472527472527475</c:v>
                </c:pt>
                <c:pt idx="92">
                  <c:v>0.27173913043478259</c:v>
                </c:pt>
                <c:pt idx="93">
                  <c:v>0.26881720430107525</c:v>
                </c:pt>
                <c:pt idx="94">
                  <c:v>0.26595744680851063</c:v>
                </c:pt>
                <c:pt idx="95">
                  <c:v>0.26315789473684209</c:v>
                </c:pt>
                <c:pt idx="96">
                  <c:v>0.26041666666666669</c:v>
                </c:pt>
                <c:pt idx="97">
                  <c:v>0.26804123711340205</c:v>
                </c:pt>
                <c:pt idx="98">
                  <c:v>0.26530612244897961</c:v>
                </c:pt>
                <c:pt idx="99">
                  <c:v>0.27272727272727271</c:v>
                </c:pt>
                <c:pt idx="100">
                  <c:v>0.28000000000000003</c:v>
                </c:pt>
                <c:pt idx="101">
                  <c:v>0.27722772277227725</c:v>
                </c:pt>
                <c:pt idx="102">
                  <c:v>0.27450980392156865</c:v>
                </c:pt>
                <c:pt idx="103">
                  <c:v>0.27184466019417475</c:v>
                </c:pt>
                <c:pt idx="104">
                  <c:v>0.26923076923076922</c:v>
                </c:pt>
                <c:pt idx="105">
                  <c:v>0.27619047619047621</c:v>
                </c:pt>
                <c:pt idx="106">
                  <c:v>0.27358490566037735</c:v>
                </c:pt>
                <c:pt idx="107">
                  <c:v>0.27102803738317754</c:v>
                </c:pt>
                <c:pt idx="108">
                  <c:v>0.26851851851851855</c:v>
                </c:pt>
                <c:pt idx="109">
                  <c:v>0.26605504587155965</c:v>
                </c:pt>
                <c:pt idx="110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まっつん2!$A$3:$A$113</c:f>
              <c:numCache>
                <c:formatCode>0\ "回"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まっつん2!$G$3:$G$113</c:f>
              <c:numCache>
                <c:formatCode>0.0%</c:formatCode>
                <c:ptCount val="111"/>
                <c:pt idx="1">
                  <c:v>0.36363636363636365</c:v>
                </c:pt>
                <c:pt idx="2">
                  <c:v>0.18181818181818182</c:v>
                </c:pt>
                <c:pt idx="3">
                  <c:v>0.24242424242424243</c:v>
                </c:pt>
                <c:pt idx="4">
                  <c:v>0.20512820512820512</c:v>
                </c:pt>
                <c:pt idx="5">
                  <c:v>0.24</c:v>
                </c:pt>
                <c:pt idx="6">
                  <c:v>0.27586206896551724</c:v>
                </c:pt>
                <c:pt idx="7">
                  <c:v>0.25</c:v>
                </c:pt>
                <c:pt idx="8">
                  <c:v>0.24657534246575341</c:v>
                </c:pt>
                <c:pt idx="9">
                  <c:v>0.22619047619047619</c:v>
                </c:pt>
                <c:pt idx="10">
                  <c:v>0.21348314606741572</c:v>
                </c:pt>
                <c:pt idx="11">
                  <c:v>0.22772277227722773</c:v>
                </c:pt>
                <c:pt idx="12">
                  <c:v>0.23008849557522124</c:v>
                </c:pt>
                <c:pt idx="13">
                  <c:v>0.25203252032520324</c:v>
                </c:pt>
                <c:pt idx="14">
                  <c:v>0.27480916030534353</c:v>
                </c:pt>
                <c:pt idx="15">
                  <c:v>0.2733812949640288</c:v>
                </c:pt>
                <c:pt idx="16">
                  <c:v>0.26896551724137929</c:v>
                </c:pt>
                <c:pt idx="17">
                  <c:v>0.27631578947368424</c:v>
                </c:pt>
                <c:pt idx="18">
                  <c:v>0.27380952380952384</c:v>
                </c:pt>
                <c:pt idx="19">
                  <c:v>0.27840909090909088</c:v>
                </c:pt>
                <c:pt idx="20">
                  <c:v>0.27322404371584702</c:v>
                </c:pt>
                <c:pt idx="21">
                  <c:v>0.26178010471204188</c:v>
                </c:pt>
                <c:pt idx="22">
                  <c:v>0.26767676767676768</c:v>
                </c:pt>
                <c:pt idx="23">
                  <c:v>0.26829268292682928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0.26315789473684209</c:v>
                </c:pt>
                <c:pt idx="27">
                  <c:v>0.26406926406926406</c:v>
                </c:pt>
                <c:pt idx="28">
                  <c:v>0.26890756302521007</c:v>
                </c:pt>
                <c:pt idx="29">
                  <c:v>0.26337448559670784</c:v>
                </c:pt>
                <c:pt idx="30">
                  <c:v>0.26315789473684209</c:v>
                </c:pt>
                <c:pt idx="31">
                  <c:v>0.26744186046511625</c:v>
                </c:pt>
                <c:pt idx="32">
                  <c:v>0.27376425855513309</c:v>
                </c:pt>
                <c:pt idx="33">
                  <c:v>0.26568265682656828</c:v>
                </c:pt>
                <c:pt idx="34">
                  <c:v>0.26618705035971224</c:v>
                </c:pt>
                <c:pt idx="35">
                  <c:v>0.26923076923076922</c:v>
                </c:pt>
                <c:pt idx="36">
                  <c:v>0.27397260273972601</c:v>
                </c:pt>
                <c:pt idx="37">
                  <c:v>0.28052805280528054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0.27522935779816515</c:v>
                </c:pt>
                <c:pt idx="41">
                  <c:v>0.27844311377245506</c:v>
                </c:pt>
                <c:pt idx="42">
                  <c:v>0.28279883381924198</c:v>
                </c:pt>
                <c:pt idx="43">
                  <c:v>0.28285714285714286</c:v>
                </c:pt>
                <c:pt idx="44">
                  <c:v>0.28732394366197184</c:v>
                </c:pt>
                <c:pt idx="45">
                  <c:v>0.28415300546448086</c:v>
                </c:pt>
                <c:pt idx="46">
                  <c:v>0.28301886792452829</c:v>
                </c:pt>
                <c:pt idx="47">
                  <c:v>0.28238341968911918</c:v>
                </c:pt>
                <c:pt idx="48">
                  <c:v>0.28498727735368956</c:v>
                </c:pt>
                <c:pt idx="49">
                  <c:v>0.28499999999999998</c:v>
                </c:pt>
                <c:pt idx="50">
                  <c:v>0.28186274509803921</c:v>
                </c:pt>
                <c:pt idx="51">
                  <c:v>0.27751196172248804</c:v>
                </c:pt>
                <c:pt idx="52">
                  <c:v>0.28000000000000003</c:v>
                </c:pt>
                <c:pt idx="53">
                  <c:v>0.28175519630484991</c:v>
                </c:pt>
                <c:pt idx="54">
                  <c:v>0.28018223234624146</c:v>
                </c:pt>
                <c:pt idx="55">
                  <c:v>0.28442437923250563</c:v>
                </c:pt>
                <c:pt idx="56">
                  <c:v>0.2807017543859649</c:v>
                </c:pt>
                <c:pt idx="57">
                  <c:v>0.2832618025751073</c:v>
                </c:pt>
                <c:pt idx="58">
                  <c:v>0.28361344537815125</c:v>
                </c:pt>
                <c:pt idx="59">
                  <c:v>0.28985507246376813</c:v>
                </c:pt>
                <c:pt idx="60">
                  <c:v>0.28888888888888886</c:v>
                </c:pt>
                <c:pt idx="61">
                  <c:v>0.28769841269841268</c:v>
                </c:pt>
                <c:pt idx="62">
                  <c:v>0.287109375</c:v>
                </c:pt>
                <c:pt idx="63">
                  <c:v>0.28875968992248063</c:v>
                </c:pt>
                <c:pt idx="64">
                  <c:v>0.28927203065134099</c:v>
                </c:pt>
                <c:pt idx="65">
                  <c:v>0.28625235404896421</c:v>
                </c:pt>
                <c:pt idx="66">
                  <c:v>0.28491620111731841</c:v>
                </c:pt>
                <c:pt idx="67">
                  <c:v>0.28623853211009176</c:v>
                </c:pt>
                <c:pt idx="68">
                  <c:v>0.28442028985507245</c:v>
                </c:pt>
                <c:pt idx="69">
                  <c:v>0.28264758497316639</c:v>
                </c:pt>
                <c:pt idx="70">
                  <c:v>0.28368794326241137</c:v>
                </c:pt>
                <c:pt idx="71">
                  <c:v>0.28196147110332748</c:v>
                </c:pt>
                <c:pt idx="72">
                  <c:v>0.28151986183074268</c:v>
                </c:pt>
                <c:pt idx="73">
                  <c:v>0.28034188034188035</c:v>
                </c:pt>
                <c:pt idx="74">
                  <c:v>0.28499156829679595</c:v>
                </c:pt>
                <c:pt idx="75">
                  <c:v>0.28499999999999998</c:v>
                </c:pt>
                <c:pt idx="76">
                  <c:v>0.28547854785478549</c:v>
                </c:pt>
                <c:pt idx="77">
                  <c:v>0.28038897893030795</c:v>
                </c:pt>
                <c:pt idx="78">
                  <c:v>0.27768860353130015</c:v>
                </c:pt>
                <c:pt idx="79">
                  <c:v>0.27760252365930599</c:v>
                </c:pt>
                <c:pt idx="80">
                  <c:v>0.27856025039123633</c:v>
                </c:pt>
                <c:pt idx="81">
                  <c:v>0.28328173374613003</c:v>
                </c:pt>
                <c:pt idx="82">
                  <c:v>0.28287461773700306</c:v>
                </c:pt>
                <c:pt idx="83">
                  <c:v>0.27987897125567324</c:v>
                </c:pt>
                <c:pt idx="84">
                  <c:v>0.28035982008995503</c:v>
                </c:pt>
                <c:pt idx="85">
                  <c:v>0.28041543026706234</c:v>
                </c:pt>
                <c:pt idx="86">
                  <c:v>0.28111273792093705</c:v>
                </c:pt>
                <c:pt idx="87">
                  <c:v>0.28260869565217389</c:v>
                </c:pt>
                <c:pt idx="88">
                  <c:v>0.28307254623044098</c:v>
                </c:pt>
                <c:pt idx="89">
                  <c:v>0.28212290502793297</c:v>
                </c:pt>
                <c:pt idx="90">
                  <c:v>0.28393351800554018</c:v>
                </c:pt>
                <c:pt idx="91">
                  <c:v>0.28434065934065933</c:v>
                </c:pt>
                <c:pt idx="92">
                  <c:v>0.2857142857142857</c:v>
                </c:pt>
                <c:pt idx="93">
                  <c:v>0.28936742934051146</c:v>
                </c:pt>
                <c:pt idx="94">
                  <c:v>0.28894806924101196</c:v>
                </c:pt>
                <c:pt idx="95">
                  <c:v>0.28912466843501328</c:v>
                </c:pt>
                <c:pt idx="96">
                  <c:v>0.29040735873850199</c:v>
                </c:pt>
                <c:pt idx="97">
                  <c:v>0.28793774319066145</c:v>
                </c:pt>
                <c:pt idx="98">
                  <c:v>0.28937259923175418</c:v>
                </c:pt>
                <c:pt idx="99">
                  <c:v>0.2878787878787879</c:v>
                </c:pt>
                <c:pt idx="100">
                  <c:v>0.28714107365792757</c:v>
                </c:pt>
                <c:pt idx="101">
                  <c:v>0.28888888888888886</c:v>
                </c:pt>
                <c:pt idx="102">
                  <c:v>0.28886168910648713</c:v>
                </c:pt>
                <c:pt idx="103">
                  <c:v>0.28950542822677927</c:v>
                </c:pt>
                <c:pt idx="104">
                  <c:v>0.2930622009569378</c:v>
                </c:pt>
                <c:pt idx="105">
                  <c:v>0.29078014184397161</c:v>
                </c:pt>
                <c:pt idx="106">
                  <c:v>0.29024676850763809</c:v>
                </c:pt>
                <c:pt idx="107">
                  <c:v>0.29254079254079252</c:v>
                </c:pt>
                <c:pt idx="108">
                  <c:v>0.29032258064516131</c:v>
                </c:pt>
                <c:pt idx="109">
                  <c:v>0.29142857142857143</c:v>
                </c:pt>
                <c:pt idx="110">
                  <c:v>0.29171396140749151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073641442356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まっつん2!$A$3:$A$113</c:f>
              <c:numCache>
                <c:formatCode>0\ "回"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まっつん2!$H$3:$H$113</c:f>
              <c:numCache>
                <c:formatCode>0.0%</c:formatCode>
                <c:ptCount val="111"/>
                <c:pt idx="1">
                  <c:v>0</c:v>
                </c:pt>
                <c:pt idx="2">
                  <c:v>4.5454545454545456E-2</c:v>
                </c:pt>
                <c:pt idx="3">
                  <c:v>6.0606060606060608E-2</c:v>
                </c:pt>
                <c:pt idx="4">
                  <c:v>0.10256410256410256</c:v>
                </c:pt>
                <c:pt idx="5">
                  <c:v>0.1</c:v>
                </c:pt>
                <c:pt idx="6">
                  <c:v>0.10344827586206896</c:v>
                </c:pt>
                <c:pt idx="7">
                  <c:v>0.109375</c:v>
                </c:pt>
                <c:pt idx="8">
                  <c:v>0.13698630136986301</c:v>
                </c:pt>
                <c:pt idx="9">
                  <c:v>0.15476190476190477</c:v>
                </c:pt>
                <c:pt idx="10">
                  <c:v>0.16853932584269662</c:v>
                </c:pt>
                <c:pt idx="11">
                  <c:v>0.14851485148514851</c:v>
                </c:pt>
                <c:pt idx="12">
                  <c:v>0.13274336283185842</c:v>
                </c:pt>
                <c:pt idx="13">
                  <c:v>0.12195121951219512</c:v>
                </c:pt>
                <c:pt idx="14">
                  <c:v>0.11450381679389313</c:v>
                </c:pt>
                <c:pt idx="15">
                  <c:v>0.11510791366906475</c:v>
                </c:pt>
                <c:pt idx="16">
                  <c:v>0.11724137931034483</c:v>
                </c:pt>
                <c:pt idx="17">
                  <c:v>0.11842105263157894</c:v>
                </c:pt>
                <c:pt idx="18">
                  <c:v>0.13095238095238096</c:v>
                </c:pt>
                <c:pt idx="19">
                  <c:v>0.13636363636363635</c:v>
                </c:pt>
                <c:pt idx="20">
                  <c:v>0.13661202185792351</c:v>
                </c:pt>
                <c:pt idx="21">
                  <c:v>0.14659685863874344</c:v>
                </c:pt>
                <c:pt idx="22">
                  <c:v>0.14141414141414141</c:v>
                </c:pt>
                <c:pt idx="23">
                  <c:v>0.14146341463414633</c:v>
                </c:pt>
                <c:pt idx="24">
                  <c:v>0.15023474178403756</c:v>
                </c:pt>
                <c:pt idx="25">
                  <c:v>0.15384615384615385</c:v>
                </c:pt>
                <c:pt idx="26">
                  <c:v>0.15350877192982457</c:v>
                </c:pt>
                <c:pt idx="27">
                  <c:v>0.15151515151515152</c:v>
                </c:pt>
                <c:pt idx="28">
                  <c:v>0.14705882352941177</c:v>
                </c:pt>
                <c:pt idx="29">
                  <c:v>0.15226337448559671</c:v>
                </c:pt>
                <c:pt idx="30">
                  <c:v>0.14979757085020243</c:v>
                </c:pt>
                <c:pt idx="31">
                  <c:v>0.15116279069767441</c:v>
                </c:pt>
                <c:pt idx="32">
                  <c:v>0.14828897338403041</c:v>
                </c:pt>
                <c:pt idx="33">
                  <c:v>0.14391143911439114</c:v>
                </c:pt>
                <c:pt idx="34">
                  <c:v>0.14388489208633093</c:v>
                </c:pt>
                <c:pt idx="35">
                  <c:v>0.13986013986013987</c:v>
                </c:pt>
                <c:pt idx="36">
                  <c:v>0.1404109589041096</c:v>
                </c:pt>
                <c:pt idx="37">
                  <c:v>0.14191419141914191</c:v>
                </c:pt>
                <c:pt idx="38">
                  <c:v>0.14376996805111822</c:v>
                </c:pt>
                <c:pt idx="39">
                  <c:v>0.14374999999999999</c:v>
                </c:pt>
                <c:pt idx="40">
                  <c:v>0.14678899082568808</c:v>
                </c:pt>
                <c:pt idx="41">
                  <c:v>0.1497005988023952</c:v>
                </c:pt>
                <c:pt idx="42">
                  <c:v>0.14868804664723032</c:v>
                </c:pt>
                <c:pt idx="43">
                  <c:v>0.14857142857142858</c:v>
                </c:pt>
                <c:pt idx="44">
                  <c:v>0.14647887323943662</c:v>
                </c:pt>
                <c:pt idx="45">
                  <c:v>0.1448087431693989</c:v>
                </c:pt>
                <c:pt idx="46">
                  <c:v>0.14285714285714285</c:v>
                </c:pt>
                <c:pt idx="47">
                  <c:v>0.14248704663212436</c:v>
                </c:pt>
                <c:pt idx="48">
                  <c:v>0.13994910941475827</c:v>
                </c:pt>
                <c:pt idx="49">
                  <c:v>0.14000000000000001</c:v>
                </c:pt>
                <c:pt idx="50">
                  <c:v>0.13970588235294118</c:v>
                </c:pt>
                <c:pt idx="51">
                  <c:v>0.13636363636363635</c:v>
                </c:pt>
                <c:pt idx="52">
                  <c:v>0.13411764705882354</c:v>
                </c:pt>
                <c:pt idx="53">
                  <c:v>0.13163972286374134</c:v>
                </c:pt>
                <c:pt idx="54">
                  <c:v>0.12984054669703873</c:v>
                </c:pt>
                <c:pt idx="55">
                  <c:v>0.12866817155756208</c:v>
                </c:pt>
                <c:pt idx="56">
                  <c:v>0.1337719298245614</c:v>
                </c:pt>
                <c:pt idx="57">
                  <c:v>0.13304721030042918</c:v>
                </c:pt>
                <c:pt idx="58">
                  <c:v>0.13025210084033614</c:v>
                </c:pt>
                <c:pt idx="59">
                  <c:v>0.13043478260869565</c:v>
                </c:pt>
                <c:pt idx="60">
                  <c:v>0.13333333333333333</c:v>
                </c:pt>
                <c:pt idx="61">
                  <c:v>0.13095238095238096</c:v>
                </c:pt>
                <c:pt idx="62">
                  <c:v>0.130859375</c:v>
                </c:pt>
                <c:pt idx="63">
                  <c:v>0.12984496124031009</c:v>
                </c:pt>
                <c:pt idx="64">
                  <c:v>0.13026819923371646</c:v>
                </c:pt>
                <c:pt idx="65">
                  <c:v>0.128060263653484</c:v>
                </c:pt>
                <c:pt idx="66">
                  <c:v>0.1266294227188082</c:v>
                </c:pt>
                <c:pt idx="67">
                  <c:v>0.12477064220183487</c:v>
                </c:pt>
                <c:pt idx="68">
                  <c:v>0.125</c:v>
                </c:pt>
                <c:pt idx="69">
                  <c:v>0.12701252236135957</c:v>
                </c:pt>
                <c:pt idx="70">
                  <c:v>0.12588652482269502</c:v>
                </c:pt>
                <c:pt idx="71">
                  <c:v>0.12784588441330999</c:v>
                </c:pt>
                <c:pt idx="72">
                  <c:v>0.12780656303972365</c:v>
                </c:pt>
                <c:pt idx="73">
                  <c:v>0.12820512820512819</c:v>
                </c:pt>
                <c:pt idx="74">
                  <c:v>0.12816188870151771</c:v>
                </c:pt>
                <c:pt idx="75">
                  <c:v>0.13</c:v>
                </c:pt>
                <c:pt idx="76">
                  <c:v>0.132013201320132</c:v>
                </c:pt>
                <c:pt idx="77">
                  <c:v>0.13452188006482982</c:v>
                </c:pt>
                <c:pt idx="78">
                  <c:v>0.13643659711075443</c:v>
                </c:pt>
                <c:pt idx="79">
                  <c:v>0.13880126182965299</c:v>
                </c:pt>
                <c:pt idx="80">
                  <c:v>0.13771517996870108</c:v>
                </c:pt>
                <c:pt idx="81">
                  <c:v>0.13777089783281735</c:v>
                </c:pt>
                <c:pt idx="82">
                  <c:v>0.13608562691131498</c:v>
                </c:pt>
                <c:pt idx="83">
                  <c:v>0.13615733736762481</c:v>
                </c:pt>
                <c:pt idx="84">
                  <c:v>0.13493253373313344</c:v>
                </c:pt>
                <c:pt idx="85">
                  <c:v>0.13649851632047477</c:v>
                </c:pt>
                <c:pt idx="86">
                  <c:v>0.13469985358711567</c:v>
                </c:pt>
                <c:pt idx="87">
                  <c:v>0.13333333333333333</c:v>
                </c:pt>
                <c:pt idx="88">
                  <c:v>0.1337126600284495</c:v>
                </c:pt>
                <c:pt idx="89">
                  <c:v>0.13547486033519554</c:v>
                </c:pt>
                <c:pt idx="90">
                  <c:v>0.13434903047091412</c:v>
                </c:pt>
                <c:pt idx="91">
                  <c:v>0.13461538461538461</c:v>
                </c:pt>
                <c:pt idx="92">
                  <c:v>0.13469387755102041</c:v>
                </c:pt>
                <c:pt idx="93">
                  <c:v>0.13458950201884254</c:v>
                </c:pt>
                <c:pt idx="94">
                  <c:v>0.13448735019973368</c:v>
                </c:pt>
                <c:pt idx="95">
                  <c:v>0.13395225464190982</c:v>
                </c:pt>
                <c:pt idx="96">
                  <c:v>0.13403416557161629</c:v>
                </c:pt>
                <c:pt idx="97">
                  <c:v>0.13618677042801555</c:v>
                </c:pt>
                <c:pt idx="98">
                  <c:v>0.13444302176696543</c:v>
                </c:pt>
                <c:pt idx="99">
                  <c:v>0.13636363636363635</c:v>
                </c:pt>
                <c:pt idx="100">
                  <c:v>0.13732833957553059</c:v>
                </c:pt>
                <c:pt idx="101">
                  <c:v>0.13580246913580246</c:v>
                </c:pt>
                <c:pt idx="102">
                  <c:v>0.13586291309669524</c:v>
                </c:pt>
                <c:pt idx="103">
                  <c:v>0.13751507840772015</c:v>
                </c:pt>
                <c:pt idx="104">
                  <c:v>0.13755980861244019</c:v>
                </c:pt>
                <c:pt idx="105">
                  <c:v>0.13593380614657211</c:v>
                </c:pt>
                <c:pt idx="106">
                  <c:v>0.13513513513513514</c:v>
                </c:pt>
                <c:pt idx="107">
                  <c:v>0.1351981351981352</c:v>
                </c:pt>
                <c:pt idx="108">
                  <c:v>0.1347926267281106</c:v>
                </c:pt>
                <c:pt idx="109">
                  <c:v>0.13485714285714287</c:v>
                </c:pt>
                <c:pt idx="110">
                  <c:v>0.1362088535754824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534789233113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まっつん2!$A$3:$A$113</c:f>
              <c:numCache>
                <c:formatCode>0\ "回"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まっつん2!$I$3:$I$113</c:f>
              <c:numCache>
                <c:formatCode>0</c:formatCode>
                <c:ptCount val="111"/>
                <c:pt idx="1">
                  <c:v>8950</c:v>
                </c:pt>
                <c:pt idx="2">
                  <c:v>8950</c:v>
                </c:pt>
                <c:pt idx="3">
                  <c:v>8937.5</c:v>
                </c:pt>
                <c:pt idx="4">
                  <c:v>8937.5</c:v>
                </c:pt>
                <c:pt idx="5">
                  <c:v>8933.3333333333339</c:v>
                </c:pt>
                <c:pt idx="6">
                  <c:v>8868.75</c:v>
                </c:pt>
                <c:pt idx="7">
                  <c:v>8868.75</c:v>
                </c:pt>
                <c:pt idx="8">
                  <c:v>8544.4444444444453</c:v>
                </c:pt>
                <c:pt idx="9">
                  <c:v>8410.5263157894733</c:v>
                </c:pt>
                <c:pt idx="10">
                  <c:v>8410.5263157894733</c:v>
                </c:pt>
                <c:pt idx="11">
                  <c:v>8156.521739130435</c:v>
                </c:pt>
                <c:pt idx="12">
                  <c:v>7884.6153846153848</c:v>
                </c:pt>
                <c:pt idx="13">
                  <c:v>7677.4193548387093</c:v>
                </c:pt>
                <c:pt idx="14">
                  <c:v>7488.8888888888887</c:v>
                </c:pt>
                <c:pt idx="15">
                  <c:v>7507.894736842105</c:v>
                </c:pt>
                <c:pt idx="16">
                  <c:v>7776.9230769230771</c:v>
                </c:pt>
                <c:pt idx="17">
                  <c:v>7554.7619047619046</c:v>
                </c:pt>
                <c:pt idx="18">
                  <c:v>7491.304347826087</c:v>
                </c:pt>
                <c:pt idx="19">
                  <c:v>7540.8163265306121</c:v>
                </c:pt>
                <c:pt idx="20">
                  <c:v>7544</c:v>
                </c:pt>
                <c:pt idx="21">
                  <c:v>7544</c:v>
                </c:pt>
                <c:pt idx="22">
                  <c:v>7658.4905660377362</c:v>
                </c:pt>
                <c:pt idx="23">
                  <c:v>7809.090909090909</c:v>
                </c:pt>
                <c:pt idx="24">
                  <c:v>7807.1428571428569</c:v>
                </c:pt>
                <c:pt idx="25">
                  <c:v>8455.1724137931033</c:v>
                </c:pt>
                <c:pt idx="26">
                  <c:v>8395</c:v>
                </c:pt>
                <c:pt idx="27">
                  <c:v>8362.2950819672133</c:v>
                </c:pt>
                <c:pt idx="28">
                  <c:v>8460.9375</c:v>
                </c:pt>
                <c:pt idx="29">
                  <c:v>8460.9375</c:v>
                </c:pt>
                <c:pt idx="30">
                  <c:v>8429.2307692307695</c:v>
                </c:pt>
                <c:pt idx="31">
                  <c:v>8295.652173913044</c:v>
                </c:pt>
                <c:pt idx="32">
                  <c:v>8494.4444444444453</c:v>
                </c:pt>
                <c:pt idx="33">
                  <c:v>8494.4444444444453</c:v>
                </c:pt>
                <c:pt idx="34">
                  <c:v>8339.1891891891901</c:v>
                </c:pt>
                <c:pt idx="35">
                  <c:v>8112.9870129870133</c:v>
                </c:pt>
                <c:pt idx="36">
                  <c:v>8108.75</c:v>
                </c:pt>
                <c:pt idx="37">
                  <c:v>8100</c:v>
                </c:pt>
                <c:pt idx="38">
                  <c:v>8111.4942528735628</c:v>
                </c:pt>
                <c:pt idx="39">
                  <c:v>8063.636363636364</c:v>
                </c:pt>
                <c:pt idx="40">
                  <c:v>8151.1111111111113</c:v>
                </c:pt>
                <c:pt idx="41">
                  <c:v>8081.7204301075271</c:v>
                </c:pt>
                <c:pt idx="42">
                  <c:v>8176.2886597938141</c:v>
                </c:pt>
                <c:pt idx="43">
                  <c:v>8213.1313131313127</c:v>
                </c:pt>
                <c:pt idx="44">
                  <c:v>8383.3333333333339</c:v>
                </c:pt>
                <c:pt idx="45">
                  <c:v>8318.2692307692305</c:v>
                </c:pt>
                <c:pt idx="46">
                  <c:v>8353.3333333333339</c:v>
                </c:pt>
                <c:pt idx="47">
                  <c:v>8305.5045871559632</c:v>
                </c:pt>
                <c:pt idx="48">
                  <c:v>8366.0714285714294</c:v>
                </c:pt>
                <c:pt idx="49">
                  <c:v>8429.8245614035095</c:v>
                </c:pt>
                <c:pt idx="50">
                  <c:v>8460.8695652173919</c:v>
                </c:pt>
                <c:pt idx="51">
                  <c:v>8543.1034482758623</c:v>
                </c:pt>
                <c:pt idx="52">
                  <c:v>8626.8907563025205</c:v>
                </c:pt>
                <c:pt idx="53">
                  <c:v>8558.1967213114749</c:v>
                </c:pt>
                <c:pt idx="54">
                  <c:v>8553.6585365853662</c:v>
                </c:pt>
                <c:pt idx="55">
                  <c:v>8650.7936507936502</c:v>
                </c:pt>
                <c:pt idx="56">
                  <c:v>8638.28125</c:v>
                </c:pt>
                <c:pt idx="57">
                  <c:v>8578.0303030303039</c:v>
                </c:pt>
                <c:pt idx="58">
                  <c:v>8562.2222222222226</c:v>
                </c:pt>
                <c:pt idx="59">
                  <c:v>8480.7142857142862</c:v>
                </c:pt>
                <c:pt idx="60">
                  <c:v>8379.720279720279</c:v>
                </c:pt>
                <c:pt idx="61">
                  <c:v>8366.8965517241377</c:v>
                </c:pt>
                <c:pt idx="62">
                  <c:v>8375.5102040816328</c:v>
                </c:pt>
                <c:pt idx="63">
                  <c:v>8461.7449664429532</c:v>
                </c:pt>
                <c:pt idx="64">
                  <c:v>8508.6092715231789</c:v>
                </c:pt>
                <c:pt idx="65">
                  <c:v>8490.78947368421</c:v>
                </c:pt>
                <c:pt idx="66">
                  <c:v>8461.4379084967313</c:v>
                </c:pt>
                <c:pt idx="67">
                  <c:v>8463.461538461539</c:v>
                </c:pt>
                <c:pt idx="68">
                  <c:v>8428.6624203821648</c:v>
                </c:pt>
                <c:pt idx="69">
                  <c:v>8400</c:v>
                </c:pt>
                <c:pt idx="70">
                  <c:v>8493.75</c:v>
                </c:pt>
                <c:pt idx="71">
                  <c:v>8490.6832298136651</c:v>
                </c:pt>
                <c:pt idx="72">
                  <c:v>8430.6748466257668</c:v>
                </c:pt>
                <c:pt idx="73">
                  <c:v>8476.8292682926822</c:v>
                </c:pt>
                <c:pt idx="74">
                  <c:v>8431.9526627218929</c:v>
                </c:pt>
                <c:pt idx="75">
                  <c:v>8415.78947368421</c:v>
                </c:pt>
                <c:pt idx="76">
                  <c:v>8409.2485549132944</c:v>
                </c:pt>
                <c:pt idx="77">
                  <c:v>8409.2485549132944</c:v>
                </c:pt>
                <c:pt idx="78">
                  <c:v>8409.2485549132944</c:v>
                </c:pt>
                <c:pt idx="79">
                  <c:v>8336.931818181818</c:v>
                </c:pt>
                <c:pt idx="80">
                  <c:v>8320.2247191011229</c:v>
                </c:pt>
                <c:pt idx="81">
                  <c:v>8359.5628415300544</c:v>
                </c:pt>
                <c:pt idx="82">
                  <c:v>8345.405405405405</c:v>
                </c:pt>
                <c:pt idx="83">
                  <c:v>8345.405405405405</c:v>
                </c:pt>
                <c:pt idx="84">
                  <c:v>8304.8128342245982</c:v>
                </c:pt>
                <c:pt idx="85">
                  <c:v>8407.4074074074069</c:v>
                </c:pt>
                <c:pt idx="86">
                  <c:v>8382.2916666666661</c:v>
                </c:pt>
                <c:pt idx="87">
                  <c:v>8352.8205128205136</c:v>
                </c:pt>
                <c:pt idx="88">
                  <c:v>8317.5879396984928</c:v>
                </c:pt>
                <c:pt idx="89">
                  <c:v>8315.8415841584156</c:v>
                </c:pt>
                <c:pt idx="90">
                  <c:v>8426.3414634146338</c:v>
                </c:pt>
                <c:pt idx="91">
                  <c:v>8408.6956521739139</c:v>
                </c:pt>
                <c:pt idx="92">
                  <c:v>8431.9047619047615</c:v>
                </c:pt>
                <c:pt idx="93">
                  <c:v>8365.1162790697672</c:v>
                </c:pt>
                <c:pt idx="94">
                  <c:v>8335.9447004608301</c:v>
                </c:pt>
                <c:pt idx="95">
                  <c:v>8407.798165137614</c:v>
                </c:pt>
                <c:pt idx="96">
                  <c:v>8432.1266968325799</c:v>
                </c:pt>
                <c:pt idx="97">
                  <c:v>8403.6036036036039</c:v>
                </c:pt>
                <c:pt idx="98">
                  <c:v>8381.858407079646</c:v>
                </c:pt>
                <c:pt idx="99">
                  <c:v>8326.3157894736851</c:v>
                </c:pt>
                <c:pt idx="100">
                  <c:v>8340.8695652173919</c:v>
                </c:pt>
                <c:pt idx="101">
                  <c:v>8434.6153846153848</c:v>
                </c:pt>
                <c:pt idx="102">
                  <c:v>8447.8813559322025</c:v>
                </c:pt>
                <c:pt idx="103">
                  <c:v>8495</c:v>
                </c:pt>
                <c:pt idx="104">
                  <c:v>8576.7346938775518</c:v>
                </c:pt>
                <c:pt idx="105">
                  <c:v>8552.4390243902435</c:v>
                </c:pt>
                <c:pt idx="106">
                  <c:v>8550.2024291497983</c:v>
                </c:pt>
                <c:pt idx="107">
                  <c:v>8514.3426294820711</c:v>
                </c:pt>
                <c:pt idx="108">
                  <c:v>8511.5079365079364</c:v>
                </c:pt>
                <c:pt idx="109">
                  <c:v>8554.1176470588234</c:v>
                </c:pt>
                <c:pt idx="110">
                  <c:v>8537.7431906614784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52.9546758462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まっつん2!$A$3:$A$113</c:f>
              <c:numCache>
                <c:formatCode>0\ "回"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まっつん2!$J$3:$J$113</c:f>
              <c:numCache>
                <c:formatCode>0</c:formatCode>
                <c:ptCount val="111"/>
                <c:pt idx="1">
                  <c:v>0</c:v>
                </c:pt>
                <c:pt idx="2">
                  <c:v>-12000</c:v>
                </c:pt>
                <c:pt idx="3">
                  <c:v>-10000</c:v>
                </c:pt>
                <c:pt idx="4">
                  <c:v>-7900</c:v>
                </c:pt>
                <c:pt idx="5">
                  <c:v>-7920</c:v>
                </c:pt>
                <c:pt idx="6">
                  <c:v>-6816.666666666667</c:v>
                </c:pt>
                <c:pt idx="7">
                  <c:v>-6671.4285714285716</c:v>
                </c:pt>
                <c:pt idx="8">
                  <c:v>-6370</c:v>
                </c:pt>
                <c:pt idx="9">
                  <c:v>-7430.7692307692305</c:v>
                </c:pt>
                <c:pt idx="10">
                  <c:v>-7960</c:v>
                </c:pt>
                <c:pt idx="11">
                  <c:v>-7960</c:v>
                </c:pt>
                <c:pt idx="12">
                  <c:v>-7960</c:v>
                </c:pt>
                <c:pt idx="13">
                  <c:v>-7960</c:v>
                </c:pt>
                <c:pt idx="14">
                  <c:v>-7960</c:v>
                </c:pt>
                <c:pt idx="15">
                  <c:v>-7643.75</c:v>
                </c:pt>
                <c:pt idx="16">
                  <c:v>-7647.0588235294117</c:v>
                </c:pt>
                <c:pt idx="17">
                  <c:v>-7383.333333333333</c:v>
                </c:pt>
                <c:pt idx="18">
                  <c:v>-7331.818181818182</c:v>
                </c:pt>
                <c:pt idx="19">
                  <c:v>-7095.833333333333</c:v>
                </c:pt>
                <c:pt idx="20">
                  <c:v>-7292</c:v>
                </c:pt>
                <c:pt idx="21">
                  <c:v>-6960.7142857142853</c:v>
                </c:pt>
                <c:pt idx="22">
                  <c:v>-6960.7142857142853</c:v>
                </c:pt>
                <c:pt idx="23">
                  <c:v>-6820.6896551724139</c:v>
                </c:pt>
                <c:pt idx="24">
                  <c:v>-6946.875</c:v>
                </c:pt>
                <c:pt idx="25">
                  <c:v>-6832.3529411764703</c:v>
                </c:pt>
                <c:pt idx="26">
                  <c:v>-6711.4285714285716</c:v>
                </c:pt>
                <c:pt idx="27">
                  <c:v>-6711.4285714285716</c:v>
                </c:pt>
                <c:pt idx="28">
                  <c:v>-6711.4285714285716</c:v>
                </c:pt>
                <c:pt idx="29">
                  <c:v>-7159.4594594594591</c:v>
                </c:pt>
                <c:pt idx="30">
                  <c:v>-7159.4594594594591</c:v>
                </c:pt>
                <c:pt idx="31">
                  <c:v>-7305.1282051282051</c:v>
                </c:pt>
                <c:pt idx="32">
                  <c:v>-7305.1282051282051</c:v>
                </c:pt>
                <c:pt idx="33">
                  <c:v>-7305.1282051282051</c:v>
                </c:pt>
                <c:pt idx="34">
                  <c:v>-7187.5</c:v>
                </c:pt>
                <c:pt idx="35">
                  <c:v>-7187.5</c:v>
                </c:pt>
                <c:pt idx="36">
                  <c:v>-7207.3170731707314</c:v>
                </c:pt>
                <c:pt idx="37">
                  <c:v>-7476.7441860465115</c:v>
                </c:pt>
                <c:pt idx="38">
                  <c:v>-7408.8888888888887</c:v>
                </c:pt>
                <c:pt idx="39">
                  <c:v>-7415.217391304348</c:v>
                </c:pt>
                <c:pt idx="40">
                  <c:v>-7381.25</c:v>
                </c:pt>
                <c:pt idx="41">
                  <c:v>-7318</c:v>
                </c:pt>
                <c:pt idx="42">
                  <c:v>-7801.9607843137255</c:v>
                </c:pt>
                <c:pt idx="43">
                  <c:v>-7682.6923076923076</c:v>
                </c:pt>
                <c:pt idx="44">
                  <c:v>-7682.6923076923076</c:v>
                </c:pt>
                <c:pt idx="45">
                  <c:v>-7688.6792452830186</c:v>
                </c:pt>
                <c:pt idx="46">
                  <c:v>-7688.6792452830186</c:v>
                </c:pt>
                <c:pt idx="47">
                  <c:v>-7827.272727272727</c:v>
                </c:pt>
                <c:pt idx="48">
                  <c:v>-7827.272727272727</c:v>
                </c:pt>
                <c:pt idx="49">
                  <c:v>-7757.1428571428569</c:v>
                </c:pt>
                <c:pt idx="50">
                  <c:v>-7705.2631578947367</c:v>
                </c:pt>
                <c:pt idx="51">
                  <c:v>-7705.2631578947367</c:v>
                </c:pt>
                <c:pt idx="52">
                  <c:v>-7705.2631578947367</c:v>
                </c:pt>
                <c:pt idx="53">
                  <c:v>-7705.2631578947367</c:v>
                </c:pt>
                <c:pt idx="54">
                  <c:v>-7705.2631578947367</c:v>
                </c:pt>
                <c:pt idx="55">
                  <c:v>-7705.2631578947367</c:v>
                </c:pt>
                <c:pt idx="56">
                  <c:v>-7642.622950819672</c:v>
                </c:pt>
                <c:pt idx="57">
                  <c:v>-7777.4193548387093</c:v>
                </c:pt>
                <c:pt idx="58">
                  <c:v>-7777.4193548387093</c:v>
                </c:pt>
                <c:pt idx="59">
                  <c:v>-7695.2380952380954</c:v>
                </c:pt>
                <c:pt idx="60">
                  <c:v>-7790.909090909091</c:v>
                </c:pt>
                <c:pt idx="61">
                  <c:v>-7790.909090909091</c:v>
                </c:pt>
                <c:pt idx="62">
                  <c:v>-7943.2835820895525</c:v>
                </c:pt>
                <c:pt idx="63">
                  <c:v>-7943.2835820895525</c:v>
                </c:pt>
                <c:pt idx="64">
                  <c:v>-8179.411764705882</c:v>
                </c:pt>
                <c:pt idx="65">
                  <c:v>-8179.411764705882</c:v>
                </c:pt>
                <c:pt idx="66">
                  <c:v>-8179.411764705882</c:v>
                </c:pt>
                <c:pt idx="67">
                  <c:v>-8179.411764705882</c:v>
                </c:pt>
                <c:pt idx="68">
                  <c:v>-8321.7391304347821</c:v>
                </c:pt>
                <c:pt idx="69">
                  <c:v>-8270.422535211268</c:v>
                </c:pt>
                <c:pt idx="70">
                  <c:v>-8270.422535211268</c:v>
                </c:pt>
                <c:pt idx="71">
                  <c:v>-8079.4520547945203</c:v>
                </c:pt>
                <c:pt idx="72">
                  <c:v>-8078.3783783783783</c:v>
                </c:pt>
                <c:pt idx="73">
                  <c:v>-7997.333333333333</c:v>
                </c:pt>
                <c:pt idx="74">
                  <c:v>-7993.4210526315792</c:v>
                </c:pt>
                <c:pt idx="75">
                  <c:v>-7903.8461538461543</c:v>
                </c:pt>
                <c:pt idx="76">
                  <c:v>-7811.25</c:v>
                </c:pt>
                <c:pt idx="77">
                  <c:v>-8059.0361445783128</c:v>
                </c:pt>
                <c:pt idx="78">
                  <c:v>-7997.6470588235297</c:v>
                </c:pt>
                <c:pt idx="79">
                  <c:v>-7967.045454545455</c:v>
                </c:pt>
                <c:pt idx="80">
                  <c:v>-7967.045454545455</c:v>
                </c:pt>
                <c:pt idx="81">
                  <c:v>-7967.4157303370785</c:v>
                </c:pt>
                <c:pt idx="82">
                  <c:v>-7967.4157303370785</c:v>
                </c:pt>
                <c:pt idx="83">
                  <c:v>-7911.1111111111113</c:v>
                </c:pt>
                <c:pt idx="84">
                  <c:v>-7911.1111111111113</c:v>
                </c:pt>
                <c:pt idx="85">
                  <c:v>-7886.95652173913</c:v>
                </c:pt>
                <c:pt idx="86">
                  <c:v>-7886.95652173913</c:v>
                </c:pt>
                <c:pt idx="87">
                  <c:v>-7886.95652173913</c:v>
                </c:pt>
                <c:pt idx="88">
                  <c:v>-7886.1702127659573</c:v>
                </c:pt>
                <c:pt idx="89">
                  <c:v>-8062.8865979381444</c:v>
                </c:pt>
                <c:pt idx="90">
                  <c:v>-8062.8865979381444</c:v>
                </c:pt>
                <c:pt idx="91">
                  <c:v>-7990.8163265306121</c:v>
                </c:pt>
                <c:pt idx="92">
                  <c:v>-7936.363636363636</c:v>
                </c:pt>
                <c:pt idx="93">
                  <c:v>-7896</c:v>
                </c:pt>
                <c:pt idx="94">
                  <c:v>-7936.6336633663368</c:v>
                </c:pt>
                <c:pt idx="95">
                  <c:v>-7936.6336633663368</c:v>
                </c:pt>
                <c:pt idx="96">
                  <c:v>-7909.8039215686276</c:v>
                </c:pt>
                <c:pt idx="97">
                  <c:v>-7902.8571428571431</c:v>
                </c:pt>
                <c:pt idx="98">
                  <c:v>-7902.8571428571431</c:v>
                </c:pt>
                <c:pt idx="99">
                  <c:v>-7774.0740740740739</c:v>
                </c:pt>
                <c:pt idx="100">
                  <c:v>-7714.545454545455</c:v>
                </c:pt>
                <c:pt idx="101">
                  <c:v>-7714.545454545455</c:v>
                </c:pt>
                <c:pt idx="102">
                  <c:v>-7671.1711711711714</c:v>
                </c:pt>
                <c:pt idx="103">
                  <c:v>-7662.2807017543855</c:v>
                </c:pt>
                <c:pt idx="104">
                  <c:v>-7618.260869565217</c:v>
                </c:pt>
                <c:pt idx="105">
                  <c:v>-7618.260869565217</c:v>
                </c:pt>
                <c:pt idx="106">
                  <c:v>-7618.260869565217</c:v>
                </c:pt>
                <c:pt idx="107">
                  <c:v>-7597.4137931034484</c:v>
                </c:pt>
                <c:pt idx="108">
                  <c:v>-7554.7008547008545</c:v>
                </c:pt>
                <c:pt idx="109">
                  <c:v>-7523.7288135593217</c:v>
                </c:pt>
                <c:pt idx="110">
                  <c:v>-7435.833333333333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98.65424430641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まっつん2!$A$3:$A$113</c:f>
              <c:numCache>
                <c:formatCode>0\ "回"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まっつん2!$K$3:$K$113</c:f>
              <c:numCache>
                <c:formatCode>0.0%</c:formatCode>
                <c:ptCount val="1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</c:v>
                </c:pt>
                <c:pt idx="41">
                  <c:v>9.7560975609756101E-2</c:v>
                </c:pt>
                <c:pt idx="42">
                  <c:v>9.5238095238095233E-2</c:v>
                </c:pt>
                <c:pt idx="43">
                  <c:v>9.3023255813953487E-2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7.8125E-2</c:v>
                </c:pt>
                <c:pt idx="65">
                  <c:v>7.6923076923076927E-2</c:v>
                </c:pt>
                <c:pt idx="66">
                  <c:v>7.575757575757576E-2</c:v>
                </c:pt>
                <c:pt idx="67">
                  <c:v>7.4626865671641784E-2</c:v>
                </c:pt>
                <c:pt idx="68">
                  <c:v>7.3529411764705885E-2</c:v>
                </c:pt>
                <c:pt idx="69">
                  <c:v>7.2463768115942032E-2</c:v>
                </c:pt>
                <c:pt idx="70">
                  <c:v>7.1428571428571425E-2</c:v>
                </c:pt>
                <c:pt idx="71">
                  <c:v>7.0422535211267609E-2</c:v>
                </c:pt>
                <c:pt idx="72">
                  <c:v>6.9444444444444448E-2</c:v>
                </c:pt>
                <c:pt idx="73">
                  <c:v>6.8493150684931503E-2</c:v>
                </c:pt>
                <c:pt idx="74">
                  <c:v>6.7567567567567571E-2</c:v>
                </c:pt>
                <c:pt idx="75">
                  <c:v>6.6666666666666666E-2</c:v>
                </c:pt>
                <c:pt idx="76">
                  <c:v>6.5789473684210523E-2</c:v>
                </c:pt>
                <c:pt idx="77">
                  <c:v>7.792207792207792E-2</c:v>
                </c:pt>
                <c:pt idx="78">
                  <c:v>8.9743589743589744E-2</c:v>
                </c:pt>
                <c:pt idx="79">
                  <c:v>8.8607594936708861E-2</c:v>
                </c:pt>
                <c:pt idx="80">
                  <c:v>8.7499999999999994E-2</c:v>
                </c:pt>
                <c:pt idx="81">
                  <c:v>8.6419753086419748E-2</c:v>
                </c:pt>
                <c:pt idx="82">
                  <c:v>8.5365853658536592E-2</c:v>
                </c:pt>
                <c:pt idx="83">
                  <c:v>8.4337349397590355E-2</c:v>
                </c:pt>
                <c:pt idx="84">
                  <c:v>8.3333333333333329E-2</c:v>
                </c:pt>
                <c:pt idx="85">
                  <c:v>8.2352941176470587E-2</c:v>
                </c:pt>
                <c:pt idx="86">
                  <c:v>8.1395348837209308E-2</c:v>
                </c:pt>
                <c:pt idx="87">
                  <c:v>8.0459770114942528E-2</c:v>
                </c:pt>
                <c:pt idx="88">
                  <c:v>7.9545454545454544E-2</c:v>
                </c:pt>
                <c:pt idx="89">
                  <c:v>8.98876404494382E-2</c:v>
                </c:pt>
                <c:pt idx="90">
                  <c:v>8.8888888888888892E-2</c:v>
                </c:pt>
                <c:pt idx="91">
                  <c:v>8.7912087912087919E-2</c:v>
                </c:pt>
                <c:pt idx="92">
                  <c:v>8.6956521739130432E-2</c:v>
                </c:pt>
                <c:pt idx="93">
                  <c:v>8.6021505376344093E-2</c:v>
                </c:pt>
                <c:pt idx="94">
                  <c:v>8.5106382978723402E-2</c:v>
                </c:pt>
                <c:pt idx="95">
                  <c:v>8.4210526315789472E-2</c:v>
                </c:pt>
                <c:pt idx="96">
                  <c:v>8.3333333333333329E-2</c:v>
                </c:pt>
                <c:pt idx="97">
                  <c:v>8.247422680412371E-2</c:v>
                </c:pt>
                <c:pt idx="98">
                  <c:v>8.1632653061224483E-2</c:v>
                </c:pt>
                <c:pt idx="99">
                  <c:v>8.0808080808080815E-2</c:v>
                </c:pt>
                <c:pt idx="100">
                  <c:v>0.08</c:v>
                </c:pt>
                <c:pt idx="101">
                  <c:v>7.9207920792079209E-2</c:v>
                </c:pt>
                <c:pt idx="102">
                  <c:v>7.8431372549019607E-2</c:v>
                </c:pt>
                <c:pt idx="103">
                  <c:v>7.7669902912621352E-2</c:v>
                </c:pt>
                <c:pt idx="104">
                  <c:v>7.6923076923076927E-2</c:v>
                </c:pt>
                <c:pt idx="105">
                  <c:v>7.6190476190476197E-2</c:v>
                </c:pt>
                <c:pt idx="106">
                  <c:v>7.5471698113207544E-2</c:v>
                </c:pt>
                <c:pt idx="107">
                  <c:v>7.476635514018691E-2</c:v>
                </c:pt>
                <c:pt idx="108">
                  <c:v>7.407407407407407E-2</c:v>
                </c:pt>
                <c:pt idx="109">
                  <c:v>7.3394495412844041E-2</c:v>
                </c:pt>
                <c:pt idx="110">
                  <c:v>7.2727272727272724E-2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8452883263009841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まっつん2!$A$3:$A$113</c:f>
              <c:numCache>
                <c:formatCode>0\ "回"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まっつん2!$L$3:$L$113</c:f>
              <c:numCache>
                <c:formatCode>0.0%</c:formatCode>
                <c:ptCount val="111"/>
                <c:pt idx="1">
                  <c:v>9.0909090909090912E-2</c:v>
                </c:pt>
                <c:pt idx="2">
                  <c:v>9.0909090909090912E-2</c:v>
                </c:pt>
                <c:pt idx="3">
                  <c:v>0.12121212121212122</c:v>
                </c:pt>
                <c:pt idx="4">
                  <c:v>0.10256410256410256</c:v>
                </c:pt>
                <c:pt idx="5">
                  <c:v>0.12</c:v>
                </c:pt>
                <c:pt idx="6">
                  <c:v>0.17241379310344829</c:v>
                </c:pt>
                <c:pt idx="7">
                  <c:v>0.171875</c:v>
                </c:pt>
                <c:pt idx="8">
                  <c:v>0.17808219178082191</c:v>
                </c:pt>
                <c:pt idx="9">
                  <c:v>0.16666666666666666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0.17699115044247787</c:v>
                </c:pt>
                <c:pt idx="13">
                  <c:v>0.2032520325203252</c:v>
                </c:pt>
                <c:pt idx="14">
                  <c:v>0.21374045801526717</c:v>
                </c:pt>
                <c:pt idx="15">
                  <c:v>0.22302158273381295</c:v>
                </c:pt>
                <c:pt idx="16">
                  <c:v>0.2413793103448276</c:v>
                </c:pt>
                <c:pt idx="17">
                  <c:v>0.25</c:v>
                </c:pt>
                <c:pt idx="18">
                  <c:v>0.25</c:v>
                </c:pt>
                <c:pt idx="19">
                  <c:v>0.25568181818181818</c:v>
                </c:pt>
                <c:pt idx="20">
                  <c:v>0.26229508196721313</c:v>
                </c:pt>
                <c:pt idx="21">
                  <c:v>0.25654450261780104</c:v>
                </c:pt>
                <c:pt idx="22">
                  <c:v>0.26262626262626265</c:v>
                </c:pt>
                <c:pt idx="23">
                  <c:v>0.26829268292682928</c:v>
                </c:pt>
                <c:pt idx="24">
                  <c:v>0.25821596244131456</c:v>
                </c:pt>
                <c:pt idx="25">
                  <c:v>0.25339366515837103</c:v>
                </c:pt>
                <c:pt idx="26">
                  <c:v>0.25438596491228072</c:v>
                </c:pt>
                <c:pt idx="27">
                  <c:v>0.25108225108225107</c:v>
                </c:pt>
                <c:pt idx="28">
                  <c:v>0.26050420168067229</c:v>
                </c:pt>
                <c:pt idx="29">
                  <c:v>0.25925925925925924</c:v>
                </c:pt>
                <c:pt idx="30">
                  <c:v>0.25506072874493929</c:v>
                </c:pt>
                <c:pt idx="31">
                  <c:v>0.25193798449612403</c:v>
                </c:pt>
                <c:pt idx="32">
                  <c:v>0.2509505703422053</c:v>
                </c:pt>
                <c:pt idx="33">
                  <c:v>0.24723247232472326</c:v>
                </c:pt>
                <c:pt idx="34">
                  <c:v>0.24100719424460432</c:v>
                </c:pt>
                <c:pt idx="35">
                  <c:v>0.23426573426573427</c:v>
                </c:pt>
                <c:pt idx="36">
                  <c:v>0.2363013698630137</c:v>
                </c:pt>
                <c:pt idx="37">
                  <c:v>0.24092409240924093</c:v>
                </c:pt>
                <c:pt idx="38">
                  <c:v>0.24600638977635783</c:v>
                </c:pt>
                <c:pt idx="39">
                  <c:v>0.24374999999999999</c:v>
                </c:pt>
                <c:pt idx="40">
                  <c:v>0.24464831804281345</c:v>
                </c:pt>
                <c:pt idx="41">
                  <c:v>0.24850299401197604</c:v>
                </c:pt>
                <c:pt idx="42">
                  <c:v>0.25072886297376096</c:v>
                </c:pt>
                <c:pt idx="43">
                  <c:v>0.25714285714285712</c:v>
                </c:pt>
                <c:pt idx="44">
                  <c:v>0.26197183098591548</c:v>
                </c:pt>
                <c:pt idx="45">
                  <c:v>0.25683060109289618</c:v>
                </c:pt>
                <c:pt idx="46">
                  <c:v>0.25336927223719674</c:v>
                </c:pt>
                <c:pt idx="47">
                  <c:v>0.25129533678756477</c:v>
                </c:pt>
                <c:pt idx="48">
                  <c:v>0.25190839694656486</c:v>
                </c:pt>
                <c:pt idx="49">
                  <c:v>0.2525</c:v>
                </c:pt>
                <c:pt idx="50">
                  <c:v>0.25245098039215685</c:v>
                </c:pt>
                <c:pt idx="51">
                  <c:v>0.25358851674641147</c:v>
                </c:pt>
                <c:pt idx="52">
                  <c:v>0.2541176470588235</c:v>
                </c:pt>
                <c:pt idx="53">
                  <c:v>0.25635103926096997</c:v>
                </c:pt>
                <c:pt idx="54">
                  <c:v>0.25740318906605925</c:v>
                </c:pt>
                <c:pt idx="55">
                  <c:v>0.25733634311512416</c:v>
                </c:pt>
                <c:pt idx="56">
                  <c:v>0.26096491228070173</c:v>
                </c:pt>
                <c:pt idx="57">
                  <c:v>0.25751072961373389</c:v>
                </c:pt>
                <c:pt idx="58">
                  <c:v>0.25420168067226889</c:v>
                </c:pt>
                <c:pt idx="59">
                  <c:v>0.25465838509316768</c:v>
                </c:pt>
                <c:pt idx="60">
                  <c:v>0.25454545454545452</c:v>
                </c:pt>
                <c:pt idx="61">
                  <c:v>0.25595238095238093</c:v>
                </c:pt>
                <c:pt idx="62">
                  <c:v>0.255859375</c:v>
                </c:pt>
                <c:pt idx="63">
                  <c:v>0.2558139534883721</c:v>
                </c:pt>
                <c:pt idx="64">
                  <c:v>0.25478927203065133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0.25504587155963304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0.25354609929078015</c:v>
                </c:pt>
                <c:pt idx="71">
                  <c:v>0.25043782837127848</c:v>
                </c:pt>
                <c:pt idx="72">
                  <c:v>0.25043177892918828</c:v>
                </c:pt>
                <c:pt idx="73">
                  <c:v>0.24957264957264957</c:v>
                </c:pt>
                <c:pt idx="74">
                  <c:v>0.25126475548060706</c:v>
                </c:pt>
                <c:pt idx="75">
                  <c:v>0.25666666666666665</c:v>
                </c:pt>
                <c:pt idx="76">
                  <c:v>0.25577557755775576</c:v>
                </c:pt>
                <c:pt idx="77">
                  <c:v>0.25283630470016205</c:v>
                </c:pt>
                <c:pt idx="78">
                  <c:v>0.2504012841091493</c:v>
                </c:pt>
                <c:pt idx="79">
                  <c:v>0.25078864353312302</c:v>
                </c:pt>
                <c:pt idx="80">
                  <c:v>0.25039123630672927</c:v>
                </c:pt>
                <c:pt idx="81">
                  <c:v>0.25386996904024767</c:v>
                </c:pt>
                <c:pt idx="82">
                  <c:v>0.25229357798165136</c:v>
                </c:pt>
                <c:pt idx="83">
                  <c:v>0.25264750378214829</c:v>
                </c:pt>
                <c:pt idx="84">
                  <c:v>0.25337331334332835</c:v>
                </c:pt>
                <c:pt idx="85">
                  <c:v>0.25370919881305637</c:v>
                </c:pt>
                <c:pt idx="86">
                  <c:v>0.25768667642752563</c:v>
                </c:pt>
                <c:pt idx="87">
                  <c:v>0.2608695652173913</c:v>
                </c:pt>
                <c:pt idx="88">
                  <c:v>0.26315789473684209</c:v>
                </c:pt>
                <c:pt idx="89">
                  <c:v>0.26396648044692739</c:v>
                </c:pt>
                <c:pt idx="90">
                  <c:v>0.26592797783933519</c:v>
                </c:pt>
                <c:pt idx="91">
                  <c:v>0.26648351648351648</c:v>
                </c:pt>
                <c:pt idx="92">
                  <c:v>0.26666666666666666</c:v>
                </c:pt>
                <c:pt idx="93">
                  <c:v>0.27052489905787347</c:v>
                </c:pt>
                <c:pt idx="94">
                  <c:v>0.27030625832223704</c:v>
                </c:pt>
                <c:pt idx="95">
                  <c:v>0.27055702917771884</c:v>
                </c:pt>
                <c:pt idx="96">
                  <c:v>0.26938239159001315</c:v>
                </c:pt>
                <c:pt idx="97">
                  <c:v>0.26848249027237353</c:v>
                </c:pt>
                <c:pt idx="98">
                  <c:v>0.26632522407170295</c:v>
                </c:pt>
                <c:pt idx="99">
                  <c:v>0.26767676767676768</c:v>
                </c:pt>
                <c:pt idx="100">
                  <c:v>0.26716604244694131</c:v>
                </c:pt>
                <c:pt idx="101">
                  <c:v>0.26790123456790121</c:v>
                </c:pt>
                <c:pt idx="102">
                  <c:v>0.27050183598531213</c:v>
                </c:pt>
                <c:pt idx="103">
                  <c:v>0.27020506634499397</c:v>
                </c:pt>
                <c:pt idx="104">
                  <c:v>0.27272727272727271</c:v>
                </c:pt>
                <c:pt idx="105">
                  <c:v>0.27304964539007093</c:v>
                </c:pt>
                <c:pt idx="106">
                  <c:v>0.27379553466509987</c:v>
                </c:pt>
                <c:pt idx="107">
                  <c:v>0.27272727272727271</c:v>
                </c:pt>
                <c:pt idx="108">
                  <c:v>0.27073732718894011</c:v>
                </c:pt>
                <c:pt idx="109">
                  <c:v>0.27085714285714285</c:v>
                </c:pt>
                <c:pt idx="110">
                  <c:v>0.26901248581157777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3089554765532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まっつん2!$A$3:$A$113</c:f>
              <c:numCache>
                <c:formatCode>0\ "回"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まっつん2!$M$3:$M$113</c:f>
              <c:numCache>
                <c:formatCode>0.0%</c:formatCode>
                <c:ptCount val="111"/>
                <c:pt idx="1">
                  <c:v>0.27272727272727271</c:v>
                </c:pt>
                <c:pt idx="2">
                  <c:v>0.18181818181818182</c:v>
                </c:pt>
                <c:pt idx="3">
                  <c:v>0.15151515151515152</c:v>
                </c:pt>
                <c:pt idx="4">
                  <c:v>0.17948717948717949</c:v>
                </c:pt>
                <c:pt idx="5">
                  <c:v>0.16</c:v>
                </c:pt>
                <c:pt idx="6">
                  <c:v>0.17241379310344829</c:v>
                </c:pt>
                <c:pt idx="7">
                  <c:v>0.15625</c:v>
                </c:pt>
                <c:pt idx="8">
                  <c:v>0.17808219178082191</c:v>
                </c:pt>
                <c:pt idx="9">
                  <c:v>0.17857142857142858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0.23008849557522124</c:v>
                </c:pt>
                <c:pt idx="13">
                  <c:v>0.22764227642276422</c:v>
                </c:pt>
                <c:pt idx="14">
                  <c:v>0.23664122137404581</c:v>
                </c:pt>
                <c:pt idx="15">
                  <c:v>0.2446043165467626</c:v>
                </c:pt>
                <c:pt idx="16">
                  <c:v>0.2413793103448276</c:v>
                </c:pt>
                <c:pt idx="17">
                  <c:v>0.24342105263157895</c:v>
                </c:pt>
                <c:pt idx="18">
                  <c:v>0.25</c:v>
                </c:pt>
                <c:pt idx="19">
                  <c:v>0.26136363636363635</c:v>
                </c:pt>
                <c:pt idx="20">
                  <c:v>0.25683060109289618</c:v>
                </c:pt>
                <c:pt idx="21">
                  <c:v>0.25654450261780104</c:v>
                </c:pt>
                <c:pt idx="22">
                  <c:v>0.25757575757575757</c:v>
                </c:pt>
                <c:pt idx="23">
                  <c:v>0.25853658536585367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0.25877192982456143</c:v>
                </c:pt>
                <c:pt idx="27">
                  <c:v>0.25974025974025972</c:v>
                </c:pt>
                <c:pt idx="28">
                  <c:v>0.25630252100840334</c:v>
                </c:pt>
                <c:pt idx="29">
                  <c:v>0.25925925925925924</c:v>
                </c:pt>
                <c:pt idx="30">
                  <c:v>0.25910931174089069</c:v>
                </c:pt>
                <c:pt idx="31">
                  <c:v>0.27131782945736432</c:v>
                </c:pt>
                <c:pt idx="32">
                  <c:v>0.28136882129277568</c:v>
                </c:pt>
                <c:pt idx="33">
                  <c:v>0.28413284132841327</c:v>
                </c:pt>
                <c:pt idx="34">
                  <c:v>0.29136690647482016</c:v>
                </c:pt>
                <c:pt idx="35">
                  <c:v>0.2937062937062937</c:v>
                </c:pt>
                <c:pt idx="36">
                  <c:v>0.28767123287671231</c:v>
                </c:pt>
                <c:pt idx="37">
                  <c:v>0.28382838283828382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0.27217125382262997</c:v>
                </c:pt>
                <c:pt idx="41">
                  <c:v>0.26946107784431139</c:v>
                </c:pt>
                <c:pt idx="42">
                  <c:v>0.26822157434402333</c:v>
                </c:pt>
                <c:pt idx="43">
                  <c:v>0.26285714285714284</c:v>
                </c:pt>
                <c:pt idx="44">
                  <c:v>0.25915492957746478</c:v>
                </c:pt>
                <c:pt idx="45">
                  <c:v>0.25683060109289618</c:v>
                </c:pt>
                <c:pt idx="46">
                  <c:v>0.2587601078167116</c:v>
                </c:pt>
                <c:pt idx="47">
                  <c:v>0.25647668393782386</c:v>
                </c:pt>
                <c:pt idx="48">
                  <c:v>0.2544529262086514</c:v>
                </c:pt>
                <c:pt idx="49">
                  <c:v>0.255</c:v>
                </c:pt>
                <c:pt idx="50">
                  <c:v>0.25</c:v>
                </c:pt>
                <c:pt idx="51">
                  <c:v>0.25119617224880381</c:v>
                </c:pt>
                <c:pt idx="52">
                  <c:v>0.25176470588235295</c:v>
                </c:pt>
                <c:pt idx="53">
                  <c:v>0.24942263279445728</c:v>
                </c:pt>
                <c:pt idx="54">
                  <c:v>0.24601366742596811</c:v>
                </c:pt>
                <c:pt idx="55">
                  <c:v>0.24830699774266365</c:v>
                </c:pt>
                <c:pt idx="56">
                  <c:v>0.24561403508771928</c:v>
                </c:pt>
                <c:pt idx="57">
                  <c:v>0.24678111587982832</c:v>
                </c:pt>
                <c:pt idx="58">
                  <c:v>0.24789915966386555</c:v>
                </c:pt>
                <c:pt idx="59">
                  <c:v>0.2484472049689441</c:v>
                </c:pt>
                <c:pt idx="60">
                  <c:v>0.25050505050505051</c:v>
                </c:pt>
                <c:pt idx="61">
                  <c:v>0.25198412698412698</c:v>
                </c:pt>
                <c:pt idx="62">
                  <c:v>0.251953125</c:v>
                </c:pt>
                <c:pt idx="63">
                  <c:v>0.25193798449612403</c:v>
                </c:pt>
                <c:pt idx="64">
                  <c:v>0.25287356321839083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0.25321100917431194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0.25177304964539005</c:v>
                </c:pt>
                <c:pt idx="71">
                  <c:v>0.24868651488616461</c:v>
                </c:pt>
                <c:pt idx="72">
                  <c:v>0.24525043177892919</c:v>
                </c:pt>
                <c:pt idx="73">
                  <c:v>0.24615384615384617</c:v>
                </c:pt>
                <c:pt idx="74">
                  <c:v>0.24283305227655985</c:v>
                </c:pt>
                <c:pt idx="75">
                  <c:v>0.24166666666666667</c:v>
                </c:pt>
                <c:pt idx="76">
                  <c:v>0.24092409240924093</c:v>
                </c:pt>
                <c:pt idx="77">
                  <c:v>0.23824959481361427</c:v>
                </c:pt>
                <c:pt idx="78">
                  <c:v>0.23595505617977527</c:v>
                </c:pt>
                <c:pt idx="79">
                  <c:v>0.23501577287066247</c:v>
                </c:pt>
                <c:pt idx="80">
                  <c:v>0.23630672926447574</c:v>
                </c:pt>
                <c:pt idx="81">
                  <c:v>0.23529411764705882</c:v>
                </c:pt>
                <c:pt idx="82">
                  <c:v>0.23547400611620795</c:v>
                </c:pt>
                <c:pt idx="83">
                  <c:v>0.2329803328290469</c:v>
                </c:pt>
                <c:pt idx="84">
                  <c:v>0.23088455772113944</c:v>
                </c:pt>
                <c:pt idx="85">
                  <c:v>0.2314540059347181</c:v>
                </c:pt>
                <c:pt idx="86">
                  <c:v>0.22986822840409957</c:v>
                </c:pt>
                <c:pt idx="87">
                  <c:v>0.22898550724637681</c:v>
                </c:pt>
                <c:pt idx="88">
                  <c:v>0.22759601706970128</c:v>
                </c:pt>
                <c:pt idx="89">
                  <c:v>0.22346368715083798</c:v>
                </c:pt>
                <c:pt idx="90">
                  <c:v>0.22160664819944598</c:v>
                </c:pt>
                <c:pt idx="91">
                  <c:v>0.22115384615384615</c:v>
                </c:pt>
                <c:pt idx="92">
                  <c:v>0.22040816326530613</c:v>
                </c:pt>
                <c:pt idx="93">
                  <c:v>0.21938088829071331</c:v>
                </c:pt>
                <c:pt idx="94">
                  <c:v>0.21970705725699069</c:v>
                </c:pt>
                <c:pt idx="95">
                  <c:v>0.21883289124668434</c:v>
                </c:pt>
                <c:pt idx="96">
                  <c:v>0.21944809461235218</c:v>
                </c:pt>
                <c:pt idx="97">
                  <c:v>0.21789883268482491</c:v>
                </c:pt>
                <c:pt idx="98">
                  <c:v>0.22023047375160051</c:v>
                </c:pt>
                <c:pt idx="99">
                  <c:v>0.2196969696969697</c:v>
                </c:pt>
                <c:pt idx="100">
                  <c:v>0.22097378277153559</c:v>
                </c:pt>
                <c:pt idx="101">
                  <c:v>0.21975308641975308</c:v>
                </c:pt>
                <c:pt idx="102">
                  <c:v>0.21787025703794369</c:v>
                </c:pt>
                <c:pt idx="103">
                  <c:v>0.21833534378769601</c:v>
                </c:pt>
                <c:pt idx="104">
                  <c:v>0.21770334928229665</c:v>
                </c:pt>
                <c:pt idx="105">
                  <c:v>0.21631205673758866</c:v>
                </c:pt>
                <c:pt idx="106">
                  <c:v>0.21504112808460635</c:v>
                </c:pt>
                <c:pt idx="107">
                  <c:v>0.21678321678321677</c:v>
                </c:pt>
                <c:pt idx="108">
                  <c:v>0.21658986175115208</c:v>
                </c:pt>
                <c:pt idx="109">
                  <c:v>0.216</c:v>
                </c:pt>
                <c:pt idx="110">
                  <c:v>0.21793416572077184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8542407313357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まっつん2!$A$3:$A$113</c:f>
              <c:numCache>
                <c:formatCode>0\ "回"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まっつん2!$N$3:$N$113</c:f>
              <c:numCache>
                <c:formatCode>0.0%</c:formatCode>
                <c:ptCount val="111"/>
                <c:pt idx="1">
                  <c:v>1</c:v>
                </c:pt>
                <c:pt idx="2">
                  <c:v>0.5</c:v>
                </c:pt>
                <c:pt idx="3">
                  <c:v>0.75</c:v>
                </c:pt>
                <c:pt idx="4">
                  <c:v>0.75</c:v>
                </c:pt>
                <c:pt idx="5">
                  <c:v>0.83333333333333337</c:v>
                </c:pt>
                <c:pt idx="6">
                  <c:v>0.7</c:v>
                </c:pt>
                <c:pt idx="7">
                  <c:v>0.63636363636363635</c:v>
                </c:pt>
                <c:pt idx="8">
                  <c:v>0.61538461538461542</c:v>
                </c:pt>
                <c:pt idx="9">
                  <c:v>0.6428571428571429</c:v>
                </c:pt>
                <c:pt idx="10">
                  <c:v>0.6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0.56000000000000005</c:v>
                </c:pt>
                <c:pt idx="14">
                  <c:v>0.5714285714285714</c:v>
                </c:pt>
                <c:pt idx="15">
                  <c:v>0.5161290322580645</c:v>
                </c:pt>
                <c:pt idx="16">
                  <c:v>0.45714285714285713</c:v>
                </c:pt>
                <c:pt idx="17">
                  <c:v>0.47368421052631576</c:v>
                </c:pt>
                <c:pt idx="18">
                  <c:v>0.47619047619047616</c:v>
                </c:pt>
                <c:pt idx="19">
                  <c:v>0.48888888888888887</c:v>
                </c:pt>
                <c:pt idx="20">
                  <c:v>0.47916666666666669</c:v>
                </c:pt>
                <c:pt idx="21">
                  <c:v>0.46938775510204084</c:v>
                </c:pt>
                <c:pt idx="22">
                  <c:v>0.46153846153846156</c:v>
                </c:pt>
                <c:pt idx="23">
                  <c:v>0.45454545454545453</c:v>
                </c:pt>
                <c:pt idx="24">
                  <c:v>0.45454545454545453</c:v>
                </c:pt>
                <c:pt idx="25">
                  <c:v>0.4642857142857143</c:v>
                </c:pt>
                <c:pt idx="26">
                  <c:v>0.48275862068965519</c:v>
                </c:pt>
                <c:pt idx="27">
                  <c:v>0.48275862068965519</c:v>
                </c:pt>
                <c:pt idx="28">
                  <c:v>0.5</c:v>
                </c:pt>
                <c:pt idx="29">
                  <c:v>0.49206349206349204</c:v>
                </c:pt>
                <c:pt idx="30">
                  <c:v>0.49206349206349204</c:v>
                </c:pt>
                <c:pt idx="31">
                  <c:v>0.50769230769230766</c:v>
                </c:pt>
                <c:pt idx="32">
                  <c:v>0.51515151515151514</c:v>
                </c:pt>
                <c:pt idx="33">
                  <c:v>0.5074626865671642</c:v>
                </c:pt>
                <c:pt idx="34">
                  <c:v>0.5074626865671642</c:v>
                </c:pt>
                <c:pt idx="35">
                  <c:v>0.5074626865671642</c:v>
                </c:pt>
                <c:pt idx="36">
                  <c:v>0.52173913043478259</c:v>
                </c:pt>
                <c:pt idx="37">
                  <c:v>0.54794520547945202</c:v>
                </c:pt>
                <c:pt idx="38">
                  <c:v>0.53246753246753242</c:v>
                </c:pt>
                <c:pt idx="39">
                  <c:v>0.52564102564102566</c:v>
                </c:pt>
                <c:pt idx="40">
                  <c:v>0.53749999999999998</c:v>
                </c:pt>
                <c:pt idx="41">
                  <c:v>0.54216867469879515</c:v>
                </c:pt>
                <c:pt idx="42">
                  <c:v>0.55813953488372092</c:v>
                </c:pt>
                <c:pt idx="43">
                  <c:v>0.55555555555555558</c:v>
                </c:pt>
                <c:pt idx="44">
                  <c:v>0.56989247311827962</c:v>
                </c:pt>
                <c:pt idx="45">
                  <c:v>0.57446808510638303</c:v>
                </c:pt>
                <c:pt idx="46">
                  <c:v>0.57446808510638303</c:v>
                </c:pt>
                <c:pt idx="47">
                  <c:v>0.57731958762886593</c:v>
                </c:pt>
                <c:pt idx="48">
                  <c:v>0.58585858585858586</c:v>
                </c:pt>
                <c:pt idx="49">
                  <c:v>0.59405940594059403</c:v>
                </c:pt>
                <c:pt idx="50">
                  <c:v>0.59223300970873782</c:v>
                </c:pt>
                <c:pt idx="51">
                  <c:v>0.58490566037735847</c:v>
                </c:pt>
                <c:pt idx="52">
                  <c:v>0.59259259259259256</c:v>
                </c:pt>
                <c:pt idx="53">
                  <c:v>0.5855855855855856</c:v>
                </c:pt>
                <c:pt idx="54">
                  <c:v>0.58407079646017701</c:v>
                </c:pt>
                <c:pt idx="55">
                  <c:v>0.58771929824561409</c:v>
                </c:pt>
                <c:pt idx="56">
                  <c:v>0.5714285714285714</c:v>
                </c:pt>
                <c:pt idx="57">
                  <c:v>0.57499999999999996</c:v>
                </c:pt>
                <c:pt idx="58">
                  <c:v>0.57851239669421484</c:v>
                </c:pt>
                <c:pt idx="59">
                  <c:v>0.58536585365853655</c:v>
                </c:pt>
                <c:pt idx="60">
                  <c:v>0.57936507936507942</c:v>
                </c:pt>
                <c:pt idx="61">
                  <c:v>0.5736434108527132</c:v>
                </c:pt>
                <c:pt idx="62">
                  <c:v>0.58015267175572516</c:v>
                </c:pt>
                <c:pt idx="63">
                  <c:v>0.58333333333333337</c:v>
                </c:pt>
                <c:pt idx="64">
                  <c:v>0.5864661654135338</c:v>
                </c:pt>
                <c:pt idx="65">
                  <c:v>0.58208955223880599</c:v>
                </c:pt>
                <c:pt idx="66">
                  <c:v>0.58518518518518514</c:v>
                </c:pt>
                <c:pt idx="67">
                  <c:v>0.58273381294964033</c:v>
                </c:pt>
                <c:pt idx="68">
                  <c:v>0.57857142857142863</c:v>
                </c:pt>
                <c:pt idx="69">
                  <c:v>0.57446808510638303</c:v>
                </c:pt>
                <c:pt idx="70">
                  <c:v>0.57342657342657344</c:v>
                </c:pt>
                <c:pt idx="71">
                  <c:v>0.57342657342657344</c:v>
                </c:pt>
                <c:pt idx="72">
                  <c:v>0.57241379310344831</c:v>
                </c:pt>
                <c:pt idx="73">
                  <c:v>0.57534246575342463</c:v>
                </c:pt>
                <c:pt idx="74">
                  <c:v>0.57718120805369133</c:v>
                </c:pt>
                <c:pt idx="75">
                  <c:v>0.5714285714285714</c:v>
                </c:pt>
                <c:pt idx="76">
                  <c:v>0.5741935483870968</c:v>
                </c:pt>
                <c:pt idx="77">
                  <c:v>0.57051282051282048</c:v>
                </c:pt>
                <c:pt idx="78">
                  <c:v>0.57051282051282048</c:v>
                </c:pt>
                <c:pt idx="79">
                  <c:v>0.55974842767295596</c:v>
                </c:pt>
                <c:pt idx="80">
                  <c:v>0.5625</c:v>
                </c:pt>
                <c:pt idx="81">
                  <c:v>0.56707317073170727</c:v>
                </c:pt>
                <c:pt idx="82">
                  <c:v>0.5696969696969697</c:v>
                </c:pt>
                <c:pt idx="83">
                  <c:v>0.56287425149700598</c:v>
                </c:pt>
                <c:pt idx="84">
                  <c:v>0.56804733727810652</c:v>
                </c:pt>
                <c:pt idx="85">
                  <c:v>0.56140350877192979</c:v>
                </c:pt>
                <c:pt idx="86">
                  <c:v>0.55681818181818177</c:v>
                </c:pt>
                <c:pt idx="87">
                  <c:v>0.56111111111111112</c:v>
                </c:pt>
                <c:pt idx="88">
                  <c:v>0.56216216216216219</c:v>
                </c:pt>
                <c:pt idx="89">
                  <c:v>0.56084656084656082</c:v>
                </c:pt>
                <c:pt idx="90">
                  <c:v>0.56770833333333337</c:v>
                </c:pt>
                <c:pt idx="91">
                  <c:v>0.57216494845360821</c:v>
                </c:pt>
                <c:pt idx="92">
                  <c:v>0.57653061224489799</c:v>
                </c:pt>
                <c:pt idx="93">
                  <c:v>0.58208955223880599</c:v>
                </c:pt>
                <c:pt idx="94">
                  <c:v>0.58128078817733986</c:v>
                </c:pt>
                <c:pt idx="95">
                  <c:v>0.58333333333333337</c:v>
                </c:pt>
                <c:pt idx="96">
                  <c:v>0.58536585365853655</c:v>
                </c:pt>
                <c:pt idx="97">
                  <c:v>0.57971014492753625</c:v>
                </c:pt>
                <c:pt idx="98">
                  <c:v>0.58173076923076927</c:v>
                </c:pt>
                <c:pt idx="99">
                  <c:v>0.57075471698113212</c:v>
                </c:pt>
                <c:pt idx="100">
                  <c:v>0.57009345794392519</c:v>
                </c:pt>
                <c:pt idx="101">
                  <c:v>0.57603686635944695</c:v>
                </c:pt>
                <c:pt idx="102">
                  <c:v>0.57466063348416285</c:v>
                </c:pt>
                <c:pt idx="103">
                  <c:v>0.5758928571428571</c:v>
                </c:pt>
                <c:pt idx="104">
                  <c:v>0.58333333333333337</c:v>
                </c:pt>
                <c:pt idx="105">
                  <c:v>0.58008658008658009</c:v>
                </c:pt>
                <c:pt idx="106">
                  <c:v>0.57510729613733902</c:v>
                </c:pt>
                <c:pt idx="107">
                  <c:v>0.57692307692307687</c:v>
                </c:pt>
                <c:pt idx="108">
                  <c:v>0.5787234042553191</c:v>
                </c:pt>
                <c:pt idx="109">
                  <c:v>0.57805907172995785</c:v>
                </c:pt>
                <c:pt idx="110">
                  <c:v>0.57805907172995785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919732441471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まっつん2!$A$3:$A$113</c:f>
              <c:numCache>
                <c:formatCode>0\ "回"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まっつん2!$O$3:$O$113</c:f>
              <c:numCache>
                <c:formatCode>0.0%</c:formatCode>
                <c:ptCount val="111"/>
                <c:pt idx="1">
                  <c:v>1</c:v>
                </c:pt>
                <c:pt idx="2">
                  <c:v>0.75</c:v>
                </c:pt>
                <c:pt idx="3">
                  <c:v>0.8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</c:v>
                </c:pt>
                <c:pt idx="7">
                  <c:v>0.6</c:v>
                </c:pt>
                <c:pt idx="8">
                  <c:v>0.53846153846153844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0.45</c:v>
                </c:pt>
                <c:pt idx="12">
                  <c:v>0.46153846153846156</c:v>
                </c:pt>
                <c:pt idx="13">
                  <c:v>0.4642857142857143</c:v>
                </c:pt>
                <c:pt idx="14">
                  <c:v>0.5161290322580645</c:v>
                </c:pt>
                <c:pt idx="15">
                  <c:v>0.52941176470588236</c:v>
                </c:pt>
                <c:pt idx="16">
                  <c:v>0.54285714285714282</c:v>
                </c:pt>
                <c:pt idx="17">
                  <c:v>0.54054054054054057</c:v>
                </c:pt>
                <c:pt idx="18">
                  <c:v>0.52380952380952384</c:v>
                </c:pt>
                <c:pt idx="19">
                  <c:v>0.5</c:v>
                </c:pt>
                <c:pt idx="20">
                  <c:v>0.48936170212765956</c:v>
                </c:pt>
                <c:pt idx="21">
                  <c:v>0.46938775510204084</c:v>
                </c:pt>
                <c:pt idx="22">
                  <c:v>0.47058823529411764</c:v>
                </c:pt>
                <c:pt idx="23">
                  <c:v>0.47169811320754718</c:v>
                </c:pt>
                <c:pt idx="24">
                  <c:v>0.4642857142857143</c:v>
                </c:pt>
                <c:pt idx="25">
                  <c:v>0.44827586206896552</c:v>
                </c:pt>
                <c:pt idx="26">
                  <c:v>0.44067796610169491</c:v>
                </c:pt>
                <c:pt idx="27">
                  <c:v>0.43333333333333335</c:v>
                </c:pt>
                <c:pt idx="28">
                  <c:v>0.42622950819672129</c:v>
                </c:pt>
                <c:pt idx="29">
                  <c:v>0.41269841269841268</c:v>
                </c:pt>
                <c:pt idx="30">
                  <c:v>0.40625</c:v>
                </c:pt>
                <c:pt idx="31">
                  <c:v>0.4</c:v>
                </c:pt>
                <c:pt idx="32">
                  <c:v>0.40540540540540543</c:v>
                </c:pt>
                <c:pt idx="33">
                  <c:v>0.38961038961038963</c:v>
                </c:pt>
                <c:pt idx="34">
                  <c:v>0.39506172839506171</c:v>
                </c:pt>
                <c:pt idx="35">
                  <c:v>0.40476190476190477</c:v>
                </c:pt>
                <c:pt idx="36">
                  <c:v>0.40476190476190477</c:v>
                </c:pt>
                <c:pt idx="37">
                  <c:v>0.39534883720930231</c:v>
                </c:pt>
                <c:pt idx="38">
                  <c:v>0.39080459770114945</c:v>
                </c:pt>
                <c:pt idx="39">
                  <c:v>0.38636363636363635</c:v>
                </c:pt>
                <c:pt idx="40">
                  <c:v>0.38202247191011235</c:v>
                </c:pt>
                <c:pt idx="41">
                  <c:v>0.3888888888888889</c:v>
                </c:pt>
                <c:pt idx="42">
                  <c:v>0.39130434782608697</c:v>
                </c:pt>
                <c:pt idx="43">
                  <c:v>0.39130434782608697</c:v>
                </c:pt>
                <c:pt idx="44">
                  <c:v>0.39130434782608697</c:v>
                </c:pt>
                <c:pt idx="45">
                  <c:v>0.39361702127659576</c:v>
                </c:pt>
                <c:pt idx="46">
                  <c:v>0.38541666666666669</c:v>
                </c:pt>
                <c:pt idx="47">
                  <c:v>0.39393939393939392</c:v>
                </c:pt>
                <c:pt idx="48">
                  <c:v>0.4</c:v>
                </c:pt>
                <c:pt idx="49">
                  <c:v>0.39215686274509803</c:v>
                </c:pt>
                <c:pt idx="50">
                  <c:v>0.39215686274509803</c:v>
                </c:pt>
                <c:pt idx="51">
                  <c:v>0.38095238095238093</c:v>
                </c:pt>
                <c:pt idx="52">
                  <c:v>0.38317757009345793</c:v>
                </c:pt>
                <c:pt idx="53">
                  <c:v>0.3888888888888889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0.40869565217391307</c:v>
                </c:pt>
                <c:pt idx="58">
                  <c:v>0.4152542372881356</c:v>
                </c:pt>
                <c:pt idx="59">
                  <c:v>0.42499999999999999</c:v>
                </c:pt>
                <c:pt idx="60">
                  <c:v>0.41935483870967744</c:v>
                </c:pt>
                <c:pt idx="61">
                  <c:v>0.41732283464566927</c:v>
                </c:pt>
                <c:pt idx="62">
                  <c:v>0.41085271317829458</c:v>
                </c:pt>
                <c:pt idx="63">
                  <c:v>0.41538461538461541</c:v>
                </c:pt>
                <c:pt idx="64">
                  <c:v>0.40909090909090912</c:v>
                </c:pt>
                <c:pt idx="65">
                  <c:v>0.41044776119402987</c:v>
                </c:pt>
                <c:pt idx="66">
                  <c:v>0.40740740740740738</c:v>
                </c:pt>
                <c:pt idx="67">
                  <c:v>0.40579710144927539</c:v>
                </c:pt>
                <c:pt idx="68">
                  <c:v>0.4</c:v>
                </c:pt>
                <c:pt idx="69">
                  <c:v>0.40425531914893614</c:v>
                </c:pt>
                <c:pt idx="70">
                  <c:v>0.40845070422535212</c:v>
                </c:pt>
                <c:pt idx="71">
                  <c:v>0.40845070422535212</c:v>
                </c:pt>
                <c:pt idx="72">
                  <c:v>0.40845070422535212</c:v>
                </c:pt>
                <c:pt idx="73">
                  <c:v>0.40277777777777779</c:v>
                </c:pt>
                <c:pt idx="74">
                  <c:v>0.40277777777777779</c:v>
                </c:pt>
                <c:pt idx="75">
                  <c:v>0.4</c:v>
                </c:pt>
                <c:pt idx="76">
                  <c:v>0.4041095890410959</c:v>
                </c:pt>
                <c:pt idx="77">
                  <c:v>0.40136054421768708</c:v>
                </c:pt>
                <c:pt idx="78">
                  <c:v>0.40136054421768708</c:v>
                </c:pt>
                <c:pt idx="79">
                  <c:v>0.40268456375838924</c:v>
                </c:pt>
                <c:pt idx="80">
                  <c:v>0.40397350993377484</c:v>
                </c:pt>
                <c:pt idx="81">
                  <c:v>0.40789473684210525</c:v>
                </c:pt>
                <c:pt idx="82">
                  <c:v>0.40909090909090912</c:v>
                </c:pt>
                <c:pt idx="83">
                  <c:v>0.40909090909090912</c:v>
                </c:pt>
                <c:pt idx="84">
                  <c:v>0.40909090909090912</c:v>
                </c:pt>
                <c:pt idx="85">
                  <c:v>0.41025641025641024</c:v>
                </c:pt>
                <c:pt idx="86">
                  <c:v>0.4140127388535032</c:v>
                </c:pt>
                <c:pt idx="87">
                  <c:v>0.41139240506329117</c:v>
                </c:pt>
                <c:pt idx="88">
                  <c:v>0.41249999999999998</c:v>
                </c:pt>
                <c:pt idx="89">
                  <c:v>0.41249999999999998</c:v>
                </c:pt>
                <c:pt idx="90">
                  <c:v>0.41249999999999998</c:v>
                </c:pt>
                <c:pt idx="91">
                  <c:v>0.40993788819875776</c:v>
                </c:pt>
                <c:pt idx="92">
                  <c:v>0.41358024691358025</c:v>
                </c:pt>
                <c:pt idx="93">
                  <c:v>0.41717791411042943</c:v>
                </c:pt>
                <c:pt idx="94">
                  <c:v>0.41212121212121211</c:v>
                </c:pt>
                <c:pt idx="95">
                  <c:v>0.41212121212121211</c:v>
                </c:pt>
                <c:pt idx="96">
                  <c:v>0.41317365269461076</c:v>
                </c:pt>
                <c:pt idx="97">
                  <c:v>0.4107142857142857</c:v>
                </c:pt>
                <c:pt idx="98">
                  <c:v>0.41860465116279072</c:v>
                </c:pt>
                <c:pt idx="99">
                  <c:v>0.42528735632183906</c:v>
                </c:pt>
                <c:pt idx="100">
                  <c:v>0.42372881355932202</c:v>
                </c:pt>
                <c:pt idx="101">
                  <c:v>0.42696629213483145</c:v>
                </c:pt>
                <c:pt idx="102">
                  <c:v>0.42696629213483145</c:v>
                </c:pt>
                <c:pt idx="103">
                  <c:v>0.43093922651933703</c:v>
                </c:pt>
                <c:pt idx="104">
                  <c:v>0.43406593406593408</c:v>
                </c:pt>
                <c:pt idx="105">
                  <c:v>0.43169398907103823</c:v>
                </c:pt>
                <c:pt idx="106">
                  <c:v>0.43169398907103823</c:v>
                </c:pt>
                <c:pt idx="107">
                  <c:v>0.43548387096774194</c:v>
                </c:pt>
                <c:pt idx="108">
                  <c:v>0.43085106382978722</c:v>
                </c:pt>
                <c:pt idx="109">
                  <c:v>0.43386243386243384</c:v>
                </c:pt>
                <c:pt idx="110">
                  <c:v>0.4375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7037037037037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まっつん2!$A$3:$A$113</c:f>
              <c:numCache>
                <c:formatCode>0\ "回"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まっつん2!$P$3:$P$113</c:f>
              <c:numCache>
                <c:formatCode>0.0%</c:formatCode>
                <c:ptCount val="111"/>
                <c:pt idx="1">
                  <c:v>0.25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0.41666666666666669</c:v>
                </c:pt>
                <c:pt idx="6">
                  <c:v>0.375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0.36842105263157893</c:v>
                </c:pt>
                <c:pt idx="10">
                  <c:v>0.36842105263157893</c:v>
                </c:pt>
                <c:pt idx="11">
                  <c:v>0.43478260869565216</c:v>
                </c:pt>
                <c:pt idx="12">
                  <c:v>0.38461538461538464</c:v>
                </c:pt>
                <c:pt idx="13">
                  <c:v>0.35483870967741937</c:v>
                </c:pt>
                <c:pt idx="14">
                  <c:v>0.3888888888888889</c:v>
                </c:pt>
                <c:pt idx="15">
                  <c:v>0.36842105263157893</c:v>
                </c:pt>
                <c:pt idx="16">
                  <c:v>0.35897435897435898</c:v>
                </c:pt>
                <c:pt idx="17">
                  <c:v>0.35714285714285715</c:v>
                </c:pt>
                <c:pt idx="18">
                  <c:v>0.36956521739130432</c:v>
                </c:pt>
                <c:pt idx="19">
                  <c:v>0.38775510204081631</c:v>
                </c:pt>
                <c:pt idx="20">
                  <c:v>0.38</c:v>
                </c:pt>
                <c:pt idx="21">
                  <c:v>0.38</c:v>
                </c:pt>
                <c:pt idx="22">
                  <c:v>0.39622641509433965</c:v>
                </c:pt>
                <c:pt idx="23">
                  <c:v>0.38181818181818183</c:v>
                </c:pt>
                <c:pt idx="24">
                  <c:v>0.375</c:v>
                </c:pt>
                <c:pt idx="25">
                  <c:v>0.37931034482758619</c:v>
                </c:pt>
                <c:pt idx="26">
                  <c:v>0.4</c:v>
                </c:pt>
                <c:pt idx="27">
                  <c:v>0.39344262295081966</c:v>
                </c:pt>
                <c:pt idx="28">
                  <c:v>0.421875</c:v>
                </c:pt>
                <c:pt idx="29">
                  <c:v>0.421875</c:v>
                </c:pt>
                <c:pt idx="30">
                  <c:v>0.41538461538461541</c:v>
                </c:pt>
                <c:pt idx="31">
                  <c:v>0.40579710144927539</c:v>
                </c:pt>
                <c:pt idx="32">
                  <c:v>0.40277777777777779</c:v>
                </c:pt>
                <c:pt idx="33">
                  <c:v>0.40277777777777779</c:v>
                </c:pt>
                <c:pt idx="34">
                  <c:v>0.40540540540540543</c:v>
                </c:pt>
                <c:pt idx="35">
                  <c:v>0.41558441558441561</c:v>
                </c:pt>
                <c:pt idx="36">
                  <c:v>0.42499999999999999</c:v>
                </c:pt>
                <c:pt idx="37">
                  <c:v>0.4</c:v>
                </c:pt>
                <c:pt idx="38">
                  <c:v>0.40229885057471265</c:v>
                </c:pt>
                <c:pt idx="39">
                  <c:v>0.39772727272727271</c:v>
                </c:pt>
                <c:pt idx="40">
                  <c:v>0.3888888888888889</c:v>
                </c:pt>
                <c:pt idx="41">
                  <c:v>0.39784946236559138</c:v>
                </c:pt>
                <c:pt idx="42">
                  <c:v>0.40206185567010311</c:v>
                </c:pt>
                <c:pt idx="43">
                  <c:v>0.41414141414141414</c:v>
                </c:pt>
                <c:pt idx="44">
                  <c:v>0.42156862745098039</c:v>
                </c:pt>
                <c:pt idx="45">
                  <c:v>0.41346153846153844</c:v>
                </c:pt>
                <c:pt idx="46">
                  <c:v>0.41904761904761906</c:v>
                </c:pt>
                <c:pt idx="47">
                  <c:v>0.42201834862385323</c:v>
                </c:pt>
                <c:pt idx="48">
                  <c:v>0.41964285714285715</c:v>
                </c:pt>
                <c:pt idx="49">
                  <c:v>0.42982456140350878</c:v>
                </c:pt>
                <c:pt idx="50">
                  <c:v>0.43478260869565216</c:v>
                </c:pt>
                <c:pt idx="51">
                  <c:v>0.43965517241379309</c:v>
                </c:pt>
                <c:pt idx="52">
                  <c:v>0.43697478991596639</c:v>
                </c:pt>
                <c:pt idx="53">
                  <c:v>0.4344262295081967</c:v>
                </c:pt>
                <c:pt idx="54">
                  <c:v>0.43089430894308944</c:v>
                </c:pt>
                <c:pt idx="55">
                  <c:v>0.42063492063492064</c:v>
                </c:pt>
                <c:pt idx="56">
                  <c:v>0.421875</c:v>
                </c:pt>
                <c:pt idx="57">
                  <c:v>0.41666666666666669</c:v>
                </c:pt>
                <c:pt idx="58">
                  <c:v>0.42222222222222222</c:v>
                </c:pt>
                <c:pt idx="59">
                  <c:v>0.44285714285714284</c:v>
                </c:pt>
                <c:pt idx="60">
                  <c:v>0.44055944055944057</c:v>
                </c:pt>
                <c:pt idx="61">
                  <c:v>0.43448275862068964</c:v>
                </c:pt>
                <c:pt idx="62">
                  <c:v>0.44217687074829931</c:v>
                </c:pt>
                <c:pt idx="63">
                  <c:v>0.44295302013422821</c:v>
                </c:pt>
                <c:pt idx="64">
                  <c:v>0.44370860927152317</c:v>
                </c:pt>
                <c:pt idx="65">
                  <c:v>0.44078947368421051</c:v>
                </c:pt>
                <c:pt idx="66">
                  <c:v>0.44444444444444442</c:v>
                </c:pt>
                <c:pt idx="67">
                  <c:v>0.44871794871794873</c:v>
                </c:pt>
                <c:pt idx="68">
                  <c:v>0.45222929936305734</c:v>
                </c:pt>
                <c:pt idx="69">
                  <c:v>0.44936708860759494</c:v>
                </c:pt>
                <c:pt idx="70">
                  <c:v>0.45624999999999999</c:v>
                </c:pt>
                <c:pt idx="71">
                  <c:v>0.453416149068323</c:v>
                </c:pt>
                <c:pt idx="72">
                  <c:v>0.46012269938650308</c:v>
                </c:pt>
                <c:pt idx="73">
                  <c:v>0.46341463414634149</c:v>
                </c:pt>
                <c:pt idx="74">
                  <c:v>0.44970414201183434</c:v>
                </c:pt>
                <c:pt idx="75">
                  <c:v>0.45029239766081869</c:v>
                </c:pt>
                <c:pt idx="76">
                  <c:v>0.45086705202312138</c:v>
                </c:pt>
                <c:pt idx="77">
                  <c:v>0.45086705202312138</c:v>
                </c:pt>
                <c:pt idx="78">
                  <c:v>0.45086705202312138</c:v>
                </c:pt>
                <c:pt idx="79">
                  <c:v>0.44886363636363635</c:v>
                </c:pt>
                <c:pt idx="80">
                  <c:v>0.449438202247191</c:v>
                </c:pt>
                <c:pt idx="81">
                  <c:v>0.44808743169398907</c:v>
                </c:pt>
                <c:pt idx="82">
                  <c:v>0.44864864864864867</c:v>
                </c:pt>
                <c:pt idx="83">
                  <c:v>0.44864864864864867</c:v>
                </c:pt>
                <c:pt idx="84">
                  <c:v>0.44385026737967914</c:v>
                </c:pt>
                <c:pt idx="85">
                  <c:v>0.44973544973544971</c:v>
                </c:pt>
                <c:pt idx="86">
                  <c:v>0.44791666666666669</c:v>
                </c:pt>
                <c:pt idx="87">
                  <c:v>0.44615384615384618</c:v>
                </c:pt>
                <c:pt idx="88">
                  <c:v>0.44221105527638194</c:v>
                </c:pt>
                <c:pt idx="89">
                  <c:v>0.4405940594059406</c:v>
                </c:pt>
                <c:pt idx="90">
                  <c:v>0.44878048780487806</c:v>
                </c:pt>
                <c:pt idx="91">
                  <c:v>0.44927536231884058</c:v>
                </c:pt>
                <c:pt idx="92">
                  <c:v>0.45714285714285713</c:v>
                </c:pt>
                <c:pt idx="93">
                  <c:v>0.46046511627906977</c:v>
                </c:pt>
                <c:pt idx="94">
                  <c:v>0.45622119815668205</c:v>
                </c:pt>
                <c:pt idx="95">
                  <c:v>0.45412844036697247</c:v>
                </c:pt>
                <c:pt idx="96">
                  <c:v>0.45248868778280543</c:v>
                </c:pt>
                <c:pt idx="97">
                  <c:v>0.45495495495495497</c:v>
                </c:pt>
                <c:pt idx="98">
                  <c:v>0.44690265486725661</c:v>
                </c:pt>
                <c:pt idx="99">
                  <c:v>0.44736842105263158</c:v>
                </c:pt>
                <c:pt idx="100">
                  <c:v>0.45217391304347826</c:v>
                </c:pt>
                <c:pt idx="101">
                  <c:v>0.45299145299145299</c:v>
                </c:pt>
                <c:pt idx="102">
                  <c:v>0.45338983050847459</c:v>
                </c:pt>
                <c:pt idx="103">
                  <c:v>0.44583333333333336</c:v>
                </c:pt>
                <c:pt idx="104">
                  <c:v>0.44897959183673469</c:v>
                </c:pt>
                <c:pt idx="105">
                  <c:v>0.44715447154471544</c:v>
                </c:pt>
                <c:pt idx="106">
                  <c:v>0.44534412955465585</c:v>
                </c:pt>
                <c:pt idx="107">
                  <c:v>0.44621513944223107</c:v>
                </c:pt>
                <c:pt idx="108">
                  <c:v>0.44841269841269843</c:v>
                </c:pt>
                <c:pt idx="109">
                  <c:v>0.45098039215686275</c:v>
                </c:pt>
                <c:pt idx="110">
                  <c:v>0.44747081712062259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1193344807802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6"/>
      <c r="C1" s="157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8">
        <v>0</v>
      </c>
      <c r="C2" s="159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60">
        <v>0</v>
      </c>
      <c r="C3" s="161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62">
        <v>0</v>
      </c>
      <c r="C4" s="163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4">
        <f>IF(B$2=0,0,B$4/B$2)</f>
        <v>0</v>
      </c>
      <c r="C5" s="165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4">
        <f>IF(B$2=0,0,(B$7*1+B$8*2+B$9*3)/B$2)</f>
        <v>0</v>
      </c>
      <c r="C6" s="155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52">
        <v>0</v>
      </c>
      <c r="C28" s="153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50">
        <v>-1000000</v>
      </c>
      <c r="C29" s="151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71"/>
  <sheetViews>
    <sheetView workbookViewId="0"/>
  </sheetViews>
  <sheetFormatPr defaultColWidth="9" defaultRowHeight="18" x14ac:dyDescent="0.45"/>
  <cols>
    <col min="1" max="1" width="19.19921875" style="28" customWidth="1"/>
    <col min="2" max="2" width="19.1992187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218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219</v>
      </c>
      <c r="B3" s="29">
        <v>43737.532500000001</v>
      </c>
      <c r="C3" s="28" t="s">
        <v>128</v>
      </c>
    </row>
    <row r="4" spans="1:12" x14ac:dyDescent="0.45">
      <c r="A4" s="28" t="s">
        <v>220</v>
      </c>
      <c r="B4" s="29">
        <v>43737.532500000001</v>
      </c>
      <c r="C4" s="28" t="s">
        <v>128</v>
      </c>
    </row>
    <row r="5" spans="1:12" x14ac:dyDescent="0.45">
      <c r="A5" s="28" t="s">
        <v>221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222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223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5">
      <c r="A8" s="28" t="s">
        <v>227</v>
      </c>
      <c r="B8" s="29">
        <v>43740.96733796296</v>
      </c>
      <c r="C8" s="28" t="s">
        <v>128</v>
      </c>
    </row>
    <row r="9" spans="1:12" x14ac:dyDescent="0.45">
      <c r="A9" s="28" t="s">
        <v>229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230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231</v>
      </c>
      <c r="B11" s="29">
        <v>43741.028969907406</v>
      </c>
      <c r="C11" s="28" t="s">
        <v>128</v>
      </c>
    </row>
    <row r="12" spans="1:12" x14ac:dyDescent="0.45">
      <c r="A12" s="28" t="s">
        <v>232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233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234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235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236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237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238</v>
      </c>
      <c r="B18" s="29">
        <v>43745.374525462961</v>
      </c>
      <c r="C18" s="28" t="s">
        <v>128</v>
      </c>
    </row>
    <row r="19" spans="1:12" x14ac:dyDescent="0.45">
      <c r="A19" s="28" t="s">
        <v>239</v>
      </c>
      <c r="B19" s="29">
        <v>43750.963090277779</v>
      </c>
      <c r="C19" s="28" t="s">
        <v>128</v>
      </c>
    </row>
    <row r="20" spans="1:12" x14ac:dyDescent="0.45">
      <c r="A20" s="28" t="s">
        <v>240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241</v>
      </c>
      <c r="B21" s="29">
        <v>43750.963090277779</v>
      </c>
      <c r="C21" s="28" t="s">
        <v>128</v>
      </c>
    </row>
    <row r="22" spans="1:12" x14ac:dyDescent="0.45">
      <c r="A22" s="28" t="s">
        <v>242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243</v>
      </c>
      <c r="B23" s="29">
        <v>43800.062326388892</v>
      </c>
      <c r="C23" s="28" t="s">
        <v>128</v>
      </c>
    </row>
    <row r="24" spans="1:12" x14ac:dyDescent="0.45">
      <c r="A24" s="28" t="s">
        <v>244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245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5">
      <c r="A26" s="28" t="s">
        <v>246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247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5">
      <c r="A28" s="28" t="s">
        <v>248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5">
      <c r="A29" s="28" t="s">
        <v>200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201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202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204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205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206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207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208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209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210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211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212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213</v>
      </c>
      <c r="B41" s="29">
        <v>43766.037835648145</v>
      </c>
      <c r="C41" s="28" t="s">
        <v>128</v>
      </c>
    </row>
    <row r="42" spans="1:9" x14ac:dyDescent="0.45">
      <c r="A42" s="28" t="s">
        <v>214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215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216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217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249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250</v>
      </c>
      <c r="B47" s="29">
        <v>43770.815983796296</v>
      </c>
      <c r="C47" s="28" t="s">
        <v>128</v>
      </c>
    </row>
    <row r="48" spans="1:9" x14ac:dyDescent="0.45">
      <c r="A48" s="28" t="s">
        <v>251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252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253</v>
      </c>
      <c r="B50" s="29">
        <v>43773.722453703704</v>
      </c>
      <c r="C50" s="28" t="s">
        <v>128</v>
      </c>
    </row>
    <row r="51" spans="1:9" x14ac:dyDescent="0.45">
      <c r="A51" s="28" t="s">
        <v>254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255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256</v>
      </c>
      <c r="B53" s="29">
        <v>43781.637499999997</v>
      </c>
      <c r="C53" s="28" t="s">
        <v>128</v>
      </c>
    </row>
    <row r="54" spans="1:9" x14ac:dyDescent="0.45">
      <c r="A54" s="28" t="s">
        <v>257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258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259</v>
      </c>
      <c r="B56" s="29">
        <v>43783.744745370372</v>
      </c>
      <c r="C56" s="28" t="s">
        <v>128</v>
      </c>
    </row>
    <row r="57" spans="1:9" x14ac:dyDescent="0.45">
      <c r="A57" s="28" t="s">
        <v>260</v>
      </c>
      <c r="B57" s="29">
        <v>43784.974247685182</v>
      </c>
      <c r="C57" s="28" t="s">
        <v>128</v>
      </c>
    </row>
    <row r="58" spans="1:9" x14ac:dyDescent="0.45">
      <c r="A58" s="28" t="s">
        <v>261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262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263</v>
      </c>
      <c r="B60" s="29">
        <v>43787.745706018519</v>
      </c>
      <c r="C60" s="28" t="s">
        <v>128</v>
      </c>
    </row>
    <row r="61" spans="1:9" x14ac:dyDescent="0.45">
      <c r="A61" s="28" t="s">
        <v>264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265</v>
      </c>
      <c r="B62" s="29">
        <v>43789.730671296296</v>
      </c>
      <c r="C62" s="28" t="s">
        <v>128</v>
      </c>
    </row>
    <row r="63" spans="1:9" x14ac:dyDescent="0.45">
      <c r="A63" s="28" t="s">
        <v>266</v>
      </c>
      <c r="B63" s="29">
        <v>43790.974027777775</v>
      </c>
      <c r="C63" s="28" t="s">
        <v>128</v>
      </c>
    </row>
    <row r="64" spans="1:9" x14ac:dyDescent="0.45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269</v>
      </c>
      <c r="B66" s="29">
        <v>43795.03466435185</v>
      </c>
      <c r="C66" s="28" t="s">
        <v>128</v>
      </c>
    </row>
    <row r="67" spans="1:12" x14ac:dyDescent="0.45">
      <c r="A67" s="28" t="s">
        <v>270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5">
      <c r="A68" s="28" t="s">
        <v>271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272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273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275</v>
      </c>
      <c r="B71" s="29">
        <v>43804.019016203703</v>
      </c>
      <c r="C71" s="28" t="s">
        <v>128</v>
      </c>
      <c r="D71" s="28" t="s">
        <v>129</v>
      </c>
      <c r="E71" s="28" t="s">
        <v>173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2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711</v>
      </c>
    </row>
    <row r="2" spans="1:2" x14ac:dyDescent="0.45">
      <c r="A2" t="s">
        <v>161</v>
      </c>
      <c r="B2">
        <v>65</v>
      </c>
    </row>
    <row r="3" spans="1:2" x14ac:dyDescent="0.45">
      <c r="A3" t="s">
        <v>126</v>
      </c>
      <c r="B3">
        <v>145</v>
      </c>
    </row>
    <row r="4" spans="1:2" x14ac:dyDescent="0.45">
      <c r="A4" t="s">
        <v>127</v>
      </c>
      <c r="B4">
        <v>129</v>
      </c>
    </row>
    <row r="5" spans="1:2" x14ac:dyDescent="0.45">
      <c r="A5" t="s">
        <v>172</v>
      </c>
      <c r="B5">
        <v>83</v>
      </c>
    </row>
    <row r="6" spans="1:2" x14ac:dyDescent="0.45">
      <c r="A6" t="s">
        <v>170</v>
      </c>
      <c r="B6">
        <v>97</v>
      </c>
    </row>
    <row r="7" spans="1:2" x14ac:dyDescent="0.45">
      <c r="A7" t="s">
        <v>171</v>
      </c>
      <c r="B7">
        <v>110</v>
      </c>
    </row>
    <row r="8" spans="1:2" x14ac:dyDescent="0.45">
      <c r="A8" t="s">
        <v>197</v>
      </c>
      <c r="B8">
        <v>48</v>
      </c>
    </row>
    <row r="9" spans="1:2" x14ac:dyDescent="0.45">
      <c r="A9" t="s">
        <v>196</v>
      </c>
      <c r="B9">
        <v>24</v>
      </c>
    </row>
    <row r="10" spans="1:2" x14ac:dyDescent="0.45">
      <c r="A10" t="s">
        <v>228</v>
      </c>
      <c r="B10">
        <v>7</v>
      </c>
    </row>
    <row r="11" spans="1:2" x14ac:dyDescent="0.45">
      <c r="A11" t="s">
        <v>203</v>
      </c>
      <c r="B11">
        <v>2</v>
      </c>
    </row>
    <row r="12" spans="1:2" x14ac:dyDescent="0.45">
      <c r="A12" t="s">
        <v>274</v>
      </c>
      <c r="B12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4"/>
  <sheetViews>
    <sheetView showGridLines="0" tabSelected="1" zoomScale="130" zoomScaleNormal="130" workbookViewId="0"/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6" t="s">
        <v>6</v>
      </c>
      <c r="C1" s="167"/>
      <c r="D1" s="166" t="s">
        <v>7</v>
      </c>
      <c r="E1" s="167"/>
      <c r="F1" s="166" t="s">
        <v>15</v>
      </c>
      <c r="G1" s="167"/>
      <c r="H1" s="166" t="s">
        <v>14</v>
      </c>
      <c r="I1" s="167"/>
      <c r="J1" s="166" t="s">
        <v>155</v>
      </c>
      <c r="K1" s="167"/>
      <c r="L1" s="166" t="s">
        <v>145</v>
      </c>
      <c r="M1" s="167"/>
      <c r="N1" s="166" t="s">
        <v>146</v>
      </c>
      <c r="O1" s="167"/>
      <c r="P1" s="166" t="s">
        <v>5</v>
      </c>
      <c r="Q1" s="167"/>
      <c r="R1" s="166" t="s">
        <v>16</v>
      </c>
      <c r="S1" s="167"/>
      <c r="T1" s="166" t="s">
        <v>17</v>
      </c>
      <c r="U1" s="167"/>
      <c r="V1" s="166" t="s">
        <v>122</v>
      </c>
      <c r="W1" s="167"/>
      <c r="X1" s="166" t="s">
        <v>119</v>
      </c>
      <c r="Y1" s="167"/>
      <c r="Z1" s="166" t="s">
        <v>125</v>
      </c>
      <c r="AA1" s="167"/>
      <c r="AB1" s="166" t="s">
        <v>147</v>
      </c>
      <c r="AC1" s="167"/>
      <c r="AD1" s="166" t="s">
        <v>140</v>
      </c>
      <c r="AE1" s="167"/>
      <c r="AF1" s="166" t="s">
        <v>192</v>
      </c>
      <c r="AG1" s="167"/>
    </row>
    <row r="2" spans="1:33" x14ac:dyDescent="0.45">
      <c r="A2" s="68" t="s">
        <v>154</v>
      </c>
      <c r="B2" s="168"/>
      <c r="C2" s="169"/>
      <c r="D2" s="168"/>
      <c r="E2" s="169"/>
      <c r="F2" s="170">
        <v>0.98870791205931374</v>
      </c>
      <c r="G2" s="171"/>
      <c r="H2" s="170">
        <v>0.8478948574236429</v>
      </c>
      <c r="I2" s="171"/>
      <c r="J2" s="170">
        <v>0.8975289220434004</v>
      </c>
      <c r="K2" s="171"/>
      <c r="L2" s="170">
        <v>0.81044225715964968</v>
      </c>
      <c r="M2" s="171"/>
      <c r="N2" s="170">
        <v>0.55327455347988508</v>
      </c>
      <c r="O2" s="171"/>
      <c r="P2" s="170">
        <v>0.5355884120456138</v>
      </c>
      <c r="Q2" s="171"/>
      <c r="R2" s="170">
        <v>7.6957742940429097E-3</v>
      </c>
      <c r="S2" s="171"/>
      <c r="T2" s="170">
        <v>0.50576599177052317</v>
      </c>
      <c r="U2" s="171"/>
      <c r="V2" s="170">
        <v>0.66350709833169308</v>
      </c>
      <c r="W2" s="171"/>
      <c r="X2" s="170">
        <v>-0.11717072009830487</v>
      </c>
      <c r="Y2" s="171"/>
      <c r="Z2" s="170">
        <v>0.43799954321223039</v>
      </c>
      <c r="AA2" s="171"/>
      <c r="AB2" s="170">
        <v>0.14237241632387232</v>
      </c>
      <c r="AC2" s="171"/>
      <c r="AD2" s="170">
        <v>0.265786126006895</v>
      </c>
      <c r="AE2" s="171"/>
      <c r="AF2" s="170">
        <v>0.8395795846493298</v>
      </c>
      <c r="AG2" s="171"/>
    </row>
    <row r="3" spans="1:33" x14ac:dyDescent="0.45">
      <c r="A3" s="70">
        <v>1</v>
      </c>
      <c r="B3" s="71" t="s">
        <v>126</v>
      </c>
      <c r="C3" s="72">
        <v>1175.0000000000002</v>
      </c>
      <c r="D3" s="73" t="s">
        <v>274</v>
      </c>
      <c r="E3" s="92">
        <v>17.600000000000001</v>
      </c>
      <c r="F3" s="73" t="s">
        <v>274</v>
      </c>
      <c r="G3" s="74">
        <v>1</v>
      </c>
      <c r="H3" s="73" t="s">
        <v>274</v>
      </c>
      <c r="I3" s="75">
        <v>1</v>
      </c>
      <c r="J3" s="73" t="s">
        <v>203</v>
      </c>
      <c r="K3" s="75">
        <v>0</v>
      </c>
      <c r="L3" s="73" t="s">
        <v>274</v>
      </c>
      <c r="M3" s="76">
        <v>0.66666666666666663</v>
      </c>
      <c r="N3" s="73" t="s">
        <v>203</v>
      </c>
      <c r="O3" s="76">
        <v>6.6666666666666666E-2</v>
      </c>
      <c r="P3" s="73" t="s">
        <v>170</v>
      </c>
      <c r="Q3" s="77">
        <v>10918.433179723503</v>
      </c>
      <c r="R3" s="73" t="s">
        <v>196</v>
      </c>
      <c r="S3" s="77">
        <v>-6836.8421052631575</v>
      </c>
      <c r="T3" s="73" t="s">
        <v>203</v>
      </c>
      <c r="U3" s="75">
        <v>0</v>
      </c>
      <c r="V3" s="73" t="s">
        <v>274</v>
      </c>
      <c r="W3" s="76">
        <v>0.66666666666666663</v>
      </c>
      <c r="X3" s="73" t="s">
        <v>228</v>
      </c>
      <c r="Y3" s="76">
        <v>0.35483870967741937</v>
      </c>
      <c r="Z3" s="73" t="s">
        <v>274</v>
      </c>
      <c r="AA3" s="76">
        <v>1</v>
      </c>
      <c r="AB3" s="73" t="s">
        <v>203</v>
      </c>
      <c r="AC3" s="76">
        <v>1</v>
      </c>
      <c r="AD3" s="73" t="s">
        <v>196</v>
      </c>
      <c r="AE3" s="76">
        <v>0.56451612903225812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334.70000000000016</v>
      </c>
      <c r="D4" s="81" t="s">
        <v>203</v>
      </c>
      <c r="E4" s="93">
        <v>13.1</v>
      </c>
      <c r="F4" s="81" t="s">
        <v>203</v>
      </c>
      <c r="G4" s="82">
        <v>1.5</v>
      </c>
      <c r="H4" s="81" t="s">
        <v>203</v>
      </c>
      <c r="I4" s="83">
        <v>0.5</v>
      </c>
      <c r="J4" s="81" t="s">
        <v>274</v>
      </c>
      <c r="K4" s="83">
        <v>0</v>
      </c>
      <c r="L4" s="81" t="s">
        <v>203</v>
      </c>
      <c r="M4" s="84">
        <v>0.46666666666666667</v>
      </c>
      <c r="N4" s="81" t="s">
        <v>126</v>
      </c>
      <c r="O4" s="84">
        <v>0.13153456998313659</v>
      </c>
      <c r="P4" s="81" t="s">
        <v>171</v>
      </c>
      <c r="Q4" s="85">
        <v>8537.7431906614784</v>
      </c>
      <c r="R4" s="81" t="s">
        <v>171</v>
      </c>
      <c r="S4" s="85">
        <v>-7435.833333333333</v>
      </c>
      <c r="T4" s="81" t="s">
        <v>274</v>
      </c>
      <c r="U4" s="83">
        <v>0</v>
      </c>
      <c r="V4" s="81" t="s">
        <v>170</v>
      </c>
      <c r="W4" s="84">
        <v>0.31572164948453607</v>
      </c>
      <c r="X4" s="81" t="s">
        <v>203</v>
      </c>
      <c r="Y4" s="84">
        <v>0.33333333333333331</v>
      </c>
      <c r="Z4" s="81" t="s">
        <v>126</v>
      </c>
      <c r="AA4" s="84">
        <v>0.60559006211180122</v>
      </c>
      <c r="AB4" s="81" t="s">
        <v>126</v>
      </c>
      <c r="AC4" s="84">
        <v>0.47547169811320755</v>
      </c>
      <c r="AD4" s="81" t="s">
        <v>170</v>
      </c>
      <c r="AE4" s="84">
        <v>0.52534562211981561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171</v>
      </c>
      <c r="C5" s="80">
        <v>120.1</v>
      </c>
      <c r="D5" s="81" t="s">
        <v>126</v>
      </c>
      <c r="E5" s="93">
        <v>8.1034482758620712</v>
      </c>
      <c r="F5" s="81" t="s">
        <v>126</v>
      </c>
      <c r="G5" s="82">
        <v>1.806896551724138</v>
      </c>
      <c r="H5" s="81" t="s">
        <v>126</v>
      </c>
      <c r="I5" s="83">
        <v>0.45517241379310347</v>
      </c>
      <c r="J5" s="81" t="s">
        <v>126</v>
      </c>
      <c r="K5" s="83">
        <v>0.2620689655172414</v>
      </c>
      <c r="L5" s="81" t="s">
        <v>126</v>
      </c>
      <c r="M5" s="84">
        <v>0.34148397976391232</v>
      </c>
      <c r="N5" s="81" t="s">
        <v>171</v>
      </c>
      <c r="O5" s="84">
        <v>0.1362088535754824</v>
      </c>
      <c r="P5" s="81" t="s">
        <v>196</v>
      </c>
      <c r="Q5" s="85">
        <v>8456.4516129032254</v>
      </c>
      <c r="R5" s="81" t="s">
        <v>172</v>
      </c>
      <c r="S5" s="85">
        <v>-7485.8208955223881</v>
      </c>
      <c r="T5" s="81" t="s">
        <v>126</v>
      </c>
      <c r="U5" s="83">
        <v>4.8275862068965517E-2</v>
      </c>
      <c r="V5" s="81" t="s">
        <v>172</v>
      </c>
      <c r="W5" s="84">
        <v>0.27982954545454547</v>
      </c>
      <c r="X5" s="81" t="s">
        <v>127</v>
      </c>
      <c r="Y5" s="84">
        <v>0.31082331174838113</v>
      </c>
      <c r="Z5" s="81" t="s">
        <v>196</v>
      </c>
      <c r="AA5" s="84">
        <v>0.5901639344262295</v>
      </c>
      <c r="AB5" s="81" t="s">
        <v>171</v>
      </c>
      <c r="AC5" s="84">
        <v>0.4375</v>
      </c>
      <c r="AD5" s="81" t="s">
        <v>172</v>
      </c>
      <c r="AE5" s="84">
        <v>0.4494949494949495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203</v>
      </c>
      <c r="C6" s="80">
        <v>26.2</v>
      </c>
      <c r="D6" s="81" t="s">
        <v>170</v>
      </c>
      <c r="E6" s="93">
        <v>3.4505154639175273</v>
      </c>
      <c r="F6" s="81" t="s">
        <v>170</v>
      </c>
      <c r="G6" s="82">
        <v>1.9381443298969072</v>
      </c>
      <c r="H6" s="81" t="s">
        <v>228</v>
      </c>
      <c r="I6" s="83">
        <v>0.42857142857142855</v>
      </c>
      <c r="J6" s="81" t="s">
        <v>171</v>
      </c>
      <c r="K6" s="83">
        <v>0.27272727272727271</v>
      </c>
      <c r="L6" s="81" t="s">
        <v>127</v>
      </c>
      <c r="M6" s="84">
        <v>0.30064754856614245</v>
      </c>
      <c r="N6" s="81" t="s">
        <v>161</v>
      </c>
      <c r="O6" s="84">
        <v>0.16117850953206239</v>
      </c>
      <c r="P6" s="81" t="s">
        <v>141</v>
      </c>
      <c r="Q6" s="85">
        <v>8452.954675846242</v>
      </c>
      <c r="R6" s="81" t="s">
        <v>126</v>
      </c>
      <c r="S6" s="85">
        <v>-7669.8717948717949</v>
      </c>
      <c r="T6" s="81" t="s">
        <v>172</v>
      </c>
      <c r="U6" s="83">
        <v>7.2289156626506021E-2</v>
      </c>
      <c r="V6" s="81" t="s">
        <v>126</v>
      </c>
      <c r="W6" s="84">
        <v>0.27150084317032042</v>
      </c>
      <c r="X6" s="81" t="s">
        <v>161</v>
      </c>
      <c r="Y6" s="84">
        <v>0.24436741767764297</v>
      </c>
      <c r="Z6" s="81" t="s">
        <v>171</v>
      </c>
      <c r="AA6" s="84">
        <v>0.57805907172995785</v>
      </c>
      <c r="AB6" s="81" t="s">
        <v>197</v>
      </c>
      <c r="AC6" s="84">
        <v>0.43529411764705883</v>
      </c>
      <c r="AD6" s="81" t="s">
        <v>171</v>
      </c>
      <c r="AE6" s="84">
        <v>0.44747081712062259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127</v>
      </c>
      <c r="C7" s="80">
        <v>24.699999999999804</v>
      </c>
      <c r="D7" s="81" t="s">
        <v>171</v>
      </c>
      <c r="E7" s="93">
        <v>1.0918181818181818</v>
      </c>
      <c r="F7" s="81" t="s">
        <v>127</v>
      </c>
      <c r="G7" s="82">
        <v>1.9534883720930232</v>
      </c>
      <c r="H7" s="81" t="s">
        <v>170</v>
      </c>
      <c r="I7" s="83">
        <v>0.38144329896907214</v>
      </c>
      <c r="J7" s="81" t="s">
        <v>127</v>
      </c>
      <c r="K7" s="83">
        <v>0.29457364341085274</v>
      </c>
      <c r="L7" s="81" t="s">
        <v>141</v>
      </c>
      <c r="M7" s="84">
        <v>0.29507364144235654</v>
      </c>
      <c r="N7" s="81" t="s">
        <v>141</v>
      </c>
      <c r="O7" s="84">
        <v>0.16353478923311326</v>
      </c>
      <c r="P7" s="81" t="s">
        <v>127</v>
      </c>
      <c r="Q7" s="85">
        <v>8425.8461538461543</v>
      </c>
      <c r="R7" s="81" t="s">
        <v>161</v>
      </c>
      <c r="S7" s="85">
        <v>-7673.1182795698924</v>
      </c>
      <c r="T7" s="81" t="s">
        <v>171</v>
      </c>
      <c r="U7" s="83">
        <v>7.2727272727272724E-2</v>
      </c>
      <c r="V7" s="81" t="s">
        <v>171</v>
      </c>
      <c r="W7" s="84">
        <v>0.26901248581157777</v>
      </c>
      <c r="X7" s="81" t="s">
        <v>141</v>
      </c>
      <c r="Y7" s="84">
        <v>0.22854240731335704</v>
      </c>
      <c r="Z7" s="81" t="s">
        <v>172</v>
      </c>
      <c r="AA7" s="84">
        <v>0.56852791878172593</v>
      </c>
      <c r="AB7" s="81" t="s">
        <v>141</v>
      </c>
      <c r="AC7" s="84">
        <v>0.41703703703703704</v>
      </c>
      <c r="AD7" s="81" t="s">
        <v>197</v>
      </c>
      <c r="AE7" s="84">
        <v>0.44444444444444442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274</v>
      </c>
      <c r="C8" s="80">
        <v>17.600000000000001</v>
      </c>
      <c r="D8" s="81" t="s">
        <v>127</v>
      </c>
      <c r="E8" s="93">
        <v>0.19147286821705276</v>
      </c>
      <c r="F8" s="81" t="s">
        <v>196</v>
      </c>
      <c r="G8" s="82">
        <v>2</v>
      </c>
      <c r="H8" s="81" t="s">
        <v>196</v>
      </c>
      <c r="I8" s="83">
        <v>0.375</v>
      </c>
      <c r="J8" s="81" t="s">
        <v>170</v>
      </c>
      <c r="K8" s="83">
        <v>0.31958762886597936</v>
      </c>
      <c r="L8" s="81" t="s">
        <v>171</v>
      </c>
      <c r="M8" s="84">
        <v>0.29171396140749151</v>
      </c>
      <c r="N8" s="81" t="s">
        <v>196</v>
      </c>
      <c r="O8" s="84">
        <v>0.16593886462882096</v>
      </c>
      <c r="P8" s="81" t="s">
        <v>126</v>
      </c>
      <c r="Q8" s="85">
        <v>8205.6790123456794</v>
      </c>
      <c r="R8" s="81" t="s">
        <v>141</v>
      </c>
      <c r="S8" s="85">
        <v>-7798.6542443064181</v>
      </c>
      <c r="T8" s="81" t="s">
        <v>161</v>
      </c>
      <c r="U8" s="83">
        <v>7.6923076923076927E-2</v>
      </c>
      <c r="V8" s="81" t="s">
        <v>203</v>
      </c>
      <c r="W8" s="84">
        <v>0.26666666666666666</v>
      </c>
      <c r="X8" s="81" t="s">
        <v>126</v>
      </c>
      <c r="Y8" s="84">
        <v>0.22344013490725126</v>
      </c>
      <c r="Z8" s="81" t="s">
        <v>141</v>
      </c>
      <c r="AA8" s="84">
        <v>0.5591973244147157</v>
      </c>
      <c r="AB8" s="81" t="s">
        <v>172</v>
      </c>
      <c r="AC8" s="84">
        <v>0.40845070422535212</v>
      </c>
      <c r="AD8" s="81" t="s">
        <v>141</v>
      </c>
      <c r="AE8" s="84">
        <v>0.44119334480780265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196</v>
      </c>
      <c r="C9" s="80">
        <v>2.1999999999999957</v>
      </c>
      <c r="D9" s="81" t="s">
        <v>196</v>
      </c>
      <c r="E9" s="93">
        <v>9.1666666666666494E-2</v>
      </c>
      <c r="F9" s="81" t="s">
        <v>141</v>
      </c>
      <c r="G9" s="82">
        <v>2</v>
      </c>
      <c r="H9" s="81" t="s">
        <v>127</v>
      </c>
      <c r="I9" s="83">
        <v>0.34108527131782945</v>
      </c>
      <c r="J9" s="81" t="s">
        <v>141</v>
      </c>
      <c r="K9" s="83">
        <v>0.33333333333333331</v>
      </c>
      <c r="L9" s="81" t="s">
        <v>172</v>
      </c>
      <c r="M9" s="84">
        <v>0.28125</v>
      </c>
      <c r="N9" s="81" t="s">
        <v>274</v>
      </c>
      <c r="O9" s="84">
        <v>0.16666666666666666</v>
      </c>
      <c r="P9" s="81" t="s">
        <v>197</v>
      </c>
      <c r="Q9" s="85">
        <v>8000</v>
      </c>
      <c r="R9" s="81" t="s">
        <v>127</v>
      </c>
      <c r="S9" s="85">
        <v>-7975.3694581280788</v>
      </c>
      <c r="T9" s="81" t="s">
        <v>196</v>
      </c>
      <c r="U9" s="83">
        <v>8.3333333333333329E-2</v>
      </c>
      <c r="V9" s="81" t="s">
        <v>196</v>
      </c>
      <c r="W9" s="84">
        <v>0.26637554585152839</v>
      </c>
      <c r="X9" s="81" t="s">
        <v>197</v>
      </c>
      <c r="Y9" s="84">
        <v>0.21794871794871795</v>
      </c>
      <c r="Z9" s="81" t="s">
        <v>170</v>
      </c>
      <c r="AA9" s="84">
        <v>0.55510204081632653</v>
      </c>
      <c r="AB9" s="81" t="s">
        <v>161</v>
      </c>
      <c r="AC9" s="84">
        <v>0.40425531914893614</v>
      </c>
      <c r="AD9" s="81" t="s">
        <v>126</v>
      </c>
      <c r="AE9" s="84">
        <v>0.42222222222222222</v>
      </c>
      <c r="AF9" s="81" t="s">
        <v>161</v>
      </c>
      <c r="AG9" s="88">
        <v>86900</v>
      </c>
    </row>
    <row r="10" spans="1:33" x14ac:dyDescent="0.45">
      <c r="A10" s="78">
        <v>8</v>
      </c>
      <c r="B10" s="79" t="s">
        <v>141</v>
      </c>
      <c r="C10" s="80">
        <v>-4.0856207306205761E-14</v>
      </c>
      <c r="D10" s="81" t="s">
        <v>141</v>
      </c>
      <c r="E10" s="93">
        <v>-5.7463020121245801E-17</v>
      </c>
      <c r="F10" s="81" t="s">
        <v>171</v>
      </c>
      <c r="G10" s="82">
        <v>2.0090909090909093</v>
      </c>
      <c r="H10" s="81" t="s">
        <v>141</v>
      </c>
      <c r="I10" s="83">
        <v>0.33333333333333331</v>
      </c>
      <c r="J10" s="81" t="s">
        <v>196</v>
      </c>
      <c r="K10" s="83">
        <v>0.375</v>
      </c>
      <c r="L10" s="81" t="s">
        <v>170</v>
      </c>
      <c r="M10" s="84">
        <v>0.27963917525773196</v>
      </c>
      <c r="N10" s="81" t="s">
        <v>170</v>
      </c>
      <c r="O10" s="84">
        <v>0.17654639175257733</v>
      </c>
      <c r="P10" s="81" t="s">
        <v>172</v>
      </c>
      <c r="Q10" s="85">
        <v>7712.6262626262624</v>
      </c>
      <c r="R10" s="81" t="s">
        <v>203</v>
      </c>
      <c r="S10" s="85">
        <v>-8000</v>
      </c>
      <c r="T10" s="81" t="s">
        <v>141</v>
      </c>
      <c r="U10" s="83">
        <v>9.8452883263009841E-2</v>
      </c>
      <c r="V10" s="81" t="s">
        <v>141</v>
      </c>
      <c r="W10" s="84">
        <v>0.25308955476553241</v>
      </c>
      <c r="X10" s="81" t="s">
        <v>171</v>
      </c>
      <c r="Y10" s="84">
        <v>0.21793416572077184</v>
      </c>
      <c r="Z10" s="81" t="s">
        <v>197</v>
      </c>
      <c r="AA10" s="84">
        <v>0.55128205128205132</v>
      </c>
      <c r="AB10" s="81" t="s">
        <v>170</v>
      </c>
      <c r="AC10" s="84">
        <v>0.39370078740157483</v>
      </c>
      <c r="AD10" s="81" t="s">
        <v>127</v>
      </c>
      <c r="AE10" s="84">
        <v>0.41230769230769232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228</v>
      </c>
      <c r="C11" s="80">
        <v>-104.80000000000001</v>
      </c>
      <c r="D11" s="81" t="s">
        <v>172</v>
      </c>
      <c r="E11" s="93">
        <v>-6.3192771084337362</v>
      </c>
      <c r="F11" s="81" t="s">
        <v>228</v>
      </c>
      <c r="G11" s="82">
        <v>2.1428571428571428</v>
      </c>
      <c r="H11" s="81" t="s">
        <v>161</v>
      </c>
      <c r="I11" s="83">
        <v>0.30769230769230771</v>
      </c>
      <c r="J11" s="81" t="s">
        <v>172</v>
      </c>
      <c r="K11" s="83">
        <v>0.38554216867469882</v>
      </c>
      <c r="L11" s="81" t="s">
        <v>196</v>
      </c>
      <c r="M11" s="84">
        <v>0.27074235807860264</v>
      </c>
      <c r="N11" s="81" t="s">
        <v>197</v>
      </c>
      <c r="O11" s="84">
        <v>0.18205128205128204</v>
      </c>
      <c r="P11" s="81" t="s">
        <v>228</v>
      </c>
      <c r="Q11" s="85">
        <v>7473.333333333333</v>
      </c>
      <c r="R11" s="81" t="s">
        <v>274</v>
      </c>
      <c r="S11" s="85">
        <v>-8000</v>
      </c>
      <c r="T11" s="81" t="s">
        <v>170</v>
      </c>
      <c r="U11" s="83">
        <v>0.1134020618556701</v>
      </c>
      <c r="V11" s="81" t="s">
        <v>228</v>
      </c>
      <c r="W11" s="84">
        <v>0.24193548387096775</v>
      </c>
      <c r="X11" s="81" t="s">
        <v>172</v>
      </c>
      <c r="Y11" s="84">
        <v>0.20170454545454544</v>
      </c>
      <c r="Z11" s="81" t="s">
        <v>228</v>
      </c>
      <c r="AA11" s="84">
        <v>0.53333333333333333</v>
      </c>
      <c r="AB11" s="81" t="s">
        <v>127</v>
      </c>
      <c r="AC11" s="84">
        <v>0.38095238095238093</v>
      </c>
      <c r="AD11" s="81" t="s">
        <v>161</v>
      </c>
      <c r="AE11" s="84">
        <v>0.38311688311688313</v>
      </c>
      <c r="AF11" s="81" t="s">
        <v>172</v>
      </c>
      <c r="AG11" s="88">
        <v>69500</v>
      </c>
    </row>
    <row r="12" spans="1:33" x14ac:dyDescent="0.45">
      <c r="A12" s="78">
        <v>10</v>
      </c>
      <c r="B12" s="79" t="s">
        <v>172</v>
      </c>
      <c r="C12" s="80">
        <v>-524.50000000000011</v>
      </c>
      <c r="D12" s="81" t="s">
        <v>161</v>
      </c>
      <c r="E12" s="93">
        <v>-8.0953846153846172</v>
      </c>
      <c r="F12" s="81" t="s">
        <v>172</v>
      </c>
      <c r="G12" s="82">
        <v>2.1686746987951806</v>
      </c>
      <c r="H12" s="81" t="s">
        <v>171</v>
      </c>
      <c r="I12" s="83">
        <v>0.26363636363636361</v>
      </c>
      <c r="J12" s="81" t="s">
        <v>197</v>
      </c>
      <c r="K12" s="83">
        <v>0.47916666666666669</v>
      </c>
      <c r="L12" s="81" t="s">
        <v>161</v>
      </c>
      <c r="M12" s="84">
        <v>0.26689774696707108</v>
      </c>
      <c r="N12" s="81" t="s">
        <v>127</v>
      </c>
      <c r="O12" s="84">
        <v>0.1877890841813136</v>
      </c>
      <c r="P12" s="81" t="s">
        <v>203</v>
      </c>
      <c r="Q12" s="85">
        <v>7385.7142857142853</v>
      </c>
      <c r="R12" s="81" t="s">
        <v>197</v>
      </c>
      <c r="S12" s="85">
        <v>-8015.4929577464791</v>
      </c>
      <c r="T12" s="81" t="s">
        <v>127</v>
      </c>
      <c r="U12" s="83">
        <v>0.13953488372093023</v>
      </c>
      <c r="V12" s="81" t="s">
        <v>127</v>
      </c>
      <c r="W12" s="84">
        <v>0.2294172062904718</v>
      </c>
      <c r="X12" s="81" t="s">
        <v>170</v>
      </c>
      <c r="Y12" s="84">
        <v>0.16365979381443299</v>
      </c>
      <c r="Z12" s="81" t="s">
        <v>161</v>
      </c>
      <c r="AA12" s="84">
        <v>0.5</v>
      </c>
      <c r="AB12" s="81" t="s">
        <v>196</v>
      </c>
      <c r="AC12" s="84">
        <v>0.34285714285714286</v>
      </c>
      <c r="AD12" s="81" t="s">
        <v>228</v>
      </c>
      <c r="AE12" s="84">
        <v>0.33333333333333331</v>
      </c>
      <c r="AF12" s="81" t="s">
        <v>228</v>
      </c>
      <c r="AG12" s="88">
        <v>59500</v>
      </c>
    </row>
    <row r="13" spans="1:33" x14ac:dyDescent="0.45">
      <c r="A13" s="78">
        <v>11</v>
      </c>
      <c r="B13" s="79" t="s">
        <v>161</v>
      </c>
      <c r="C13" s="80">
        <v>-526.20000000000016</v>
      </c>
      <c r="D13" s="81" t="s">
        <v>197</v>
      </c>
      <c r="E13" s="93">
        <v>-11.35416666666667</v>
      </c>
      <c r="F13" s="81" t="s">
        <v>161</v>
      </c>
      <c r="G13" s="82">
        <v>2.1846153846153844</v>
      </c>
      <c r="H13" s="81" t="s">
        <v>172</v>
      </c>
      <c r="I13" s="83">
        <v>0.21686746987951808</v>
      </c>
      <c r="J13" s="81" t="s">
        <v>161</v>
      </c>
      <c r="K13" s="83">
        <v>0.49230769230769234</v>
      </c>
      <c r="L13" s="81" t="s">
        <v>197</v>
      </c>
      <c r="M13" s="84">
        <v>0.25384615384615383</v>
      </c>
      <c r="N13" s="81" t="s">
        <v>172</v>
      </c>
      <c r="O13" s="84">
        <v>0.19034090909090909</v>
      </c>
      <c r="P13" s="81" t="s">
        <v>161</v>
      </c>
      <c r="Q13" s="85">
        <v>7048.7012987012986</v>
      </c>
      <c r="R13" s="81" t="s">
        <v>170</v>
      </c>
      <c r="S13" s="85">
        <v>-8432.1167883211674</v>
      </c>
      <c r="T13" s="81" t="s">
        <v>197</v>
      </c>
      <c r="U13" s="83">
        <v>0.1875</v>
      </c>
      <c r="V13" s="81" t="s">
        <v>197</v>
      </c>
      <c r="W13" s="84">
        <v>0.2</v>
      </c>
      <c r="X13" s="81" t="s">
        <v>196</v>
      </c>
      <c r="Y13" s="84">
        <v>0.15283842794759825</v>
      </c>
      <c r="Z13" s="81" t="s">
        <v>203</v>
      </c>
      <c r="AA13" s="84">
        <v>0.5</v>
      </c>
      <c r="AB13" s="81" t="s">
        <v>228</v>
      </c>
      <c r="AC13" s="84">
        <v>0.27272727272727271</v>
      </c>
      <c r="AD13" s="81" t="s">
        <v>203</v>
      </c>
      <c r="AE13" s="84">
        <v>0.2857142857142857</v>
      </c>
      <c r="AF13" s="81" t="s">
        <v>203</v>
      </c>
      <c r="AG13" s="88">
        <v>52800</v>
      </c>
    </row>
    <row r="14" spans="1:33" x14ac:dyDescent="0.45">
      <c r="A14" s="78">
        <v>12</v>
      </c>
      <c r="B14" s="79" t="s">
        <v>197</v>
      </c>
      <c r="C14" s="80">
        <v>-545.00000000000011</v>
      </c>
      <c r="D14" s="81" t="s">
        <v>228</v>
      </c>
      <c r="E14" s="93">
        <v>-14.971428571428573</v>
      </c>
      <c r="F14" s="81" t="s">
        <v>197</v>
      </c>
      <c r="G14" s="82">
        <v>2.2916666666666665</v>
      </c>
      <c r="H14" s="81" t="s">
        <v>197</v>
      </c>
      <c r="I14" s="83">
        <v>0.1875</v>
      </c>
      <c r="J14" s="81" t="s">
        <v>228</v>
      </c>
      <c r="K14" s="83">
        <v>0.5714285714285714</v>
      </c>
      <c r="L14" s="81" t="s">
        <v>228</v>
      </c>
      <c r="M14" s="84">
        <v>0.24193548387096775</v>
      </c>
      <c r="N14" s="81" t="s">
        <v>228</v>
      </c>
      <c r="O14" s="84">
        <v>0.19354838709677419</v>
      </c>
      <c r="P14" s="81" t="s">
        <v>274</v>
      </c>
      <c r="Q14" s="85">
        <v>3900</v>
      </c>
      <c r="R14" s="81" t="s">
        <v>228</v>
      </c>
      <c r="S14" s="85">
        <v>-9075</v>
      </c>
      <c r="T14" s="81" t="s">
        <v>228</v>
      </c>
      <c r="U14" s="83">
        <v>0.5714285714285714</v>
      </c>
      <c r="V14" s="81" t="s">
        <v>161</v>
      </c>
      <c r="W14" s="84">
        <v>0.14558058925476602</v>
      </c>
      <c r="X14" s="81" t="s">
        <v>274</v>
      </c>
      <c r="Y14" s="84">
        <v>0</v>
      </c>
      <c r="Z14" s="81" t="s">
        <v>127</v>
      </c>
      <c r="AA14" s="84">
        <v>0.48790322580645162</v>
      </c>
      <c r="AB14" s="81" t="s">
        <v>274</v>
      </c>
      <c r="AC14" s="84">
        <v>0</v>
      </c>
      <c r="AD14" s="81" t="s">
        <v>274</v>
      </c>
      <c r="AE14" s="84">
        <v>0.25</v>
      </c>
      <c r="AF14" s="81" t="s">
        <v>274</v>
      </c>
      <c r="AG14" s="88">
        <v>42600</v>
      </c>
    </row>
  </sheetData>
  <sortState xmlns:xlrd2="http://schemas.microsoft.com/office/spreadsheetml/2017/richdata2" ref="AF3:AG42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4557-8680-4C68-9C14-24ABF1194E04}">
  <sheetPr codeName="Sheet4"/>
  <dimension ref="A1:Q713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141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711</v>
      </c>
      <c r="C2" s="159"/>
      <c r="E2" s="58" t="s">
        <v>66</v>
      </c>
      <c r="F2" s="55" t="s">
        <v>22</v>
      </c>
      <c r="G2" s="43">
        <v>1331</v>
      </c>
      <c r="H2" s="128">
        <f>IF(B$15=0,0,G2/B$15)</f>
        <v>0.76362593230063114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-25.423728813559322</v>
      </c>
      <c r="P2" s="114">
        <v>708</v>
      </c>
      <c r="Q2" s="98">
        <v>-18000</v>
      </c>
    </row>
    <row r="3" spans="1:17" x14ac:dyDescent="0.45">
      <c r="A3" s="51" t="s">
        <v>8</v>
      </c>
      <c r="B3" s="160">
        <v>5907</v>
      </c>
      <c r="C3" s="161"/>
      <c r="E3" s="59" t="s">
        <v>72</v>
      </c>
      <c r="F3" s="56" t="s">
        <v>27</v>
      </c>
      <c r="G3" s="44">
        <v>938</v>
      </c>
      <c r="H3" s="129">
        <f>IF(B$15=0,0,G3/B$15)</f>
        <v>0.5381526104417671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10.057471264367816</v>
      </c>
      <c r="P3" s="115">
        <v>696</v>
      </c>
      <c r="Q3" s="99">
        <v>7000</v>
      </c>
    </row>
    <row r="4" spans="1:17" x14ac:dyDescent="0.45">
      <c r="A4" s="51" t="s">
        <v>6</v>
      </c>
      <c r="B4" s="162">
        <v>-4.0856207306205761E-14</v>
      </c>
      <c r="C4" s="163"/>
      <c r="E4" s="59" t="s">
        <v>64</v>
      </c>
      <c r="F4" s="56" t="s">
        <v>20</v>
      </c>
      <c r="G4" s="44">
        <v>805</v>
      </c>
      <c r="H4" s="129">
        <f>IF(B$15=0,0,G4/B$15)</f>
        <v>0.46184738955823296</v>
      </c>
      <c r="I4" s="90">
        <v>7</v>
      </c>
      <c r="K4" s="36">
        <v>2</v>
      </c>
      <c r="L4" s="95">
        <v>45.6</v>
      </c>
      <c r="N4" s="111" t="s">
        <v>132</v>
      </c>
      <c r="O4" s="118">
        <f t="shared" si="0"/>
        <v>-10.703363914373089</v>
      </c>
      <c r="P4" s="115">
        <v>654</v>
      </c>
      <c r="Q4" s="99">
        <v>-7000</v>
      </c>
    </row>
    <row r="5" spans="1:17" x14ac:dyDescent="0.45">
      <c r="A5" s="51" t="s">
        <v>7</v>
      </c>
      <c r="B5" s="164">
        <f>IF(B$2=0,0,B$4/B$2)</f>
        <v>-5.7463020121245801E-17</v>
      </c>
      <c r="C5" s="165"/>
      <c r="E5" s="59" t="s">
        <v>166</v>
      </c>
      <c r="F5" s="56" t="s">
        <v>167</v>
      </c>
      <c r="G5" s="44">
        <v>697</v>
      </c>
      <c r="H5" s="129">
        <f>IF(B$15=0,0,G5/B$15)</f>
        <v>0.39988525530694208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9.7560975609756095</v>
      </c>
      <c r="P5" s="115">
        <v>615</v>
      </c>
      <c r="Q5" s="99">
        <v>6000</v>
      </c>
    </row>
    <row r="6" spans="1:17" x14ac:dyDescent="0.45">
      <c r="A6" s="51" t="s">
        <v>1</v>
      </c>
      <c r="B6" s="154">
        <f>IF(B$2=0,0,(B$7*1+B$8*2+B$9*3)/B$2)</f>
        <v>2</v>
      </c>
      <c r="C6" s="155"/>
      <c r="E6" s="59" t="s">
        <v>68</v>
      </c>
      <c r="F6" s="56" t="s">
        <v>12</v>
      </c>
      <c r="G6" s="44">
        <v>542</v>
      </c>
      <c r="H6" s="129">
        <f>IF(B$15=0,0,G6/B$15)</f>
        <v>0.31095811818703384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8.8652482269503547</v>
      </c>
      <c r="P6" s="115">
        <v>564</v>
      </c>
      <c r="Q6" s="99">
        <v>5000</v>
      </c>
    </row>
    <row r="7" spans="1:17" x14ac:dyDescent="0.45">
      <c r="A7" s="51" t="s">
        <v>2</v>
      </c>
      <c r="B7" s="44">
        <v>237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496</v>
      </c>
      <c r="H7" s="129">
        <f>IF(B$15=0,0,G7/B$15)</f>
        <v>0.28456683878370626</v>
      </c>
      <c r="I7" s="90">
        <v>5</v>
      </c>
      <c r="K7" s="36">
        <v>5</v>
      </c>
      <c r="L7" s="95">
        <v>-11.299999999999997</v>
      </c>
      <c r="N7" s="112" t="s">
        <v>135</v>
      </c>
      <c r="O7" s="119">
        <f t="shared" si="0"/>
        <v>12.738853503184714</v>
      </c>
      <c r="P7" s="116">
        <v>471</v>
      </c>
      <c r="Q7" s="100">
        <v>6000</v>
      </c>
    </row>
    <row r="8" spans="1:17" x14ac:dyDescent="0.45">
      <c r="A8" s="51" t="s">
        <v>3</v>
      </c>
      <c r="B8" s="44">
        <v>237</v>
      </c>
      <c r="C8" s="37">
        <f t="shared" si="1"/>
        <v>0.33333333333333331</v>
      </c>
      <c r="E8" s="59" t="s">
        <v>69</v>
      </c>
      <c r="F8" s="56" t="s">
        <v>24</v>
      </c>
      <c r="G8" s="44">
        <v>254</v>
      </c>
      <c r="H8" s="129">
        <f>IF(B$15=0,0,G8/B$15)</f>
        <v>0.14572576018359151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237</v>
      </c>
      <c r="C9" s="38">
        <f t="shared" si="1"/>
        <v>0.33333333333333331</v>
      </c>
      <c r="E9" s="59" t="s">
        <v>89</v>
      </c>
      <c r="F9" s="56" t="s">
        <v>44</v>
      </c>
      <c r="G9" s="44">
        <v>233</v>
      </c>
      <c r="H9" s="129">
        <f>IF(B$15=0,0,G9/B$15)</f>
        <v>0.13367756741250716</v>
      </c>
      <c r="I9" s="90">
        <v>4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70</v>
      </c>
      <c r="C10" s="40">
        <f t="shared" si="1"/>
        <v>9.8452883263009841E-2</v>
      </c>
      <c r="E10" s="59" t="s">
        <v>65</v>
      </c>
      <c r="F10" s="56" t="s">
        <v>21</v>
      </c>
      <c r="G10" s="44">
        <v>183</v>
      </c>
      <c r="H10" s="129">
        <f>IF(B$15=0,0,G10/B$15)</f>
        <v>0.10499139414802065</v>
      </c>
      <c r="I10" s="90">
        <v>7</v>
      </c>
      <c r="K10" s="36">
        <v>8</v>
      </c>
      <c r="L10" s="95">
        <v>-46.9</v>
      </c>
      <c r="N10" s="110" t="s">
        <v>157</v>
      </c>
      <c r="O10" s="120">
        <f>IF(P10=0,0,Q10/P10)</f>
        <v>-1.7362869198312243</v>
      </c>
      <c r="P10" s="114">
        <v>237</v>
      </c>
      <c r="Q10" s="102">
        <v>-411.50000000000017</v>
      </c>
    </row>
    <row r="11" spans="1:17" x14ac:dyDescent="0.45">
      <c r="A11" s="54" t="s">
        <v>121</v>
      </c>
      <c r="B11" s="47">
        <v>1495</v>
      </c>
      <c r="C11" s="42">
        <f>IF(B$3=0,0,B11/B$3)</f>
        <v>0.25308955476553241</v>
      </c>
      <c r="E11" s="59" t="s">
        <v>70</v>
      </c>
      <c r="F11" s="56" t="s">
        <v>25</v>
      </c>
      <c r="G11" s="44">
        <v>158</v>
      </c>
      <c r="H11" s="129">
        <f>IF(B$15=0,0,G11/B$15)</f>
        <v>9.064830751577739E-2</v>
      </c>
      <c r="I11" s="90">
        <v>8</v>
      </c>
      <c r="K11" s="36">
        <v>9</v>
      </c>
      <c r="L11" s="95">
        <v>0</v>
      </c>
      <c r="N11" s="111" t="s">
        <v>158</v>
      </c>
      <c r="O11" s="121">
        <f>IF(P11=0,0,Q11/P11)</f>
        <v>1.0924050632911393</v>
      </c>
      <c r="P11" s="115">
        <v>237</v>
      </c>
      <c r="Q11" s="103">
        <v>258.90000000000003</v>
      </c>
    </row>
    <row r="12" spans="1:17" x14ac:dyDescent="0.45">
      <c r="A12" s="51" t="s">
        <v>118</v>
      </c>
      <c r="B12" s="44">
        <v>1350</v>
      </c>
      <c r="C12" s="37">
        <f>IF(B$3=0,0,B12/B$3)</f>
        <v>0.22854240731335704</v>
      </c>
      <c r="E12" s="59" t="s">
        <v>71</v>
      </c>
      <c r="F12" s="56" t="s">
        <v>26</v>
      </c>
      <c r="G12" s="44">
        <v>138</v>
      </c>
      <c r="H12" s="129">
        <f>IF(B$15=0,0,G12/B$15)</f>
        <v>7.9173838209982791E-2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0.6438818565400839</v>
      </c>
      <c r="P12" s="116">
        <v>237</v>
      </c>
      <c r="Q12" s="104">
        <v>152.59999999999988</v>
      </c>
    </row>
    <row r="13" spans="1:17" x14ac:dyDescent="0.45">
      <c r="A13" s="50" t="s">
        <v>123</v>
      </c>
      <c r="B13" s="43">
        <f>B19</f>
        <v>836</v>
      </c>
      <c r="C13" s="35">
        <f>IF(B$11=0,0,B13/B$11)</f>
        <v>0.5591973244147157</v>
      </c>
      <c r="E13" s="59" t="s">
        <v>86</v>
      </c>
      <c r="F13" s="56" t="s">
        <v>41</v>
      </c>
      <c r="G13" s="44">
        <v>93</v>
      </c>
      <c r="H13" s="129">
        <f>IF(B$15=0,0,G13/B$15)</f>
        <v>5.3356282271944923E-2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563</v>
      </c>
      <c r="C14" s="35">
        <f>IF(B$12=0,0,B14/B$12)</f>
        <v>0.41703703703703704</v>
      </c>
      <c r="E14" s="59" t="s">
        <v>83</v>
      </c>
      <c r="F14" s="56" t="s">
        <v>38</v>
      </c>
      <c r="G14" s="44">
        <v>89</v>
      </c>
      <c r="H14" s="129">
        <f>IF(B$15=0,0,G14/B$15)</f>
        <v>5.1061388410786002E-2</v>
      </c>
      <c r="I14" s="90">
        <v>6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1743</v>
      </c>
      <c r="C15" s="35">
        <f>IF(B$3=0,0,B15/B$3)</f>
        <v>0.29507364144235654</v>
      </c>
      <c r="E15" s="59" t="s">
        <v>162</v>
      </c>
      <c r="F15" s="56" t="s">
        <v>163</v>
      </c>
      <c r="G15" s="44">
        <v>43</v>
      </c>
      <c r="H15" s="129">
        <f>IF(B$15=0,0,G15/B$15)</f>
        <v>2.4670109007458405E-2</v>
      </c>
      <c r="I15" s="90">
        <v>3</v>
      </c>
      <c r="K15" s="36">
        <v>13</v>
      </c>
      <c r="L15" s="95">
        <v>-1.7</v>
      </c>
      <c r="N15" s="110" t="s">
        <v>228</v>
      </c>
      <c r="O15" s="120">
        <f>IF(P15=0,0,Q15/P15)</f>
        <v>22.457142857142856</v>
      </c>
      <c r="P15" s="114">
        <v>14</v>
      </c>
      <c r="Q15" s="102">
        <v>314.39999999999998</v>
      </c>
    </row>
    <row r="16" spans="1:17" x14ac:dyDescent="0.45">
      <c r="A16" s="51" t="s">
        <v>13</v>
      </c>
      <c r="B16" s="44">
        <v>966</v>
      </c>
      <c r="C16" s="37">
        <f>IF(B$3=0,0,B16/B$3)</f>
        <v>0.16353478923311326</v>
      </c>
      <c r="E16" s="59" t="s">
        <v>78</v>
      </c>
      <c r="F16" s="56" t="s">
        <v>33</v>
      </c>
      <c r="G16" s="44">
        <v>41</v>
      </c>
      <c r="H16" s="129">
        <f>IF(B$15=0,0,G16/B$15)</f>
        <v>2.3522662076878944E-2</v>
      </c>
      <c r="I16" s="90">
        <v>5</v>
      </c>
      <c r="K16" s="36">
        <v>14</v>
      </c>
      <c r="L16" s="95">
        <v>24.3</v>
      </c>
      <c r="N16" s="111" t="s">
        <v>197</v>
      </c>
      <c r="O16" s="121">
        <f>IF(P16=0,0,Q16/P16)</f>
        <v>17.031249999999982</v>
      </c>
      <c r="P16" s="115">
        <v>96</v>
      </c>
      <c r="Q16" s="103">
        <v>1634.9999999999984</v>
      </c>
    </row>
    <row r="17" spans="1:17" x14ac:dyDescent="0.45">
      <c r="A17" s="51" t="s">
        <v>12</v>
      </c>
      <c r="B17" s="44">
        <v>769</v>
      </c>
      <c r="C17" s="37">
        <f>IF(B$15=0,0,B17/B$15)</f>
        <v>0.44119334480780265</v>
      </c>
      <c r="E17" s="59" t="s">
        <v>81</v>
      </c>
      <c r="F17" s="56" t="s">
        <v>36</v>
      </c>
      <c r="G17" s="44">
        <v>31</v>
      </c>
      <c r="H17" s="129">
        <f>IF(B$15=0,0,G17/B$15)</f>
        <v>1.7785427423981641E-2</v>
      </c>
      <c r="I17" s="90">
        <v>5</v>
      </c>
      <c r="K17" s="36">
        <v>15</v>
      </c>
      <c r="L17" s="95">
        <v>0</v>
      </c>
      <c r="N17" s="111" t="s">
        <v>161</v>
      </c>
      <c r="O17" s="121">
        <f>IF(P17=0,0,Q17/P17)</f>
        <v>12.143076923076922</v>
      </c>
      <c r="P17" s="115">
        <v>130</v>
      </c>
      <c r="Q17" s="103">
        <v>1578.6</v>
      </c>
    </row>
    <row r="18" spans="1:17" x14ac:dyDescent="0.45">
      <c r="A18" s="51" t="s">
        <v>11</v>
      </c>
      <c r="B18" s="44">
        <v>974</v>
      </c>
      <c r="C18" s="37">
        <f>IF(B$15=0,0,B18/B$15)</f>
        <v>0.55880665519219741</v>
      </c>
      <c r="E18" s="59" t="s">
        <v>91</v>
      </c>
      <c r="F18" s="56" t="s">
        <v>46</v>
      </c>
      <c r="G18" s="44">
        <v>24</v>
      </c>
      <c r="H18" s="129">
        <f>IF(B$15=0,0,G18/B$15)</f>
        <v>1.3769363166953529E-2</v>
      </c>
      <c r="I18" s="90">
        <v>5</v>
      </c>
      <c r="K18" s="36">
        <v>16</v>
      </c>
      <c r="L18" s="95">
        <v>-28.2</v>
      </c>
      <c r="N18" s="111" t="s">
        <v>172</v>
      </c>
      <c r="O18" s="121">
        <f>IF(P18=0,0,Q18/P18)</f>
        <v>9.4789156626505999</v>
      </c>
      <c r="P18" s="115">
        <v>166</v>
      </c>
      <c r="Q18" s="103">
        <v>1573.4999999999995</v>
      </c>
    </row>
    <row r="19" spans="1:17" x14ac:dyDescent="0.45">
      <c r="A19" s="51" t="s">
        <v>195</v>
      </c>
      <c r="B19" s="44">
        <v>836</v>
      </c>
      <c r="C19" s="37">
        <f>IF(B$15=0,0,B19/B$15)</f>
        <v>0.47963281698221455</v>
      </c>
      <c r="E19" s="59" t="s">
        <v>79</v>
      </c>
      <c r="F19" s="56" t="s">
        <v>34</v>
      </c>
      <c r="G19" s="44">
        <v>22</v>
      </c>
      <c r="H19" s="129">
        <f>IF(B$15=0,0,G19/B$15)</f>
        <v>1.2621916236374068E-2</v>
      </c>
      <c r="I19" s="90">
        <v>5</v>
      </c>
      <c r="K19" s="36">
        <v>17</v>
      </c>
      <c r="L19" s="95">
        <v>-20.5</v>
      </c>
      <c r="N19" s="111" t="s">
        <v>196</v>
      </c>
      <c r="O19" s="121">
        <f>IF(P19=0,0,Q19/P19)</f>
        <v>-0.13750000000000018</v>
      </c>
      <c r="P19" s="115">
        <v>48</v>
      </c>
      <c r="Q19" s="103">
        <v>-6.6000000000000085</v>
      </c>
    </row>
    <row r="20" spans="1:17" x14ac:dyDescent="0.45">
      <c r="A20" s="51" t="s">
        <v>193</v>
      </c>
      <c r="B20" s="44">
        <v>563</v>
      </c>
      <c r="C20" s="37">
        <f>IF(B$15=0,0,B20/B$15)</f>
        <v>0.32300631095811821</v>
      </c>
      <c r="E20" s="59" t="s">
        <v>75</v>
      </c>
      <c r="F20" s="56" t="s">
        <v>30</v>
      </c>
      <c r="G20" s="44">
        <v>13</v>
      </c>
      <c r="H20" s="129">
        <f>IF(B$15=0,0,G20/B$15)</f>
        <v>7.4584050487664947E-3</v>
      </c>
      <c r="I20" s="90">
        <v>4</v>
      </c>
      <c r="K20" s="36">
        <v>18</v>
      </c>
      <c r="L20" s="95">
        <v>0</v>
      </c>
      <c r="N20" s="111" t="s">
        <v>127</v>
      </c>
      <c r="O20" s="121">
        <f>IF(P20=0,0,Q20/P20)</f>
        <v>-0.28720930232558611</v>
      </c>
      <c r="P20" s="115">
        <v>258</v>
      </c>
      <c r="Q20" s="103">
        <v>-74.100000000001216</v>
      </c>
    </row>
    <row r="21" spans="1:17" x14ac:dyDescent="0.45">
      <c r="A21" s="51" t="s">
        <v>194</v>
      </c>
      <c r="B21" s="44">
        <v>344</v>
      </c>
      <c r="C21" s="37">
        <f>IF(B$15=0,0,B21/B$15)</f>
        <v>0.19736087205966724</v>
      </c>
      <c r="E21" s="59" t="s">
        <v>92</v>
      </c>
      <c r="F21" s="56" t="s">
        <v>47</v>
      </c>
      <c r="G21" s="44">
        <v>11</v>
      </c>
      <c r="H21" s="129">
        <f>IF(B$15=0,0,G21/B$15)</f>
        <v>6.3109581181870341E-3</v>
      </c>
      <c r="I21" s="90">
        <v>5</v>
      </c>
      <c r="K21" s="36">
        <v>19</v>
      </c>
      <c r="L21" s="95">
        <v>-22.4</v>
      </c>
      <c r="N21" s="111" t="s">
        <v>171</v>
      </c>
      <c r="O21" s="121">
        <f>IF(P21=0,0,Q21/P21)</f>
        <v>-1.6377272727272736</v>
      </c>
      <c r="P21" s="115">
        <v>220</v>
      </c>
      <c r="Q21" s="103">
        <v>-360.30000000000018</v>
      </c>
    </row>
    <row r="22" spans="1:17" x14ac:dyDescent="0.45">
      <c r="A22" s="51" t="s">
        <v>5</v>
      </c>
      <c r="B22" s="48">
        <f>IF(B$15=0,0,C22/B$15)</f>
        <v>8452.954675846242</v>
      </c>
      <c r="C22" s="39">
        <v>14733500</v>
      </c>
      <c r="E22" s="59" t="s">
        <v>73</v>
      </c>
      <c r="F22" s="56" t="s">
        <v>28</v>
      </c>
      <c r="G22" s="44">
        <v>8</v>
      </c>
      <c r="H22" s="129">
        <f>IF(B$15=0,0,G22/B$15)</f>
        <v>4.5897877223178424E-3</v>
      </c>
      <c r="I22" s="90">
        <v>3</v>
      </c>
      <c r="K22" s="36">
        <v>20</v>
      </c>
      <c r="L22" s="95">
        <v>-61.199999999999996</v>
      </c>
      <c r="N22" s="111" t="s">
        <v>170</v>
      </c>
      <c r="O22" s="121">
        <f>IF(P22=0,0,Q22/P22)</f>
        <v>-5.1757731958762863</v>
      </c>
      <c r="P22" s="115">
        <v>194</v>
      </c>
      <c r="Q22" s="103">
        <v>-1004.0999999999996</v>
      </c>
    </row>
    <row r="23" spans="1:17" x14ac:dyDescent="0.45">
      <c r="A23" s="52" t="s">
        <v>177</v>
      </c>
      <c r="B23" s="136">
        <f>IF($B$15-B$14=0,0,C23/($B$15-B$14))</f>
        <v>9058.4745762711864</v>
      </c>
      <c r="C23" s="137">
        <v>10689000</v>
      </c>
      <c r="E23" s="59" t="s">
        <v>84</v>
      </c>
      <c r="F23" s="56" t="s">
        <v>39</v>
      </c>
      <c r="G23" s="44">
        <v>7</v>
      </c>
      <c r="H23" s="129">
        <f>IF(B$15=0,0,G23/B$15)</f>
        <v>4.0160642570281121E-3</v>
      </c>
      <c r="I23" s="90">
        <v>4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-12.155172413793098</v>
      </c>
      <c r="P23" s="115">
        <v>290</v>
      </c>
      <c r="Q23" s="103">
        <v>-3524.9999999999982</v>
      </c>
    </row>
    <row r="24" spans="1:17" x14ac:dyDescent="0.45">
      <c r="A24" s="52" t="s">
        <v>178</v>
      </c>
      <c r="B24" s="136">
        <f>IF(B$14=0,0,C24/B$14)</f>
        <v>7183.8365896980458</v>
      </c>
      <c r="C24" s="137">
        <v>4044500</v>
      </c>
      <c r="E24" s="59" t="s">
        <v>74</v>
      </c>
      <c r="F24" s="56" t="s">
        <v>29</v>
      </c>
      <c r="G24" s="44">
        <v>6</v>
      </c>
      <c r="H24" s="129">
        <f>IF(B$15=0,0,G24/B$15)</f>
        <v>3.4423407917383822E-3</v>
      </c>
      <c r="I24" s="90">
        <v>5</v>
      </c>
      <c r="K24" s="36">
        <v>22</v>
      </c>
      <c r="L24" s="95">
        <v>-25.099999999999994</v>
      </c>
      <c r="N24" s="111" t="s">
        <v>203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5">
      <c r="A25" s="52" t="s">
        <v>176</v>
      </c>
      <c r="B25" s="136">
        <f>IF(B$16=0,0,C25/B$16)</f>
        <v>-7798.6542443064181</v>
      </c>
      <c r="C25" s="137">
        <v>-7533500</v>
      </c>
      <c r="E25" s="59" t="s">
        <v>85</v>
      </c>
      <c r="F25" s="56" t="s">
        <v>40</v>
      </c>
      <c r="G25" s="44">
        <v>6</v>
      </c>
      <c r="H25" s="129">
        <f>IF(B$15=0,0,G25/B$15)</f>
        <v>3.4423407917383822E-3</v>
      </c>
      <c r="I25" s="90">
        <v>5</v>
      </c>
      <c r="K25" s="36">
        <v>23</v>
      </c>
      <c r="L25" s="95">
        <v>-26.799999999999994</v>
      </c>
      <c r="N25" s="111" t="s">
        <v>274</v>
      </c>
      <c r="O25" s="121">
        <f>IF(P25=0,0,Q25/P25)</f>
        <v>-26.400000000000002</v>
      </c>
      <c r="P25" s="115">
        <v>2</v>
      </c>
      <c r="Q25" s="103">
        <v>-52.800000000000004</v>
      </c>
    </row>
    <row r="26" spans="1:17" x14ac:dyDescent="0.45">
      <c r="A26" s="51" t="s">
        <v>164</v>
      </c>
      <c r="B26" s="44">
        <v>7</v>
      </c>
      <c r="C26" s="131">
        <v>1</v>
      </c>
      <c r="E26" s="59" t="s">
        <v>77</v>
      </c>
      <c r="F26" s="56" t="s">
        <v>32</v>
      </c>
      <c r="G26" s="44">
        <v>5</v>
      </c>
      <c r="H26" s="129">
        <f>IF(B$15=0,0,G26/B$15)</f>
        <v>2.8686173264486519E-3</v>
      </c>
      <c r="I26" s="90">
        <v>4</v>
      </c>
      <c r="K26" s="36">
        <v>24</v>
      </c>
      <c r="L26" s="95">
        <v>7.1054273576010019E-15</v>
      </c>
    </row>
    <row r="27" spans="1:17" x14ac:dyDescent="0.45">
      <c r="A27" s="51" t="s">
        <v>165</v>
      </c>
      <c r="B27" s="44">
        <v>31</v>
      </c>
      <c r="C27" s="131">
        <v>1</v>
      </c>
      <c r="E27" s="59" t="s">
        <v>88</v>
      </c>
      <c r="F27" s="56" t="s">
        <v>43</v>
      </c>
      <c r="G27" s="44">
        <v>5</v>
      </c>
      <c r="H27" s="129">
        <f>IF(B$15=0,0,G27/B$15)</f>
        <v>2.8686173264486519E-3</v>
      </c>
      <c r="I27" s="90">
        <v>4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52">
        <v>8</v>
      </c>
      <c r="C28" s="153"/>
      <c r="E28" s="59" t="s">
        <v>90</v>
      </c>
      <c r="F28" s="56" t="s">
        <v>45</v>
      </c>
      <c r="G28" s="44">
        <v>4</v>
      </c>
      <c r="H28" s="129">
        <f>IF(B$15=0,0,G28/B$15)</f>
        <v>2.2948938611589212E-3</v>
      </c>
      <c r="I28" s="90">
        <v>4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50">
        <v>149100</v>
      </c>
      <c r="C29" s="151"/>
      <c r="E29" s="59" t="s">
        <v>95</v>
      </c>
      <c r="F29" s="56" t="s">
        <v>50</v>
      </c>
      <c r="G29" s="44">
        <v>4</v>
      </c>
      <c r="H29" s="129">
        <f>IF(B$15=0,0,G29/B$15)</f>
        <v>2.2948938611589212E-3</v>
      </c>
      <c r="I29" s="90">
        <v>4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16</v>
      </c>
      <c r="C30" s="40">
        <f>IF(B$3=0,0,B30/B$3)</f>
        <v>2.7086507533434908E-3</v>
      </c>
      <c r="E30" s="59" t="s">
        <v>93</v>
      </c>
      <c r="F30" s="56" t="s">
        <v>48</v>
      </c>
      <c r="G30" s="44">
        <v>3</v>
      </c>
      <c r="H30" s="129">
        <f>IF(B$15=0,0,G30/B$15)</f>
        <v>1.7211703958691911E-3</v>
      </c>
      <c r="I30" s="90">
        <v>4</v>
      </c>
      <c r="K30" s="36">
        <v>28</v>
      </c>
      <c r="L30" s="95">
        <v>-30.199999999999992</v>
      </c>
    </row>
    <row r="31" spans="1:17" x14ac:dyDescent="0.45">
      <c r="E31" s="59" t="s">
        <v>87</v>
      </c>
      <c r="F31" s="56" t="s">
        <v>42</v>
      </c>
      <c r="G31" s="44">
        <v>2</v>
      </c>
      <c r="H31" s="129">
        <f>IF(B$15=0,0,G31/B$15)</f>
        <v>1.1474469305794606E-3</v>
      </c>
      <c r="I31" s="90">
        <v>3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132</v>
      </c>
      <c r="C32" s="141">
        <f>IF(B$15=0,0,B32/B$15)</f>
        <v>7.5731497418244406E-2</v>
      </c>
      <c r="E32" s="59" t="s">
        <v>97</v>
      </c>
      <c r="F32" s="56" t="s">
        <v>52</v>
      </c>
      <c r="G32" s="44">
        <v>1</v>
      </c>
      <c r="H32" s="129">
        <f>IF(B$15=0,0,G32/B$15)</f>
        <v>5.737234652897303E-4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290</v>
      </c>
      <c r="C33" s="37">
        <f t="shared" ref="C33:C44" si="2">IF(B$15=0,0,B33/B$15)</f>
        <v>0.1663798049340218</v>
      </c>
      <c r="E33" s="59" t="s">
        <v>101</v>
      </c>
      <c r="F33" s="56" t="s">
        <v>56</v>
      </c>
      <c r="G33" s="44">
        <v>1</v>
      </c>
      <c r="H33" s="129">
        <f>IF(B$15=0,0,G33/B$15)</f>
        <v>5.737234652897303E-4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346</v>
      </c>
      <c r="C34" s="37">
        <f>IF(B$15=0,0,B34/B$15)</f>
        <v>0.19850831899024671</v>
      </c>
      <c r="E34" s="59" t="s">
        <v>106</v>
      </c>
      <c r="F34" s="56" t="s">
        <v>113</v>
      </c>
      <c r="G34" s="44">
        <v>1</v>
      </c>
      <c r="H34" s="129">
        <f>IF(B$15=0,0,G34/B$15)</f>
        <v>5.737234652897303E-4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306</v>
      </c>
      <c r="C35" s="37">
        <f t="shared" si="2"/>
        <v>0.17555938037865748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282</v>
      </c>
      <c r="C36" s="37">
        <f t="shared" si="2"/>
        <v>0.16179001721170397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183</v>
      </c>
      <c r="C37" s="37">
        <f t="shared" si="2"/>
        <v>0.10499139414802065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92</v>
      </c>
      <c r="C38" s="37">
        <f t="shared" si="2"/>
        <v>5.2782558806655194E-2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52</v>
      </c>
      <c r="C39" s="37">
        <f t="shared" si="2"/>
        <v>2.9833620195065979E-2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20</v>
      </c>
      <c r="C40" s="37">
        <f t="shared" si="2"/>
        <v>1.1474469305794608E-2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7</v>
      </c>
      <c r="C41" s="37">
        <f t="shared" si="2"/>
        <v>4.0160642570281121E-3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6</v>
      </c>
      <c r="C42" s="37">
        <f t="shared" si="2"/>
        <v>3.4423407917383822E-3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3.4423407917383822E-3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21</v>
      </c>
      <c r="C44" s="40">
        <f t="shared" si="2"/>
        <v>1.2048192771084338E-2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500CF-74A8-42FF-AB0B-83A1F20C2F6E}">
  <sheetPr codeName="Sheet7"/>
  <dimension ref="A1:Q6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161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65</v>
      </c>
      <c r="C2" s="159"/>
      <c r="E2" s="58" t="s">
        <v>66</v>
      </c>
      <c r="F2" s="55" t="s">
        <v>22</v>
      </c>
      <c r="G2" s="43">
        <v>116</v>
      </c>
      <c r="H2" s="128">
        <f>IF(B$15=0,0,G2/B$15)</f>
        <v>0.75324675324675328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1363.0769230769231</v>
      </c>
      <c r="P2" s="114">
        <v>65</v>
      </c>
      <c r="Q2" s="98">
        <v>88600</v>
      </c>
    </row>
    <row r="3" spans="1:17" x14ac:dyDescent="0.45">
      <c r="A3" s="51" t="s">
        <v>8</v>
      </c>
      <c r="B3" s="160">
        <v>577</v>
      </c>
      <c r="C3" s="161"/>
      <c r="E3" s="59" t="s">
        <v>72</v>
      </c>
      <c r="F3" s="56" t="s">
        <v>27</v>
      </c>
      <c r="G3" s="44">
        <v>87</v>
      </c>
      <c r="H3" s="129">
        <f>IF(B$15=0,0,G3/B$15)</f>
        <v>0.56493506493506496</v>
      </c>
      <c r="I3" s="90">
        <v>4</v>
      </c>
      <c r="K3" s="36">
        <v>1</v>
      </c>
      <c r="L3" s="95">
        <v>-4.5999999999999996</v>
      </c>
      <c r="N3" s="111" t="s">
        <v>131</v>
      </c>
      <c r="O3" s="118">
        <f t="shared" si="0"/>
        <v>-2112.5</v>
      </c>
      <c r="P3" s="115">
        <v>64</v>
      </c>
      <c r="Q3" s="99">
        <v>-135200</v>
      </c>
    </row>
    <row r="4" spans="1:17" x14ac:dyDescent="0.45">
      <c r="A4" s="51" t="s">
        <v>6</v>
      </c>
      <c r="B4" s="162">
        <v>-526.20000000000016</v>
      </c>
      <c r="C4" s="163"/>
      <c r="E4" s="59" t="s">
        <v>166</v>
      </c>
      <c r="F4" s="56" t="s">
        <v>167</v>
      </c>
      <c r="G4" s="44">
        <v>63</v>
      </c>
      <c r="H4" s="129">
        <f>IF(B$15=0,0,G4/B$15)</f>
        <v>0.40909090909090912</v>
      </c>
      <c r="I4" s="90">
        <v>3</v>
      </c>
      <c r="K4" s="36">
        <v>2</v>
      </c>
      <c r="L4" s="95">
        <v>19.899999999999999</v>
      </c>
      <c r="N4" s="111" t="s">
        <v>132</v>
      </c>
      <c r="O4" s="118">
        <f t="shared" si="0"/>
        <v>-1511.2903225806451</v>
      </c>
      <c r="P4" s="115">
        <v>62</v>
      </c>
      <c r="Q4" s="99">
        <v>-93700</v>
      </c>
    </row>
    <row r="5" spans="1:17" x14ac:dyDescent="0.45">
      <c r="A5" s="51" t="s">
        <v>7</v>
      </c>
      <c r="B5" s="164">
        <f>IF(B$2=0,0,B$4/B$2)</f>
        <v>-8.0953846153846172</v>
      </c>
      <c r="C5" s="165"/>
      <c r="E5" s="59" t="s">
        <v>64</v>
      </c>
      <c r="F5" s="56" t="s">
        <v>20</v>
      </c>
      <c r="G5" s="44">
        <v>41</v>
      </c>
      <c r="H5" s="129">
        <f>IF(B$15=0,0,G5/B$15)</f>
        <v>0.26623376623376621</v>
      </c>
      <c r="I5" s="90">
        <v>12</v>
      </c>
      <c r="K5" s="36">
        <v>3</v>
      </c>
      <c r="L5" s="95">
        <v>-8.3000000000000007</v>
      </c>
      <c r="N5" s="111" t="s">
        <v>133</v>
      </c>
      <c r="O5" s="118">
        <f t="shared" si="0"/>
        <v>-1355.1724137931035</v>
      </c>
      <c r="P5" s="115">
        <v>58</v>
      </c>
      <c r="Q5" s="99">
        <v>-78600</v>
      </c>
    </row>
    <row r="6" spans="1:17" x14ac:dyDescent="0.45">
      <c r="A6" s="51" t="s">
        <v>1</v>
      </c>
      <c r="B6" s="154">
        <f>IF(B$2=0,0,(B$7*1+B$8*2+B$9*3)/B$2)</f>
        <v>2.1846153846153844</v>
      </c>
      <c r="C6" s="155"/>
      <c r="E6" s="59" t="s">
        <v>68</v>
      </c>
      <c r="F6" s="56" t="s">
        <v>12</v>
      </c>
      <c r="G6" s="44">
        <v>39</v>
      </c>
      <c r="H6" s="129">
        <f>IF(B$15=0,0,G6/B$15)</f>
        <v>0.25324675324675322</v>
      </c>
      <c r="I6" s="90">
        <v>9</v>
      </c>
      <c r="K6" s="36">
        <v>4</v>
      </c>
      <c r="L6" s="95">
        <v>-30.7</v>
      </c>
      <c r="N6" s="111" t="s">
        <v>134</v>
      </c>
      <c r="O6" s="118">
        <f t="shared" si="0"/>
        <v>-221.05263157894737</v>
      </c>
      <c r="P6" s="115">
        <v>57</v>
      </c>
      <c r="Q6" s="99">
        <v>-12600</v>
      </c>
    </row>
    <row r="7" spans="1:17" x14ac:dyDescent="0.45">
      <c r="A7" s="51" t="s">
        <v>2</v>
      </c>
      <c r="B7" s="44">
        <v>20</v>
      </c>
      <c r="C7" s="37">
        <f t="shared" ref="C7:C10" si="1">IF(B$2=0,0,B7/B$2)</f>
        <v>0.30769230769230771</v>
      </c>
      <c r="E7" s="59" t="s">
        <v>69</v>
      </c>
      <c r="F7" s="56" t="s">
        <v>24</v>
      </c>
      <c r="G7" s="44">
        <v>30</v>
      </c>
      <c r="H7" s="129">
        <f>IF(B$15=0,0,G7/B$15)</f>
        <v>0.19480519480519481</v>
      </c>
      <c r="I7" s="90">
        <v>4</v>
      </c>
      <c r="K7" s="36">
        <v>5</v>
      </c>
      <c r="L7" s="95">
        <v>-55.8</v>
      </c>
      <c r="N7" s="112" t="s">
        <v>135</v>
      </c>
      <c r="O7" s="119">
        <f t="shared" si="0"/>
        <v>-2379.591836734694</v>
      </c>
      <c r="P7" s="116">
        <v>49</v>
      </c>
      <c r="Q7" s="100">
        <v>-116600</v>
      </c>
    </row>
    <row r="8" spans="1:17" x14ac:dyDescent="0.45">
      <c r="A8" s="51" t="s">
        <v>3</v>
      </c>
      <c r="B8" s="44">
        <v>13</v>
      </c>
      <c r="C8" s="37">
        <f t="shared" si="1"/>
        <v>0.2</v>
      </c>
      <c r="E8" s="59" t="s">
        <v>67</v>
      </c>
      <c r="F8" s="56" t="s">
        <v>23</v>
      </c>
      <c r="G8" s="44">
        <v>23</v>
      </c>
      <c r="H8" s="129">
        <f>IF(B$15=0,0,G8/B$15)</f>
        <v>0.14935064935064934</v>
      </c>
      <c r="I8" s="90">
        <v>11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32</v>
      </c>
      <c r="C9" s="38">
        <f t="shared" si="1"/>
        <v>0.49230769230769234</v>
      </c>
      <c r="E9" s="59" t="s">
        <v>70</v>
      </c>
      <c r="F9" s="56" t="s">
        <v>25</v>
      </c>
      <c r="G9" s="44">
        <v>19</v>
      </c>
      <c r="H9" s="129">
        <f>IF(B$15=0,0,G9/B$15)</f>
        <v>0.12337662337662338</v>
      </c>
      <c r="I9" s="90">
        <v>4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5</v>
      </c>
      <c r="C10" s="40">
        <f t="shared" si="1"/>
        <v>7.6923076923076927E-2</v>
      </c>
      <c r="E10" s="59" t="s">
        <v>71</v>
      </c>
      <c r="F10" s="56" t="s">
        <v>26</v>
      </c>
      <c r="G10" s="44">
        <v>16</v>
      </c>
      <c r="H10" s="129">
        <f>IF(B$15=0,0,G10/B$15)</f>
        <v>0.1038961038961039</v>
      </c>
      <c r="I10" s="90">
        <v>3</v>
      </c>
      <c r="K10" s="36">
        <v>8</v>
      </c>
      <c r="L10" s="95">
        <v>-76.900000000000006</v>
      </c>
      <c r="N10" s="110" t="s">
        <v>157</v>
      </c>
      <c r="O10" s="120">
        <f>IF(P10=0,0,Q10/P10)</f>
        <v>-12.975999999999999</v>
      </c>
      <c r="P10" s="114">
        <v>25</v>
      </c>
      <c r="Q10" s="102">
        <v>-324.39999999999998</v>
      </c>
    </row>
    <row r="11" spans="1:17" x14ac:dyDescent="0.45">
      <c r="A11" s="54" t="s">
        <v>121</v>
      </c>
      <c r="B11" s="47">
        <v>84</v>
      </c>
      <c r="C11" s="42">
        <f>IF(B$3=0,0,B11/B$3)</f>
        <v>0.14558058925476602</v>
      </c>
      <c r="E11" s="59" t="s">
        <v>83</v>
      </c>
      <c r="F11" s="56" t="s">
        <v>38</v>
      </c>
      <c r="G11" s="44">
        <v>13</v>
      </c>
      <c r="H11" s="129">
        <f>IF(B$15=0,0,G11/B$15)</f>
        <v>8.4415584415584416E-2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-8.1105263157894729</v>
      </c>
      <c r="P11" s="115">
        <v>19</v>
      </c>
      <c r="Q11" s="103">
        <v>-154.1</v>
      </c>
    </row>
    <row r="12" spans="1:17" x14ac:dyDescent="0.45">
      <c r="A12" s="51" t="s">
        <v>118</v>
      </c>
      <c r="B12" s="44">
        <v>141</v>
      </c>
      <c r="C12" s="37">
        <f>IF(B$3=0,0,B12/B$3)</f>
        <v>0.24436741767764297</v>
      </c>
      <c r="E12" s="59" t="s">
        <v>65</v>
      </c>
      <c r="F12" s="56" t="s">
        <v>21</v>
      </c>
      <c r="G12" s="44">
        <v>9</v>
      </c>
      <c r="H12" s="129">
        <f>IF(B$15=0,0,G12/B$15)</f>
        <v>5.844155844155844E-2</v>
      </c>
      <c r="I12" s="90">
        <v>11</v>
      </c>
      <c r="K12" s="36">
        <v>10</v>
      </c>
      <c r="L12" s="95">
        <v>-32.700000000000003</v>
      </c>
      <c r="N12" s="112" t="s">
        <v>159</v>
      </c>
      <c r="O12" s="122">
        <f>IF(P12=0,0,Q12/P12)</f>
        <v>-2.2714285714285709</v>
      </c>
      <c r="P12" s="116">
        <v>21</v>
      </c>
      <c r="Q12" s="104">
        <v>-47.699999999999989</v>
      </c>
    </row>
    <row r="13" spans="1:17" x14ac:dyDescent="0.45">
      <c r="A13" s="50" t="s">
        <v>123</v>
      </c>
      <c r="B13" s="43">
        <f>B19</f>
        <v>42</v>
      </c>
      <c r="C13" s="35">
        <f>IF(B$11=0,0,B13/B$11)</f>
        <v>0.5</v>
      </c>
      <c r="E13" s="59" t="s">
        <v>89</v>
      </c>
      <c r="F13" s="56" t="s">
        <v>44</v>
      </c>
      <c r="G13" s="44">
        <v>9</v>
      </c>
      <c r="H13" s="129">
        <f>IF(B$15=0,0,G13/B$15)</f>
        <v>5.844155844155844E-2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57</v>
      </c>
      <c r="C14" s="35">
        <f>IF(B$12=0,0,B14/B$12)</f>
        <v>0.40425531914893614</v>
      </c>
      <c r="E14" s="59" t="s">
        <v>81</v>
      </c>
      <c r="F14" s="56" t="s">
        <v>36</v>
      </c>
      <c r="G14" s="44">
        <v>5</v>
      </c>
      <c r="H14" s="129">
        <f>IF(B$15=0,0,G14/B$15)</f>
        <v>3.2467532467532464E-2</v>
      </c>
      <c r="I14" s="90">
        <v>1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154</v>
      </c>
      <c r="C15" s="35">
        <f>IF(B$3=0,0,B15/B$3)</f>
        <v>0.26689774696707108</v>
      </c>
      <c r="E15" s="59" t="s">
        <v>86</v>
      </c>
      <c r="F15" s="56" t="s">
        <v>41</v>
      </c>
      <c r="G15" s="44">
        <v>5</v>
      </c>
      <c r="H15" s="129">
        <f>IF(B$15=0,0,G15/B$15)</f>
        <v>3.2467532467532464E-2</v>
      </c>
      <c r="I15" s="90">
        <v>9</v>
      </c>
      <c r="K15" s="36">
        <v>13</v>
      </c>
      <c r="L15" s="95">
        <v>-66.2</v>
      </c>
      <c r="N15" s="110" t="s">
        <v>196</v>
      </c>
      <c r="O15" s="120">
        <f>IF(P15=0,0,Q15/P15)</f>
        <v>7.4333333333333345</v>
      </c>
      <c r="P15" s="114">
        <v>6</v>
      </c>
      <c r="Q15" s="102">
        <v>44.600000000000009</v>
      </c>
    </row>
    <row r="16" spans="1:17" x14ac:dyDescent="0.45">
      <c r="A16" s="51" t="s">
        <v>13</v>
      </c>
      <c r="B16" s="44">
        <v>93</v>
      </c>
      <c r="C16" s="37">
        <f>IF(B$3=0,0,B16/B$3)</f>
        <v>0.16117850953206239</v>
      </c>
      <c r="E16" s="59" t="s">
        <v>79</v>
      </c>
      <c r="F16" s="56" t="s">
        <v>34</v>
      </c>
      <c r="G16" s="44">
        <v>3</v>
      </c>
      <c r="H16" s="129">
        <f>IF(B$15=0,0,G16/B$15)</f>
        <v>1.948051948051948E-2</v>
      </c>
      <c r="I16" s="90">
        <v>3</v>
      </c>
      <c r="K16" s="36">
        <v>14</v>
      </c>
      <c r="L16" s="95">
        <v>-51.1</v>
      </c>
      <c r="N16" s="111" t="s">
        <v>171</v>
      </c>
      <c r="O16" s="121">
        <f>IF(P16=0,0,Q16/P16)</f>
        <v>-3.9454545454545453</v>
      </c>
      <c r="P16" s="115">
        <v>22</v>
      </c>
      <c r="Q16" s="103">
        <v>-86.8</v>
      </c>
    </row>
    <row r="17" spans="1:17" x14ac:dyDescent="0.45">
      <c r="A17" s="51" t="s">
        <v>12</v>
      </c>
      <c r="B17" s="44">
        <v>59</v>
      </c>
      <c r="C17" s="37">
        <f>IF(B$15=0,0,B17/B$15)</f>
        <v>0.38311688311688313</v>
      </c>
      <c r="E17" s="59" t="s">
        <v>91</v>
      </c>
      <c r="F17" s="56" t="s">
        <v>46</v>
      </c>
      <c r="G17" s="44">
        <v>3</v>
      </c>
      <c r="H17" s="129">
        <f>IF(B$15=0,0,G17/B$15)</f>
        <v>1.948051948051948E-2</v>
      </c>
      <c r="I17" s="90">
        <v>3</v>
      </c>
      <c r="K17" s="36">
        <v>15</v>
      </c>
      <c r="L17" s="95">
        <v>-65.2</v>
      </c>
      <c r="N17" s="111" t="s">
        <v>127</v>
      </c>
      <c r="O17" s="121">
        <f>IF(P17=0,0,Q17/P17)</f>
        <v>-4.1851851851851869</v>
      </c>
      <c r="P17" s="115">
        <v>27</v>
      </c>
      <c r="Q17" s="103">
        <v>-113.00000000000004</v>
      </c>
    </row>
    <row r="18" spans="1:17" x14ac:dyDescent="0.45">
      <c r="A18" s="51" t="s">
        <v>11</v>
      </c>
      <c r="B18" s="44">
        <v>95</v>
      </c>
      <c r="C18" s="37">
        <f>IF(B$15=0,0,B18/B$15)</f>
        <v>0.61688311688311692</v>
      </c>
      <c r="E18" s="59" t="s">
        <v>88</v>
      </c>
      <c r="F18" s="56" t="s">
        <v>43</v>
      </c>
      <c r="G18" s="44">
        <v>2</v>
      </c>
      <c r="H18" s="129">
        <f>IF(B$15=0,0,G18/B$15)</f>
        <v>1.2987012987012988E-2</v>
      </c>
      <c r="I18" s="90">
        <v>1</v>
      </c>
      <c r="K18" s="36">
        <v>16</v>
      </c>
      <c r="L18" s="95">
        <v>-70.600000000000009</v>
      </c>
      <c r="N18" s="111" t="s">
        <v>172</v>
      </c>
      <c r="O18" s="121">
        <f>IF(P18=0,0,Q18/P18)</f>
        <v>-8.6066666666666709</v>
      </c>
      <c r="P18" s="115">
        <v>15</v>
      </c>
      <c r="Q18" s="103">
        <v>-129.10000000000005</v>
      </c>
    </row>
    <row r="19" spans="1:17" x14ac:dyDescent="0.45">
      <c r="A19" s="51" t="s">
        <v>195</v>
      </c>
      <c r="B19" s="44">
        <v>42</v>
      </c>
      <c r="C19" s="37">
        <f>IF(B$15=0,0,B19/B$15)</f>
        <v>0.27272727272727271</v>
      </c>
      <c r="E19" s="59" t="s">
        <v>74</v>
      </c>
      <c r="F19" s="56" t="s">
        <v>29</v>
      </c>
      <c r="G19" s="44">
        <v>1</v>
      </c>
      <c r="H19" s="129">
        <f>IF(B$15=0,0,G19/B$15)</f>
        <v>6.4935064935064939E-3</v>
      </c>
      <c r="I19" s="90">
        <v>2</v>
      </c>
      <c r="K19" s="36">
        <v>17</v>
      </c>
      <c r="L19" s="95">
        <v>-65.2</v>
      </c>
      <c r="N19" s="111" t="s">
        <v>126</v>
      </c>
      <c r="O19" s="121">
        <f>IF(P19=0,0,Q19/P19)</f>
        <v>-10.394117647058824</v>
      </c>
      <c r="P19" s="115">
        <v>34</v>
      </c>
      <c r="Q19" s="103">
        <v>-353.40000000000003</v>
      </c>
    </row>
    <row r="20" spans="1:17" x14ac:dyDescent="0.45">
      <c r="A20" s="51" t="s">
        <v>193</v>
      </c>
      <c r="B20" s="44">
        <v>57</v>
      </c>
      <c r="C20" s="37">
        <f>IF(B$15=0,0,B20/B$15)</f>
        <v>0.37012987012987014</v>
      </c>
      <c r="E20" s="59" t="s">
        <v>75</v>
      </c>
      <c r="F20" s="56" t="s">
        <v>30</v>
      </c>
      <c r="G20" s="44">
        <v>1</v>
      </c>
      <c r="H20" s="129">
        <f>IF(B$15=0,0,G20/B$15)</f>
        <v>6.4935064935064939E-3</v>
      </c>
      <c r="I20" s="90">
        <v>5</v>
      </c>
      <c r="K20" s="36">
        <v>18</v>
      </c>
      <c r="L20" s="95">
        <v>-80.2</v>
      </c>
      <c r="N20" s="111" t="s">
        <v>197</v>
      </c>
      <c r="O20" s="121">
        <f>IF(P20=0,0,Q20/P20)</f>
        <v>-34.137499999999996</v>
      </c>
      <c r="P20" s="115">
        <v>8</v>
      </c>
      <c r="Q20" s="103">
        <v>-273.09999999999997</v>
      </c>
    </row>
    <row r="21" spans="1:17" x14ac:dyDescent="0.45">
      <c r="A21" s="51" t="s">
        <v>194</v>
      </c>
      <c r="B21" s="44">
        <v>55</v>
      </c>
      <c r="C21" s="37">
        <f>IF(B$15=0,0,B21/B$15)</f>
        <v>0.35714285714285715</v>
      </c>
      <c r="E21" s="59" t="s">
        <v>77</v>
      </c>
      <c r="F21" s="56" t="s">
        <v>32</v>
      </c>
      <c r="G21" s="44">
        <v>1</v>
      </c>
      <c r="H21" s="129">
        <f>IF(B$15=0,0,G21/B$15)</f>
        <v>6.4935064935064939E-3</v>
      </c>
      <c r="I21" s="90">
        <v>2</v>
      </c>
      <c r="K21" s="36">
        <v>19</v>
      </c>
      <c r="L21" s="95">
        <v>-115.1</v>
      </c>
      <c r="N21" s="111" t="s">
        <v>170</v>
      </c>
      <c r="O21" s="121">
        <f>IF(P21=0,0,Q21/P21)</f>
        <v>-37.1</v>
      </c>
      <c r="P21" s="115">
        <v>18</v>
      </c>
      <c r="Q21" s="103">
        <v>-667.80000000000007</v>
      </c>
    </row>
    <row r="22" spans="1:17" x14ac:dyDescent="0.45">
      <c r="A22" s="51" t="s">
        <v>5</v>
      </c>
      <c r="B22" s="48">
        <f>IF(B$15=0,0,C22/B$15)</f>
        <v>7048.7012987012986</v>
      </c>
      <c r="C22" s="39">
        <v>1085500</v>
      </c>
      <c r="E22" s="59" t="s">
        <v>78</v>
      </c>
      <c r="F22" s="56" t="s">
        <v>33</v>
      </c>
      <c r="G22" s="44">
        <v>1</v>
      </c>
      <c r="H22" s="129">
        <f>IF(B$15=0,0,G22/B$15)</f>
        <v>6.4935064935064939E-3</v>
      </c>
      <c r="I22" s="90">
        <v>9</v>
      </c>
      <c r="K22" s="36">
        <v>20</v>
      </c>
      <c r="L22" s="95">
        <v>-88.8</v>
      </c>
    </row>
    <row r="23" spans="1:17" x14ac:dyDescent="0.45">
      <c r="A23" s="52" t="s">
        <v>177</v>
      </c>
      <c r="B23" s="136">
        <f>IF($B$15-B$14=0,0,C23/($B$15-B$14))</f>
        <v>7475.2577319587626</v>
      </c>
      <c r="C23" s="137">
        <v>725100</v>
      </c>
      <c r="E23" s="59" t="s">
        <v>84</v>
      </c>
      <c r="F23" s="56" t="s">
        <v>39</v>
      </c>
      <c r="G23" s="44">
        <v>1</v>
      </c>
      <c r="H23" s="129">
        <f>IF(B$15=0,0,G23/B$15)</f>
        <v>6.4935064935064939E-3</v>
      </c>
      <c r="I23" s="90">
        <v>3</v>
      </c>
      <c r="K23" s="36">
        <v>21</v>
      </c>
      <c r="L23" s="95">
        <v>-111.4</v>
      </c>
    </row>
    <row r="24" spans="1:17" x14ac:dyDescent="0.45">
      <c r="A24" s="52" t="s">
        <v>178</v>
      </c>
      <c r="B24" s="136">
        <f>IF(B$14=0,0,C24/B$14)</f>
        <v>6322.8070175438597</v>
      </c>
      <c r="C24" s="137">
        <v>360400</v>
      </c>
      <c r="E24" s="59" t="s">
        <v>93</v>
      </c>
      <c r="F24" s="56" t="s">
        <v>48</v>
      </c>
      <c r="G24" s="44">
        <v>1</v>
      </c>
      <c r="H24" s="129">
        <f>IF(B$15=0,0,G24/B$15)</f>
        <v>6.4935064935064939E-3</v>
      </c>
      <c r="I24" s="90">
        <v>1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-7673.1182795698924</v>
      </c>
      <c r="C25" s="137">
        <v>-713600</v>
      </c>
      <c r="E25" s="59" t="s">
        <v>73</v>
      </c>
      <c r="F25" s="56" t="s">
        <v>28</v>
      </c>
      <c r="G25" s="44">
        <v>0</v>
      </c>
      <c r="H25" s="129">
        <f>IF(B$15=0,0,G25/B$15)</f>
        <v>0</v>
      </c>
      <c r="I25" s="90">
        <v>5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2</v>
      </c>
      <c r="E26" s="59" t="s">
        <v>76</v>
      </c>
      <c r="F26" s="56" t="s">
        <v>31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9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52">
        <v>6</v>
      </c>
      <c r="C28" s="153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50">
        <v>86900</v>
      </c>
      <c r="C29" s="151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3.4662045060658577E-3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4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21</v>
      </c>
      <c r="C32" s="141">
        <f>IF(B$15=0,0,B32/B$15)</f>
        <v>0.13636363636363635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33</v>
      </c>
      <c r="C33" s="37">
        <f t="shared" ref="C33:C44" si="2">IF(B$15=0,0,B33/B$15)</f>
        <v>0.21428571428571427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31</v>
      </c>
      <c r="C34" s="37">
        <f>IF(B$15=0,0,B34/B$15)</f>
        <v>0.20129870129870131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23</v>
      </c>
      <c r="C35" s="37">
        <f t="shared" si="2"/>
        <v>0.14935064935064934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17</v>
      </c>
      <c r="C36" s="37">
        <f t="shared" si="2"/>
        <v>0.11038961038961038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14</v>
      </c>
      <c r="C37" s="37">
        <f t="shared" si="2"/>
        <v>9.0909090909090912E-2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9</v>
      </c>
      <c r="C38" s="37">
        <f t="shared" si="2"/>
        <v>5.844155844155844E-2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5</v>
      </c>
      <c r="C39" s="37">
        <f t="shared" si="2"/>
        <v>3.2467532467532464E-2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1</v>
      </c>
      <c r="C44" s="40">
        <f t="shared" si="2"/>
        <v>6.4935064935064939E-3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</sheetData>
  <sortState xmlns:xlrd2="http://schemas.microsoft.com/office/spreadsheetml/2017/richdata2" ref="N15:Q21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22E6D-5883-48B0-9AA0-7279938E402B}">
  <sheetPr codeName="Sheet9"/>
  <dimension ref="A1:Q14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126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145</v>
      </c>
      <c r="C2" s="159"/>
      <c r="E2" s="58" t="s">
        <v>66</v>
      </c>
      <c r="F2" s="55" t="s">
        <v>22</v>
      </c>
      <c r="G2" s="43">
        <v>268</v>
      </c>
      <c r="H2" s="128">
        <f>IF(B$15=0,0,G2/B$15)</f>
        <v>0.66172839506172842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1027.0833333333333</v>
      </c>
      <c r="P2" s="114">
        <v>144</v>
      </c>
      <c r="Q2" s="98">
        <v>147900</v>
      </c>
    </row>
    <row r="3" spans="1:17" x14ac:dyDescent="0.45">
      <c r="A3" s="51" t="s">
        <v>8</v>
      </c>
      <c r="B3" s="160">
        <v>1186</v>
      </c>
      <c r="C3" s="161"/>
      <c r="E3" s="59" t="s">
        <v>72</v>
      </c>
      <c r="F3" s="56" t="s">
        <v>27</v>
      </c>
      <c r="G3" s="44">
        <v>202</v>
      </c>
      <c r="H3" s="129">
        <f>IF(B$15=0,0,G3/B$15)</f>
        <v>0.49876543209876545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1007.8014184397163</v>
      </c>
      <c r="P3" s="115">
        <v>141</v>
      </c>
      <c r="Q3" s="99">
        <v>142100</v>
      </c>
    </row>
    <row r="4" spans="1:17" x14ac:dyDescent="0.45">
      <c r="A4" s="51" t="s">
        <v>6</v>
      </c>
      <c r="B4" s="162">
        <v>1175.0000000000002</v>
      </c>
      <c r="C4" s="163"/>
      <c r="E4" s="59" t="s">
        <v>64</v>
      </c>
      <c r="F4" s="56" t="s">
        <v>20</v>
      </c>
      <c r="G4" s="44">
        <v>185</v>
      </c>
      <c r="H4" s="129">
        <f>IF(B$15=0,0,G4/B$15)</f>
        <v>0.4567901234567901</v>
      </c>
      <c r="I4" s="90">
        <v>8</v>
      </c>
      <c r="K4" s="36">
        <v>2</v>
      </c>
      <c r="L4" s="95">
        <v>14.400000000000006</v>
      </c>
      <c r="N4" s="111" t="s">
        <v>132</v>
      </c>
      <c r="O4" s="118">
        <f t="shared" si="0"/>
        <v>994.07407407407402</v>
      </c>
      <c r="P4" s="115">
        <v>135</v>
      </c>
      <c r="Q4" s="99">
        <v>134200</v>
      </c>
    </row>
    <row r="5" spans="1:17" x14ac:dyDescent="0.45">
      <c r="A5" s="51" t="s">
        <v>7</v>
      </c>
      <c r="B5" s="164">
        <f>IF(B$2=0,0,B$4/B$2)</f>
        <v>8.1034482758620712</v>
      </c>
      <c r="C5" s="165"/>
      <c r="E5" s="59" t="s">
        <v>166</v>
      </c>
      <c r="F5" s="56" t="s">
        <v>167</v>
      </c>
      <c r="G5" s="44">
        <v>156</v>
      </c>
      <c r="H5" s="129">
        <f>IF(B$15=0,0,G5/B$15)</f>
        <v>0.38518518518518519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170.4</v>
      </c>
      <c r="P5" s="115">
        <v>125</v>
      </c>
      <c r="Q5" s="99">
        <v>21300</v>
      </c>
    </row>
    <row r="6" spans="1:17" x14ac:dyDescent="0.45">
      <c r="A6" s="51" t="s">
        <v>1</v>
      </c>
      <c r="B6" s="154">
        <f>IF(B$2=0,0,(B$7*1+B$8*2+B$9*3)/B$2)</f>
        <v>1.806896551724138</v>
      </c>
      <c r="C6" s="155"/>
      <c r="E6" s="59" t="s">
        <v>68</v>
      </c>
      <c r="F6" s="56" t="s">
        <v>12</v>
      </c>
      <c r="G6" s="44">
        <v>118</v>
      </c>
      <c r="H6" s="129">
        <f>IF(B$15=0,0,G6/B$15)</f>
        <v>0.29135802469135802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0"/>
        <v>1865.2173913043478</v>
      </c>
      <c r="P6" s="115">
        <v>115</v>
      </c>
      <c r="Q6" s="99">
        <v>214500</v>
      </c>
    </row>
    <row r="7" spans="1:17" x14ac:dyDescent="0.45">
      <c r="A7" s="51" t="s">
        <v>2</v>
      </c>
      <c r="B7" s="44">
        <v>66</v>
      </c>
      <c r="C7" s="37">
        <f t="shared" ref="C7:C10" si="1">IF(B$2=0,0,B7/B$2)</f>
        <v>0.45517241379310347</v>
      </c>
      <c r="E7" s="59" t="s">
        <v>67</v>
      </c>
      <c r="F7" s="56" t="s">
        <v>23</v>
      </c>
      <c r="G7" s="44">
        <v>105</v>
      </c>
      <c r="H7" s="129">
        <f>IF(B$15=0,0,G7/B$15)</f>
        <v>0.25925925925925924</v>
      </c>
      <c r="I7" s="90">
        <v>7</v>
      </c>
      <c r="K7" s="36">
        <v>5</v>
      </c>
      <c r="L7" s="95">
        <v>99.9</v>
      </c>
      <c r="N7" s="112" t="s">
        <v>135</v>
      </c>
      <c r="O7" s="119">
        <f t="shared" si="0"/>
        <v>2041.0526315789473</v>
      </c>
      <c r="P7" s="116">
        <v>95</v>
      </c>
      <c r="Q7" s="100">
        <v>193900</v>
      </c>
    </row>
    <row r="8" spans="1:17" x14ac:dyDescent="0.45">
      <c r="A8" s="51" t="s">
        <v>3</v>
      </c>
      <c r="B8" s="44">
        <v>41</v>
      </c>
      <c r="C8" s="37">
        <f t="shared" si="1"/>
        <v>0.28275862068965518</v>
      </c>
      <c r="E8" s="59" t="s">
        <v>89</v>
      </c>
      <c r="F8" s="56" t="s">
        <v>44</v>
      </c>
      <c r="G8" s="44">
        <v>59</v>
      </c>
      <c r="H8" s="129">
        <f>IF(B$15=0,0,G8/B$15)</f>
        <v>0.14567901234567901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38</v>
      </c>
      <c r="C9" s="38">
        <f t="shared" si="1"/>
        <v>0.2620689655172414</v>
      </c>
      <c r="E9" s="59" t="s">
        <v>69</v>
      </c>
      <c r="F9" s="56" t="s">
        <v>24</v>
      </c>
      <c r="G9" s="44">
        <v>56</v>
      </c>
      <c r="H9" s="129">
        <f>IF(B$15=0,0,G9/B$15)</f>
        <v>0.13827160493827159</v>
      </c>
      <c r="I9" s="90">
        <v>7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4.8275862068965517E-2</v>
      </c>
      <c r="E10" s="59" t="s">
        <v>65</v>
      </c>
      <c r="F10" s="56" t="s">
        <v>21</v>
      </c>
      <c r="G10" s="44">
        <v>47</v>
      </c>
      <c r="H10" s="129">
        <f>IF(B$15=0,0,G10/B$15)</f>
        <v>0.11604938271604938</v>
      </c>
      <c r="I10" s="90">
        <v>6</v>
      </c>
      <c r="K10" s="36">
        <v>8</v>
      </c>
      <c r="L10" s="95">
        <v>148.1</v>
      </c>
      <c r="N10" s="110" t="s">
        <v>157</v>
      </c>
      <c r="O10" s="120">
        <f>IF(P10=0,0,Q10/P10)</f>
        <v>12.277499999999996</v>
      </c>
      <c r="P10" s="114">
        <v>40</v>
      </c>
      <c r="Q10" s="102">
        <v>491.09999999999985</v>
      </c>
    </row>
    <row r="11" spans="1:17" x14ac:dyDescent="0.45">
      <c r="A11" s="54" t="s">
        <v>121</v>
      </c>
      <c r="B11" s="47">
        <v>322</v>
      </c>
      <c r="C11" s="42">
        <f>IF(B$3=0,0,B11/B$3)</f>
        <v>0.27150084317032042</v>
      </c>
      <c r="E11" s="59" t="s">
        <v>71</v>
      </c>
      <c r="F11" s="56" t="s">
        <v>26</v>
      </c>
      <c r="G11" s="44">
        <v>27</v>
      </c>
      <c r="H11" s="129">
        <f>IF(B$15=0,0,G11/B$15)</f>
        <v>6.6666666666666666E-2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2.6980392156862743</v>
      </c>
      <c r="P11" s="115">
        <v>51</v>
      </c>
      <c r="Q11" s="103">
        <v>137.6</v>
      </c>
    </row>
    <row r="12" spans="1:17" x14ac:dyDescent="0.45">
      <c r="A12" s="51" t="s">
        <v>118</v>
      </c>
      <c r="B12" s="44">
        <v>265</v>
      </c>
      <c r="C12" s="37">
        <f>IF(B$3=0,0,B12/B$3)</f>
        <v>0.22344013490725126</v>
      </c>
      <c r="E12" s="59" t="s">
        <v>86</v>
      </c>
      <c r="F12" s="56" t="s">
        <v>41</v>
      </c>
      <c r="G12" s="44">
        <v>27</v>
      </c>
      <c r="H12" s="129">
        <f>IF(B$15=0,0,G12/B$15)</f>
        <v>6.6666666666666666E-2</v>
      </c>
      <c r="I12" s="90">
        <v>2</v>
      </c>
      <c r="K12" s="36">
        <v>10</v>
      </c>
      <c r="L12" s="95">
        <v>158.19999999999999</v>
      </c>
      <c r="N12" s="112" t="s">
        <v>159</v>
      </c>
      <c r="O12" s="122">
        <f>IF(P12=0,0,Q12/P12)</f>
        <v>10.116666666666664</v>
      </c>
      <c r="P12" s="116">
        <v>54</v>
      </c>
      <c r="Q12" s="104">
        <v>546.29999999999984</v>
      </c>
    </row>
    <row r="13" spans="1:17" x14ac:dyDescent="0.45">
      <c r="A13" s="50" t="s">
        <v>123</v>
      </c>
      <c r="B13" s="43">
        <f>B19</f>
        <v>195</v>
      </c>
      <c r="C13" s="35">
        <f>IF(B$11=0,0,B13/B$11)</f>
        <v>0.60559006211180122</v>
      </c>
      <c r="E13" s="59" t="s">
        <v>70</v>
      </c>
      <c r="F13" s="56" t="s">
        <v>25</v>
      </c>
      <c r="G13" s="44">
        <v>22</v>
      </c>
      <c r="H13" s="129">
        <f>IF(B$15=0,0,G13/B$15)</f>
        <v>5.4320987654320987E-2</v>
      </c>
      <c r="I13" s="90">
        <v>12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126</v>
      </c>
      <c r="C14" s="35">
        <f>IF(B$12=0,0,B14/B$12)</f>
        <v>0.47547169811320755</v>
      </c>
      <c r="E14" s="59" t="s">
        <v>83</v>
      </c>
      <c r="F14" s="56" t="s">
        <v>38</v>
      </c>
      <c r="G14" s="44">
        <v>17</v>
      </c>
      <c r="H14" s="129">
        <f>IF(B$15=0,0,G14/B$15)</f>
        <v>4.1975308641975309E-2</v>
      </c>
      <c r="I14" s="90">
        <v>9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405</v>
      </c>
      <c r="C15" s="35">
        <f>IF(B$3=0,0,B15/B$3)</f>
        <v>0.34148397976391232</v>
      </c>
      <c r="E15" s="59" t="s">
        <v>78</v>
      </c>
      <c r="F15" s="56" t="s">
        <v>33</v>
      </c>
      <c r="G15" s="44">
        <v>15</v>
      </c>
      <c r="H15" s="129">
        <f>IF(B$15=0,0,G15/B$15)</f>
        <v>3.7037037037037035E-2</v>
      </c>
      <c r="I15" s="90">
        <v>2</v>
      </c>
      <c r="K15" s="36">
        <v>13</v>
      </c>
      <c r="L15" s="95">
        <v>206.39999999999998</v>
      </c>
      <c r="N15" s="110" t="s">
        <v>196</v>
      </c>
      <c r="O15" s="120">
        <f t="shared" ref="O15:O22" si="2">IF(P15=0,0,Q15/P15)</f>
        <v>39.662500000000009</v>
      </c>
      <c r="P15" s="114">
        <v>8</v>
      </c>
      <c r="Q15" s="102">
        <v>317.30000000000007</v>
      </c>
    </row>
    <row r="16" spans="1:17" x14ac:dyDescent="0.45">
      <c r="A16" s="51" t="s">
        <v>13</v>
      </c>
      <c r="B16" s="44">
        <v>156</v>
      </c>
      <c r="C16" s="37">
        <f>IF(B$3=0,0,B16/B$3)</f>
        <v>0.13153456998313659</v>
      </c>
      <c r="E16" s="59" t="s">
        <v>162</v>
      </c>
      <c r="F16" s="56" t="s">
        <v>163</v>
      </c>
      <c r="G16" s="44">
        <v>13</v>
      </c>
      <c r="H16" s="129">
        <f>IF(B$15=0,0,G16/B$15)</f>
        <v>3.2098765432098768E-2</v>
      </c>
      <c r="I16" s="90">
        <v>2</v>
      </c>
      <c r="K16" s="36">
        <v>14</v>
      </c>
      <c r="L16" s="95">
        <v>240.09999999999997</v>
      </c>
      <c r="N16" s="111" t="s">
        <v>197</v>
      </c>
      <c r="O16" s="121">
        <f t="shared" si="2"/>
        <v>26.026666666666664</v>
      </c>
      <c r="P16" s="115">
        <v>15</v>
      </c>
      <c r="Q16" s="103">
        <v>390.4</v>
      </c>
    </row>
    <row r="17" spans="1:17" x14ac:dyDescent="0.45">
      <c r="A17" s="51" t="s">
        <v>12</v>
      </c>
      <c r="B17" s="44">
        <v>171</v>
      </c>
      <c r="C17" s="37">
        <f>IF(B$15=0,0,B17/B$15)</f>
        <v>0.42222222222222222</v>
      </c>
      <c r="E17" s="59" t="s">
        <v>75</v>
      </c>
      <c r="F17" s="56" t="s">
        <v>30</v>
      </c>
      <c r="G17" s="44">
        <v>4</v>
      </c>
      <c r="H17" s="129">
        <f>IF(B$15=0,0,G17/B$15)</f>
        <v>9.876543209876543E-3</v>
      </c>
      <c r="I17" s="90">
        <v>3</v>
      </c>
      <c r="K17" s="36">
        <v>15</v>
      </c>
      <c r="L17" s="95">
        <v>269.49999999999994</v>
      </c>
      <c r="N17" s="111" t="s">
        <v>172</v>
      </c>
      <c r="O17" s="121">
        <f t="shared" si="2"/>
        <v>14.407692307692308</v>
      </c>
      <c r="P17" s="115">
        <v>52</v>
      </c>
      <c r="Q17" s="103">
        <v>749.2</v>
      </c>
    </row>
    <row r="18" spans="1:17" x14ac:dyDescent="0.45">
      <c r="A18" s="51" t="s">
        <v>11</v>
      </c>
      <c r="B18" s="44">
        <v>234</v>
      </c>
      <c r="C18" s="37">
        <f>IF(B$15=0,0,B18/B$15)</f>
        <v>0.57777777777777772</v>
      </c>
      <c r="E18" s="59" t="s">
        <v>81</v>
      </c>
      <c r="F18" s="56" t="s">
        <v>36</v>
      </c>
      <c r="G18" s="44">
        <v>4</v>
      </c>
      <c r="H18" s="129">
        <f>IF(B$15=0,0,G18/B$15)</f>
        <v>9.876543209876543E-3</v>
      </c>
      <c r="I18" s="90">
        <v>9</v>
      </c>
      <c r="K18" s="36">
        <v>16</v>
      </c>
      <c r="L18" s="95">
        <v>323.69999999999993</v>
      </c>
      <c r="N18" s="111" t="s">
        <v>127</v>
      </c>
      <c r="O18" s="121">
        <f t="shared" si="2"/>
        <v>14.101123595505621</v>
      </c>
      <c r="P18" s="115">
        <v>89</v>
      </c>
      <c r="Q18" s="103">
        <v>1255.0000000000002</v>
      </c>
    </row>
    <row r="19" spans="1:17" x14ac:dyDescent="0.45">
      <c r="A19" s="51" t="s">
        <v>195</v>
      </c>
      <c r="B19" s="44">
        <v>195</v>
      </c>
      <c r="C19" s="37">
        <f>IF(B$15=0,0,B19/B$15)</f>
        <v>0.48148148148148145</v>
      </c>
      <c r="E19" s="59" t="s">
        <v>77</v>
      </c>
      <c r="F19" s="56" t="s">
        <v>32</v>
      </c>
      <c r="G19" s="44">
        <v>3</v>
      </c>
      <c r="H19" s="129">
        <f>IF(B$15=0,0,G19/B$15)</f>
        <v>7.4074074074074077E-3</v>
      </c>
      <c r="I19" s="90">
        <v>1</v>
      </c>
      <c r="K19" s="36">
        <v>17</v>
      </c>
      <c r="L19" s="95">
        <v>359.09999999999991</v>
      </c>
      <c r="N19" s="111" t="s">
        <v>171</v>
      </c>
      <c r="O19" s="121">
        <f t="shared" si="2"/>
        <v>13.271698113207547</v>
      </c>
      <c r="P19" s="115">
        <v>53</v>
      </c>
      <c r="Q19" s="103">
        <v>703.4</v>
      </c>
    </row>
    <row r="20" spans="1:17" x14ac:dyDescent="0.45">
      <c r="A20" s="51" t="s">
        <v>193</v>
      </c>
      <c r="B20" s="44">
        <v>126</v>
      </c>
      <c r="C20" s="37">
        <f>IF(B$15=0,0,B20/B$15)</f>
        <v>0.31111111111111112</v>
      </c>
      <c r="E20" s="59" t="s">
        <v>84</v>
      </c>
      <c r="F20" s="56" t="s">
        <v>39</v>
      </c>
      <c r="G20" s="44">
        <v>3</v>
      </c>
      <c r="H20" s="129">
        <f>IF(B$15=0,0,G20/B$15)</f>
        <v>7.4074074074074077E-3</v>
      </c>
      <c r="I20" s="90">
        <v>2</v>
      </c>
      <c r="K20" s="36">
        <v>18</v>
      </c>
      <c r="L20" s="95">
        <v>352.39999999999992</v>
      </c>
      <c r="N20" s="111" t="s">
        <v>161</v>
      </c>
      <c r="O20" s="121">
        <f t="shared" si="2"/>
        <v>10.394117647058822</v>
      </c>
      <c r="P20" s="115">
        <v>34</v>
      </c>
      <c r="Q20" s="103">
        <v>353.4</v>
      </c>
    </row>
    <row r="21" spans="1:17" x14ac:dyDescent="0.45">
      <c r="A21" s="51" t="s">
        <v>194</v>
      </c>
      <c r="B21" s="44">
        <v>84</v>
      </c>
      <c r="C21" s="37">
        <f>IF(B$15=0,0,B21/B$15)</f>
        <v>0.2074074074074074</v>
      </c>
      <c r="E21" s="59" t="s">
        <v>91</v>
      </c>
      <c r="F21" s="56" t="s">
        <v>46</v>
      </c>
      <c r="G21" s="44">
        <v>3</v>
      </c>
      <c r="H21" s="129">
        <f>IF(B$15=0,0,G21/B$15)</f>
        <v>7.4074074074074077E-3</v>
      </c>
      <c r="I21" s="90">
        <v>7</v>
      </c>
      <c r="K21" s="36">
        <v>19</v>
      </c>
      <c r="L21" s="95">
        <v>383.19999999999993</v>
      </c>
      <c r="N21" s="111" t="s">
        <v>170</v>
      </c>
      <c r="O21" s="121">
        <f t="shared" si="2"/>
        <v>-4.5578947368421048</v>
      </c>
      <c r="P21" s="115">
        <v>38</v>
      </c>
      <c r="Q21" s="103">
        <v>-173.2</v>
      </c>
    </row>
    <row r="22" spans="1:17" x14ac:dyDescent="0.45">
      <c r="A22" s="51" t="s">
        <v>5</v>
      </c>
      <c r="B22" s="48">
        <f>IF(B$15=0,0,C22/B$15)</f>
        <v>8205.6790123456794</v>
      </c>
      <c r="C22" s="39">
        <v>3323300</v>
      </c>
      <c r="E22" s="59" t="s">
        <v>92</v>
      </c>
      <c r="F22" s="56" t="s">
        <v>47</v>
      </c>
      <c r="G22" s="44">
        <v>3</v>
      </c>
      <c r="H22" s="129">
        <f>IF(B$15=0,0,G22/B$15)</f>
        <v>7.4074074074074077E-3</v>
      </c>
      <c r="I22" s="90">
        <v>4</v>
      </c>
      <c r="K22" s="36">
        <v>20</v>
      </c>
      <c r="L22" s="95">
        <v>365.49999999999994</v>
      </c>
      <c r="N22" s="111" t="s">
        <v>203</v>
      </c>
      <c r="O22" s="121">
        <f t="shared" si="2"/>
        <v>-70.5</v>
      </c>
      <c r="P22" s="115">
        <v>1</v>
      </c>
      <c r="Q22" s="103">
        <v>-70.5</v>
      </c>
    </row>
    <row r="23" spans="1:17" x14ac:dyDescent="0.45">
      <c r="A23" s="52" t="s">
        <v>177</v>
      </c>
      <c r="B23" s="136">
        <f>IF($B$15-B$14=0,0,C23/($B$15-B$14))</f>
        <v>8551.6129032258068</v>
      </c>
      <c r="C23" s="137">
        <v>2385900</v>
      </c>
      <c r="E23" s="59" t="s">
        <v>79</v>
      </c>
      <c r="F23" s="56" t="s">
        <v>34</v>
      </c>
      <c r="G23" s="44">
        <v>2</v>
      </c>
      <c r="H23" s="129">
        <f>IF(B$15=0,0,G23/B$15)</f>
        <v>4.9382716049382715E-3</v>
      </c>
      <c r="I23" s="90">
        <v>8</v>
      </c>
      <c r="K23" s="36">
        <v>21</v>
      </c>
      <c r="L23" s="95">
        <v>371.39999999999992</v>
      </c>
    </row>
    <row r="24" spans="1:17" x14ac:dyDescent="0.45">
      <c r="A24" s="52" t="s">
        <v>178</v>
      </c>
      <c r="B24" s="136">
        <f>IF(B$14=0,0,C24/B$14)</f>
        <v>7439.6825396825398</v>
      </c>
      <c r="C24" s="137">
        <v>937400</v>
      </c>
      <c r="E24" s="59" t="s">
        <v>85</v>
      </c>
      <c r="F24" s="56" t="s">
        <v>40</v>
      </c>
      <c r="G24" s="44">
        <v>2</v>
      </c>
      <c r="H24" s="129">
        <f>IF(B$15=0,0,G24/B$15)</f>
        <v>4.9382716049382715E-3</v>
      </c>
      <c r="I24" s="90">
        <v>3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-7669.8717948717949</v>
      </c>
      <c r="C25" s="137">
        <v>-1196500</v>
      </c>
      <c r="E25" s="59" t="s">
        <v>88</v>
      </c>
      <c r="F25" s="56" t="s">
        <v>43</v>
      </c>
      <c r="G25" s="44">
        <v>2</v>
      </c>
      <c r="H25" s="129">
        <f>IF(B$15=0,0,G25/B$15)</f>
        <v>4.9382716049382715E-3</v>
      </c>
      <c r="I25" s="90">
        <v>2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95</v>
      </c>
      <c r="F26" s="56" t="s">
        <v>50</v>
      </c>
      <c r="G26" s="44">
        <v>2</v>
      </c>
      <c r="H26" s="129">
        <f>IF(B$15=0,0,G26/B$15)</f>
        <v>4.9382716049382715E-3</v>
      </c>
      <c r="I26" s="90">
        <v>2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12</v>
      </c>
      <c r="E27" s="59" t="s">
        <v>74</v>
      </c>
      <c r="F27" s="56" t="s">
        <v>29</v>
      </c>
      <c r="G27" s="44">
        <v>1</v>
      </c>
      <c r="H27" s="129">
        <f>IF(B$15=0,0,G27/B$15)</f>
        <v>2.4691358024691358E-3</v>
      </c>
      <c r="I27" s="90">
        <v>6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52">
        <v>7</v>
      </c>
      <c r="C28" s="153"/>
      <c r="E28" s="59" t="s">
        <v>90</v>
      </c>
      <c r="F28" s="56" t="s">
        <v>45</v>
      </c>
      <c r="G28" s="44">
        <v>1</v>
      </c>
      <c r="H28" s="129">
        <f>IF(B$15=0,0,G28/B$15)</f>
        <v>2.4691358024691358E-3</v>
      </c>
      <c r="I28" s="90">
        <v>3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50">
        <v>149100</v>
      </c>
      <c r="C29" s="151"/>
      <c r="E29" s="59" t="s">
        <v>106</v>
      </c>
      <c r="F29" s="56" t="s">
        <v>113</v>
      </c>
      <c r="G29" s="44">
        <v>1</v>
      </c>
      <c r="H29" s="129">
        <f>IF(B$15=0,0,G29/B$15)</f>
        <v>2.4691358024691358E-3</v>
      </c>
      <c r="I29" s="90">
        <v>1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1</v>
      </c>
      <c r="C30" s="40">
        <f>IF(B$3=0,0,B30/B$3)</f>
        <v>8.4317032040472171E-4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5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36</v>
      </c>
      <c r="C32" s="141">
        <f>IF(B$15=0,0,B32/B$15)</f>
        <v>8.8888888888888892E-2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70</v>
      </c>
      <c r="C33" s="37">
        <f t="shared" ref="C33:C44" si="3">IF(B$15=0,0,B33/B$15)</f>
        <v>0.1728395061728395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88</v>
      </c>
      <c r="C34" s="37">
        <f>IF(B$15=0,0,B34/B$15)</f>
        <v>0.21728395061728395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4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75</v>
      </c>
      <c r="C35" s="37">
        <f t="shared" si="3"/>
        <v>0.18518518518518517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60</v>
      </c>
      <c r="C36" s="37">
        <f t="shared" si="3"/>
        <v>0.14814814814814814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37</v>
      </c>
      <c r="C37" s="37">
        <f t="shared" si="3"/>
        <v>9.1358024691358022E-2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18</v>
      </c>
      <c r="C38" s="37">
        <f t="shared" si="3"/>
        <v>4.4444444444444446E-2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6</v>
      </c>
      <c r="C39" s="37">
        <f t="shared" si="3"/>
        <v>1.4814814814814815E-2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8</v>
      </c>
      <c r="C40" s="37">
        <f t="shared" si="3"/>
        <v>1.9753086419753086E-2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3"/>
        <v>2.4691358024691358E-3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6</v>
      </c>
      <c r="C44" s="40">
        <f t="shared" si="3"/>
        <v>1.4814814814814815E-2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</sheetData>
  <sortState xmlns:xlrd2="http://schemas.microsoft.com/office/spreadsheetml/2017/richdata2" ref="E2:I148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A2B3B-3E41-4302-9922-F85E1AD08E24}">
  <sheetPr codeName="Sheet11"/>
  <dimension ref="A1:Q131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127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129</v>
      </c>
      <c r="C2" s="159"/>
      <c r="E2" s="58" t="s">
        <v>66</v>
      </c>
      <c r="F2" s="55" t="s">
        <v>22</v>
      </c>
      <c r="G2" s="43">
        <v>272</v>
      </c>
      <c r="H2" s="128">
        <f>IF(B$15=0,0,G2/B$15)</f>
        <v>0.83692307692307688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-1472.65625</v>
      </c>
      <c r="P2" s="114">
        <v>128</v>
      </c>
      <c r="Q2" s="98">
        <v>-188500</v>
      </c>
    </row>
    <row r="3" spans="1:17" x14ac:dyDescent="0.45">
      <c r="A3" s="51" t="s">
        <v>8</v>
      </c>
      <c r="B3" s="160">
        <v>1081</v>
      </c>
      <c r="C3" s="161"/>
      <c r="E3" s="59" t="s">
        <v>72</v>
      </c>
      <c r="F3" s="56" t="s">
        <v>27</v>
      </c>
      <c r="G3" s="44">
        <v>190</v>
      </c>
      <c r="H3" s="129">
        <f>IF(B$15=0,0,G3/B$15)</f>
        <v>0.58461538461538465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1412.6984126984128</v>
      </c>
      <c r="P3" s="115">
        <v>126</v>
      </c>
      <c r="Q3" s="99">
        <v>178000</v>
      </c>
    </row>
    <row r="4" spans="1:17" x14ac:dyDescent="0.45">
      <c r="A4" s="51" t="s">
        <v>6</v>
      </c>
      <c r="B4" s="162">
        <v>24.699999999999804</v>
      </c>
      <c r="C4" s="163"/>
      <c r="E4" s="59" t="s">
        <v>166</v>
      </c>
      <c r="F4" s="56" t="s">
        <v>167</v>
      </c>
      <c r="G4" s="44">
        <v>129</v>
      </c>
      <c r="H4" s="129">
        <f>IF(B$15=0,0,G4/B$15)</f>
        <v>0.39692307692307693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-255.65217391304347</v>
      </c>
      <c r="P4" s="115">
        <v>115</v>
      </c>
      <c r="Q4" s="99">
        <v>-29400</v>
      </c>
    </row>
    <row r="5" spans="1:17" x14ac:dyDescent="0.45">
      <c r="A5" s="51" t="s">
        <v>7</v>
      </c>
      <c r="B5" s="164">
        <f>IF(B$2=0,0,B$4/B$2)</f>
        <v>0.19147286821705276</v>
      </c>
      <c r="C5" s="165"/>
      <c r="E5" s="59" t="s">
        <v>64</v>
      </c>
      <c r="F5" s="56" t="s">
        <v>20</v>
      </c>
      <c r="G5" s="44">
        <v>123</v>
      </c>
      <c r="H5" s="129">
        <f>IF(B$15=0,0,G5/B$15)</f>
        <v>0.37846153846153846</v>
      </c>
      <c r="I5" s="90">
        <v>10</v>
      </c>
      <c r="K5" s="36">
        <v>3</v>
      </c>
      <c r="L5" s="95">
        <v>-58.599999999999994</v>
      </c>
      <c r="N5" s="111" t="s">
        <v>133</v>
      </c>
      <c r="O5" s="118">
        <f t="shared" si="0"/>
        <v>237.61467889908258</v>
      </c>
      <c r="P5" s="115">
        <v>109</v>
      </c>
      <c r="Q5" s="99">
        <v>25900</v>
      </c>
    </row>
    <row r="6" spans="1:17" x14ac:dyDescent="0.45">
      <c r="A6" s="51" t="s">
        <v>1</v>
      </c>
      <c r="B6" s="154">
        <f>IF(B$2=0,0,(B$7*1+B$8*2+B$9*3)/B$2)</f>
        <v>1.9534883720930232</v>
      </c>
      <c r="C6" s="155"/>
      <c r="E6" s="59" t="s">
        <v>68</v>
      </c>
      <c r="F6" s="56" t="s">
        <v>12</v>
      </c>
      <c r="G6" s="44">
        <v>87</v>
      </c>
      <c r="H6" s="129">
        <f>IF(B$15=0,0,G6/B$15)</f>
        <v>0.26769230769230767</v>
      </c>
      <c r="I6" s="90">
        <v>8</v>
      </c>
      <c r="K6" s="36">
        <v>4</v>
      </c>
      <c r="L6" s="95">
        <v>-38.099999999999994</v>
      </c>
      <c r="N6" s="111" t="s">
        <v>134</v>
      </c>
      <c r="O6" s="118">
        <f t="shared" si="0"/>
        <v>-927</v>
      </c>
      <c r="P6" s="115">
        <v>100</v>
      </c>
      <c r="Q6" s="99">
        <v>-92700</v>
      </c>
    </row>
    <row r="7" spans="1:17" x14ac:dyDescent="0.45">
      <c r="A7" s="51" t="s">
        <v>2</v>
      </c>
      <c r="B7" s="44">
        <v>44</v>
      </c>
      <c r="C7" s="37">
        <f t="shared" ref="C7:C10" si="1">IF(B$2=0,0,B7/B$2)</f>
        <v>0.34108527131782945</v>
      </c>
      <c r="E7" s="59" t="s">
        <v>67</v>
      </c>
      <c r="F7" s="56" t="s">
        <v>23</v>
      </c>
      <c r="G7" s="44">
        <v>69</v>
      </c>
      <c r="H7" s="129">
        <f>IF(B$15=0,0,G7/B$15)</f>
        <v>0.21230769230769231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1467.0588235294117</v>
      </c>
      <c r="P7" s="116">
        <v>85</v>
      </c>
      <c r="Q7" s="100">
        <v>124700</v>
      </c>
    </row>
    <row r="8" spans="1:17" x14ac:dyDescent="0.45">
      <c r="A8" s="51" t="s">
        <v>3</v>
      </c>
      <c r="B8" s="44">
        <v>47</v>
      </c>
      <c r="C8" s="37">
        <f t="shared" si="1"/>
        <v>0.36434108527131781</v>
      </c>
      <c r="E8" s="59" t="s">
        <v>89</v>
      </c>
      <c r="F8" s="56" t="s">
        <v>44</v>
      </c>
      <c r="G8" s="44">
        <v>40</v>
      </c>
      <c r="H8" s="129">
        <f>IF(B$15=0,0,G8/B$15)</f>
        <v>0.12307692307692308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38</v>
      </c>
      <c r="C9" s="38">
        <f t="shared" si="1"/>
        <v>0.29457364341085274</v>
      </c>
      <c r="E9" s="59" t="s">
        <v>69</v>
      </c>
      <c r="F9" s="56" t="s">
        <v>24</v>
      </c>
      <c r="G9" s="44">
        <v>38</v>
      </c>
      <c r="H9" s="129">
        <f>IF(B$15=0,0,G9/B$15)</f>
        <v>0.11692307692307692</v>
      </c>
      <c r="I9" s="90">
        <v>9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18</v>
      </c>
      <c r="C10" s="40">
        <f t="shared" si="1"/>
        <v>0.13953488372093023</v>
      </c>
      <c r="E10" s="59" t="s">
        <v>71</v>
      </c>
      <c r="F10" s="56" t="s">
        <v>26</v>
      </c>
      <c r="G10" s="44">
        <v>30</v>
      </c>
      <c r="H10" s="129">
        <f>IF(B$15=0,0,G10/B$15)</f>
        <v>9.2307692307692313E-2</v>
      </c>
      <c r="I10" s="90">
        <v>7</v>
      </c>
      <c r="K10" s="36">
        <v>8</v>
      </c>
      <c r="L10" s="95">
        <v>-56.79999999999999</v>
      </c>
      <c r="N10" s="110" t="s">
        <v>157</v>
      </c>
      <c r="O10" s="120">
        <f>IF(P10=0,0,Q10/P10)</f>
        <v>1.6058823529411772</v>
      </c>
      <c r="P10" s="114">
        <v>34</v>
      </c>
      <c r="Q10" s="102">
        <v>54.600000000000023</v>
      </c>
    </row>
    <row r="11" spans="1:17" x14ac:dyDescent="0.45">
      <c r="A11" s="54" t="s">
        <v>121</v>
      </c>
      <c r="B11" s="47">
        <v>248</v>
      </c>
      <c r="C11" s="42">
        <f>IF(B$3=0,0,B11/B$3)</f>
        <v>0.2294172062904718</v>
      </c>
      <c r="E11" s="59" t="s">
        <v>70</v>
      </c>
      <c r="F11" s="56" t="s">
        <v>25</v>
      </c>
      <c r="G11" s="44">
        <v>28</v>
      </c>
      <c r="H11" s="129">
        <f>IF(B$15=0,0,G11/B$15)</f>
        <v>8.615384615384615E-2</v>
      </c>
      <c r="I11" s="90">
        <v>9</v>
      </c>
      <c r="K11" s="36">
        <v>9</v>
      </c>
      <c r="L11" s="95">
        <v>-83.699999999999989</v>
      </c>
      <c r="N11" s="111" t="s">
        <v>158</v>
      </c>
      <c r="O11" s="121">
        <f>IF(P11=0,0,Q11/P11)</f>
        <v>4.0386363636363649</v>
      </c>
      <c r="P11" s="115">
        <v>44</v>
      </c>
      <c r="Q11" s="103">
        <v>177.70000000000005</v>
      </c>
    </row>
    <row r="12" spans="1:17" x14ac:dyDescent="0.45">
      <c r="A12" s="51" t="s">
        <v>118</v>
      </c>
      <c r="B12" s="44">
        <v>336</v>
      </c>
      <c r="C12" s="37">
        <f>IF(B$3=0,0,B12/B$3)</f>
        <v>0.31082331174838113</v>
      </c>
      <c r="E12" s="59" t="s">
        <v>65</v>
      </c>
      <c r="F12" s="56" t="s">
        <v>21</v>
      </c>
      <c r="G12" s="44">
        <v>27</v>
      </c>
      <c r="H12" s="129">
        <f>IF(B$15=0,0,G12/B$15)</f>
        <v>8.3076923076923076E-2</v>
      </c>
      <c r="I12" s="90">
        <v>9</v>
      </c>
      <c r="K12" s="36">
        <v>10</v>
      </c>
      <c r="L12" s="95">
        <v>-78.399999999999991</v>
      </c>
      <c r="N12" s="112" t="s">
        <v>159</v>
      </c>
      <c r="O12" s="122">
        <f>IF(P12=0,0,Q12/P12)</f>
        <v>-4.0705882352941183</v>
      </c>
      <c r="P12" s="116">
        <v>51</v>
      </c>
      <c r="Q12" s="104">
        <v>-207.60000000000002</v>
      </c>
    </row>
    <row r="13" spans="1:17" x14ac:dyDescent="0.45">
      <c r="A13" s="50" t="s">
        <v>123</v>
      </c>
      <c r="B13" s="43">
        <f>B19</f>
        <v>121</v>
      </c>
      <c r="C13" s="35">
        <f>IF(B$11=0,0,B13/B$11)</f>
        <v>0.48790322580645162</v>
      </c>
      <c r="E13" s="59" t="s">
        <v>86</v>
      </c>
      <c r="F13" s="56" t="s">
        <v>41</v>
      </c>
      <c r="G13" s="44">
        <v>21</v>
      </c>
      <c r="H13" s="129">
        <f>IF(B$15=0,0,G13/B$15)</f>
        <v>6.4615384615384616E-2</v>
      </c>
      <c r="I13" s="90">
        <v>4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128</v>
      </c>
      <c r="C14" s="35">
        <f>IF(B$12=0,0,B14/B$12)</f>
        <v>0.38095238095238093</v>
      </c>
      <c r="E14" s="59" t="s">
        <v>83</v>
      </c>
      <c r="F14" s="56" t="s">
        <v>38</v>
      </c>
      <c r="G14" s="44">
        <v>19</v>
      </c>
      <c r="H14" s="129">
        <f>IF(B$15=0,0,G14/B$15)</f>
        <v>5.8461538461538461E-2</v>
      </c>
      <c r="I14" s="90">
        <v>5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325</v>
      </c>
      <c r="C15" s="35">
        <f>IF(B$3=0,0,B15/B$3)</f>
        <v>0.30064754856614245</v>
      </c>
      <c r="E15" s="59" t="s">
        <v>78</v>
      </c>
      <c r="F15" s="56" t="s">
        <v>33</v>
      </c>
      <c r="G15" s="44">
        <v>9</v>
      </c>
      <c r="H15" s="129">
        <f>IF(B$15=0,0,G15/B$15)</f>
        <v>2.7692307692307693E-2</v>
      </c>
      <c r="I15" s="90">
        <v>4</v>
      </c>
      <c r="K15" s="36">
        <v>13</v>
      </c>
      <c r="L15" s="95">
        <v>-86.8</v>
      </c>
      <c r="N15" s="110" t="s">
        <v>228</v>
      </c>
      <c r="O15" s="120">
        <f t="shared" ref="O15:O22" si="2"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203</v>
      </c>
      <c r="C16" s="37">
        <f>IF(B$3=0,0,B16/B$3)</f>
        <v>0.1877890841813136</v>
      </c>
      <c r="E16" s="59" t="s">
        <v>91</v>
      </c>
      <c r="F16" s="56" t="s">
        <v>46</v>
      </c>
      <c r="G16" s="44">
        <v>9</v>
      </c>
      <c r="H16" s="129">
        <f>IF(B$15=0,0,G16/B$15)</f>
        <v>2.7692307692307693E-2</v>
      </c>
      <c r="I16" s="90">
        <v>1</v>
      </c>
      <c r="K16" s="36">
        <v>14</v>
      </c>
      <c r="L16" s="95">
        <v>-138.4</v>
      </c>
      <c r="N16" s="111" t="s">
        <v>197</v>
      </c>
      <c r="O16" s="121">
        <f t="shared" si="2"/>
        <v>16.62857142857143</v>
      </c>
      <c r="P16" s="115">
        <v>14</v>
      </c>
      <c r="Q16" s="103">
        <v>232.8</v>
      </c>
    </row>
    <row r="17" spans="1:17" x14ac:dyDescent="0.45">
      <c r="A17" s="51" t="s">
        <v>12</v>
      </c>
      <c r="B17" s="44">
        <v>134</v>
      </c>
      <c r="C17" s="37">
        <f>IF(B$15=0,0,B17/B$15)</f>
        <v>0.41230769230769232</v>
      </c>
      <c r="E17" s="59" t="s">
        <v>81</v>
      </c>
      <c r="F17" s="56" t="s">
        <v>36</v>
      </c>
      <c r="G17" s="44">
        <v>8</v>
      </c>
      <c r="H17" s="129">
        <f>IF(B$15=0,0,G17/B$15)</f>
        <v>2.4615384615384615E-2</v>
      </c>
      <c r="I17" s="90">
        <v>2</v>
      </c>
      <c r="K17" s="36">
        <v>15</v>
      </c>
      <c r="L17" s="95">
        <v>-144.30000000000001</v>
      </c>
      <c r="N17" s="111" t="s">
        <v>172</v>
      </c>
      <c r="O17" s="121">
        <f t="shared" si="2"/>
        <v>14.939534883720924</v>
      </c>
      <c r="P17" s="115">
        <v>43</v>
      </c>
      <c r="Q17" s="103">
        <v>642.39999999999975</v>
      </c>
    </row>
    <row r="18" spans="1:17" x14ac:dyDescent="0.45">
      <c r="A18" s="51" t="s">
        <v>11</v>
      </c>
      <c r="B18" s="44">
        <v>191</v>
      </c>
      <c r="C18" s="37">
        <f>IF(B$15=0,0,B18/B$15)</f>
        <v>0.58769230769230774</v>
      </c>
      <c r="E18" s="59" t="s">
        <v>79</v>
      </c>
      <c r="F18" s="56" t="s">
        <v>34</v>
      </c>
      <c r="G18" s="44">
        <v>6</v>
      </c>
      <c r="H18" s="129">
        <f>IF(B$15=0,0,G18/B$15)</f>
        <v>1.8461538461538463E-2</v>
      </c>
      <c r="I18" s="90">
        <v>4</v>
      </c>
      <c r="K18" s="36">
        <v>16</v>
      </c>
      <c r="L18" s="95">
        <v>-187.3</v>
      </c>
      <c r="N18" s="111" t="s">
        <v>196</v>
      </c>
      <c r="O18" s="121">
        <f t="shared" si="2"/>
        <v>13.5</v>
      </c>
      <c r="P18" s="115">
        <v>5</v>
      </c>
      <c r="Q18" s="103">
        <v>67.5</v>
      </c>
    </row>
    <row r="19" spans="1:17" x14ac:dyDescent="0.45">
      <c r="A19" s="51" t="s">
        <v>195</v>
      </c>
      <c r="B19" s="44">
        <v>121</v>
      </c>
      <c r="C19" s="37">
        <f>IF(B$15=0,0,B19/B$15)</f>
        <v>0.37230769230769228</v>
      </c>
      <c r="E19" s="59" t="s">
        <v>92</v>
      </c>
      <c r="F19" s="56" t="s">
        <v>47</v>
      </c>
      <c r="G19" s="44">
        <v>3</v>
      </c>
      <c r="H19" s="129">
        <f>IF(B$15=0,0,G19/B$15)</f>
        <v>9.2307692307692316E-3</v>
      </c>
      <c r="I19" s="90">
        <v>3</v>
      </c>
      <c r="K19" s="36">
        <v>17</v>
      </c>
      <c r="L19" s="95">
        <v>-179.70000000000002</v>
      </c>
      <c r="N19" s="111" t="s">
        <v>161</v>
      </c>
      <c r="O19" s="121">
        <f t="shared" si="2"/>
        <v>4.1851851851851842</v>
      </c>
      <c r="P19" s="115">
        <v>27</v>
      </c>
      <c r="Q19" s="103">
        <v>112.99999999999999</v>
      </c>
    </row>
    <row r="20" spans="1:17" x14ac:dyDescent="0.45">
      <c r="A20" s="51" t="s">
        <v>193</v>
      </c>
      <c r="B20" s="44">
        <v>128</v>
      </c>
      <c r="C20" s="37">
        <f>IF(B$15=0,0,B20/B$15)</f>
        <v>0.39384615384615385</v>
      </c>
      <c r="E20" s="59" t="s">
        <v>162</v>
      </c>
      <c r="F20" s="56" t="s">
        <v>163</v>
      </c>
      <c r="G20" s="44">
        <v>3</v>
      </c>
      <c r="H20" s="129">
        <f>IF(B$15=0,0,G20/B$15)</f>
        <v>9.2307692307692316E-3</v>
      </c>
      <c r="I20" s="90">
        <v>7</v>
      </c>
      <c r="K20" s="36">
        <v>18</v>
      </c>
      <c r="L20" s="95">
        <v>-112.90000000000002</v>
      </c>
      <c r="N20" s="111" t="s">
        <v>170</v>
      </c>
      <c r="O20" s="121">
        <f t="shared" si="2"/>
        <v>3.5842105263157951</v>
      </c>
      <c r="P20" s="115">
        <v>38</v>
      </c>
      <c r="Q20" s="103">
        <v>136.20000000000022</v>
      </c>
    </row>
    <row r="21" spans="1:17" x14ac:dyDescent="0.45">
      <c r="A21" s="51" t="s">
        <v>194</v>
      </c>
      <c r="B21" s="44">
        <v>76</v>
      </c>
      <c r="C21" s="37">
        <f>IF(B$15=0,0,B21/B$15)</f>
        <v>0.23384615384615384</v>
      </c>
      <c r="E21" s="59" t="s">
        <v>74</v>
      </c>
      <c r="F21" s="56" t="s">
        <v>29</v>
      </c>
      <c r="G21" s="44">
        <v>2</v>
      </c>
      <c r="H21" s="129">
        <f>IF(B$15=0,0,G21/B$15)</f>
        <v>6.1538461538461538E-3</v>
      </c>
      <c r="I21" s="90">
        <v>3</v>
      </c>
      <c r="K21" s="36">
        <v>19</v>
      </c>
      <c r="L21" s="95">
        <v>-162.40000000000003</v>
      </c>
      <c r="N21" s="111" t="s">
        <v>171</v>
      </c>
      <c r="O21" s="121">
        <f t="shared" si="2"/>
        <v>-0.33499999999999791</v>
      </c>
      <c r="P21" s="115">
        <v>40</v>
      </c>
      <c r="Q21" s="103">
        <v>-13.399999999999917</v>
      </c>
    </row>
    <row r="22" spans="1:17" x14ac:dyDescent="0.45">
      <c r="A22" s="51" t="s">
        <v>5</v>
      </c>
      <c r="B22" s="48">
        <f>IF(B$15=0,0,C22/B$15)</f>
        <v>8425.8461538461543</v>
      </c>
      <c r="C22" s="39">
        <v>2738400</v>
      </c>
      <c r="E22" s="59" t="s">
        <v>75</v>
      </c>
      <c r="F22" s="56" t="s">
        <v>30</v>
      </c>
      <c r="G22" s="44">
        <v>2</v>
      </c>
      <c r="H22" s="129">
        <f>IF(B$15=0,0,G22/B$15)</f>
        <v>6.1538461538461538E-3</v>
      </c>
      <c r="I22" s="90">
        <v>6</v>
      </c>
      <c r="K22" s="36">
        <v>20</v>
      </c>
      <c r="L22" s="95">
        <v>-96.000000000000028</v>
      </c>
      <c r="N22" s="111" t="s">
        <v>126</v>
      </c>
      <c r="O22" s="121">
        <f t="shared" si="2"/>
        <v>-14.101123595505621</v>
      </c>
      <c r="P22" s="115">
        <v>89</v>
      </c>
      <c r="Q22" s="103">
        <v>-1255.0000000000002</v>
      </c>
    </row>
    <row r="23" spans="1:17" x14ac:dyDescent="0.45">
      <c r="A23" s="52" t="s">
        <v>177</v>
      </c>
      <c r="B23" s="136">
        <f>IF($B$15-B$14=0,0,C23/($B$15-B$14))</f>
        <v>9124.3654822335029</v>
      </c>
      <c r="C23" s="137">
        <v>1797500</v>
      </c>
      <c r="E23" s="59" t="s">
        <v>73</v>
      </c>
      <c r="F23" s="56" t="s">
        <v>28</v>
      </c>
      <c r="G23" s="44">
        <v>1</v>
      </c>
      <c r="H23" s="129">
        <f>IF(B$15=0,0,G23/B$15)</f>
        <v>3.0769230769230769E-3</v>
      </c>
      <c r="I23" s="90">
        <v>4</v>
      </c>
      <c r="K23" s="36">
        <v>21</v>
      </c>
      <c r="L23" s="95">
        <v>-67.200000000000031</v>
      </c>
    </row>
    <row r="24" spans="1:17" x14ac:dyDescent="0.45">
      <c r="A24" s="52" t="s">
        <v>178</v>
      </c>
      <c r="B24" s="136">
        <f>IF(B$14=0,0,C24/B$14)</f>
        <v>7350.78125</v>
      </c>
      <c r="C24" s="137">
        <v>940900</v>
      </c>
      <c r="E24" s="59" t="s">
        <v>77</v>
      </c>
      <c r="F24" s="56" t="s">
        <v>32</v>
      </c>
      <c r="G24" s="44">
        <v>1</v>
      </c>
      <c r="H24" s="129">
        <f>IF(B$15=0,0,G24/B$15)</f>
        <v>3.0769230769230769E-3</v>
      </c>
      <c r="I24" s="90">
        <v>3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-7975.3694581280788</v>
      </c>
      <c r="C25" s="137">
        <v>-1619000</v>
      </c>
      <c r="E25" s="59" t="s">
        <v>84</v>
      </c>
      <c r="F25" s="56" t="s">
        <v>39</v>
      </c>
      <c r="G25" s="44">
        <v>1</v>
      </c>
      <c r="H25" s="129">
        <f>IF(B$15=0,0,G25/B$15)</f>
        <v>3.0769230769230769E-3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90</v>
      </c>
      <c r="F26" s="56" t="s">
        <v>45</v>
      </c>
      <c r="G26" s="44">
        <v>1</v>
      </c>
      <c r="H26" s="129">
        <f>IF(B$15=0,0,G26/B$15)</f>
        <v>3.0769230769230769E-3</v>
      </c>
      <c r="I26" s="90">
        <v>2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30</v>
      </c>
      <c r="C27" s="131">
        <v>4</v>
      </c>
      <c r="E27" s="59" t="s">
        <v>95</v>
      </c>
      <c r="F27" s="56" t="s">
        <v>50</v>
      </c>
      <c r="G27" s="44">
        <v>1</v>
      </c>
      <c r="H27" s="129">
        <f>IF(B$15=0,0,G27/B$15)</f>
        <v>3.0769230769230769E-3</v>
      </c>
      <c r="I27" s="90">
        <v>3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52">
        <v>8</v>
      </c>
      <c r="C28" s="153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50">
        <v>91800</v>
      </c>
      <c r="C29" s="151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4</v>
      </c>
      <c r="C30" s="40">
        <f>IF(B$3=0,0,B30/B$3)</f>
        <v>3.7002775208140612E-3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23</v>
      </c>
      <c r="C32" s="141">
        <f>IF(B$15=0,0,B32/B$15)</f>
        <v>7.0769230769230765E-2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4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50</v>
      </c>
      <c r="C33" s="37">
        <f t="shared" ref="C33:C44" si="3">IF(B$15=0,0,B33/B$15)</f>
        <v>0.15384615384615385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69</v>
      </c>
      <c r="C34" s="37">
        <f>IF(B$15=0,0,B34/B$15)</f>
        <v>0.21230769230769231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68</v>
      </c>
      <c r="C35" s="37">
        <f t="shared" si="3"/>
        <v>0.20923076923076922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49</v>
      </c>
      <c r="C36" s="37">
        <f t="shared" si="3"/>
        <v>0.15076923076923077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36</v>
      </c>
      <c r="C37" s="37">
        <f t="shared" si="3"/>
        <v>0.11076923076923077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10</v>
      </c>
      <c r="C38" s="37">
        <f t="shared" si="3"/>
        <v>3.0769230769230771E-2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8</v>
      </c>
      <c r="C39" s="37">
        <f t="shared" si="3"/>
        <v>2.4615384615384615E-2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5</v>
      </c>
      <c r="C40" s="37">
        <f t="shared" si="3"/>
        <v>1.5384615384615385E-2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3"/>
        <v>3.0769230769230769E-3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2</v>
      </c>
      <c r="C42" s="37">
        <f t="shared" si="3"/>
        <v>6.1538461538461538E-3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3"/>
        <v>1.2307692307692308E-2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</sheetData>
  <sortState xmlns:xlrd2="http://schemas.microsoft.com/office/spreadsheetml/2017/richdata2" ref="E2:I132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F757-5CF2-4536-88D9-D3B001E25C97}">
  <sheetPr codeName="Sheet13"/>
  <dimension ref="A1:Q85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172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83</v>
      </c>
      <c r="C2" s="159"/>
      <c r="E2" s="58" t="s">
        <v>66</v>
      </c>
      <c r="F2" s="55" t="s">
        <v>22</v>
      </c>
      <c r="G2" s="43">
        <v>148</v>
      </c>
      <c r="H2" s="128">
        <f>IF(B$15=0,0,G2/B$15)</f>
        <v>0.74747474747474751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-432.92682926829269</v>
      </c>
      <c r="P2" s="114">
        <v>82</v>
      </c>
      <c r="Q2" s="98">
        <v>-35500</v>
      </c>
    </row>
    <row r="3" spans="1:17" x14ac:dyDescent="0.45">
      <c r="A3" s="51" t="s">
        <v>8</v>
      </c>
      <c r="B3" s="160">
        <v>704</v>
      </c>
      <c r="C3" s="161"/>
      <c r="E3" s="59" t="s">
        <v>64</v>
      </c>
      <c r="F3" s="56" t="s">
        <v>20</v>
      </c>
      <c r="G3" s="44">
        <v>112</v>
      </c>
      <c r="H3" s="129">
        <f>IF(B$15=0,0,G3/B$15)</f>
        <v>0.56565656565656564</v>
      </c>
      <c r="I3" s="90">
        <v>3</v>
      </c>
      <c r="K3" s="36">
        <v>1</v>
      </c>
      <c r="L3" s="95">
        <v>-37.799999999999997</v>
      </c>
      <c r="N3" s="111" t="s">
        <v>131</v>
      </c>
      <c r="O3" s="118">
        <f t="shared" si="0"/>
        <v>-998.78048780487802</v>
      </c>
      <c r="P3" s="115">
        <v>82</v>
      </c>
      <c r="Q3" s="99">
        <v>-81900</v>
      </c>
    </row>
    <row r="4" spans="1:17" x14ac:dyDescent="0.45">
      <c r="A4" s="51" t="s">
        <v>6</v>
      </c>
      <c r="B4" s="162">
        <v>-524.50000000000011</v>
      </c>
      <c r="C4" s="163"/>
      <c r="E4" s="59" t="s">
        <v>72</v>
      </c>
      <c r="F4" s="56" t="s">
        <v>27</v>
      </c>
      <c r="G4" s="44">
        <v>100</v>
      </c>
      <c r="H4" s="129">
        <f>IF(B$15=0,0,G4/B$15)</f>
        <v>0.50505050505050508</v>
      </c>
      <c r="I4" s="90">
        <v>8</v>
      </c>
      <c r="K4" s="36">
        <v>2</v>
      </c>
      <c r="L4" s="95">
        <v>-30.099999999999998</v>
      </c>
      <c r="N4" s="111" t="s">
        <v>132</v>
      </c>
      <c r="O4" s="118">
        <f t="shared" si="0"/>
        <v>596.0526315789474</v>
      </c>
      <c r="P4" s="115">
        <v>76</v>
      </c>
      <c r="Q4" s="99">
        <v>45300</v>
      </c>
    </row>
    <row r="5" spans="1:17" x14ac:dyDescent="0.45">
      <c r="A5" s="51" t="s">
        <v>7</v>
      </c>
      <c r="B5" s="164">
        <f>IF(B$2=0,0,B$4/B$2)</f>
        <v>-6.3192771084337362</v>
      </c>
      <c r="C5" s="165"/>
      <c r="E5" s="59" t="s">
        <v>166</v>
      </c>
      <c r="F5" s="56" t="s">
        <v>167</v>
      </c>
      <c r="G5" s="44">
        <v>83</v>
      </c>
      <c r="H5" s="129">
        <f>IF(B$15=0,0,G5/B$15)</f>
        <v>0.41919191919191917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0"/>
        <v>-212</v>
      </c>
      <c r="P5" s="115">
        <v>75</v>
      </c>
      <c r="Q5" s="99">
        <v>-15900</v>
      </c>
    </row>
    <row r="6" spans="1:17" x14ac:dyDescent="0.45">
      <c r="A6" s="51" t="s">
        <v>1</v>
      </c>
      <c r="B6" s="154">
        <f>IF(B$2=0,0,(B$7*1+B$8*2+B$9*3)/B$2)</f>
        <v>2.1686746987951806</v>
      </c>
      <c r="C6" s="155"/>
      <c r="E6" s="59" t="s">
        <v>68</v>
      </c>
      <c r="F6" s="56" t="s">
        <v>12</v>
      </c>
      <c r="G6" s="44">
        <v>66</v>
      </c>
      <c r="H6" s="129">
        <f>IF(B$15=0,0,G6/B$15)</f>
        <v>0.33333333333333331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-3135.211267605634</v>
      </c>
      <c r="P6" s="115">
        <v>71</v>
      </c>
      <c r="Q6" s="99">
        <v>-222600</v>
      </c>
    </row>
    <row r="7" spans="1:17" x14ac:dyDescent="0.45">
      <c r="A7" s="51" t="s">
        <v>2</v>
      </c>
      <c r="B7" s="44">
        <v>18</v>
      </c>
      <c r="C7" s="37">
        <f t="shared" ref="C7:C10" si="1">IF(B$2=0,0,B7/B$2)</f>
        <v>0.21686746987951808</v>
      </c>
      <c r="E7" s="59" t="s">
        <v>67</v>
      </c>
      <c r="F7" s="56" t="s">
        <v>23</v>
      </c>
      <c r="G7" s="44">
        <v>55</v>
      </c>
      <c r="H7" s="129">
        <f>IF(B$15=0,0,G7/B$15)</f>
        <v>0.27777777777777779</v>
      </c>
      <c r="I7" s="90">
        <v>6</v>
      </c>
      <c r="K7" s="36">
        <v>5</v>
      </c>
      <c r="L7" s="95">
        <v>-33.699999999999989</v>
      </c>
      <c r="N7" s="112" t="s">
        <v>135</v>
      </c>
      <c r="O7" s="119">
        <f t="shared" si="0"/>
        <v>-1636.0655737704917</v>
      </c>
      <c r="P7" s="116">
        <v>61</v>
      </c>
      <c r="Q7" s="100">
        <v>-99800</v>
      </c>
    </row>
    <row r="8" spans="1:17" x14ac:dyDescent="0.45">
      <c r="A8" s="51" t="s">
        <v>3</v>
      </c>
      <c r="B8" s="44">
        <v>33</v>
      </c>
      <c r="C8" s="37">
        <f t="shared" si="1"/>
        <v>0.39759036144578314</v>
      </c>
      <c r="E8" s="59" t="s">
        <v>69</v>
      </c>
      <c r="F8" s="56" t="s">
        <v>24</v>
      </c>
      <c r="G8" s="44">
        <v>27</v>
      </c>
      <c r="H8" s="129">
        <f>IF(B$15=0,0,G8/B$15)</f>
        <v>0.13636363636363635</v>
      </c>
      <c r="I8" s="90">
        <v>8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32</v>
      </c>
      <c r="C9" s="38">
        <f t="shared" si="1"/>
        <v>0.38554216867469882</v>
      </c>
      <c r="E9" s="59" t="s">
        <v>70</v>
      </c>
      <c r="F9" s="56" t="s">
        <v>25</v>
      </c>
      <c r="G9" s="44">
        <v>25</v>
      </c>
      <c r="H9" s="129">
        <f>IF(B$15=0,0,G9/B$15)</f>
        <v>0.12626262626262627</v>
      </c>
      <c r="I9" s="90">
        <v>3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6</v>
      </c>
      <c r="C10" s="40">
        <f t="shared" si="1"/>
        <v>7.2289156626506021E-2</v>
      </c>
      <c r="E10" s="59" t="s">
        <v>65</v>
      </c>
      <c r="F10" s="56" t="s">
        <v>21</v>
      </c>
      <c r="G10" s="44">
        <v>24</v>
      </c>
      <c r="H10" s="129">
        <f>IF(B$15=0,0,G10/B$15)</f>
        <v>0.12121212121212122</v>
      </c>
      <c r="I10" s="90">
        <v>5</v>
      </c>
      <c r="K10" s="36">
        <v>8</v>
      </c>
      <c r="L10" s="95">
        <v>-62.999999999999993</v>
      </c>
      <c r="N10" s="110" t="s">
        <v>157</v>
      </c>
      <c r="O10" s="120">
        <f>IF(P10=0,0,Q10/P10)</f>
        <v>-4.6939393939393952</v>
      </c>
      <c r="P10" s="114">
        <v>33</v>
      </c>
      <c r="Q10" s="102">
        <v>-154.90000000000003</v>
      </c>
    </row>
    <row r="11" spans="1:17" x14ac:dyDescent="0.45">
      <c r="A11" s="54" t="s">
        <v>121</v>
      </c>
      <c r="B11" s="47">
        <v>197</v>
      </c>
      <c r="C11" s="42">
        <f>IF(B$3=0,0,B11/B$3)</f>
        <v>0.27982954545454547</v>
      </c>
      <c r="E11" s="59" t="s">
        <v>89</v>
      </c>
      <c r="F11" s="56" t="s">
        <v>44</v>
      </c>
      <c r="G11" s="44">
        <v>24</v>
      </c>
      <c r="H11" s="129">
        <f>IF(B$15=0,0,G11/B$15)</f>
        <v>0.12121212121212122</v>
      </c>
      <c r="I11" s="90">
        <v>8</v>
      </c>
      <c r="K11" s="36">
        <v>9</v>
      </c>
      <c r="L11" s="95">
        <v>-74.199999999999989</v>
      </c>
      <c r="N11" s="111" t="s">
        <v>158</v>
      </c>
      <c r="O11" s="121">
        <f>IF(P11=0,0,Q11/P11)</f>
        <v>-8.6130434782608702</v>
      </c>
      <c r="P11" s="115">
        <v>23</v>
      </c>
      <c r="Q11" s="103">
        <v>-198.10000000000002</v>
      </c>
    </row>
    <row r="12" spans="1:17" x14ac:dyDescent="0.45">
      <c r="A12" s="51" t="s">
        <v>118</v>
      </c>
      <c r="B12" s="44">
        <v>142</v>
      </c>
      <c r="C12" s="37">
        <f>IF(B$3=0,0,B12/B$3)</f>
        <v>0.20170454545454544</v>
      </c>
      <c r="E12" s="59" t="s">
        <v>83</v>
      </c>
      <c r="F12" s="56" t="s">
        <v>38</v>
      </c>
      <c r="G12" s="44">
        <v>10</v>
      </c>
      <c r="H12" s="129">
        <f>IF(B$15=0,0,G12/B$15)</f>
        <v>5.0505050505050504E-2</v>
      </c>
      <c r="I12" s="90">
        <v>7</v>
      </c>
      <c r="K12" s="36">
        <v>10</v>
      </c>
      <c r="L12" s="95">
        <v>-117.19999999999999</v>
      </c>
      <c r="N12" s="112" t="s">
        <v>159</v>
      </c>
      <c r="O12" s="122">
        <f>IF(P12=0,0,Q12/P12)</f>
        <v>-6.3518518518518494</v>
      </c>
      <c r="P12" s="116">
        <v>27</v>
      </c>
      <c r="Q12" s="104">
        <v>-171.49999999999994</v>
      </c>
    </row>
    <row r="13" spans="1:17" x14ac:dyDescent="0.45">
      <c r="A13" s="50" t="s">
        <v>123</v>
      </c>
      <c r="B13" s="43">
        <f>B19</f>
        <v>112</v>
      </c>
      <c r="C13" s="35">
        <f>IF(B$11=0,0,B13/B$11)</f>
        <v>0.56852791878172593</v>
      </c>
      <c r="E13" s="59" t="s">
        <v>71</v>
      </c>
      <c r="F13" s="56" t="s">
        <v>26</v>
      </c>
      <c r="G13" s="44">
        <v>8</v>
      </c>
      <c r="H13" s="129">
        <f>IF(B$15=0,0,G13/B$15)</f>
        <v>4.0404040404040407E-2</v>
      </c>
      <c r="I13" s="90">
        <v>12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58</v>
      </c>
      <c r="C14" s="35">
        <f>IF(B$12=0,0,B14/B$12)</f>
        <v>0.40845070422535212</v>
      </c>
      <c r="E14" s="59" t="s">
        <v>86</v>
      </c>
      <c r="F14" s="56" t="s">
        <v>41</v>
      </c>
      <c r="G14" s="44">
        <v>8</v>
      </c>
      <c r="H14" s="129">
        <f>IF(B$15=0,0,G14/B$15)</f>
        <v>4.0404040404040407E-2</v>
      </c>
      <c r="I14" s="90">
        <v>8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198</v>
      </c>
      <c r="C15" s="35">
        <f>IF(B$3=0,0,B15/B$3)</f>
        <v>0.28125</v>
      </c>
      <c r="E15" s="59" t="s">
        <v>78</v>
      </c>
      <c r="F15" s="56" t="s">
        <v>33</v>
      </c>
      <c r="G15" s="44">
        <v>7</v>
      </c>
      <c r="H15" s="129">
        <f>IF(B$15=0,0,G15/B$15)</f>
        <v>3.5353535353535352E-2</v>
      </c>
      <c r="I15" s="90">
        <v>3</v>
      </c>
      <c r="K15" s="36">
        <v>13</v>
      </c>
      <c r="L15" s="95">
        <v>-207.3</v>
      </c>
      <c r="N15" s="110" t="s">
        <v>161</v>
      </c>
      <c r="O15" s="120">
        <f>IF(P15=0,0,Q15/P15)</f>
        <v>8.6066666666666709</v>
      </c>
      <c r="P15" s="114">
        <v>15</v>
      </c>
      <c r="Q15" s="102">
        <v>129.10000000000005</v>
      </c>
    </row>
    <row r="16" spans="1:17" x14ac:dyDescent="0.45">
      <c r="A16" s="51" t="s">
        <v>13</v>
      </c>
      <c r="B16" s="44">
        <v>134</v>
      </c>
      <c r="C16" s="37">
        <f>IF(B$3=0,0,B16/B$3)</f>
        <v>0.19034090909090909</v>
      </c>
      <c r="E16" s="59" t="s">
        <v>162</v>
      </c>
      <c r="F16" s="56" t="s">
        <v>163</v>
      </c>
      <c r="G16" s="44">
        <v>4</v>
      </c>
      <c r="H16" s="129">
        <f>IF(B$15=0,0,G16/B$15)</f>
        <v>2.0202020202020204E-2</v>
      </c>
      <c r="I16" s="90">
        <v>5</v>
      </c>
      <c r="K16" s="36">
        <v>14</v>
      </c>
      <c r="L16" s="95">
        <v>-204.8</v>
      </c>
      <c r="N16" s="111" t="s">
        <v>170</v>
      </c>
      <c r="O16" s="121">
        <f>IF(P16=0,0,Q16/P16)</f>
        <v>3.457894736842106</v>
      </c>
      <c r="P16" s="115">
        <v>19</v>
      </c>
      <c r="Q16" s="103">
        <v>65.700000000000017</v>
      </c>
    </row>
    <row r="17" spans="1:17" x14ac:dyDescent="0.45">
      <c r="A17" s="51" t="s">
        <v>12</v>
      </c>
      <c r="B17" s="44">
        <v>89</v>
      </c>
      <c r="C17" s="37">
        <f>IF(B$15=0,0,B17/B$15)</f>
        <v>0.4494949494949495</v>
      </c>
      <c r="E17" s="59" t="s">
        <v>75</v>
      </c>
      <c r="F17" s="56" t="s">
        <v>30</v>
      </c>
      <c r="G17" s="44">
        <v>3</v>
      </c>
      <c r="H17" s="129">
        <f>IF(B$15=0,0,G17/B$15)</f>
        <v>1.5151515151515152E-2</v>
      </c>
      <c r="I17" s="90">
        <v>2</v>
      </c>
      <c r="K17" s="36">
        <v>15</v>
      </c>
      <c r="L17" s="95">
        <v>-221.5</v>
      </c>
      <c r="N17" s="111" t="s">
        <v>197</v>
      </c>
      <c r="O17" s="121">
        <f>IF(P17=0,0,Q17/P17)</f>
        <v>3.1666666666666656</v>
      </c>
      <c r="P17" s="115">
        <v>3</v>
      </c>
      <c r="Q17" s="103">
        <v>9.4999999999999964</v>
      </c>
    </row>
    <row r="18" spans="1:17" x14ac:dyDescent="0.45">
      <c r="A18" s="51" t="s">
        <v>11</v>
      </c>
      <c r="B18" s="44">
        <v>109</v>
      </c>
      <c r="C18" s="37">
        <f>IF(B$15=0,0,B18/B$15)</f>
        <v>0.5505050505050505</v>
      </c>
      <c r="E18" s="59" t="s">
        <v>81</v>
      </c>
      <c r="F18" s="56" t="s">
        <v>36</v>
      </c>
      <c r="G18" s="44">
        <v>3</v>
      </c>
      <c r="H18" s="129">
        <f>IF(B$15=0,0,G18/B$15)</f>
        <v>1.5151515151515152E-2</v>
      </c>
      <c r="I18" s="90">
        <v>8</v>
      </c>
      <c r="K18" s="36">
        <v>16</v>
      </c>
      <c r="L18" s="95">
        <v>-224.3</v>
      </c>
      <c r="N18" s="111" t="s">
        <v>196</v>
      </c>
      <c r="O18" s="121">
        <f>IF(P18=0,0,Q18/P18)</f>
        <v>0.14000000000000129</v>
      </c>
      <c r="P18" s="115">
        <v>10</v>
      </c>
      <c r="Q18" s="103">
        <v>1.4000000000000128</v>
      </c>
    </row>
    <row r="19" spans="1:17" x14ac:dyDescent="0.45">
      <c r="A19" s="51" t="s">
        <v>195</v>
      </c>
      <c r="B19" s="44">
        <v>112</v>
      </c>
      <c r="C19" s="37">
        <f>IF(B$15=0,0,B19/B$15)</f>
        <v>0.56565656565656564</v>
      </c>
      <c r="E19" s="59" t="s">
        <v>79</v>
      </c>
      <c r="F19" s="56" t="s">
        <v>34</v>
      </c>
      <c r="G19" s="44">
        <v>2</v>
      </c>
      <c r="H19" s="129">
        <f>IF(B$15=0,0,G19/B$15)</f>
        <v>1.0101010101010102E-2</v>
      </c>
      <c r="I19" s="90">
        <v>6</v>
      </c>
      <c r="K19" s="36">
        <v>17</v>
      </c>
      <c r="L19" s="95">
        <v>-251.4</v>
      </c>
      <c r="N19" s="111" t="s">
        <v>171</v>
      </c>
      <c r="O19" s="121">
        <f>IF(P19=0,0,Q19/P19)</f>
        <v>-14.391304347826088</v>
      </c>
      <c r="P19" s="115">
        <v>23</v>
      </c>
      <c r="Q19" s="103">
        <v>-331</v>
      </c>
    </row>
    <row r="20" spans="1:17" x14ac:dyDescent="0.45">
      <c r="A20" s="51" t="s">
        <v>193</v>
      </c>
      <c r="B20" s="44">
        <v>58</v>
      </c>
      <c r="C20" s="37">
        <f>IF(B$15=0,0,B20/B$15)</f>
        <v>0.29292929292929293</v>
      </c>
      <c r="E20" s="59" t="s">
        <v>91</v>
      </c>
      <c r="F20" s="56" t="s">
        <v>46</v>
      </c>
      <c r="G20" s="44">
        <v>1</v>
      </c>
      <c r="H20" s="129">
        <f>IF(B$15=0,0,G20/B$15)</f>
        <v>5.0505050505050509E-3</v>
      </c>
      <c r="I20" s="90">
        <v>8</v>
      </c>
      <c r="K20" s="36">
        <v>18</v>
      </c>
      <c r="L20" s="95">
        <v>-240</v>
      </c>
      <c r="N20" s="111" t="s">
        <v>126</v>
      </c>
      <c r="O20" s="121">
        <f>IF(P20=0,0,Q20/P20)</f>
        <v>-14.407692307692312</v>
      </c>
      <c r="P20" s="115">
        <v>52</v>
      </c>
      <c r="Q20" s="103">
        <v>-749.20000000000016</v>
      </c>
    </row>
    <row r="21" spans="1:17" x14ac:dyDescent="0.45">
      <c r="A21" s="51" t="s">
        <v>194</v>
      </c>
      <c r="B21" s="44">
        <v>28</v>
      </c>
      <c r="C21" s="37">
        <f>IF(B$15=0,0,B21/B$15)</f>
        <v>0.14141414141414141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>IF(P21=0,0,Q21/P21)</f>
        <v>-14.939534883720924</v>
      </c>
      <c r="P21" s="115">
        <v>43</v>
      </c>
      <c r="Q21" s="103">
        <v>-642.39999999999975</v>
      </c>
    </row>
    <row r="22" spans="1:17" x14ac:dyDescent="0.45">
      <c r="A22" s="51" t="s">
        <v>5</v>
      </c>
      <c r="B22" s="48">
        <f>IF(B$15=0,0,C22/B$15)</f>
        <v>7712.6262626262624</v>
      </c>
      <c r="C22" s="39">
        <v>1527100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228</v>
      </c>
      <c r="O22" s="121">
        <f>IF(P22=0,0,Q22/P22)</f>
        <v>-56.6</v>
      </c>
      <c r="P22" s="115">
        <v>1</v>
      </c>
      <c r="Q22" s="103">
        <v>-56.6</v>
      </c>
    </row>
    <row r="23" spans="1:17" x14ac:dyDescent="0.45">
      <c r="A23" s="52" t="s">
        <v>177</v>
      </c>
      <c r="B23" s="136">
        <f>IF($B$15-B$14=0,0,C23/($B$15-B$14))</f>
        <v>8228.5714285714294</v>
      </c>
      <c r="C23" s="137">
        <v>1152000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</row>
    <row r="24" spans="1:17" x14ac:dyDescent="0.45">
      <c r="A24" s="52" t="s">
        <v>178</v>
      </c>
      <c r="B24" s="136">
        <f>IF(B$14=0,0,C24/B$14)</f>
        <v>6467.2413793103451</v>
      </c>
      <c r="C24" s="137">
        <v>375100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-7485.8208955223881</v>
      </c>
      <c r="C25" s="137">
        <v>-1003100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1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1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6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52">
        <v>8</v>
      </c>
      <c r="C28" s="153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50">
        <v>69500</v>
      </c>
      <c r="C29" s="151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4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4.261363636363636E-3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14</v>
      </c>
      <c r="C32" s="141">
        <f>IF(B$15=0,0,B32/B$15)</f>
        <v>7.0707070707070704E-2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37</v>
      </c>
      <c r="C33" s="37">
        <f t="shared" ref="C33:C44" si="2">IF(B$15=0,0,B33/B$15)</f>
        <v>0.18686868686868688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45</v>
      </c>
      <c r="C34" s="37">
        <f>IF(B$15=0,0,B34/B$15)</f>
        <v>0.22727272727272727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30</v>
      </c>
      <c r="C35" s="37">
        <f t="shared" si="2"/>
        <v>0.15151515151515152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35</v>
      </c>
      <c r="C36" s="37">
        <f t="shared" si="2"/>
        <v>0.17676767676767677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19</v>
      </c>
      <c r="C37" s="37">
        <f t="shared" si="2"/>
        <v>9.5959595959595953E-2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11</v>
      </c>
      <c r="C38" s="37">
        <f t="shared" si="2"/>
        <v>5.5555555555555552E-2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4</v>
      </c>
      <c r="C39" s="37">
        <f t="shared" si="2"/>
        <v>2.0202020202020204E-2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2"/>
        <v>5.0505050505050509E-3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2"/>
        <v>1.0101010101010102E-2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D31DC-A1BB-4540-93F5-6AC2AD443A34}">
  <sheetPr codeName="Sheet15"/>
  <dimension ref="A1:Q99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170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97</v>
      </c>
      <c r="C2" s="159"/>
      <c r="E2" s="58" t="s">
        <v>66</v>
      </c>
      <c r="F2" s="55" t="s">
        <v>22</v>
      </c>
      <c r="G2" s="43">
        <v>185</v>
      </c>
      <c r="H2" s="128">
        <f>IF(B$15=0,0,G2/B$15)</f>
        <v>0.85253456221198154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1393.8144329896907</v>
      </c>
      <c r="P2" s="114">
        <v>97</v>
      </c>
      <c r="Q2" s="98">
        <v>135200</v>
      </c>
    </row>
    <row r="3" spans="1:17" x14ac:dyDescent="0.45">
      <c r="A3" s="51" t="s">
        <v>8</v>
      </c>
      <c r="B3" s="160">
        <v>776</v>
      </c>
      <c r="C3" s="161"/>
      <c r="E3" s="59" t="s">
        <v>72</v>
      </c>
      <c r="F3" s="56" t="s">
        <v>27</v>
      </c>
      <c r="G3" s="44">
        <v>122</v>
      </c>
      <c r="H3" s="129">
        <f>IF(B$15=0,0,G3/B$15)</f>
        <v>0.56221198156682028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-1326.3157894736842</v>
      </c>
      <c r="P3" s="115">
        <v>95</v>
      </c>
      <c r="Q3" s="99">
        <v>-126000</v>
      </c>
    </row>
    <row r="4" spans="1:17" x14ac:dyDescent="0.45">
      <c r="A4" s="51" t="s">
        <v>6</v>
      </c>
      <c r="B4" s="162">
        <v>334.70000000000016</v>
      </c>
      <c r="C4" s="163"/>
      <c r="E4" s="59" t="s">
        <v>64</v>
      </c>
      <c r="F4" s="56" t="s">
        <v>20</v>
      </c>
      <c r="G4" s="44">
        <v>121</v>
      </c>
      <c r="H4" s="129">
        <f>IF(B$15=0,0,G4/B$15)</f>
        <v>0.55760368663594473</v>
      </c>
      <c r="I4" s="90">
        <v>4</v>
      </c>
      <c r="K4" s="36">
        <v>2</v>
      </c>
      <c r="L4" s="95">
        <v>-67.3</v>
      </c>
      <c r="N4" s="111" t="s">
        <v>132</v>
      </c>
      <c r="O4" s="118">
        <f t="shared" si="0"/>
        <v>-596.51162790697674</v>
      </c>
      <c r="P4" s="115">
        <v>86</v>
      </c>
      <c r="Q4" s="99">
        <v>-51300</v>
      </c>
    </row>
    <row r="5" spans="1:17" x14ac:dyDescent="0.45">
      <c r="A5" s="51" t="s">
        <v>7</v>
      </c>
      <c r="B5" s="164">
        <f>IF(B$2=0,0,B$4/B$2)</f>
        <v>3.4505154639175273</v>
      </c>
      <c r="C5" s="165"/>
      <c r="E5" s="59" t="s">
        <v>67</v>
      </c>
      <c r="F5" s="56" t="s">
        <v>23</v>
      </c>
      <c r="G5" s="44">
        <v>97</v>
      </c>
      <c r="H5" s="129">
        <f>IF(B$15=0,0,G5/B$15)</f>
        <v>0.44700460829493088</v>
      </c>
      <c r="I5" s="90">
        <v>2</v>
      </c>
      <c r="K5" s="36">
        <v>3</v>
      </c>
      <c r="L5" s="95">
        <v>-113.8</v>
      </c>
      <c r="N5" s="111" t="s">
        <v>133</v>
      </c>
      <c r="O5" s="118">
        <f t="shared" si="0"/>
        <v>2763.4146341463415</v>
      </c>
      <c r="P5" s="115">
        <v>82</v>
      </c>
      <c r="Q5" s="99">
        <v>226600</v>
      </c>
    </row>
    <row r="6" spans="1:17" x14ac:dyDescent="0.45">
      <c r="A6" s="51" t="s">
        <v>1</v>
      </c>
      <c r="B6" s="154">
        <f>IF(B$2=0,0,(B$7*1+B$8*2+B$9*3)/B$2)</f>
        <v>1.9381443298969072</v>
      </c>
      <c r="C6" s="155"/>
      <c r="E6" s="59" t="s">
        <v>68</v>
      </c>
      <c r="F6" s="56" t="s">
        <v>12</v>
      </c>
      <c r="G6" s="44">
        <v>88</v>
      </c>
      <c r="H6" s="129">
        <f>IF(B$15=0,0,G6/B$15)</f>
        <v>0.40552995391705071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465.75342465753425</v>
      </c>
      <c r="P6" s="115">
        <v>73</v>
      </c>
      <c r="Q6" s="99">
        <v>34000</v>
      </c>
    </row>
    <row r="7" spans="1:17" x14ac:dyDescent="0.45">
      <c r="A7" s="51" t="s">
        <v>2</v>
      </c>
      <c r="B7" s="44">
        <v>37</v>
      </c>
      <c r="C7" s="37">
        <f t="shared" ref="C7:C10" si="1">IF(B$2=0,0,B7/B$2)</f>
        <v>0.38144329896907214</v>
      </c>
      <c r="E7" s="59" t="s">
        <v>166</v>
      </c>
      <c r="F7" s="56" t="s">
        <v>167</v>
      </c>
      <c r="G7" s="44">
        <v>83</v>
      </c>
      <c r="H7" s="129">
        <f>IF(B$15=0,0,G7/B$15)</f>
        <v>0.38248847926267282</v>
      </c>
      <c r="I7" s="90">
        <v>8</v>
      </c>
      <c r="K7" s="36">
        <v>5</v>
      </c>
      <c r="L7" s="95">
        <v>-118.3</v>
      </c>
      <c r="N7" s="112" t="s">
        <v>135</v>
      </c>
      <c r="O7" s="119">
        <f t="shared" si="0"/>
        <v>229.82456140350877</v>
      </c>
      <c r="P7" s="116">
        <v>57</v>
      </c>
      <c r="Q7" s="100">
        <v>13100</v>
      </c>
    </row>
    <row r="8" spans="1:17" x14ac:dyDescent="0.45">
      <c r="A8" s="51" t="s">
        <v>3</v>
      </c>
      <c r="B8" s="44">
        <v>29</v>
      </c>
      <c r="C8" s="37">
        <f t="shared" si="1"/>
        <v>0.29896907216494845</v>
      </c>
      <c r="E8" s="59" t="s">
        <v>89</v>
      </c>
      <c r="F8" s="56" t="s">
        <v>44</v>
      </c>
      <c r="G8" s="44">
        <v>49</v>
      </c>
      <c r="H8" s="129">
        <f>IF(B$15=0,0,G8/B$15)</f>
        <v>0.22580645161290322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31</v>
      </c>
      <c r="C9" s="38">
        <f t="shared" si="1"/>
        <v>0.31958762886597936</v>
      </c>
      <c r="E9" s="59" t="s">
        <v>69</v>
      </c>
      <c r="F9" s="56" t="s">
        <v>24</v>
      </c>
      <c r="G9" s="44">
        <v>45</v>
      </c>
      <c r="H9" s="129">
        <f>IF(B$15=0,0,G9/B$15)</f>
        <v>0.20737327188940091</v>
      </c>
      <c r="I9" s="90">
        <v>3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11</v>
      </c>
      <c r="C10" s="40">
        <f t="shared" si="1"/>
        <v>0.1134020618556701</v>
      </c>
      <c r="E10" s="59" t="s">
        <v>65</v>
      </c>
      <c r="F10" s="56" t="s">
        <v>21</v>
      </c>
      <c r="G10" s="44">
        <v>32</v>
      </c>
      <c r="H10" s="129">
        <f>IF(B$15=0,0,G10/B$15)</f>
        <v>0.14746543778801843</v>
      </c>
      <c r="I10" s="90">
        <v>3</v>
      </c>
      <c r="K10" s="36">
        <v>8</v>
      </c>
      <c r="L10" s="95">
        <v>-110.19999999999999</v>
      </c>
      <c r="N10" s="110" t="s">
        <v>157</v>
      </c>
      <c r="O10" s="120">
        <f>IF(P10=0,0,Q10/P10)</f>
        <v>0.81851851851851876</v>
      </c>
      <c r="P10" s="114">
        <v>27</v>
      </c>
      <c r="Q10" s="102">
        <v>22.100000000000005</v>
      </c>
    </row>
    <row r="11" spans="1:17" x14ac:dyDescent="0.45">
      <c r="A11" s="54" t="s">
        <v>121</v>
      </c>
      <c r="B11" s="47">
        <v>245</v>
      </c>
      <c r="C11" s="42">
        <f>IF(B$3=0,0,B11/B$3)</f>
        <v>0.31572164948453607</v>
      </c>
      <c r="E11" s="59" t="s">
        <v>70</v>
      </c>
      <c r="F11" s="56" t="s">
        <v>25</v>
      </c>
      <c r="G11" s="44">
        <v>23</v>
      </c>
      <c r="H11" s="129">
        <f>IF(B$15=0,0,G11/B$15)</f>
        <v>0.10599078341013825</v>
      </c>
      <c r="I11" s="90">
        <v>6</v>
      </c>
      <c r="K11" s="36">
        <v>9</v>
      </c>
      <c r="L11" s="95">
        <v>-120.99999999999999</v>
      </c>
      <c r="N11" s="111" t="s">
        <v>158</v>
      </c>
      <c r="O11" s="121">
        <f>IF(P11=0,0,Q11/P11)</f>
        <v>5.9499999999999993</v>
      </c>
      <c r="P11" s="115">
        <v>40</v>
      </c>
      <c r="Q11" s="103">
        <v>237.99999999999997</v>
      </c>
    </row>
    <row r="12" spans="1:17" x14ac:dyDescent="0.45">
      <c r="A12" s="51" t="s">
        <v>118</v>
      </c>
      <c r="B12" s="44">
        <v>127</v>
      </c>
      <c r="C12" s="37">
        <f>IF(B$3=0,0,B12/B$3)</f>
        <v>0.16365979381443299</v>
      </c>
      <c r="E12" s="59" t="s">
        <v>162</v>
      </c>
      <c r="F12" s="56" t="s">
        <v>163</v>
      </c>
      <c r="G12" s="44">
        <v>16</v>
      </c>
      <c r="H12" s="129">
        <f>IF(B$15=0,0,G12/B$15)</f>
        <v>7.3732718894009217E-2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2.4866666666666668</v>
      </c>
      <c r="P12" s="116">
        <v>30</v>
      </c>
      <c r="Q12" s="104">
        <v>74.600000000000009</v>
      </c>
    </row>
    <row r="13" spans="1:17" x14ac:dyDescent="0.45">
      <c r="A13" s="50" t="s">
        <v>123</v>
      </c>
      <c r="B13" s="43">
        <f>B19</f>
        <v>136</v>
      </c>
      <c r="C13" s="35">
        <f>IF(B$11=0,0,B13/B$11)</f>
        <v>0.55510204081632653</v>
      </c>
      <c r="E13" s="59" t="s">
        <v>71</v>
      </c>
      <c r="F13" s="56" t="s">
        <v>26</v>
      </c>
      <c r="G13" s="44">
        <v>12</v>
      </c>
      <c r="H13" s="129">
        <f>IF(B$15=0,0,G13/B$15)</f>
        <v>5.5299539170506916E-2</v>
      </c>
      <c r="I13" s="90">
        <v>11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50</v>
      </c>
      <c r="C14" s="35">
        <f>IF(B$12=0,0,B14/B$12)</f>
        <v>0.39370078740157483</v>
      </c>
      <c r="E14" s="59" t="s">
        <v>83</v>
      </c>
      <c r="F14" s="56" t="s">
        <v>38</v>
      </c>
      <c r="G14" s="44">
        <v>7</v>
      </c>
      <c r="H14" s="129">
        <f>IF(B$15=0,0,G14/B$15)</f>
        <v>3.2258064516129031E-2</v>
      </c>
      <c r="I14" s="90">
        <v>10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217</v>
      </c>
      <c r="C15" s="35">
        <f>IF(B$3=0,0,B15/B$3)</f>
        <v>0.27963917525773196</v>
      </c>
      <c r="E15" s="59" t="s">
        <v>86</v>
      </c>
      <c r="F15" s="56" t="s">
        <v>41</v>
      </c>
      <c r="G15" s="44">
        <v>7</v>
      </c>
      <c r="H15" s="129">
        <f>IF(B$15=0,0,G15/B$15)</f>
        <v>3.2258064516129031E-2</v>
      </c>
      <c r="I15" s="90">
        <v>10</v>
      </c>
      <c r="K15" s="36">
        <v>13</v>
      </c>
      <c r="L15" s="95">
        <v>-132.39999999999998</v>
      </c>
      <c r="N15" s="110" t="s">
        <v>228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137</v>
      </c>
      <c r="C16" s="37">
        <f>IF(B$3=0,0,B16/B$3)</f>
        <v>0.17654639175257733</v>
      </c>
      <c r="E16" s="59" t="s">
        <v>81</v>
      </c>
      <c r="F16" s="56" t="s">
        <v>36</v>
      </c>
      <c r="G16" s="44">
        <v>4</v>
      </c>
      <c r="H16" s="129">
        <f>IF(B$15=0,0,G16/B$15)</f>
        <v>1.8433179723502304E-2</v>
      </c>
      <c r="I16" s="90">
        <v>4</v>
      </c>
      <c r="K16" s="36">
        <v>14</v>
      </c>
      <c r="L16" s="95">
        <v>-86.499999999999972</v>
      </c>
      <c r="N16" s="111" t="s">
        <v>161</v>
      </c>
      <c r="O16" s="121">
        <f>IF(P16=0,0,Q16/P16)</f>
        <v>37.1</v>
      </c>
      <c r="P16" s="115">
        <v>18</v>
      </c>
      <c r="Q16" s="103">
        <v>667.80000000000007</v>
      </c>
    </row>
    <row r="17" spans="1:17" x14ac:dyDescent="0.45">
      <c r="A17" s="51" t="s">
        <v>12</v>
      </c>
      <c r="B17" s="44">
        <v>114</v>
      </c>
      <c r="C17" s="37">
        <f>IF(B$15=0,0,B17/B$15)</f>
        <v>0.52534562211981561</v>
      </c>
      <c r="E17" s="59" t="s">
        <v>91</v>
      </c>
      <c r="F17" s="56" t="s">
        <v>46</v>
      </c>
      <c r="G17" s="44">
        <v>4</v>
      </c>
      <c r="H17" s="129">
        <f>IF(B$15=0,0,G17/B$15)</f>
        <v>1.8433179723502304E-2</v>
      </c>
      <c r="I17" s="90">
        <v>4</v>
      </c>
      <c r="K17" s="36">
        <v>15</v>
      </c>
      <c r="L17" s="95">
        <v>-101.79999999999997</v>
      </c>
      <c r="N17" s="111" t="s">
        <v>197</v>
      </c>
      <c r="O17" s="121">
        <f>IF(P17=0,0,Q17/P17)</f>
        <v>9.4086956521739165</v>
      </c>
      <c r="P17" s="115">
        <v>23</v>
      </c>
      <c r="Q17" s="103">
        <v>216.40000000000006</v>
      </c>
    </row>
    <row r="18" spans="1:17" x14ac:dyDescent="0.45">
      <c r="A18" s="51" t="s">
        <v>11</v>
      </c>
      <c r="B18" s="44">
        <v>103</v>
      </c>
      <c r="C18" s="37">
        <f>IF(B$15=0,0,B18/B$15)</f>
        <v>0.47465437788018433</v>
      </c>
      <c r="E18" s="59" t="s">
        <v>92</v>
      </c>
      <c r="F18" s="56" t="s">
        <v>47</v>
      </c>
      <c r="G18" s="44">
        <v>4</v>
      </c>
      <c r="H18" s="129">
        <f>IF(B$15=0,0,G18/B$15)</f>
        <v>1.8433179723502304E-2</v>
      </c>
      <c r="I18" s="90">
        <v>1</v>
      </c>
      <c r="K18" s="36">
        <v>16</v>
      </c>
      <c r="L18" s="95">
        <v>-63.099999999999966</v>
      </c>
      <c r="N18" s="111" t="s">
        <v>171</v>
      </c>
      <c r="O18" s="121">
        <f>IF(P18=0,0,Q18/P18)</f>
        <v>5.5520833333333321</v>
      </c>
      <c r="P18" s="115">
        <v>48</v>
      </c>
      <c r="Q18" s="103">
        <v>266.49999999999994</v>
      </c>
    </row>
    <row r="19" spans="1:17" x14ac:dyDescent="0.45">
      <c r="A19" s="51" t="s">
        <v>195</v>
      </c>
      <c r="B19" s="44">
        <v>136</v>
      </c>
      <c r="C19" s="37">
        <f>IF(B$15=0,0,B19/B$15)</f>
        <v>0.62672811059907829</v>
      </c>
      <c r="E19" s="59" t="s">
        <v>73</v>
      </c>
      <c r="F19" s="56" t="s">
        <v>28</v>
      </c>
      <c r="G19" s="44">
        <v>2</v>
      </c>
      <c r="H19" s="129">
        <f>IF(B$15=0,0,G19/B$15)</f>
        <v>9.2165898617511521E-3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>IF(P19=0,0,Q19/P19)</f>
        <v>4.557894736842103</v>
      </c>
      <c r="P19" s="115">
        <v>38</v>
      </c>
      <c r="Q19" s="103">
        <v>173.1999999999999</v>
      </c>
    </row>
    <row r="20" spans="1:17" x14ac:dyDescent="0.45">
      <c r="A20" s="51" t="s">
        <v>193</v>
      </c>
      <c r="B20" s="44">
        <v>50</v>
      </c>
      <c r="C20" s="37">
        <f>IF(B$15=0,0,B20/B$15)</f>
        <v>0.2304147465437788</v>
      </c>
      <c r="E20" s="59" t="s">
        <v>78</v>
      </c>
      <c r="F20" s="56" t="s">
        <v>33</v>
      </c>
      <c r="G20" s="44">
        <v>2</v>
      </c>
      <c r="H20" s="129">
        <f>IF(B$15=0,0,G20/B$15)</f>
        <v>9.2165898617511521E-3</v>
      </c>
      <c r="I20" s="90">
        <v>8</v>
      </c>
      <c r="K20" s="36">
        <v>18</v>
      </c>
      <c r="L20" s="95">
        <v>-24.999999999999968</v>
      </c>
      <c r="N20" s="111" t="s">
        <v>172</v>
      </c>
      <c r="O20" s="121">
        <f>IF(P20=0,0,Q20/P20)</f>
        <v>-3.457894736842106</v>
      </c>
      <c r="P20" s="115">
        <v>19</v>
      </c>
      <c r="Q20" s="103">
        <v>-65.700000000000017</v>
      </c>
    </row>
    <row r="21" spans="1:17" x14ac:dyDescent="0.45">
      <c r="A21" s="51" t="s">
        <v>194</v>
      </c>
      <c r="B21" s="44">
        <v>31</v>
      </c>
      <c r="C21" s="37">
        <f>IF(B$15=0,0,B21/B$15)</f>
        <v>0.14285714285714285</v>
      </c>
      <c r="E21" s="59" t="s">
        <v>79</v>
      </c>
      <c r="F21" s="56" t="s">
        <v>34</v>
      </c>
      <c r="G21" s="44">
        <v>2</v>
      </c>
      <c r="H21" s="129">
        <f>IF(B$15=0,0,G21/B$15)</f>
        <v>9.2165898617511521E-3</v>
      </c>
      <c r="I21" s="90">
        <v>7</v>
      </c>
      <c r="K21" s="36">
        <v>19</v>
      </c>
      <c r="L21" s="95">
        <v>-27.799999999999969</v>
      </c>
      <c r="N21" s="111" t="s">
        <v>127</v>
      </c>
      <c r="O21" s="121">
        <f>IF(P21=0,0,Q21/P21)</f>
        <v>-3.584210526315792</v>
      </c>
      <c r="P21" s="115">
        <v>38</v>
      </c>
      <c r="Q21" s="103">
        <v>-136.2000000000001</v>
      </c>
    </row>
    <row r="22" spans="1:17" x14ac:dyDescent="0.45">
      <c r="A22" s="51" t="s">
        <v>5</v>
      </c>
      <c r="B22" s="48">
        <f>IF(B$15=0,0,C22/B$15)</f>
        <v>10918.433179723503</v>
      </c>
      <c r="C22" s="39">
        <v>2369300</v>
      </c>
      <c r="E22" s="59" t="s">
        <v>84</v>
      </c>
      <c r="F22" s="56" t="s">
        <v>39</v>
      </c>
      <c r="G22" s="44">
        <v>2</v>
      </c>
      <c r="H22" s="129">
        <f>IF(B$15=0,0,G22/B$15)</f>
        <v>9.2165898617511521E-3</v>
      </c>
      <c r="I22" s="90">
        <v>1</v>
      </c>
      <c r="K22" s="36">
        <v>20</v>
      </c>
      <c r="L22" s="95">
        <v>-50.39999999999997</v>
      </c>
      <c r="N22" s="111" t="s">
        <v>196</v>
      </c>
      <c r="O22" s="121">
        <f>IF(P22=0,0,Q22/P22)</f>
        <v>-28.342857142857145</v>
      </c>
      <c r="P22" s="115">
        <v>7</v>
      </c>
      <c r="Q22" s="103">
        <v>-198.4</v>
      </c>
    </row>
    <row r="23" spans="1:17" x14ac:dyDescent="0.45">
      <c r="A23" s="52" t="s">
        <v>177</v>
      </c>
      <c r="B23" s="136">
        <f>IF($B$15-B$14=0,0,C23/($B$15-B$14))</f>
        <v>11617.964071856288</v>
      </c>
      <c r="C23" s="137">
        <v>1940200</v>
      </c>
      <c r="E23" s="59" t="s">
        <v>90</v>
      </c>
      <c r="F23" s="56" t="s">
        <v>45</v>
      </c>
      <c r="G23" s="44">
        <v>2</v>
      </c>
      <c r="H23" s="129">
        <f>IF(B$15=0,0,G23/B$15)</f>
        <v>9.2165898617511521E-3</v>
      </c>
      <c r="I23" s="90">
        <v>1</v>
      </c>
      <c r="K23" s="36">
        <v>21</v>
      </c>
      <c r="L23" s="95">
        <v>-59.89999999999997</v>
      </c>
      <c r="N23" s="111" t="s">
        <v>274</v>
      </c>
      <c r="O23" s="121">
        <f>IF(P23=0,0,Q23/P23)</f>
        <v>-40.799999999999997</v>
      </c>
      <c r="P23" s="115">
        <v>1</v>
      </c>
      <c r="Q23" s="103">
        <v>-40.799999999999997</v>
      </c>
    </row>
    <row r="24" spans="1:17" x14ac:dyDescent="0.45">
      <c r="A24" s="52" t="s">
        <v>178</v>
      </c>
      <c r="B24" s="136">
        <f>IF(B$14=0,0,C24/B$14)</f>
        <v>8582</v>
      </c>
      <c r="C24" s="137">
        <v>429100</v>
      </c>
      <c r="E24" s="59" t="s">
        <v>75</v>
      </c>
      <c r="F24" s="56" t="s">
        <v>30</v>
      </c>
      <c r="G24" s="44">
        <v>1</v>
      </c>
      <c r="H24" s="129">
        <f>IF(B$15=0,0,G24/B$15)</f>
        <v>4.608294930875576E-3</v>
      </c>
      <c r="I24" s="90">
        <v>7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-8432.1167883211674</v>
      </c>
      <c r="C25" s="137">
        <v>-1155200</v>
      </c>
      <c r="E25" s="59" t="s">
        <v>85</v>
      </c>
      <c r="F25" s="56" t="s">
        <v>40</v>
      </c>
      <c r="G25" s="44">
        <v>1</v>
      </c>
      <c r="H25" s="129">
        <f>IF(B$15=0,0,G25/B$15)</f>
        <v>4.608294930875576E-3</v>
      </c>
      <c r="I25" s="90">
        <v>4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4.608294930875576E-3</v>
      </c>
      <c r="I26" s="90">
        <v>2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3</v>
      </c>
      <c r="E27" s="59" t="s">
        <v>97</v>
      </c>
      <c r="F27" s="56" t="s">
        <v>52</v>
      </c>
      <c r="G27" s="44">
        <v>1</v>
      </c>
      <c r="H27" s="129">
        <f>IF(B$15=0,0,G27/B$15)</f>
        <v>4.608294930875576E-3</v>
      </c>
      <c r="I27" s="90">
        <v>1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52">
        <v>8</v>
      </c>
      <c r="C28" s="153"/>
      <c r="E28" s="59" t="s">
        <v>74</v>
      </c>
      <c r="F28" s="56" t="s">
        <v>29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50">
        <v>122100</v>
      </c>
      <c r="C29" s="151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1</v>
      </c>
      <c r="C30" s="40">
        <f>IF(B$3=0,0,B30/B$3)</f>
        <v>1.288659793814433E-3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-10.999999999999972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5</v>
      </c>
      <c r="C32" s="141">
        <f>IF(B$15=0,0,B32/B$15)</f>
        <v>2.3041474654377881E-2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18</v>
      </c>
      <c r="C33" s="37">
        <f t="shared" ref="C33:C44" si="2">IF(B$15=0,0,B33/B$15)</f>
        <v>8.294930875576037E-2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4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28</v>
      </c>
      <c r="C34" s="37">
        <f>IF(B$15=0,0,B34/B$15)</f>
        <v>0.12903225806451613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38</v>
      </c>
      <c r="C35" s="37">
        <f t="shared" si="2"/>
        <v>0.17511520737327188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54</v>
      </c>
      <c r="C36" s="37">
        <f t="shared" si="2"/>
        <v>0.24884792626728111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24</v>
      </c>
      <c r="C37" s="37">
        <f t="shared" si="2"/>
        <v>0.11059907834101383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20</v>
      </c>
      <c r="C38" s="37">
        <f t="shared" si="2"/>
        <v>9.2165898617511524E-2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15</v>
      </c>
      <c r="C39" s="37">
        <f t="shared" si="2"/>
        <v>6.9124423963133647E-2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4</v>
      </c>
      <c r="C40" s="37">
        <f t="shared" si="2"/>
        <v>1.8433179723502304E-2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2</v>
      </c>
      <c r="C41" s="37">
        <f t="shared" si="2"/>
        <v>9.2165898617511521E-3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2</v>
      </c>
      <c r="C42" s="37">
        <f t="shared" si="2"/>
        <v>9.2165898617511521E-3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2"/>
        <v>4.608294930875576E-3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6</v>
      </c>
      <c r="C44" s="40">
        <f t="shared" si="2"/>
        <v>2.7649769585253458E-2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A29E7-338E-4A8A-AF8E-B7CF03599549}">
  <sheetPr codeName="Sheet17"/>
  <dimension ref="A1:Q11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171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110</v>
      </c>
      <c r="C2" s="159"/>
      <c r="E2" s="58" t="s">
        <v>66</v>
      </c>
      <c r="F2" s="55" t="s">
        <v>22</v>
      </c>
      <c r="G2" s="43">
        <v>196</v>
      </c>
      <c r="H2" s="128">
        <f>IF(B$15=0,0,G2/B$15)</f>
        <v>0.76264591439688711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441.81818181818181</v>
      </c>
      <c r="P2" s="114">
        <v>110</v>
      </c>
      <c r="Q2" s="98">
        <v>48600</v>
      </c>
    </row>
    <row r="3" spans="1:17" x14ac:dyDescent="0.45">
      <c r="A3" s="51" t="s">
        <v>8</v>
      </c>
      <c r="B3" s="160">
        <v>881</v>
      </c>
      <c r="C3" s="161"/>
      <c r="E3" s="59" t="s">
        <v>72</v>
      </c>
      <c r="F3" s="56" t="s">
        <v>27</v>
      </c>
      <c r="G3" s="44">
        <v>142</v>
      </c>
      <c r="H3" s="129">
        <f>IF(B$15=0,0,G3/B$15)</f>
        <v>0.55252918287937747</v>
      </c>
      <c r="I3" s="90">
        <v>6</v>
      </c>
      <c r="K3" s="36">
        <v>1</v>
      </c>
      <c r="L3" s="95">
        <v>46.9</v>
      </c>
      <c r="N3" s="111" t="s">
        <v>131</v>
      </c>
      <c r="O3" s="118">
        <f t="shared" si="0"/>
        <v>363.55140186915889</v>
      </c>
      <c r="P3" s="115">
        <v>107</v>
      </c>
      <c r="Q3" s="99">
        <v>38900</v>
      </c>
    </row>
    <row r="4" spans="1:17" x14ac:dyDescent="0.45">
      <c r="A4" s="51" t="s">
        <v>6</v>
      </c>
      <c r="B4" s="162">
        <v>120.1</v>
      </c>
      <c r="C4" s="163"/>
      <c r="E4" s="59" t="s">
        <v>64</v>
      </c>
      <c r="F4" s="56" t="s">
        <v>20</v>
      </c>
      <c r="G4" s="44">
        <v>131</v>
      </c>
      <c r="H4" s="129">
        <f>IF(B$15=0,0,G4/B$15)</f>
        <v>0.50972762645914393</v>
      </c>
      <c r="I4" s="90">
        <v>6</v>
      </c>
      <c r="K4" s="36">
        <v>2</v>
      </c>
      <c r="L4" s="95">
        <v>8.1000000000000014</v>
      </c>
      <c r="N4" s="111" t="s">
        <v>132</v>
      </c>
      <c r="O4" s="118">
        <f t="shared" si="0"/>
        <v>599.00990099009903</v>
      </c>
      <c r="P4" s="115">
        <v>101</v>
      </c>
      <c r="Q4" s="99">
        <v>60500</v>
      </c>
    </row>
    <row r="5" spans="1:17" x14ac:dyDescent="0.45">
      <c r="A5" s="51" t="s">
        <v>7</v>
      </c>
      <c r="B5" s="164">
        <f>IF(B$2=0,0,B$4/B$2)</f>
        <v>1.0918181818181818</v>
      </c>
      <c r="C5" s="165"/>
      <c r="E5" s="59" t="s">
        <v>166</v>
      </c>
      <c r="F5" s="56" t="s">
        <v>167</v>
      </c>
      <c r="G5" s="44">
        <v>117</v>
      </c>
      <c r="H5" s="129">
        <f>IF(B$15=0,0,G5/B$15)</f>
        <v>0.45525291828793774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100</v>
      </c>
      <c r="P5" s="115">
        <v>92</v>
      </c>
      <c r="Q5" s="99">
        <v>9200</v>
      </c>
    </row>
    <row r="6" spans="1:17" x14ac:dyDescent="0.45">
      <c r="A6" s="51" t="s">
        <v>1</v>
      </c>
      <c r="B6" s="154">
        <f>IF(B$2=0,0,(B$7*1+B$8*2+B$9*3)/B$2)</f>
        <v>2.0090909090909093</v>
      </c>
      <c r="C6" s="155"/>
      <c r="E6" s="59" t="s">
        <v>67</v>
      </c>
      <c r="F6" s="56" t="s">
        <v>23</v>
      </c>
      <c r="G6" s="44">
        <v>96</v>
      </c>
      <c r="H6" s="129">
        <f>IF(B$15=0,0,G6/B$15)</f>
        <v>0.37354085603112841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28.395061728395063</v>
      </c>
      <c r="P6" s="115">
        <v>81</v>
      </c>
      <c r="Q6" s="99">
        <v>2300</v>
      </c>
    </row>
    <row r="7" spans="1:17" x14ac:dyDescent="0.45">
      <c r="A7" s="51" t="s">
        <v>2</v>
      </c>
      <c r="B7" s="44">
        <v>29</v>
      </c>
      <c r="C7" s="37">
        <f t="shared" ref="C7:C10" si="1">IF(B$2=0,0,B7/B$2)</f>
        <v>0.26363636363636361</v>
      </c>
      <c r="E7" s="59" t="s">
        <v>68</v>
      </c>
      <c r="F7" s="56" t="s">
        <v>12</v>
      </c>
      <c r="G7" s="44">
        <v>86</v>
      </c>
      <c r="H7" s="129">
        <f>IF(B$15=0,0,G7/B$15)</f>
        <v>0.33463035019455251</v>
      </c>
      <c r="I7" s="90">
        <v>3</v>
      </c>
      <c r="K7" s="36">
        <v>5</v>
      </c>
      <c r="L7" s="95">
        <v>-1.6000000000000014</v>
      </c>
      <c r="N7" s="112" t="s">
        <v>135</v>
      </c>
      <c r="O7" s="119">
        <f t="shared" si="0"/>
        <v>-813.04347826086962</v>
      </c>
      <c r="P7" s="116">
        <v>69</v>
      </c>
      <c r="Q7" s="100">
        <v>-56100</v>
      </c>
    </row>
    <row r="8" spans="1:17" x14ac:dyDescent="0.45">
      <c r="A8" s="51" t="s">
        <v>3</v>
      </c>
      <c r="B8" s="44">
        <v>51</v>
      </c>
      <c r="C8" s="37">
        <f t="shared" si="1"/>
        <v>0.46363636363636362</v>
      </c>
      <c r="E8" s="59" t="s">
        <v>69</v>
      </c>
      <c r="F8" s="56" t="s">
        <v>24</v>
      </c>
      <c r="G8" s="44">
        <v>36</v>
      </c>
      <c r="H8" s="129">
        <f>IF(B$15=0,0,G8/B$15)</f>
        <v>0.14007782101167315</v>
      </c>
      <c r="I8" s="90">
        <v>6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30</v>
      </c>
      <c r="C9" s="38">
        <f t="shared" si="1"/>
        <v>0.27272727272727271</v>
      </c>
      <c r="E9" s="59" t="s">
        <v>89</v>
      </c>
      <c r="F9" s="56" t="s">
        <v>44</v>
      </c>
      <c r="G9" s="44">
        <v>29</v>
      </c>
      <c r="H9" s="129">
        <f>IF(B$15=0,0,G9/B$15)</f>
        <v>0.11284046692607004</v>
      </c>
      <c r="I9" s="90">
        <v>9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7.2727272727272724E-2</v>
      </c>
      <c r="E10" s="59" t="s">
        <v>71</v>
      </c>
      <c r="F10" s="56" t="s">
        <v>26</v>
      </c>
      <c r="G10" s="44">
        <v>26</v>
      </c>
      <c r="H10" s="129">
        <f>IF(B$15=0,0,G10/B$15)</f>
        <v>0.10116731517509728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0.3645833333333332</v>
      </c>
      <c r="P10" s="114">
        <v>48</v>
      </c>
      <c r="Q10" s="102">
        <v>17.499999999999993</v>
      </c>
    </row>
    <row r="11" spans="1:17" x14ac:dyDescent="0.45">
      <c r="A11" s="54" t="s">
        <v>121</v>
      </c>
      <c r="B11" s="47">
        <v>237</v>
      </c>
      <c r="C11" s="42">
        <f>IF(B$3=0,0,B11/B$3)</f>
        <v>0.26901248581157777</v>
      </c>
      <c r="E11" s="59" t="s">
        <v>65</v>
      </c>
      <c r="F11" s="56" t="s">
        <v>21</v>
      </c>
      <c r="G11" s="44">
        <v>21</v>
      </c>
      <c r="H11" s="129">
        <f>IF(B$15=0,0,G11/B$15)</f>
        <v>8.171206225680934E-2</v>
      </c>
      <c r="I11" s="90">
        <v>10</v>
      </c>
      <c r="K11" s="36">
        <v>9</v>
      </c>
      <c r="L11" s="95">
        <v>-90.9</v>
      </c>
      <c r="N11" s="111" t="s">
        <v>158</v>
      </c>
      <c r="O11" s="121">
        <f>IF(P11=0,0,Q11/P11)</f>
        <v>3.7000000000000006</v>
      </c>
      <c r="P11" s="115">
        <v>33</v>
      </c>
      <c r="Q11" s="103">
        <v>122.10000000000002</v>
      </c>
    </row>
    <row r="12" spans="1:17" x14ac:dyDescent="0.45">
      <c r="A12" s="51" t="s">
        <v>118</v>
      </c>
      <c r="B12" s="44">
        <v>192</v>
      </c>
      <c r="C12" s="37">
        <f>IF(B$3=0,0,B12/B$3)</f>
        <v>0.21793416572077184</v>
      </c>
      <c r="E12" s="59" t="s">
        <v>70</v>
      </c>
      <c r="F12" s="56" t="s">
        <v>25</v>
      </c>
      <c r="G12" s="44">
        <v>20</v>
      </c>
      <c r="H12" s="129">
        <f>IF(B$15=0,0,G12/B$15)</f>
        <v>7.7821011673151752E-2</v>
      </c>
      <c r="I12" s="90">
        <v>10</v>
      </c>
      <c r="K12" s="36">
        <v>10</v>
      </c>
      <c r="L12" s="95">
        <v>-146.69999999999999</v>
      </c>
      <c r="N12" s="112" t="s">
        <v>159</v>
      </c>
      <c r="O12" s="122">
        <f>IF(P12=0,0,Q12/P12)</f>
        <v>-0.67241379310344851</v>
      </c>
      <c r="P12" s="116">
        <v>29</v>
      </c>
      <c r="Q12" s="104">
        <v>-19.500000000000007</v>
      </c>
    </row>
    <row r="13" spans="1:17" x14ac:dyDescent="0.45">
      <c r="A13" s="50" t="s">
        <v>123</v>
      </c>
      <c r="B13" s="43">
        <f>B19</f>
        <v>137</v>
      </c>
      <c r="C13" s="35">
        <f>IF(B$11=0,0,B13/B$11)</f>
        <v>0.57805907172995785</v>
      </c>
      <c r="E13" s="59" t="s">
        <v>86</v>
      </c>
      <c r="F13" s="56" t="s">
        <v>41</v>
      </c>
      <c r="G13" s="44">
        <v>14</v>
      </c>
      <c r="H13" s="129">
        <f>IF(B$15=0,0,G13/B$15)</f>
        <v>5.4474708171206226E-2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84</v>
      </c>
      <c r="C14" s="35">
        <f>IF(B$12=0,0,B14/B$12)</f>
        <v>0.4375</v>
      </c>
      <c r="E14" s="59" t="s">
        <v>83</v>
      </c>
      <c r="F14" s="56" t="s">
        <v>38</v>
      </c>
      <c r="G14" s="44">
        <v>11</v>
      </c>
      <c r="H14" s="129">
        <f>IF(B$15=0,0,G14/B$15)</f>
        <v>4.2801556420233464E-2</v>
      </c>
      <c r="I14" s="90">
        <v>8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257</v>
      </c>
      <c r="C15" s="35">
        <f>IF(B$3=0,0,B15/B$3)</f>
        <v>0.29171396140749151</v>
      </c>
      <c r="E15" s="59" t="s">
        <v>79</v>
      </c>
      <c r="F15" s="56" t="s">
        <v>34</v>
      </c>
      <c r="G15" s="44">
        <v>6</v>
      </c>
      <c r="H15" s="129">
        <f>IF(B$15=0,0,G15/B$15)</f>
        <v>2.3346303501945526E-2</v>
      </c>
      <c r="I15" s="90">
        <v>2</v>
      </c>
      <c r="K15" s="36">
        <v>13</v>
      </c>
      <c r="L15" s="95">
        <v>-68.399999999999991</v>
      </c>
      <c r="N15" s="110" t="s">
        <v>228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120</v>
      </c>
      <c r="C16" s="37">
        <f>IF(B$3=0,0,B16/B$3)</f>
        <v>0.1362088535754824</v>
      </c>
      <c r="E16" s="59" t="s">
        <v>162</v>
      </c>
      <c r="F16" s="56" t="s">
        <v>163</v>
      </c>
      <c r="G16" s="44">
        <v>6</v>
      </c>
      <c r="H16" s="129">
        <f>IF(B$15=0,0,G16/B$15)</f>
        <v>2.3346303501945526E-2</v>
      </c>
      <c r="I16" s="90">
        <v>4</v>
      </c>
      <c r="K16" s="36">
        <v>14</v>
      </c>
      <c r="L16" s="95">
        <v>-25.79999999999999</v>
      </c>
      <c r="N16" s="111" t="s">
        <v>203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115</v>
      </c>
      <c r="C17" s="37">
        <f>IF(B$15=0,0,B17/B$15)</f>
        <v>0.44747081712062259</v>
      </c>
      <c r="E17" s="59" t="s">
        <v>73</v>
      </c>
      <c r="F17" s="56" t="s">
        <v>28</v>
      </c>
      <c r="G17" s="44">
        <v>5</v>
      </c>
      <c r="H17" s="129">
        <f>IF(B$15=0,0,G17/B$15)</f>
        <v>1.9455252918287938E-2</v>
      </c>
      <c r="I17" s="90">
        <v>1</v>
      </c>
      <c r="K17" s="36">
        <v>15</v>
      </c>
      <c r="L17" s="95">
        <v>-35.499999999999986</v>
      </c>
      <c r="N17" s="111" t="s">
        <v>197</v>
      </c>
      <c r="O17" s="121">
        <f>IF(P17=0,0,Q17/P17)</f>
        <v>25.104347826086954</v>
      </c>
      <c r="P17" s="115">
        <v>23</v>
      </c>
      <c r="Q17" s="103">
        <v>577.4</v>
      </c>
    </row>
    <row r="18" spans="1:17" x14ac:dyDescent="0.45">
      <c r="A18" s="51" t="s">
        <v>11</v>
      </c>
      <c r="B18" s="44">
        <v>142</v>
      </c>
      <c r="C18" s="37">
        <f>IF(B$15=0,0,B18/B$15)</f>
        <v>0.55252918287937747</v>
      </c>
      <c r="E18" s="59" t="s">
        <v>81</v>
      </c>
      <c r="F18" s="56" t="s">
        <v>36</v>
      </c>
      <c r="G18" s="44">
        <v>4</v>
      </c>
      <c r="H18" s="129">
        <f>IF(B$15=0,0,G18/B$15)</f>
        <v>1.556420233463035E-2</v>
      </c>
      <c r="I18" s="90">
        <v>7</v>
      </c>
      <c r="K18" s="36">
        <v>16</v>
      </c>
      <c r="L18" s="95">
        <v>-35.599999999999987</v>
      </c>
      <c r="N18" s="111" t="s">
        <v>172</v>
      </c>
      <c r="O18" s="121">
        <f>IF(P18=0,0,Q18/P18)</f>
        <v>14.39130434782609</v>
      </c>
      <c r="P18" s="115">
        <v>23</v>
      </c>
      <c r="Q18" s="103">
        <v>331.00000000000006</v>
      </c>
    </row>
    <row r="19" spans="1:17" x14ac:dyDescent="0.45">
      <c r="A19" s="51" t="s">
        <v>195</v>
      </c>
      <c r="B19" s="44">
        <v>137</v>
      </c>
      <c r="C19" s="37">
        <f>IF(B$15=0,0,B19/B$15)</f>
        <v>0.53307392996108949</v>
      </c>
      <c r="E19" s="59" t="s">
        <v>78</v>
      </c>
      <c r="F19" s="56" t="s">
        <v>33</v>
      </c>
      <c r="G19" s="44">
        <v>3</v>
      </c>
      <c r="H19" s="129">
        <f>IF(B$15=0,0,G19/B$15)</f>
        <v>1.1673151750972763E-2</v>
      </c>
      <c r="I19" s="90">
        <v>6</v>
      </c>
      <c r="K19" s="36">
        <v>17</v>
      </c>
      <c r="L19" s="95">
        <v>-29.799999999999986</v>
      </c>
      <c r="N19" s="111" t="s">
        <v>196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84</v>
      </c>
      <c r="C20" s="37">
        <f>IF(B$15=0,0,B20/B$15)</f>
        <v>0.32684824902723736</v>
      </c>
      <c r="E20" s="59" t="s">
        <v>85</v>
      </c>
      <c r="F20" s="56" t="s">
        <v>40</v>
      </c>
      <c r="G20" s="44">
        <v>2</v>
      </c>
      <c r="H20" s="129">
        <f>IF(B$15=0,0,G20/B$15)</f>
        <v>7.7821011673151752E-3</v>
      </c>
      <c r="I20" s="90">
        <v>2</v>
      </c>
      <c r="K20" s="36">
        <v>18</v>
      </c>
      <c r="L20" s="95">
        <v>-62.399999999999991</v>
      </c>
      <c r="N20" s="111" t="s">
        <v>161</v>
      </c>
      <c r="O20" s="121">
        <f>IF(P20=0,0,Q20/P20)</f>
        <v>3.9454545454545458</v>
      </c>
      <c r="P20" s="115">
        <v>22</v>
      </c>
      <c r="Q20" s="103">
        <v>86.800000000000011</v>
      </c>
    </row>
    <row r="21" spans="1:17" x14ac:dyDescent="0.45">
      <c r="A21" s="51" t="s">
        <v>194</v>
      </c>
      <c r="B21" s="44">
        <v>36</v>
      </c>
      <c r="C21" s="37">
        <f>IF(B$15=0,0,B21/B$15)</f>
        <v>0.14007782101167315</v>
      </c>
      <c r="E21" s="59" t="s">
        <v>91</v>
      </c>
      <c r="F21" s="56" t="s">
        <v>46</v>
      </c>
      <c r="G21" s="44">
        <v>2</v>
      </c>
      <c r="H21" s="129">
        <f>IF(B$15=0,0,G21/B$15)</f>
        <v>7.7821011673151752E-3</v>
      </c>
      <c r="I21" s="90">
        <v>6</v>
      </c>
      <c r="K21" s="36">
        <v>19</v>
      </c>
      <c r="L21" s="95">
        <v>-56.399999999999991</v>
      </c>
      <c r="N21" s="111" t="s">
        <v>127</v>
      </c>
      <c r="O21" s="121">
        <f>IF(P21=0,0,Q21/P21)</f>
        <v>0.33500000000000069</v>
      </c>
      <c r="P21" s="115">
        <v>40</v>
      </c>
      <c r="Q21" s="103">
        <v>13.400000000000027</v>
      </c>
    </row>
    <row r="22" spans="1:17" x14ac:dyDescent="0.45">
      <c r="A22" s="51" t="s">
        <v>5</v>
      </c>
      <c r="B22" s="48">
        <f>IF(B$15=0,0,C22/B$15)</f>
        <v>8537.7431906614784</v>
      </c>
      <c r="C22" s="39">
        <v>2194200</v>
      </c>
      <c r="E22" s="59" t="s">
        <v>74</v>
      </c>
      <c r="F22" s="56" t="s">
        <v>29</v>
      </c>
      <c r="G22" s="44">
        <v>1</v>
      </c>
      <c r="H22" s="129">
        <f>IF(B$15=0,0,G22/B$15)</f>
        <v>3.8910505836575876E-3</v>
      </c>
      <c r="I22" s="90">
        <v>4</v>
      </c>
      <c r="K22" s="36">
        <v>20</v>
      </c>
      <c r="L22" s="95">
        <v>-93.199999999999989</v>
      </c>
      <c r="N22" s="111" t="s">
        <v>170</v>
      </c>
      <c r="O22" s="121">
        <f>IF(P22=0,0,Q22/P22)</f>
        <v>-5.552083333333333</v>
      </c>
      <c r="P22" s="115">
        <v>48</v>
      </c>
      <c r="Q22" s="103">
        <v>-266.5</v>
      </c>
    </row>
    <row r="23" spans="1:17" x14ac:dyDescent="0.45">
      <c r="A23" s="52" t="s">
        <v>177</v>
      </c>
      <c r="B23" s="136">
        <f>IF($B$15-B$14=0,0,C23/($B$15-B$14))</f>
        <v>9387.8612716763</v>
      </c>
      <c r="C23" s="137">
        <v>1624100</v>
      </c>
      <c r="E23" s="59" t="s">
        <v>75</v>
      </c>
      <c r="F23" s="56" t="s">
        <v>30</v>
      </c>
      <c r="G23" s="44">
        <v>1</v>
      </c>
      <c r="H23" s="129">
        <f>IF(B$15=0,0,G23/B$15)</f>
        <v>3.8910505836575876E-3</v>
      </c>
      <c r="I23" s="90">
        <v>8</v>
      </c>
      <c r="K23" s="36">
        <v>21</v>
      </c>
      <c r="L23" s="95">
        <v>-123.69999999999999</v>
      </c>
      <c r="N23" s="111" t="s">
        <v>126</v>
      </c>
      <c r="O23" s="121">
        <f>IF(P23=0,0,Q23/P23)</f>
        <v>-13.271698113207547</v>
      </c>
      <c r="P23" s="115">
        <v>53</v>
      </c>
      <c r="Q23" s="103">
        <v>-703.4</v>
      </c>
    </row>
    <row r="24" spans="1:17" x14ac:dyDescent="0.45">
      <c r="A24" s="52" t="s">
        <v>178</v>
      </c>
      <c r="B24" s="136">
        <f>IF(B$14=0,0,C24/B$14)</f>
        <v>6786.9047619047615</v>
      </c>
      <c r="C24" s="137">
        <v>570100</v>
      </c>
      <c r="E24" s="59" t="s">
        <v>87</v>
      </c>
      <c r="F24" s="56" t="s">
        <v>42</v>
      </c>
      <c r="G24" s="44">
        <v>1</v>
      </c>
      <c r="H24" s="129">
        <f>IF(B$15=0,0,G24/B$15)</f>
        <v>3.8910505836575876E-3</v>
      </c>
      <c r="I24" s="90">
        <v>2</v>
      </c>
      <c r="K24" s="36">
        <v>22</v>
      </c>
      <c r="L24" s="95">
        <v>-66.999999999999986</v>
      </c>
    </row>
    <row r="25" spans="1:17" x14ac:dyDescent="0.45">
      <c r="A25" s="52" t="s">
        <v>176</v>
      </c>
      <c r="B25" s="136">
        <f>IF(B$16=0,0,C25/B$16)</f>
        <v>-7435.833333333333</v>
      </c>
      <c r="C25" s="137">
        <v>-892300</v>
      </c>
      <c r="E25" s="59" t="s">
        <v>88</v>
      </c>
      <c r="F25" s="56" t="s">
        <v>43</v>
      </c>
      <c r="G25" s="44">
        <v>1</v>
      </c>
      <c r="H25" s="129">
        <f>IF(B$15=0,0,G25/B$15)</f>
        <v>3.8910505836575876E-3</v>
      </c>
      <c r="I25" s="90">
        <v>3</v>
      </c>
      <c r="K25" s="36">
        <v>23</v>
      </c>
      <c r="L25" s="95">
        <v>-59.599999999999987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3.8910505836575876E-3</v>
      </c>
      <c r="I26" s="90">
        <v>3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0</v>
      </c>
      <c r="E27" s="59" t="s">
        <v>101</v>
      </c>
      <c r="F27" s="56" t="s">
        <v>56</v>
      </c>
      <c r="G27" s="44">
        <v>1</v>
      </c>
      <c r="H27" s="129">
        <f>IF(B$15=0,0,G27/B$15)</f>
        <v>3.8910505836575876E-3</v>
      </c>
      <c r="I27" s="90">
        <v>1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52">
        <v>8</v>
      </c>
      <c r="C28" s="153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50">
        <v>101400</v>
      </c>
      <c r="C29" s="151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2.2701475595913734E-3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 x14ac:dyDescent="0.45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15</v>
      </c>
      <c r="C32" s="141">
        <f>IF(B$15=0,0,B32/B$15)</f>
        <v>5.8365758754863814E-2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46</v>
      </c>
      <c r="C33" s="37">
        <f t="shared" ref="C33:C44" si="2">IF(B$15=0,0,B33/B$15)</f>
        <v>0.17898832684824903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50</v>
      </c>
      <c r="C34" s="37">
        <f>IF(B$15=0,0,B34/B$15)</f>
        <v>0.19455252918287938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46</v>
      </c>
      <c r="C35" s="37">
        <f t="shared" si="2"/>
        <v>0.17898832684824903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40</v>
      </c>
      <c r="C36" s="37">
        <f t="shared" si="2"/>
        <v>0.1556420233463035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31</v>
      </c>
      <c r="C37" s="37">
        <f t="shared" si="2"/>
        <v>0.12062256809338522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12</v>
      </c>
      <c r="C38" s="37">
        <f t="shared" si="2"/>
        <v>4.6692607003891051E-2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7</v>
      </c>
      <c r="C39" s="37">
        <f t="shared" si="2"/>
        <v>2.7237354085603113E-2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2"/>
        <v>1.1673151750972763E-2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2"/>
        <v>7.7821011673151752E-3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2"/>
        <v>3.8910505836575876E-3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2"/>
        <v>7.7821011673151752E-3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2</v>
      </c>
      <c r="C44" s="40">
        <f t="shared" si="2"/>
        <v>7.7821011673151752E-3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77523-D718-455E-91B6-0DBBD4BF16B4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197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48</v>
      </c>
      <c r="C2" s="159"/>
      <c r="E2" s="58" t="s">
        <v>66</v>
      </c>
      <c r="F2" s="55" t="s">
        <v>22</v>
      </c>
      <c r="G2" s="43">
        <v>68</v>
      </c>
      <c r="H2" s="128">
        <f>IF(B$15=0,0,G2/B$15)</f>
        <v>0.68686868686868685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-2208.3333333333335</v>
      </c>
      <c r="P2" s="114">
        <v>48</v>
      </c>
      <c r="Q2" s="98">
        <v>-106000</v>
      </c>
    </row>
    <row r="3" spans="1:17" x14ac:dyDescent="0.45">
      <c r="A3" s="51" t="s">
        <v>8</v>
      </c>
      <c r="B3" s="160">
        <v>390</v>
      </c>
      <c r="C3" s="161"/>
      <c r="E3" s="59" t="s">
        <v>72</v>
      </c>
      <c r="F3" s="56" t="s">
        <v>27</v>
      </c>
      <c r="G3" s="44">
        <v>60</v>
      </c>
      <c r="H3" s="129">
        <f>IF(B$15=0,0,G3/B$15)</f>
        <v>0.60606060606060608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497.91666666666669</v>
      </c>
      <c r="P3" s="115">
        <v>48</v>
      </c>
      <c r="Q3" s="99">
        <v>23900</v>
      </c>
    </row>
    <row r="4" spans="1:17" x14ac:dyDescent="0.45">
      <c r="A4" s="51" t="s">
        <v>6</v>
      </c>
      <c r="B4" s="162">
        <v>-545.00000000000011</v>
      </c>
      <c r="C4" s="163"/>
      <c r="E4" s="59" t="s">
        <v>64</v>
      </c>
      <c r="F4" s="56" t="s">
        <v>20</v>
      </c>
      <c r="G4" s="44">
        <v>42</v>
      </c>
      <c r="H4" s="129">
        <f>IF(B$15=0,0,G4/B$15)</f>
        <v>0.42424242424242425</v>
      </c>
      <c r="I4" s="90">
        <v>9</v>
      </c>
      <c r="K4" s="36">
        <v>2</v>
      </c>
      <c r="L4" s="95">
        <v>-40.6</v>
      </c>
      <c r="N4" s="111" t="s">
        <v>132</v>
      </c>
      <c r="O4" s="118">
        <f t="shared" si="0"/>
        <v>-1412.7659574468084</v>
      </c>
      <c r="P4" s="115">
        <v>47</v>
      </c>
      <c r="Q4" s="99">
        <v>-66400</v>
      </c>
    </row>
    <row r="5" spans="1:17" x14ac:dyDescent="0.45">
      <c r="A5" s="51" t="s">
        <v>7</v>
      </c>
      <c r="B5" s="164">
        <f>IF(B$2=0,0,B$4/B$2)</f>
        <v>-11.35416666666667</v>
      </c>
      <c r="C5" s="165"/>
      <c r="E5" s="59" t="s">
        <v>166</v>
      </c>
      <c r="F5" s="56" t="s">
        <v>167</v>
      </c>
      <c r="G5" s="44">
        <v>36</v>
      </c>
      <c r="H5" s="129">
        <f>IF(B$15=0,0,G5/B$15)</f>
        <v>0.36363636363636365</v>
      </c>
      <c r="I5" s="90">
        <v>9</v>
      </c>
      <c r="K5" s="36">
        <v>3</v>
      </c>
      <c r="L5" s="95">
        <v>-33.6</v>
      </c>
      <c r="N5" s="111" t="s">
        <v>133</v>
      </c>
      <c r="O5" s="118">
        <f t="shared" si="0"/>
        <v>-3121.4285714285716</v>
      </c>
      <c r="P5" s="115">
        <v>42</v>
      </c>
      <c r="Q5" s="99">
        <v>-131100</v>
      </c>
    </row>
    <row r="6" spans="1:17" x14ac:dyDescent="0.45">
      <c r="A6" s="51" t="s">
        <v>1</v>
      </c>
      <c r="B6" s="154">
        <f>IF(B$2=0,0,(B$7*1+B$8*2+B$9*3)/B$2)</f>
        <v>2.2916666666666665</v>
      </c>
      <c r="C6" s="155"/>
      <c r="E6" s="59" t="s">
        <v>67</v>
      </c>
      <c r="F6" s="56" t="s">
        <v>23</v>
      </c>
      <c r="G6" s="44">
        <v>25</v>
      </c>
      <c r="H6" s="129">
        <f>IF(B$15=0,0,G6/B$15)</f>
        <v>0.25252525252525254</v>
      </c>
      <c r="I6" s="90">
        <v>9</v>
      </c>
      <c r="K6" s="36">
        <v>4</v>
      </c>
      <c r="L6" s="95">
        <v>-80.5</v>
      </c>
      <c r="N6" s="111" t="s">
        <v>134</v>
      </c>
      <c r="O6" s="118">
        <f t="shared" si="0"/>
        <v>-1230</v>
      </c>
      <c r="P6" s="115">
        <v>40</v>
      </c>
      <c r="Q6" s="99">
        <v>-49200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0.1875</v>
      </c>
      <c r="E7" s="59" t="s">
        <v>68</v>
      </c>
      <c r="F7" s="56" t="s">
        <v>12</v>
      </c>
      <c r="G7" s="44">
        <v>25</v>
      </c>
      <c r="H7" s="129">
        <f>IF(B$15=0,0,G7/B$15)</f>
        <v>0.25252525252525254</v>
      </c>
      <c r="I7" s="90">
        <v>10</v>
      </c>
      <c r="K7" s="36">
        <v>5</v>
      </c>
      <c r="L7" s="95">
        <v>-124.3</v>
      </c>
      <c r="N7" s="112" t="s">
        <v>135</v>
      </c>
      <c r="O7" s="119">
        <f t="shared" si="0"/>
        <v>-2094.1176470588234</v>
      </c>
      <c r="P7" s="116">
        <v>34</v>
      </c>
      <c r="Q7" s="100">
        <v>-71200</v>
      </c>
    </row>
    <row r="8" spans="1:17" x14ac:dyDescent="0.45">
      <c r="A8" s="51" t="s">
        <v>3</v>
      </c>
      <c r="B8" s="44">
        <v>16</v>
      </c>
      <c r="C8" s="37">
        <f t="shared" si="1"/>
        <v>0.33333333333333331</v>
      </c>
      <c r="E8" s="59" t="s">
        <v>89</v>
      </c>
      <c r="F8" s="56" t="s">
        <v>44</v>
      </c>
      <c r="G8" s="44">
        <v>13</v>
      </c>
      <c r="H8" s="129">
        <f>IF(B$15=0,0,G8/B$15)</f>
        <v>0.13131313131313133</v>
      </c>
      <c r="I8" s="90">
        <v>6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23</v>
      </c>
      <c r="C9" s="38">
        <f t="shared" si="1"/>
        <v>0.47916666666666669</v>
      </c>
      <c r="E9" s="59" t="s">
        <v>70</v>
      </c>
      <c r="F9" s="56" t="s">
        <v>25</v>
      </c>
      <c r="G9" s="44">
        <v>12</v>
      </c>
      <c r="H9" s="129">
        <f>IF(B$15=0,0,G9/B$15)</f>
        <v>0.12121212121212122</v>
      </c>
      <c r="I9" s="90">
        <v>5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9</v>
      </c>
      <c r="C10" s="40">
        <f t="shared" si="1"/>
        <v>0.1875</v>
      </c>
      <c r="E10" s="59" t="s">
        <v>65</v>
      </c>
      <c r="F10" s="56" t="s">
        <v>21</v>
      </c>
      <c r="G10" s="44">
        <v>10</v>
      </c>
      <c r="H10" s="129">
        <f>IF(B$15=0,0,G10/B$15)</f>
        <v>0.10101010101010101</v>
      </c>
      <c r="I10" s="90">
        <v>8</v>
      </c>
      <c r="K10" s="36">
        <v>8</v>
      </c>
      <c r="L10" s="95">
        <v>-152.6</v>
      </c>
      <c r="N10" s="110" t="s">
        <v>157</v>
      </c>
      <c r="O10" s="120">
        <f>IF(P10=0,0,Q10/P10)</f>
        <v>-21.957894736842103</v>
      </c>
      <c r="P10" s="114">
        <v>19</v>
      </c>
      <c r="Q10" s="102">
        <v>-417.2</v>
      </c>
    </row>
    <row r="11" spans="1:17" x14ac:dyDescent="0.45">
      <c r="A11" s="54" t="s">
        <v>121</v>
      </c>
      <c r="B11" s="47">
        <v>78</v>
      </c>
      <c r="C11" s="42">
        <f>IF(B$3=0,0,B11/B$3)</f>
        <v>0.2</v>
      </c>
      <c r="E11" s="59" t="s">
        <v>71</v>
      </c>
      <c r="F11" s="56" t="s">
        <v>26</v>
      </c>
      <c r="G11" s="44">
        <v>10</v>
      </c>
      <c r="H11" s="129">
        <f>IF(B$15=0,0,G11/B$15)</f>
        <v>0.10101010101010101</v>
      </c>
      <c r="I11" s="90">
        <v>5</v>
      </c>
      <c r="K11" s="36">
        <v>9</v>
      </c>
      <c r="L11" s="95">
        <v>-150.6</v>
      </c>
      <c r="N11" s="111" t="s">
        <v>158</v>
      </c>
      <c r="O11" s="121">
        <f>IF(P11=0,0,Q11/P11)</f>
        <v>-4.4285714285714279</v>
      </c>
      <c r="P11" s="115">
        <v>14</v>
      </c>
      <c r="Q11" s="103">
        <v>-61.999999999999986</v>
      </c>
    </row>
    <row r="12" spans="1:17" x14ac:dyDescent="0.45">
      <c r="A12" s="51" t="s">
        <v>118</v>
      </c>
      <c r="B12" s="44">
        <v>85</v>
      </c>
      <c r="C12" s="37">
        <f>IF(B$3=0,0,B12/B$3)</f>
        <v>0.21794871794871795</v>
      </c>
      <c r="E12" s="59" t="s">
        <v>69</v>
      </c>
      <c r="F12" s="56" t="s">
        <v>24</v>
      </c>
      <c r="G12" s="44">
        <v>7</v>
      </c>
      <c r="H12" s="129">
        <f>IF(B$15=0,0,G12/B$15)</f>
        <v>7.0707070707070704E-2</v>
      </c>
      <c r="I12" s="90">
        <v>10</v>
      </c>
      <c r="K12" s="36">
        <v>10</v>
      </c>
      <c r="L12" s="95">
        <v>-151.1</v>
      </c>
      <c r="N12" s="112" t="s">
        <v>159</v>
      </c>
      <c r="O12" s="122">
        <f>IF(P12=0,0,Q12/P12)</f>
        <v>-4.3866666666666667</v>
      </c>
      <c r="P12" s="116">
        <v>15</v>
      </c>
      <c r="Q12" s="104">
        <v>-65.8</v>
      </c>
    </row>
    <row r="13" spans="1:17" x14ac:dyDescent="0.45">
      <c r="A13" s="50" t="s">
        <v>123</v>
      </c>
      <c r="B13" s="43">
        <f>B19</f>
        <v>43</v>
      </c>
      <c r="C13" s="35">
        <f>IF(B$11=0,0,B13/B$11)</f>
        <v>0.55128205128205132</v>
      </c>
      <c r="E13" s="59" t="s">
        <v>83</v>
      </c>
      <c r="F13" s="56" t="s">
        <v>38</v>
      </c>
      <c r="G13" s="44">
        <v>7</v>
      </c>
      <c r="H13" s="129">
        <f>IF(B$15=0,0,G13/B$15)</f>
        <v>7.0707070707070704E-2</v>
      </c>
      <c r="I13" s="90">
        <v>3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37</v>
      </c>
      <c r="C14" s="35">
        <f>IF(B$12=0,0,B14/B$12)</f>
        <v>0.43529411764705883</v>
      </c>
      <c r="E14" s="59" t="s">
        <v>86</v>
      </c>
      <c r="F14" s="56" t="s">
        <v>41</v>
      </c>
      <c r="G14" s="44">
        <v>7</v>
      </c>
      <c r="H14" s="129">
        <f>IF(B$15=0,0,G14/B$15)</f>
        <v>7.0707070707070704E-2</v>
      </c>
      <c r="I14" s="90">
        <v>1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99</v>
      </c>
      <c r="C15" s="35">
        <f>IF(B$3=0,0,B15/B$3)</f>
        <v>0.25384615384615383</v>
      </c>
      <c r="E15" s="59" t="s">
        <v>81</v>
      </c>
      <c r="F15" s="56" t="s">
        <v>36</v>
      </c>
      <c r="G15" s="44">
        <v>2</v>
      </c>
      <c r="H15" s="129">
        <f>IF(B$15=0,0,G15/B$15)</f>
        <v>2.0202020202020204E-2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 t="shared" ref="O15:O24" si="2">IF(P15=0,0,Q15/P15)</f>
        <v>34.137499999999996</v>
      </c>
      <c r="P15" s="114">
        <v>8</v>
      </c>
      <c r="Q15" s="102">
        <v>273.09999999999997</v>
      </c>
    </row>
    <row r="16" spans="1:17" x14ac:dyDescent="0.45">
      <c r="A16" s="51" t="s">
        <v>13</v>
      </c>
      <c r="B16" s="44">
        <v>71</v>
      </c>
      <c r="C16" s="37">
        <f>IF(B$3=0,0,B16/B$3)</f>
        <v>0.18205128205128204</v>
      </c>
      <c r="E16" s="59" t="s">
        <v>91</v>
      </c>
      <c r="F16" s="56" t="s">
        <v>46</v>
      </c>
      <c r="G16" s="44">
        <v>2</v>
      </c>
      <c r="H16" s="129">
        <f>IF(B$15=0,0,G16/B$15)</f>
        <v>2.0202020202020204E-2</v>
      </c>
      <c r="I16" s="90">
        <v>2</v>
      </c>
      <c r="K16" s="36">
        <v>14</v>
      </c>
      <c r="L16" s="95">
        <v>-266.90000000000003</v>
      </c>
      <c r="N16" s="111" t="s">
        <v>172</v>
      </c>
      <c r="O16" s="121">
        <f t="shared" si="2"/>
        <v>-3.1666666666666656</v>
      </c>
      <c r="P16" s="115">
        <v>3</v>
      </c>
      <c r="Q16" s="103">
        <v>-9.4999999999999964</v>
      </c>
    </row>
    <row r="17" spans="1:17" x14ac:dyDescent="0.45">
      <c r="A17" s="51" t="s">
        <v>12</v>
      </c>
      <c r="B17" s="44">
        <v>44</v>
      </c>
      <c r="C17" s="37">
        <f>IF(B$15=0,0,B17/B$15)</f>
        <v>0.44444444444444442</v>
      </c>
      <c r="E17" s="59" t="s">
        <v>74</v>
      </c>
      <c r="F17" s="56" t="s">
        <v>29</v>
      </c>
      <c r="G17" s="44">
        <v>1</v>
      </c>
      <c r="H17" s="129">
        <f>IF(B$15=0,0,G17/B$15)</f>
        <v>1.0101010101010102E-2</v>
      </c>
      <c r="I17" s="90">
        <v>1</v>
      </c>
      <c r="K17" s="36">
        <v>15</v>
      </c>
      <c r="L17" s="95">
        <v>-272.50000000000006</v>
      </c>
      <c r="N17" s="111" t="s">
        <v>170</v>
      </c>
      <c r="O17" s="121">
        <f t="shared" si="2"/>
        <v>-9.4086956521739129</v>
      </c>
      <c r="P17" s="115">
        <v>23</v>
      </c>
      <c r="Q17" s="103">
        <v>-216.4</v>
      </c>
    </row>
    <row r="18" spans="1:17" x14ac:dyDescent="0.45">
      <c r="A18" s="51" t="s">
        <v>11</v>
      </c>
      <c r="B18" s="44">
        <v>55</v>
      </c>
      <c r="C18" s="37">
        <f>IF(B$15=0,0,B18/B$15)</f>
        <v>0.55555555555555558</v>
      </c>
      <c r="E18" s="59" t="s">
        <v>78</v>
      </c>
      <c r="F18" s="56" t="s">
        <v>33</v>
      </c>
      <c r="G18" s="44">
        <v>1</v>
      </c>
      <c r="H18" s="129">
        <f>IF(B$15=0,0,G18/B$15)</f>
        <v>1.0101010101010102E-2</v>
      </c>
      <c r="I18" s="90">
        <v>7</v>
      </c>
      <c r="K18" s="36">
        <v>16</v>
      </c>
      <c r="L18" s="95">
        <v>-320.30000000000007</v>
      </c>
      <c r="N18" s="111" t="s">
        <v>274</v>
      </c>
      <c r="O18" s="121">
        <f t="shared" si="2"/>
        <v>-12.000000000000002</v>
      </c>
      <c r="P18" s="115">
        <v>1</v>
      </c>
      <c r="Q18" s="103">
        <v>-12.000000000000002</v>
      </c>
    </row>
    <row r="19" spans="1:17" x14ac:dyDescent="0.45">
      <c r="A19" s="51" t="s">
        <v>195</v>
      </c>
      <c r="B19" s="44">
        <v>43</v>
      </c>
      <c r="C19" s="37">
        <f>IF(B$15=0,0,B19/B$15)</f>
        <v>0.43434343434343436</v>
      </c>
      <c r="E19" s="59" t="s">
        <v>92</v>
      </c>
      <c r="F19" s="56" t="s">
        <v>47</v>
      </c>
      <c r="G19" s="44">
        <v>1</v>
      </c>
      <c r="H19" s="129">
        <f>IF(B$15=0,0,G19/B$15)</f>
        <v>1.0101010101010102E-2</v>
      </c>
      <c r="I19" s="90">
        <v>2</v>
      </c>
      <c r="K19" s="36">
        <v>17</v>
      </c>
      <c r="L19" s="95">
        <v>-352.60000000000008</v>
      </c>
      <c r="N19" s="111" t="s">
        <v>127</v>
      </c>
      <c r="O19" s="121">
        <f t="shared" si="2"/>
        <v>-16.62857142857143</v>
      </c>
      <c r="P19" s="115">
        <v>14</v>
      </c>
      <c r="Q19" s="103">
        <v>-232.8</v>
      </c>
    </row>
    <row r="20" spans="1:17" x14ac:dyDescent="0.45">
      <c r="A20" s="51" t="s">
        <v>193</v>
      </c>
      <c r="B20" s="44">
        <v>37</v>
      </c>
      <c r="C20" s="37">
        <f>IF(B$15=0,0,B20/B$15)</f>
        <v>0.37373737373737376</v>
      </c>
      <c r="E20" s="59" t="s">
        <v>95</v>
      </c>
      <c r="F20" s="56" t="s">
        <v>50</v>
      </c>
      <c r="G20" s="44">
        <v>1</v>
      </c>
      <c r="H20" s="129">
        <f>IF(B$15=0,0,G20/B$15)</f>
        <v>1.0101010101010102E-2</v>
      </c>
      <c r="I20" s="90">
        <v>1</v>
      </c>
      <c r="K20" s="36">
        <v>18</v>
      </c>
      <c r="L20" s="95">
        <v>-355.50000000000006</v>
      </c>
      <c r="N20" s="111" t="s">
        <v>203</v>
      </c>
      <c r="O20" s="121">
        <f t="shared" si="2"/>
        <v>-17.649999999999999</v>
      </c>
      <c r="P20" s="115">
        <v>2</v>
      </c>
      <c r="Q20" s="103">
        <v>-35.299999999999997</v>
      </c>
    </row>
    <row r="21" spans="1:17" x14ac:dyDescent="0.45">
      <c r="A21" s="51" t="s">
        <v>194</v>
      </c>
      <c r="B21" s="44">
        <v>19</v>
      </c>
      <c r="C21" s="37">
        <f>IF(B$15=0,0,B21/B$15)</f>
        <v>0.19191919191919191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-400.60000000000008</v>
      </c>
      <c r="N21" s="111" t="s">
        <v>171</v>
      </c>
      <c r="O21" s="121">
        <f t="shared" si="2"/>
        <v>-25.104347826086954</v>
      </c>
      <c r="P21" s="115">
        <v>23</v>
      </c>
      <c r="Q21" s="103">
        <v>-577.4</v>
      </c>
    </row>
    <row r="22" spans="1:17" x14ac:dyDescent="0.45">
      <c r="A22" s="51" t="s">
        <v>5</v>
      </c>
      <c r="B22" s="48">
        <f>IF(B$15=0,0,C22/B$15)</f>
        <v>8000</v>
      </c>
      <c r="C22" s="39">
        <v>792000</v>
      </c>
      <c r="E22" s="59" t="s">
        <v>75</v>
      </c>
      <c r="F22" s="56" t="s">
        <v>30</v>
      </c>
      <c r="G22" s="44">
        <v>0</v>
      </c>
      <c r="H22" s="129">
        <f>IF(B$15=0,0,G22/B$15)</f>
        <v>0</v>
      </c>
      <c r="I22" s="90">
        <v>9</v>
      </c>
      <c r="K22" s="36">
        <v>20</v>
      </c>
      <c r="L22" s="95">
        <v>-428.10000000000008</v>
      </c>
      <c r="N22" s="111" t="s">
        <v>126</v>
      </c>
      <c r="O22" s="121">
        <f t="shared" si="2"/>
        <v>-26.026666666666667</v>
      </c>
      <c r="P22" s="115">
        <v>15</v>
      </c>
      <c r="Q22" s="103">
        <v>-390.40000000000003</v>
      </c>
    </row>
    <row r="23" spans="1:17" x14ac:dyDescent="0.45">
      <c r="A23" s="52" t="s">
        <v>177</v>
      </c>
      <c r="B23" s="136">
        <f>IF($B$15-B$14=0,0,C23/($B$15-B$14))</f>
        <v>8433.8709677419356</v>
      </c>
      <c r="C23" s="137">
        <v>522900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-423.7000000000001</v>
      </c>
      <c r="N23" s="111" t="s">
        <v>196</v>
      </c>
      <c r="O23" s="121">
        <f t="shared" si="2"/>
        <v>-60.640000000000008</v>
      </c>
      <c r="P23" s="115">
        <v>5</v>
      </c>
      <c r="Q23" s="103">
        <v>-303.20000000000005</v>
      </c>
    </row>
    <row r="24" spans="1:17" x14ac:dyDescent="0.45">
      <c r="A24" s="52" t="s">
        <v>178</v>
      </c>
      <c r="B24" s="136">
        <f>IF(B$14=0,0,C24/B$14)</f>
        <v>7272.9729729729734</v>
      </c>
      <c r="C24" s="137">
        <v>269100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-465.00000000000011</v>
      </c>
      <c r="N24" s="111" t="s">
        <v>228</v>
      </c>
      <c r="O24" s="121">
        <f t="shared" si="2"/>
        <v>-65.55</v>
      </c>
      <c r="P24" s="115">
        <v>2</v>
      </c>
      <c r="Q24" s="103">
        <v>-131.1</v>
      </c>
    </row>
    <row r="25" spans="1:17" x14ac:dyDescent="0.45">
      <c r="A25" s="52" t="s">
        <v>176</v>
      </c>
      <c r="B25" s="136">
        <f>IF(B$16=0,0,C25/B$16)</f>
        <v>-8015.4929577464791</v>
      </c>
      <c r="C25" s="137">
        <v>-569100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9</v>
      </c>
      <c r="K25" s="36">
        <v>23</v>
      </c>
      <c r="L25" s="95">
        <v>-450.10000000000014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19</v>
      </c>
      <c r="C27" s="131">
        <v>3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52">
        <v>6</v>
      </c>
      <c r="C28" s="153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50">
        <v>85100</v>
      </c>
      <c r="C29" s="151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1</v>
      </c>
      <c r="C30" s="40">
        <f>IF(B$3=0,0,B30/B$3)</f>
        <v>2.5641025641025641E-3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4</v>
      </c>
      <c r="K30" s="36">
        <v>28</v>
      </c>
      <c r="L30" s="95">
        <v>-447.30000000000013</v>
      </c>
    </row>
    <row r="31" spans="1:17" x14ac:dyDescent="0.45">
      <c r="E31" s="59" t="s">
        <v>88</v>
      </c>
      <c r="F31" s="56" t="s">
        <v>43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8</v>
      </c>
      <c r="C32" s="141">
        <f>IF(B$15=0,0,B32/B$15)</f>
        <v>8.0808080808080815E-2</v>
      </c>
      <c r="E32" s="59" t="s">
        <v>90</v>
      </c>
      <c r="F32" s="56" t="s">
        <v>45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22</v>
      </c>
      <c r="C33" s="37">
        <f t="shared" ref="C33:C44" si="3">IF(B$15=0,0,B33/B$15)</f>
        <v>0.22222222222222221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21</v>
      </c>
      <c r="C34" s="37">
        <f>IF(B$15=0,0,B34/B$15)</f>
        <v>0.21212121212121213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13</v>
      </c>
      <c r="C35" s="37">
        <f t="shared" si="3"/>
        <v>0.13131313131313133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13</v>
      </c>
      <c r="C36" s="37">
        <f t="shared" si="3"/>
        <v>0.13131313131313133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7</v>
      </c>
      <c r="C37" s="37">
        <f t="shared" si="3"/>
        <v>7.0707070707070704E-2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7</v>
      </c>
      <c r="C38" s="37">
        <f t="shared" si="3"/>
        <v>7.0707070707070704E-2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5</v>
      </c>
      <c r="C39" s="37">
        <f t="shared" si="3"/>
        <v>5.0505050505050504E-2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3"/>
        <v>1.0101010101010102E-2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3"/>
        <v>2.0202020202020204E-2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-623.30000000000007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-588.1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C335-5A3E-49C9-9DBD-5B180DACC0B8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196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24</v>
      </c>
      <c r="C2" s="159"/>
      <c r="E2" s="58" t="s">
        <v>66</v>
      </c>
      <c r="F2" s="55" t="s">
        <v>22</v>
      </c>
      <c r="G2" s="43">
        <v>63</v>
      </c>
      <c r="H2" s="128">
        <f>IF(B$15=0,0,G2/B$15)</f>
        <v>1.0161290322580645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-3145.8333333333335</v>
      </c>
      <c r="P2" s="114">
        <v>24</v>
      </c>
      <c r="Q2" s="98">
        <v>-75500</v>
      </c>
    </row>
    <row r="3" spans="1:17" x14ac:dyDescent="0.45">
      <c r="A3" s="51" t="s">
        <v>8</v>
      </c>
      <c r="B3" s="160">
        <v>229</v>
      </c>
      <c r="C3" s="161"/>
      <c r="E3" s="59" t="s">
        <v>64</v>
      </c>
      <c r="F3" s="56" t="s">
        <v>20</v>
      </c>
      <c r="G3" s="44">
        <v>36</v>
      </c>
      <c r="H3" s="129">
        <f>IF(B$15=0,0,G3/B$15)</f>
        <v>0.58064516129032262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0"/>
        <v>-1225</v>
      </c>
      <c r="P3" s="115">
        <v>24</v>
      </c>
      <c r="Q3" s="99">
        <v>-29400</v>
      </c>
    </row>
    <row r="4" spans="1:17" x14ac:dyDescent="0.45">
      <c r="A4" s="51" t="s">
        <v>6</v>
      </c>
      <c r="B4" s="162">
        <v>2.1999999999999957</v>
      </c>
      <c r="C4" s="163"/>
      <c r="E4" s="59" t="s">
        <v>68</v>
      </c>
      <c r="F4" s="56" t="s">
        <v>12</v>
      </c>
      <c r="G4" s="44">
        <v>27</v>
      </c>
      <c r="H4" s="129">
        <f>IF(B$15=0,0,G4/B$15)</f>
        <v>0.43548387096774194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1560.8695652173913</v>
      </c>
      <c r="P4" s="115">
        <v>23</v>
      </c>
      <c r="Q4" s="99">
        <v>35900</v>
      </c>
    </row>
    <row r="5" spans="1:17" x14ac:dyDescent="0.45">
      <c r="A5" s="51" t="s">
        <v>7</v>
      </c>
      <c r="B5" s="164">
        <f>IF(B$2=0,0,B$4/B$2)</f>
        <v>9.1666666666666494E-2</v>
      </c>
      <c r="C5" s="165"/>
      <c r="E5" s="59" t="s">
        <v>166</v>
      </c>
      <c r="F5" s="56" t="s">
        <v>167</v>
      </c>
      <c r="G5" s="44">
        <v>24</v>
      </c>
      <c r="H5" s="129">
        <f>IF(B$15=0,0,G5/B$15)</f>
        <v>0.38709677419354838</v>
      </c>
      <c r="I5" s="90">
        <v>6</v>
      </c>
      <c r="K5" s="36">
        <v>3</v>
      </c>
      <c r="L5" s="95">
        <v>76</v>
      </c>
      <c r="N5" s="111" t="s">
        <v>133</v>
      </c>
      <c r="O5" s="118">
        <f t="shared" si="0"/>
        <v>-2230.4347826086955</v>
      </c>
      <c r="P5" s="115">
        <v>23</v>
      </c>
      <c r="Q5" s="99">
        <v>-51300</v>
      </c>
    </row>
    <row r="6" spans="1:17" x14ac:dyDescent="0.45">
      <c r="A6" s="51" t="s">
        <v>1</v>
      </c>
      <c r="B6" s="154">
        <f>IF(B$2=0,0,(B$7*1+B$8*2+B$9*3)/B$2)</f>
        <v>2</v>
      </c>
      <c r="C6" s="155"/>
      <c r="E6" s="59" t="s">
        <v>72</v>
      </c>
      <c r="F6" s="56" t="s">
        <v>27</v>
      </c>
      <c r="G6" s="44">
        <v>21</v>
      </c>
      <c r="H6" s="129">
        <f>IF(B$15=0,0,G6/B$15)</f>
        <v>0.33870967741935482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5409.5238095238092</v>
      </c>
      <c r="P6" s="115">
        <v>21</v>
      </c>
      <c r="Q6" s="99">
        <v>113600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0.375</v>
      </c>
      <c r="E7" s="59" t="s">
        <v>67</v>
      </c>
      <c r="F7" s="56" t="s">
        <v>23</v>
      </c>
      <c r="G7" s="44">
        <v>16</v>
      </c>
      <c r="H7" s="129">
        <f>IF(B$15=0,0,G7/B$15)</f>
        <v>0.25806451612903225</v>
      </c>
      <c r="I7" s="90">
        <v>8</v>
      </c>
      <c r="K7" s="36">
        <v>5</v>
      </c>
      <c r="L7" s="95">
        <v>127.9</v>
      </c>
      <c r="N7" s="112" t="s">
        <v>135</v>
      </c>
      <c r="O7" s="119">
        <f t="shared" si="0"/>
        <v>1223.5294117647059</v>
      </c>
      <c r="P7" s="116">
        <v>17</v>
      </c>
      <c r="Q7" s="100">
        <v>20800</v>
      </c>
    </row>
    <row r="8" spans="1:17" x14ac:dyDescent="0.45">
      <c r="A8" s="51" t="s">
        <v>3</v>
      </c>
      <c r="B8" s="44">
        <v>6</v>
      </c>
      <c r="C8" s="37">
        <f t="shared" si="1"/>
        <v>0.25</v>
      </c>
      <c r="E8" s="59" t="s">
        <v>69</v>
      </c>
      <c r="F8" s="56" t="s">
        <v>24</v>
      </c>
      <c r="G8" s="44">
        <v>13</v>
      </c>
      <c r="H8" s="129">
        <f>IF(B$15=0,0,G8/B$15)</f>
        <v>0.20967741935483872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9</v>
      </c>
      <c r="C9" s="38">
        <f t="shared" si="1"/>
        <v>0.375</v>
      </c>
      <c r="E9" s="59" t="s">
        <v>65</v>
      </c>
      <c r="F9" s="56" t="s">
        <v>21</v>
      </c>
      <c r="G9" s="44">
        <v>9</v>
      </c>
      <c r="H9" s="129">
        <f>IF(B$15=0,0,G9/B$15)</f>
        <v>0.14516129032258066</v>
      </c>
      <c r="I9" s="90">
        <v>4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2</v>
      </c>
      <c r="C10" s="40">
        <f t="shared" si="1"/>
        <v>8.3333333333333329E-2</v>
      </c>
      <c r="E10" s="59" t="s">
        <v>70</v>
      </c>
      <c r="F10" s="56" t="s">
        <v>25</v>
      </c>
      <c r="G10" s="44">
        <v>6</v>
      </c>
      <c r="H10" s="129">
        <f>IF(B$15=0,0,G10/B$15)</f>
        <v>9.6774193548387094E-2</v>
      </c>
      <c r="I10" s="90">
        <v>7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5">
      <c r="A11" s="54" t="s">
        <v>121</v>
      </c>
      <c r="B11" s="47">
        <v>61</v>
      </c>
      <c r="C11" s="42">
        <f>IF(B$3=0,0,B11/B$3)</f>
        <v>0.26637554585152839</v>
      </c>
      <c r="E11" s="59" t="s">
        <v>71</v>
      </c>
      <c r="F11" s="56" t="s">
        <v>26</v>
      </c>
      <c r="G11" s="44">
        <v>6</v>
      </c>
      <c r="H11" s="129">
        <f>IF(B$15=0,0,G11/B$15)</f>
        <v>9.6774193548387094E-2</v>
      </c>
      <c r="I11" s="90">
        <v>6</v>
      </c>
      <c r="K11" s="36">
        <v>9</v>
      </c>
      <c r="L11" s="95">
        <v>141.5</v>
      </c>
      <c r="N11" s="111" t="s">
        <v>158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5">
      <c r="A12" s="51" t="s">
        <v>118</v>
      </c>
      <c r="B12" s="44">
        <v>35</v>
      </c>
      <c r="C12" s="37">
        <f>IF(B$3=0,0,B12/B$3)</f>
        <v>0.15283842794759825</v>
      </c>
      <c r="E12" s="59" t="s">
        <v>89</v>
      </c>
      <c r="F12" s="56" t="s">
        <v>44</v>
      </c>
      <c r="G12" s="44">
        <v>5</v>
      </c>
      <c r="H12" s="129">
        <f>IF(B$15=0,0,G12/B$15)</f>
        <v>8.0645161290322578E-2</v>
      </c>
      <c r="I12" s="90">
        <v>10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5">
      <c r="A13" s="50" t="s">
        <v>123</v>
      </c>
      <c r="B13" s="43">
        <f>B19</f>
        <v>36</v>
      </c>
      <c r="C13" s="35">
        <f>IF(B$11=0,0,B13/B$11)</f>
        <v>0.5901639344262295</v>
      </c>
      <c r="E13" s="59" t="s">
        <v>78</v>
      </c>
      <c r="F13" s="56" t="s">
        <v>33</v>
      </c>
      <c r="G13" s="44">
        <v>3</v>
      </c>
      <c r="H13" s="129">
        <f>IF(B$15=0,0,G13/B$15)</f>
        <v>4.8387096774193547E-2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0.34285714285714286</v>
      </c>
      <c r="E14" s="59" t="s">
        <v>86</v>
      </c>
      <c r="F14" s="56" t="s">
        <v>41</v>
      </c>
      <c r="G14" s="44">
        <v>3</v>
      </c>
      <c r="H14" s="129">
        <f>IF(B$15=0,0,G14/B$15)</f>
        <v>4.8387096774193547E-2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62</v>
      </c>
      <c r="C15" s="35">
        <f>IF(B$3=0,0,B15/B$3)</f>
        <v>0.27074235807860264</v>
      </c>
      <c r="E15" s="59" t="s">
        <v>83</v>
      </c>
      <c r="F15" s="56" t="s">
        <v>38</v>
      </c>
      <c r="G15" s="44">
        <v>2</v>
      </c>
      <c r="H15" s="129">
        <f>IF(B$15=0,0,G15/B$15)</f>
        <v>3.2258064516129031E-2</v>
      </c>
      <c r="I15" s="90">
        <v>10</v>
      </c>
      <c r="K15" s="36">
        <v>13</v>
      </c>
      <c r="L15" s="95">
        <v>76.7</v>
      </c>
      <c r="N15" s="110" t="s">
        <v>197</v>
      </c>
      <c r="O15" s="120">
        <f t="shared" ref="O15:O22" si="2">IF(P15=0,0,Q15/P15)</f>
        <v>60.640000000000008</v>
      </c>
      <c r="P15" s="114">
        <v>5</v>
      </c>
      <c r="Q15" s="102">
        <v>303.20000000000005</v>
      </c>
    </row>
    <row r="16" spans="1:17" x14ac:dyDescent="0.45">
      <c r="A16" s="51" t="s">
        <v>13</v>
      </c>
      <c r="B16" s="44">
        <v>38</v>
      </c>
      <c r="C16" s="37">
        <f>IF(B$3=0,0,B16/B$3)</f>
        <v>0.16593886462882096</v>
      </c>
      <c r="E16" s="59" t="s">
        <v>75</v>
      </c>
      <c r="F16" s="56" t="s">
        <v>30</v>
      </c>
      <c r="G16" s="44">
        <v>1</v>
      </c>
      <c r="H16" s="129">
        <f>IF(B$15=0,0,G16/B$15)</f>
        <v>1.6129032258064516E-2</v>
      </c>
      <c r="I16" s="90">
        <v>1</v>
      </c>
      <c r="K16" s="36">
        <v>14</v>
      </c>
      <c r="L16" s="95">
        <v>49.900000000000006</v>
      </c>
      <c r="N16" s="111" t="s">
        <v>170</v>
      </c>
      <c r="O16" s="121">
        <f t="shared" si="2"/>
        <v>28.342857142857145</v>
      </c>
      <c r="P16" s="115">
        <v>7</v>
      </c>
      <c r="Q16" s="103">
        <v>198.4</v>
      </c>
    </row>
    <row r="17" spans="1:17" x14ac:dyDescent="0.45">
      <c r="A17" s="51" t="s">
        <v>12</v>
      </c>
      <c r="B17" s="44">
        <v>35</v>
      </c>
      <c r="C17" s="37">
        <f>IF(B$15=0,0,B17/B$15)</f>
        <v>0.56451612903225812</v>
      </c>
      <c r="E17" s="59" t="s">
        <v>81</v>
      </c>
      <c r="F17" s="56" t="s">
        <v>36</v>
      </c>
      <c r="G17" s="44">
        <v>1</v>
      </c>
      <c r="H17" s="129">
        <f>IF(B$15=0,0,G17/B$15)</f>
        <v>1.6129032258064516E-2</v>
      </c>
      <c r="I17" s="90">
        <v>6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5">
      <c r="A18" s="51" t="s">
        <v>11</v>
      </c>
      <c r="B18" s="44">
        <v>27</v>
      </c>
      <c r="C18" s="37">
        <f>IF(B$15=0,0,B18/B$15)</f>
        <v>0.43548387096774194</v>
      </c>
      <c r="E18" s="59" t="s">
        <v>85</v>
      </c>
      <c r="F18" s="56" t="s">
        <v>40</v>
      </c>
      <c r="G18" s="44">
        <v>1</v>
      </c>
      <c r="H18" s="129">
        <f>IF(B$15=0,0,G18/B$15)</f>
        <v>1.6129032258064516E-2</v>
      </c>
      <c r="I18" s="90">
        <v>1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5">
      <c r="A19" s="51" t="s">
        <v>195</v>
      </c>
      <c r="B19" s="44">
        <v>36</v>
      </c>
      <c r="C19" s="37">
        <f>IF(B$15=0,0,B19/B$15)</f>
        <v>0.58064516129032262</v>
      </c>
      <c r="E19" s="59" t="s">
        <v>87</v>
      </c>
      <c r="F19" s="56" t="s">
        <v>42</v>
      </c>
      <c r="G19" s="44">
        <v>1</v>
      </c>
      <c r="H19" s="129">
        <f>IF(B$15=0,0,G19/B$15)</f>
        <v>1.6129032258064516E-2</v>
      </c>
      <c r="I19" s="90">
        <v>1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5">
      <c r="A20" s="51" t="s">
        <v>193</v>
      </c>
      <c r="B20" s="44">
        <v>12</v>
      </c>
      <c r="C20" s="37">
        <f>IF(B$15=0,0,B20/B$15)</f>
        <v>0.19354838709677419</v>
      </c>
      <c r="E20" s="59" t="s">
        <v>162</v>
      </c>
      <c r="F20" s="56" t="s">
        <v>163</v>
      </c>
      <c r="G20" s="44">
        <v>1</v>
      </c>
      <c r="H20" s="129">
        <f>IF(B$15=0,0,G20/B$15)</f>
        <v>1.6129032258064516E-2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5">
      <c r="A21" s="51" t="s">
        <v>194</v>
      </c>
      <c r="B21" s="44">
        <v>14</v>
      </c>
      <c r="C21" s="37">
        <f>IF(B$15=0,0,B21/B$15)</f>
        <v>0.22580645161290322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8456.4516129032254</v>
      </c>
      <c r="C22" s="39">
        <v>524300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5">
      <c r="A23" s="52" t="s">
        <v>177</v>
      </c>
      <c r="B23" s="136">
        <f>IF($B$15-B$14=0,0,C23/($B$15-B$14))</f>
        <v>8780</v>
      </c>
      <c r="C23" s="137">
        <v>439000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</row>
    <row r="24" spans="1:17" x14ac:dyDescent="0.45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-6836.8421052631575</v>
      </c>
      <c r="C25" s="137">
        <v>-259800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9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</row>
    <row r="28" spans="1:17" x14ac:dyDescent="0.45">
      <c r="A28" s="86" t="s">
        <v>138</v>
      </c>
      <c r="B28" s="152">
        <v>7</v>
      </c>
      <c r="C28" s="153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50">
        <v>95200</v>
      </c>
      <c r="C29" s="151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4.3668122270742356E-3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9</v>
      </c>
    </row>
    <row r="32" spans="1:17" x14ac:dyDescent="0.45">
      <c r="A32" s="86" t="s">
        <v>183</v>
      </c>
      <c r="B32" s="144">
        <v>7</v>
      </c>
      <c r="C32" s="141">
        <f>IF(B$15=0,0,B32/B$15)</f>
        <v>0.11290322580645161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</row>
    <row r="33" spans="1:9" x14ac:dyDescent="0.45">
      <c r="A33" s="51" t="s">
        <v>179</v>
      </c>
      <c r="B33" s="44">
        <v>9</v>
      </c>
      <c r="C33" s="37">
        <f t="shared" ref="C33:C44" si="3">IF(B$15=0,0,B33/B$15)</f>
        <v>0.14516129032258066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5">
        <v>9</v>
      </c>
      <c r="C34" s="37">
        <f>IF(B$15=0,0,B34/B$15)</f>
        <v>0.14516129032258066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5">
        <v>9</v>
      </c>
      <c r="C35" s="37">
        <f t="shared" si="3"/>
        <v>0.14516129032258066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5">
      <c r="A36" s="51" t="s">
        <v>182</v>
      </c>
      <c r="B36" s="145">
        <v>10</v>
      </c>
      <c r="C36" s="37">
        <f t="shared" si="3"/>
        <v>0.16129032258064516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5">
        <v>12</v>
      </c>
      <c r="C37" s="37">
        <f t="shared" si="3"/>
        <v>0.19354838709677419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5">
      <c r="A38" s="51" t="s">
        <v>185</v>
      </c>
      <c r="B38" s="145">
        <v>3</v>
      </c>
      <c r="C38" s="37">
        <f t="shared" si="3"/>
        <v>4.8387096774193547E-2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2</v>
      </c>
      <c r="C39" s="37">
        <f t="shared" si="3"/>
        <v>3.2258064516129031E-2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5">
        <v>1</v>
      </c>
      <c r="C41" s="37">
        <f t="shared" si="3"/>
        <v>1.6129032258064516E-2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3C0CE-FF64-4D0E-999A-38EA4A1519EC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228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7</v>
      </c>
      <c r="C2" s="159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60">
        <v>62</v>
      </c>
      <c r="C3" s="161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5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62">
        <v>-104.80000000000001</v>
      </c>
      <c r="C4" s="163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4">
        <f>IF(B$2=0,0,B$4/B$2)</f>
        <v>-14.971428571428573</v>
      </c>
      <c r="C5" s="165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4">
        <f>IF(B$2=0,0,(B$7*1+B$8*2+B$9*3)/B$2)</f>
        <v>2.1428571428571428</v>
      </c>
      <c r="C6" s="155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10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2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12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5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11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9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2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9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10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10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5">
      <c r="A28" s="86" t="s">
        <v>138</v>
      </c>
      <c r="B28" s="152">
        <v>4</v>
      </c>
      <c r="C28" s="153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50">
        <v>59500</v>
      </c>
      <c r="C29" s="151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F2CAF-BDFE-45D0-A480-50FA82771875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203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2</v>
      </c>
      <c r="C2" s="159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60">
        <v>15</v>
      </c>
      <c r="C3" s="161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62">
        <v>26.2</v>
      </c>
      <c r="C4" s="163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4">
        <f>IF(B$2=0,0,B$4/B$2)</f>
        <v>13.1</v>
      </c>
      <c r="C5" s="165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4">
        <f>IF(B$2=0,0,(B$7*1+B$8*2+B$9*3)/B$2)</f>
        <v>1.5</v>
      </c>
      <c r="C6" s="155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11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7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2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11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12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9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5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10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9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10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11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5">
      <c r="A28" s="86" t="s">
        <v>138</v>
      </c>
      <c r="B28" s="152">
        <v>4</v>
      </c>
      <c r="C28" s="153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50">
        <v>52800</v>
      </c>
      <c r="C29" s="151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0EE47-776B-44AA-81BA-0A18D75D0782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274</v>
      </c>
      <c r="C1" s="157"/>
      <c r="E1" s="125" t="s">
        <v>160</v>
      </c>
      <c r="F1" s="147" t="s">
        <v>115</v>
      </c>
      <c r="G1" s="146" t="s">
        <v>116</v>
      </c>
      <c r="H1" s="126" t="s">
        <v>117</v>
      </c>
      <c r="I1" s="147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1</v>
      </c>
      <c r="C2" s="159"/>
      <c r="E2" s="58" t="s">
        <v>64</v>
      </c>
      <c r="F2" s="55" t="s">
        <v>20</v>
      </c>
      <c r="G2" s="43">
        <v>4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2600</v>
      </c>
      <c r="P2" s="114">
        <v>1</v>
      </c>
      <c r="Q2" s="98">
        <v>2600</v>
      </c>
    </row>
    <row r="3" spans="1:17" x14ac:dyDescent="0.45">
      <c r="A3" s="51" t="s">
        <v>8</v>
      </c>
      <c r="B3" s="160">
        <v>6</v>
      </c>
      <c r="C3" s="161"/>
      <c r="E3" s="59" t="s">
        <v>65</v>
      </c>
      <c r="F3" s="56" t="s">
        <v>21</v>
      </c>
      <c r="G3" s="44">
        <v>1</v>
      </c>
      <c r="H3" s="129">
        <f>IF(B$15=0,0,G3/B$15)</f>
        <v>0.25</v>
      </c>
      <c r="I3" s="90">
        <v>1</v>
      </c>
      <c r="K3" s="36">
        <v>1</v>
      </c>
      <c r="L3" s="95">
        <v>17.600000000000001</v>
      </c>
      <c r="N3" s="111" t="s">
        <v>131</v>
      </c>
      <c r="O3" s="118">
        <f t="shared" si="0"/>
        <v>0</v>
      </c>
      <c r="P3" s="115">
        <v>1</v>
      </c>
      <c r="Q3" s="99">
        <v>0</v>
      </c>
    </row>
    <row r="4" spans="1:17" x14ac:dyDescent="0.45">
      <c r="A4" s="51" t="s">
        <v>6</v>
      </c>
      <c r="B4" s="162">
        <v>17.600000000000001</v>
      </c>
      <c r="C4" s="163"/>
      <c r="E4" s="59" t="s">
        <v>66</v>
      </c>
      <c r="F4" s="56" t="s">
        <v>22</v>
      </c>
      <c r="G4" s="44">
        <v>1</v>
      </c>
      <c r="H4" s="129">
        <f>IF(B$15=0,0,G4/B$15)</f>
        <v>0.25</v>
      </c>
      <c r="I4" s="90">
        <v>12</v>
      </c>
      <c r="N4" s="111" t="s">
        <v>132</v>
      </c>
      <c r="O4" s="118">
        <f t="shared" si="0"/>
        <v>1300</v>
      </c>
      <c r="P4" s="115">
        <v>1</v>
      </c>
      <c r="Q4" s="99">
        <v>1300</v>
      </c>
    </row>
    <row r="5" spans="1:17" x14ac:dyDescent="0.45">
      <c r="A5" s="51" t="s">
        <v>7</v>
      </c>
      <c r="B5" s="164">
        <f>IF(B$2=0,0,B$4/B$2)</f>
        <v>17.600000000000001</v>
      </c>
      <c r="C5" s="165"/>
      <c r="E5" s="59" t="s">
        <v>68</v>
      </c>
      <c r="F5" s="56" t="s">
        <v>12</v>
      </c>
      <c r="G5" s="44">
        <v>1</v>
      </c>
      <c r="H5" s="129">
        <f>IF(B$15=0,0,G5/B$15)</f>
        <v>0.25</v>
      </c>
      <c r="I5" s="90">
        <v>11</v>
      </c>
      <c r="N5" s="111" t="s">
        <v>133</v>
      </c>
      <c r="O5" s="118">
        <f t="shared" si="0"/>
        <v>4000</v>
      </c>
      <c r="P5" s="115">
        <v>1</v>
      </c>
      <c r="Q5" s="99">
        <v>4000</v>
      </c>
    </row>
    <row r="6" spans="1:17" x14ac:dyDescent="0.45">
      <c r="A6" s="51" t="s">
        <v>1</v>
      </c>
      <c r="B6" s="154">
        <f>IF(B$2=0,0,(B$7*1+B$8*2+B$9*3)/B$2)</f>
        <v>1</v>
      </c>
      <c r="C6" s="155"/>
      <c r="E6" s="59" t="s">
        <v>69</v>
      </c>
      <c r="F6" s="56" t="s">
        <v>24</v>
      </c>
      <c r="G6" s="44">
        <v>1</v>
      </c>
      <c r="H6" s="129">
        <f>IF(B$15=0,0,G6/B$15)</f>
        <v>0.25</v>
      </c>
      <c r="I6" s="90">
        <v>1</v>
      </c>
      <c r="N6" s="111" t="s">
        <v>134</v>
      </c>
      <c r="O6" s="118">
        <f t="shared" si="0"/>
        <v>-8000</v>
      </c>
      <c r="P6" s="115">
        <v>1</v>
      </c>
      <c r="Q6" s="99">
        <v>-8000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1</v>
      </c>
      <c r="E7" s="59" t="s">
        <v>70</v>
      </c>
      <c r="F7" s="56" t="s">
        <v>25</v>
      </c>
      <c r="G7" s="44">
        <v>1</v>
      </c>
      <c r="H7" s="129">
        <f>IF(B$15=0,0,G7/B$15)</f>
        <v>0.25</v>
      </c>
      <c r="I7" s="90">
        <v>1</v>
      </c>
      <c r="N7" s="112" t="s">
        <v>135</v>
      </c>
      <c r="O7" s="119">
        <f t="shared" si="0"/>
        <v>7700</v>
      </c>
      <c r="P7" s="116">
        <v>1</v>
      </c>
      <c r="Q7" s="100">
        <v>7700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71</v>
      </c>
      <c r="F8" s="56" t="s">
        <v>26</v>
      </c>
      <c r="G8" s="44">
        <v>1</v>
      </c>
      <c r="H8" s="129">
        <f>IF(B$15=0,0,G8/B$15)</f>
        <v>0.25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67</v>
      </c>
      <c r="F9" s="56" t="s">
        <v>23</v>
      </c>
      <c r="G9" s="44">
        <v>0</v>
      </c>
      <c r="H9" s="129">
        <f>IF(B$15=0,0,G9/B$15)</f>
        <v>0</v>
      </c>
      <c r="I9" s="90">
        <v>12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72</v>
      </c>
      <c r="F10" s="56" t="s">
        <v>27</v>
      </c>
      <c r="G10" s="44">
        <v>0</v>
      </c>
      <c r="H10" s="129">
        <f>IF(B$15=0,0,G10/B$15)</f>
        <v>0</v>
      </c>
      <c r="I10" s="90">
        <v>12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0.66666666666666663</v>
      </c>
      <c r="E11" s="59" t="s">
        <v>73</v>
      </c>
      <c r="F11" s="56" t="s">
        <v>28</v>
      </c>
      <c r="G11" s="44">
        <v>0</v>
      </c>
      <c r="H11" s="129">
        <f>IF(B$15=0,0,G11/B$15)</f>
        <v>0</v>
      </c>
      <c r="I11" s="90">
        <v>5</v>
      </c>
      <c r="N11" s="111" t="s">
        <v>158</v>
      </c>
      <c r="O11" s="121">
        <f>IF(P11=0,0,Q11/P11)</f>
        <v>17.600000000000001</v>
      </c>
      <c r="P11" s="115">
        <v>1</v>
      </c>
      <c r="Q11" s="103">
        <v>17.600000000000001</v>
      </c>
    </row>
    <row r="12" spans="1:17" x14ac:dyDescent="0.45">
      <c r="A12" s="51" t="s">
        <v>118</v>
      </c>
      <c r="B12" s="44">
        <v>0</v>
      </c>
      <c r="C12" s="37">
        <f>IF(B$3=0,0,B12/B$3)</f>
        <v>0</v>
      </c>
      <c r="E12" s="59" t="s">
        <v>74</v>
      </c>
      <c r="F12" s="56" t="s">
        <v>29</v>
      </c>
      <c r="G12" s="44">
        <v>0</v>
      </c>
      <c r="H12" s="129">
        <f>IF(B$15=0,0,G12/B$15)</f>
        <v>0</v>
      </c>
      <c r="I12" s="90">
        <v>7</v>
      </c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50" t="s">
        <v>123</v>
      </c>
      <c r="B13" s="43">
        <f>B19</f>
        <v>4</v>
      </c>
      <c r="C13" s="35">
        <f>IF(B$11=0,0,B13/B$11)</f>
        <v>1</v>
      </c>
      <c r="E13" s="59" t="s">
        <v>75</v>
      </c>
      <c r="F13" s="56" t="s">
        <v>30</v>
      </c>
      <c r="G13" s="44">
        <v>0</v>
      </c>
      <c r="H13" s="129">
        <f>IF(B$15=0,0,G13/B$15)</f>
        <v>0</v>
      </c>
      <c r="I13" s="90">
        <v>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0</v>
      </c>
      <c r="C14" s="35">
        <f>IF(B$12=0,0,B14/B$12)</f>
        <v>0</v>
      </c>
      <c r="E14" s="59" t="s">
        <v>76</v>
      </c>
      <c r="F14" s="56" t="s">
        <v>31</v>
      </c>
      <c r="G14" s="44">
        <v>0</v>
      </c>
      <c r="H14" s="129">
        <f>IF(B$15=0,0,G14/B$15)</f>
        <v>0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</v>
      </c>
      <c r="C15" s="35">
        <f>IF(B$3=0,0,B15/B$3)</f>
        <v>0.66666666666666663</v>
      </c>
      <c r="E15" s="59" t="s">
        <v>77</v>
      </c>
      <c r="F15" s="56" t="s">
        <v>32</v>
      </c>
      <c r="G15" s="44">
        <v>0</v>
      </c>
      <c r="H15" s="129">
        <f>IF(B$15=0,0,G15/B$15)</f>
        <v>0</v>
      </c>
      <c r="I15" s="90">
        <v>5</v>
      </c>
      <c r="N15" s="110" t="s">
        <v>170</v>
      </c>
      <c r="O15" s="120">
        <f>IF(P15=0,0,Q15/P15)</f>
        <v>40.799999999999997</v>
      </c>
      <c r="P15" s="114">
        <v>1</v>
      </c>
      <c r="Q15" s="102">
        <v>40.799999999999997</v>
      </c>
    </row>
    <row r="16" spans="1:17" x14ac:dyDescent="0.45">
      <c r="A16" s="51" t="s">
        <v>13</v>
      </c>
      <c r="B16" s="44">
        <v>1</v>
      </c>
      <c r="C16" s="37">
        <f>IF(B$3=0,0,B16/B$3)</f>
        <v>0.16666666666666666</v>
      </c>
      <c r="E16" s="59" t="s">
        <v>78</v>
      </c>
      <c r="F16" s="56" t="s">
        <v>33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12.000000000000002</v>
      </c>
      <c r="P16" s="115">
        <v>1</v>
      </c>
      <c r="Q16" s="103">
        <v>12.000000000000002</v>
      </c>
    </row>
    <row r="17" spans="1:9" x14ac:dyDescent="0.45">
      <c r="A17" s="51" t="s">
        <v>12</v>
      </c>
      <c r="B17" s="44">
        <v>1</v>
      </c>
      <c r="C17" s="37">
        <f>IF(B$15=0,0,B17/B$15)</f>
        <v>0.25</v>
      </c>
      <c r="E17" s="59" t="s">
        <v>79</v>
      </c>
      <c r="F17" s="56" t="s">
        <v>34</v>
      </c>
      <c r="G17" s="44">
        <v>0</v>
      </c>
      <c r="H17" s="129">
        <f>IF(B$15=0,0,G17/B$15)</f>
        <v>0</v>
      </c>
      <c r="I17" s="90">
        <v>9</v>
      </c>
    </row>
    <row r="18" spans="1:9" x14ac:dyDescent="0.45">
      <c r="A18" s="51" t="s">
        <v>11</v>
      </c>
      <c r="B18" s="44">
        <v>3</v>
      </c>
      <c r="C18" s="37">
        <f>IF(B$15=0,0,B18/B$15)</f>
        <v>0.75</v>
      </c>
      <c r="E18" s="59" t="s">
        <v>80</v>
      </c>
      <c r="F18" s="56" t="s">
        <v>35</v>
      </c>
      <c r="G18" s="44">
        <v>0</v>
      </c>
      <c r="H18" s="129">
        <f>IF(B$15=0,0,G18/B$15)</f>
        <v>0</v>
      </c>
      <c r="I18" s="90">
        <v>1</v>
      </c>
    </row>
    <row r="19" spans="1:9" x14ac:dyDescent="0.45">
      <c r="A19" s="51" t="s">
        <v>195</v>
      </c>
      <c r="B19" s="44">
        <v>4</v>
      </c>
      <c r="C19" s="37">
        <f>IF(B$15=0,0,B19/B$15)</f>
        <v>1</v>
      </c>
      <c r="E19" s="59" t="s">
        <v>81</v>
      </c>
      <c r="F19" s="56" t="s">
        <v>36</v>
      </c>
      <c r="G19" s="44">
        <v>0</v>
      </c>
      <c r="H19" s="129">
        <f>IF(B$15=0,0,G19/B$15)</f>
        <v>0</v>
      </c>
      <c r="I19" s="90">
        <v>10</v>
      </c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56" t="s">
        <v>37</v>
      </c>
      <c r="G20" s="44">
        <v>0</v>
      </c>
      <c r="H20" s="129">
        <f>IF(B$15=0,0,G20/B$15)</f>
        <v>0</v>
      </c>
      <c r="I20" s="90">
        <v>1</v>
      </c>
    </row>
    <row r="21" spans="1:9" x14ac:dyDescent="0.45">
      <c r="A21" s="51" t="s">
        <v>194</v>
      </c>
      <c r="B21" s="44">
        <v>0</v>
      </c>
      <c r="C21" s="37">
        <f>IF(B$15=0,0,B21/B$15)</f>
        <v>0</v>
      </c>
      <c r="E21" s="59" t="s">
        <v>83</v>
      </c>
      <c r="F21" s="56" t="s">
        <v>38</v>
      </c>
      <c r="G21" s="44">
        <v>0</v>
      </c>
      <c r="H21" s="129">
        <f>IF(B$15=0,0,G21/B$15)</f>
        <v>0</v>
      </c>
      <c r="I21" s="90">
        <v>12</v>
      </c>
    </row>
    <row r="22" spans="1:9" x14ac:dyDescent="0.45">
      <c r="A22" s="51" t="s">
        <v>5</v>
      </c>
      <c r="B22" s="48">
        <f>IF(B$15=0,0,C22/B$15)</f>
        <v>3900</v>
      </c>
      <c r="C22" s="39">
        <v>15600</v>
      </c>
      <c r="E22" s="59" t="s">
        <v>84</v>
      </c>
      <c r="F22" s="56" t="s">
        <v>39</v>
      </c>
      <c r="G22" s="44">
        <v>0</v>
      </c>
      <c r="H22" s="129">
        <f>IF(B$15=0,0,G22/B$15)</f>
        <v>0</v>
      </c>
      <c r="I22" s="90">
        <v>6</v>
      </c>
    </row>
    <row r="23" spans="1:9" x14ac:dyDescent="0.45">
      <c r="A23" s="52" t="s">
        <v>177</v>
      </c>
      <c r="B23" s="136">
        <f>IF($B$15-B$14=0,0,C23/($B$15-B$14))</f>
        <v>3900</v>
      </c>
      <c r="C23" s="137">
        <v>15600</v>
      </c>
      <c r="E23" s="59" t="s">
        <v>85</v>
      </c>
      <c r="F23" s="56" t="s">
        <v>40</v>
      </c>
      <c r="G23" s="44">
        <v>0</v>
      </c>
      <c r="H23" s="129">
        <f>IF(B$15=0,0,G23/B$15)</f>
        <v>0</v>
      </c>
      <c r="I23" s="90">
        <v>6</v>
      </c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56" t="s">
        <v>41</v>
      </c>
      <c r="G24" s="44">
        <v>0</v>
      </c>
      <c r="H24" s="129">
        <f>IF(B$15=0,0,G24/B$15)</f>
        <v>0</v>
      </c>
      <c r="I24" s="90">
        <v>11</v>
      </c>
    </row>
    <row r="25" spans="1:9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87</v>
      </c>
      <c r="F25" s="56" t="s">
        <v>42</v>
      </c>
      <c r="G25" s="44">
        <v>0</v>
      </c>
      <c r="H25" s="129">
        <f>IF(B$15=0,0,G25/B$15)</f>
        <v>0</v>
      </c>
      <c r="I25" s="90">
        <v>4</v>
      </c>
    </row>
    <row r="26" spans="1:9" x14ac:dyDescent="0.45">
      <c r="A26" s="51" t="s">
        <v>164</v>
      </c>
      <c r="B26" s="44">
        <v>2</v>
      </c>
      <c r="C26" s="131">
        <v>1</v>
      </c>
      <c r="E26" s="59" t="s">
        <v>88</v>
      </c>
      <c r="F26" s="56" t="s">
        <v>43</v>
      </c>
      <c r="G26" s="44">
        <v>0</v>
      </c>
      <c r="H26" s="129">
        <f>IF(B$15=0,0,G26/B$15)</f>
        <v>0</v>
      </c>
      <c r="I26" s="90">
        <v>5</v>
      </c>
    </row>
    <row r="27" spans="1:9" x14ac:dyDescent="0.45">
      <c r="A27" s="51" t="s">
        <v>165</v>
      </c>
      <c r="B27" s="44">
        <v>4</v>
      </c>
      <c r="C27" s="131">
        <v>1</v>
      </c>
      <c r="E27" s="59" t="s">
        <v>89</v>
      </c>
      <c r="F27" s="56" t="s">
        <v>44</v>
      </c>
      <c r="G27" s="44">
        <v>0</v>
      </c>
      <c r="H27" s="129">
        <f>IF(B$15=0,0,G27/B$15)</f>
        <v>0</v>
      </c>
      <c r="I27" s="90">
        <v>12</v>
      </c>
    </row>
    <row r="28" spans="1:9" x14ac:dyDescent="0.45">
      <c r="A28" s="86" t="s">
        <v>138</v>
      </c>
      <c r="B28" s="152">
        <v>1</v>
      </c>
      <c r="C28" s="153"/>
      <c r="E28" s="59" t="s">
        <v>90</v>
      </c>
      <c r="F28" s="56" t="s">
        <v>45</v>
      </c>
      <c r="G28" s="44">
        <v>0</v>
      </c>
      <c r="H28" s="129">
        <f>IF(B$15=0,0,G28/B$15)</f>
        <v>0</v>
      </c>
      <c r="I28" s="90">
        <v>5</v>
      </c>
    </row>
    <row r="29" spans="1:9" x14ac:dyDescent="0.45">
      <c r="A29" s="54" t="s">
        <v>192</v>
      </c>
      <c r="B29" s="150">
        <v>42600</v>
      </c>
      <c r="C29" s="151"/>
      <c r="E29" s="59" t="s">
        <v>91</v>
      </c>
      <c r="F29" s="56" t="s">
        <v>46</v>
      </c>
      <c r="G29" s="44">
        <v>0</v>
      </c>
      <c r="H29" s="129">
        <f>IF(B$15=0,0,G29/B$15)</f>
        <v>0</v>
      </c>
      <c r="I29" s="90">
        <v>9</v>
      </c>
    </row>
    <row r="30" spans="1:9" x14ac:dyDescent="0.45">
      <c r="A30" s="53" t="s">
        <v>139</v>
      </c>
      <c r="B30" s="61">
        <v>0</v>
      </c>
      <c r="C30" s="40">
        <f>IF(B$3=0,0,B30/B$3)</f>
        <v>0</v>
      </c>
      <c r="E30" s="59" t="s">
        <v>92</v>
      </c>
      <c r="F30" s="56" t="s">
        <v>47</v>
      </c>
      <c r="G30" s="44">
        <v>0</v>
      </c>
      <c r="H30" s="129">
        <f>IF(B$15=0,0,G30/B$15)</f>
        <v>0</v>
      </c>
      <c r="I30" s="90">
        <v>6</v>
      </c>
    </row>
    <row r="31" spans="1:9" x14ac:dyDescent="0.45">
      <c r="E31" s="59" t="s">
        <v>93</v>
      </c>
      <c r="F31" s="56" t="s">
        <v>48</v>
      </c>
      <c r="G31" s="44">
        <v>0</v>
      </c>
      <c r="H31" s="129">
        <f>IF(B$15=0,0,G31/B$15)</f>
        <v>0</v>
      </c>
      <c r="I31" s="90">
        <v>5</v>
      </c>
    </row>
    <row r="32" spans="1:9" x14ac:dyDescent="0.45">
      <c r="A32" s="86" t="s">
        <v>183</v>
      </c>
      <c r="B32" s="148">
        <v>1</v>
      </c>
      <c r="C32" s="141">
        <f>IF(B$15=0,0,B32/B$15)</f>
        <v>0.25</v>
      </c>
      <c r="E32" s="59" t="s">
        <v>94</v>
      </c>
      <c r="F32" s="56" t="s">
        <v>49</v>
      </c>
      <c r="G32" s="44">
        <v>0</v>
      </c>
      <c r="H32" s="129">
        <f>IF(B$15=0,0,G32/B$15)</f>
        <v>0</v>
      </c>
      <c r="I32" s="90">
        <v>1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0.25</v>
      </c>
      <c r="E33" s="59" t="s">
        <v>95</v>
      </c>
      <c r="F33" s="56" t="s">
        <v>50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9">
        <v>1</v>
      </c>
      <c r="C34" s="37">
        <f>IF(B$15=0,0,B34/B$15)</f>
        <v>0.25</v>
      </c>
      <c r="E34" s="59" t="s">
        <v>96</v>
      </c>
      <c r="F34" s="56" t="s">
        <v>51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9">
        <v>1</v>
      </c>
      <c r="C35" s="37">
        <f t="shared" si="2"/>
        <v>0.25</v>
      </c>
      <c r="E35" s="59" t="s">
        <v>97</v>
      </c>
      <c r="F35" s="56" t="s">
        <v>52</v>
      </c>
      <c r="G35" s="44">
        <v>0</v>
      </c>
      <c r="H35" s="129">
        <f>IF(B$15=0,0,G35/B$15)</f>
        <v>0</v>
      </c>
      <c r="I35" s="90">
        <v>3</v>
      </c>
    </row>
    <row r="36" spans="1:9" x14ac:dyDescent="0.45">
      <c r="A36" s="51" t="s">
        <v>182</v>
      </c>
      <c r="B36" s="149">
        <v>0</v>
      </c>
      <c r="C36" s="37">
        <f t="shared" si="2"/>
        <v>0</v>
      </c>
      <c r="E36" s="59" t="s">
        <v>98</v>
      </c>
      <c r="F36" s="56" t="s">
        <v>53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9">
        <v>0</v>
      </c>
      <c r="C37" s="37">
        <f t="shared" si="2"/>
        <v>0</v>
      </c>
      <c r="E37" s="59" t="s">
        <v>99</v>
      </c>
      <c r="F37" s="56" t="s">
        <v>54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9">
        <v>0</v>
      </c>
      <c r="C38" s="37">
        <f t="shared" si="2"/>
        <v>0</v>
      </c>
      <c r="E38" s="59" t="s">
        <v>100</v>
      </c>
      <c r="F38" s="56" t="s">
        <v>55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9">
        <v>0</v>
      </c>
      <c r="C39" s="37">
        <f t="shared" si="2"/>
        <v>0</v>
      </c>
      <c r="E39" s="59" t="s">
        <v>101</v>
      </c>
      <c r="F39" s="56" t="s">
        <v>56</v>
      </c>
      <c r="G39" s="44">
        <v>0</v>
      </c>
      <c r="H39" s="129">
        <f>IF(B$15=0,0,G39/B$15)</f>
        <v>0</v>
      </c>
      <c r="I39" s="90">
        <v>3</v>
      </c>
    </row>
    <row r="40" spans="1:9" x14ac:dyDescent="0.45">
      <c r="A40" s="51" t="s">
        <v>187</v>
      </c>
      <c r="B40" s="149">
        <v>0</v>
      </c>
      <c r="C40" s="37">
        <f t="shared" si="2"/>
        <v>0</v>
      </c>
      <c r="E40" s="59" t="s">
        <v>102</v>
      </c>
      <c r="F40" s="56" t="s">
        <v>57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9">
        <v>0</v>
      </c>
      <c r="C41" s="37">
        <f t="shared" si="2"/>
        <v>0</v>
      </c>
      <c r="E41" s="59" t="s">
        <v>103</v>
      </c>
      <c r="F41" s="56" t="s">
        <v>58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9">
        <v>0</v>
      </c>
      <c r="C42" s="37">
        <f t="shared" si="2"/>
        <v>0</v>
      </c>
      <c r="E42" s="59" t="s">
        <v>104</v>
      </c>
      <c r="F42" s="56" t="s">
        <v>59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9">
        <v>0</v>
      </c>
      <c r="C43" s="37">
        <f t="shared" si="2"/>
        <v>0</v>
      </c>
      <c r="E43" s="59" t="s">
        <v>105</v>
      </c>
      <c r="F43" s="56" t="s">
        <v>112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106</v>
      </c>
      <c r="F44" s="56" t="s">
        <v>113</v>
      </c>
      <c r="G44" s="44">
        <v>0</v>
      </c>
      <c r="H44" s="129">
        <f>IF(B$15=0,0,G44/B$15)</f>
        <v>0</v>
      </c>
      <c r="I44" s="90">
        <v>3</v>
      </c>
    </row>
    <row r="45" spans="1:9" x14ac:dyDescent="0.45">
      <c r="E45" s="59" t="s">
        <v>107</v>
      </c>
      <c r="F45" s="56" t="s">
        <v>114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108</v>
      </c>
      <c r="F46" s="56" t="s">
        <v>60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109</v>
      </c>
      <c r="F47" s="56" t="s">
        <v>61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110</v>
      </c>
      <c r="F48" s="56" t="s">
        <v>62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111</v>
      </c>
      <c r="F49" s="56" t="s">
        <v>63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162</v>
      </c>
      <c r="F50" s="56" t="s">
        <v>163</v>
      </c>
      <c r="G50" s="44">
        <v>0</v>
      </c>
      <c r="H50" s="129">
        <f>IF(B$15=0,0,G50/B$15)</f>
        <v>0</v>
      </c>
      <c r="I50" s="90">
        <v>8</v>
      </c>
    </row>
    <row r="51" spans="5:9" x14ac:dyDescent="0.45">
      <c r="E51" s="132" t="s">
        <v>166</v>
      </c>
      <c r="F51" s="133" t="s">
        <v>167</v>
      </c>
      <c r="G51" s="45">
        <v>0</v>
      </c>
      <c r="H51" s="134">
        <f>IF(B$15=0,0,G51/B$15)</f>
        <v>0</v>
      </c>
      <c r="I51" s="135">
        <v>12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3CDC9-CF00-4A86-950D-740FA3027C9A}">
  <sheetPr codeName="Sheet28"/>
  <dimension ref="A1:Q4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DB93C-25E2-4961-994F-A36CE99A44AA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4AA1A-DF06-4A3B-81CD-10DB110FE139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0A651-F155-4F26-A5F2-8454E5EAD96C}">
  <sheetPr codeName="Sheet22"/>
  <dimension ref="A1:Q27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832D1-E5F9-4D57-AA9F-C483D2F1B5B1}">
  <sheetPr codeName="Sheet20"/>
  <dimension ref="A1:Q5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A109B-B247-41DB-B57D-6BDAED8046E3}">
  <sheetPr codeName="Sheet18"/>
  <dimension ref="A1:Q11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B1A2B-5670-475E-AAE3-2956C8A0D252}">
  <sheetPr codeName="Sheet16"/>
  <dimension ref="A1:Q10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CCE3D-1C44-4BEB-9DE9-9BF9D7BC5882}">
  <sheetPr codeName="Sheet14"/>
  <dimension ref="A1:Q8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D679A-D46F-4FBE-AAA0-4CCFB72495B5}">
  <sheetPr codeName="Sheet12"/>
  <dimension ref="A1:Q13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53233-0DBD-46B5-AF1F-AC99D8594D07}">
  <sheetPr codeName="Sheet10"/>
  <dimension ref="A1:Q14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4AFE1-70F0-4B53-8047-E4CAA74D512A}">
  <sheetPr codeName="Sheet8"/>
  <dimension ref="A1:Q6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9ADC5-47C2-40EC-BDC5-128888A11E22}">
  <sheetPr codeName="Sheet6"/>
  <dimension ref="A1:Q24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29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689</vt:i4>
      </vt:variant>
    </vt:vector>
  </HeadingPairs>
  <TitlesOfParts>
    <vt:vector size="73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2019-12-04T15:29:15Z</dcterms:modified>
</cp:coreProperties>
</file>