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F9D89D07-FF08-4AB4-81E1-2F655E4A007A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0" i="5835" l="1"/>
  <c r="O16" i="5843"/>
  <c r="O15" i="5843" l="1"/>
  <c r="O19" i="5851"/>
  <c r="O15" i="5841" l="1"/>
  <c r="O20" i="5847"/>
  <c r="O16" i="5851" l="1"/>
  <c r="O22" i="5841"/>
  <c r="O21" i="5835" l="1"/>
  <c r="O16" i="5837"/>
  <c r="O15" i="5847"/>
  <c r="O19" i="5847"/>
  <c r="O19" i="5845" l="1"/>
  <c r="O18" i="5849"/>
  <c r="O16" i="5839" l="1"/>
  <c r="O17" i="5845"/>
  <c r="O21" i="5847"/>
  <c r="O17" i="5847"/>
  <c r="O15" i="5835" l="1"/>
  <c r="O17" i="5849"/>
  <c r="O19" i="5849"/>
  <c r="O17" i="5841"/>
  <c r="O19" i="5839" l="1"/>
  <c r="O21" i="5843"/>
  <c r="O19" i="5843" l="1"/>
  <c r="O21" i="5837"/>
  <c r="O23" i="5847"/>
  <c r="O17" i="5851"/>
  <c r="O15" i="5851"/>
  <c r="O21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20" i="5845"/>
  <c r="O22" i="5845"/>
  <c r="O16" i="5835"/>
  <c r="O18" i="5839"/>
  <c r="O16" i="5841"/>
  <c r="O20" i="5841"/>
  <c r="O19" i="5835"/>
  <c r="O17" i="5839"/>
  <c r="O15" i="5837"/>
  <c r="O20" i="5849"/>
  <c r="O22" i="5849"/>
  <c r="O22" i="5843" l="1"/>
  <c r="O17" i="5843"/>
  <c r="O15" i="5849"/>
  <c r="O16" i="5849"/>
  <c r="C29" i="5849"/>
  <c r="B26" i="5849"/>
  <c r="B25" i="5849"/>
  <c r="C20" i="5849"/>
  <c r="B17" i="5849"/>
  <c r="H6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3" i="5849"/>
  <c r="H39" i="5849"/>
  <c r="H22" i="5849"/>
  <c r="H9" i="5849"/>
  <c r="H15" i="5849"/>
  <c r="H40" i="5849"/>
  <c r="H11" i="5849"/>
  <c r="C17" i="5849"/>
  <c r="H42" i="5849"/>
  <c r="C19" i="5849"/>
  <c r="H46" i="5849"/>
  <c r="H31" i="5849"/>
  <c r="H47" i="5849"/>
  <c r="H16" i="5849"/>
  <c r="H32" i="5849"/>
  <c r="H48" i="5849"/>
  <c r="H5" i="5849"/>
  <c r="H8" i="5849"/>
  <c r="H14" i="5849"/>
  <c r="H50" i="5849"/>
  <c r="H2" i="5849"/>
  <c r="H17" i="5849"/>
  <c r="H7" i="5849"/>
  <c r="H24" i="5849"/>
  <c r="H34" i="5849"/>
  <c r="H3" i="5849"/>
  <c r="H10" i="5849"/>
  <c r="B24" i="5849"/>
  <c r="H38" i="5849"/>
  <c r="H52" i="5849"/>
  <c r="H27" i="5849"/>
  <c r="H19" i="5849"/>
  <c r="H33" i="5849"/>
  <c r="H41" i="5849"/>
  <c r="H49" i="5849"/>
  <c r="H25" i="5849"/>
  <c r="H28" i="5849"/>
  <c r="H29" i="5849"/>
  <c r="H35" i="5849"/>
  <c r="H43" i="5849"/>
  <c r="H51" i="5849"/>
  <c r="H21" i="5849"/>
  <c r="H23" i="5849"/>
  <c r="C18" i="5849"/>
  <c r="B23" i="5849"/>
  <c r="H12" i="5849"/>
  <c r="H36" i="5849"/>
  <c r="H44" i="5849"/>
  <c r="H20" i="5849"/>
  <c r="H26" i="5849"/>
  <c r="H18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20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18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2" i="5833"/>
  <c r="H44" i="5841" l="1"/>
  <c r="H21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0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2" i="5845"/>
  <c r="H3" i="5845"/>
  <c r="H14" i="5845"/>
  <c r="H23" i="5845"/>
  <c r="H2" i="5845"/>
  <c r="H8" i="5845"/>
  <c r="H19" i="5845"/>
  <c r="H28" i="5845"/>
  <c r="H24" i="5845"/>
  <c r="H51" i="5845"/>
  <c r="B24" i="5845"/>
  <c r="H36" i="5845"/>
  <c r="H52" i="5845"/>
  <c r="H47" i="5845"/>
  <c r="H30" i="5845"/>
  <c r="H22" i="5845"/>
  <c r="H34" i="5845"/>
  <c r="H25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1" i="5845"/>
  <c r="H29" i="5845"/>
  <c r="H21" i="5845"/>
  <c r="H32" i="5845"/>
  <c r="H38" i="5845"/>
  <c r="H45" i="5845"/>
  <c r="H19" i="5843"/>
  <c r="B23" i="5843"/>
  <c r="H2" i="5843"/>
  <c r="H44" i="5843"/>
  <c r="H17" i="5843"/>
  <c r="H11" i="5843"/>
  <c r="C18" i="5843"/>
  <c r="H48" i="5843"/>
  <c r="C17" i="5843"/>
  <c r="H5" i="5843"/>
  <c r="H12" i="5843"/>
  <c r="H8" i="5843"/>
  <c r="H4" i="5843"/>
  <c r="H3" i="5843"/>
  <c r="H29" i="5843"/>
  <c r="H36" i="5843"/>
  <c r="H26" i="5843"/>
  <c r="H40" i="5843"/>
  <c r="H22" i="5843"/>
  <c r="H23" i="5843"/>
  <c r="H37" i="5843"/>
  <c r="H45" i="5843"/>
  <c r="H6" i="5843"/>
  <c r="H27" i="5843"/>
  <c r="C19" i="5843"/>
  <c r="B24" i="5843"/>
  <c r="H38" i="5843"/>
  <c r="H46" i="5843"/>
  <c r="H52" i="5843"/>
  <c r="H10" i="5843"/>
  <c r="H7" i="5843"/>
  <c r="H13" i="5843"/>
  <c r="H25" i="5843"/>
  <c r="H15" i="5843"/>
  <c r="H16" i="5843"/>
  <c r="H18" i="5843"/>
  <c r="H39" i="5843"/>
  <c r="H47" i="5843"/>
  <c r="H30" i="5843"/>
  <c r="H32" i="5843"/>
  <c r="H24" i="5843"/>
  <c r="H41" i="5843"/>
  <c r="H49" i="5843"/>
  <c r="H9" i="5843"/>
  <c r="H20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4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8" i="5835"/>
  <c r="O17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7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2" i="5839"/>
  <c r="H40" i="5839"/>
  <c r="H48" i="5839"/>
  <c r="H31" i="5839"/>
  <c r="H41" i="5839"/>
  <c r="H9" i="5839"/>
  <c r="H20" i="5839"/>
  <c r="H50" i="5839"/>
  <c r="H18" i="5839"/>
  <c r="H21" i="5839"/>
  <c r="H32" i="5839"/>
  <c r="H23" i="5839"/>
  <c r="H43" i="5839"/>
  <c r="H51" i="5839"/>
  <c r="H29" i="5839"/>
  <c r="H34" i="5839"/>
  <c r="H49" i="5839"/>
  <c r="H14" i="5839"/>
  <c r="H35" i="5839"/>
  <c r="H42" i="5839"/>
  <c r="H7" i="5839"/>
  <c r="H25" i="5839"/>
  <c r="H26" i="5839"/>
  <c r="C18" i="5839"/>
  <c r="B23" i="5839"/>
  <c r="H8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4" i="5837"/>
  <c r="H27" i="5837"/>
  <c r="H39" i="5837"/>
  <c r="H47" i="5837"/>
  <c r="H16" i="5837"/>
  <c r="H21" i="5837"/>
  <c r="H40" i="5837"/>
  <c r="H48" i="5837"/>
  <c r="H33" i="5837"/>
  <c r="H34" i="5837"/>
  <c r="H49" i="5837"/>
  <c r="H8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9" i="5837"/>
  <c r="H36" i="5837"/>
  <c r="H44" i="5837"/>
  <c r="B24" i="5835"/>
  <c r="H20" i="5835"/>
  <c r="H12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0" i="5835"/>
  <c r="H26" i="5835"/>
  <c r="H4" i="5835"/>
  <c r="C17" i="5835"/>
  <c r="H6" i="5835"/>
  <c r="H5" i="5835"/>
  <c r="C19" i="5835"/>
  <c r="H32" i="5835"/>
  <c r="H52" i="5835"/>
  <c r="H18" i="5835"/>
  <c r="H14" i="5835"/>
  <c r="H15" i="5835"/>
  <c r="H16" i="5835"/>
  <c r="H38" i="5835"/>
  <c r="H46" i="5835"/>
  <c r="H33" i="5835"/>
  <c r="H41" i="5835"/>
  <c r="H49" i="5835"/>
  <c r="H30" i="5835"/>
  <c r="H48" i="5835"/>
  <c r="H19" i="5835"/>
  <c r="H11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6" i="5833"/>
  <c r="H13" i="5833"/>
  <c r="H3" i="5833"/>
  <c r="H8" i="5833"/>
  <c r="H15" i="5833"/>
  <c r="H2" i="5833"/>
  <c r="C17" i="5833"/>
  <c r="H22" i="5833"/>
  <c r="H19" i="5833"/>
  <c r="H41" i="5833"/>
  <c r="H20" i="5833"/>
  <c r="H48" i="5833"/>
  <c r="H23" i="5833"/>
  <c r="H28" i="5833"/>
  <c r="H43" i="5833"/>
  <c r="H51" i="5833"/>
  <c r="H7" i="5833"/>
  <c r="H24" i="5833"/>
  <c r="H33" i="5833"/>
  <c r="C18" i="5833"/>
  <c r="B23" i="5833"/>
  <c r="H9" i="5833"/>
  <c r="H37" i="5833"/>
  <c r="H44" i="5833"/>
  <c r="H16" i="5833"/>
  <c r="H4" i="5833"/>
  <c r="H11" i="5833"/>
  <c r="H34" i="5833"/>
  <c r="H27" i="5833"/>
  <c r="H30" i="5833"/>
  <c r="H38" i="5833"/>
  <c r="H45" i="5833"/>
  <c r="H5" i="5833"/>
  <c r="H25" i="5833"/>
  <c r="C19" i="5833"/>
  <c r="B24" i="5833"/>
  <c r="H39" i="5833"/>
  <c r="H46" i="5833"/>
  <c r="H52" i="5833"/>
  <c r="H10" i="5833"/>
  <c r="H6" i="5833"/>
  <c r="H12" i="5833"/>
  <c r="H21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<sst xmlns="http://schemas.openxmlformats.org/spreadsheetml/2006/main" count="2815" uniqueCount="237">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</sst>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全体!$K$2:$K$485</c:f>
              <c:numCache>
                <c:formatCode>General</c:formatCode>
                <c:ptCount val="4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</c:numCache>
            </c:numRef>
          </c:xVal>
          <c:yVal>
            <c:numRef>
              <c:f>全体!$L$2:$L$485</c:f>
              <c:numCache>
                <c:formatCode>\+0.0;\-0.0;\±0</c:formatCode>
                <c:ptCount val="48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-20.833333333333332</c:v>
                </c:pt>
                <c:pt idx="1">
                  <c:v>6.4102564102564106</c:v>
                </c:pt>
                <c:pt idx="2">
                  <c:v>-17.897091722595079</c:v>
                </c:pt>
                <c:pt idx="3">
                  <c:v>14.184397163120567</c:v>
                </c:pt>
                <c:pt idx="4">
                  <c:v>10.1010101010101</c:v>
                </c:pt>
                <c:pt idx="5">
                  <c:v>14.880952380952381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1477.2727272727273</c:v>
                </c:pt>
                <c:pt idx="1">
                  <c:v>-646.51162790697674</c:v>
                </c:pt>
                <c:pt idx="2">
                  <c:v>-751.21951219512198</c:v>
                </c:pt>
                <c:pt idx="3">
                  <c:v>-1558.5365853658536</c:v>
                </c:pt>
                <c:pt idx="4">
                  <c:v>-85.365853658536579</c:v>
                </c:pt>
                <c:pt idx="5">
                  <c:v>-1571.4285714285713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だいち!$L$2:$L$98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758.9473684210526</c:v>
                </c:pt>
                <c:pt idx="1">
                  <c:v>-86.956521739130437</c:v>
                </c:pt>
                <c:pt idx="2">
                  <c:v>-136.66666666666666</c:v>
                </c:pt>
                <c:pt idx="3">
                  <c:v>-270.73170731707319</c:v>
                </c:pt>
                <c:pt idx="4">
                  <c:v>2202.5641025641025</c:v>
                </c:pt>
                <c:pt idx="5">
                  <c:v>3040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ただ!$L$2:$L$90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-1863.2183908045977</c:v>
                </c:pt>
                <c:pt idx="1">
                  <c:v>1677.6470588235295</c:v>
                </c:pt>
                <c:pt idx="2">
                  <c:v>383.95061728395063</c:v>
                </c:pt>
                <c:pt idx="3">
                  <c:v>2367.1052631578946</c:v>
                </c:pt>
                <c:pt idx="4">
                  <c:v>100</c:v>
                </c:pt>
                <c:pt idx="5">
                  <c:v>1586.6666666666667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りくと!$L$2:$L$63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-358.33333333333331</c:v>
                </c:pt>
                <c:pt idx="1">
                  <c:v>-550</c:v>
                </c:pt>
                <c:pt idx="2">
                  <c:v>735.08771929824559</c:v>
                </c:pt>
                <c:pt idx="3">
                  <c:v>-1635.7142857142858</c:v>
                </c:pt>
                <c:pt idx="4">
                  <c:v>-3603.7735849056603</c:v>
                </c:pt>
                <c:pt idx="5">
                  <c:v>-1310.6382978723404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れんたろう!$L$2:$L$57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2305.4545454545455</c:v>
                </c:pt>
                <c:pt idx="1">
                  <c:v>-2184.9056603773583</c:v>
                </c:pt>
                <c:pt idx="2">
                  <c:v>2293.8775510204082</c:v>
                </c:pt>
                <c:pt idx="3">
                  <c:v>2506.521739130435</c:v>
                </c:pt>
                <c:pt idx="4">
                  <c:v>-934.88372093023258</c:v>
                </c:pt>
                <c:pt idx="5">
                  <c:v>-388.88888888888891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1089.6103896103896</c:v>
                </c:pt>
                <c:pt idx="1">
                  <c:v>831.08108108108104</c:v>
                </c:pt>
                <c:pt idx="2">
                  <c:v>-1097.1014492753623</c:v>
                </c:pt>
                <c:pt idx="3">
                  <c:v>323.8095238095238</c:v>
                </c:pt>
                <c:pt idx="4">
                  <c:v>-540.35087719298247</c:v>
                </c:pt>
                <c:pt idx="5">
                  <c:v>-1202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ぱぱ2!$B$3:$B$25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90798504668055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ぱぱ2!$C$3:$C$25</c:f>
              <c:numCache>
                <c:formatCode>\+0.0;\-0.0;\±0</c:formatCode>
                <c:ptCount val="23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  <c:pt idx="12">
                  <c:v>6.5083333333333337</c:v>
                </c:pt>
                <c:pt idx="13">
                  <c:v>5.9</c:v>
                </c:pt>
                <c:pt idx="14">
                  <c:v>3.5642857142857145</c:v>
                </c:pt>
                <c:pt idx="15">
                  <c:v>4.9133333333333331</c:v>
                </c:pt>
                <c:pt idx="16">
                  <c:v>1.7687500000000003</c:v>
                </c:pt>
                <c:pt idx="17">
                  <c:v>2.9294117647058826</c:v>
                </c:pt>
                <c:pt idx="18">
                  <c:v>1.3722222222222225</c:v>
                </c:pt>
                <c:pt idx="19">
                  <c:v>0.45789473684210541</c:v>
                </c:pt>
                <c:pt idx="20">
                  <c:v>-1.65</c:v>
                </c:pt>
                <c:pt idx="21">
                  <c:v>-1.6857142857142857</c:v>
                </c:pt>
                <c:pt idx="22">
                  <c:v>-0.61363636363636365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91066349235094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ぱぱ2!$D$3:$D$25</c:f>
              <c:numCache>
                <c:formatCode>0.00\ "位"</c:formatCode>
                <c:ptCount val="23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1.8461538461538463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1.9375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ぱぱ2!$E$3:$E$25</c:f>
              <c:numCache>
                <c:formatCode>0.0%</c:formatCode>
                <c:ptCount val="2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ぱぱ2!$F$3:$F$25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ぱぱ2!$G$3:$G$25</c:f>
              <c:numCache>
                <c:formatCode>0.0%</c:formatCode>
                <c:ptCount val="23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  <c:pt idx="12">
                  <c:v>0.30172413793103448</c:v>
                </c:pt>
                <c:pt idx="13">
                  <c:v>0.30158730158730157</c:v>
                </c:pt>
                <c:pt idx="14">
                  <c:v>0.28873239436619719</c:v>
                </c:pt>
                <c:pt idx="15">
                  <c:v>0.29530201342281881</c:v>
                </c:pt>
                <c:pt idx="16">
                  <c:v>0.29220779220779219</c:v>
                </c:pt>
                <c:pt idx="17">
                  <c:v>0.30625000000000002</c:v>
                </c:pt>
                <c:pt idx="18">
                  <c:v>0.29166666666666669</c:v>
                </c:pt>
                <c:pt idx="19">
                  <c:v>0.28409090909090912</c:v>
                </c:pt>
                <c:pt idx="20">
                  <c:v>0.27173913043478259</c:v>
                </c:pt>
                <c:pt idx="21">
                  <c:v>0.27368421052631581</c:v>
                </c:pt>
                <c:pt idx="22">
                  <c:v>0.27941176470588236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41117764471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ぱぱ2!$H$3:$H$25</c:f>
              <c:numCache>
                <c:formatCode>0.0%</c:formatCode>
                <c:ptCount val="23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  <c:pt idx="12">
                  <c:v>0.1206896551724138</c:v>
                </c:pt>
                <c:pt idx="13">
                  <c:v>0.12698412698412698</c:v>
                </c:pt>
                <c:pt idx="14">
                  <c:v>0.13380281690140844</c:v>
                </c:pt>
                <c:pt idx="15">
                  <c:v>0.13422818791946309</c:v>
                </c:pt>
                <c:pt idx="16">
                  <c:v>0.12987012987012986</c:v>
                </c:pt>
                <c:pt idx="17">
                  <c:v>0.125</c:v>
                </c:pt>
                <c:pt idx="18">
                  <c:v>0.125</c:v>
                </c:pt>
                <c:pt idx="19">
                  <c:v>0.13636363636363635</c:v>
                </c:pt>
                <c:pt idx="20">
                  <c:v>0.14673913043478262</c:v>
                </c:pt>
                <c:pt idx="21">
                  <c:v>0.14736842105263157</c:v>
                </c:pt>
                <c:pt idx="22">
                  <c:v>0.15196078431372548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92215568862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ぱぱ2!$I$3:$I$25</c:f>
              <c:numCache>
                <c:formatCode>0</c:formatCode>
                <c:ptCount val="23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  <c:pt idx="12">
                  <c:v>7777.1428571428569</c:v>
                </c:pt>
                <c:pt idx="13">
                  <c:v>7607.894736842105</c:v>
                </c:pt>
                <c:pt idx="14">
                  <c:v>7782.9268292682927</c:v>
                </c:pt>
                <c:pt idx="15">
                  <c:v>7729.545454545455</c:v>
                </c:pt>
                <c:pt idx="16">
                  <c:v>7646.666666666667</c:v>
                </c:pt>
                <c:pt idx="17">
                  <c:v>7440.8163265306121</c:v>
                </c:pt>
                <c:pt idx="18">
                  <c:v>7440.8163265306121</c:v>
                </c:pt>
                <c:pt idx="19">
                  <c:v>7652</c:v>
                </c:pt>
                <c:pt idx="20">
                  <c:v>7652</c:v>
                </c:pt>
                <c:pt idx="21">
                  <c:v>7742.3076923076924</c:v>
                </c:pt>
                <c:pt idx="22">
                  <c:v>8115.7894736842109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24.57627118644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ぱぱ2!$J$3:$J$25</c:f>
              <c:numCache>
                <c:formatCode>0</c:formatCode>
                <c:ptCount val="23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  <c:pt idx="12">
                  <c:v>-6007.1428571428569</c:v>
                </c:pt>
                <c:pt idx="13">
                  <c:v>-6118.75</c:v>
                </c:pt>
                <c:pt idx="14">
                  <c:v>-6800</c:v>
                </c:pt>
                <c:pt idx="15">
                  <c:v>-6845</c:v>
                </c:pt>
                <c:pt idx="16">
                  <c:v>-6845</c:v>
                </c:pt>
                <c:pt idx="17">
                  <c:v>-6845</c:v>
                </c:pt>
                <c:pt idx="18">
                  <c:v>-6885.7142857142853</c:v>
                </c:pt>
                <c:pt idx="19">
                  <c:v>-6650</c:v>
                </c:pt>
                <c:pt idx="20">
                  <c:v>-6748.1481481481478</c:v>
                </c:pt>
                <c:pt idx="21">
                  <c:v>-6646.4285714285716</c:v>
                </c:pt>
                <c:pt idx="22">
                  <c:v>-7151.6129032258068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0.56316590563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ぱぱ2!$K$3:$K$25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0973084886128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ぱぱ2!$L$3:$L$25</c:f>
              <c:numCache>
                <c:formatCode>0.0%</c:formatCode>
                <c:ptCount val="2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0973084886128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ぱぱ2!$M$3:$M$25</c:f>
              <c:numCache>
                <c:formatCode>0.0%</c:formatCode>
                <c:ptCount val="23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  <c:pt idx="12">
                  <c:v>0.26724137931034481</c:v>
                </c:pt>
                <c:pt idx="13">
                  <c:v>0.26984126984126983</c:v>
                </c:pt>
                <c:pt idx="14">
                  <c:v>0.28169014084507044</c:v>
                </c:pt>
                <c:pt idx="15">
                  <c:v>0.28187919463087246</c:v>
                </c:pt>
                <c:pt idx="16">
                  <c:v>0.29220779220779219</c:v>
                </c:pt>
                <c:pt idx="17">
                  <c:v>0.28749999999999998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0.27717391304347827</c:v>
                </c:pt>
                <c:pt idx="21">
                  <c:v>0.27368421052631581</c:v>
                </c:pt>
                <c:pt idx="22">
                  <c:v>0.26470588235294118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4990019960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ぱぱ2!$N$3:$N$25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  <c:pt idx="12">
                  <c:v>0.13793103448275862</c:v>
                </c:pt>
                <c:pt idx="13">
                  <c:v>0.15079365079365079</c:v>
                </c:pt>
                <c:pt idx="14">
                  <c:v>0.15492957746478872</c:v>
                </c:pt>
                <c:pt idx="15">
                  <c:v>0.1476510067114094</c:v>
                </c:pt>
                <c:pt idx="16">
                  <c:v>0.14285714285714285</c:v>
                </c:pt>
                <c:pt idx="17">
                  <c:v>0.14374999999999999</c:v>
                </c:pt>
                <c:pt idx="18">
                  <c:v>0.13690476190476192</c:v>
                </c:pt>
                <c:pt idx="19">
                  <c:v>0.13068181818181818</c:v>
                </c:pt>
                <c:pt idx="20">
                  <c:v>0.14130434782608695</c:v>
                </c:pt>
                <c:pt idx="21">
                  <c:v>0.14210526315789473</c:v>
                </c:pt>
                <c:pt idx="22">
                  <c:v>0.15686274509803921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35928143712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ぱぱ2!$O$3:$O$25</c:f>
              <c:numCache>
                <c:formatCode>0.0%</c:formatCode>
                <c:ptCount val="23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  <c:pt idx="12">
                  <c:v>0.67741935483870963</c:v>
                </c:pt>
                <c:pt idx="13">
                  <c:v>0.67647058823529416</c:v>
                </c:pt>
                <c:pt idx="14">
                  <c:v>0.625</c:v>
                </c:pt>
                <c:pt idx="15">
                  <c:v>0.6428571428571429</c:v>
                </c:pt>
                <c:pt idx="16">
                  <c:v>0.62222222222222223</c:v>
                </c:pt>
                <c:pt idx="17">
                  <c:v>0.63043478260869568</c:v>
                </c:pt>
                <c:pt idx="18">
                  <c:v>0.63043478260869568</c:v>
                </c:pt>
                <c:pt idx="19">
                  <c:v>0.61224489795918369</c:v>
                </c:pt>
                <c:pt idx="20">
                  <c:v>0.58823529411764708</c:v>
                </c:pt>
                <c:pt idx="21">
                  <c:v>0.59615384615384615</c:v>
                </c:pt>
                <c:pt idx="22">
                  <c:v>0.61111111111111116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274900398406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ぱぱ2!$P$3:$P$25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  <c:pt idx="12">
                  <c:v>0.3125</c:v>
                </c:pt>
                <c:pt idx="13">
                  <c:v>0.31578947368421051</c:v>
                </c:pt>
                <c:pt idx="14">
                  <c:v>0.31818181818181818</c:v>
                </c:pt>
                <c:pt idx="15">
                  <c:v>0.31818181818181818</c:v>
                </c:pt>
                <c:pt idx="16">
                  <c:v>0.31818181818181818</c:v>
                </c:pt>
                <c:pt idx="17">
                  <c:v>0.34782608695652173</c:v>
                </c:pt>
                <c:pt idx="18">
                  <c:v>0.34782608695652173</c:v>
                </c:pt>
                <c:pt idx="19">
                  <c:v>0.34782608695652173</c:v>
                </c:pt>
                <c:pt idx="20">
                  <c:v>0.30769230769230771</c:v>
                </c:pt>
                <c:pt idx="21">
                  <c:v>0.33333333333333331</c:v>
                </c:pt>
                <c:pt idx="2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827956989247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ぱぱ2!$Q$3:$Q$25</c:f>
              <c:numCache>
                <c:formatCode>0.0%</c:formatCode>
                <c:ptCount val="23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  <c:pt idx="12">
                  <c:v>0.51428571428571423</c:v>
                </c:pt>
                <c:pt idx="13">
                  <c:v>0.5</c:v>
                </c:pt>
                <c:pt idx="14">
                  <c:v>0.53658536585365857</c:v>
                </c:pt>
                <c:pt idx="15">
                  <c:v>0.52272727272727271</c:v>
                </c:pt>
                <c:pt idx="16">
                  <c:v>0.53333333333333333</c:v>
                </c:pt>
                <c:pt idx="17">
                  <c:v>0.55102040816326525</c:v>
                </c:pt>
                <c:pt idx="18">
                  <c:v>0.55102040816326525</c:v>
                </c:pt>
                <c:pt idx="19">
                  <c:v>0.56000000000000005</c:v>
                </c:pt>
                <c:pt idx="20">
                  <c:v>0.56000000000000005</c:v>
                </c:pt>
                <c:pt idx="21">
                  <c:v>0.53846153846153844</c:v>
                </c:pt>
                <c:pt idx="22">
                  <c:v>0.54385964912280704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288135593220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5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43735.624351851853</v>
      </c>
      <c r="C3" s="28" t="s">
        <v>128</v>
      </c>
    </row>
    <row r="4" spans="1:12" x14ac:dyDescent="0.4">
      <c r="A4" s="28" t="s">
        <v>180</v>
      </c>
      <c r="B4" s="29">
        <v>43735.624351851853</v>
      </c>
      <c r="C4" s="28" t="s">
        <v>128</v>
      </c>
    </row>
    <row r="5" spans="1:12" x14ac:dyDescent="0.4">
      <c r="A5" s="28" t="s">
        <v>183</v>
      </c>
      <c r="B5" s="29">
        <v>43736.046932870369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43737.059895833336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43739.000706018516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43741.94121527778</v>
      </c>
      <c r="C8" s="28" t="s">
        <v>128</v>
      </c>
    </row>
    <row r="9" spans="1:12" x14ac:dyDescent="0.4">
      <c r="A9" s="28" t="s">
        <v>194</v>
      </c>
      <c r="B9" s="29">
        <v>43739.660624999997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43740.021921296298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43741.94121527778</v>
      </c>
      <c r="C11" s="28" t="s">
        <v>128</v>
      </c>
    </row>
    <row r="12" spans="1:12" x14ac:dyDescent="0.4">
      <c r="A12" s="28" t="s">
        <v>199</v>
      </c>
      <c r="B12" s="29">
        <v>43744.941354166665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43743.104375000003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43743.786203703705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43745.531828703701</v>
      </c>
      <c r="C18" s="28" t="s">
        <v>128</v>
      </c>
    </row>
    <row r="19" spans="1:12" x14ac:dyDescent="0.4">
      <c r="A19" s="28" t="s">
        <v>206</v>
      </c>
      <c r="B19" s="29">
        <v>43748.019456018519</v>
      </c>
      <c r="C19" s="28" t="s">
        <v>128</v>
      </c>
    </row>
    <row r="20" spans="1:12" x14ac:dyDescent="0.4">
      <c r="A20" s="28" t="s">
        <v>207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43747.024814814817</v>
      </c>
      <c r="C21" s="28" t="s">
        <v>128</v>
      </c>
    </row>
    <row r="22" spans="1:12" x14ac:dyDescent="0.4">
      <c r="A22" s="28" t="s">
        <v>209</v>
      </c>
      <c r="B22" s="29">
        <v>43748.018101851849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43748.021782407406</v>
      </c>
      <c r="C23" s="28" t="s">
        <v>128</v>
      </c>
    </row>
    <row r="24" spans="1:12" x14ac:dyDescent="0.4">
      <c r="A24" s="28" t="s">
        <v>211</v>
      </c>
      <c r="B24" s="29">
        <v>43750.503020833334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43753.56559027778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43753.56559027778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43753.56559027778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43762.714826388888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43762.714826388888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43762.714826388888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43762.714826388888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43762.714826388888</v>
      </c>
      <c r="C32" s="28" t="s">
        <v>128</v>
      </c>
      <c r="D32" s="28" t="s">
        <v>129</v>
      </c>
      <c r="E32" s="28" t="s">
        <v>184</v>
      </c>
    </row>
    <row r="33" spans="1:8" x14ac:dyDescent="0.4">
      <c r="A33" s="28" t="s">
        <v>224</v>
      </c>
      <c r="B33" s="29">
        <v>43762.714826388888</v>
      </c>
      <c r="C33" s="28" t="s">
        <v>128</v>
      </c>
      <c r="D33" s="28" t="s">
        <v>129</v>
      </c>
      <c r="E33" s="28" t="s">
        <v>184</v>
      </c>
    </row>
    <row r="34" spans="1:8" x14ac:dyDescent="0.4">
      <c r="A34" s="28" t="s">
        <v>225</v>
      </c>
      <c r="B34" s="29">
        <v>43762.714826388888</v>
      </c>
      <c r="C34" s="28" t="s">
        <v>128</v>
      </c>
      <c r="D34" s="28" t="s">
        <v>129</v>
      </c>
      <c r="E34" s="28" t="s">
        <v>184</v>
      </c>
    </row>
    <row r="35" spans="1:8" x14ac:dyDescent="0.4">
      <c r="A35" s="28" t="s">
        <v>226</v>
      </c>
      <c r="B35" s="29">
        <v>43762.714826388888</v>
      </c>
      <c r="C35" s="28" t="s">
        <v>128</v>
      </c>
      <c r="D35" s="28" t="s">
        <v>129</v>
      </c>
      <c r="E35" s="28" t="s">
        <v>184</v>
      </c>
    </row>
    <row r="36" spans="1:8" x14ac:dyDescent="0.4">
      <c r="A36" s="28" t="s">
        <v>227</v>
      </c>
      <c r="B36" s="29">
        <v>43763.368263888886</v>
      </c>
      <c r="C36" s="28" t="s">
        <v>128</v>
      </c>
      <c r="D36" s="28" t="s">
        <v>129</v>
      </c>
    </row>
    <row r="37" spans="1:8" x14ac:dyDescent="0.4">
      <c r="A37" s="28" t="s">
        <v>228</v>
      </c>
      <c r="B37" s="29">
        <v>43763.368263888886</v>
      </c>
      <c r="C37" s="28" t="s">
        <v>128</v>
      </c>
      <c r="D37" s="28" t="s">
        <v>129</v>
      </c>
      <c r="E37" s="28" t="s">
        <v>184</v>
      </c>
    </row>
    <row r="38" spans="1:8" x14ac:dyDescent="0.4">
      <c r="A38" s="28" t="s">
        <v>229</v>
      </c>
      <c r="B38" s="29">
        <v>43764.955659722225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8" x14ac:dyDescent="0.4">
      <c r="A39" s="28" t="s">
        <v>230</v>
      </c>
      <c r="B39" s="29">
        <v>43765.064502314817</v>
      </c>
      <c r="C39" s="28" t="s">
        <v>128</v>
      </c>
      <c r="D39" s="28" t="s">
        <v>129</v>
      </c>
      <c r="E39" s="28" t="s">
        <v>184</v>
      </c>
    </row>
    <row r="40" spans="1:8" x14ac:dyDescent="0.4">
      <c r="A40" s="28" t="s">
        <v>231</v>
      </c>
      <c r="B40" s="29">
        <v>43767.744305555556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8" x14ac:dyDescent="0.4">
      <c r="A41" s="28" t="s">
        <v>232</v>
      </c>
      <c r="B41" s="29">
        <v>43767.744305555556</v>
      </c>
      <c r="C41" s="28" t="s">
        <v>128</v>
      </c>
    </row>
    <row r="42" spans="1:8" x14ac:dyDescent="0.4">
      <c r="A42" s="28" t="s">
        <v>233</v>
      </c>
      <c r="B42" s="29">
        <v>43767.744305555556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8" x14ac:dyDescent="0.4">
      <c r="A43" s="28" t="s">
        <v>234</v>
      </c>
      <c r="B43" s="29">
        <v>43768.428414351853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8" x14ac:dyDescent="0.4">
      <c r="A44" s="28" t="s">
        <v>235</v>
      </c>
      <c r="B44" s="29">
        <v>43769.787280092591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8" x14ac:dyDescent="0.4">
      <c r="A45" s="28" t="s">
        <v>236</v>
      </c>
      <c r="B45" s="29">
        <v>43769.894143518519</v>
      </c>
      <c r="C45" s="28" t="s">
        <v>128</v>
      </c>
      <c r="D45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483</v>
      </c>
    </row>
    <row r="2" spans="1:2" x14ac:dyDescent="0.4">
      <c r="A2" t="s">
        <v>166</v>
      </c>
      <c r="B2">
        <v>44</v>
      </c>
    </row>
    <row r="3" spans="1:2" x14ac:dyDescent="0.4">
      <c r="A3" t="s">
        <v>126</v>
      </c>
      <c r="B3">
        <v>96</v>
      </c>
    </row>
    <row r="4" spans="1:2" x14ac:dyDescent="0.4">
      <c r="A4" t="s">
        <v>127</v>
      </c>
      <c r="B4">
        <v>88</v>
      </c>
    </row>
    <row r="5" spans="1:2" x14ac:dyDescent="0.4">
      <c r="A5" t="s">
        <v>179</v>
      </c>
      <c r="B5">
        <v>61</v>
      </c>
    </row>
    <row r="6" spans="1:2" x14ac:dyDescent="0.4">
      <c r="A6" t="s">
        <v>177</v>
      </c>
      <c r="B6">
        <v>55</v>
      </c>
    </row>
    <row r="7" spans="1:2" x14ac:dyDescent="0.4">
      <c r="A7" t="s">
        <v>178</v>
      </c>
      <c r="B7">
        <v>77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0.98953962659129713</v>
      </c>
      <c r="G2" s="161"/>
      <c r="H2" s="160">
        <v>0.92051617106879424</v>
      </c>
      <c r="I2" s="161"/>
      <c r="J2" s="160">
        <v>0.91818875285958446</v>
      </c>
      <c r="K2" s="161"/>
      <c r="L2" s="160">
        <v>0.90676497595747652</v>
      </c>
      <c r="M2" s="161"/>
      <c r="N2" s="160">
        <v>0.45507584431108394</v>
      </c>
      <c r="O2" s="161"/>
      <c r="P2" s="160">
        <v>0.4005122562304731</v>
      </c>
      <c r="Q2" s="161"/>
      <c r="R2" s="160">
        <v>-5.6630895639310154E-2</v>
      </c>
      <c r="S2" s="161"/>
      <c r="T2" s="160">
        <v>0.33357061204914934</v>
      </c>
      <c r="U2" s="161"/>
      <c r="V2" s="160">
        <v>0.73742745090339712</v>
      </c>
      <c r="W2" s="161"/>
      <c r="X2" s="160">
        <v>0.47027267038107806</v>
      </c>
      <c r="Y2" s="161"/>
      <c r="Z2" s="160">
        <v>0.17501284089972496</v>
      </c>
      <c r="AA2" s="161"/>
      <c r="AB2" s="160">
        <v>7.9942040386524874E-2</v>
      </c>
      <c r="AC2" s="161"/>
      <c r="AD2" s="160">
        <v>0.51427394075342436</v>
      </c>
      <c r="AE2" s="161"/>
      <c r="AF2" s="160">
        <v>-0.2240322323995303</v>
      </c>
      <c r="AG2" s="161"/>
      <c r="AH2" s="160">
        <v>0.52848460445026735</v>
      </c>
      <c r="AI2" s="161"/>
    </row>
    <row r="3" spans="1:35" x14ac:dyDescent="0.4">
      <c r="A3" s="70">
        <v>1</v>
      </c>
      <c r="B3" s="71" t="s">
        <v>126</v>
      </c>
      <c r="C3" s="72">
        <v>638.79999999999995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10435.658914728681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0.2</v>
      </c>
      <c r="X3" s="73" t="s">
        <v>177</v>
      </c>
      <c r="Y3" s="76">
        <v>0.32118451025056949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352.29999999999984</v>
      </c>
      <c r="D4" s="81" t="s">
        <v>126</v>
      </c>
      <c r="E4" s="93">
        <v>6.6541666666666659</v>
      </c>
      <c r="F4" s="81" t="s">
        <v>126</v>
      </c>
      <c r="G4" s="82">
        <v>1.78125</v>
      </c>
      <c r="H4" s="81" t="s">
        <v>126</v>
      </c>
      <c r="I4" s="83">
        <v>0.46875</v>
      </c>
      <c r="J4" s="81" t="s">
        <v>126</v>
      </c>
      <c r="K4" s="83">
        <v>0.25</v>
      </c>
      <c r="L4" s="81" t="s">
        <v>126</v>
      </c>
      <c r="M4" s="84">
        <v>0.33506493506493507</v>
      </c>
      <c r="N4" s="81" t="s">
        <v>178</v>
      </c>
      <c r="O4" s="84">
        <v>0.13452188006482982</v>
      </c>
      <c r="P4" s="81" t="s">
        <v>127</v>
      </c>
      <c r="Q4" s="85">
        <v>8657.8059071729949</v>
      </c>
      <c r="R4" s="81" t="s">
        <v>181</v>
      </c>
      <c r="S4" s="85">
        <v>-7151.6129032258068</v>
      </c>
      <c r="T4" s="81" t="s">
        <v>222</v>
      </c>
      <c r="U4" s="83">
        <v>0</v>
      </c>
      <c r="V4" s="81" t="s">
        <v>195</v>
      </c>
      <c r="W4" s="83">
        <v>0.14285714285714285</v>
      </c>
      <c r="X4" s="81" t="s">
        <v>179</v>
      </c>
      <c r="Y4" s="84">
        <v>0.28488372093023256</v>
      </c>
      <c r="Z4" s="81" t="s">
        <v>222</v>
      </c>
      <c r="AA4" s="84">
        <v>0.33333333333333331</v>
      </c>
      <c r="AB4" s="81" t="s">
        <v>126</v>
      </c>
      <c r="AC4" s="84">
        <v>0.59330143540669855</v>
      </c>
      <c r="AD4" s="81" t="s">
        <v>126</v>
      </c>
      <c r="AE4" s="84">
        <v>0.47976878612716761</v>
      </c>
      <c r="AF4" s="81" t="s">
        <v>177</v>
      </c>
      <c r="AG4" s="84">
        <v>0.49612403100775193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259.10000000000008</v>
      </c>
      <c r="D5" s="81" t="s">
        <v>177</v>
      </c>
      <c r="E5" s="93">
        <v>4.7109090909090927</v>
      </c>
      <c r="F5" s="81" t="s">
        <v>127</v>
      </c>
      <c r="G5" s="82">
        <v>1.8977272727272727</v>
      </c>
      <c r="H5" s="81" t="s">
        <v>195</v>
      </c>
      <c r="I5" s="83">
        <v>0.42857142857142855</v>
      </c>
      <c r="J5" s="81" t="s">
        <v>178</v>
      </c>
      <c r="K5" s="83">
        <v>0.2857142857142857</v>
      </c>
      <c r="L5" s="81" t="s">
        <v>127</v>
      </c>
      <c r="M5" s="84">
        <v>0.31515957446808512</v>
      </c>
      <c r="N5" s="81" t="s">
        <v>166</v>
      </c>
      <c r="O5" s="84">
        <v>0.13838120104438642</v>
      </c>
      <c r="P5" s="81" t="s">
        <v>178</v>
      </c>
      <c r="Q5" s="85">
        <v>8409.2485549132944</v>
      </c>
      <c r="R5" s="81" t="s">
        <v>179</v>
      </c>
      <c r="S5" s="85">
        <v>-7655.0458715596333</v>
      </c>
      <c r="T5" s="81" t="s">
        <v>126</v>
      </c>
      <c r="U5" s="83">
        <v>5.2083333333333336E-2</v>
      </c>
      <c r="V5" s="81" t="s">
        <v>127</v>
      </c>
      <c r="W5" s="83">
        <v>0.11363636363636363</v>
      </c>
      <c r="X5" s="81" t="s">
        <v>126</v>
      </c>
      <c r="Y5" s="84">
        <v>0.27142857142857141</v>
      </c>
      <c r="Z5" s="81" t="s">
        <v>127</v>
      </c>
      <c r="AA5" s="84">
        <v>0.30718085106382981</v>
      </c>
      <c r="AB5" s="81" t="s">
        <v>179</v>
      </c>
      <c r="AC5" s="84">
        <v>0.59183673469387754</v>
      </c>
      <c r="AD5" s="81" t="s">
        <v>177</v>
      </c>
      <c r="AE5" s="84">
        <v>0.46250000000000002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4.0034090909090887</v>
      </c>
      <c r="F6" s="81" t="s">
        <v>177</v>
      </c>
      <c r="G6" s="82">
        <v>1.9090909090909092</v>
      </c>
      <c r="H6" s="81" t="s">
        <v>177</v>
      </c>
      <c r="I6" s="83">
        <v>0.41818181818181815</v>
      </c>
      <c r="J6" s="81" t="s">
        <v>127</v>
      </c>
      <c r="K6" s="83">
        <v>0.29545454545454547</v>
      </c>
      <c r="L6" s="81" t="s">
        <v>143</v>
      </c>
      <c r="M6" s="84">
        <v>0.29441117764471059</v>
      </c>
      <c r="N6" s="81" t="s">
        <v>126</v>
      </c>
      <c r="O6" s="84">
        <v>0.13896103896103895</v>
      </c>
      <c r="P6" s="81" t="s">
        <v>143</v>
      </c>
      <c r="Q6" s="85">
        <v>8324.5762711864409</v>
      </c>
      <c r="R6" s="81" t="s">
        <v>126</v>
      </c>
      <c r="S6" s="85">
        <v>-7726.1682242990655</v>
      </c>
      <c r="T6" s="81" t="s">
        <v>178</v>
      </c>
      <c r="U6" s="83">
        <v>7.792207792207792E-2</v>
      </c>
      <c r="V6" s="81" t="s">
        <v>126</v>
      </c>
      <c r="W6" s="83">
        <v>9.375E-2</v>
      </c>
      <c r="X6" s="81" t="s">
        <v>222</v>
      </c>
      <c r="Y6" s="84">
        <v>0.26666666666666666</v>
      </c>
      <c r="Z6" s="81" t="s">
        <v>178</v>
      </c>
      <c r="AA6" s="84">
        <v>0.23824959481361427</v>
      </c>
      <c r="AB6" s="81" t="s">
        <v>178</v>
      </c>
      <c r="AC6" s="84">
        <v>0.57051282051282048</v>
      </c>
      <c r="AD6" s="81" t="s">
        <v>143</v>
      </c>
      <c r="AE6" s="84">
        <v>0.41182795698924729</v>
      </c>
      <c r="AF6" s="81" t="s">
        <v>179</v>
      </c>
      <c r="AG6" s="84">
        <v>0.4513888888888889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143</v>
      </c>
      <c r="C7" s="80">
        <v>-3.907985046680551E-14</v>
      </c>
      <c r="D7" s="81" t="s">
        <v>143</v>
      </c>
      <c r="E7" s="93">
        <v>-8.0910663492350949E-17</v>
      </c>
      <c r="F7" s="81" t="s">
        <v>181</v>
      </c>
      <c r="G7" s="82">
        <v>2</v>
      </c>
      <c r="H7" s="81" t="s">
        <v>127</v>
      </c>
      <c r="I7" s="83">
        <v>0.39772727272727271</v>
      </c>
      <c r="J7" s="81" t="s">
        <v>177</v>
      </c>
      <c r="K7" s="83">
        <v>0.32727272727272727</v>
      </c>
      <c r="L7" s="81" t="s">
        <v>177</v>
      </c>
      <c r="M7" s="84">
        <v>0.29384965831435078</v>
      </c>
      <c r="N7" s="81" t="s">
        <v>181</v>
      </c>
      <c r="O7" s="84">
        <v>0.15196078431372548</v>
      </c>
      <c r="P7" s="81" t="s">
        <v>181</v>
      </c>
      <c r="Q7" s="85">
        <v>8115.7894736842109</v>
      </c>
      <c r="R7" s="81" t="s">
        <v>143</v>
      </c>
      <c r="S7" s="85">
        <v>-7790.5631659056316</v>
      </c>
      <c r="T7" s="81" t="s">
        <v>179</v>
      </c>
      <c r="U7" s="83">
        <v>8.1967213114754092E-2</v>
      </c>
      <c r="V7" s="81" t="s">
        <v>143</v>
      </c>
      <c r="W7" s="83">
        <v>9.1097308488612833E-2</v>
      </c>
      <c r="X7" s="81" t="s">
        <v>181</v>
      </c>
      <c r="Y7" s="84">
        <v>0.26470588235294118</v>
      </c>
      <c r="Z7" s="81" t="s">
        <v>143</v>
      </c>
      <c r="AA7" s="84">
        <v>0.23203592814371257</v>
      </c>
      <c r="AB7" s="81" t="s">
        <v>143</v>
      </c>
      <c r="AC7" s="84">
        <v>0.5627490039840638</v>
      </c>
      <c r="AD7" s="81" t="s">
        <v>178</v>
      </c>
      <c r="AE7" s="84">
        <v>0.40136054421768708</v>
      </c>
      <c r="AF7" s="81" t="s">
        <v>178</v>
      </c>
      <c r="AG7" s="84">
        <v>0.45086705202312138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181</v>
      </c>
      <c r="I8" s="83">
        <v>0.36363636363636365</v>
      </c>
      <c r="J8" s="81" t="s">
        <v>143</v>
      </c>
      <c r="K8" s="83">
        <v>0.33333333333333331</v>
      </c>
      <c r="L8" s="81" t="s">
        <v>178</v>
      </c>
      <c r="M8" s="84">
        <v>0.28038897893030795</v>
      </c>
      <c r="N8" s="81" t="s">
        <v>177</v>
      </c>
      <c r="O8" s="84">
        <v>0.16173120728929385</v>
      </c>
      <c r="P8" s="81" t="s">
        <v>179</v>
      </c>
      <c r="Q8" s="85">
        <v>8055.5555555555557</v>
      </c>
      <c r="R8" s="81" t="s">
        <v>127</v>
      </c>
      <c r="S8" s="85">
        <v>-7837.7622377622374</v>
      </c>
      <c r="T8" s="81" t="s">
        <v>177</v>
      </c>
      <c r="U8" s="83">
        <v>9.0909090909090912E-2</v>
      </c>
      <c r="V8" s="81" t="s">
        <v>181</v>
      </c>
      <c r="W8" s="83">
        <v>9.0909090909090912E-2</v>
      </c>
      <c r="X8" s="81" t="s">
        <v>178</v>
      </c>
      <c r="Y8" s="84">
        <v>0.25283630470016205</v>
      </c>
      <c r="Z8" s="81" t="s">
        <v>166</v>
      </c>
      <c r="AA8" s="84">
        <v>0.22715404699738903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0.43728813559322033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-87.299999999999969</v>
      </c>
      <c r="D9" s="81" t="s">
        <v>178</v>
      </c>
      <c r="E9" s="93">
        <v>-1.1337662337662333</v>
      </c>
      <c r="F9" s="81" t="s">
        <v>166</v>
      </c>
      <c r="G9" s="82">
        <v>2.0681818181818183</v>
      </c>
      <c r="H9" s="81" t="s">
        <v>166</v>
      </c>
      <c r="I9" s="83">
        <v>0.34090909090909088</v>
      </c>
      <c r="J9" s="81" t="s">
        <v>181</v>
      </c>
      <c r="K9" s="83">
        <v>0.36363636363636365</v>
      </c>
      <c r="L9" s="81" t="s">
        <v>181</v>
      </c>
      <c r="M9" s="84">
        <v>0.27941176470588236</v>
      </c>
      <c r="N9" s="81" t="s">
        <v>143</v>
      </c>
      <c r="O9" s="84">
        <v>0.16392215568862276</v>
      </c>
      <c r="P9" s="81" t="s">
        <v>182</v>
      </c>
      <c r="Q9" s="85">
        <v>7901.7241379310344</v>
      </c>
      <c r="R9" s="81" t="s">
        <v>222</v>
      </c>
      <c r="S9" s="85">
        <v>-8000</v>
      </c>
      <c r="T9" s="81" t="s">
        <v>181</v>
      </c>
      <c r="U9" s="83">
        <v>9.0909090909090912E-2</v>
      </c>
      <c r="V9" s="81" t="s">
        <v>178</v>
      </c>
      <c r="W9" s="83">
        <v>7.792207792207792E-2</v>
      </c>
      <c r="X9" s="81" t="s">
        <v>143</v>
      </c>
      <c r="Y9" s="84">
        <v>0.250499001996008</v>
      </c>
      <c r="Z9" s="81" t="s">
        <v>126</v>
      </c>
      <c r="AA9" s="84">
        <v>0.22467532467532467</v>
      </c>
      <c r="AB9" s="81" t="s">
        <v>195</v>
      </c>
      <c r="AC9" s="84">
        <v>0.53333333333333333</v>
      </c>
      <c r="AD9" s="81" t="s">
        <v>179</v>
      </c>
      <c r="AE9" s="84">
        <v>0.38775510204081631</v>
      </c>
      <c r="AF9" s="81" t="s">
        <v>126</v>
      </c>
      <c r="AG9" s="84">
        <v>0.4263565891472868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-3.2750000000000012</v>
      </c>
      <c r="F10" s="81" t="s">
        <v>178</v>
      </c>
      <c r="G10" s="82">
        <v>2.0779220779220777</v>
      </c>
      <c r="H10" s="81" t="s">
        <v>143</v>
      </c>
      <c r="I10" s="83">
        <v>0.33333333333333331</v>
      </c>
      <c r="J10" s="81" t="s">
        <v>179</v>
      </c>
      <c r="K10" s="83">
        <v>0.39344262295081966</v>
      </c>
      <c r="L10" s="81" t="s">
        <v>179</v>
      </c>
      <c r="M10" s="84">
        <v>0.27906976744186046</v>
      </c>
      <c r="N10" s="81" t="s">
        <v>182</v>
      </c>
      <c r="O10" s="84">
        <v>0.188</v>
      </c>
      <c r="P10" s="81" t="s">
        <v>126</v>
      </c>
      <c r="Q10" s="85">
        <v>7760.4651162790697</v>
      </c>
      <c r="R10" s="81" t="s">
        <v>178</v>
      </c>
      <c r="S10" s="85">
        <v>-8059.0361445783128</v>
      </c>
      <c r="T10" s="81" t="s">
        <v>143</v>
      </c>
      <c r="U10" s="83">
        <v>9.1097308488612833E-2</v>
      </c>
      <c r="V10" s="81" t="s">
        <v>166</v>
      </c>
      <c r="W10" s="83">
        <v>4.5454545454545456E-2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127</v>
      </c>
      <c r="AC10" s="84">
        <v>0.53216374269005851</v>
      </c>
      <c r="AD10" s="81" t="s">
        <v>127</v>
      </c>
      <c r="AE10" s="84">
        <v>0.38528138528138528</v>
      </c>
      <c r="AF10" s="81" t="s">
        <v>166</v>
      </c>
      <c r="AG10" s="84">
        <v>0.41176470588235292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-144.10000000000005</v>
      </c>
      <c r="D11" s="81" t="s">
        <v>179</v>
      </c>
      <c r="E11" s="93">
        <v>-7.4360655737704908</v>
      </c>
      <c r="F11" s="81" t="s">
        <v>195</v>
      </c>
      <c r="G11" s="82">
        <v>2.1428571428571428</v>
      </c>
      <c r="H11" s="81" t="s">
        <v>178</v>
      </c>
      <c r="I11" s="83">
        <v>0.20779220779220781</v>
      </c>
      <c r="J11" s="81" t="s">
        <v>166</v>
      </c>
      <c r="K11" s="83">
        <v>0.40909090909090912</v>
      </c>
      <c r="L11" s="81" t="s">
        <v>166</v>
      </c>
      <c r="M11" s="84">
        <v>0.26631853785900783</v>
      </c>
      <c r="N11" s="81" t="s">
        <v>127</v>
      </c>
      <c r="O11" s="84">
        <v>0.1901595744680851</v>
      </c>
      <c r="P11" s="81" t="s">
        <v>195</v>
      </c>
      <c r="Q11" s="85">
        <v>7473.333333333333</v>
      </c>
      <c r="R11" s="81" t="s">
        <v>182</v>
      </c>
      <c r="S11" s="85">
        <v>-8059.5744680851067</v>
      </c>
      <c r="T11" s="81" t="s">
        <v>127</v>
      </c>
      <c r="U11" s="83">
        <v>0.13636363636363635</v>
      </c>
      <c r="V11" s="81" t="s">
        <v>179</v>
      </c>
      <c r="W11" s="83">
        <v>3.2786885245901641E-2</v>
      </c>
      <c r="X11" s="81" t="s">
        <v>127</v>
      </c>
      <c r="Y11" s="84">
        <v>0.22739361702127658</v>
      </c>
      <c r="Z11" s="81" t="s">
        <v>179</v>
      </c>
      <c r="AA11" s="84">
        <v>0.18992248062015504</v>
      </c>
      <c r="AB11" s="81" t="s">
        <v>177</v>
      </c>
      <c r="AC11" s="84">
        <v>0.53191489361702127</v>
      </c>
      <c r="AD11" s="81" t="s">
        <v>181</v>
      </c>
      <c r="AE11" s="84">
        <v>0.375</v>
      </c>
      <c r="AF11" s="81" t="s">
        <v>127</v>
      </c>
      <c r="AG11" s="84">
        <v>0.38396624472573837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-453.59999999999997</v>
      </c>
      <c r="D12" s="81" t="s">
        <v>195</v>
      </c>
      <c r="E12" s="93">
        <v>-14.971428571428573</v>
      </c>
      <c r="F12" s="81" t="s">
        <v>179</v>
      </c>
      <c r="G12" s="82">
        <v>2.1967213114754101</v>
      </c>
      <c r="H12" s="81" t="s">
        <v>179</v>
      </c>
      <c r="I12" s="83">
        <v>0.19672131147540983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177</v>
      </c>
      <c r="S12" s="85">
        <v>-8325.352112676057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0.18223234624145787</v>
      </c>
      <c r="AB12" s="81" t="s">
        <v>166</v>
      </c>
      <c r="AC12" s="84">
        <v>0.50847457627118642</v>
      </c>
      <c r="AD12" s="81" t="s">
        <v>166</v>
      </c>
      <c r="AE12" s="84">
        <v>0.36781609195402298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0.21124031007751937</v>
      </c>
      <c r="P13" s="81" t="s">
        <v>166</v>
      </c>
      <c r="Q13" s="85">
        <v>7090.1960784313724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0.15404699738903394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8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483</v>
      </c>
      <c r="C2" s="149"/>
      <c r="E2" s="58" t="s">
        <v>66</v>
      </c>
      <c r="F2" s="55" t="s">
        <v>22</v>
      </c>
      <c r="G2" s="43">
        <v>923</v>
      </c>
      <c r="H2" s="128">
        <f>IF(B$17=0,0,G2/B$17)</f>
        <v>0.78220338983050852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-20.833333333333332</v>
      </c>
      <c r="P2" s="114">
        <v>480</v>
      </c>
      <c r="Q2" s="98">
        <v>-10000</v>
      </c>
    </row>
    <row r="3" spans="1:17" x14ac:dyDescent="0.4">
      <c r="A3" s="51" t="s">
        <v>8</v>
      </c>
      <c r="B3" s="150">
        <v>4008</v>
      </c>
      <c r="C3" s="151"/>
      <c r="E3" s="59" t="s">
        <v>72</v>
      </c>
      <c r="F3" s="56" t="s">
        <v>27</v>
      </c>
      <c r="G3" s="44">
        <v>643</v>
      </c>
      <c r="H3" s="129">
        <f>IF(B$17=0,0,G3/B$17)</f>
        <v>0.54491525423728815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6.4102564102564106</v>
      </c>
      <c r="P3" s="115">
        <v>468</v>
      </c>
      <c r="Q3" s="99">
        <v>3000</v>
      </c>
    </row>
    <row r="4" spans="1:17" x14ac:dyDescent="0.4">
      <c r="A4" s="51" t="s">
        <v>6</v>
      </c>
      <c r="B4" s="152">
        <v>-3.907985046680551E-14</v>
      </c>
      <c r="C4" s="153"/>
      <c r="E4" s="59" t="s">
        <v>64</v>
      </c>
      <c r="F4" s="56" t="s">
        <v>20</v>
      </c>
      <c r="G4" s="44">
        <v>542</v>
      </c>
      <c r="H4" s="129">
        <f>IF(B$17=0,0,G4/B$17)</f>
        <v>0.45932203389830506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-17.897091722595079</v>
      </c>
      <c r="P4" s="115">
        <v>447</v>
      </c>
      <c r="Q4" s="99">
        <v>-8000</v>
      </c>
    </row>
    <row r="5" spans="1:17" x14ac:dyDescent="0.4">
      <c r="A5" s="51" t="s">
        <v>7</v>
      </c>
      <c r="B5" s="154">
        <f>IF(B$2=0,0,B$4/B$2)</f>
        <v>-8.0910663492350949E-17</v>
      </c>
      <c r="C5" s="155"/>
      <c r="E5" s="59" t="s">
        <v>171</v>
      </c>
      <c r="F5" s="56" t="s">
        <v>172</v>
      </c>
      <c r="G5" s="44">
        <v>465</v>
      </c>
      <c r="H5" s="129">
        <f>IF(B$17=0,0,G5/B$17)</f>
        <v>0.3940677966101695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14.184397163120567</v>
      </c>
      <c r="P5" s="115">
        <v>423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370</v>
      </c>
      <c r="H6" s="129">
        <f>IF(B$17=0,0,G6/B$17)</f>
        <v>0.3135593220338983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10.1010101010101</v>
      </c>
      <c r="P6" s="115">
        <v>396</v>
      </c>
      <c r="Q6" s="99">
        <v>4000</v>
      </c>
    </row>
    <row r="7" spans="1:17" x14ac:dyDescent="0.4">
      <c r="A7" s="51" t="s">
        <v>2</v>
      </c>
      <c r="B7" s="44">
        <v>161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342</v>
      </c>
      <c r="H7" s="129">
        <f>IF(B$17=0,0,G7/B$17)</f>
        <v>0.28983050847457625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14.880952380952381</v>
      </c>
      <c r="P7" s="116">
        <v>336</v>
      </c>
      <c r="Q7" s="100">
        <v>5000</v>
      </c>
    </row>
    <row r="8" spans="1:17" x14ac:dyDescent="0.4">
      <c r="A8" s="51" t="s">
        <v>3</v>
      </c>
      <c r="B8" s="44">
        <v>161</v>
      </c>
      <c r="C8" s="37">
        <f t="shared" si="1"/>
        <v>0.33333333333333331</v>
      </c>
      <c r="E8" s="59" t="s">
        <v>69</v>
      </c>
      <c r="F8" s="56" t="s">
        <v>24</v>
      </c>
      <c r="G8" s="44">
        <v>184</v>
      </c>
      <c r="H8" s="129">
        <f>IF(B$17=0,0,G8/B$17)</f>
        <v>0.15593220338983052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161</v>
      </c>
      <c r="C9" s="38">
        <f t="shared" si="1"/>
        <v>0.33333333333333331</v>
      </c>
      <c r="E9" s="59" t="s">
        <v>89</v>
      </c>
      <c r="F9" s="56" t="s">
        <v>44</v>
      </c>
      <c r="G9" s="44">
        <v>158</v>
      </c>
      <c r="H9" s="129">
        <f>IF(B$17=0,0,G9/B$17)</f>
        <v>0.13389830508474576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44</v>
      </c>
      <c r="C10" s="38">
        <f t="shared" si="1"/>
        <v>9.1097308488612833E-2</v>
      </c>
      <c r="E10" s="59" t="s">
        <v>65</v>
      </c>
      <c r="F10" s="56" t="s">
        <v>21</v>
      </c>
      <c r="G10" s="44">
        <v>120</v>
      </c>
      <c r="H10" s="129">
        <f>IF(B$17=0,0,G10/B$17)</f>
        <v>0.10169491525423729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-0.24223602484472084</v>
      </c>
      <c r="P10" s="114">
        <v>161</v>
      </c>
      <c r="Q10" s="102">
        <v>-39.000000000000057</v>
      </c>
    </row>
    <row r="11" spans="1:17" x14ac:dyDescent="0.4">
      <c r="A11" s="52" t="s">
        <v>138</v>
      </c>
      <c r="B11" s="45">
        <v>44</v>
      </c>
      <c r="C11" s="38">
        <f t="shared" si="1"/>
        <v>9.1097308488612833E-2</v>
      </c>
      <c r="E11" s="59" t="s">
        <v>70</v>
      </c>
      <c r="F11" s="56" t="s">
        <v>25</v>
      </c>
      <c r="G11" s="44">
        <v>110</v>
      </c>
      <c r="H11" s="129">
        <f>IF(B$17=0,0,G11/B$17)</f>
        <v>9.3220338983050849E-2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1.7919254658385089</v>
      </c>
      <c r="P11" s="115">
        <v>161</v>
      </c>
      <c r="Q11" s="103">
        <v>288.49999999999994</v>
      </c>
    </row>
    <row r="12" spans="1:17" x14ac:dyDescent="0.4">
      <c r="A12" s="53" t="s">
        <v>158</v>
      </c>
      <c r="B12" s="46">
        <v>49</v>
      </c>
      <c r="C12" s="40">
        <f t="shared" si="1"/>
        <v>0.10144927536231885</v>
      </c>
      <c r="E12" s="59" t="s">
        <v>71</v>
      </c>
      <c r="F12" s="56" t="s">
        <v>26</v>
      </c>
      <c r="G12" s="44">
        <v>93</v>
      </c>
      <c r="H12" s="129">
        <f>IF(B$17=0,0,G12/B$17)</f>
        <v>7.8813559322033905E-2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-1.5496894409937896</v>
      </c>
      <c r="P12" s="116">
        <v>161</v>
      </c>
      <c r="Q12" s="104">
        <v>-249.50000000000011</v>
      </c>
    </row>
    <row r="13" spans="1:17" x14ac:dyDescent="0.4">
      <c r="A13" s="54" t="s">
        <v>121</v>
      </c>
      <c r="B13" s="47">
        <v>1004</v>
      </c>
      <c r="C13" s="42">
        <f>IF(B$3=0,0,B13/B$3)</f>
        <v>0.250499001996008</v>
      </c>
      <c r="E13" s="59" t="s">
        <v>83</v>
      </c>
      <c r="F13" s="56" t="s">
        <v>38</v>
      </c>
      <c r="G13" s="44">
        <v>65</v>
      </c>
      <c r="H13" s="129">
        <f>IF(B$17=0,0,G13/B$17)</f>
        <v>5.5084745762711863E-2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930</v>
      </c>
      <c r="C14" s="37">
        <f>IF(B$3=0,0,B14/B$3)</f>
        <v>0.23203592814371257</v>
      </c>
      <c r="E14" s="59" t="s">
        <v>86</v>
      </c>
      <c r="F14" s="56" t="s">
        <v>41</v>
      </c>
      <c r="G14" s="44">
        <v>53</v>
      </c>
      <c r="H14" s="129">
        <f>IF(B$17=0,0,G14/B$17)</f>
        <v>4.4915254237288135E-2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565</v>
      </c>
      <c r="C15" s="35">
        <f>IF(B$13=0,0,B15/B$13)</f>
        <v>0.5627490039840638</v>
      </c>
      <c r="E15" s="59" t="s">
        <v>78</v>
      </c>
      <c r="F15" s="56" t="s">
        <v>33</v>
      </c>
      <c r="G15" s="44">
        <v>30</v>
      </c>
      <c r="H15" s="129">
        <f>IF(B$17=0,0,G15/B$17)</f>
        <v>2.5423728813559324E-2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383</v>
      </c>
      <c r="C16" s="35">
        <f>IF(B$14=0,0,B16/B$14)</f>
        <v>0.41182795698924729</v>
      </c>
      <c r="E16" s="59" t="s">
        <v>167</v>
      </c>
      <c r="F16" s="56" t="s">
        <v>168</v>
      </c>
      <c r="G16" s="44">
        <v>28</v>
      </c>
      <c r="H16" s="129">
        <f>IF(B$17=0,0,G16/B$17)</f>
        <v>2.3728813559322035E-2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1180</v>
      </c>
      <c r="C17" s="35">
        <f>IF(B$3=0,0,B17/B$3)</f>
        <v>0.29441117764471059</v>
      </c>
      <c r="E17" s="59" t="s">
        <v>81</v>
      </c>
      <c r="F17" s="56" t="s">
        <v>36</v>
      </c>
      <c r="G17" s="44">
        <v>22</v>
      </c>
      <c r="H17" s="129">
        <f>IF(B$17=0,0,G17/B$17)</f>
        <v>1.864406779661017E-2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11.154098360655739</v>
      </c>
      <c r="P17" s="115">
        <v>122</v>
      </c>
      <c r="Q17" s="103">
        <v>1360.8000000000002</v>
      </c>
    </row>
    <row r="18" spans="1:17" x14ac:dyDescent="0.4">
      <c r="A18" s="51" t="s">
        <v>12</v>
      </c>
      <c r="B18" s="44">
        <v>516</v>
      </c>
      <c r="C18" s="37">
        <f>IF(B$17=0,0,B18/B$17)</f>
        <v>0.43728813559322033</v>
      </c>
      <c r="E18" s="59" t="s">
        <v>91</v>
      </c>
      <c r="F18" s="56" t="s">
        <v>46</v>
      </c>
      <c r="G18" s="44">
        <v>16</v>
      </c>
      <c r="H18" s="129">
        <f>IF(B$17=0,0,G18/B$17)</f>
        <v>1.3559322033898305E-2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4.9124999999999979</v>
      </c>
      <c r="P18" s="115">
        <v>88</v>
      </c>
      <c r="Q18" s="103">
        <v>432.29999999999978</v>
      </c>
    </row>
    <row r="19" spans="1:17" x14ac:dyDescent="0.4">
      <c r="A19" s="51" t="s">
        <v>11</v>
      </c>
      <c r="B19" s="44">
        <v>664</v>
      </c>
      <c r="C19" s="37">
        <f>IF(B$17=0,0,B19/B$17)</f>
        <v>0.56271186440677967</v>
      </c>
      <c r="E19" s="59" t="s">
        <v>79</v>
      </c>
      <c r="F19" s="56" t="s">
        <v>34</v>
      </c>
      <c r="G19" s="44">
        <v>15</v>
      </c>
      <c r="H19" s="129">
        <f>IF(B$17=0,0,G19/B$17)</f>
        <v>1.2711864406779662E-2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1.7006493506493501</v>
      </c>
      <c r="P19" s="115">
        <v>154</v>
      </c>
      <c r="Q19" s="103">
        <v>261.89999999999992</v>
      </c>
    </row>
    <row r="20" spans="1:17" x14ac:dyDescent="0.4">
      <c r="A20" s="51" t="s">
        <v>13</v>
      </c>
      <c r="B20" s="44">
        <v>657</v>
      </c>
      <c r="C20" s="37">
        <f>IF(B$3=0,0,B20/B$3)</f>
        <v>0.16392215568862276</v>
      </c>
      <c r="E20" s="59" t="s">
        <v>75</v>
      </c>
      <c r="F20" s="56" t="s">
        <v>30</v>
      </c>
      <c r="G20" s="44">
        <v>8</v>
      </c>
      <c r="H20" s="129">
        <f>IF(B$17=0,0,G20/B$17)</f>
        <v>6.7796610169491523E-3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74</v>
      </c>
      <c r="F21" s="56" t="s">
        <v>29</v>
      </c>
      <c r="G21" s="44">
        <v>6</v>
      </c>
      <c r="H21" s="129">
        <f>IF(B$17=0,0,G21/B$17)</f>
        <v>5.084745762711864E-3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-6.0051136363636433</v>
      </c>
      <c r="P21" s="115">
        <v>176</v>
      </c>
      <c r="Q21" s="103">
        <v>-1056.9000000000012</v>
      </c>
    </row>
    <row r="22" spans="1:17" x14ac:dyDescent="0.4">
      <c r="A22" s="51" t="s">
        <v>170</v>
      </c>
      <c r="B22" s="44">
        <v>31</v>
      </c>
      <c r="C22" s="131">
        <v>5</v>
      </c>
      <c r="E22" s="59" t="s">
        <v>92</v>
      </c>
      <c r="F22" s="56" t="s">
        <v>47</v>
      </c>
      <c r="G22" s="44">
        <v>6</v>
      </c>
      <c r="H22" s="129">
        <f>IF(B$17=0,0,G22/B$17)</f>
        <v>5.084745762711864E-3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-7.0663636363636346</v>
      </c>
      <c r="P22" s="115">
        <v>110</v>
      </c>
      <c r="Q22" s="103">
        <v>-777.29999999999984</v>
      </c>
    </row>
    <row r="23" spans="1:17" x14ac:dyDescent="0.4">
      <c r="A23" s="51" t="s">
        <v>5</v>
      </c>
      <c r="B23" s="48">
        <f>IF(B$17=0,0,C23/B$17)</f>
        <v>8324.5762711864409</v>
      </c>
      <c r="C23" s="39">
        <v>9823000</v>
      </c>
      <c r="E23" s="59" t="s">
        <v>88</v>
      </c>
      <c r="F23" s="56" t="s">
        <v>43</v>
      </c>
      <c r="G23" s="44">
        <v>5</v>
      </c>
      <c r="H23" s="129">
        <f>IF(B$17=0,0,G23/B$17)</f>
        <v>4.2372881355932203E-3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-9.981249999999994</v>
      </c>
      <c r="P23" s="115">
        <v>192</v>
      </c>
      <c r="Q23" s="103">
        <v>-1916.3999999999987</v>
      </c>
    </row>
    <row r="24" spans="1:17" x14ac:dyDescent="0.4">
      <c r="A24" s="52" t="s">
        <v>216</v>
      </c>
      <c r="B24" s="136">
        <f>IF($B$17-B$16=0,0,C24/($B$17-B$16))</f>
        <v>8792.2208281053954</v>
      </c>
      <c r="C24" s="137">
        <v>7007400</v>
      </c>
      <c r="E24" s="59" t="s">
        <v>73</v>
      </c>
      <c r="F24" s="56" t="s">
        <v>28</v>
      </c>
      <c r="G24" s="44">
        <v>4</v>
      </c>
      <c r="H24" s="129">
        <f>IF(B$17=0,0,G24/B$17)</f>
        <v>3.3898305084745762E-3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7351.4360313315929</v>
      </c>
      <c r="C25" s="137">
        <v>2815600</v>
      </c>
      <c r="E25" s="59" t="s">
        <v>77</v>
      </c>
      <c r="F25" s="56" t="s">
        <v>32</v>
      </c>
      <c r="G25" s="44">
        <v>4</v>
      </c>
      <c r="H25" s="129">
        <f>IF(B$17=0,0,G25/B$17)</f>
        <v>3.3898305084745762E-3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-7790.5631659056316</v>
      </c>
      <c r="C26" s="137">
        <v>-5118400</v>
      </c>
      <c r="E26" s="59" t="s">
        <v>84</v>
      </c>
      <c r="F26" s="56" t="s">
        <v>39</v>
      </c>
      <c r="G26" s="44">
        <v>4</v>
      </c>
      <c r="H26" s="129">
        <f>IF(B$17=0,0,G26/B$17)</f>
        <v>3.3898305084745762E-3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85</v>
      </c>
      <c r="F27" s="56" t="s">
        <v>40</v>
      </c>
      <c r="G27" s="44">
        <v>4</v>
      </c>
      <c r="H27" s="129">
        <f>IF(B$17=0,0,G27/B$17)</f>
        <v>3.3898305084745762E-3</v>
      </c>
      <c r="I27" s="90">
        <v>5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2.542372881355932E-3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13</v>
      </c>
      <c r="C29" s="40">
        <f>IF(B$3=0,0,B29/B$3)</f>
        <v>3.243512974051896E-3</v>
      </c>
      <c r="E29" s="59" t="s">
        <v>87</v>
      </c>
      <c r="F29" s="56" t="s">
        <v>42</v>
      </c>
      <c r="G29" s="44">
        <v>2</v>
      </c>
      <c r="H29" s="129">
        <f>IF(B$17=0,0,G29/B$17)</f>
        <v>1.6949152542372881E-3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1.6949152542372881E-3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1.6949152542372881E-3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8.4745762711864404E-4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44</v>
      </c>
      <c r="C2" s="149"/>
      <c r="E2" s="58" t="s">
        <v>66</v>
      </c>
      <c r="F2" s="55" t="s">
        <v>22</v>
      </c>
      <c r="G2" s="43">
        <v>68</v>
      </c>
      <c r="H2" s="128">
        <f>IF(B$17=0,0,G2/B$17)</f>
        <v>0.66666666666666663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1477.2727272727273</v>
      </c>
      <c r="P2" s="114">
        <v>44</v>
      </c>
      <c r="Q2" s="98">
        <v>65000</v>
      </c>
    </row>
    <row r="3" spans="1:17" x14ac:dyDescent="0.4">
      <c r="A3" s="51" t="s">
        <v>8</v>
      </c>
      <c r="B3" s="150">
        <v>383</v>
      </c>
      <c r="C3" s="151"/>
      <c r="E3" s="59" t="s">
        <v>72</v>
      </c>
      <c r="F3" s="56" t="s">
        <v>27</v>
      </c>
      <c r="G3" s="44">
        <v>51</v>
      </c>
      <c r="H3" s="129">
        <f>IF(B$17=0,0,G3/B$17)</f>
        <v>0.5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-646.51162790697674</v>
      </c>
      <c r="P3" s="115">
        <v>43</v>
      </c>
      <c r="Q3" s="99">
        <v>-27800</v>
      </c>
    </row>
    <row r="4" spans="1:17" x14ac:dyDescent="0.4">
      <c r="A4" s="51" t="s">
        <v>6</v>
      </c>
      <c r="B4" s="152">
        <v>-144.10000000000005</v>
      </c>
      <c r="C4" s="153"/>
      <c r="E4" s="59" t="s">
        <v>171</v>
      </c>
      <c r="F4" s="56" t="s">
        <v>172</v>
      </c>
      <c r="G4" s="44">
        <v>38</v>
      </c>
      <c r="H4" s="129">
        <f>IF(B$17=0,0,G4/B$17)</f>
        <v>0.37254901960784315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-751.21951219512198</v>
      </c>
      <c r="P4" s="115">
        <v>41</v>
      </c>
      <c r="Q4" s="99">
        <v>-30800</v>
      </c>
    </row>
    <row r="5" spans="1:17" x14ac:dyDescent="0.4">
      <c r="A5" s="51" t="s">
        <v>7</v>
      </c>
      <c r="B5" s="154">
        <f>IF(B$2=0,0,B$4/B$2)</f>
        <v>-3.2750000000000012</v>
      </c>
      <c r="C5" s="155"/>
      <c r="E5" s="59" t="s">
        <v>68</v>
      </c>
      <c r="F5" s="56" t="s">
        <v>12</v>
      </c>
      <c r="G5" s="44">
        <v>30</v>
      </c>
      <c r="H5" s="129">
        <f>IF(B$17=0,0,G5/B$17)</f>
        <v>0.29411764705882354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-1558.5365853658536</v>
      </c>
      <c r="P5" s="115">
        <v>41</v>
      </c>
      <c r="Q5" s="99">
        <v>-63900</v>
      </c>
    </row>
    <row r="6" spans="1:17" x14ac:dyDescent="0.4">
      <c r="A6" s="51" t="s">
        <v>1</v>
      </c>
      <c r="B6" s="144">
        <f>IF(B$2=0,0,(B$7*1+B$8*2+B$9*3)/B$2)</f>
        <v>2.0681818181818183</v>
      </c>
      <c r="C6" s="145"/>
      <c r="E6" s="59" t="s">
        <v>64</v>
      </c>
      <c r="F6" s="56" t="s">
        <v>20</v>
      </c>
      <c r="G6" s="44">
        <v>29</v>
      </c>
      <c r="H6" s="129">
        <f>IF(B$17=0,0,G6/B$17)</f>
        <v>0.28431372549019607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-85.365853658536579</v>
      </c>
      <c r="P6" s="115">
        <v>41</v>
      </c>
      <c r="Q6" s="99">
        <v>-3500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0.34090909090909088</v>
      </c>
      <c r="E7" s="59" t="s">
        <v>69</v>
      </c>
      <c r="F7" s="56" t="s">
        <v>24</v>
      </c>
      <c r="G7" s="44">
        <v>23</v>
      </c>
      <c r="H7" s="129">
        <f>IF(B$17=0,0,G7/B$17)</f>
        <v>0.22549019607843138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-1571.4285714285713</v>
      </c>
      <c r="P7" s="116">
        <v>35</v>
      </c>
      <c r="Q7" s="100">
        <v>-55000</v>
      </c>
    </row>
    <row r="8" spans="1:17" x14ac:dyDescent="0.4">
      <c r="A8" s="51" t="s">
        <v>3</v>
      </c>
      <c r="B8" s="44">
        <v>11</v>
      </c>
      <c r="C8" s="37">
        <f t="shared" si="1"/>
        <v>0.25</v>
      </c>
      <c r="E8" s="59" t="s">
        <v>70</v>
      </c>
      <c r="F8" s="56" t="s">
        <v>25</v>
      </c>
      <c r="G8" s="44">
        <v>17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0.40909090909090912</v>
      </c>
      <c r="E9" s="59" t="s">
        <v>67</v>
      </c>
      <c r="F9" s="56" t="s">
        <v>23</v>
      </c>
      <c r="G9" s="44">
        <v>12</v>
      </c>
      <c r="H9" s="129">
        <f>IF(B$17=0,0,G9/B$17)</f>
        <v>0.11764705882352941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10</v>
      </c>
      <c r="H10" s="129">
        <f>IF(B$17=0,0,G10/B$17)</f>
        <v>9.8039215686274508E-2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4.5454545454545456E-2</v>
      </c>
      <c r="E11" s="59" t="s">
        <v>83</v>
      </c>
      <c r="F11" s="56" t="s">
        <v>38</v>
      </c>
      <c r="G11" s="44">
        <v>9</v>
      </c>
      <c r="H11" s="129">
        <f>IF(B$17=0,0,G11/B$17)</f>
        <v>8.8235294117647065E-2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-5.4461538461538446</v>
      </c>
      <c r="P11" s="115">
        <v>13</v>
      </c>
      <c r="Q11" s="103">
        <v>-70.799999999999983</v>
      </c>
    </row>
    <row r="12" spans="1:17" x14ac:dyDescent="0.4">
      <c r="A12" s="53" t="s">
        <v>158</v>
      </c>
      <c r="B12" s="46">
        <v>7</v>
      </c>
      <c r="C12" s="40">
        <f t="shared" si="1"/>
        <v>0.15909090909090909</v>
      </c>
      <c r="E12" s="59" t="s">
        <v>65</v>
      </c>
      <c r="F12" s="56" t="s">
        <v>21</v>
      </c>
      <c r="G12" s="44">
        <v>8</v>
      </c>
      <c r="H12" s="129">
        <f>IF(B$17=0,0,G12/B$17)</f>
        <v>7.8431372549019607E-2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59</v>
      </c>
      <c r="C13" s="42">
        <f>IF(B$3=0,0,B13/B$3)</f>
        <v>0.15404699738903394</v>
      </c>
      <c r="E13" s="59" t="s">
        <v>89</v>
      </c>
      <c r="F13" s="56" t="s">
        <v>44</v>
      </c>
      <c r="G13" s="44">
        <v>7</v>
      </c>
      <c r="H13" s="129">
        <f>IF(B$17=0,0,G13/B$17)</f>
        <v>6.8627450980392163E-2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87</v>
      </c>
      <c r="C14" s="37">
        <f>IF(B$3=0,0,B14/B$3)</f>
        <v>0.22715404699738903</v>
      </c>
      <c r="E14" s="59" t="s">
        <v>81</v>
      </c>
      <c r="F14" s="56" t="s">
        <v>36</v>
      </c>
      <c r="G14" s="44">
        <v>4</v>
      </c>
      <c r="H14" s="129">
        <f>IF(B$17=0,0,G14/B$17)</f>
        <v>3.9215686274509803E-2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0.50847457627118642</v>
      </c>
      <c r="E15" s="59" t="s">
        <v>86</v>
      </c>
      <c r="F15" s="56" t="s">
        <v>41</v>
      </c>
      <c r="G15" s="44">
        <v>3</v>
      </c>
      <c r="H15" s="129">
        <f>IF(B$17=0,0,G15/B$17)</f>
        <v>2.9411764705882353E-2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32</v>
      </c>
      <c r="C16" s="35">
        <f>IF(B$14=0,0,B16/B$14)</f>
        <v>0.36781609195402298</v>
      </c>
      <c r="E16" s="59" t="s">
        <v>91</v>
      </c>
      <c r="F16" s="56" t="s">
        <v>46</v>
      </c>
      <c r="G16" s="44">
        <v>3</v>
      </c>
      <c r="H16" s="129">
        <f>IF(B$17=0,0,G16/B$17)</f>
        <v>2.9411764705882353E-2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2"/>
        <v>0.50000000000000067</v>
      </c>
      <c r="P16" s="115">
        <v>15</v>
      </c>
      <c r="Q16" s="103">
        <v>7.5000000000000107</v>
      </c>
    </row>
    <row r="17" spans="1:17" x14ac:dyDescent="0.4">
      <c r="A17" s="50" t="s">
        <v>10</v>
      </c>
      <c r="B17" s="43">
        <f>B19+B18</f>
        <v>102</v>
      </c>
      <c r="C17" s="35">
        <f>IF(B$3=0,0,B17/B$3)</f>
        <v>0.26631853785900783</v>
      </c>
      <c r="E17" s="59" t="s">
        <v>88</v>
      </c>
      <c r="F17" s="56" t="s">
        <v>43</v>
      </c>
      <c r="G17" s="44">
        <v>2</v>
      </c>
      <c r="H17" s="129">
        <f>IF(B$17=0,0,G17/B$17)</f>
        <v>1.9607843137254902E-2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-1.1173913043478263</v>
      </c>
      <c r="P17" s="115">
        <v>23</v>
      </c>
      <c r="Q17" s="103">
        <v>-25.700000000000003</v>
      </c>
    </row>
    <row r="18" spans="1:17" x14ac:dyDescent="0.4">
      <c r="A18" s="51" t="s">
        <v>12</v>
      </c>
      <c r="B18" s="44">
        <v>42</v>
      </c>
      <c r="C18" s="37">
        <f>IF(B$17=0,0,B18/B$17)</f>
        <v>0.41176470588235292</v>
      </c>
      <c r="E18" s="59" t="s">
        <v>74</v>
      </c>
      <c r="F18" s="56" t="s">
        <v>29</v>
      </c>
      <c r="G18" s="44">
        <v>1</v>
      </c>
      <c r="H18" s="129">
        <f>IF(B$17=0,0,G18/B$17)</f>
        <v>9.8039215686274508E-3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-4.1100000000000012</v>
      </c>
      <c r="P18" s="115">
        <v>20</v>
      </c>
      <c r="Q18" s="103">
        <v>-82.200000000000017</v>
      </c>
    </row>
    <row r="19" spans="1:17" x14ac:dyDescent="0.4">
      <c r="A19" s="51" t="s">
        <v>11</v>
      </c>
      <c r="B19" s="44">
        <v>60</v>
      </c>
      <c r="C19" s="37">
        <f>IF(B$17=0,0,B19/B$17)</f>
        <v>0.58823529411764708</v>
      </c>
      <c r="E19" s="59" t="s">
        <v>75</v>
      </c>
      <c r="F19" s="56" t="s">
        <v>30</v>
      </c>
      <c r="G19" s="44">
        <v>1</v>
      </c>
      <c r="H19" s="129">
        <f>IF(B$17=0,0,G19/B$17)</f>
        <v>9.8039215686274508E-3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0.13838120104438642</v>
      </c>
      <c r="E20" s="59" t="s">
        <v>77</v>
      </c>
      <c r="F20" s="56" t="s">
        <v>32</v>
      </c>
      <c r="G20" s="44">
        <v>1</v>
      </c>
      <c r="H20" s="129">
        <f>IF(B$17=0,0,G20/B$17)</f>
        <v>9.8039215686274508E-3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93</v>
      </c>
      <c r="F21" s="56" t="s">
        <v>48</v>
      </c>
      <c r="G21" s="44">
        <v>1</v>
      </c>
      <c r="H21" s="129">
        <f>IF(B$17=0,0,G21/B$17)</f>
        <v>9.8039215686274508E-3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30</v>
      </c>
      <c r="C22" s="131">
        <v>30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7090.1960784313724</v>
      </c>
      <c r="C23" s="39">
        <v>723200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7577.1428571428569</v>
      </c>
      <c r="C24" s="137">
        <v>530400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6025</v>
      </c>
      <c r="C25" s="137">
        <v>192800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5.2219321148825066E-3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96</v>
      </c>
      <c r="C2" s="149"/>
      <c r="E2" s="58" t="s">
        <v>66</v>
      </c>
      <c r="F2" s="55" t="s">
        <v>22</v>
      </c>
      <c r="G2" s="43">
        <v>178</v>
      </c>
      <c r="H2" s="128">
        <f>IF(B$17=0,0,G2/B$17)</f>
        <v>0.68992248062015504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758.9473684210526</v>
      </c>
      <c r="P2" s="114">
        <v>95</v>
      </c>
      <c r="Q2" s="98">
        <v>72100</v>
      </c>
    </row>
    <row r="3" spans="1:17" x14ac:dyDescent="0.4">
      <c r="A3" s="51" t="s">
        <v>8</v>
      </c>
      <c r="B3" s="150">
        <v>770</v>
      </c>
      <c r="C3" s="151"/>
      <c r="E3" s="59" t="s">
        <v>72</v>
      </c>
      <c r="F3" s="56" t="s">
        <v>27</v>
      </c>
      <c r="G3" s="44">
        <v>126</v>
      </c>
      <c r="H3" s="129">
        <f>IF(B$17=0,0,G3/B$17)</f>
        <v>0.48837209302325579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-86.956521739130437</v>
      </c>
      <c r="P3" s="115">
        <v>92</v>
      </c>
      <c r="Q3" s="99">
        <v>-8000</v>
      </c>
    </row>
    <row r="4" spans="1:17" x14ac:dyDescent="0.4">
      <c r="A4" s="51" t="s">
        <v>6</v>
      </c>
      <c r="B4" s="152">
        <v>638.79999999999995</v>
      </c>
      <c r="C4" s="153"/>
      <c r="E4" s="59" t="s">
        <v>64</v>
      </c>
      <c r="F4" s="56" t="s">
        <v>20</v>
      </c>
      <c r="G4" s="44">
        <v>116</v>
      </c>
      <c r="H4" s="129">
        <f>IF(B$17=0,0,G4/B$17)</f>
        <v>0.44961240310077522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-136.66666666666666</v>
      </c>
      <c r="P4" s="115">
        <v>90</v>
      </c>
      <c r="Q4" s="99">
        <v>-12300</v>
      </c>
    </row>
    <row r="5" spans="1:17" x14ac:dyDescent="0.4">
      <c r="A5" s="51" t="s">
        <v>7</v>
      </c>
      <c r="B5" s="154">
        <f>IF(B$2=0,0,B$4/B$2)</f>
        <v>6.6541666666666659</v>
      </c>
      <c r="C5" s="155"/>
      <c r="E5" s="59" t="s">
        <v>171</v>
      </c>
      <c r="F5" s="56" t="s">
        <v>172</v>
      </c>
      <c r="G5" s="44">
        <v>93</v>
      </c>
      <c r="H5" s="129">
        <f>IF(B$17=0,0,G5/B$17)</f>
        <v>0.36046511627906974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-270.73170731707319</v>
      </c>
      <c r="P5" s="115">
        <v>82</v>
      </c>
      <c r="Q5" s="99">
        <v>-22200</v>
      </c>
    </row>
    <row r="6" spans="1:17" x14ac:dyDescent="0.4">
      <c r="A6" s="51" t="s">
        <v>1</v>
      </c>
      <c r="B6" s="144">
        <f>IF(B$2=0,0,(B$7*1+B$8*2+B$9*3)/B$2)</f>
        <v>1.78125</v>
      </c>
      <c r="C6" s="145"/>
      <c r="E6" s="59" t="s">
        <v>68</v>
      </c>
      <c r="F6" s="56" t="s">
        <v>12</v>
      </c>
      <c r="G6" s="44">
        <v>76</v>
      </c>
      <c r="H6" s="129">
        <f>IF(B$17=0,0,G6/B$17)</f>
        <v>0.29457364341085274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2202.5641025641025</v>
      </c>
      <c r="P6" s="115">
        <v>78</v>
      </c>
      <c r="Q6" s="99">
        <v>171800</v>
      </c>
    </row>
    <row r="7" spans="1:17" x14ac:dyDescent="0.4">
      <c r="A7" s="51" t="s">
        <v>2</v>
      </c>
      <c r="B7" s="44">
        <v>45</v>
      </c>
      <c r="C7" s="37">
        <f t="shared" ref="C7:C12" si="1">IF(B$2=0,0,B7/B$2)</f>
        <v>0.46875</v>
      </c>
      <c r="E7" s="59" t="s">
        <v>67</v>
      </c>
      <c r="F7" s="56" t="s">
        <v>23</v>
      </c>
      <c r="G7" s="44">
        <v>67</v>
      </c>
      <c r="H7" s="129">
        <f>IF(B$17=0,0,G7/B$17)</f>
        <v>0.25968992248062017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3040</v>
      </c>
      <c r="P7" s="116">
        <v>65</v>
      </c>
      <c r="Q7" s="100">
        <v>197600</v>
      </c>
    </row>
    <row r="8" spans="1:17" x14ac:dyDescent="0.4">
      <c r="A8" s="51" t="s">
        <v>3</v>
      </c>
      <c r="B8" s="44">
        <v>27</v>
      </c>
      <c r="C8" s="37">
        <f t="shared" si="1"/>
        <v>0.28125</v>
      </c>
      <c r="E8" s="59" t="s">
        <v>69</v>
      </c>
      <c r="F8" s="56" t="s">
        <v>24</v>
      </c>
      <c r="G8" s="44">
        <v>43</v>
      </c>
      <c r="H8" s="129">
        <f>IF(B$17=0,0,G8/B$17)</f>
        <v>0.16666666666666666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0.25</v>
      </c>
      <c r="E9" s="59" t="s">
        <v>89</v>
      </c>
      <c r="F9" s="56" t="s">
        <v>44</v>
      </c>
      <c r="G9" s="44">
        <v>42</v>
      </c>
      <c r="H9" s="129">
        <f>IF(B$17=0,0,G9/B$17)</f>
        <v>0.16279069767441862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5.2083333333333336E-2</v>
      </c>
      <c r="E10" s="59" t="s">
        <v>65</v>
      </c>
      <c r="F10" s="56" t="s">
        <v>21</v>
      </c>
      <c r="G10" s="44">
        <v>30</v>
      </c>
      <c r="H10" s="129">
        <f>IF(B$17=0,0,G10/B$17)</f>
        <v>0.11627906976744186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9.9962962962962951</v>
      </c>
      <c r="P10" s="114">
        <v>27</v>
      </c>
      <c r="Q10" s="102">
        <v>269.89999999999998</v>
      </c>
    </row>
    <row r="11" spans="1:17" x14ac:dyDescent="0.4">
      <c r="A11" s="52" t="s">
        <v>138</v>
      </c>
      <c r="B11" s="45">
        <v>9</v>
      </c>
      <c r="C11" s="38">
        <f t="shared" si="1"/>
        <v>9.375E-2</v>
      </c>
      <c r="E11" s="59" t="s">
        <v>71</v>
      </c>
      <c r="F11" s="56" t="s">
        <v>26</v>
      </c>
      <c r="G11" s="44">
        <v>20</v>
      </c>
      <c r="H11" s="129">
        <f>IF(B$17=0,0,G11/B$17)</f>
        <v>7.7519379844961239E-2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2.6657142857142864</v>
      </c>
      <c r="P11" s="115">
        <v>35</v>
      </c>
      <c r="Q11" s="103">
        <v>93.300000000000026</v>
      </c>
    </row>
    <row r="12" spans="1:17" x14ac:dyDescent="0.4">
      <c r="A12" s="53" t="s">
        <v>158</v>
      </c>
      <c r="B12" s="46">
        <v>11</v>
      </c>
      <c r="C12" s="40">
        <f t="shared" si="1"/>
        <v>0.11458333333333333</v>
      </c>
      <c r="E12" s="59" t="s">
        <v>70</v>
      </c>
      <c r="F12" s="56" t="s">
        <v>25</v>
      </c>
      <c r="G12" s="44">
        <v>14</v>
      </c>
      <c r="H12" s="129">
        <f>IF(B$17=0,0,G12/B$17)</f>
        <v>5.4263565891472867E-2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8.1058823529411761</v>
      </c>
      <c r="P12" s="116">
        <v>34</v>
      </c>
      <c r="Q12" s="104">
        <v>275.59999999999997</v>
      </c>
    </row>
    <row r="13" spans="1:17" x14ac:dyDescent="0.4">
      <c r="A13" s="54" t="s">
        <v>121</v>
      </c>
      <c r="B13" s="47">
        <v>209</v>
      </c>
      <c r="C13" s="42">
        <f>IF(B$3=0,0,B13/B$3)</f>
        <v>0.27142857142857141</v>
      </c>
      <c r="E13" s="59" t="s">
        <v>83</v>
      </c>
      <c r="F13" s="56" t="s">
        <v>38</v>
      </c>
      <c r="G13" s="44">
        <v>12</v>
      </c>
      <c r="H13" s="129">
        <f>IF(B$17=0,0,G13/B$17)</f>
        <v>4.6511627906976744E-2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173</v>
      </c>
      <c r="C14" s="37">
        <f>IF(B$3=0,0,B14/B$3)</f>
        <v>0.22467532467532467</v>
      </c>
      <c r="E14" s="59" t="s">
        <v>86</v>
      </c>
      <c r="F14" s="56" t="s">
        <v>41</v>
      </c>
      <c r="G14" s="44">
        <v>11</v>
      </c>
      <c r="H14" s="129">
        <f>IF(B$17=0,0,G14/B$17)</f>
        <v>4.2635658914728682E-2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124</v>
      </c>
      <c r="C15" s="35">
        <f>IF(B$13=0,0,B15/B$13)</f>
        <v>0.59330143540669855</v>
      </c>
      <c r="E15" s="59" t="s">
        <v>167</v>
      </c>
      <c r="F15" s="56" t="s">
        <v>168</v>
      </c>
      <c r="G15" s="44">
        <v>11</v>
      </c>
      <c r="H15" s="129">
        <f>IF(B$17=0,0,G15/B$17)</f>
        <v>4.2635658914728682E-2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83</v>
      </c>
      <c r="C16" s="35">
        <f>IF(B$14=0,0,B16/B$14)</f>
        <v>0.47976878612716761</v>
      </c>
      <c r="E16" s="59" t="s">
        <v>78</v>
      </c>
      <c r="F16" s="56" t="s">
        <v>33</v>
      </c>
      <c r="G16" s="44">
        <v>9</v>
      </c>
      <c r="H16" s="129">
        <f>IF(B$17=0,0,G16/B$17)</f>
        <v>3.4883720930232558E-2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 t="shared" si="2"/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258</v>
      </c>
      <c r="C17" s="35">
        <f>IF(B$3=0,0,B17/B$3)</f>
        <v>0.33506493506493507</v>
      </c>
      <c r="E17" s="59" t="s">
        <v>77</v>
      </c>
      <c r="F17" s="56" t="s">
        <v>32</v>
      </c>
      <c r="G17" s="44">
        <v>3</v>
      </c>
      <c r="H17" s="129">
        <f>IF(B$17=0,0,G17/B$17)</f>
        <v>1.1627906976744186E-2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110</v>
      </c>
      <c r="C18" s="37">
        <f>IF(B$17=0,0,B18/B$17)</f>
        <v>0.4263565891472868</v>
      </c>
      <c r="E18" s="59" t="s">
        <v>84</v>
      </c>
      <c r="F18" s="56" t="s">
        <v>39</v>
      </c>
      <c r="G18" s="44">
        <v>3</v>
      </c>
      <c r="H18" s="129">
        <f>IF(B$17=0,0,G18/B$17)</f>
        <v>1.1627906976744186E-2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13.224242424242426</v>
      </c>
      <c r="P18" s="115">
        <v>33</v>
      </c>
      <c r="Q18" s="103">
        <v>436.40000000000009</v>
      </c>
    </row>
    <row r="19" spans="1:17" x14ac:dyDescent="0.4">
      <c r="A19" s="51" t="s">
        <v>11</v>
      </c>
      <c r="B19" s="44">
        <v>148</v>
      </c>
      <c r="C19" s="37">
        <f>IF(B$17=0,0,B19/B$17)</f>
        <v>0.5736434108527132</v>
      </c>
      <c r="E19" s="59" t="s">
        <v>75</v>
      </c>
      <c r="F19" s="56" t="s">
        <v>30</v>
      </c>
      <c r="G19" s="44">
        <v>2</v>
      </c>
      <c r="H19" s="129">
        <f>IF(B$17=0,0,G19/B$17)</f>
        <v>7.7519379844961239E-3</v>
      </c>
      <c r="I19" s="90">
        <v>4</v>
      </c>
      <c r="K19" s="36">
        <v>17</v>
      </c>
      <c r="L19" s="95">
        <v>359.09999999999991</v>
      </c>
      <c r="N19" s="111" t="s">
        <v>127</v>
      </c>
      <c r="O19" s="121">
        <f t="shared" si="2"/>
        <v>8.8568965517241391</v>
      </c>
      <c r="P19" s="115">
        <v>58</v>
      </c>
      <c r="Q19" s="103">
        <v>513.70000000000005</v>
      </c>
    </row>
    <row r="20" spans="1:17" x14ac:dyDescent="0.4">
      <c r="A20" s="51" t="s">
        <v>13</v>
      </c>
      <c r="B20" s="44">
        <v>107</v>
      </c>
      <c r="C20" s="37">
        <f>IF(B$3=0,0,B20/B$3)</f>
        <v>0.13896103896103895</v>
      </c>
      <c r="E20" s="59" t="s">
        <v>88</v>
      </c>
      <c r="F20" s="56" t="s">
        <v>43</v>
      </c>
      <c r="G20" s="44">
        <v>2</v>
      </c>
      <c r="H20" s="129">
        <f>IF(B$17=0,0,G20/B$17)</f>
        <v>7.7519379844961239E-3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 t="shared" si="2"/>
        <v>1.117391304347825</v>
      </c>
      <c r="P20" s="115">
        <v>23</v>
      </c>
      <c r="Q20" s="103">
        <v>25.699999999999974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7.7519379844961239E-3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 t="shared" si="2"/>
        <v>-8.9000000000000021</v>
      </c>
      <c r="P21" s="115">
        <v>21</v>
      </c>
      <c r="Q21" s="103">
        <v>-186.90000000000003</v>
      </c>
    </row>
    <row r="22" spans="1:17" x14ac:dyDescent="0.4">
      <c r="A22" s="51" t="s">
        <v>170</v>
      </c>
      <c r="B22" s="44">
        <v>31</v>
      </c>
      <c r="C22" s="131">
        <v>2</v>
      </c>
      <c r="E22" s="59" t="s">
        <v>74</v>
      </c>
      <c r="F22" s="56" t="s">
        <v>29</v>
      </c>
      <c r="G22" s="44">
        <v>1</v>
      </c>
      <c r="H22" s="129">
        <f>IF(B$17=0,0,G22/B$17)</f>
        <v>3.875968992248062E-3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7760.4651162790697</v>
      </c>
      <c r="C23" s="39">
        <v>2002200</v>
      </c>
      <c r="E23" s="59" t="s">
        <v>79</v>
      </c>
      <c r="F23" s="56" t="s">
        <v>34</v>
      </c>
      <c r="G23" s="44">
        <v>1</v>
      </c>
      <c r="H23" s="129">
        <f>IF(B$17=0,0,G23/B$17)</f>
        <v>3.875968992248062E-3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7716.5714285714284</v>
      </c>
      <c r="C24" s="137">
        <v>1350400</v>
      </c>
      <c r="E24" s="59" t="s">
        <v>81</v>
      </c>
      <c r="F24" s="56" t="s">
        <v>36</v>
      </c>
      <c r="G24" s="44">
        <v>1</v>
      </c>
      <c r="H24" s="129">
        <f>IF(B$17=0,0,G24/B$17)</f>
        <v>3.875968992248062E-3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7853.0120481927706</v>
      </c>
      <c r="C25" s="137">
        <v>651800</v>
      </c>
      <c r="E25" s="59" t="s">
        <v>85</v>
      </c>
      <c r="F25" s="56" t="s">
        <v>40</v>
      </c>
      <c r="G25" s="44">
        <v>1</v>
      </c>
      <c r="H25" s="129">
        <f>IF(B$17=0,0,G25/B$17)</f>
        <v>3.875968992248062E-3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-7726.1682242990655</v>
      </c>
      <c r="C26" s="137">
        <v>-826700</v>
      </c>
      <c r="E26" s="59" t="s">
        <v>90</v>
      </c>
      <c r="F26" s="56" t="s">
        <v>45</v>
      </c>
      <c r="G26" s="44">
        <v>1</v>
      </c>
      <c r="H26" s="129">
        <f>IF(B$17=0,0,G26/B$17)</f>
        <v>3.875968992248062E-3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3.875968992248062E-3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3.875968992248062E-3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1.2987012987012987E-3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</sheetData>
  <sortState xmlns:xlrd2="http://schemas.microsoft.com/office/spreadsheetml/2017/richdata2" ref="E2:I9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9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88</v>
      </c>
      <c r="C2" s="149"/>
      <c r="E2" s="58" t="s">
        <v>66</v>
      </c>
      <c r="F2" s="55" t="s">
        <v>22</v>
      </c>
      <c r="G2" s="43">
        <v>215</v>
      </c>
      <c r="H2" s="128">
        <f>IF(B$17=0,0,G2/B$17)</f>
        <v>0.90717299578059074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-1863.2183908045977</v>
      </c>
      <c r="P2" s="114">
        <v>87</v>
      </c>
      <c r="Q2" s="98">
        <v>-162100</v>
      </c>
    </row>
    <row r="3" spans="1:17" x14ac:dyDescent="0.4">
      <c r="A3" s="51" t="s">
        <v>8</v>
      </c>
      <c r="B3" s="150">
        <v>752</v>
      </c>
      <c r="C3" s="151"/>
      <c r="E3" s="59" t="s">
        <v>72</v>
      </c>
      <c r="F3" s="56" t="s">
        <v>27</v>
      </c>
      <c r="G3" s="44">
        <v>138</v>
      </c>
      <c r="H3" s="129">
        <f>IF(B$17=0,0,G3/B$17)</f>
        <v>0.58227848101265822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1677.6470588235295</v>
      </c>
      <c r="P3" s="115">
        <v>85</v>
      </c>
      <c r="Q3" s="99">
        <v>142600</v>
      </c>
    </row>
    <row r="4" spans="1:17" x14ac:dyDescent="0.4">
      <c r="A4" s="51" t="s">
        <v>6</v>
      </c>
      <c r="B4" s="152">
        <v>352.29999999999984</v>
      </c>
      <c r="C4" s="153"/>
      <c r="E4" s="59" t="s">
        <v>171</v>
      </c>
      <c r="F4" s="56" t="s">
        <v>172</v>
      </c>
      <c r="G4" s="44">
        <v>102</v>
      </c>
      <c r="H4" s="129">
        <f>IF(B$17=0,0,G4/B$17)</f>
        <v>0.43037974683544306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383.95061728395063</v>
      </c>
      <c r="P4" s="115">
        <v>81</v>
      </c>
      <c r="Q4" s="99">
        <v>31100</v>
      </c>
    </row>
    <row r="5" spans="1:17" x14ac:dyDescent="0.4">
      <c r="A5" s="51" t="s">
        <v>7</v>
      </c>
      <c r="B5" s="154">
        <f>IF(B$2=0,0,B$4/B$2)</f>
        <v>4.0034090909090887</v>
      </c>
      <c r="C5" s="155"/>
      <c r="E5" s="59" t="s">
        <v>64</v>
      </c>
      <c r="F5" s="56" t="s">
        <v>20</v>
      </c>
      <c r="G5" s="44">
        <v>93</v>
      </c>
      <c r="H5" s="129">
        <f>IF(B$17=0,0,G5/B$17)</f>
        <v>0.39240506329113922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2367.1052631578946</v>
      </c>
      <c r="P5" s="115">
        <v>76</v>
      </c>
      <c r="Q5" s="99">
        <v>179900</v>
      </c>
    </row>
    <row r="6" spans="1:17" x14ac:dyDescent="0.4">
      <c r="A6" s="51" t="s">
        <v>1</v>
      </c>
      <c r="B6" s="144">
        <f>IF(B$2=0,0,(B$7*1+B$8*2+B$9*3)/B$2)</f>
        <v>1.8977272727272727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0.26160337552742619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100</v>
      </c>
      <c r="P6" s="115">
        <v>71</v>
      </c>
      <c r="Q6" s="99">
        <v>7100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0.39772727272727271</v>
      </c>
      <c r="E7" s="59" t="s">
        <v>67</v>
      </c>
      <c r="F7" s="56" t="s">
        <v>23</v>
      </c>
      <c r="G7" s="44">
        <v>52</v>
      </c>
      <c r="H7" s="129">
        <f>IF(B$17=0,0,G7/B$17)</f>
        <v>0.21940928270042195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1586.6666666666667</v>
      </c>
      <c r="P7" s="116">
        <v>60</v>
      </c>
      <c r="Q7" s="100">
        <v>95200</v>
      </c>
    </row>
    <row r="8" spans="1:17" x14ac:dyDescent="0.4">
      <c r="A8" s="51" t="s">
        <v>3</v>
      </c>
      <c r="B8" s="44">
        <v>27</v>
      </c>
      <c r="C8" s="37">
        <f t="shared" si="1"/>
        <v>0.30681818181818182</v>
      </c>
      <c r="E8" s="59" t="s">
        <v>89</v>
      </c>
      <c r="F8" s="56" t="s">
        <v>44</v>
      </c>
      <c r="G8" s="44">
        <v>31</v>
      </c>
      <c r="H8" s="129">
        <f>IF(B$17=0,0,G8/B$17)</f>
        <v>0.13080168776371309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0.29545454545454547</v>
      </c>
      <c r="E9" s="59" t="s">
        <v>69</v>
      </c>
      <c r="F9" s="56" t="s">
        <v>24</v>
      </c>
      <c r="G9" s="44">
        <v>29</v>
      </c>
      <c r="H9" s="129">
        <f>IF(B$17=0,0,G9/B$17)</f>
        <v>0.12236286919831224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12</v>
      </c>
      <c r="C10" s="38">
        <f t="shared" si="1"/>
        <v>0.13636363636363635</v>
      </c>
      <c r="E10" s="59" t="s">
        <v>65</v>
      </c>
      <c r="F10" s="56" t="s">
        <v>21</v>
      </c>
      <c r="G10" s="44">
        <v>21</v>
      </c>
      <c r="H10" s="129">
        <f>IF(B$17=0,0,G10/B$17)</f>
        <v>8.8607594936708861E-2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10</v>
      </c>
      <c r="C11" s="38">
        <f t="shared" si="1"/>
        <v>0.11363636363636363</v>
      </c>
      <c r="E11" s="59" t="s">
        <v>71</v>
      </c>
      <c r="F11" s="56" t="s">
        <v>26</v>
      </c>
      <c r="G11" s="44">
        <v>20</v>
      </c>
      <c r="H11" s="129">
        <f>IF(B$17=0,0,G11/B$17)</f>
        <v>8.4388185654008435E-2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8.5500000000000007</v>
      </c>
      <c r="P11" s="115">
        <v>26</v>
      </c>
      <c r="Q11" s="103">
        <v>222.3</v>
      </c>
    </row>
    <row r="12" spans="1:17" x14ac:dyDescent="0.4">
      <c r="A12" s="53" t="s">
        <v>158</v>
      </c>
      <c r="B12" s="46">
        <v>17</v>
      </c>
      <c r="C12" s="40">
        <f t="shared" si="1"/>
        <v>0.19318181818181818</v>
      </c>
      <c r="E12" s="59" t="s">
        <v>70</v>
      </c>
      <c r="F12" s="56" t="s">
        <v>25</v>
      </c>
      <c r="G12" s="44">
        <v>18</v>
      </c>
      <c r="H12" s="129">
        <f>IF(B$17=0,0,G12/B$17)</f>
        <v>7.5949367088607597E-2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9.5238095238084752E-3</v>
      </c>
      <c r="P12" s="116">
        <v>42</v>
      </c>
      <c r="Q12" s="104">
        <v>0.39999999999995595</v>
      </c>
    </row>
    <row r="13" spans="1:17" x14ac:dyDescent="0.4">
      <c r="A13" s="54" t="s">
        <v>121</v>
      </c>
      <c r="B13" s="47">
        <v>171</v>
      </c>
      <c r="C13" s="42">
        <f>IF(B$3=0,0,B13/B$3)</f>
        <v>0.22739361702127658</v>
      </c>
      <c r="E13" s="59" t="s">
        <v>86</v>
      </c>
      <c r="F13" s="56" t="s">
        <v>41</v>
      </c>
      <c r="G13" s="44">
        <v>17</v>
      </c>
      <c r="H13" s="129">
        <f>IF(B$17=0,0,G13/B$17)</f>
        <v>7.1729957805907171E-2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231</v>
      </c>
      <c r="C14" s="37">
        <f>IF(B$3=0,0,B14/B$3)</f>
        <v>0.30718085106382981</v>
      </c>
      <c r="E14" s="59" t="s">
        <v>83</v>
      </c>
      <c r="F14" s="56" t="s">
        <v>38</v>
      </c>
      <c r="G14" s="44">
        <v>13</v>
      </c>
      <c r="H14" s="129">
        <f>IF(B$17=0,0,G14/B$17)</f>
        <v>5.4852320675105488E-2</v>
      </c>
      <c r="I14" s="90">
        <v>7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91</v>
      </c>
      <c r="C15" s="35">
        <f>IF(B$13=0,0,B15/B$13)</f>
        <v>0.53216374269005851</v>
      </c>
      <c r="E15" s="59" t="s">
        <v>91</v>
      </c>
      <c r="F15" s="56" t="s">
        <v>46</v>
      </c>
      <c r="G15" s="44">
        <v>8</v>
      </c>
      <c r="H15" s="129">
        <f>IF(B$17=0,0,G15/B$17)</f>
        <v>3.3755274261603373E-2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89</v>
      </c>
      <c r="C16" s="35">
        <f>IF(B$14=0,0,B16/B$14)</f>
        <v>0.38528138528138528</v>
      </c>
      <c r="E16" s="59" t="s">
        <v>78</v>
      </c>
      <c r="F16" s="56" t="s">
        <v>33</v>
      </c>
      <c r="G16" s="44">
        <v>7</v>
      </c>
      <c r="H16" s="129">
        <f>IF(B$17=0,0,G16/B$17)</f>
        <v>2.9535864978902954E-2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237</v>
      </c>
      <c r="C17" s="35">
        <f>IF(B$3=0,0,B17/B$3)</f>
        <v>0.31515957446808512</v>
      </c>
      <c r="E17" s="59" t="s">
        <v>81</v>
      </c>
      <c r="F17" s="56" t="s">
        <v>36</v>
      </c>
      <c r="G17" s="44">
        <v>6</v>
      </c>
      <c r="H17" s="129">
        <f>IF(B$17=0,0,G17/B$17)</f>
        <v>2.5316455696202531E-2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91</v>
      </c>
      <c r="C18" s="37">
        <f>IF(B$17=0,0,B18/B$17)</f>
        <v>0.38396624472573837</v>
      </c>
      <c r="E18" s="59" t="s">
        <v>79</v>
      </c>
      <c r="F18" s="56" t="s">
        <v>34</v>
      </c>
      <c r="G18" s="44">
        <v>5</v>
      </c>
      <c r="H18" s="129">
        <f>IF(B$17=0,0,G18/B$17)</f>
        <v>2.1097046413502109E-2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13.265517241379307</v>
      </c>
      <c r="P18" s="115">
        <v>29</v>
      </c>
      <c r="Q18" s="103">
        <v>384.69999999999987</v>
      </c>
    </row>
    <row r="19" spans="1:17" x14ac:dyDescent="0.4">
      <c r="A19" s="51" t="s">
        <v>11</v>
      </c>
      <c r="B19" s="44">
        <v>146</v>
      </c>
      <c r="C19" s="37">
        <f>IF(B$17=0,0,B19/B$17)</f>
        <v>0.61603375527426163</v>
      </c>
      <c r="E19" s="59" t="s">
        <v>74</v>
      </c>
      <c r="F19" s="56" t="s">
        <v>29</v>
      </c>
      <c r="G19" s="44">
        <v>2</v>
      </c>
      <c r="H19" s="129">
        <f>IF(B$17=0,0,G19/B$17)</f>
        <v>8.4388185654008432E-3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>IF(P19=0,0,Q19/P19)</f>
        <v>12.182608695652181</v>
      </c>
      <c r="P19" s="115">
        <v>23</v>
      </c>
      <c r="Q19" s="103">
        <v>280.20000000000016</v>
      </c>
    </row>
    <row r="20" spans="1:17" x14ac:dyDescent="0.4">
      <c r="A20" s="51" t="s">
        <v>13</v>
      </c>
      <c r="B20" s="44">
        <v>143</v>
      </c>
      <c r="C20" s="37">
        <f>IF(B$3=0,0,B20/B$3)</f>
        <v>0.1901595744680851</v>
      </c>
      <c r="E20" s="59" t="s">
        <v>75</v>
      </c>
      <c r="F20" s="56" t="s">
        <v>30</v>
      </c>
      <c r="G20" s="44">
        <v>1</v>
      </c>
      <c r="H20" s="129">
        <f>IF(B$17=0,0,G20/B$17)</f>
        <v>4.2194092827004216E-3</v>
      </c>
      <c r="I20" s="90">
        <v>7</v>
      </c>
      <c r="K20" s="36">
        <v>18</v>
      </c>
      <c r="L20" s="95">
        <v>-112.90000000000002</v>
      </c>
      <c r="N20" s="111" t="s">
        <v>178</v>
      </c>
      <c r="O20" s="121">
        <f>IF(P20=0,0,Q20/P20)</f>
        <v>8.1034482758620729</v>
      </c>
      <c r="P20" s="115">
        <v>29</v>
      </c>
      <c r="Q20" s="103">
        <v>235.00000000000011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84</v>
      </c>
      <c r="F21" s="56" t="s">
        <v>39</v>
      </c>
      <c r="G21" s="44">
        <v>1</v>
      </c>
      <c r="H21" s="129">
        <f>IF(B$17=0,0,G21/B$17)</f>
        <v>4.2194092827004216E-3</v>
      </c>
      <c r="I21" s="90">
        <v>2</v>
      </c>
      <c r="K21" s="36">
        <v>19</v>
      </c>
      <c r="L21" s="95">
        <v>-162.40000000000003</v>
      </c>
      <c r="N21" s="111" t="s">
        <v>166</v>
      </c>
      <c r="O21" s="121">
        <f>IF(P21=0,0,Q21/P21)</f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30</v>
      </c>
      <c r="C22" s="131">
        <v>3</v>
      </c>
      <c r="E22" s="59" t="s">
        <v>92</v>
      </c>
      <c r="F22" s="56" t="s">
        <v>47</v>
      </c>
      <c r="G22" s="44">
        <v>1</v>
      </c>
      <c r="H22" s="129">
        <f>IF(B$17=0,0,G22/B$17)</f>
        <v>4.2194092827004216E-3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>IF(P22=0,0,Q22/P22)</f>
        <v>-8.8568965517241391</v>
      </c>
      <c r="P22" s="115">
        <v>58</v>
      </c>
      <c r="Q22" s="103">
        <v>-513.70000000000005</v>
      </c>
    </row>
    <row r="23" spans="1:17" x14ac:dyDescent="0.4">
      <c r="A23" s="51" t="s">
        <v>5</v>
      </c>
      <c r="B23" s="48">
        <f>IF(B$17=0,0,C23/B$17)</f>
        <v>8657.8059071729949</v>
      </c>
      <c r="C23" s="39">
        <v>2051900</v>
      </c>
      <c r="E23" s="59" t="s">
        <v>95</v>
      </c>
      <c r="F23" s="56" t="s">
        <v>50</v>
      </c>
      <c r="G23" s="44">
        <v>1</v>
      </c>
      <c r="H23" s="129">
        <f>IF(B$17=0,0,G23/B$17)</f>
        <v>4.2194092827004216E-3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9002.7027027027034</v>
      </c>
      <c r="C24" s="137">
        <v>1332400</v>
      </c>
      <c r="E24" s="59" t="s">
        <v>167</v>
      </c>
      <c r="F24" s="56" t="s">
        <v>168</v>
      </c>
      <c r="G24" s="44">
        <v>1</v>
      </c>
      <c r="H24" s="129">
        <f>IF(B$17=0,0,G24/B$17)</f>
        <v>4.2194092827004216E-3</v>
      </c>
      <c r="I24" s="90">
        <v>7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8084.2696629213488</v>
      </c>
      <c r="C25" s="137">
        <v>719500</v>
      </c>
      <c r="E25" s="59" t="s">
        <v>73</v>
      </c>
      <c r="F25" s="56" t="s">
        <v>28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-7837.7622377622374</v>
      </c>
      <c r="C26" s="137">
        <v>-1120800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3.9893617021276593E-3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-358.33333333333331</v>
      </c>
      <c r="P2" s="114">
        <v>60</v>
      </c>
      <c r="Q2" s="98">
        <v>-21500</v>
      </c>
    </row>
    <row r="3" spans="1:17" x14ac:dyDescent="0.4">
      <c r="A3" s="51" t="s">
        <v>8</v>
      </c>
      <c r="B3" s="150">
        <v>516</v>
      </c>
      <c r="C3" s="151"/>
      <c r="E3" s="59" t="s">
        <v>64</v>
      </c>
      <c r="F3" s="56" t="s">
        <v>20</v>
      </c>
      <c r="G3" s="44">
        <v>85</v>
      </c>
      <c r="H3" s="129">
        <f>IF(B$17=0,0,G3/B$17)</f>
        <v>0.59027777777777779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-550</v>
      </c>
      <c r="P3" s="115">
        <v>60</v>
      </c>
      <c r="Q3" s="99">
        <v>-33000</v>
      </c>
    </row>
    <row r="4" spans="1:17" x14ac:dyDescent="0.4">
      <c r="A4" s="51" t="s">
        <v>6</v>
      </c>
      <c r="B4" s="152">
        <v>-453.59999999999997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0.51388888888888884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735.08771929824559</v>
      </c>
      <c r="P4" s="115">
        <v>57</v>
      </c>
      <c r="Q4" s="99">
        <v>41900</v>
      </c>
    </row>
    <row r="5" spans="1:17" x14ac:dyDescent="0.4">
      <c r="A5" s="51" t="s">
        <v>7</v>
      </c>
      <c r="B5" s="154">
        <f>IF(B$2=0,0,B$4/B$2)</f>
        <v>-7.4360655737704908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0.39583333333333331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-1635.7142857142858</v>
      </c>
      <c r="P5" s="115">
        <v>56</v>
      </c>
      <c r="Q5" s="99">
        <v>-91600</v>
      </c>
    </row>
    <row r="6" spans="1:17" x14ac:dyDescent="0.4">
      <c r="A6" s="51" t="s">
        <v>1</v>
      </c>
      <c r="B6" s="144">
        <f>IF(B$2=0,0,(B$7*1+B$8*2+B$9*3)/B$2)</f>
        <v>2.1967213114754101</v>
      </c>
      <c r="C6" s="145"/>
      <c r="E6" s="59" t="s">
        <v>68</v>
      </c>
      <c r="F6" s="56" t="s">
        <v>12</v>
      </c>
      <c r="G6" s="44">
        <v>50</v>
      </c>
      <c r="H6" s="129">
        <f>IF(B$17=0,0,G6/B$17)</f>
        <v>0.34722222222222221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-3603.7735849056603</v>
      </c>
      <c r="P6" s="115">
        <v>53</v>
      </c>
      <c r="Q6" s="99">
        <v>-191000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0.19672131147540983</v>
      </c>
      <c r="E7" s="59" t="s">
        <v>67</v>
      </c>
      <c r="F7" s="56" t="s">
        <v>23</v>
      </c>
      <c r="G7" s="44">
        <v>45</v>
      </c>
      <c r="H7" s="129">
        <f>IF(B$17=0,0,G7/B$17)</f>
        <v>0.3125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-1310.6382978723404</v>
      </c>
      <c r="P7" s="116">
        <v>47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0.4098360655737705</v>
      </c>
      <c r="E8" s="59" t="s">
        <v>70</v>
      </c>
      <c r="F8" s="56" t="s">
        <v>25</v>
      </c>
      <c r="G8" s="44">
        <v>22</v>
      </c>
      <c r="H8" s="129">
        <f>IF(B$17=0,0,G8/B$17)</f>
        <v>0.15277777777777779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0.39344262295081966</v>
      </c>
      <c r="E9" s="59" t="s">
        <v>69</v>
      </c>
      <c r="F9" s="56" t="s">
        <v>24</v>
      </c>
      <c r="G9" s="44">
        <v>21</v>
      </c>
      <c r="H9" s="129">
        <f>IF(B$17=0,0,G9/B$17)</f>
        <v>0.14583333333333334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8.1967213114754092E-2</v>
      </c>
      <c r="E10" s="59" t="s">
        <v>65</v>
      </c>
      <c r="F10" s="56" t="s">
        <v>21</v>
      </c>
      <c r="G10" s="44">
        <v>16</v>
      </c>
      <c r="H10" s="129">
        <f>IF(B$17=0,0,G10/B$17)</f>
        <v>0.1111111111111111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3.2786885245901641E-2</v>
      </c>
      <c r="E11" s="59" t="s">
        <v>89</v>
      </c>
      <c r="F11" s="56" t="s">
        <v>44</v>
      </c>
      <c r="G11" s="44">
        <v>14</v>
      </c>
      <c r="H11" s="129">
        <f>IF(B$17=0,0,G11/B$17)</f>
        <v>9.7222222222222224E-2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8.1967213114754092E-2</v>
      </c>
      <c r="E12" s="59" t="s">
        <v>83</v>
      </c>
      <c r="F12" s="56" t="s">
        <v>38</v>
      </c>
      <c r="G12" s="44">
        <v>9</v>
      </c>
      <c r="H12" s="129">
        <f>IF(B$17=0,0,G12/B$17)</f>
        <v>6.25E-2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-14.158823529411764</v>
      </c>
      <c r="P12" s="116">
        <v>17</v>
      </c>
      <c r="Q12" s="104">
        <v>-240.7</v>
      </c>
    </row>
    <row r="13" spans="1:17" x14ac:dyDescent="0.4">
      <c r="A13" s="54" t="s">
        <v>121</v>
      </c>
      <c r="B13" s="47">
        <v>147</v>
      </c>
      <c r="C13" s="42">
        <f>IF(B$3=0,0,B13/B$3)</f>
        <v>0.28488372093023256</v>
      </c>
      <c r="E13" s="59" t="s">
        <v>71</v>
      </c>
      <c r="F13" s="56" t="s">
        <v>26</v>
      </c>
      <c r="G13" s="44">
        <v>7</v>
      </c>
      <c r="H13" s="129">
        <f>IF(B$17=0,0,G13/B$17)</f>
        <v>4.8611111111111112E-2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98</v>
      </c>
      <c r="C14" s="37">
        <f>IF(B$3=0,0,B14/B$3)</f>
        <v>0.18992248062015504</v>
      </c>
      <c r="E14" s="59" t="s">
        <v>78</v>
      </c>
      <c r="F14" s="56" t="s">
        <v>33</v>
      </c>
      <c r="G14" s="44">
        <v>6</v>
      </c>
      <c r="H14" s="129">
        <f>IF(B$17=0,0,G14/B$17)</f>
        <v>4.1666666666666664E-2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0.59183673469387754</v>
      </c>
      <c r="E15" s="59" t="s">
        <v>86</v>
      </c>
      <c r="F15" s="56" t="s">
        <v>41</v>
      </c>
      <c r="G15" s="44">
        <v>4</v>
      </c>
      <c r="H15" s="129">
        <f>IF(B$17=0,0,G15/B$17)</f>
        <v>2.7777777777777776E-2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0.38775510204081631</v>
      </c>
      <c r="E16" s="59" t="s">
        <v>81</v>
      </c>
      <c r="F16" s="56" t="s">
        <v>36</v>
      </c>
      <c r="G16" s="44">
        <v>3</v>
      </c>
      <c r="H16" s="129">
        <f>IF(B$17=0,0,G16/B$17)</f>
        <v>2.0833333333333332E-2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144</v>
      </c>
      <c r="C17" s="35">
        <f>IF(B$3=0,0,B17/B$3)</f>
        <v>0.27906976744186046</v>
      </c>
      <c r="E17" s="59" t="s">
        <v>167</v>
      </c>
      <c r="F17" s="56" t="s">
        <v>168</v>
      </c>
      <c r="G17" s="44">
        <v>3</v>
      </c>
      <c r="H17" s="129">
        <f>IF(B$17=0,0,G17/B$17)</f>
        <v>2.0833333333333332E-2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>IF(P17=0,0,Q17/P17)</f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65</v>
      </c>
      <c r="C18" s="37">
        <f>IF(B$17=0,0,B18/B$17)</f>
        <v>0.4513888888888889</v>
      </c>
      <c r="E18" s="59" t="s">
        <v>75</v>
      </c>
      <c r="F18" s="56" t="s">
        <v>30</v>
      </c>
      <c r="G18" s="44">
        <v>2</v>
      </c>
      <c r="H18" s="129">
        <f>IF(B$17=0,0,G18/B$17)</f>
        <v>1.3888888888888888E-2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>IF(P18=0,0,Q18/P18)</f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79</v>
      </c>
      <c r="C19" s="37">
        <f>IF(B$17=0,0,B19/B$17)</f>
        <v>0.54861111111111116</v>
      </c>
      <c r="E19" s="59" t="s">
        <v>79</v>
      </c>
      <c r="F19" s="56" t="s">
        <v>34</v>
      </c>
      <c r="G19" s="44">
        <v>2</v>
      </c>
      <c r="H19" s="129">
        <f>IF(B$17=0,0,G19/B$17)</f>
        <v>1.3888888888888888E-2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109</v>
      </c>
      <c r="C20" s="37">
        <f>IF(B$3=0,0,B20/B$3)</f>
        <v>0.21124031007751937</v>
      </c>
      <c r="E20" s="59" t="s">
        <v>91</v>
      </c>
      <c r="F20" s="56" t="s">
        <v>46</v>
      </c>
      <c r="G20" s="44">
        <v>1</v>
      </c>
      <c r="H20" s="129">
        <f>IF(B$17=0,0,G20/B$17)</f>
        <v>6.9444444444444441E-3</v>
      </c>
      <c r="I20" s="90">
        <v>5</v>
      </c>
      <c r="K20" s="36">
        <v>18</v>
      </c>
      <c r="L20" s="95">
        <v>-240</v>
      </c>
      <c r="N20" s="111" t="s">
        <v>127</v>
      </c>
      <c r="O20" s="121">
        <f>IF(P20=0,0,Q20/P20)</f>
        <v>-13.265517241379307</v>
      </c>
      <c r="P20" s="115">
        <v>29</v>
      </c>
      <c r="Q20" s="103">
        <v>-384.69999999999987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>IF(P21=0,0,Q21/P21)</f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8055.5555555555557</v>
      </c>
      <c r="C23" s="39">
        <v>1160000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8575.4716981132078</v>
      </c>
      <c r="C24" s="137">
        <v>909000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-7655.0458715596333</v>
      </c>
      <c r="C26" s="137">
        <v>-834400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3.875968992248062E-3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55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0.83720930232558144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2305.4545454545455</v>
      </c>
      <c r="P2" s="114">
        <v>55</v>
      </c>
      <c r="Q2" s="98">
        <v>126800</v>
      </c>
    </row>
    <row r="3" spans="1:17" x14ac:dyDescent="0.4">
      <c r="A3" s="51" t="s">
        <v>8</v>
      </c>
      <c r="B3" s="150">
        <v>439</v>
      </c>
      <c r="C3" s="151"/>
      <c r="E3" s="59" t="s">
        <v>72</v>
      </c>
      <c r="F3" s="56" t="s">
        <v>27</v>
      </c>
      <c r="G3" s="44">
        <v>75</v>
      </c>
      <c r="H3" s="129">
        <f>IF(B$17=0,0,G3/B$17)</f>
        <v>0.58139534883720934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-2184.9056603773583</v>
      </c>
      <c r="P3" s="115">
        <v>53</v>
      </c>
      <c r="Q3" s="99">
        <v>-115800</v>
      </c>
    </row>
    <row r="4" spans="1:17" x14ac:dyDescent="0.4">
      <c r="A4" s="51" t="s">
        <v>6</v>
      </c>
      <c r="B4" s="152">
        <v>259.10000000000008</v>
      </c>
      <c r="C4" s="153"/>
      <c r="E4" s="59" t="s">
        <v>64</v>
      </c>
      <c r="F4" s="56" t="s">
        <v>20</v>
      </c>
      <c r="G4" s="44">
        <v>66</v>
      </c>
      <c r="H4" s="129">
        <f>IF(B$17=0,0,G4/B$17)</f>
        <v>0.51162790697674421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2293.8775510204082</v>
      </c>
      <c r="P4" s="115">
        <v>49</v>
      </c>
      <c r="Q4" s="99">
        <v>112400</v>
      </c>
    </row>
    <row r="5" spans="1:17" x14ac:dyDescent="0.4">
      <c r="A5" s="51" t="s">
        <v>7</v>
      </c>
      <c r="B5" s="154">
        <f>IF(B$2=0,0,B$4/B$2)</f>
        <v>4.7109090909090927</v>
      </c>
      <c r="C5" s="155"/>
      <c r="E5" s="59" t="s">
        <v>67</v>
      </c>
      <c r="F5" s="56" t="s">
        <v>23</v>
      </c>
      <c r="G5" s="44">
        <v>54</v>
      </c>
      <c r="H5" s="129">
        <f>IF(B$17=0,0,G5/B$17)</f>
        <v>0.41860465116279072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2506.521739130435</v>
      </c>
      <c r="P5" s="115">
        <v>46</v>
      </c>
      <c r="Q5" s="99">
        <v>115300</v>
      </c>
    </row>
    <row r="6" spans="1:17" x14ac:dyDescent="0.4">
      <c r="A6" s="51" t="s">
        <v>1</v>
      </c>
      <c r="B6" s="144">
        <f>IF(B$2=0,0,(B$7*1+B$8*2+B$9*3)/B$2)</f>
        <v>1.9090909090909092</v>
      </c>
      <c r="C6" s="145"/>
      <c r="E6" s="59" t="s">
        <v>171</v>
      </c>
      <c r="F6" s="56" t="s">
        <v>172</v>
      </c>
      <c r="G6" s="44">
        <v>51</v>
      </c>
      <c r="H6" s="129">
        <f>IF(B$17=0,0,G6/B$17)</f>
        <v>0.39534883720930231</v>
      </c>
      <c r="I6" s="90">
        <v>4</v>
      </c>
      <c r="K6" s="36">
        <v>4</v>
      </c>
      <c r="L6" s="95">
        <v>-74.599999999999994</v>
      </c>
      <c r="N6" s="111" t="s">
        <v>134</v>
      </c>
      <c r="O6" s="118">
        <f t="shared" si="0"/>
        <v>-934.88372093023258</v>
      </c>
      <c r="P6" s="115">
        <v>43</v>
      </c>
      <c r="Q6" s="99">
        <v>-40200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0.41818181818181815</v>
      </c>
      <c r="E7" s="59" t="s">
        <v>68</v>
      </c>
      <c r="F7" s="56" t="s">
        <v>12</v>
      </c>
      <c r="G7" s="44">
        <v>50</v>
      </c>
      <c r="H7" s="129">
        <f>IF(B$17=0,0,G7/B$17)</f>
        <v>0.38759689922480622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-388.88888888888891</v>
      </c>
      <c r="P7" s="116">
        <v>36</v>
      </c>
      <c r="Q7" s="100">
        <v>-14000</v>
      </c>
    </row>
    <row r="8" spans="1:17" x14ac:dyDescent="0.4">
      <c r="A8" s="51" t="s">
        <v>3</v>
      </c>
      <c r="B8" s="44">
        <v>14</v>
      </c>
      <c r="C8" s="37">
        <f t="shared" si="1"/>
        <v>0.25454545454545452</v>
      </c>
      <c r="E8" s="59" t="s">
        <v>89</v>
      </c>
      <c r="F8" s="56" t="s">
        <v>44</v>
      </c>
      <c r="G8" s="44">
        <v>30</v>
      </c>
      <c r="H8" s="129">
        <f>IF(B$17=0,0,G8/B$17)</f>
        <v>0.23255813953488372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0.32727272727272727</v>
      </c>
      <c r="E9" s="59" t="s">
        <v>69</v>
      </c>
      <c r="F9" s="56" t="s">
        <v>24</v>
      </c>
      <c r="G9" s="44">
        <v>28</v>
      </c>
      <c r="H9" s="129">
        <f>IF(B$17=0,0,G9/B$17)</f>
        <v>0.21705426356589147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9.0909090909090912E-2</v>
      </c>
      <c r="E10" s="59" t="s">
        <v>65</v>
      </c>
      <c r="F10" s="56" t="s">
        <v>21</v>
      </c>
      <c r="G10" s="44">
        <v>15</v>
      </c>
      <c r="H10" s="129">
        <f>IF(B$17=0,0,G10/B$17)</f>
        <v>0.11627906976744186</v>
      </c>
      <c r="I10" s="90">
        <v>4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0.2</v>
      </c>
      <c r="E11" s="59" t="s">
        <v>70</v>
      </c>
      <c r="F11" s="56" t="s">
        <v>25</v>
      </c>
      <c r="G11" s="44">
        <v>14</v>
      </c>
      <c r="H11" s="129">
        <f>IF(B$17=0,0,G11/B$17)</f>
        <v>0.10852713178294573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7.2759999999999989</v>
      </c>
      <c r="P11" s="115">
        <v>25</v>
      </c>
      <c r="Q11" s="103">
        <v>181.89999999999998</v>
      </c>
    </row>
    <row r="12" spans="1:17" x14ac:dyDescent="0.4">
      <c r="A12" s="53" t="s">
        <v>158</v>
      </c>
      <c r="B12" s="46">
        <v>5</v>
      </c>
      <c r="C12" s="40">
        <f t="shared" si="1"/>
        <v>9.0909090909090912E-2</v>
      </c>
      <c r="E12" s="59" t="s">
        <v>167</v>
      </c>
      <c r="F12" s="56" t="s">
        <v>168</v>
      </c>
      <c r="G12" s="44">
        <v>8</v>
      </c>
      <c r="H12" s="129">
        <f>IF(B$17=0,0,G12/B$17)</f>
        <v>6.2015503875968991E-2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-6.2923076923076922</v>
      </c>
      <c r="P12" s="116">
        <v>13</v>
      </c>
      <c r="Q12" s="104">
        <v>-81.8</v>
      </c>
    </row>
    <row r="13" spans="1:17" x14ac:dyDescent="0.4">
      <c r="A13" s="54" t="s">
        <v>121</v>
      </c>
      <c r="B13" s="47">
        <v>141</v>
      </c>
      <c r="C13" s="42">
        <f>IF(B$3=0,0,B13/B$3)</f>
        <v>0.32118451025056949</v>
      </c>
      <c r="E13" s="59" t="s">
        <v>71</v>
      </c>
      <c r="F13" s="56" t="s">
        <v>26</v>
      </c>
      <c r="G13" s="44">
        <v>7</v>
      </c>
      <c r="H13" s="129">
        <f>IF(B$17=0,0,G13/B$17)</f>
        <v>5.4263565891472867E-2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80</v>
      </c>
      <c r="C14" s="37">
        <f>IF(B$3=0,0,B14/B$3)</f>
        <v>0.18223234624145787</v>
      </c>
      <c r="E14" s="59" t="s">
        <v>83</v>
      </c>
      <c r="F14" s="56" t="s">
        <v>38</v>
      </c>
      <c r="G14" s="44">
        <v>6</v>
      </c>
      <c r="H14" s="129">
        <f>IF(B$17=0,0,G14/B$17)</f>
        <v>4.6511627906976744E-2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75</v>
      </c>
      <c r="C15" s="35">
        <f>IF(B$13=0,0,B15/B$13)</f>
        <v>0.53191489361702127</v>
      </c>
      <c r="E15" s="59" t="s">
        <v>81</v>
      </c>
      <c r="F15" s="56" t="s">
        <v>36</v>
      </c>
      <c r="G15" s="44">
        <v>3</v>
      </c>
      <c r="H15" s="129">
        <f>IF(B$17=0,0,G15/B$17)</f>
        <v>2.3255813953488372E-2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0.46250000000000002</v>
      </c>
      <c r="E16" s="59" t="s">
        <v>86</v>
      </c>
      <c r="F16" s="56" t="s">
        <v>41</v>
      </c>
      <c r="G16" s="44">
        <v>3</v>
      </c>
      <c r="H16" s="129">
        <f>IF(B$17=0,0,G16/B$17)</f>
        <v>2.3255813953488372E-2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129</v>
      </c>
      <c r="C17" s="35">
        <f>IF(B$3=0,0,B17/B$3)</f>
        <v>0.29384965831435078</v>
      </c>
      <c r="E17" s="59" t="s">
        <v>92</v>
      </c>
      <c r="F17" s="56" t="s">
        <v>47</v>
      </c>
      <c r="G17" s="44">
        <v>3</v>
      </c>
      <c r="H17" s="129">
        <f>IF(B$17=0,0,G17/B$17)</f>
        <v>2.3255813953488372E-2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64</v>
      </c>
      <c r="C18" s="37">
        <f>IF(B$17=0,0,B18/B$17)</f>
        <v>0.49612403100775193</v>
      </c>
      <c r="E18" s="59" t="s">
        <v>91</v>
      </c>
      <c r="F18" s="56" t="s">
        <v>46</v>
      </c>
      <c r="G18" s="44">
        <v>2</v>
      </c>
      <c r="H18" s="129">
        <f>IF(B$17=0,0,G18/B$17)</f>
        <v>1.5503875968992248E-2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16.168965517241379</v>
      </c>
      <c r="P18" s="115">
        <v>29</v>
      </c>
      <c r="Q18" s="103">
        <v>468.9</v>
      </c>
    </row>
    <row r="19" spans="1:17" x14ac:dyDescent="0.4">
      <c r="A19" s="51" t="s">
        <v>11</v>
      </c>
      <c r="B19" s="44">
        <v>65</v>
      </c>
      <c r="C19" s="37">
        <f>IF(B$17=0,0,B19/B$17)</f>
        <v>0.50387596899224807</v>
      </c>
      <c r="E19" s="59" t="s">
        <v>73</v>
      </c>
      <c r="F19" s="56" t="s">
        <v>28</v>
      </c>
      <c r="G19" s="44">
        <v>1</v>
      </c>
      <c r="H19" s="129">
        <f>IF(B$17=0,0,G19/B$17)</f>
        <v>7.7519379844961239E-3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8.8999999999999986</v>
      </c>
      <c r="P19" s="115">
        <v>21</v>
      </c>
      <c r="Q19" s="103">
        <v>186.89999999999998</v>
      </c>
    </row>
    <row r="20" spans="1:17" x14ac:dyDescent="0.4">
      <c r="A20" s="51" t="s">
        <v>13</v>
      </c>
      <c r="B20" s="44">
        <v>71</v>
      </c>
      <c r="C20" s="37">
        <f>IF(B$3=0,0,B20/B$3)</f>
        <v>0.16173120728929385</v>
      </c>
      <c r="E20" s="59" t="s">
        <v>75</v>
      </c>
      <c r="F20" s="56" t="s">
        <v>30</v>
      </c>
      <c r="G20" s="44">
        <v>1</v>
      </c>
      <c r="H20" s="129">
        <f>IF(B$17=0,0,G20/B$17)</f>
        <v>7.7519379844961239E-3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 t="shared" si="2"/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7.7519379844961239E-3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2</v>
      </c>
      <c r="E22" s="59" t="s">
        <v>85</v>
      </c>
      <c r="F22" s="56" t="s">
        <v>40</v>
      </c>
      <c r="G22" s="44">
        <v>1</v>
      </c>
      <c r="H22" s="129">
        <f>IF(B$17=0,0,G22/B$17)</f>
        <v>7.7519379844961239E-3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10435.658914728681</v>
      </c>
      <c r="C23" s="39">
        <v>1346200</v>
      </c>
      <c r="E23" s="59" t="s">
        <v>90</v>
      </c>
      <c r="F23" s="56" t="s">
        <v>45</v>
      </c>
      <c r="G23" s="44">
        <v>1</v>
      </c>
      <c r="H23" s="129">
        <f>IF(B$17=0,0,G23/B$17)</f>
        <v>7.7519379844961239E-3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11425</v>
      </c>
      <c r="C24" s="137">
        <v>1051100</v>
      </c>
      <c r="E24" s="59" t="s">
        <v>93</v>
      </c>
      <c r="F24" s="56" t="s">
        <v>48</v>
      </c>
      <c r="G24" s="44">
        <v>1</v>
      </c>
      <c r="H24" s="129">
        <f>IF(B$17=0,0,G24/B$17)</f>
        <v>7.7519379844961239E-3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-8325.352112676057</v>
      </c>
      <c r="C26" s="137">
        <v>-591100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</sheetData>
  <sortState xmlns:xlrd2="http://schemas.microsoft.com/office/spreadsheetml/2017/richdata2" ref="E2:I58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77</v>
      </c>
      <c r="C2" s="149"/>
      <c r="E2" s="58" t="s">
        <v>66</v>
      </c>
      <c r="F2" s="55" t="s">
        <v>22</v>
      </c>
      <c r="G2" s="43">
        <v>136</v>
      </c>
      <c r="H2" s="128">
        <f>IF(B$17=0,0,G2/B$17)</f>
        <v>0.78612716763005785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1089.6103896103896</v>
      </c>
      <c r="P2" s="114">
        <v>77</v>
      </c>
      <c r="Q2" s="98">
        <v>83900</v>
      </c>
    </row>
    <row r="3" spans="1:17" x14ac:dyDescent="0.4">
      <c r="A3" s="51" t="s">
        <v>8</v>
      </c>
      <c r="B3" s="150">
        <v>617</v>
      </c>
      <c r="C3" s="151"/>
      <c r="E3" s="59" t="s">
        <v>72</v>
      </c>
      <c r="F3" s="56" t="s">
        <v>27</v>
      </c>
      <c r="G3" s="44">
        <v>110</v>
      </c>
      <c r="H3" s="129">
        <f>IF(B$17=0,0,G3/B$17)</f>
        <v>0.63583815028901736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831.08108108108104</v>
      </c>
      <c r="P3" s="115">
        <v>74</v>
      </c>
      <c r="Q3" s="99">
        <v>61500</v>
      </c>
    </row>
    <row r="4" spans="1:17" x14ac:dyDescent="0.4">
      <c r="A4" s="51" t="s">
        <v>6</v>
      </c>
      <c r="B4" s="152">
        <v>-87.299999999999969</v>
      </c>
      <c r="C4" s="153"/>
      <c r="E4" s="59" t="s">
        <v>64</v>
      </c>
      <c r="F4" s="56" t="s">
        <v>20</v>
      </c>
      <c r="G4" s="44">
        <v>85</v>
      </c>
      <c r="H4" s="129">
        <f>IF(B$17=0,0,G4/B$17)</f>
        <v>0.4913294797687861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-1097.1014492753623</v>
      </c>
      <c r="P4" s="115">
        <v>69</v>
      </c>
      <c r="Q4" s="99">
        <v>-75700</v>
      </c>
    </row>
    <row r="5" spans="1:17" x14ac:dyDescent="0.4">
      <c r="A5" s="51" t="s">
        <v>7</v>
      </c>
      <c r="B5" s="154">
        <f>IF(B$2=0,0,B$4/B$2)</f>
        <v>-1.1337662337662333</v>
      </c>
      <c r="C5" s="155"/>
      <c r="E5" s="59" t="s">
        <v>171</v>
      </c>
      <c r="F5" s="56" t="s">
        <v>172</v>
      </c>
      <c r="G5" s="44">
        <v>81</v>
      </c>
      <c r="H5" s="129">
        <f>IF(B$17=0,0,G5/B$17)</f>
        <v>0.46820809248554912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323.8095238095238</v>
      </c>
      <c r="P5" s="115">
        <v>63</v>
      </c>
      <c r="Q5" s="99">
        <v>20400</v>
      </c>
    </row>
    <row r="6" spans="1:17" x14ac:dyDescent="0.4">
      <c r="A6" s="51" t="s">
        <v>1</v>
      </c>
      <c r="B6" s="144">
        <f>IF(B$2=0,0,(B$7*1+B$8*2+B$9*3)/B$2)</f>
        <v>2.0779220779220777</v>
      </c>
      <c r="C6" s="145"/>
      <c r="E6" s="59" t="s">
        <v>67</v>
      </c>
      <c r="F6" s="56" t="s">
        <v>23</v>
      </c>
      <c r="G6" s="44">
        <v>70</v>
      </c>
      <c r="H6" s="129">
        <f>IF(B$17=0,0,G6/B$17)</f>
        <v>0.40462427745664742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-540.35087719298247</v>
      </c>
      <c r="P6" s="115">
        <v>57</v>
      </c>
      <c r="Q6" s="99">
        <v>-30800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0.20779220779220781</v>
      </c>
      <c r="E7" s="59" t="s">
        <v>68</v>
      </c>
      <c r="F7" s="56" t="s">
        <v>12</v>
      </c>
      <c r="G7" s="44">
        <v>57</v>
      </c>
      <c r="H7" s="129">
        <f>IF(B$17=0,0,G7/B$17)</f>
        <v>0.32947976878612717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-1202</v>
      </c>
      <c r="P7" s="116">
        <v>50</v>
      </c>
      <c r="Q7" s="100">
        <v>-60100</v>
      </c>
    </row>
    <row r="8" spans="1:17" x14ac:dyDescent="0.4">
      <c r="A8" s="51" t="s">
        <v>3</v>
      </c>
      <c r="B8" s="44">
        <v>39</v>
      </c>
      <c r="C8" s="37">
        <f t="shared" si="1"/>
        <v>0.50649350649350644</v>
      </c>
      <c r="E8" s="59" t="s">
        <v>69</v>
      </c>
      <c r="F8" s="56" t="s">
        <v>24</v>
      </c>
      <c r="G8" s="44">
        <v>23</v>
      </c>
      <c r="H8" s="129">
        <f>IF(B$17=0,0,G8/B$17)</f>
        <v>0.13294797687861271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0.2857142857142857</v>
      </c>
      <c r="E9" s="59" t="s">
        <v>89</v>
      </c>
      <c r="F9" s="56" t="s">
        <v>44</v>
      </c>
      <c r="G9" s="44">
        <v>16</v>
      </c>
      <c r="H9" s="129">
        <f>IF(B$17=0,0,G9/B$17)</f>
        <v>9.2485549132947972E-2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7.792207792207792E-2</v>
      </c>
      <c r="E10" s="59" t="s">
        <v>71</v>
      </c>
      <c r="F10" s="56" t="s">
        <v>26</v>
      </c>
      <c r="G10" s="44">
        <v>15</v>
      </c>
      <c r="H10" s="129">
        <f>IF(B$17=0,0,G10/B$17)</f>
        <v>8.6705202312138727E-2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-1.0687500000000001</v>
      </c>
      <c r="P10" s="114">
        <v>32</v>
      </c>
      <c r="Q10" s="102">
        <v>-34.200000000000003</v>
      </c>
    </row>
    <row r="11" spans="1:17" x14ac:dyDescent="0.4">
      <c r="A11" s="52" t="s">
        <v>138</v>
      </c>
      <c r="B11" s="45">
        <v>6</v>
      </c>
      <c r="C11" s="38">
        <f t="shared" si="1"/>
        <v>7.792207792207792E-2</v>
      </c>
      <c r="E11" s="59" t="s">
        <v>70</v>
      </c>
      <c r="F11" s="56" t="s">
        <v>25</v>
      </c>
      <c r="G11" s="44">
        <v>13</v>
      </c>
      <c r="H11" s="129">
        <f>IF(B$17=0,0,G11/B$17)</f>
        <v>7.5144508670520235E-2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3.9045454545454543</v>
      </c>
      <c r="P11" s="115">
        <v>22</v>
      </c>
      <c r="Q11" s="103">
        <v>85.899999999999991</v>
      </c>
    </row>
    <row r="12" spans="1:17" x14ac:dyDescent="0.4">
      <c r="A12" s="53" t="s">
        <v>158</v>
      </c>
      <c r="B12" s="46">
        <v>3</v>
      </c>
      <c r="C12" s="40">
        <f t="shared" si="1"/>
        <v>3.896103896103896E-2</v>
      </c>
      <c r="E12" s="59" t="s">
        <v>65</v>
      </c>
      <c r="F12" s="56" t="s">
        <v>21</v>
      </c>
      <c r="G12" s="44">
        <v>12</v>
      </c>
      <c r="H12" s="129">
        <f>IF(B$17=0,0,G12/B$17)</f>
        <v>6.9364161849710976E-2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-6.0434782608695654</v>
      </c>
      <c r="P12" s="116">
        <v>23</v>
      </c>
      <c r="Q12" s="104">
        <v>-139</v>
      </c>
    </row>
    <row r="13" spans="1:17" x14ac:dyDescent="0.4">
      <c r="A13" s="54" t="s">
        <v>121</v>
      </c>
      <c r="B13" s="47">
        <v>156</v>
      </c>
      <c r="C13" s="42">
        <f>IF(B$3=0,0,B13/B$3)</f>
        <v>0.25283630470016205</v>
      </c>
      <c r="E13" s="59" t="s">
        <v>86</v>
      </c>
      <c r="F13" s="56" t="s">
        <v>41</v>
      </c>
      <c r="G13" s="44">
        <v>8</v>
      </c>
      <c r="H13" s="129">
        <f>IF(B$17=0,0,G13/B$17)</f>
        <v>4.6242774566473986E-2</v>
      </c>
      <c r="I13" s="90">
        <v>4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147</v>
      </c>
      <c r="C14" s="37">
        <f>IF(B$3=0,0,B14/B$3)</f>
        <v>0.23824959481361427</v>
      </c>
      <c r="E14" s="59" t="s">
        <v>79</v>
      </c>
      <c r="F14" s="56" t="s">
        <v>34</v>
      </c>
      <c r="G14" s="44">
        <v>6</v>
      </c>
      <c r="H14" s="129">
        <f>IF(B$17=0,0,G14/B$17)</f>
        <v>3.4682080924855488E-2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89</v>
      </c>
      <c r="C15" s="35">
        <f>IF(B$13=0,0,B15/B$13)</f>
        <v>0.57051282051282048</v>
      </c>
      <c r="E15" s="59" t="s">
        <v>83</v>
      </c>
      <c r="F15" s="56" t="s">
        <v>38</v>
      </c>
      <c r="G15" s="44">
        <v>6</v>
      </c>
      <c r="H15" s="129">
        <f>IF(B$17=0,0,G15/B$17)</f>
        <v>3.4682080924855488E-2</v>
      </c>
      <c r="I15" s="90">
        <v>11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59</v>
      </c>
      <c r="C16" s="35">
        <f>IF(B$14=0,0,B16/B$14)</f>
        <v>0.40136054421768708</v>
      </c>
      <c r="E16" s="59" t="s">
        <v>167</v>
      </c>
      <c r="F16" s="56" t="s">
        <v>168</v>
      </c>
      <c r="G16" s="44">
        <v>4</v>
      </c>
      <c r="H16" s="129">
        <f>IF(B$17=0,0,G16/B$17)</f>
        <v>2.3121387283236993E-2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173</v>
      </c>
      <c r="C17" s="35">
        <f>IF(B$3=0,0,B17/B$3)</f>
        <v>0.28038897893030795</v>
      </c>
      <c r="E17" s="59" t="s">
        <v>73</v>
      </c>
      <c r="F17" s="56" t="s">
        <v>28</v>
      </c>
      <c r="G17" s="44">
        <v>3</v>
      </c>
      <c r="H17" s="129">
        <f>IF(B$17=0,0,G17/B$17)</f>
        <v>1.7341040462427744E-2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78</v>
      </c>
      <c r="C18" s="37">
        <f>IF(B$17=0,0,B18/B$17)</f>
        <v>0.45086705202312138</v>
      </c>
      <c r="E18" s="59" t="s">
        <v>78</v>
      </c>
      <c r="F18" s="56" t="s">
        <v>33</v>
      </c>
      <c r="G18" s="44">
        <v>3</v>
      </c>
      <c r="H18" s="129">
        <f>IF(B$17=0,0,G18/B$17)</f>
        <v>1.7341040462427744E-2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95</v>
      </c>
      <c r="C19" s="37">
        <f>IF(B$17=0,0,B19/B$17)</f>
        <v>0.54913294797687862</v>
      </c>
      <c r="E19" s="59" t="s">
        <v>81</v>
      </c>
      <c r="F19" s="56" t="s">
        <v>36</v>
      </c>
      <c r="G19" s="44">
        <v>2</v>
      </c>
      <c r="H19" s="129">
        <f>IF(B$17=0,0,G19/B$17)</f>
        <v>1.1560693641618497E-2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83</v>
      </c>
      <c r="C20" s="37">
        <f>IF(B$3=0,0,B20/B$3)</f>
        <v>0.13452188006482982</v>
      </c>
      <c r="E20" s="59" t="s">
        <v>74</v>
      </c>
      <c r="F20" s="56" t="s">
        <v>29</v>
      </c>
      <c r="G20" s="44">
        <v>1</v>
      </c>
      <c r="H20" s="129">
        <f>IF(B$17=0,0,G20/B$17)</f>
        <v>5.7803468208092483E-3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-0.50000000000000044</v>
      </c>
      <c r="P20" s="115">
        <v>15</v>
      </c>
      <c r="Q20" s="103">
        <v>-7.5000000000000071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5.7803468208092483E-3</v>
      </c>
      <c r="I21" s="90">
        <v>3</v>
      </c>
      <c r="K21" s="36">
        <v>19</v>
      </c>
      <c r="L21" s="95">
        <v>-56.399999999999991</v>
      </c>
      <c r="N21" s="111" t="s">
        <v>127</v>
      </c>
      <c r="O21" s="121">
        <f t="shared" si="2"/>
        <v>-8.1034482758620694</v>
      </c>
      <c r="P21" s="115">
        <v>29</v>
      </c>
      <c r="Q21" s="103">
        <v>-235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87</v>
      </c>
      <c r="F22" s="56" t="s">
        <v>42</v>
      </c>
      <c r="G22" s="44">
        <v>1</v>
      </c>
      <c r="H22" s="129">
        <f>IF(B$17=0,0,G22/B$17)</f>
        <v>5.7803468208092483E-3</v>
      </c>
      <c r="I22" s="90">
        <v>2</v>
      </c>
      <c r="K22" s="36">
        <v>20</v>
      </c>
      <c r="L22" s="95">
        <v>-93.199999999999989</v>
      </c>
      <c r="N22" s="111" t="s">
        <v>126</v>
      </c>
      <c r="O22" s="121">
        <f t="shared" si="2"/>
        <v>-13.224242424242425</v>
      </c>
      <c r="P22" s="115">
        <v>33</v>
      </c>
      <c r="Q22" s="103">
        <v>-436.40000000000003</v>
      </c>
    </row>
    <row r="23" spans="1:17" x14ac:dyDescent="0.4">
      <c r="A23" s="51" t="s">
        <v>5</v>
      </c>
      <c r="B23" s="48">
        <f>IF(B$17=0,0,C23/B$17)</f>
        <v>8409.2485549132944</v>
      </c>
      <c r="C23" s="39">
        <v>1454800</v>
      </c>
      <c r="E23" s="59" t="s">
        <v>88</v>
      </c>
      <c r="F23" s="56" t="s">
        <v>43</v>
      </c>
      <c r="G23" s="44">
        <v>1</v>
      </c>
      <c r="H23" s="129">
        <f>IF(B$17=0,0,G23/B$17)</f>
        <v>5.7803468208092483E-3</v>
      </c>
      <c r="I23" s="90">
        <v>3</v>
      </c>
      <c r="K23" s="36">
        <v>21</v>
      </c>
      <c r="L23" s="95">
        <v>-123.69999999999999</v>
      </c>
      <c r="N23" s="111" t="s">
        <v>177</v>
      </c>
      <c r="O23" s="121">
        <f t="shared" si="2"/>
        <v>-16.168965517241379</v>
      </c>
      <c r="P23" s="115">
        <v>29</v>
      </c>
      <c r="Q23" s="103">
        <v>-468.9</v>
      </c>
    </row>
    <row r="24" spans="1:17" x14ac:dyDescent="0.4">
      <c r="A24" s="52" t="s">
        <v>216</v>
      </c>
      <c r="B24" s="136">
        <f>IF($B$17-B$16=0,0,C24/($B$17-B$16))</f>
        <v>9442.105263157895</v>
      </c>
      <c r="C24" s="137">
        <v>1076400</v>
      </c>
      <c r="E24" s="59" t="s">
        <v>91</v>
      </c>
      <c r="F24" s="56" t="s">
        <v>46</v>
      </c>
      <c r="G24" s="44">
        <v>1</v>
      </c>
      <c r="H24" s="129">
        <f>IF(B$17=0,0,G24/B$17)</f>
        <v>5.7803468208092483E-3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6413.5593220338988</v>
      </c>
      <c r="C25" s="137">
        <v>378400</v>
      </c>
      <c r="E25" s="59" t="s">
        <v>101</v>
      </c>
      <c r="F25" s="56" t="s">
        <v>56</v>
      </c>
      <c r="G25" s="44">
        <v>1</v>
      </c>
      <c r="H25" s="129">
        <f>IF(B$17=0,0,G25/B$17)</f>
        <v>5.7803468208092483E-3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-8059.0361445783128</v>
      </c>
      <c r="C26" s="137">
        <v>-668900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8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3.2414910858995136E-3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</sheetData>
  <sortState xmlns:xlrd2="http://schemas.microsoft.com/office/spreadsheetml/2017/richdata2" ref="E2:I8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8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10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>IF(P17=0,0,Q17/P17)</f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8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8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9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2019-10-31T12:30:02Z</dcterms:modified>
</cp:coreProperties>
</file>