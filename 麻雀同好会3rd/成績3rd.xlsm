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E9945DE-7EDA-4C59-AAE7-BBD901D89D69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71" r:id="rId6"/>
    <sheet name="たかの" sheetId="5973" r:id="rId7"/>
    <sheet name="だいち" sheetId="5975" r:id="rId8"/>
    <sheet name="ただ" sheetId="5977" r:id="rId9"/>
    <sheet name="りくと" sheetId="5979" r:id="rId10"/>
    <sheet name="れんたろう" sheetId="5981" r:id="rId11"/>
    <sheet name="まっつん" sheetId="5983" r:id="rId12"/>
    <sheet name="のり" sheetId="5985" r:id="rId13"/>
    <sheet name="ぱぱ" sheetId="5987" r:id="rId14"/>
    <sheet name="ほたに" sheetId="5989" r:id="rId15"/>
    <sheet name="いっしー" sheetId="5991" r:id="rId16"/>
    <sheet name="いっしー2" sheetId="5992" state="hidden" r:id="rId17"/>
    <sheet name="ほたに2" sheetId="5990" state="hidden" r:id="rId18"/>
    <sheet name="ぱぱ2" sheetId="5988" state="hidden" r:id="rId19"/>
    <sheet name="のり2" sheetId="5986" state="hidden" r:id="rId20"/>
    <sheet name="まっつん2" sheetId="5984" state="hidden" r:id="rId21"/>
    <sheet name="れんたろう2" sheetId="5982" state="hidden" r:id="rId22"/>
    <sheet name="りくと2" sheetId="5980" state="hidden" r:id="rId23"/>
    <sheet name="ただ2" sheetId="5978" state="hidden" r:id="rId24"/>
    <sheet name="だいち2" sheetId="5976" state="hidden" r:id="rId25"/>
    <sheet name="たかの2" sheetId="5974" state="hidden" r:id="rId26"/>
    <sheet name="全体2" sheetId="597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83" l="1"/>
  <c r="O17" i="5991"/>
  <c r="O22" i="5975"/>
  <c r="O16" i="5991"/>
  <c r="O15" i="5991"/>
  <c r="C30" i="5991"/>
  <c r="B25" i="5991"/>
  <c r="C16" i="5991"/>
  <c r="B15" i="5991"/>
  <c r="H50" i="5991" s="1"/>
  <c r="B14" i="5991"/>
  <c r="B24" i="5991" s="1"/>
  <c r="C13" i="5991"/>
  <c r="B13" i="5991"/>
  <c r="O12" i="5991"/>
  <c r="C12" i="5991"/>
  <c r="O11" i="5991"/>
  <c r="C11" i="5991"/>
  <c r="O10" i="5991"/>
  <c r="C10" i="5991"/>
  <c r="C9" i="5991"/>
  <c r="C8" i="5991"/>
  <c r="O7" i="5991"/>
  <c r="C7" i="5991"/>
  <c r="O6" i="5991"/>
  <c r="B6" i="5991"/>
  <c r="O5" i="5991"/>
  <c r="B5" i="5991"/>
  <c r="O4" i="5991"/>
  <c r="O3" i="5991"/>
  <c r="O2" i="5991"/>
  <c r="O17" i="5985"/>
  <c r="O24" i="5971"/>
  <c r="H10" i="5991" l="1"/>
  <c r="H13" i="5991"/>
  <c r="H7" i="5991"/>
  <c r="C14" i="5991"/>
  <c r="H12" i="5991"/>
  <c r="H17" i="5991"/>
  <c r="C19" i="5991"/>
  <c r="H8" i="5991"/>
  <c r="H27" i="5991"/>
  <c r="H34" i="5991"/>
  <c r="C36" i="5991"/>
  <c r="H39" i="5991"/>
  <c r="H42" i="5991"/>
  <c r="C44" i="5991"/>
  <c r="H49" i="5991"/>
  <c r="H16" i="5991"/>
  <c r="B22" i="5991"/>
  <c r="C34" i="5991"/>
  <c r="H37" i="5991"/>
  <c r="H40" i="5991"/>
  <c r="C42" i="5991"/>
  <c r="H45" i="5991"/>
  <c r="H51" i="5991"/>
  <c r="H15" i="5991"/>
  <c r="C17" i="5991"/>
  <c r="H32" i="5991"/>
  <c r="H4" i="5991"/>
  <c r="C15" i="5991"/>
  <c r="H25" i="5991"/>
  <c r="C32" i="5991"/>
  <c r="H35" i="5991"/>
  <c r="H38" i="5991"/>
  <c r="C40" i="5991"/>
  <c r="H47" i="5991"/>
  <c r="H11" i="5991"/>
  <c r="H22" i="5991"/>
  <c r="H28" i="5991"/>
  <c r="H14" i="5991"/>
  <c r="H20" i="5991"/>
  <c r="C20" i="5991"/>
  <c r="H29" i="5991"/>
  <c r="H43" i="5991"/>
  <c r="H6" i="5991"/>
  <c r="H3" i="5991"/>
  <c r="H9" i="5991"/>
  <c r="H2" i="5991"/>
  <c r="H18" i="5991"/>
  <c r="C18" i="5991"/>
  <c r="C21" i="5991"/>
  <c r="H30" i="5991"/>
  <c r="H33" i="5991"/>
  <c r="H36" i="5991"/>
  <c r="C38" i="5991"/>
  <c r="H41" i="5991"/>
  <c r="H44" i="5991"/>
  <c r="H48" i="5991"/>
  <c r="H52" i="5991"/>
  <c r="B23" i="5991"/>
  <c r="H19" i="5991"/>
  <c r="H21" i="5991"/>
  <c r="H23" i="5991"/>
  <c r="H24" i="5991"/>
  <c r="H26" i="5991"/>
  <c r="H5" i="5991"/>
  <c r="H31" i="5991"/>
  <c r="C33" i="5991"/>
  <c r="C35" i="5991"/>
  <c r="C37" i="5991"/>
  <c r="C39" i="5991"/>
  <c r="C41" i="5991"/>
  <c r="C43" i="5991"/>
  <c r="H46" i="5991"/>
  <c r="O21" i="5973" l="1"/>
  <c r="O16" i="5981"/>
  <c r="O15" i="5981" l="1"/>
  <c r="O19" i="5989"/>
  <c r="O15" i="5979" l="1"/>
  <c r="O20" i="5985"/>
  <c r="O16" i="5989" l="1"/>
  <c r="O22" i="5979"/>
  <c r="O20" i="5973" l="1"/>
  <c r="O16" i="5975"/>
  <c r="O15" i="5985"/>
  <c r="O21" i="5985"/>
  <c r="O19" i="5983" l="1"/>
  <c r="O18" i="5987"/>
  <c r="O16" i="5977" l="1"/>
  <c r="O17" i="5983"/>
  <c r="O19" i="5985"/>
  <c r="O18" i="5985"/>
  <c r="O15" i="5973" l="1"/>
  <c r="O17" i="5987"/>
  <c r="O19" i="5987"/>
  <c r="O18" i="5979"/>
  <c r="O19" i="5977" l="1"/>
  <c r="O21" i="5981"/>
  <c r="O19" i="5981" l="1"/>
  <c r="O21" i="5975"/>
  <c r="O23" i="5985"/>
  <c r="O17" i="5989"/>
  <c r="O15" i="5989"/>
  <c r="O21" i="5987"/>
  <c r="O15" i="5977" l="1"/>
  <c r="O21" i="5977"/>
  <c r="O18" i="5989"/>
  <c r="O20" i="5989"/>
  <c r="C30" i="5989"/>
  <c r="B25" i="5989"/>
  <c r="C16" i="5989"/>
  <c r="B15" i="5989"/>
  <c r="H50" i="5989" s="1"/>
  <c r="B14" i="5989"/>
  <c r="B24" i="5989" s="1"/>
  <c r="B13" i="5989"/>
  <c r="C13" i="5989" s="1"/>
  <c r="O12" i="5989"/>
  <c r="C12" i="5989"/>
  <c r="O11" i="5989"/>
  <c r="C11" i="5989"/>
  <c r="O10" i="5989"/>
  <c r="C10" i="5989"/>
  <c r="C9" i="5989"/>
  <c r="C8" i="5989"/>
  <c r="O7" i="5989"/>
  <c r="C7" i="5989"/>
  <c r="O6" i="5989"/>
  <c r="B6" i="5989"/>
  <c r="O5" i="5989"/>
  <c r="B5" i="5989"/>
  <c r="O4" i="5989"/>
  <c r="O3" i="5989"/>
  <c r="O2" i="5989"/>
  <c r="O21" i="5983"/>
  <c r="O15" i="5983"/>
  <c r="O16" i="5971"/>
  <c r="H52" i="5989" l="1"/>
  <c r="C14" i="5989"/>
  <c r="H7" i="5989"/>
  <c r="H17" i="5989"/>
  <c r="H30" i="5989"/>
  <c r="H10" i="5989"/>
  <c r="H12" i="5989"/>
  <c r="H3" i="5989"/>
  <c r="H2" i="5989"/>
  <c r="H8" i="5989"/>
  <c r="C18" i="5989"/>
  <c r="C38" i="5989"/>
  <c r="H41" i="5989"/>
  <c r="C21" i="5989"/>
  <c r="H33" i="5989"/>
  <c r="H44" i="5989"/>
  <c r="H11" i="5989"/>
  <c r="H5" i="5989"/>
  <c r="H18" i="5989"/>
  <c r="H20" i="5989"/>
  <c r="H36" i="5989"/>
  <c r="H48" i="5989"/>
  <c r="H19" i="5989"/>
  <c r="C19" i="5989"/>
  <c r="H14" i="5989"/>
  <c r="H27" i="5989"/>
  <c r="H34" i="5989"/>
  <c r="C36" i="5989"/>
  <c r="H39" i="5989"/>
  <c r="H42" i="5989"/>
  <c r="C44" i="5989"/>
  <c r="H49" i="5989"/>
  <c r="C17" i="5989"/>
  <c r="H23" i="5989"/>
  <c r="B22" i="5989"/>
  <c r="H28" i="5989"/>
  <c r="H32" i="5989"/>
  <c r="C34" i="5989"/>
  <c r="H37" i="5989"/>
  <c r="H40" i="5989"/>
  <c r="C42" i="5989"/>
  <c r="H45" i="5989"/>
  <c r="H51" i="5989"/>
  <c r="H4" i="5989"/>
  <c r="H16" i="5989"/>
  <c r="C15" i="5989"/>
  <c r="H13" i="5989"/>
  <c r="C20" i="5989"/>
  <c r="H26" i="5989"/>
  <c r="H29" i="5989"/>
  <c r="C32" i="5989"/>
  <c r="H35" i="5989"/>
  <c r="H38" i="5989"/>
  <c r="C40" i="5989"/>
  <c r="H43" i="5989"/>
  <c r="H47" i="5989"/>
  <c r="H6" i="5989"/>
  <c r="B23" i="5989"/>
  <c r="H21" i="5989"/>
  <c r="H22" i="5989"/>
  <c r="H24" i="5989"/>
  <c r="H25" i="5989"/>
  <c r="H15" i="5989"/>
  <c r="H9" i="5989"/>
  <c r="H31" i="5989"/>
  <c r="C33" i="5989"/>
  <c r="C35" i="5989"/>
  <c r="C37" i="5989"/>
  <c r="C39" i="5989"/>
  <c r="C41" i="5989"/>
  <c r="C43" i="5989"/>
  <c r="H46" i="5989"/>
  <c r="O18" i="5975" l="1"/>
  <c r="O21" i="5979"/>
  <c r="O17" i="5975" l="1"/>
  <c r="O20" i="5983"/>
  <c r="O23" i="5983"/>
  <c r="O16" i="5973"/>
  <c r="O17" i="5977"/>
  <c r="O16" i="5979"/>
  <c r="O20" i="5979"/>
  <c r="O19" i="5973"/>
  <c r="O18" i="5977"/>
  <c r="O15" i="5975"/>
  <c r="O20" i="5987"/>
  <c r="O22" i="5987"/>
  <c r="O22" i="5981" l="1"/>
  <c r="O17" i="5981"/>
  <c r="O15" i="5987"/>
  <c r="O16" i="5987"/>
  <c r="C30" i="5987"/>
  <c r="B25" i="5987"/>
  <c r="C16" i="5987"/>
  <c r="B15" i="5987"/>
  <c r="H51" i="5987" s="1"/>
  <c r="B14" i="5987"/>
  <c r="B24" i="5987" s="1"/>
  <c r="B13" i="5987"/>
  <c r="C13" i="5987" s="1"/>
  <c r="O12" i="5987"/>
  <c r="C12" i="5987"/>
  <c r="O11" i="5987"/>
  <c r="C11" i="5987"/>
  <c r="O10" i="5987"/>
  <c r="C10" i="5987"/>
  <c r="C9" i="5987"/>
  <c r="C8" i="5987"/>
  <c r="O7" i="5987"/>
  <c r="C7" i="5987"/>
  <c r="O6" i="5987"/>
  <c r="B6" i="5987"/>
  <c r="O5" i="5987"/>
  <c r="B5" i="5987"/>
  <c r="O4" i="5987"/>
  <c r="O3" i="5987"/>
  <c r="O2" i="5987"/>
  <c r="O15" i="5971"/>
  <c r="O16" i="5985"/>
  <c r="O22" i="5985"/>
  <c r="C30" i="5985"/>
  <c r="B25" i="5985"/>
  <c r="C16" i="5985"/>
  <c r="B15" i="5985"/>
  <c r="H50" i="5985" s="1"/>
  <c r="B14" i="5985"/>
  <c r="B24" i="5985" s="1"/>
  <c r="B13" i="5985"/>
  <c r="C13" i="5985" s="1"/>
  <c r="O12" i="5985"/>
  <c r="C12" i="5985"/>
  <c r="O11" i="5985"/>
  <c r="C11" i="5985"/>
  <c r="O10" i="5985"/>
  <c r="C10" i="5985"/>
  <c r="C9" i="5985"/>
  <c r="C8" i="5985"/>
  <c r="O7" i="5985"/>
  <c r="C7" i="5985"/>
  <c r="O6" i="5985"/>
  <c r="B6" i="5985"/>
  <c r="O5" i="5985"/>
  <c r="B5" i="5985"/>
  <c r="O4" i="5985"/>
  <c r="O3" i="5985"/>
  <c r="O2" i="5985"/>
  <c r="O20" i="5971"/>
  <c r="C14" i="5985" l="1"/>
  <c r="C14" i="5987"/>
  <c r="H9" i="5987"/>
  <c r="H11" i="5987"/>
  <c r="H4" i="5987"/>
  <c r="H16" i="5987"/>
  <c r="H33" i="5987"/>
  <c r="H7" i="5987"/>
  <c r="H8" i="5987"/>
  <c r="H23" i="5987"/>
  <c r="C19" i="5987"/>
  <c r="H15" i="5987"/>
  <c r="H19" i="5987"/>
  <c r="H35" i="5987"/>
  <c r="C36" i="5987"/>
  <c r="H40" i="5987"/>
  <c r="H43" i="5987"/>
  <c r="C44" i="5987"/>
  <c r="H50" i="5987"/>
  <c r="H22" i="5987"/>
  <c r="C17" i="5987"/>
  <c r="B22" i="5987"/>
  <c r="C34" i="5987"/>
  <c r="H38" i="5987"/>
  <c r="H41" i="5987"/>
  <c r="C42" i="5987"/>
  <c r="H46" i="5987"/>
  <c r="H20" i="5987"/>
  <c r="H25" i="5987"/>
  <c r="H17" i="5987"/>
  <c r="H29" i="5987"/>
  <c r="H21" i="5987"/>
  <c r="C15" i="5987"/>
  <c r="C20" i="5987"/>
  <c r="H18" i="5987"/>
  <c r="H30" i="5987"/>
  <c r="C32" i="5987"/>
  <c r="H36" i="5987"/>
  <c r="H39" i="5987"/>
  <c r="C40" i="5987"/>
  <c r="H44" i="5987"/>
  <c r="H48" i="5987"/>
  <c r="H5" i="5987"/>
  <c r="H3" i="5987"/>
  <c r="H2" i="5987"/>
  <c r="H10" i="5987"/>
  <c r="H6" i="5987"/>
  <c r="H24" i="5987"/>
  <c r="C18" i="5987"/>
  <c r="C21" i="5987"/>
  <c r="H31" i="5987"/>
  <c r="H34" i="5987"/>
  <c r="H37" i="5987"/>
  <c r="C38" i="5987"/>
  <c r="H42" i="5987"/>
  <c r="H45" i="5987"/>
  <c r="H49" i="5987"/>
  <c r="H52" i="5987"/>
  <c r="B23" i="5987"/>
  <c r="H13" i="5987"/>
  <c r="H26" i="5987"/>
  <c r="H27" i="5987"/>
  <c r="H28" i="5987"/>
  <c r="H14" i="5987"/>
  <c r="H12" i="5987"/>
  <c r="H32" i="5987"/>
  <c r="C33" i="5987"/>
  <c r="C35" i="5987"/>
  <c r="C37" i="5987"/>
  <c r="C39" i="5987"/>
  <c r="C41" i="5987"/>
  <c r="C43" i="5987"/>
  <c r="H47" i="5987"/>
  <c r="H21" i="5985"/>
  <c r="H6" i="5985"/>
  <c r="H16" i="5985"/>
  <c r="H10" i="5985"/>
  <c r="H11" i="5985"/>
  <c r="C17" i="5985"/>
  <c r="H15" i="5985"/>
  <c r="B22" i="5985"/>
  <c r="H30" i="5985"/>
  <c r="H33" i="5985"/>
  <c r="C34" i="5985"/>
  <c r="H37" i="5985"/>
  <c r="H40" i="5985"/>
  <c r="C42" i="5985"/>
  <c r="H45" i="5985"/>
  <c r="H51" i="5985"/>
  <c r="H7" i="5985"/>
  <c r="H20" i="5985"/>
  <c r="C15" i="5985"/>
  <c r="H24" i="5985"/>
  <c r="C20" i="5985"/>
  <c r="H28" i="5985"/>
  <c r="H31" i="5985"/>
  <c r="C32" i="5985"/>
  <c r="H35" i="5985"/>
  <c r="H38" i="5985"/>
  <c r="C40" i="5985"/>
  <c r="H43" i="5985"/>
  <c r="H47" i="5985"/>
  <c r="H5" i="5985"/>
  <c r="H4" i="5985"/>
  <c r="H2" i="5985"/>
  <c r="H9" i="5985"/>
  <c r="H3" i="5985"/>
  <c r="H23" i="5985"/>
  <c r="C18" i="5985"/>
  <c r="C21" i="5985"/>
  <c r="H18" i="5985"/>
  <c r="H34" i="5985"/>
  <c r="H36" i="5985"/>
  <c r="C38" i="5985"/>
  <c r="H41" i="5985"/>
  <c r="H44" i="5985"/>
  <c r="H48" i="5985"/>
  <c r="H52" i="5985"/>
  <c r="H12" i="5985"/>
  <c r="H22" i="5985"/>
  <c r="C19" i="5985"/>
  <c r="H13" i="5985"/>
  <c r="H29" i="5985"/>
  <c r="H19" i="5985"/>
  <c r="C36" i="5985"/>
  <c r="H39" i="5985"/>
  <c r="H42" i="5985"/>
  <c r="C44" i="5985"/>
  <c r="H49" i="5985"/>
  <c r="B23" i="5985"/>
  <c r="H17" i="5985"/>
  <c r="H25" i="5985"/>
  <c r="H26" i="5985"/>
  <c r="H27" i="5985"/>
  <c r="H14" i="5985"/>
  <c r="H8" i="5985"/>
  <c r="H32" i="5985"/>
  <c r="C33" i="5985"/>
  <c r="C35" i="5985"/>
  <c r="C37" i="5985"/>
  <c r="C39" i="5985"/>
  <c r="C41" i="5985"/>
  <c r="C43" i="5985"/>
  <c r="H46" i="5985"/>
  <c r="O22" i="5983" l="1"/>
  <c r="O18" i="5983"/>
  <c r="C30" i="5983"/>
  <c r="B25" i="5983"/>
  <c r="C16" i="5983"/>
  <c r="B15" i="5983"/>
  <c r="H51" i="5983" s="1"/>
  <c r="B14" i="5983"/>
  <c r="B24" i="5983" s="1"/>
  <c r="B13" i="5983"/>
  <c r="C13" i="5983" s="1"/>
  <c r="O12" i="5983"/>
  <c r="C12" i="5983"/>
  <c r="O11" i="5983"/>
  <c r="C11" i="5983"/>
  <c r="O10" i="5983"/>
  <c r="C10" i="5983"/>
  <c r="C9" i="5983"/>
  <c r="C8" i="5983"/>
  <c r="O7" i="5983"/>
  <c r="C7" i="5983"/>
  <c r="O6" i="5983"/>
  <c r="B6" i="5983"/>
  <c r="O5" i="5983"/>
  <c r="B5" i="5983"/>
  <c r="O4" i="5983"/>
  <c r="O3" i="5983"/>
  <c r="O2" i="5983"/>
  <c r="O20" i="5981"/>
  <c r="O18" i="5981"/>
  <c r="C30" i="5981"/>
  <c r="B25" i="5981"/>
  <c r="C16" i="5981"/>
  <c r="B15" i="5981"/>
  <c r="H12" i="5981" s="1"/>
  <c r="B14" i="5981"/>
  <c r="B24" i="5981" s="1"/>
  <c r="B13" i="5981"/>
  <c r="C13" i="5981" s="1"/>
  <c r="O12" i="5981"/>
  <c r="C12" i="5981"/>
  <c r="O11" i="5981"/>
  <c r="C11" i="5981"/>
  <c r="O10" i="5981"/>
  <c r="C10" i="5981"/>
  <c r="C9" i="5981"/>
  <c r="C8" i="5981"/>
  <c r="O7" i="5981"/>
  <c r="C7" i="5981"/>
  <c r="O6" i="5981"/>
  <c r="B6" i="5981"/>
  <c r="O5" i="5981"/>
  <c r="B5" i="5981"/>
  <c r="O4" i="5981"/>
  <c r="O3" i="5981"/>
  <c r="O2" i="5981"/>
  <c r="O17" i="5971"/>
  <c r="O19" i="5979"/>
  <c r="O17" i="5979"/>
  <c r="C30" i="5979"/>
  <c r="B25" i="5979"/>
  <c r="C16" i="5979"/>
  <c r="B15" i="5979"/>
  <c r="H51" i="5979" s="1"/>
  <c r="B14" i="5979"/>
  <c r="B24" i="5979" s="1"/>
  <c r="B13" i="5979"/>
  <c r="C13" i="5979" s="1"/>
  <c r="O12" i="5979"/>
  <c r="C12" i="5979"/>
  <c r="O11" i="5979"/>
  <c r="C11" i="5979"/>
  <c r="O10" i="5979"/>
  <c r="C10" i="5979"/>
  <c r="C9" i="5979"/>
  <c r="C8" i="5979"/>
  <c r="O7" i="5979"/>
  <c r="C7" i="5979"/>
  <c r="O6" i="5979"/>
  <c r="B6" i="5979"/>
  <c r="O5" i="5979"/>
  <c r="B5" i="5979"/>
  <c r="O4" i="5979"/>
  <c r="O3" i="5979"/>
  <c r="O2" i="5979"/>
  <c r="O19" i="5971"/>
  <c r="O22" i="5971"/>
  <c r="C14" i="5979" l="1"/>
  <c r="H13" i="5981"/>
  <c r="H9" i="5981"/>
  <c r="H28" i="5981"/>
  <c r="C14" i="5981"/>
  <c r="H9" i="5979"/>
  <c r="C19" i="5979"/>
  <c r="H10" i="5979"/>
  <c r="H23" i="5979"/>
  <c r="H12" i="5979"/>
  <c r="H7" i="5981"/>
  <c r="H20" i="5981"/>
  <c r="H27" i="5981"/>
  <c r="H35" i="5981"/>
  <c r="H10" i="5981"/>
  <c r="C14" i="5983"/>
  <c r="H12" i="5983"/>
  <c r="H10" i="5983"/>
  <c r="H21" i="5983"/>
  <c r="H7" i="5983"/>
  <c r="B22" i="5983"/>
  <c r="C34" i="5983"/>
  <c r="C42" i="5983"/>
  <c r="H8" i="5983"/>
  <c r="H28" i="5983"/>
  <c r="C19" i="5983"/>
  <c r="H14" i="5983"/>
  <c r="H24" i="5983"/>
  <c r="H36" i="5983"/>
  <c r="C36" i="5983"/>
  <c r="H41" i="5983"/>
  <c r="H43" i="5983"/>
  <c r="C44" i="5983"/>
  <c r="H50" i="5983"/>
  <c r="H22" i="5983"/>
  <c r="H19" i="5983"/>
  <c r="H26" i="5983"/>
  <c r="H27" i="5983"/>
  <c r="H46" i="5983"/>
  <c r="H17" i="5983"/>
  <c r="C15" i="5983"/>
  <c r="H15" i="5983"/>
  <c r="C20" i="5983"/>
  <c r="H23" i="5983"/>
  <c r="H33" i="5983"/>
  <c r="C32" i="5983"/>
  <c r="H37" i="5983"/>
  <c r="H40" i="5983"/>
  <c r="C40" i="5983"/>
  <c r="H44" i="5983"/>
  <c r="H48" i="5983"/>
  <c r="H5" i="5983"/>
  <c r="C17" i="5983"/>
  <c r="H25" i="5983"/>
  <c r="H39" i="5983"/>
  <c r="H16" i="5983"/>
  <c r="H6" i="5983"/>
  <c r="H4" i="5983"/>
  <c r="H2" i="5983"/>
  <c r="H11" i="5983"/>
  <c r="H3" i="5983"/>
  <c r="H29" i="5983"/>
  <c r="C18" i="5983"/>
  <c r="C21" i="5983"/>
  <c r="H20" i="5983"/>
  <c r="H35" i="5983"/>
  <c r="H38" i="5983"/>
  <c r="C38" i="5983"/>
  <c r="H42" i="5983"/>
  <c r="H45" i="5983"/>
  <c r="H49" i="5983"/>
  <c r="H52" i="5983"/>
  <c r="B23" i="5983"/>
  <c r="H18" i="5983"/>
  <c r="H30" i="5983"/>
  <c r="H31" i="5983"/>
  <c r="H32" i="5983"/>
  <c r="H13" i="5983"/>
  <c r="H9" i="5983"/>
  <c r="H34" i="5983"/>
  <c r="C33" i="5983"/>
  <c r="C35" i="5983"/>
  <c r="C37" i="5983"/>
  <c r="C39" i="5983"/>
  <c r="C41" i="5983"/>
  <c r="C43" i="5983"/>
  <c r="H47" i="5983"/>
  <c r="C18" i="5981"/>
  <c r="C34" i="5981"/>
  <c r="H5" i="5981"/>
  <c r="B23" i="5981"/>
  <c r="C20" i="5981"/>
  <c r="H34" i="5981"/>
  <c r="C38" i="5981"/>
  <c r="H19" i="5981"/>
  <c r="C15" i="5981"/>
  <c r="H4" i="5981"/>
  <c r="H2" i="5981"/>
  <c r="H11" i="5981"/>
  <c r="H3" i="5981"/>
  <c r="H29" i="5981"/>
  <c r="C21" i="5981"/>
  <c r="H42" i="5981"/>
  <c r="H46" i="5981"/>
  <c r="H22" i="5981"/>
  <c r="H23" i="5981"/>
  <c r="H18" i="5981"/>
  <c r="H38" i="5981"/>
  <c r="H52" i="5981"/>
  <c r="C42" i="5981"/>
  <c r="H49" i="5981"/>
  <c r="C19" i="5981"/>
  <c r="H14" i="5981"/>
  <c r="H37" i="5981"/>
  <c r="H40" i="5981"/>
  <c r="H44" i="5981"/>
  <c r="H50" i="5981"/>
  <c r="C17" i="5981"/>
  <c r="H16" i="5981"/>
  <c r="B22" i="5981"/>
  <c r="H33" i="5981"/>
  <c r="C32" i="5981"/>
  <c r="C36" i="5981"/>
  <c r="C40" i="5981"/>
  <c r="C44" i="5981"/>
  <c r="H6" i="5981"/>
  <c r="H21" i="5981"/>
  <c r="H30" i="5981"/>
  <c r="H31" i="5981"/>
  <c r="H32" i="5981"/>
  <c r="H15" i="5981"/>
  <c r="H8" i="5981"/>
  <c r="H17" i="5981"/>
  <c r="C33" i="5981"/>
  <c r="C35" i="5981"/>
  <c r="C37" i="5981"/>
  <c r="C39" i="5981"/>
  <c r="C41" i="5981"/>
  <c r="C43" i="5981"/>
  <c r="H47" i="5981"/>
  <c r="H51" i="5981"/>
  <c r="H24" i="5981"/>
  <c r="H25" i="5981"/>
  <c r="H36" i="5981"/>
  <c r="H26" i="5981"/>
  <c r="H39" i="5981"/>
  <c r="H41" i="5981"/>
  <c r="H43" i="5981"/>
  <c r="H45" i="5981"/>
  <c r="H48" i="5981"/>
  <c r="H29" i="5979"/>
  <c r="H35" i="5979"/>
  <c r="C36" i="5979"/>
  <c r="H40" i="5979"/>
  <c r="H43" i="5979"/>
  <c r="C44" i="5979"/>
  <c r="H50" i="5979"/>
  <c r="B22" i="5979"/>
  <c r="H33" i="5979"/>
  <c r="C34" i="5979"/>
  <c r="H38" i="5979"/>
  <c r="H41" i="5979"/>
  <c r="C42" i="5979"/>
  <c r="H46" i="5979"/>
  <c r="H17" i="5979"/>
  <c r="H22" i="5979"/>
  <c r="H16" i="5979"/>
  <c r="C15" i="5979"/>
  <c r="H19" i="5979"/>
  <c r="H28" i="5979"/>
  <c r="H31" i="5979"/>
  <c r="C32" i="5979"/>
  <c r="H36" i="5979"/>
  <c r="H39" i="5979"/>
  <c r="C40" i="5979"/>
  <c r="H44" i="5979"/>
  <c r="H48" i="5979"/>
  <c r="H5" i="5979"/>
  <c r="H6" i="5979"/>
  <c r="H13" i="5979"/>
  <c r="H18" i="5979"/>
  <c r="C17" i="5979"/>
  <c r="H30" i="5979"/>
  <c r="H7" i="5979"/>
  <c r="H21" i="5979"/>
  <c r="C20" i="5979"/>
  <c r="H3" i="5979"/>
  <c r="H2" i="5979"/>
  <c r="H8" i="5979"/>
  <c r="H4" i="5979"/>
  <c r="H24" i="5979"/>
  <c r="C18" i="5979"/>
  <c r="C21" i="5979"/>
  <c r="H20" i="5979"/>
  <c r="H34" i="5979"/>
  <c r="H37" i="5979"/>
  <c r="C38" i="5979"/>
  <c r="H42" i="5979"/>
  <c r="H45" i="5979"/>
  <c r="H49" i="5979"/>
  <c r="H52" i="5979"/>
  <c r="B23" i="5979"/>
  <c r="H14" i="5979"/>
  <c r="H25" i="5979"/>
  <c r="H26" i="5979"/>
  <c r="H27" i="5979"/>
  <c r="H15" i="5979"/>
  <c r="H11" i="5979"/>
  <c r="H32" i="5979"/>
  <c r="C33" i="5979"/>
  <c r="C35" i="5979"/>
  <c r="C37" i="5979"/>
  <c r="C39" i="5979"/>
  <c r="C41" i="5979"/>
  <c r="C43" i="5979"/>
  <c r="H47" i="5979"/>
  <c r="O22" i="5977" l="1"/>
  <c r="O20" i="5977"/>
  <c r="C30" i="5977"/>
  <c r="B25" i="5977"/>
  <c r="C16" i="5977"/>
  <c r="B15" i="5977"/>
  <c r="H51" i="5977" s="1"/>
  <c r="B14" i="5977"/>
  <c r="B24" i="5977" s="1"/>
  <c r="B13" i="5977"/>
  <c r="C13" i="5977" s="1"/>
  <c r="O12" i="5977"/>
  <c r="C12" i="5977"/>
  <c r="O11" i="5977"/>
  <c r="C11" i="5977"/>
  <c r="O10" i="5977"/>
  <c r="C10" i="5977"/>
  <c r="C9" i="5977"/>
  <c r="C8" i="5977"/>
  <c r="O7" i="5977"/>
  <c r="C7" i="5977"/>
  <c r="O6" i="5977"/>
  <c r="B6" i="5977"/>
  <c r="O5" i="5977"/>
  <c r="B5" i="5977"/>
  <c r="O4" i="5977"/>
  <c r="O3" i="5977"/>
  <c r="O2" i="5977"/>
  <c r="O20" i="5975"/>
  <c r="O19" i="5975"/>
  <c r="C30" i="5975"/>
  <c r="B25" i="5975"/>
  <c r="C16" i="5975"/>
  <c r="B15" i="5975"/>
  <c r="H51" i="5975" s="1"/>
  <c r="B14" i="5975"/>
  <c r="B24" i="5975" s="1"/>
  <c r="B13" i="5975"/>
  <c r="C13" i="5975" s="1"/>
  <c r="O12" i="5975"/>
  <c r="C12" i="5975"/>
  <c r="O11" i="5975"/>
  <c r="C11" i="5975"/>
  <c r="O10" i="5975"/>
  <c r="C10" i="5975"/>
  <c r="C9" i="5975"/>
  <c r="C8" i="5975"/>
  <c r="O7" i="5975"/>
  <c r="C7" i="5975"/>
  <c r="O6" i="5975"/>
  <c r="B6" i="5975"/>
  <c r="O5" i="5975"/>
  <c r="B5" i="5975"/>
  <c r="O4" i="5975"/>
  <c r="O3" i="5975"/>
  <c r="O2" i="5975"/>
  <c r="O18" i="5971"/>
  <c r="O18" i="5973"/>
  <c r="O17" i="5973"/>
  <c r="C30" i="5973"/>
  <c r="B25" i="5973"/>
  <c r="C16" i="5973"/>
  <c r="B15" i="5973"/>
  <c r="H50" i="5973" s="1"/>
  <c r="B14" i="5973"/>
  <c r="B24" i="5973" s="1"/>
  <c r="B13" i="5973"/>
  <c r="C13" i="5973" s="1"/>
  <c r="O12" i="5973"/>
  <c r="C12" i="5973"/>
  <c r="O11" i="5973"/>
  <c r="C11" i="5973"/>
  <c r="O10" i="5973"/>
  <c r="C10" i="5973"/>
  <c r="C9" i="5973"/>
  <c r="C8" i="5973"/>
  <c r="O7" i="5973"/>
  <c r="C7" i="5973"/>
  <c r="O6" i="5973"/>
  <c r="B6" i="5973"/>
  <c r="O5" i="5973"/>
  <c r="B5" i="5973"/>
  <c r="O4" i="5973"/>
  <c r="O3" i="5973"/>
  <c r="O2" i="5973"/>
  <c r="O21" i="5971"/>
  <c r="O23" i="5971"/>
  <c r="C30" i="5971"/>
  <c r="B25" i="5971"/>
  <c r="C16" i="5971"/>
  <c r="B15" i="5971"/>
  <c r="H52" i="5971" s="1"/>
  <c r="B14" i="5971"/>
  <c r="B24" i="5971" s="1"/>
  <c r="B13" i="5971"/>
  <c r="C13" i="5971" s="1"/>
  <c r="O12" i="5971"/>
  <c r="C12" i="5971"/>
  <c r="O11" i="5971"/>
  <c r="C11" i="5971"/>
  <c r="O10" i="5971"/>
  <c r="C10" i="5971"/>
  <c r="C9" i="5971"/>
  <c r="C8" i="5971"/>
  <c r="O7" i="5971"/>
  <c r="C7" i="5971"/>
  <c r="O6" i="5971"/>
  <c r="B6" i="5971"/>
  <c r="O5" i="5971"/>
  <c r="B5" i="5971"/>
  <c r="O4" i="5971"/>
  <c r="O3" i="5971"/>
  <c r="O2" i="5971"/>
  <c r="C14" i="5975" l="1"/>
  <c r="C14" i="5973"/>
  <c r="H6" i="5973"/>
  <c r="C14" i="5977"/>
  <c r="H12" i="5973"/>
  <c r="C19" i="5973"/>
  <c r="H24" i="5973"/>
  <c r="C14" i="5971"/>
  <c r="H6" i="5977"/>
  <c r="H7" i="5973"/>
  <c r="H10" i="5973"/>
  <c r="H19" i="5973"/>
  <c r="H18" i="5973"/>
  <c r="H22" i="5977"/>
  <c r="H11" i="5977"/>
  <c r="H21" i="5977"/>
  <c r="H9" i="5977"/>
  <c r="H10" i="5977"/>
  <c r="H27" i="5977"/>
  <c r="C19" i="5977"/>
  <c r="H14" i="5977"/>
  <c r="H31" i="5977"/>
  <c r="H26" i="5977"/>
  <c r="C36" i="5977"/>
  <c r="H40" i="5977"/>
  <c r="H43" i="5977"/>
  <c r="C44" i="5977"/>
  <c r="H50" i="5977"/>
  <c r="C17" i="5977"/>
  <c r="H17" i="5977"/>
  <c r="B22" i="5977"/>
  <c r="H32" i="5977"/>
  <c r="H34" i="5977"/>
  <c r="C34" i="5977"/>
  <c r="H38" i="5977"/>
  <c r="H41" i="5977"/>
  <c r="C42" i="5977"/>
  <c r="H46" i="5977"/>
  <c r="H20" i="5977"/>
  <c r="H7" i="5977"/>
  <c r="C15" i="5977"/>
  <c r="H18" i="5977"/>
  <c r="C20" i="5977"/>
  <c r="H30" i="5977"/>
  <c r="H33" i="5977"/>
  <c r="C32" i="5977"/>
  <c r="H36" i="5977"/>
  <c r="H39" i="5977"/>
  <c r="C40" i="5977"/>
  <c r="H44" i="5977"/>
  <c r="H48" i="5977"/>
  <c r="H4" i="5977"/>
  <c r="H23" i="5977"/>
  <c r="H5" i="5977"/>
  <c r="H2" i="5977"/>
  <c r="H12" i="5977"/>
  <c r="H3" i="5977"/>
  <c r="H24" i="5977"/>
  <c r="C18" i="5977"/>
  <c r="C21" i="5977"/>
  <c r="H16" i="5977"/>
  <c r="H35" i="5977"/>
  <c r="H37" i="5977"/>
  <c r="C38" i="5977"/>
  <c r="H42" i="5977"/>
  <c r="H45" i="5977"/>
  <c r="H49" i="5977"/>
  <c r="H52" i="5977"/>
  <c r="B23" i="5977"/>
  <c r="H15" i="5977"/>
  <c r="H28" i="5977"/>
  <c r="H29" i="5977"/>
  <c r="H25" i="5977"/>
  <c r="H13" i="5977"/>
  <c r="H8" i="5977"/>
  <c r="H19" i="5977"/>
  <c r="C33" i="5977"/>
  <c r="C35" i="5977"/>
  <c r="C37" i="5977"/>
  <c r="C39" i="5977"/>
  <c r="C41" i="5977"/>
  <c r="C43" i="5977"/>
  <c r="H47" i="5977"/>
  <c r="H11" i="5975"/>
  <c r="H10" i="5975"/>
  <c r="H6" i="5975"/>
  <c r="H22" i="5975"/>
  <c r="H35" i="5975"/>
  <c r="C42" i="5975"/>
  <c r="H8" i="5975"/>
  <c r="H31" i="5975"/>
  <c r="C19" i="5975"/>
  <c r="H14" i="5975"/>
  <c r="H34" i="5975"/>
  <c r="H28" i="5975"/>
  <c r="C36" i="5975"/>
  <c r="H41" i="5975"/>
  <c r="H44" i="5975"/>
  <c r="C44" i="5975"/>
  <c r="H50" i="5975"/>
  <c r="H20" i="5975"/>
  <c r="B22" i="5975"/>
  <c r="C34" i="5975"/>
  <c r="H42" i="5975"/>
  <c r="H29" i="5975"/>
  <c r="H7" i="5975"/>
  <c r="H30" i="5975"/>
  <c r="C15" i="5975"/>
  <c r="H21" i="5975"/>
  <c r="C20" i="5975"/>
  <c r="H23" i="5975"/>
  <c r="H27" i="5975"/>
  <c r="C32" i="5975"/>
  <c r="H37" i="5975"/>
  <c r="H40" i="5975"/>
  <c r="C40" i="5975"/>
  <c r="H45" i="5975"/>
  <c r="H48" i="5975"/>
  <c r="H5" i="5975"/>
  <c r="H26" i="5975"/>
  <c r="C17" i="5975"/>
  <c r="H24" i="5975"/>
  <c r="H39" i="5975"/>
  <c r="H16" i="5975"/>
  <c r="H4" i="5975"/>
  <c r="H2" i="5975"/>
  <c r="H13" i="5975"/>
  <c r="H3" i="5975"/>
  <c r="H17" i="5975"/>
  <c r="C18" i="5975"/>
  <c r="C21" i="5975"/>
  <c r="H25" i="5975"/>
  <c r="H36" i="5975"/>
  <c r="H38" i="5975"/>
  <c r="C38" i="5975"/>
  <c r="H43" i="5975"/>
  <c r="H46" i="5975"/>
  <c r="H49" i="5975"/>
  <c r="H52" i="5975"/>
  <c r="B23" i="5975"/>
  <c r="H15" i="5975"/>
  <c r="H32" i="5975"/>
  <c r="H33" i="5975"/>
  <c r="H18" i="5975"/>
  <c r="H12" i="5975"/>
  <c r="H9" i="5975"/>
  <c r="H19" i="5975"/>
  <c r="C33" i="5975"/>
  <c r="C35" i="5975"/>
  <c r="C37" i="5975"/>
  <c r="C39" i="5975"/>
  <c r="C41" i="5975"/>
  <c r="C43" i="5975"/>
  <c r="H47" i="5975"/>
  <c r="H11" i="5973"/>
  <c r="H30" i="5973"/>
  <c r="H34" i="5973"/>
  <c r="C36" i="5973"/>
  <c r="H39" i="5973"/>
  <c r="H42" i="5973"/>
  <c r="C44" i="5973"/>
  <c r="H49" i="5973"/>
  <c r="H14" i="5973"/>
  <c r="B22" i="5973"/>
  <c r="H17" i="5973"/>
  <c r="H22" i="5973"/>
  <c r="C34" i="5973"/>
  <c r="H37" i="5973"/>
  <c r="H40" i="5973"/>
  <c r="C42" i="5973"/>
  <c r="H45" i="5973"/>
  <c r="H51" i="5973"/>
  <c r="C15" i="5973"/>
  <c r="H21" i="5973"/>
  <c r="C20" i="5973"/>
  <c r="H29" i="5973"/>
  <c r="H31" i="5973"/>
  <c r="C32" i="5973"/>
  <c r="H35" i="5973"/>
  <c r="H38" i="5973"/>
  <c r="C40" i="5973"/>
  <c r="H43" i="5973"/>
  <c r="H47" i="5973"/>
  <c r="H4" i="5973"/>
  <c r="C17" i="5973"/>
  <c r="H8" i="5973"/>
  <c r="H23" i="5973"/>
  <c r="H5" i="5973"/>
  <c r="H2" i="5973"/>
  <c r="H9" i="5973"/>
  <c r="H3" i="5973"/>
  <c r="H20" i="5973"/>
  <c r="C18" i="5973"/>
  <c r="C21" i="5973"/>
  <c r="H16" i="5973"/>
  <c r="H33" i="5973"/>
  <c r="H36" i="5973"/>
  <c r="C38" i="5973"/>
  <c r="H41" i="5973"/>
  <c r="H44" i="5973"/>
  <c r="H48" i="5973"/>
  <c r="H52" i="5973"/>
  <c r="B23" i="5973"/>
  <c r="H25" i="5973"/>
  <c r="H26" i="5973"/>
  <c r="H27" i="5973"/>
  <c r="H28" i="5973"/>
  <c r="H15" i="5973"/>
  <c r="H13" i="5973"/>
  <c r="H32" i="5973"/>
  <c r="C33" i="5973"/>
  <c r="C35" i="5973"/>
  <c r="C37" i="5973"/>
  <c r="C39" i="5973"/>
  <c r="C41" i="5973"/>
  <c r="C43" i="5973"/>
  <c r="H46" i="5973"/>
  <c r="H3" i="5971"/>
  <c r="H10" i="5971"/>
  <c r="H11" i="5971"/>
  <c r="H2" i="5971"/>
  <c r="H23" i="5971"/>
  <c r="H20" i="5971"/>
  <c r="H4" i="5971"/>
  <c r="H12" i="5971"/>
  <c r="H6" i="5971"/>
  <c r="C18" i="5971"/>
  <c r="C21" i="5971"/>
  <c r="H18" i="5971"/>
  <c r="H29" i="5971"/>
  <c r="H41" i="5971"/>
  <c r="H44" i="5971"/>
  <c r="H48" i="5971"/>
  <c r="H24" i="5971"/>
  <c r="H8" i="5971"/>
  <c r="H35" i="5971"/>
  <c r="C19" i="5971"/>
  <c r="H13" i="5971"/>
  <c r="H30" i="5971"/>
  <c r="C34" i="5971"/>
  <c r="C38" i="5971"/>
  <c r="C42" i="5971"/>
  <c r="H49" i="5971"/>
  <c r="C17" i="5971"/>
  <c r="H17" i="5971"/>
  <c r="B22" i="5971"/>
  <c r="H26" i="5971"/>
  <c r="H28" i="5971"/>
  <c r="H32" i="5971"/>
  <c r="H33" i="5971"/>
  <c r="H46" i="5971"/>
  <c r="H15" i="5971"/>
  <c r="H7" i="5971"/>
  <c r="H22" i="5971"/>
  <c r="C15" i="5971"/>
  <c r="H19" i="5971"/>
  <c r="C20" i="5971"/>
  <c r="H25" i="5971"/>
  <c r="H31" i="5971"/>
  <c r="C32" i="5971"/>
  <c r="C36" i="5971"/>
  <c r="C40" i="5971"/>
  <c r="C44" i="5971"/>
  <c r="H5" i="5971"/>
  <c r="B23" i="5971"/>
  <c r="H16" i="5971"/>
  <c r="H36" i="5971"/>
  <c r="H37" i="5971"/>
  <c r="H27" i="5971"/>
  <c r="H14" i="5971"/>
  <c r="H9" i="5971"/>
  <c r="H21" i="5971"/>
  <c r="C33" i="5971"/>
  <c r="C35" i="5971"/>
  <c r="C37" i="5971"/>
  <c r="C39" i="5971"/>
  <c r="C41" i="5971"/>
  <c r="C43" i="5971"/>
  <c r="H47" i="5971"/>
  <c r="H51" i="5971"/>
  <c r="H38" i="5971"/>
  <c r="H39" i="5971"/>
  <c r="H40" i="5971"/>
  <c r="H42" i="5971"/>
  <c r="H43" i="5971"/>
  <c r="H45" i="5971"/>
  <c r="H34" i="5971"/>
  <c r="H50" i="5971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<sst xmlns="http://schemas.openxmlformats.org/spreadsheetml/2006/main" count="3020" uniqueCount="265">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</sst>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F5-4D49-A07F-AEFE19E1C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11.608623548922056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10.040160642570282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2-42D0-8CB4-2A6FDAEEE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111</c:v>
                </c:pt>
                <c:pt idx="1">
                  <c:v>251</c:v>
                </c:pt>
                <c:pt idx="2">
                  <c:v>315</c:v>
                </c:pt>
                <c:pt idx="3">
                  <c:v>269</c:v>
                </c:pt>
                <c:pt idx="4">
                  <c:v>242</c:v>
                </c:pt>
                <c:pt idx="5">
                  <c:v>154</c:v>
                </c:pt>
                <c:pt idx="6">
                  <c:v>82</c:v>
                </c:pt>
                <c:pt idx="7">
                  <c:v>42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2-4090-AED4-39860FD68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3-4A57-A8FD-E01EF02C4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B-463A-9CDE-1CEE39DC4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F-4CC0-9244-636E5C3B6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31-4CD3-BE9E-999F62662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2217.4757281553398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D-4EF1-BD32-20F7A95A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63</c:v>
                </c:pt>
                <c:pt idx="2">
                  <c:v>77</c:v>
                </c:pt>
                <c:pt idx="3">
                  <c:v>67</c:v>
                </c:pt>
                <c:pt idx="4">
                  <c:v>50</c:v>
                </c:pt>
                <c:pt idx="5">
                  <c:v>34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B-4A04-9172-C74E9A04C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0-4D0D-88CE-597DAAEFD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1868.75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-1232.967032967033</c:v>
                </c:pt>
                <c:pt idx="5">
                  <c:v>1503.8961038961038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6-4065-8901-F09E7745E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9-4254-BE45-169FE6973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1-49E3-8FE8-1B2B4568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2-4684-B9DA-62921B0CD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A-4C1C-BA1E-61BF17298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D-4318-84F9-A97D01C98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8-44E1-A996-B8049A050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29-497E-BDE0-648CECA61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D-40CF-A4AE-E5A0BE8E9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8-46AA-A5C7-FAB15EF15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F-4DF7-968B-6E47BB87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9E-4901-A9BE-600D881F6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1-48E5-80A3-A01B770BF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19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DA3-8F2D-D34A98707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4-4A3D-967C-6EAEFC156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5CD-9621-C4922DF5D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4-4A2B-BB54-FCC9000C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B-4357-BABE-C243076FA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9-4E06-B1D0-F406DEB2E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D-4384-9A9D-CBB5B15E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6C-4626-8A31-5CFC8F6B3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F-4D4D-832B-D39BDDC1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3-4A71-8070-B111A3B27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378A2B-E4EB-4375-B88E-4E5A6DA1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0BE8E7-ADB5-421C-A06C-147C0DAAE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878C00-FBC3-476D-9E38-709DD8973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22F387-B707-4477-9058-45C620CBD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600E33-2C19-4CE8-A762-F94359337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614A52-B13F-4DA5-8E19-CE9C2DC04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EC2938-1A54-44B1-AFAC-9D503F7BF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A8272E-E851-406C-9962-0459B6F64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112845-3144-4BFD-8D05-C2AC27383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2469FB-3989-4798-9672-5B0F3C9EC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B993C3-42FA-4256-B706-5F9AA83E9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AED466-870B-48BD-AB05-D8712CB1B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37DDB3-3845-4084-9C1D-408A4023A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534983-D714-4C09-9C2C-C302A4F09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D54478-7645-4CE4-9D37-BA349495F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77ACE2-6EDC-4680-BA1F-351C59916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42506D-1438-4A6D-B5CD-9981C8A24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75855F-1C27-4778-BB8D-8D6B64812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FE564E-DC05-4A5B-B169-DC06EAA37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F49B18-8172-4088-BD69-70782F6E0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8C24A4-4DDA-48D7-9AE4-05D70C652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16F9A2-43DF-4DE8-B102-445FC63413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35713A-0682-423B-86E8-392E76A03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4EF259-ACB4-4CBC-8CBE-623BBA254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46B1A0-CE5A-454E-99D4-3FD711D87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86DB17-DCAD-4E18-9159-01D7F3486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27DEEB8-B9CE-48BE-A306-DB56D4A5C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A896AE-F68A-4C4A-B260-BE1B09E32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E95976-821A-4ED0-A3A3-6C1A7672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0E1929-9C5A-4E63-9664-61174E0DA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05D6D4-BF1F-4D90-85E9-608FB73FE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39CC48-6A75-45CA-B876-5CFD570AA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EDF3A5-52BB-45BE-BB89-AFD00DD91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65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43735.329293981478</v>
      </c>
      <c r="C3" s="28" t="s">
        <v>128</v>
      </c>
    </row>
    <row r="4" spans="1:12" x14ac:dyDescent="0.4">
      <c r="A4" s="28" t="s">
        <v>200</v>
      </c>
      <c r="B4" s="29">
        <v>43735.329201388886</v>
      </c>
      <c r="C4" s="28" t="s">
        <v>128</v>
      </c>
    </row>
    <row r="5" spans="1:12" x14ac:dyDescent="0.4">
      <c r="A5" s="28" t="s">
        <v>203</v>
      </c>
      <c r="B5" s="29">
        <v>43737.872604166667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43737.872604166667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43737.873645833337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43739.760312500002</v>
      </c>
      <c r="C8" s="28" t="s">
        <v>128</v>
      </c>
    </row>
    <row r="9" spans="1:12" x14ac:dyDescent="0.4">
      <c r="A9" s="28" t="s">
        <v>213</v>
      </c>
      <c r="B9" s="29">
        <v>43739.760069444441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43742.090381944443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43742.090381944443</v>
      </c>
      <c r="C11" s="28" t="s">
        <v>128</v>
      </c>
    </row>
    <row r="12" spans="1:12" x14ac:dyDescent="0.4">
      <c r="A12" s="28" t="s">
        <v>216</v>
      </c>
      <c r="B12" s="29">
        <v>43742.090381944443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43745.602835648147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43745.602847222224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43745.024594907409</v>
      </c>
      <c r="C18" s="28" t="s">
        <v>128</v>
      </c>
    </row>
    <row r="19" spans="1:12" x14ac:dyDescent="0.4">
      <c r="A19" s="28" t="s">
        <v>223</v>
      </c>
      <c r="B19" s="29">
        <v>43748.026620370372</v>
      </c>
      <c r="C19" s="28" t="s">
        <v>128</v>
      </c>
    </row>
    <row r="20" spans="1:12" x14ac:dyDescent="0.4">
      <c r="A20" s="28" t="s">
        <v>224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43748.026620370372</v>
      </c>
      <c r="C21" s="28" t="s">
        <v>128</v>
      </c>
    </row>
    <row r="22" spans="1:12" x14ac:dyDescent="0.4">
      <c r="A22" s="28" t="s">
        <v>226</v>
      </c>
      <c r="B22" s="29">
        <v>43748.026620370372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43748.026620370372</v>
      </c>
      <c r="C23" s="28" t="s">
        <v>128</v>
      </c>
    </row>
    <row r="24" spans="1:12" x14ac:dyDescent="0.4">
      <c r="A24" s="28" t="s">
        <v>228</v>
      </c>
      <c r="B24" s="29">
        <v>43751.127928240741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43751.127928240741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43752.484606481485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43753.081296296295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43755.626284722224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207</v>
      </c>
      <c r="I28" s="28" t="s">
        <v>208</v>
      </c>
      <c r="J28" s="28" t="s">
        <v>209</v>
      </c>
      <c r="K28" s="28" t="s">
        <v>210</v>
      </c>
    </row>
    <row r="29" spans="1:12" x14ac:dyDescent="0.4">
      <c r="A29" s="28" t="s">
        <v>233</v>
      </c>
      <c r="B29" s="29">
        <v>43755.626284722224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43756.406157407408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43758.084374999999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43758.955601851849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43758.955601851849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43763.053819444445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43763.053819444445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43763.053819444445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43764.184340277781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43765.985891203702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43765.985891203702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43771.434791666667</v>
      </c>
      <c r="C41" s="28" t="s">
        <v>128</v>
      </c>
    </row>
    <row r="42" spans="1:9" x14ac:dyDescent="0.4">
      <c r="A42" s="28" t="s">
        <v>247</v>
      </c>
      <c r="B42" s="29">
        <v>43771.434791666667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43771.434791666667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43771.434791666667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43771.434791666667</v>
      </c>
      <c r="C47" s="28" t="s">
        <v>128</v>
      </c>
    </row>
    <row r="48" spans="1:9" x14ac:dyDescent="0.4">
      <c r="A48" s="28" t="s">
        <v>253</v>
      </c>
      <c r="B48" s="29">
        <v>43771.757430555554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43773.988738425927</v>
      </c>
      <c r="C50" s="28" t="s">
        <v>128</v>
      </c>
    </row>
    <row r="51" spans="1:9" x14ac:dyDescent="0.4">
      <c r="A51" s="28" t="s">
        <v>256</v>
      </c>
      <c r="B51" s="29">
        <v>43775.353136574071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43786.930289351854</v>
      </c>
      <c r="C53" s="28" t="s">
        <v>128</v>
      </c>
    </row>
    <row r="54" spans="1:9" x14ac:dyDescent="0.4">
      <c r="A54" s="28" t="s">
        <v>259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43786.930289351854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43786.930289351854</v>
      </c>
      <c r="C56" s="28" t="s">
        <v>128</v>
      </c>
    </row>
    <row r="57" spans="1:9" x14ac:dyDescent="0.4">
      <c r="A57" s="28" t="s">
        <v>262</v>
      </c>
      <c r="B57" s="29">
        <v>43786.930289351854</v>
      </c>
      <c r="C57" s="28" t="s">
        <v>128</v>
      </c>
    </row>
    <row r="58" spans="1:9" x14ac:dyDescent="0.4">
      <c r="A58" s="28" t="s">
        <v>263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43786.930289351854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43788.870613425926</v>
      </c>
      <c r="C60" s="28" t="s">
        <v>128</v>
      </c>
    </row>
    <row r="61" spans="1:9" x14ac:dyDescent="0.4">
      <c r="A61" s="28" t="s">
        <v>180</v>
      </c>
      <c r="B61" s="29">
        <v>43789.063784722224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618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172</v>
      </c>
      <c r="B5">
        <v>71</v>
      </c>
    </row>
    <row r="6" spans="1:2" x14ac:dyDescent="0.4">
      <c r="A6" t="s">
        <v>170</v>
      </c>
      <c r="B6">
        <v>76</v>
      </c>
    </row>
    <row r="7" spans="1:2" x14ac:dyDescent="0.4">
      <c r="A7" t="s">
        <v>171</v>
      </c>
      <c r="B7">
        <v>100</v>
      </c>
    </row>
    <row r="8" spans="1:2" x14ac:dyDescent="0.4">
      <c r="A8" t="s">
        <v>202</v>
      </c>
      <c r="B8">
        <v>41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194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0.99201628484111548</v>
      </c>
      <c r="G2" s="167"/>
      <c r="H2" s="166">
        <v>0.89063939267701664</v>
      </c>
      <c r="I2" s="167"/>
      <c r="J2" s="166">
        <v>0.93227282216027441</v>
      </c>
      <c r="K2" s="167"/>
      <c r="L2" s="166">
        <v>0.8400439397688072</v>
      </c>
      <c r="M2" s="167"/>
      <c r="N2" s="166">
        <v>0.53522947723068137</v>
      </c>
      <c r="O2" s="167"/>
      <c r="P2" s="166">
        <v>0.52968121912498023</v>
      </c>
      <c r="Q2" s="167"/>
      <c r="R2" s="166">
        <v>0.17484890712720819</v>
      </c>
      <c r="S2" s="167"/>
      <c r="T2" s="166">
        <v>0.58712277691415438</v>
      </c>
      <c r="U2" s="167"/>
      <c r="V2" s="166">
        <v>0.5504940316166177</v>
      </c>
      <c r="W2" s="167"/>
      <c r="X2" s="166">
        <v>6.214032784023815E-3</v>
      </c>
      <c r="Y2" s="167"/>
      <c r="Z2" s="166">
        <v>0.46150326974191819</v>
      </c>
      <c r="AA2" s="167"/>
      <c r="AB2" s="166">
        <v>0.28409456817050566</v>
      </c>
      <c r="AC2" s="167"/>
      <c r="AD2" s="166">
        <v>-8.1941179428270006E-2</v>
      </c>
      <c r="AE2" s="167"/>
      <c r="AF2" s="166">
        <v>0.76918775121563376</v>
      </c>
      <c r="AG2" s="167"/>
    </row>
    <row r="3" spans="1:33" x14ac:dyDescent="0.4">
      <c r="A3" s="70">
        <v>1</v>
      </c>
      <c r="B3" s="71" t="s">
        <v>126</v>
      </c>
      <c r="C3" s="72">
        <v>1116.5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10798.275862068966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0.315359477124183</v>
      </c>
      <c r="X3" s="73" t="s">
        <v>212</v>
      </c>
      <c r="Y3" s="76">
        <v>0.35483870967741937</v>
      </c>
      <c r="Z3" s="73" t="s">
        <v>126</v>
      </c>
      <c r="AA3" s="76">
        <v>0.6028880866425993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161</v>
      </c>
      <c r="S4" s="85">
        <v>-7600</v>
      </c>
      <c r="T4" s="81" t="s">
        <v>161</v>
      </c>
      <c r="U4" s="83">
        <v>3.5714285714285712E-2</v>
      </c>
      <c r="V4" s="81" t="s">
        <v>172</v>
      </c>
      <c r="W4" s="84">
        <v>0.28524046434494194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0.47457627118644069</v>
      </c>
      <c r="AD4" s="81" t="s">
        <v>170</v>
      </c>
      <c r="AE4" s="84">
        <v>0.48275862068965519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138.89999999999978</v>
      </c>
      <c r="D5" s="81" t="s">
        <v>170</v>
      </c>
      <c r="E5" s="93">
        <v>4.2855263157894754</v>
      </c>
      <c r="F5" s="81" t="s">
        <v>170</v>
      </c>
      <c r="G5" s="82">
        <v>1.9210526315789473</v>
      </c>
      <c r="H5" s="81" t="s">
        <v>212</v>
      </c>
      <c r="I5" s="83">
        <v>0.42857142857142855</v>
      </c>
      <c r="J5" s="81" t="s">
        <v>171</v>
      </c>
      <c r="K5" s="83">
        <v>0.28000000000000003</v>
      </c>
      <c r="L5" s="81" t="s">
        <v>127</v>
      </c>
      <c r="M5" s="84">
        <v>0.30809128630705396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172</v>
      </c>
      <c r="S5" s="85">
        <v>-7622.1311475409839</v>
      </c>
      <c r="T5" s="81" t="s">
        <v>126</v>
      </c>
      <c r="U5" s="83">
        <v>3.968253968253968E-2</v>
      </c>
      <c r="V5" s="81" t="s">
        <v>126</v>
      </c>
      <c r="W5" s="84">
        <v>0.26971762414800388</v>
      </c>
      <c r="X5" s="81" t="s">
        <v>127</v>
      </c>
      <c r="Y5" s="84">
        <v>0.31120331950207469</v>
      </c>
      <c r="Z5" s="81" t="s">
        <v>172</v>
      </c>
      <c r="AA5" s="84">
        <v>0.57558139534883723</v>
      </c>
      <c r="AB5" s="81" t="s">
        <v>171</v>
      </c>
      <c r="AC5" s="84">
        <v>0.42372881355932202</v>
      </c>
      <c r="AD5" s="81" t="s">
        <v>202</v>
      </c>
      <c r="AE5" s="84">
        <v>0.48192771084337349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170</v>
      </c>
      <c r="I6" s="83">
        <v>0.39473684210526316</v>
      </c>
      <c r="J6" s="81" t="s">
        <v>127</v>
      </c>
      <c r="K6" s="83">
        <v>0.29565217391304349</v>
      </c>
      <c r="L6" s="81" t="s">
        <v>141</v>
      </c>
      <c r="M6" s="84">
        <v>0.2954324586977648</v>
      </c>
      <c r="N6" s="81" t="s">
        <v>161</v>
      </c>
      <c r="O6" s="84">
        <v>0.15060240963855423</v>
      </c>
      <c r="P6" s="81" t="s">
        <v>141</v>
      </c>
      <c r="Q6" s="85">
        <v>8433.4210526315783</v>
      </c>
      <c r="R6" s="81" t="s">
        <v>171</v>
      </c>
      <c r="S6" s="85">
        <v>-7714.545454545455</v>
      </c>
      <c r="T6" s="81" t="s">
        <v>171</v>
      </c>
      <c r="U6" s="83">
        <v>0.08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0.4642857142857143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201</v>
      </c>
      <c r="G7" s="82">
        <v>2</v>
      </c>
      <c r="H7" s="81" t="s">
        <v>201</v>
      </c>
      <c r="I7" s="83">
        <v>0.375</v>
      </c>
      <c r="J7" s="81" t="s">
        <v>170</v>
      </c>
      <c r="K7" s="83">
        <v>0.31578947368421051</v>
      </c>
      <c r="L7" s="81" t="s">
        <v>171</v>
      </c>
      <c r="M7" s="84">
        <v>0.28714107365792757</v>
      </c>
      <c r="N7" s="81" t="s">
        <v>141</v>
      </c>
      <c r="O7" s="84">
        <v>0.16384839650145772</v>
      </c>
      <c r="P7" s="81" t="s">
        <v>171</v>
      </c>
      <c r="Q7" s="85">
        <v>8340.8695652173919</v>
      </c>
      <c r="R7" s="81" t="s">
        <v>126</v>
      </c>
      <c r="S7" s="85">
        <v>-7803.7593984962405</v>
      </c>
      <c r="T7" s="81" t="s">
        <v>201</v>
      </c>
      <c r="U7" s="83">
        <v>8.3333333333333329E-2</v>
      </c>
      <c r="V7" s="81" t="s">
        <v>236</v>
      </c>
      <c r="W7" s="84">
        <v>0.26666666666666666</v>
      </c>
      <c r="X7" s="81" t="s">
        <v>141</v>
      </c>
      <c r="Y7" s="84">
        <v>0.23206997084548106</v>
      </c>
      <c r="Z7" s="81" t="s">
        <v>141</v>
      </c>
      <c r="AA7" s="84">
        <v>0.55453149001536095</v>
      </c>
      <c r="AB7" s="81" t="s">
        <v>202</v>
      </c>
      <c r="AC7" s="84">
        <v>0.41891891891891891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-4.6185277824406512E-14</v>
      </c>
      <c r="D8" s="81" t="s">
        <v>141</v>
      </c>
      <c r="E8" s="93">
        <v>-7.4733459262793709E-17</v>
      </c>
      <c r="F8" s="81" t="s">
        <v>141</v>
      </c>
      <c r="G8" s="82">
        <v>2</v>
      </c>
      <c r="H8" s="81" t="s">
        <v>127</v>
      </c>
      <c r="I8" s="83">
        <v>0.35652173913043478</v>
      </c>
      <c r="J8" s="81" t="s">
        <v>141</v>
      </c>
      <c r="K8" s="83">
        <v>0.33333333333333331</v>
      </c>
      <c r="L8" s="81" t="s">
        <v>170</v>
      </c>
      <c r="M8" s="84">
        <v>0.28431372549019607</v>
      </c>
      <c r="N8" s="81" t="s">
        <v>201</v>
      </c>
      <c r="O8" s="84">
        <v>0.16593886462882096</v>
      </c>
      <c r="P8" s="81" t="s">
        <v>126</v>
      </c>
      <c r="Q8" s="85">
        <v>8219.318181818182</v>
      </c>
      <c r="R8" s="81" t="s">
        <v>141</v>
      </c>
      <c r="S8" s="85">
        <v>-7848.8730723606168</v>
      </c>
      <c r="T8" s="81" t="s">
        <v>172</v>
      </c>
      <c r="U8" s="83">
        <v>8.4507042253521125E-2</v>
      </c>
      <c r="V8" s="81" t="s">
        <v>201</v>
      </c>
      <c r="W8" s="84">
        <v>0.26637554585152839</v>
      </c>
      <c r="X8" s="81" t="s">
        <v>126</v>
      </c>
      <c r="Y8" s="84">
        <v>0.22979552093476144</v>
      </c>
      <c r="Z8" s="81" t="s">
        <v>170</v>
      </c>
      <c r="AA8" s="84">
        <v>0.54922279792746109</v>
      </c>
      <c r="AB8" s="81" t="s">
        <v>141</v>
      </c>
      <c r="AC8" s="84">
        <v>0.41541038525963148</v>
      </c>
      <c r="AD8" s="81" t="s">
        <v>141</v>
      </c>
      <c r="AE8" s="84">
        <v>0.44013157894736843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-0.25600000000000006</v>
      </c>
      <c r="F9" s="81" t="s">
        <v>171</v>
      </c>
      <c r="G9" s="82">
        <v>2.04</v>
      </c>
      <c r="H9" s="81" t="s">
        <v>141</v>
      </c>
      <c r="I9" s="83">
        <v>0.33333333333333331</v>
      </c>
      <c r="J9" s="81" t="s">
        <v>201</v>
      </c>
      <c r="K9" s="83">
        <v>0.375</v>
      </c>
      <c r="L9" s="81" t="s">
        <v>172</v>
      </c>
      <c r="M9" s="84">
        <v>0.27860696517412936</v>
      </c>
      <c r="N9" s="81" t="s">
        <v>170</v>
      </c>
      <c r="O9" s="84">
        <v>0.16993464052287582</v>
      </c>
      <c r="P9" s="81" t="s">
        <v>172</v>
      </c>
      <c r="Q9" s="85">
        <v>8067.8571428571431</v>
      </c>
      <c r="R9" s="81" t="s">
        <v>236</v>
      </c>
      <c r="S9" s="85">
        <v>-8000</v>
      </c>
      <c r="T9" s="81" t="s">
        <v>141</v>
      </c>
      <c r="U9" s="83">
        <v>9.5469255663430425E-2</v>
      </c>
      <c r="V9" s="81" t="s">
        <v>141</v>
      </c>
      <c r="W9" s="84">
        <v>0.2530612244897959</v>
      </c>
      <c r="X9" s="81" t="s">
        <v>202</v>
      </c>
      <c r="Y9" s="84">
        <v>0.22155688622754491</v>
      </c>
      <c r="Z9" s="81" t="s">
        <v>212</v>
      </c>
      <c r="AA9" s="84">
        <v>0.53333333333333333</v>
      </c>
      <c r="AB9" s="81" t="s">
        <v>172</v>
      </c>
      <c r="AC9" s="84">
        <v>0.40517241379310343</v>
      </c>
      <c r="AD9" s="81" t="s">
        <v>126</v>
      </c>
      <c r="AE9" s="84">
        <v>0.42329545454545453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0.39436619718309857</v>
      </c>
      <c r="L10" s="81" t="s">
        <v>201</v>
      </c>
      <c r="M10" s="84">
        <v>0.27074235807860264</v>
      </c>
      <c r="N10" s="81" t="s">
        <v>202</v>
      </c>
      <c r="O10" s="84">
        <v>0.18862275449101795</v>
      </c>
      <c r="P10" s="81" t="s">
        <v>202</v>
      </c>
      <c r="Q10" s="85">
        <v>7730.1204819277109</v>
      </c>
      <c r="R10" s="81" t="s">
        <v>127</v>
      </c>
      <c r="S10" s="85">
        <v>-8007.0270270270266</v>
      </c>
      <c r="T10" s="81" t="s">
        <v>170</v>
      </c>
      <c r="U10" s="83">
        <v>0.10526315789473684</v>
      </c>
      <c r="V10" s="81" t="s">
        <v>212</v>
      </c>
      <c r="W10" s="84">
        <v>0.24193548387096775</v>
      </c>
      <c r="X10" s="81" t="s">
        <v>171</v>
      </c>
      <c r="Y10" s="84">
        <v>0.22097378277153559</v>
      </c>
      <c r="Z10" s="81" t="s">
        <v>202</v>
      </c>
      <c r="AA10" s="84">
        <v>0.52173913043478259</v>
      </c>
      <c r="AB10" s="81" t="s">
        <v>161</v>
      </c>
      <c r="AC10" s="84">
        <v>0.39166666666666666</v>
      </c>
      <c r="AD10" s="81" t="s">
        <v>127</v>
      </c>
      <c r="AE10" s="84">
        <v>0.40404040404040403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-6.8281690140845068</v>
      </c>
      <c r="F11" s="81" t="s">
        <v>212</v>
      </c>
      <c r="G11" s="82">
        <v>2.1428571428571428</v>
      </c>
      <c r="H11" s="81" t="s">
        <v>171</v>
      </c>
      <c r="I11" s="83">
        <v>0.24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0.19190871369294607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0.13043478260869565</v>
      </c>
      <c r="V11" s="81" t="s">
        <v>127</v>
      </c>
      <c r="W11" s="84">
        <v>0.22821576763485477</v>
      </c>
      <c r="X11" s="81" t="s">
        <v>172</v>
      </c>
      <c r="Y11" s="84">
        <v>0.19237147595356552</v>
      </c>
      <c r="Z11" s="81" t="s">
        <v>236</v>
      </c>
      <c r="AA11" s="84">
        <v>0.5</v>
      </c>
      <c r="AB11" s="81" t="s">
        <v>127</v>
      </c>
      <c r="AC11" s="84">
        <v>0.38333333333333336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-484.8</v>
      </c>
      <c r="D12" s="81" t="s">
        <v>212</v>
      </c>
      <c r="E12" s="93">
        <v>-14.971428571428573</v>
      </c>
      <c r="F12" s="81" t="s">
        <v>172</v>
      </c>
      <c r="G12" s="82">
        <v>2.1690140845070425</v>
      </c>
      <c r="H12" s="81" t="s">
        <v>172</v>
      </c>
      <c r="I12" s="83">
        <v>0.22535211267605634</v>
      </c>
      <c r="J12" s="81" t="s">
        <v>202</v>
      </c>
      <c r="K12" s="83">
        <v>0.56097560975609762</v>
      </c>
      <c r="L12" s="81" t="s">
        <v>202</v>
      </c>
      <c r="M12" s="84">
        <v>0.24850299401197604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-8312.6984126984134</v>
      </c>
      <c r="T12" s="81" t="s">
        <v>202</v>
      </c>
      <c r="U12" s="83">
        <v>0.21951219512195122</v>
      </c>
      <c r="V12" s="81" t="s">
        <v>202</v>
      </c>
      <c r="W12" s="84">
        <v>0.20658682634730538</v>
      </c>
      <c r="X12" s="81" t="s">
        <v>170</v>
      </c>
      <c r="Y12" s="84">
        <v>0.1781045751633987</v>
      </c>
      <c r="Z12" s="81" t="s">
        <v>127</v>
      </c>
      <c r="AA12" s="84">
        <v>0.49545454545454548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-624.80000000000007</v>
      </c>
      <c r="D13" s="81" t="s">
        <v>202</v>
      </c>
      <c r="E13" s="93">
        <v>-15.239024390243904</v>
      </c>
      <c r="F13" s="81" t="s">
        <v>202</v>
      </c>
      <c r="G13" s="82">
        <v>2.4146341463414633</v>
      </c>
      <c r="H13" s="81" t="s">
        <v>202</v>
      </c>
      <c r="I13" s="83">
        <v>0.14634146341463414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0.20232172470978441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D1:AE1"/>
    <mergeCell ref="V1:W1"/>
    <mergeCell ref="X1:Y1"/>
    <mergeCell ref="Z1:AA1"/>
    <mergeCell ref="AB1:AC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2DCB-940F-4DDF-983C-4B2035EBB215}">
  <sheetPr codeName="Sheet4"/>
  <dimension ref="A1:Q62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618</v>
      </c>
      <c r="C2" s="155"/>
      <c r="E2" s="58" t="s">
        <v>66</v>
      </c>
      <c r="F2" s="55" t="s">
        <v>22</v>
      </c>
      <c r="G2" s="43">
        <v>1164</v>
      </c>
      <c r="H2" s="128">
        <f>IF(B$15=0,0,G2/B$15)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6">
        <v>5145</v>
      </c>
      <c r="C3" s="157"/>
      <c r="E3" s="59" t="s">
        <v>72</v>
      </c>
      <c r="F3" s="56" t="s">
        <v>27</v>
      </c>
      <c r="G3" s="44">
        <v>815</v>
      </c>
      <c r="H3" s="129">
        <f>IF(B$15=0,0,G3/B$15)</f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11.608623548922056</v>
      </c>
      <c r="P3" s="115">
        <v>603</v>
      </c>
      <c r="Q3" s="99">
        <v>7000</v>
      </c>
    </row>
    <row r="4" spans="1:17" x14ac:dyDescent="0.4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691</v>
      </c>
      <c r="H4" s="129">
        <f>IF(B$15=0,0,G4/B$15)</f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60">
        <f>IF(B$2=0,0,B$4/B$2)</f>
        <v>-7.4733459262793709E-17</v>
      </c>
      <c r="C5" s="161"/>
      <c r="E5" s="59" t="s">
        <v>166</v>
      </c>
      <c r="F5" s="56" t="s">
        <v>167</v>
      </c>
      <c r="G5" s="44">
        <v>603</v>
      </c>
      <c r="H5" s="129">
        <f>IF(B$15=0,0,G5/B$15)</f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469</v>
      </c>
      <c r="H6" s="129">
        <f>IF(B$15=0,0,G6/B$15)</f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10.040160642570282</v>
      </c>
      <c r="P6" s="115">
        <v>498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429</v>
      </c>
      <c r="H7" s="129">
        <f>IF(B$15=0,0,G7/B$15)</f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14.492753623188406</v>
      </c>
      <c r="P7" s="116">
        <v>414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1"/>
        <v>0.33333333333333331</v>
      </c>
      <c r="E8" s="59" t="s">
        <v>69</v>
      </c>
      <c r="F8" s="56" t="s">
        <v>24</v>
      </c>
      <c r="G8" s="44">
        <v>225</v>
      </c>
      <c r="H8" s="129">
        <f>IF(B$15=0,0,G8/B$15)</f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1"/>
        <v>0.33333333333333331</v>
      </c>
      <c r="E9" s="59" t="s">
        <v>89</v>
      </c>
      <c r="F9" s="56" t="s">
        <v>44</v>
      </c>
      <c r="G9" s="44">
        <v>205</v>
      </c>
      <c r="H9" s="129">
        <f>IF(B$15=0,0,G9/B$15)</f>
        <v>0.13486842105263158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59</v>
      </c>
      <c r="C10" s="40">
        <f t="shared" si="1"/>
        <v>9.5469255663430425E-2</v>
      </c>
      <c r="E10" s="59" t="s">
        <v>65</v>
      </c>
      <c r="F10" s="56" t="s">
        <v>21</v>
      </c>
      <c r="G10" s="44">
        <v>160</v>
      </c>
      <c r="H10" s="129">
        <f>IF(B$15=0,0,G10/B$15)</f>
        <v>0.10526315789473684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4" t="s">
        <v>121</v>
      </c>
      <c r="B11" s="47">
        <v>1302</v>
      </c>
      <c r="C11" s="42">
        <f>IF(B$3=0,0,B11/B$3)</f>
        <v>0.2530612244897959</v>
      </c>
      <c r="E11" s="59" t="s">
        <v>70</v>
      </c>
      <c r="F11" s="56" t="s">
        <v>25</v>
      </c>
      <c r="G11" s="44">
        <v>144</v>
      </c>
      <c r="H11" s="129">
        <f>IF(B$15=0,0,G11/B$15)</f>
        <v>9.4736842105263161E-2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1" t="s">
        <v>118</v>
      </c>
      <c r="B12" s="44">
        <v>1194</v>
      </c>
      <c r="C12" s="37">
        <f>IF(B$3=0,0,B12/B$3)</f>
        <v>0.23206997084548106</v>
      </c>
      <c r="E12" s="59" t="s">
        <v>71</v>
      </c>
      <c r="F12" s="56" t="s">
        <v>26</v>
      </c>
      <c r="G12" s="44">
        <v>119</v>
      </c>
      <c r="H12" s="129">
        <f>IF(B$15=0,0,G12/B$15)</f>
        <v>7.828947368421052E-2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0" t="s">
        <v>123</v>
      </c>
      <c r="B13" s="43">
        <f>B19</f>
        <v>722</v>
      </c>
      <c r="C13" s="35">
        <f>IF(B$11=0,0,B13/B$11)</f>
        <v>0.55453149001536095</v>
      </c>
      <c r="E13" s="59" t="s">
        <v>83</v>
      </c>
      <c r="F13" s="56" t="s">
        <v>38</v>
      </c>
      <c r="G13" s="44">
        <v>83</v>
      </c>
      <c r="H13" s="129">
        <f>IF(B$15=0,0,G13/B$15)</f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496</v>
      </c>
      <c r="C14" s="35">
        <f>IF(B$12=0,0,B14/B$12)</f>
        <v>0.41541038525963148</v>
      </c>
      <c r="E14" s="59" t="s">
        <v>86</v>
      </c>
      <c r="F14" s="56" t="s">
        <v>41</v>
      </c>
      <c r="G14" s="44">
        <v>76</v>
      </c>
      <c r="H14" s="129">
        <f>IF(B$15=0,0,G14/B$15)</f>
        <v>0.05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1520</v>
      </c>
      <c r="C15" s="35">
        <f>IF(B$3=0,0,B15/B$3)</f>
        <v>0.2954324586977648</v>
      </c>
      <c r="E15" s="59" t="s">
        <v>162</v>
      </c>
      <c r="F15" s="56" t="s">
        <v>163</v>
      </c>
      <c r="G15" s="44">
        <v>39</v>
      </c>
      <c r="H15" s="129">
        <f>IF(B$15=0,0,G15/B$15)</f>
        <v>2.5657894736842105E-2</v>
      </c>
      <c r="I15" s="90">
        <v>4</v>
      </c>
      <c r="K15" s="36">
        <v>13</v>
      </c>
      <c r="L15" s="95">
        <v>-1.7</v>
      </c>
      <c r="N15" s="110" t="s">
        <v>202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1" t="s">
        <v>13</v>
      </c>
      <c r="B16" s="44">
        <v>843</v>
      </c>
      <c r="C16" s="37">
        <f>IF(B$3=0,0,B16/B$3)</f>
        <v>0.16384839650145772</v>
      </c>
      <c r="E16" s="59" t="s">
        <v>78</v>
      </c>
      <c r="F16" s="56" t="s">
        <v>33</v>
      </c>
      <c r="G16" s="44">
        <v>37</v>
      </c>
      <c r="H16" s="129">
        <f>IF(B$15=0,0,G16/B$15)</f>
        <v>2.4342105263157894E-2</v>
      </c>
      <c r="I16" s="90">
        <v>5</v>
      </c>
      <c r="K16" s="36">
        <v>14</v>
      </c>
      <c r="L16" s="95">
        <v>24.3</v>
      </c>
      <c r="N16" s="111" t="s">
        <v>212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669</v>
      </c>
      <c r="C17" s="37">
        <f>IF(B$15=0,0,B17/B$15)</f>
        <v>0.44013157894736843</v>
      </c>
      <c r="E17" s="59" t="s">
        <v>81</v>
      </c>
      <c r="F17" s="56" t="s">
        <v>36</v>
      </c>
      <c r="G17" s="44">
        <v>27</v>
      </c>
      <c r="H17" s="129">
        <f>IF(B$15=0,0,G17/B$15)</f>
        <v>1.7763157894736842E-2</v>
      </c>
      <c r="I17" s="90">
        <v>6</v>
      </c>
      <c r="K17" s="36">
        <v>15</v>
      </c>
      <c r="L17" s="95">
        <v>0</v>
      </c>
      <c r="N17" s="111" t="s">
        <v>172</v>
      </c>
      <c r="O17" s="121">
        <f>IF(P17=0,0,Q17/P17)</f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11</v>
      </c>
      <c r="B18" s="44">
        <v>851</v>
      </c>
      <c r="C18" s="37">
        <f>IF(B$15=0,0,B18/B$15)</f>
        <v>0.55986842105263157</v>
      </c>
      <c r="E18" s="59" t="s">
        <v>91</v>
      </c>
      <c r="F18" s="56" t="s">
        <v>46</v>
      </c>
      <c r="G18" s="44">
        <v>21</v>
      </c>
      <c r="H18" s="129">
        <f>IF(B$15=0,0,G18/B$15)</f>
        <v>1.381578947368421E-2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722</v>
      </c>
      <c r="C19" s="37">
        <f>IF(B$15=0,0,B19/B$15)</f>
        <v>0.47499999999999998</v>
      </c>
      <c r="E19" s="59" t="s">
        <v>79</v>
      </c>
      <c r="F19" s="56" t="s">
        <v>34</v>
      </c>
      <c r="G19" s="44">
        <v>18</v>
      </c>
      <c r="H19" s="129">
        <f>IF(B$15=0,0,G19/B$15)</f>
        <v>1.1842105263157895E-2</v>
      </c>
      <c r="I19" s="90">
        <v>5</v>
      </c>
      <c r="K19" s="36">
        <v>17</v>
      </c>
      <c r="L19" s="95">
        <v>-20.5</v>
      </c>
      <c r="N19" s="111" t="s">
        <v>171</v>
      </c>
      <c r="O19" s="121">
        <f>IF(P19=0,0,Q19/P19)</f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195</v>
      </c>
      <c r="B20" s="44">
        <v>496</v>
      </c>
      <c r="C20" s="37">
        <f>IF(B$15=0,0,B20/B$15)</f>
        <v>0.32631578947368423</v>
      </c>
      <c r="E20" s="59" t="s">
        <v>75</v>
      </c>
      <c r="F20" s="56" t="s">
        <v>30</v>
      </c>
      <c r="G20" s="44">
        <v>10</v>
      </c>
      <c r="H20" s="129">
        <f>IF(B$15=0,0,G20/B$15)</f>
        <v>6.5789473684210523E-3</v>
      </c>
      <c r="I20" s="90">
        <v>5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302</v>
      </c>
      <c r="C21" s="37">
        <f>IF(B$15=0,0,B21/B$15)</f>
        <v>0.1986842105263158</v>
      </c>
      <c r="E21" s="59" t="s">
        <v>92</v>
      </c>
      <c r="F21" s="56" t="s">
        <v>47</v>
      </c>
      <c r="G21" s="44">
        <v>10</v>
      </c>
      <c r="H21" s="129">
        <f>IF(B$15=0,0,G21/B$15)</f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5</v>
      </c>
      <c r="B22" s="48">
        <f>IF(B$15=0,0,C22/B$15)</f>
        <v>8433.4210526315783</v>
      </c>
      <c r="C22" s="39">
        <v>12818800</v>
      </c>
      <c r="E22" s="59" t="s">
        <v>73</v>
      </c>
      <c r="F22" s="56" t="s">
        <v>28</v>
      </c>
      <c r="G22" s="44">
        <v>6</v>
      </c>
      <c r="H22" s="129">
        <f>IF(B$15=0,0,G22/B$15)</f>
        <v>3.9473684210526317E-3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2" t="s">
        <v>177</v>
      </c>
      <c r="B23" s="136">
        <f>IF($B$15-B$14=0,0,C23/($B$15-B$14))</f>
        <v>9031.54296875</v>
      </c>
      <c r="C23" s="137">
        <v>9248300</v>
      </c>
      <c r="E23" s="59" t="s">
        <v>74</v>
      </c>
      <c r="F23" s="56" t="s">
        <v>29</v>
      </c>
      <c r="G23" s="44">
        <v>6</v>
      </c>
      <c r="H23" s="129">
        <f>IF(B$15=0,0,G23/B$15)</f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-13.291666666666666</v>
      </c>
      <c r="P23" s="115">
        <v>252</v>
      </c>
      <c r="Q23" s="103">
        <v>-3349.5</v>
      </c>
    </row>
    <row r="24" spans="1:17" x14ac:dyDescent="0.4">
      <c r="A24" s="52" t="s">
        <v>178</v>
      </c>
      <c r="B24" s="136">
        <f>IF(B$14=0,0,C24/B$14)</f>
        <v>7198.5887096774195</v>
      </c>
      <c r="C24" s="137">
        <v>3570500</v>
      </c>
      <c r="E24" s="59" t="s">
        <v>77</v>
      </c>
      <c r="F24" s="56" t="s">
        <v>32</v>
      </c>
      <c r="G24" s="44">
        <v>5</v>
      </c>
      <c r="H24" s="129">
        <f>IF(B$15=0,0,G24/B$15)</f>
        <v>3.2894736842105261E-3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-7848.8730723606168</v>
      </c>
      <c r="C25" s="137">
        <v>-6616600</v>
      </c>
      <c r="E25" s="59" t="s">
        <v>85</v>
      </c>
      <c r="F25" s="56" t="s">
        <v>40</v>
      </c>
      <c r="G25" s="44">
        <v>5</v>
      </c>
      <c r="H25" s="129">
        <f>IF(B$15=0,0,G25/B$15)</f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>IF(B$15=0,0,G26/B$15)</f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0</v>
      </c>
      <c r="E27" s="59" t="s">
        <v>84</v>
      </c>
      <c r="F27" s="56" t="s">
        <v>39</v>
      </c>
      <c r="G27" s="44">
        <v>4</v>
      </c>
      <c r="H27" s="129">
        <f>IF(B$15=0,0,G27/B$15)</f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>IF(B$15=0,0,G28/B$15)</f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>IF(B$15=0,0,G29/B$15)</f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2.7210884353741495E-3</v>
      </c>
      <c r="E30" s="59" t="s">
        <v>87</v>
      </c>
      <c r="F30" s="56" t="s">
        <v>42</v>
      </c>
      <c r="G30" s="44">
        <v>2</v>
      </c>
      <c r="H30" s="129">
        <f>IF(B$15=0,0,G30/B$15)</f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IF(B$15=0,0,G31/B$15)</f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111</v>
      </c>
      <c r="C32" s="141">
        <f>IF(B$15=0,0,B32/B$15)</f>
        <v>7.3026315789473689E-2</v>
      </c>
      <c r="E32" s="59" t="s">
        <v>97</v>
      </c>
      <c r="F32" s="56" t="s">
        <v>52</v>
      </c>
      <c r="G32" s="44">
        <v>1</v>
      </c>
      <c r="H32" s="129">
        <f>IF(B$15=0,0,G32/B$15)</f>
        <v>6.5789473684210525E-4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251</v>
      </c>
      <c r="C33" s="37">
        <f t="shared" ref="C33:C44" si="2">IF(B$15=0,0,B33/B$15)</f>
        <v>0.16513157894736843</v>
      </c>
      <c r="E33" s="59" t="s">
        <v>101</v>
      </c>
      <c r="F33" s="56" t="s">
        <v>56</v>
      </c>
      <c r="G33" s="44">
        <v>1</v>
      </c>
      <c r="H33" s="129">
        <f>IF(B$15=0,0,G33/B$15)</f>
        <v>6.5789473684210525E-4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315</v>
      </c>
      <c r="C34" s="37">
        <f>IF(B$15=0,0,B34/B$15)</f>
        <v>0.20723684210526316</v>
      </c>
      <c r="E34" s="59" t="s">
        <v>106</v>
      </c>
      <c r="F34" s="56" t="s">
        <v>113</v>
      </c>
      <c r="G34" s="44">
        <v>1</v>
      </c>
      <c r="H34" s="129">
        <f>IF(B$15=0,0,G34/B$15)</f>
        <v>6.5789473684210525E-4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269</v>
      </c>
      <c r="C35" s="37">
        <f t="shared" si="2"/>
        <v>0.17697368421052631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242</v>
      </c>
      <c r="C36" s="37">
        <f t="shared" si="2"/>
        <v>0.15921052631578947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154</v>
      </c>
      <c r="C37" s="37">
        <f t="shared" si="2"/>
        <v>0.10131578947368421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82</v>
      </c>
      <c r="C38" s="37">
        <f t="shared" si="2"/>
        <v>5.3947368421052633E-2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42</v>
      </c>
      <c r="C39" s="37">
        <f t="shared" si="2"/>
        <v>2.763157894736842E-2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1.1842105263157895E-2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4.6052631578947364E-3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3.2894736842105261E-3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3.2894736842105261E-3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1.2500000000000001E-2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7A88-4309-4959-B78B-D01403C0B3A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3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2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2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2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2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2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2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2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0A89-443D-4270-BBD7-8916F2D72C36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126</v>
      </c>
      <c r="C2" s="155"/>
      <c r="E2" s="58" t="s">
        <v>66</v>
      </c>
      <c r="F2" s="55" t="s">
        <v>22</v>
      </c>
      <c r="G2" s="43">
        <v>239</v>
      </c>
      <c r="H2" s="128">
        <f>IF(B$15=0,0,G2/B$15)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6">
        <v>1027</v>
      </c>
      <c r="C3" s="157"/>
      <c r="E3" s="59" t="s">
        <v>72</v>
      </c>
      <c r="F3" s="56" t="s">
        <v>27</v>
      </c>
      <c r="G3" s="44">
        <v>174</v>
      </c>
      <c r="H3" s="129">
        <f>IF(B$15=0,0,G3/B$15)</f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8">
        <v>1116.5</v>
      </c>
      <c r="C4" s="159"/>
      <c r="E4" s="59" t="s">
        <v>64</v>
      </c>
      <c r="F4" s="56" t="s">
        <v>20</v>
      </c>
      <c r="G4" s="44">
        <v>157</v>
      </c>
      <c r="H4" s="129">
        <f>IF(B$15=0,0,G4/B$15)</f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60">
        <f>IF(B$2=0,0,B$4/B$2)</f>
        <v>8.8611111111111107</v>
      </c>
      <c r="C5" s="161"/>
      <c r="E5" s="59" t="s">
        <v>166</v>
      </c>
      <c r="F5" s="56" t="s">
        <v>167</v>
      </c>
      <c r="G5" s="44">
        <v>129</v>
      </c>
      <c r="H5" s="129">
        <f>IF(B$15=0,0,G5/B$15)</f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50">
        <f>IF(B$2=0,0,(B$7*1+B$8*2+B$9*3)/B$2)</f>
        <v>1.7777777777777777</v>
      </c>
      <c r="C6" s="151"/>
      <c r="E6" s="59" t="s">
        <v>68</v>
      </c>
      <c r="F6" s="56" t="s">
        <v>12</v>
      </c>
      <c r="G6" s="44">
        <v>102</v>
      </c>
      <c r="H6" s="129">
        <f>IF(B$15=0,0,G6/B$15)</f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2217.4757281553398</v>
      </c>
      <c r="P6" s="115">
        <v>103</v>
      </c>
      <c r="Q6" s="99">
        <v>228400</v>
      </c>
    </row>
    <row r="7" spans="1:17" x14ac:dyDescent="0.4">
      <c r="A7" s="51" t="s">
        <v>2</v>
      </c>
      <c r="B7" s="44">
        <v>58</v>
      </c>
      <c r="C7" s="37">
        <f t="shared" ref="C7:C10" si="1">IF(B$2=0,0,B7/B$2)</f>
        <v>0.46031746031746029</v>
      </c>
      <c r="E7" s="59" t="s">
        <v>67</v>
      </c>
      <c r="F7" s="56" t="s">
        <v>23</v>
      </c>
      <c r="G7" s="44">
        <v>91</v>
      </c>
      <c r="H7" s="129">
        <f>IF(B$15=0,0,G7/B$15)</f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2300</v>
      </c>
      <c r="P7" s="116">
        <v>83</v>
      </c>
      <c r="Q7" s="100">
        <v>190900</v>
      </c>
    </row>
    <row r="8" spans="1:17" x14ac:dyDescent="0.4">
      <c r="A8" s="51" t="s">
        <v>3</v>
      </c>
      <c r="B8" s="44">
        <v>38</v>
      </c>
      <c r="C8" s="37">
        <f t="shared" si="1"/>
        <v>0.30158730158730157</v>
      </c>
      <c r="E8" s="59" t="s">
        <v>69</v>
      </c>
      <c r="F8" s="56" t="s">
        <v>24</v>
      </c>
      <c r="G8" s="44">
        <v>54</v>
      </c>
      <c r="H8" s="129">
        <f>IF(B$15=0,0,G8/B$15)</f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1"/>
        <v>0.23809523809523808</v>
      </c>
      <c r="E9" s="59" t="s">
        <v>89</v>
      </c>
      <c r="F9" s="56" t="s">
        <v>44</v>
      </c>
      <c r="G9" s="44">
        <v>54</v>
      </c>
      <c r="H9" s="129">
        <f>IF(B$15=0,0,G9/B$15)</f>
        <v>0.15340909090909091</v>
      </c>
      <c r="I9" s="90">
        <v>3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3.968253968253968E-2</v>
      </c>
      <c r="E10" s="59" t="s">
        <v>65</v>
      </c>
      <c r="F10" s="56" t="s">
        <v>21</v>
      </c>
      <c r="G10" s="44">
        <v>42</v>
      </c>
      <c r="H10" s="129">
        <f>IF(B$15=0,0,G10/B$15)</f>
        <v>0.11931818181818182</v>
      </c>
      <c r="I10" s="90">
        <v>4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277</v>
      </c>
      <c r="C11" s="42">
        <f>IF(B$3=0,0,B11/B$3)</f>
        <v>0.26971762414800388</v>
      </c>
      <c r="E11" s="59" t="s">
        <v>71</v>
      </c>
      <c r="F11" s="56" t="s">
        <v>26</v>
      </c>
      <c r="G11" s="44">
        <v>24</v>
      </c>
      <c r="H11" s="129">
        <f>IF(B$15=0,0,G11/B$15)</f>
        <v>6.8181818181818177E-2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1" t="s">
        <v>118</v>
      </c>
      <c r="B12" s="44">
        <v>236</v>
      </c>
      <c r="C12" s="37">
        <f>IF(B$3=0,0,B12/B$3)</f>
        <v>0.22979552093476144</v>
      </c>
      <c r="E12" s="59" t="s">
        <v>86</v>
      </c>
      <c r="F12" s="56" t="s">
        <v>41</v>
      </c>
      <c r="G12" s="44">
        <v>21</v>
      </c>
      <c r="H12" s="129">
        <f>IF(B$15=0,0,G12/B$15)</f>
        <v>5.9659090909090912E-2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0" t="s">
        <v>123</v>
      </c>
      <c r="B13" s="43">
        <f>B19</f>
        <v>167</v>
      </c>
      <c r="C13" s="35">
        <f>IF(B$11=0,0,B13/B$11)</f>
        <v>0.6028880866425993</v>
      </c>
      <c r="E13" s="59" t="s">
        <v>70</v>
      </c>
      <c r="F13" s="56" t="s">
        <v>25</v>
      </c>
      <c r="G13" s="44">
        <v>20</v>
      </c>
      <c r="H13" s="129">
        <f>IF(B$15=0,0,G13/B$15)</f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112</v>
      </c>
      <c r="C14" s="35">
        <f>IF(B$12=0,0,B14/B$12)</f>
        <v>0.47457627118644069</v>
      </c>
      <c r="E14" s="59" t="s">
        <v>83</v>
      </c>
      <c r="F14" s="56" t="s">
        <v>38</v>
      </c>
      <c r="G14" s="44">
        <v>16</v>
      </c>
      <c r="H14" s="129">
        <f>IF(B$15=0,0,G14/B$15)</f>
        <v>4.5454545454545456E-2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352</v>
      </c>
      <c r="C15" s="35">
        <f>IF(B$3=0,0,B15/B$3)</f>
        <v>0.34274586173320348</v>
      </c>
      <c r="E15" s="59" t="s">
        <v>78</v>
      </c>
      <c r="F15" s="56" t="s">
        <v>33</v>
      </c>
      <c r="G15" s="44">
        <v>14</v>
      </c>
      <c r="H15" s="129">
        <f>IF(B$15=0,0,G15/B$15)</f>
        <v>3.9772727272727272E-2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133</v>
      </c>
      <c r="C16" s="37">
        <f>IF(B$3=0,0,B16/B$3)</f>
        <v>0.12950340798442064</v>
      </c>
      <c r="E16" s="59" t="s">
        <v>162</v>
      </c>
      <c r="F16" s="56" t="s">
        <v>163</v>
      </c>
      <c r="G16" s="44">
        <v>13</v>
      </c>
      <c r="H16" s="129">
        <f>IF(B$15=0,0,G16/B$15)</f>
        <v>3.6931818181818184E-2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1" t="s">
        <v>12</v>
      </c>
      <c r="B17" s="44">
        <v>149</v>
      </c>
      <c r="C17" s="37">
        <f>IF(B$15=0,0,B17/B$15)</f>
        <v>0.42329545454545453</v>
      </c>
      <c r="E17" s="59" t="s">
        <v>77</v>
      </c>
      <c r="F17" s="56" t="s">
        <v>32</v>
      </c>
      <c r="G17" s="44">
        <v>3</v>
      </c>
      <c r="H17" s="129">
        <f>IF(B$15=0,0,G17/B$15)</f>
        <v>8.5227272727272721E-3</v>
      </c>
      <c r="I17" s="90">
        <v>1</v>
      </c>
      <c r="K17" s="36">
        <v>15</v>
      </c>
      <c r="L17" s="95">
        <v>269.49999999999994</v>
      </c>
      <c r="N17" s="111" t="s">
        <v>171</v>
      </c>
      <c r="O17" s="121">
        <f>IF(P17=0,0,Q17/P17)</f>
        <v>18.067346938775508</v>
      </c>
      <c r="P17" s="115">
        <v>49</v>
      </c>
      <c r="Q17" s="103">
        <v>885.3</v>
      </c>
    </row>
    <row r="18" spans="1:17" x14ac:dyDescent="0.4">
      <c r="A18" s="51" t="s">
        <v>11</v>
      </c>
      <c r="B18" s="44">
        <v>203</v>
      </c>
      <c r="C18" s="37">
        <f>IF(B$15=0,0,B18/B$15)</f>
        <v>0.57670454545454541</v>
      </c>
      <c r="E18" s="59" t="s">
        <v>84</v>
      </c>
      <c r="F18" s="56" t="s">
        <v>39</v>
      </c>
      <c r="G18" s="44">
        <v>3</v>
      </c>
      <c r="H18" s="129">
        <f>IF(B$15=0,0,G18/B$15)</f>
        <v>8.5227272727272721E-3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17.637777777777782</v>
      </c>
      <c r="P18" s="115">
        <v>45</v>
      </c>
      <c r="Q18" s="103">
        <v>793.70000000000016</v>
      </c>
    </row>
    <row r="19" spans="1:17" x14ac:dyDescent="0.4">
      <c r="A19" s="51" t="s">
        <v>197</v>
      </c>
      <c r="B19" s="44">
        <v>167</v>
      </c>
      <c r="C19" s="37">
        <f>IF(B$15=0,0,B19/B$15)</f>
        <v>0.47443181818181818</v>
      </c>
      <c r="E19" s="59" t="s">
        <v>92</v>
      </c>
      <c r="F19" s="56" t="s">
        <v>47</v>
      </c>
      <c r="G19" s="44">
        <v>3</v>
      </c>
      <c r="H19" s="129">
        <f>IF(B$15=0,0,G19/B$15)</f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>IF(P19=0,0,Q19/P19)</f>
        <v>14.022077922077923</v>
      </c>
      <c r="P19" s="115">
        <v>77</v>
      </c>
      <c r="Q19" s="103">
        <v>1079.7</v>
      </c>
    </row>
    <row r="20" spans="1:17" x14ac:dyDescent="0.4">
      <c r="A20" s="51" t="s">
        <v>195</v>
      </c>
      <c r="B20" s="44">
        <v>112</v>
      </c>
      <c r="C20" s="37">
        <f>IF(B$15=0,0,B20/B$15)</f>
        <v>0.31818181818181818</v>
      </c>
      <c r="E20" s="59" t="s">
        <v>75</v>
      </c>
      <c r="F20" s="56" t="s">
        <v>30</v>
      </c>
      <c r="G20" s="44">
        <v>2</v>
      </c>
      <c r="H20" s="129">
        <f>IF(B$15=0,0,G20/B$15)</f>
        <v>5.681818181818182E-3</v>
      </c>
      <c r="I20" s="90">
        <v>7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73</v>
      </c>
      <c r="C21" s="37">
        <f>IF(B$15=0,0,B21/B$15)</f>
        <v>0.20738636363636365</v>
      </c>
      <c r="E21" s="59" t="s">
        <v>79</v>
      </c>
      <c r="F21" s="56" t="s">
        <v>34</v>
      </c>
      <c r="G21" s="44">
        <v>2</v>
      </c>
      <c r="H21" s="129">
        <f>IF(B$15=0,0,G21/B$15)</f>
        <v>5.681818181818182E-3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5</v>
      </c>
      <c r="B22" s="48">
        <f>IF(B$15=0,0,C22/B$15)</f>
        <v>8219.318181818182</v>
      </c>
      <c r="C22" s="39">
        <v>2893200</v>
      </c>
      <c r="E22" s="59" t="s">
        <v>81</v>
      </c>
      <c r="F22" s="56" t="s">
        <v>36</v>
      </c>
      <c r="G22" s="44">
        <v>2</v>
      </c>
      <c r="H22" s="129">
        <f>IF(B$15=0,0,G22/B$15)</f>
        <v>5.681818181818182E-3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8529.5833333333339</v>
      </c>
      <c r="C23" s="137">
        <v>2047100</v>
      </c>
      <c r="E23" s="59" t="s">
        <v>85</v>
      </c>
      <c r="F23" s="56" t="s">
        <v>40</v>
      </c>
      <c r="G23" s="44">
        <v>2</v>
      </c>
      <c r="H23" s="129">
        <f>IF(B$15=0,0,G23/B$15)</f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7554.4642857142853</v>
      </c>
      <c r="C24" s="137">
        <v>846100</v>
      </c>
      <c r="E24" s="59" t="s">
        <v>88</v>
      </c>
      <c r="F24" s="56" t="s">
        <v>43</v>
      </c>
      <c r="G24" s="44">
        <v>2</v>
      </c>
      <c r="H24" s="129">
        <f>IF(B$15=0,0,G24/B$15)</f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-7803.7593984962405</v>
      </c>
      <c r="C25" s="137">
        <v>-1037900</v>
      </c>
      <c r="E25" s="59" t="s">
        <v>91</v>
      </c>
      <c r="F25" s="56" t="s">
        <v>46</v>
      </c>
      <c r="G25" s="44">
        <v>2</v>
      </c>
      <c r="H25" s="129">
        <f>IF(B$15=0,0,G25/B$15)</f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74</v>
      </c>
      <c r="F26" s="56" t="s">
        <v>29</v>
      </c>
      <c r="G26" s="44">
        <v>1</v>
      </c>
      <c r="H26" s="129">
        <f>IF(B$15=0,0,G26/B$15)</f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11</v>
      </c>
      <c r="E27" s="59" t="s">
        <v>90</v>
      </c>
      <c r="F27" s="56" t="s">
        <v>45</v>
      </c>
      <c r="G27" s="44">
        <v>1</v>
      </c>
      <c r="H27" s="129">
        <f>IF(B$15=0,0,G27/B$15)</f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9.7370983446932818E-4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28</v>
      </c>
      <c r="C32" s="141">
        <f>IF(B$15=0,0,B32/B$15)</f>
        <v>7.9545454545454544E-2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63</v>
      </c>
      <c r="C33" s="37">
        <f t="shared" ref="C33:C44" si="2">IF(B$15=0,0,B33/B$15)</f>
        <v>0.17897727272727273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77</v>
      </c>
      <c r="C34" s="37">
        <f>IF(B$15=0,0,B34/B$15)</f>
        <v>0.21875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67</v>
      </c>
      <c r="C35" s="37">
        <f t="shared" si="2"/>
        <v>0.19034090909090909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2"/>
        <v>0.14204545454545456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34</v>
      </c>
      <c r="C37" s="37">
        <f t="shared" si="2"/>
        <v>9.6590909090909088E-2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2"/>
        <v>4.5454545454545456E-2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2"/>
        <v>1.1363636363636364E-2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1.9886363636363636E-2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2.840909090909091E-3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1.4204545454545454E-2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F3BA-A593-4A28-993D-2BDF9949757C}">
  <sheetPr codeName="Sheet11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115</v>
      </c>
      <c r="C2" s="155"/>
      <c r="E2" s="58" t="s">
        <v>66</v>
      </c>
      <c r="F2" s="55" t="s">
        <v>22</v>
      </c>
      <c r="G2" s="43">
        <v>252</v>
      </c>
      <c r="H2" s="128">
        <f>IF(B$15=0,0,G2/B$15)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6">
        <v>964</v>
      </c>
      <c r="C3" s="157"/>
      <c r="E3" s="59" t="s">
        <v>72</v>
      </c>
      <c r="F3" s="56" t="s">
        <v>27</v>
      </c>
      <c r="G3" s="44">
        <v>172</v>
      </c>
      <c r="H3" s="129">
        <f>IF(B$15=0,0,G3/B$15)</f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1868.75</v>
      </c>
      <c r="P3" s="115">
        <v>112</v>
      </c>
      <c r="Q3" s="99">
        <v>209300</v>
      </c>
    </row>
    <row r="4" spans="1:17" x14ac:dyDescent="0.4">
      <c r="A4" s="51" t="s">
        <v>6</v>
      </c>
      <c r="B4" s="158">
        <v>138.89999999999978</v>
      </c>
      <c r="C4" s="159"/>
      <c r="E4" s="59" t="s">
        <v>166</v>
      </c>
      <c r="F4" s="56" t="s">
        <v>167</v>
      </c>
      <c r="G4" s="44">
        <v>119</v>
      </c>
      <c r="H4" s="129">
        <f>IF(B$15=0,0,G4/B$15)</f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60">
        <f>IF(B$2=0,0,B$4/B$2)</f>
        <v>1.2078260869565198</v>
      </c>
      <c r="C5" s="161"/>
      <c r="E5" s="59" t="s">
        <v>64</v>
      </c>
      <c r="F5" s="56" t="s">
        <v>20</v>
      </c>
      <c r="G5" s="44">
        <v>111</v>
      </c>
      <c r="H5" s="129">
        <f>IF(B$15=0,0,G5/B$15)</f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50">
        <f>IF(B$2=0,0,(B$7*1+B$8*2+B$9*3)/B$2)</f>
        <v>1.9391304347826086</v>
      </c>
      <c r="C6" s="151"/>
      <c r="E6" s="59" t="s">
        <v>68</v>
      </c>
      <c r="F6" s="56" t="s">
        <v>12</v>
      </c>
      <c r="G6" s="44">
        <v>77</v>
      </c>
      <c r="H6" s="129">
        <f>IF(B$15=0,0,G6/B$15)</f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-1232.967032967033</v>
      </c>
      <c r="P6" s="115">
        <v>91</v>
      </c>
      <c r="Q6" s="99">
        <v>-112200</v>
      </c>
    </row>
    <row r="7" spans="1:17" x14ac:dyDescent="0.4">
      <c r="A7" s="51" t="s">
        <v>2</v>
      </c>
      <c r="B7" s="44">
        <v>41</v>
      </c>
      <c r="C7" s="37">
        <f t="shared" ref="C7:C10" si="1">IF(B$2=0,0,B7/B$2)</f>
        <v>0.35652173913043478</v>
      </c>
      <c r="E7" s="59" t="s">
        <v>67</v>
      </c>
      <c r="F7" s="56" t="s">
        <v>23</v>
      </c>
      <c r="G7" s="44">
        <v>61</v>
      </c>
      <c r="H7" s="129">
        <f>IF(B$15=0,0,G7/B$15)</f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1503.8961038961038</v>
      </c>
      <c r="P7" s="116">
        <v>77</v>
      </c>
      <c r="Q7" s="100">
        <v>115800</v>
      </c>
    </row>
    <row r="8" spans="1:17" x14ac:dyDescent="0.4">
      <c r="A8" s="51" t="s">
        <v>3</v>
      </c>
      <c r="B8" s="44">
        <v>40</v>
      </c>
      <c r="C8" s="37">
        <f t="shared" si="1"/>
        <v>0.34782608695652173</v>
      </c>
      <c r="E8" s="59" t="s">
        <v>89</v>
      </c>
      <c r="F8" s="56" t="s">
        <v>44</v>
      </c>
      <c r="G8" s="44">
        <v>37</v>
      </c>
      <c r="H8" s="129">
        <f>IF(B$15=0,0,G8/B$15)</f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0.29565217391304349</v>
      </c>
      <c r="E9" s="59" t="s">
        <v>69</v>
      </c>
      <c r="F9" s="56" t="s">
        <v>24</v>
      </c>
      <c r="G9" s="44">
        <v>34</v>
      </c>
      <c r="H9" s="129">
        <f>IF(B$15=0,0,G9/B$15)</f>
        <v>0.11447811447811448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1"/>
        <v>0.13043478260869565</v>
      </c>
      <c r="E10" s="59" t="s">
        <v>71</v>
      </c>
      <c r="F10" s="56" t="s">
        <v>26</v>
      </c>
      <c r="G10" s="44">
        <v>28</v>
      </c>
      <c r="H10" s="129">
        <f>IF(B$15=0,0,G10/B$15)</f>
        <v>9.4276094276094277E-2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4" t="s">
        <v>121</v>
      </c>
      <c r="B11" s="47">
        <v>220</v>
      </c>
      <c r="C11" s="42">
        <f>IF(B$3=0,0,B11/B$3)</f>
        <v>0.22821576763485477</v>
      </c>
      <c r="E11" s="59" t="s">
        <v>65</v>
      </c>
      <c r="F11" s="56" t="s">
        <v>21</v>
      </c>
      <c r="G11" s="44">
        <v>26</v>
      </c>
      <c r="H11" s="129">
        <f>IF(B$15=0,0,G11/B$15)</f>
        <v>8.7542087542087546E-2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300</v>
      </c>
      <c r="C12" s="37">
        <f>IF(B$3=0,0,B12/B$3)</f>
        <v>0.31120331950207469</v>
      </c>
      <c r="E12" s="59" t="s">
        <v>70</v>
      </c>
      <c r="F12" s="56" t="s">
        <v>25</v>
      </c>
      <c r="G12" s="44">
        <v>25</v>
      </c>
      <c r="H12" s="129">
        <f>IF(B$15=0,0,G12/B$15)</f>
        <v>8.4175084175084181E-2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0" t="s">
        <v>123</v>
      </c>
      <c r="B13" s="43">
        <f>B19</f>
        <v>109</v>
      </c>
      <c r="C13" s="35">
        <f>IF(B$11=0,0,B13/B$11)</f>
        <v>0.49545454545454548</v>
      </c>
      <c r="E13" s="59" t="s">
        <v>86</v>
      </c>
      <c r="F13" s="56" t="s">
        <v>41</v>
      </c>
      <c r="G13" s="44">
        <v>20</v>
      </c>
      <c r="H13" s="129">
        <f>IF(B$15=0,0,G13/B$15)</f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115</v>
      </c>
      <c r="C14" s="35">
        <f>IF(B$12=0,0,B14/B$12)</f>
        <v>0.38333333333333336</v>
      </c>
      <c r="E14" s="59" t="s">
        <v>83</v>
      </c>
      <c r="F14" s="56" t="s">
        <v>38</v>
      </c>
      <c r="G14" s="44">
        <v>19</v>
      </c>
      <c r="H14" s="129">
        <f>IF(B$15=0,0,G14/B$15)</f>
        <v>6.3973063973063973E-2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297</v>
      </c>
      <c r="C15" s="35">
        <f>IF(B$3=0,0,B15/B$3)</f>
        <v>0.30809128630705396</v>
      </c>
      <c r="E15" s="59" t="s">
        <v>78</v>
      </c>
      <c r="F15" s="56" t="s">
        <v>33</v>
      </c>
      <c r="G15" s="44">
        <v>9</v>
      </c>
      <c r="H15" s="129">
        <f>IF(B$15=0,0,G15/B$15)</f>
        <v>3.0303030303030304E-2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185</v>
      </c>
      <c r="C16" s="37">
        <f>IF(B$3=0,0,B16/B$3)</f>
        <v>0.19190871369294607</v>
      </c>
      <c r="E16" s="59" t="s">
        <v>91</v>
      </c>
      <c r="F16" s="56" t="s">
        <v>46</v>
      </c>
      <c r="G16" s="44">
        <v>9</v>
      </c>
      <c r="H16" s="129">
        <f>IF(B$15=0,0,G16/B$15)</f>
        <v>3.0303030303030304E-2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1" t="s">
        <v>12</v>
      </c>
      <c r="B17" s="44">
        <v>120</v>
      </c>
      <c r="C17" s="37">
        <f>IF(B$15=0,0,B17/B$15)</f>
        <v>0.40404040404040403</v>
      </c>
      <c r="E17" s="59" t="s">
        <v>81</v>
      </c>
      <c r="F17" s="56" t="s">
        <v>36</v>
      </c>
      <c r="G17" s="44">
        <v>8</v>
      </c>
      <c r="H17" s="129">
        <f>IF(B$15=0,0,G17/B$15)</f>
        <v>2.6936026936026935E-2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11</v>
      </c>
      <c r="B18" s="44">
        <v>177</v>
      </c>
      <c r="C18" s="37">
        <f>IF(B$15=0,0,B18/B$15)</f>
        <v>0.59595959595959591</v>
      </c>
      <c r="E18" s="59" t="s">
        <v>79</v>
      </c>
      <c r="F18" s="56" t="s">
        <v>34</v>
      </c>
      <c r="G18" s="44">
        <v>5</v>
      </c>
      <c r="H18" s="129">
        <f>IF(B$15=0,0,G18/B$15)</f>
        <v>1.6835016835016835E-2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109</v>
      </c>
      <c r="C19" s="37">
        <f>IF(B$15=0,0,B19/B$15)</f>
        <v>0.367003367003367</v>
      </c>
      <c r="E19" s="59" t="s">
        <v>92</v>
      </c>
      <c r="F19" s="56" t="s">
        <v>47</v>
      </c>
      <c r="G19" s="44">
        <v>3</v>
      </c>
      <c r="H19" s="129">
        <f>IF(B$15=0,0,G19/B$15)</f>
        <v>1.0101010101010102E-2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195</v>
      </c>
      <c r="B20" s="44">
        <v>115</v>
      </c>
      <c r="C20" s="37">
        <f>IF(B$15=0,0,B20/B$15)</f>
        <v>0.38720538720538722</v>
      </c>
      <c r="E20" s="59" t="s">
        <v>162</v>
      </c>
      <c r="F20" s="56" t="s">
        <v>163</v>
      </c>
      <c r="G20" s="44">
        <v>3</v>
      </c>
      <c r="H20" s="129">
        <f>IF(B$15=0,0,G20/B$15)</f>
        <v>1.0101010101010102E-2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73</v>
      </c>
      <c r="C21" s="37">
        <f>IF(B$15=0,0,B21/B$15)</f>
        <v>0.24579124579124578</v>
      </c>
      <c r="E21" s="59" t="s">
        <v>74</v>
      </c>
      <c r="F21" s="56" t="s">
        <v>29</v>
      </c>
      <c r="G21" s="44">
        <v>2</v>
      </c>
      <c r="H21" s="129">
        <f>IF(B$15=0,0,G21/B$15)</f>
        <v>6.7340067340067337E-3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8493.2659932659935</v>
      </c>
      <c r="C22" s="39">
        <v>2522500</v>
      </c>
      <c r="E22" s="59" t="s">
        <v>75</v>
      </c>
      <c r="F22" s="56" t="s">
        <v>30</v>
      </c>
      <c r="G22" s="44">
        <v>2</v>
      </c>
      <c r="H22" s="129">
        <f>IF(B$15=0,0,G22/B$15)</f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-14.022077922077923</v>
      </c>
      <c r="P22" s="115">
        <v>77</v>
      </c>
      <c r="Q22" s="103">
        <v>-1079.7</v>
      </c>
    </row>
    <row r="23" spans="1:17" x14ac:dyDescent="0.4">
      <c r="A23" s="52" t="s">
        <v>177</v>
      </c>
      <c r="B23" s="136">
        <f>IF($B$15-B$14=0,0,C23/($B$15-B$14))</f>
        <v>9075.2747252747249</v>
      </c>
      <c r="C23" s="137">
        <v>1651700</v>
      </c>
      <c r="E23" s="59" t="s">
        <v>73</v>
      </c>
      <c r="F23" s="56" t="s">
        <v>28</v>
      </c>
      <c r="G23" s="44">
        <v>1</v>
      </c>
      <c r="H23" s="129">
        <f>IF(B$15=0,0,G23/B$15)</f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7572.173913043478</v>
      </c>
      <c r="C24" s="137">
        <v>870800</v>
      </c>
      <c r="E24" s="59" t="s">
        <v>77</v>
      </c>
      <c r="F24" s="56" t="s">
        <v>32</v>
      </c>
      <c r="G24" s="44">
        <v>1</v>
      </c>
      <c r="H24" s="129">
        <f>IF(B$15=0,0,G24/B$15)</f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-8007.0270270270266</v>
      </c>
      <c r="C25" s="137">
        <v>-1481300</v>
      </c>
      <c r="E25" s="59" t="s">
        <v>84</v>
      </c>
      <c r="F25" s="56" t="s">
        <v>39</v>
      </c>
      <c r="G25" s="44">
        <v>1</v>
      </c>
      <c r="H25" s="129">
        <f>IF(B$15=0,0,G25/B$15)</f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>IF(B$15=0,0,G26/B$15)</f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3.1120331950207467E-3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20</v>
      </c>
      <c r="C32" s="141">
        <f>IF(B$15=0,0,B32/B$15)</f>
        <v>6.7340067340067339E-2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44</v>
      </c>
      <c r="C33" s="37">
        <f t="shared" ref="C33:C44" si="2">IF(B$15=0,0,B33/B$15)</f>
        <v>0.14814814814814814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67</v>
      </c>
      <c r="C34" s="37">
        <f>IF(B$15=0,0,B34/B$15)</f>
        <v>0.22558922558922559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60</v>
      </c>
      <c r="C35" s="37">
        <f t="shared" si="2"/>
        <v>0.20202020202020202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45</v>
      </c>
      <c r="C36" s="37">
        <f t="shared" si="2"/>
        <v>0.15151515151515152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31</v>
      </c>
      <c r="C37" s="37">
        <f t="shared" si="2"/>
        <v>0.10437710437710437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3.3670033670033669E-2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2.6936026936026935E-2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1.6835016835016835E-2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3.3670033670033669E-3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6.7340067340067337E-3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1.3468013468013467E-2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F674D-083C-4D96-A812-CEFADE634F37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>IF(B$15=0,0,G3/B$15)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>IF(B$15=0,0,G4/B$15)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-6.8281690140845068</v>
      </c>
      <c r="C5" s="161"/>
      <c r="E5" s="59" t="s">
        <v>166</v>
      </c>
      <c r="F5" s="56" t="s">
        <v>167</v>
      </c>
      <c r="G5" s="44">
        <v>71</v>
      </c>
      <c r="H5" s="129">
        <f>IF(B$15=0,0,G5/B$15)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2.1690140845070425</v>
      </c>
      <c r="C6" s="151"/>
      <c r="E6" s="59" t="s">
        <v>68</v>
      </c>
      <c r="F6" s="56" t="s">
        <v>12</v>
      </c>
      <c r="G6" s="44">
        <v>60</v>
      </c>
      <c r="H6" s="129">
        <f>IF(B$15=0,0,G6/B$15)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0" si="1">IF(B$2=0,0,B7/B$2)</f>
        <v>0.22535211267605634</v>
      </c>
      <c r="E7" s="59" t="s">
        <v>67</v>
      </c>
      <c r="F7" s="56" t="s">
        <v>23</v>
      </c>
      <c r="G7" s="44">
        <v>49</v>
      </c>
      <c r="H7" s="129">
        <f>IF(B$15=0,0,G7/B$15)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0.38028169014084506</v>
      </c>
      <c r="E8" s="59" t="s">
        <v>70</v>
      </c>
      <c r="F8" s="56" t="s">
        <v>25</v>
      </c>
      <c r="G8" s="44">
        <v>25</v>
      </c>
      <c r="H8" s="129">
        <f>IF(B$15=0,0,G8/B$15)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0.39436619718309857</v>
      </c>
      <c r="E9" s="59" t="s">
        <v>69</v>
      </c>
      <c r="F9" s="56" t="s">
        <v>24</v>
      </c>
      <c r="G9" s="44">
        <v>24</v>
      </c>
      <c r="H9" s="129">
        <f>IF(B$15=0,0,G9/B$15)</f>
        <v>0.14285714285714285</v>
      </c>
      <c r="I9" s="90">
        <v>6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8.4507042253521125E-2</v>
      </c>
      <c r="E10" s="59" t="s">
        <v>65</v>
      </c>
      <c r="F10" s="56" t="s">
        <v>21</v>
      </c>
      <c r="G10" s="44">
        <v>20</v>
      </c>
      <c r="H10" s="129">
        <f>IF(B$15=0,0,G10/B$15)</f>
        <v>0.11904761904761904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4" t="s">
        <v>121</v>
      </c>
      <c r="B11" s="47">
        <v>172</v>
      </c>
      <c r="C11" s="42">
        <f>IF(B$3=0,0,B11/B$3)</f>
        <v>0.28524046434494194</v>
      </c>
      <c r="E11" s="59" t="s">
        <v>89</v>
      </c>
      <c r="F11" s="56" t="s">
        <v>44</v>
      </c>
      <c r="G11" s="44">
        <v>20</v>
      </c>
      <c r="H11" s="129">
        <f>IF(B$15=0,0,G11/B$15)</f>
        <v>0.11904761904761904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1" t="s">
        <v>118</v>
      </c>
      <c r="B12" s="44">
        <v>116</v>
      </c>
      <c r="C12" s="37">
        <f>IF(B$3=0,0,B12/B$3)</f>
        <v>0.19237147595356552</v>
      </c>
      <c r="E12" s="59" t="s">
        <v>83</v>
      </c>
      <c r="F12" s="56" t="s">
        <v>38</v>
      </c>
      <c r="G12" s="44">
        <v>10</v>
      </c>
      <c r="H12" s="129">
        <f>IF(B$15=0,0,G12/B$15)</f>
        <v>5.9523809523809521E-2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99</v>
      </c>
      <c r="C13" s="35">
        <f>IF(B$11=0,0,B13/B$11)</f>
        <v>0.57558139534883723</v>
      </c>
      <c r="E13" s="59" t="s">
        <v>71</v>
      </c>
      <c r="F13" s="56" t="s">
        <v>26</v>
      </c>
      <c r="G13" s="44">
        <v>7</v>
      </c>
      <c r="H13" s="129">
        <f>IF(B$15=0,0,G13/B$15)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0.40517241379310343</v>
      </c>
      <c r="E14" s="59" t="s">
        <v>78</v>
      </c>
      <c r="F14" s="56" t="s">
        <v>33</v>
      </c>
      <c r="G14" s="44">
        <v>6</v>
      </c>
      <c r="H14" s="129">
        <f>IF(B$15=0,0,G14/B$15)</f>
        <v>3.5714285714285712E-2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168</v>
      </c>
      <c r="C15" s="35">
        <f>IF(B$3=0,0,B15/B$3)</f>
        <v>0.27860696517412936</v>
      </c>
      <c r="E15" s="59" t="s">
        <v>86</v>
      </c>
      <c r="F15" s="56" t="s">
        <v>41</v>
      </c>
      <c r="G15" s="44">
        <v>4</v>
      </c>
      <c r="H15" s="129">
        <f>IF(B$15=0,0,G15/B$15)</f>
        <v>2.3809523809523808E-2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122</v>
      </c>
      <c r="C16" s="37">
        <f>IF(B$3=0,0,B16/B$3)</f>
        <v>0.20232172470978441</v>
      </c>
      <c r="E16" s="59" t="s">
        <v>81</v>
      </c>
      <c r="F16" s="56" t="s">
        <v>36</v>
      </c>
      <c r="G16" s="44">
        <v>3</v>
      </c>
      <c r="H16" s="129">
        <f>IF(B$15=0,0,G16/B$15)</f>
        <v>1.7857142857142856E-2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78</v>
      </c>
      <c r="C17" s="37">
        <f>IF(B$15=0,0,B17/B$15)</f>
        <v>0.4642857142857143</v>
      </c>
      <c r="E17" s="59" t="s">
        <v>162</v>
      </c>
      <c r="F17" s="56" t="s">
        <v>163</v>
      </c>
      <c r="G17" s="44">
        <v>3</v>
      </c>
      <c r="H17" s="129">
        <f>IF(B$15=0,0,G17/B$15)</f>
        <v>1.7857142857142856E-2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90</v>
      </c>
      <c r="C18" s="37">
        <f>IF(B$15=0,0,B18/B$15)</f>
        <v>0.5357142857142857</v>
      </c>
      <c r="E18" s="59" t="s">
        <v>75</v>
      </c>
      <c r="F18" s="56" t="s">
        <v>30</v>
      </c>
      <c r="G18" s="44">
        <v>2</v>
      </c>
      <c r="H18" s="129">
        <f>IF(B$15=0,0,G18/B$15)</f>
        <v>1.1904761904761904E-2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99</v>
      </c>
      <c r="C19" s="37">
        <f>IF(B$15=0,0,B19/B$15)</f>
        <v>0.5892857142857143</v>
      </c>
      <c r="E19" s="59" t="s">
        <v>79</v>
      </c>
      <c r="F19" s="56" t="s">
        <v>34</v>
      </c>
      <c r="G19" s="44">
        <v>2</v>
      </c>
      <c r="H19" s="129">
        <f>IF(B$15=0,0,G19/B$15)</f>
        <v>1.1904761904761904E-2</v>
      </c>
      <c r="I19" s="90">
        <v>4</v>
      </c>
      <c r="K19" s="36">
        <v>17</v>
      </c>
      <c r="L19" s="95">
        <v>-251.4</v>
      </c>
      <c r="N19" s="111" t="s">
        <v>171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">
      <c r="A20" s="51" t="s">
        <v>195</v>
      </c>
      <c r="B20" s="44">
        <v>47</v>
      </c>
      <c r="C20" s="37">
        <f>IF(B$15=0,0,B20/B$15)</f>
        <v>0.27976190476190477</v>
      </c>
      <c r="E20" s="59" t="s">
        <v>91</v>
      </c>
      <c r="F20" s="56" t="s">
        <v>46</v>
      </c>
      <c r="G20" s="44">
        <v>1</v>
      </c>
      <c r="H20" s="129">
        <f>IF(B$15=0,0,G20/B$15)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196</v>
      </c>
      <c r="B21" s="44">
        <v>22</v>
      </c>
      <c r="C21" s="37">
        <f>IF(B$15=0,0,B21/B$15)</f>
        <v>0.13095238095238096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5</v>
      </c>
      <c r="B22" s="48">
        <f>IF(B$15=0,0,C22/B$15)</f>
        <v>8067.8571428571431</v>
      </c>
      <c r="C22" s="39">
        <v>1355400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8647.1074380165282</v>
      </c>
      <c r="C23" s="137">
        <v>1046300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6576.5957446808507</v>
      </c>
      <c r="C24" s="137">
        <v>309100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-7622.1311475409839</v>
      </c>
      <c r="C25" s="137">
        <v>-929900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4.9751243781094526E-3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2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38</v>
      </c>
      <c r="C34" s="37">
        <f>IF(B$15=0,0,B34/B$15)</f>
        <v>0.22619047619047619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27</v>
      </c>
      <c r="C35" s="37">
        <f t="shared" si="2"/>
        <v>0.16071428571428573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27</v>
      </c>
      <c r="C36" s="37">
        <f t="shared" si="2"/>
        <v>0.16071428571428573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2"/>
        <v>0.10714285714285714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187</v>
      </c>
      <c r="B38" s="145">
        <v>11</v>
      </c>
      <c r="C38" s="37">
        <f t="shared" si="2"/>
        <v>6.5476190476190479E-2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188</v>
      </c>
      <c r="B39" s="145">
        <v>4</v>
      </c>
      <c r="C39" s="37">
        <f t="shared" si="2"/>
        <v>2.3809523809523808E-2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191</v>
      </c>
      <c r="B42" s="145">
        <v>1</v>
      </c>
      <c r="C42" s="37">
        <f t="shared" si="2"/>
        <v>5.9523809523809521E-3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192</v>
      </c>
      <c r="B43" s="145">
        <v>2</v>
      </c>
      <c r="C43" s="37">
        <f t="shared" si="2"/>
        <v>1.1904761904761904E-2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C463-9399-40F9-A442-30E698B0BA4F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76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6">
        <v>612</v>
      </c>
      <c r="C3" s="157"/>
      <c r="E3" s="59" t="s">
        <v>72</v>
      </c>
      <c r="F3" s="56" t="s">
        <v>27</v>
      </c>
      <c r="G3" s="44">
        <v>98</v>
      </c>
      <c r="H3" s="129">
        <f>IF(B$15=0,0,G3/B$15)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8">
        <v>325.7000000000001</v>
      </c>
      <c r="C4" s="159"/>
      <c r="E4" s="59" t="s">
        <v>64</v>
      </c>
      <c r="F4" s="56" t="s">
        <v>20</v>
      </c>
      <c r="G4" s="44">
        <v>93</v>
      </c>
      <c r="H4" s="129">
        <f>IF(B$15=0,0,G4/B$15)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4.2855263157894754</v>
      </c>
      <c r="C5" s="161"/>
      <c r="E5" s="59" t="s">
        <v>67</v>
      </c>
      <c r="F5" s="56" t="s">
        <v>23</v>
      </c>
      <c r="G5" s="44">
        <v>72</v>
      </c>
      <c r="H5" s="129">
        <f>IF(B$15=0,0,G5/B$15)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1.9210526315789473</v>
      </c>
      <c r="C6" s="151"/>
      <c r="E6" s="59" t="s">
        <v>166</v>
      </c>
      <c r="F6" s="56" t="s">
        <v>167</v>
      </c>
      <c r="G6" s="44">
        <v>66</v>
      </c>
      <c r="H6" s="129">
        <f>IF(B$15=0,0,G6/B$15)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IF(B$15=0,0,G7/B$15)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IF(B$15=0,0,G8/B$15)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IF(B$15=0,0,G9/B$15)</f>
        <v>0.20114942528735633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IF(B$15=0,0,G10/B$15)</f>
        <v>0.14367816091954022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193</v>
      </c>
      <c r="C11" s="42">
        <f>IF(B$3=0,0,B11/B$3)</f>
        <v>0.315359477124183</v>
      </c>
      <c r="E11" s="59" t="s">
        <v>70</v>
      </c>
      <c r="F11" s="56" t="s">
        <v>25</v>
      </c>
      <c r="G11" s="44">
        <v>20</v>
      </c>
      <c r="H11" s="129">
        <f>IF(B$15=0,0,G11/B$15)</f>
        <v>0.11494252873563218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1" t="s">
        <v>118</v>
      </c>
      <c r="B12" s="44">
        <v>109</v>
      </c>
      <c r="C12" s="37">
        <f>IF(B$3=0,0,B12/B$3)</f>
        <v>0.1781045751633987</v>
      </c>
      <c r="E12" s="59" t="s">
        <v>162</v>
      </c>
      <c r="F12" s="56" t="s">
        <v>163</v>
      </c>
      <c r="G12" s="44">
        <v>13</v>
      </c>
      <c r="H12" s="129">
        <f>IF(B$15=0,0,G12/B$15)</f>
        <v>7.4712643678160925E-2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106</v>
      </c>
      <c r="C13" s="35">
        <f>IF(B$11=0,0,B13/B$11)</f>
        <v>0.54922279792746109</v>
      </c>
      <c r="E13" s="59" t="s">
        <v>71</v>
      </c>
      <c r="F13" s="56" t="s">
        <v>26</v>
      </c>
      <c r="G13" s="44">
        <v>9</v>
      </c>
      <c r="H13" s="129">
        <f>IF(B$15=0,0,G13/B$15)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>IF(B$15=0,0,G14/B$15)</f>
        <v>4.0229885057471264E-2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174</v>
      </c>
      <c r="C15" s="35">
        <f>IF(B$3=0,0,B15/B$3)</f>
        <v>0.28431372549019607</v>
      </c>
      <c r="E15" s="59" t="s">
        <v>86</v>
      </c>
      <c r="F15" s="56" t="s">
        <v>41</v>
      </c>
      <c r="G15" s="44">
        <v>5</v>
      </c>
      <c r="H15" s="129">
        <f>IF(B$15=0,0,G15/B$15)</f>
        <v>2.8735632183908046E-2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0.16993464052287582</v>
      </c>
      <c r="E16" s="59" t="s">
        <v>81</v>
      </c>
      <c r="F16" s="56" t="s">
        <v>36</v>
      </c>
      <c r="G16" s="44">
        <v>4</v>
      </c>
      <c r="H16" s="129">
        <f>IF(B$15=0,0,G16/B$15)</f>
        <v>2.2988505747126436E-2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84</v>
      </c>
      <c r="C17" s="37">
        <f>IF(B$15=0,0,B17/B$15)</f>
        <v>0.48275862068965519</v>
      </c>
      <c r="E17" s="59" t="s">
        <v>92</v>
      </c>
      <c r="F17" s="56" t="s">
        <v>47</v>
      </c>
      <c r="G17" s="44">
        <v>4</v>
      </c>
      <c r="H17" s="129">
        <f>IF(B$15=0,0,G17/B$15)</f>
        <v>2.2988505747126436E-2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90</v>
      </c>
      <c r="C18" s="37">
        <f>IF(B$15=0,0,B18/B$15)</f>
        <v>0.51724137931034486</v>
      </c>
      <c r="E18" s="59" t="s">
        <v>91</v>
      </c>
      <c r="F18" s="56" t="s">
        <v>46</v>
      </c>
      <c r="G18" s="44">
        <v>3</v>
      </c>
      <c r="H18" s="129">
        <f>IF(B$15=0,0,G18/B$15)</f>
        <v>1.7241379310344827E-2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106</v>
      </c>
      <c r="C19" s="37">
        <f>IF(B$15=0,0,B19/B$15)</f>
        <v>0.60919540229885061</v>
      </c>
      <c r="E19" s="59" t="s">
        <v>73</v>
      </c>
      <c r="F19" s="56" t="s">
        <v>28</v>
      </c>
      <c r="G19" s="44">
        <v>1</v>
      </c>
      <c r="H19" s="129">
        <f>IF(B$15=0,0,G19/B$15)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6.1749999999999972</v>
      </c>
      <c r="P19" s="115">
        <v>28</v>
      </c>
      <c r="Q19" s="103">
        <v>172.89999999999992</v>
      </c>
    </row>
    <row r="20" spans="1:17" x14ac:dyDescent="0.4">
      <c r="A20" s="51" t="s">
        <v>195</v>
      </c>
      <c r="B20" s="44">
        <v>46</v>
      </c>
      <c r="C20" s="37">
        <f>IF(B$15=0,0,B20/B$15)</f>
        <v>0.26436781609195403</v>
      </c>
      <c r="E20" s="59" t="s">
        <v>75</v>
      </c>
      <c r="F20" s="56" t="s">
        <v>30</v>
      </c>
      <c r="G20" s="44">
        <v>1</v>
      </c>
      <c r="H20" s="129">
        <f>IF(B$15=0,0,G20/B$15)</f>
        <v>5.7471264367816091E-3</v>
      </c>
      <c r="I20" s="90">
        <v>6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0.12643678160919541</v>
      </c>
      <c r="E21" s="59" t="s">
        <v>78</v>
      </c>
      <c r="F21" s="56" t="s">
        <v>33</v>
      </c>
      <c r="G21" s="44">
        <v>1</v>
      </c>
      <c r="H21" s="129">
        <f>IF(B$15=0,0,G21/B$15)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5</v>
      </c>
      <c r="B22" s="48">
        <f>IF(B$15=0,0,C22/B$15)</f>
        <v>10798.275862068966</v>
      </c>
      <c r="C22" s="39">
        <v>1878900</v>
      </c>
      <c r="E22" s="59" t="s">
        <v>79</v>
      </c>
      <c r="F22" s="56" t="s">
        <v>34</v>
      </c>
      <c r="G22" s="44">
        <v>1</v>
      </c>
      <c r="H22" s="129">
        <f>IF(B$15=0,0,G22/B$15)</f>
        <v>5.7471264367816091E-3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11707.8125</v>
      </c>
      <c r="C23" s="137">
        <v>1498600</v>
      </c>
      <c r="E23" s="59" t="s">
        <v>85</v>
      </c>
      <c r="F23" s="56" t="s">
        <v>40</v>
      </c>
      <c r="G23" s="44">
        <v>1</v>
      </c>
      <c r="H23" s="129">
        <f>IF(B$15=0,0,G23/B$15)</f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>IF(B$15=0,0,G25/B$15)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0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2.2988505747126436E-2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2">IF(B$15=0,0,B33/B$15)</f>
        <v>9.1954022988505746E-2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0.12643678160919541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2"/>
        <v>0.19540229885057472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45</v>
      </c>
      <c r="C36" s="37">
        <f t="shared" si="2"/>
        <v>0.25862068965517243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16</v>
      </c>
      <c r="C37" s="37">
        <f t="shared" si="2"/>
        <v>9.1954022988505746E-2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15</v>
      </c>
      <c r="C38" s="37">
        <f t="shared" si="2"/>
        <v>8.6206896551724144E-2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2"/>
        <v>5.1724137931034482E-2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2"/>
        <v>1.7241379310344827E-2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2"/>
        <v>1.1494252873563218E-2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2"/>
        <v>5.7471264367816091E-3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2"/>
        <v>5.7471264367816091E-3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2"/>
        <v>3.4482758620689655E-2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19F66-2640-4172-BAE6-E5617EE3D97F}">
  <sheetPr codeName="Sheet1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-0.25600000000000006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24</v>
      </c>
      <c r="C7" s="37">
        <f t="shared" ref="C7:C10" si="1">IF(B$2=0,0,B7/B$2)</f>
        <v>0.24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0.48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0.28000000000000003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0.08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-18.067346938775508</v>
      </c>
      <c r="P23" s="115">
        <v>49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2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2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2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2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2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2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2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190</v>
      </c>
      <c r="B41" s="145">
        <v>2</v>
      </c>
      <c r="C41" s="37">
        <f t="shared" si="2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191</v>
      </c>
      <c r="B42" s="145">
        <v>1</v>
      </c>
      <c r="C42" s="37">
        <f t="shared" si="2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192</v>
      </c>
      <c r="B43" s="145">
        <v>1</v>
      </c>
      <c r="C43" s="37">
        <f t="shared" si="2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193</v>
      </c>
      <c r="B44" s="140">
        <v>2</v>
      </c>
      <c r="C44" s="40">
        <f t="shared" si="2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B52B-383C-4030-97F0-63A6DA85FBB7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41</v>
      </c>
      <c r="C2" s="155"/>
      <c r="E2" s="58" t="s">
        <v>66</v>
      </c>
      <c r="F2" s="55" t="s">
        <v>22</v>
      </c>
      <c r="G2" s="43">
        <v>54</v>
      </c>
      <c r="H2" s="128">
        <f>IF(B$15=0,0,G2/B$15)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6">
        <v>334</v>
      </c>
      <c r="C3" s="157"/>
      <c r="E3" s="59" t="s">
        <v>72</v>
      </c>
      <c r="F3" s="56" t="s">
        <v>27</v>
      </c>
      <c r="G3" s="44">
        <v>50</v>
      </c>
      <c r="H3" s="129">
        <f>IF(B$15=0,0,G3/B$15)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8">
        <v>-624.80000000000007</v>
      </c>
      <c r="C4" s="159"/>
      <c r="E4" s="59" t="s">
        <v>64</v>
      </c>
      <c r="F4" s="56" t="s">
        <v>20</v>
      </c>
      <c r="G4" s="44">
        <v>35</v>
      </c>
      <c r="H4" s="129">
        <f>IF(B$15=0,0,G4/B$15)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60">
        <f>IF(B$2=0,0,B$4/B$2)</f>
        <v>-15.239024390243904</v>
      </c>
      <c r="C5" s="161"/>
      <c r="E5" s="59" t="s">
        <v>166</v>
      </c>
      <c r="F5" s="56" t="s">
        <v>167</v>
      </c>
      <c r="G5" s="44">
        <v>30</v>
      </c>
      <c r="H5" s="129">
        <f>IF(B$15=0,0,G5/B$15)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50">
        <f>IF(B$2=0,0,(B$7*1+B$8*2+B$9*3)/B$2)</f>
        <v>2.4146341463414633</v>
      </c>
      <c r="C6" s="151"/>
      <c r="E6" s="59" t="s">
        <v>68</v>
      </c>
      <c r="F6" s="56" t="s">
        <v>12</v>
      </c>
      <c r="G6" s="44">
        <v>24</v>
      </c>
      <c r="H6" s="129">
        <f>IF(B$15=0,0,G6/B$15)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0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IF(B$15=0,0,G7/B$15)</f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-3566.6666666666665</v>
      </c>
      <c r="P7" s="116">
        <v>30</v>
      </c>
      <c r="Q7" s="100">
        <v>-107000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IF(B$15=0,0,G8/B$15)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IF(B$15=0,0,G9/B$15)</f>
        <v>0.12048192771084337</v>
      </c>
      <c r="I9" s="90">
        <v>4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IF(B$15=0,0,G10/B$15)</f>
        <v>0.10843373493975904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69</v>
      </c>
      <c r="C11" s="42">
        <f>IF(B$3=0,0,B11/B$3)</f>
        <v>0.20658682634730538</v>
      </c>
      <c r="E11" s="59" t="s">
        <v>71</v>
      </c>
      <c r="F11" s="56" t="s">
        <v>26</v>
      </c>
      <c r="G11" s="44">
        <v>8</v>
      </c>
      <c r="H11" s="129">
        <f>IF(B$15=0,0,G11/B$15)</f>
        <v>9.6385542168674704E-2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1" t="s">
        <v>118</v>
      </c>
      <c r="B12" s="44">
        <v>74</v>
      </c>
      <c r="C12" s="37">
        <f>IF(B$3=0,0,B12/B$3)</f>
        <v>0.22155688622754491</v>
      </c>
      <c r="E12" s="59" t="s">
        <v>69</v>
      </c>
      <c r="F12" s="56" t="s">
        <v>24</v>
      </c>
      <c r="G12" s="44">
        <v>6</v>
      </c>
      <c r="H12" s="129">
        <f>IF(B$15=0,0,G12/B$15)</f>
        <v>7.2289156626506021E-2</v>
      </c>
      <c r="I12" s="90">
        <v>9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0.52173913043478259</v>
      </c>
      <c r="E13" s="59" t="s">
        <v>83</v>
      </c>
      <c r="F13" s="56" t="s">
        <v>38</v>
      </c>
      <c r="G13" s="44">
        <v>6</v>
      </c>
      <c r="H13" s="129">
        <f>IF(B$15=0,0,G13/B$15)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0.41891891891891891</v>
      </c>
      <c r="E14" s="59" t="s">
        <v>86</v>
      </c>
      <c r="F14" s="56" t="s">
        <v>41</v>
      </c>
      <c r="G14" s="44">
        <v>5</v>
      </c>
      <c r="H14" s="129">
        <f>IF(B$15=0,0,G14/B$15)</f>
        <v>6.0240963855421686E-2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83</v>
      </c>
      <c r="C15" s="35">
        <f>IF(B$3=0,0,B15/B$3)</f>
        <v>0.24850299401197604</v>
      </c>
      <c r="E15" s="59" t="s">
        <v>81</v>
      </c>
      <c r="F15" s="56" t="s">
        <v>36</v>
      </c>
      <c r="G15" s="44">
        <v>2</v>
      </c>
      <c r="H15" s="129">
        <f>IF(B$15=0,0,G15/B$15)</f>
        <v>2.4096385542168676E-2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63</v>
      </c>
      <c r="C16" s="37">
        <f>IF(B$3=0,0,B16/B$3)</f>
        <v>0.18862275449101795</v>
      </c>
      <c r="E16" s="59" t="s">
        <v>74</v>
      </c>
      <c r="F16" s="56" t="s">
        <v>29</v>
      </c>
      <c r="G16" s="44">
        <v>1</v>
      </c>
      <c r="H16" s="129">
        <f>IF(B$15=0,0,G16/B$15)</f>
        <v>1.2048192771084338E-2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>IF(P16=0,0,Q16/P16)</f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40</v>
      </c>
      <c r="C17" s="37">
        <f>IF(B$15=0,0,B17/B$15)</f>
        <v>0.48192771084337349</v>
      </c>
      <c r="E17" s="59" t="s">
        <v>78</v>
      </c>
      <c r="F17" s="56" t="s">
        <v>33</v>
      </c>
      <c r="G17" s="44">
        <v>1</v>
      </c>
      <c r="H17" s="129">
        <f>IF(B$15=0,0,G17/B$15)</f>
        <v>1.2048192771084338E-2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43</v>
      </c>
      <c r="C18" s="37">
        <f>IF(B$15=0,0,B18/B$15)</f>
        <v>0.51807228915662651</v>
      </c>
      <c r="E18" s="59" t="s">
        <v>91</v>
      </c>
      <c r="F18" s="56" t="s">
        <v>46</v>
      </c>
      <c r="G18" s="44">
        <v>1</v>
      </c>
      <c r="H18" s="129">
        <f>IF(B$15=0,0,G18/B$15)</f>
        <v>1.2048192771084338E-2</v>
      </c>
      <c r="I18" s="90">
        <v>5</v>
      </c>
      <c r="K18" s="36">
        <v>16</v>
      </c>
      <c r="L18" s="95">
        <v>-320.30000000000007</v>
      </c>
      <c r="N18" s="111" t="s">
        <v>171</v>
      </c>
      <c r="O18" s="121">
        <f>IF(P18=0,0,Q18/P18)</f>
        <v>-25.104347826086954</v>
      </c>
      <c r="P18" s="115">
        <v>23</v>
      </c>
      <c r="Q18" s="103">
        <v>-577.4</v>
      </c>
    </row>
    <row r="19" spans="1:17" x14ac:dyDescent="0.4">
      <c r="A19" s="51" t="s">
        <v>197</v>
      </c>
      <c r="B19" s="44">
        <v>36</v>
      </c>
      <c r="C19" s="37">
        <f>IF(B$15=0,0,B19/B$15)</f>
        <v>0.43373493975903615</v>
      </c>
      <c r="E19" s="59" t="s">
        <v>95</v>
      </c>
      <c r="F19" s="56" t="s">
        <v>50</v>
      </c>
      <c r="G19" s="44">
        <v>1</v>
      </c>
      <c r="H19" s="129">
        <f>IF(B$15=0,0,G19/B$15)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195</v>
      </c>
      <c r="B20" s="44">
        <v>31</v>
      </c>
      <c r="C20" s="37">
        <f>IF(B$15=0,0,B20/B$15)</f>
        <v>0.37349397590361444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172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196</v>
      </c>
      <c r="B21" s="44">
        <v>16</v>
      </c>
      <c r="C21" s="37">
        <f>IF(B$15=0,0,B21/B$15)</f>
        <v>0.19277108433734941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>IF(P21=0,0,Q21/P21)</f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5</v>
      </c>
      <c r="B22" s="48">
        <f>IF(B$15=0,0,C22/B$15)</f>
        <v>7730.1204819277109</v>
      </c>
      <c r="C22" s="39">
        <v>641600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8138.4615384615381</v>
      </c>
      <c r="C23" s="137">
        <v>423200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-8312.6984126984134</v>
      </c>
      <c r="C25" s="137">
        <v>-523700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2.9940119760479044E-3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8.4337349397590355E-2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18</v>
      </c>
      <c r="C33" s="37">
        <f t="shared" ref="C33:C44" si="2">IF(B$15=0,0,B33/B$15)</f>
        <v>0.21686746987951808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0.2289156626506024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2"/>
        <v>0.14457831325301204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10</v>
      </c>
      <c r="C36" s="37">
        <f t="shared" si="2"/>
        <v>0.12048192771084337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2"/>
        <v>6.0240963855421686E-2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2"/>
        <v>7.2289156626506021E-2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4</v>
      </c>
      <c r="C39" s="37">
        <f t="shared" si="2"/>
        <v>4.8192771084337352E-2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2"/>
        <v>1.2048192771084338E-2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2"/>
        <v>1.2048192771084338E-2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F301-E829-4628-A2DD-A283A308F21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2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2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2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2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2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2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2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2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7AFA4-3F14-42E5-8169-8F6E9AE1B84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202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87DE-5B05-48E9-AFFF-4CA09DC65B08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ABF6C-4059-442B-8694-BBD0D02F7F3B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256F0-6BC9-4E90-B7FB-9F5C8BC30518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C453B-695E-4177-BECF-C44AA5AA15E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87132-06E8-4E22-A32F-3F890F94B303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8D05-4E29-4183-9C11-A4536960BA24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ECABE-15D2-4A28-AE4B-2E3D7FC3A886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7BBFB-89DF-46EC-8EC1-A136B1E7F5F6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BB78-E9CF-4D60-9944-2EDB590E89EA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BD88-12F6-40EE-A69E-258567CB5F4C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CBAF1-42CD-4A4B-885B-0945D87BFCC1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39E0-61DB-4987-A8F9-A972AFA2C799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2019-11-20T07:28:34Z</dcterms:modified>
</cp:coreProperties>
</file>