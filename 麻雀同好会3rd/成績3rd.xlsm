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16C4E31-3F67-4C1B-B059-643C3DACF3C7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0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1" i="6341" l="1"/>
  <c r="O20" i="6345"/>
  <c r="O21" i="6345" l="1"/>
  <c r="O22" i="6339"/>
  <c r="O25" i="6349"/>
  <c r="O17" i="6353"/>
  <c r="O15" i="6353"/>
  <c r="O21" i="6351"/>
  <c r="O15" i="6341" l="1"/>
  <c r="O22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20" i="6343"/>
  <c r="O21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3" i="6335"/>
  <c r="O24" i="6335"/>
  <c r="C34" i="6343" l="1"/>
  <c r="C18" i="6343"/>
  <c r="C14" i="6345"/>
  <c r="C14" i="6343"/>
  <c r="H24" i="6343"/>
  <c r="H2" i="6343"/>
  <c r="H3" i="6343"/>
  <c r="H10" i="6343"/>
  <c r="H8" i="6343"/>
  <c r="H4" i="6343"/>
  <c r="C42" i="6343"/>
  <c r="C19" i="6343"/>
  <c r="H36" i="6343"/>
  <c r="H23" i="6343"/>
  <c r="H19" i="6343"/>
  <c r="H14" i="6343"/>
  <c r="C21" i="6343"/>
  <c r="H21" i="6343"/>
  <c r="C38" i="6343"/>
  <c r="H6" i="6343"/>
  <c r="H25" i="6343"/>
  <c r="H9" i="6343"/>
  <c r="H12" i="6343"/>
  <c r="H40" i="6343"/>
  <c r="C14" i="6347"/>
  <c r="H7" i="6347"/>
  <c r="H11" i="6347"/>
  <c r="H28" i="6347"/>
  <c r="H9" i="6347"/>
  <c r="H29" i="6347"/>
  <c r="C19" i="6347"/>
  <c r="H14" i="6347"/>
  <c r="H25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4" i="6347"/>
  <c r="H22" i="6347"/>
  <c r="C17" i="6347"/>
  <c r="H19" i="6347"/>
  <c r="H26" i="6347"/>
  <c r="H27" i="6347"/>
  <c r="H39" i="6347"/>
  <c r="C42" i="6347"/>
  <c r="H17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8" i="6347"/>
  <c r="H23" i="6347"/>
  <c r="C33" i="6347"/>
  <c r="C35" i="6347"/>
  <c r="C37" i="6347"/>
  <c r="C39" i="6347"/>
  <c r="C41" i="6347"/>
  <c r="C43" i="6347"/>
  <c r="H47" i="6347"/>
  <c r="H6" i="6345"/>
  <c r="H10" i="6345"/>
  <c r="H13" i="6345"/>
  <c r="H30" i="6345"/>
  <c r="H20" i="6345"/>
  <c r="H9" i="6345"/>
  <c r="H31" i="6345"/>
  <c r="C20" i="6345"/>
  <c r="H37" i="6345"/>
  <c r="C40" i="6345"/>
  <c r="H48" i="6345"/>
  <c r="H34" i="6345"/>
  <c r="C32" i="6345"/>
  <c r="H42" i="6345"/>
  <c r="H5" i="6345"/>
  <c r="H22" i="6345"/>
  <c r="C18" i="6345"/>
  <c r="H15" i="6345"/>
  <c r="H35" i="6345"/>
  <c r="H39" i="6345"/>
  <c r="H44" i="6345"/>
  <c r="H7" i="6345"/>
  <c r="H23" i="6345"/>
  <c r="C21" i="6345"/>
  <c r="H29" i="6345"/>
  <c r="H49" i="6345"/>
  <c r="C15" i="6345"/>
  <c r="H25" i="6345"/>
  <c r="H4" i="6345"/>
  <c r="H2" i="6345"/>
  <c r="H11" i="6345"/>
  <c r="H3" i="6345"/>
  <c r="H26" i="6345"/>
  <c r="C19" i="6345"/>
  <c r="H21" i="6345"/>
  <c r="H17" i="6345"/>
  <c r="H36" i="6345"/>
  <c r="C38" i="6345"/>
  <c r="H45" i="6345"/>
  <c r="H52" i="6345"/>
  <c r="C36" i="6345"/>
  <c r="H40" i="6345"/>
  <c r="H43" i="6345"/>
  <c r="C44" i="6345"/>
  <c r="H50" i="6345"/>
  <c r="C17" i="6345"/>
  <c r="H19" i="6345"/>
  <c r="B22" i="6345"/>
  <c r="H27" i="6345"/>
  <c r="H28" i="6345"/>
  <c r="C34" i="6345"/>
  <c r="H38" i="6345"/>
  <c r="H41" i="6345"/>
  <c r="C42" i="6345"/>
  <c r="H46" i="6345"/>
  <c r="H12" i="6345"/>
  <c r="B23" i="6345"/>
  <c r="H18" i="6345"/>
  <c r="H32" i="6345"/>
  <c r="H33" i="6345"/>
  <c r="H24" i="6345"/>
  <c r="H14" i="6345"/>
  <c r="H8" i="6345"/>
  <c r="H16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2" i="6343"/>
  <c r="B23" i="6343"/>
  <c r="C15" i="6343"/>
  <c r="H16" i="6343"/>
  <c r="C20" i="6343"/>
  <c r="H20" i="6343"/>
  <c r="H30" i="6343"/>
  <c r="H34" i="6343"/>
  <c r="H38" i="6343"/>
  <c r="H42" i="6343"/>
  <c r="H46" i="6343"/>
  <c r="H52" i="6343"/>
  <c r="H15" i="6343"/>
  <c r="H26" i="6343"/>
  <c r="H27" i="6343"/>
  <c r="H28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19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2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0" i="6339"/>
  <c r="C20" i="6339"/>
  <c r="H21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4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7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6" i="6335"/>
  <c r="C42" i="6335"/>
  <c r="H7" i="6335"/>
  <c r="H23" i="6335"/>
  <c r="H22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3" i="6335"/>
  <c r="H9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<sst xmlns="http://schemas.openxmlformats.org/spreadsheetml/2006/main" count="3864" uniqueCount="305">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</sst>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全体!$K$2:$K$938</c:f>
              <c:numCache>
                <c:formatCode>General</c:formatCode>
                <c:ptCount val="9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</c:numCache>
            </c:numRef>
          </c:xVal>
          <c:yVal>
            <c:numRef>
              <c:f>全体!$L$2:$L$938</c:f>
              <c:numCache>
                <c:formatCode>\+0.0;\-0.0;\±0</c:formatCode>
                <c:ptCount val="93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-28.938906752411576</c:v>
                </c:pt>
                <c:pt idx="1">
                  <c:v>8.686210640608035</c:v>
                </c:pt>
                <c:pt idx="2">
                  <c:v>-2.306805074971165</c:v>
                </c:pt>
                <c:pt idx="3">
                  <c:v>6.1274509803921573</c:v>
                </c:pt>
                <c:pt idx="4">
                  <c:v>5.3120849933598935</c:v>
                </c:pt>
                <c:pt idx="5">
                  <c:v>15.94896331738437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179</c:v>
                </c:pt>
                <c:pt idx="1">
                  <c:v>397</c:v>
                </c:pt>
                <c:pt idx="2">
                  <c:v>449</c:v>
                </c:pt>
                <c:pt idx="3">
                  <c:v>408</c:v>
                </c:pt>
                <c:pt idx="4">
                  <c:v>365</c:v>
                </c:pt>
                <c:pt idx="5">
                  <c:v>246</c:v>
                </c:pt>
                <c:pt idx="6">
                  <c:v>121</c:v>
                </c:pt>
                <c:pt idx="7">
                  <c:v>65</c:v>
                </c:pt>
                <c:pt idx="8">
                  <c:v>30</c:v>
                </c:pt>
                <c:pt idx="9">
                  <c:v>10</c:v>
                </c:pt>
                <c:pt idx="10">
                  <c:v>6</c:v>
                </c:pt>
                <c:pt idx="11">
                  <c:v>6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たかの!$L$2:$L$85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1865.0602409638554</c:v>
                </c:pt>
                <c:pt idx="1">
                  <c:v>-2048.7804878048782</c:v>
                </c:pt>
                <c:pt idx="2">
                  <c:v>-1624.0506329113923</c:v>
                </c:pt>
                <c:pt idx="3">
                  <c:v>-1074.3243243243244</c:v>
                </c:pt>
                <c:pt idx="4">
                  <c:v>-58.333333333333336</c:v>
                </c:pt>
                <c:pt idx="5">
                  <c:v>-2103.2258064516127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41</c:v>
                </c:pt>
                <c:pt idx="2">
                  <c:v>43</c:v>
                </c:pt>
                <c:pt idx="3">
                  <c:v>34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だいち!$K$2:$K$187</c:f>
              <c:numCache>
                <c:formatCode>General</c:formatCode>
                <c:ptCount val="1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</c:numCache>
            </c:numRef>
          </c:xVal>
          <c:yVal>
            <c:numRef>
              <c:f>だいち!$L$2:$L$187</c:f>
              <c:numCache>
                <c:formatCode>\+0.0;\-0.0;\±0</c:formatCode>
                <c:ptCount val="18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1234.7826086956522</c:v>
                </c:pt>
                <c:pt idx="1">
                  <c:v>1223.756906077348</c:v>
                </c:pt>
                <c:pt idx="2">
                  <c:v>950.57471264367814</c:v>
                </c:pt>
                <c:pt idx="3">
                  <c:v>227.16049382716051</c:v>
                </c:pt>
                <c:pt idx="4">
                  <c:v>1741.7218543046358</c:v>
                </c:pt>
                <c:pt idx="5">
                  <c:v>1936.2903225806451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48</c:v>
                </c:pt>
                <c:pt idx="1">
                  <c:v>96</c:v>
                </c:pt>
                <c:pt idx="2">
                  <c:v>103</c:v>
                </c:pt>
                <c:pt idx="3">
                  <c:v>95</c:v>
                </c:pt>
                <c:pt idx="4">
                  <c:v>76</c:v>
                </c:pt>
                <c:pt idx="5">
                  <c:v>49</c:v>
                </c:pt>
                <c:pt idx="6">
                  <c:v>24</c:v>
                </c:pt>
                <c:pt idx="7">
                  <c:v>10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ただ!$L$2:$L$167</c:f>
              <c:numCache>
                <c:formatCode>\+0.0;\-0.0;\±0</c:formatCode>
                <c:ptCount val="16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-1067.6829268292684</c:v>
                </c:pt>
                <c:pt idx="1">
                  <c:v>1366.0493827160494</c:v>
                </c:pt>
                <c:pt idx="2">
                  <c:v>12.666666666666666</c:v>
                </c:pt>
                <c:pt idx="3">
                  <c:v>71.126760563380287</c:v>
                </c:pt>
                <c:pt idx="4">
                  <c:v>-1612.3076923076924</c:v>
                </c:pt>
                <c:pt idx="5">
                  <c:v>1027.5229357798164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31</c:v>
                </c:pt>
                <c:pt idx="1">
                  <c:v>80</c:v>
                </c:pt>
                <c:pt idx="2">
                  <c:v>90</c:v>
                </c:pt>
                <c:pt idx="3">
                  <c:v>84</c:v>
                </c:pt>
                <c:pt idx="4">
                  <c:v>62</c:v>
                </c:pt>
                <c:pt idx="5">
                  <c:v>42</c:v>
                </c:pt>
                <c:pt idx="6">
                  <c:v>14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-637.37373737373741</c:v>
                </c:pt>
                <c:pt idx="1">
                  <c:v>-893.93939393939399</c:v>
                </c:pt>
                <c:pt idx="2">
                  <c:v>469.89247311827955</c:v>
                </c:pt>
                <c:pt idx="3">
                  <c:v>-779.12087912087907</c:v>
                </c:pt>
                <c:pt idx="4">
                  <c:v>-2894.1860465116279</c:v>
                </c:pt>
                <c:pt idx="5">
                  <c:v>-1877.3333333333333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35</c:v>
                </c:pt>
                <c:pt idx="4">
                  <c:v>39</c:v>
                </c:pt>
                <c:pt idx="5">
                  <c:v>23</c:v>
                </c:pt>
                <c:pt idx="6">
                  <c:v>14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れんたろう!$L$2:$L$137</c:f>
              <c:numCache>
                <c:formatCode>\+0.0;\-0.0;\±0</c:formatCode>
                <c:ptCount val="13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1285.1851851851852</c:v>
                </c:pt>
                <c:pt idx="1">
                  <c:v>-1825.5639097744361</c:v>
                </c:pt>
                <c:pt idx="2">
                  <c:v>-439.6694214876033</c:v>
                </c:pt>
                <c:pt idx="3">
                  <c:v>2318.4210526315787</c:v>
                </c:pt>
                <c:pt idx="4">
                  <c:v>1622.5490196078431</c:v>
                </c:pt>
                <c:pt idx="5">
                  <c:v>249.36708860759492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24</c:v>
                </c:pt>
                <c:pt idx="2">
                  <c:v>41</c:v>
                </c:pt>
                <c:pt idx="3">
                  <c:v>56</c:v>
                </c:pt>
                <c:pt idx="4">
                  <c:v>67</c:v>
                </c:pt>
                <c:pt idx="5">
                  <c:v>43</c:v>
                </c:pt>
                <c:pt idx="6">
                  <c:v>22</c:v>
                </c:pt>
                <c:pt idx="7">
                  <c:v>19</c:v>
                </c:pt>
                <c:pt idx="8">
                  <c:v>8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-207.53424657534248</c:v>
                </c:pt>
                <c:pt idx="1">
                  <c:v>264.33566433566432</c:v>
                </c:pt>
                <c:pt idx="2">
                  <c:v>178.5185185185185</c:v>
                </c:pt>
                <c:pt idx="3">
                  <c:v>376.61290322580646</c:v>
                </c:pt>
                <c:pt idx="4">
                  <c:v>144.24778761061947</c:v>
                </c:pt>
                <c:pt idx="5">
                  <c:v>-622.91666666666663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62</c:v>
                </c:pt>
                <c:pt idx="2">
                  <c:v>67</c:v>
                </c:pt>
                <c:pt idx="3">
                  <c:v>61</c:v>
                </c:pt>
                <c:pt idx="4">
                  <c:v>48</c:v>
                </c:pt>
                <c:pt idx="5">
                  <c:v>38</c:v>
                </c:pt>
                <c:pt idx="6">
                  <c:v>18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れんたろう2!$B$3:$B$138</c:f>
              <c:numCache>
                <c:formatCode>\+0.0;\-0.0;\±0</c:formatCode>
                <c:ptCount val="13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394884621840901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れんたろう2!$C$3:$C$138</c:f>
              <c:numCache>
                <c:formatCode>\+0.0;\-0.0;\±0</c:formatCode>
                <c:ptCount val="136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  <c:pt idx="90">
                  <c:v>2.6233333333333348</c:v>
                </c:pt>
                <c:pt idx="91">
                  <c:v>2.6406593406593419</c:v>
                </c:pt>
                <c:pt idx="92">
                  <c:v>3.1141304347826098</c:v>
                </c:pt>
                <c:pt idx="93">
                  <c:v>2.8311827956989259</c:v>
                </c:pt>
                <c:pt idx="94">
                  <c:v>3.1872340425531931</c:v>
                </c:pt>
                <c:pt idx="95">
                  <c:v>3.5294736842105277</c:v>
                </c:pt>
                <c:pt idx="96">
                  <c:v>3.4937500000000017</c:v>
                </c:pt>
                <c:pt idx="97">
                  <c:v>3.4505154639175273</c:v>
                </c:pt>
                <c:pt idx="98">
                  <c:v>3.56122448979592</c:v>
                </c:pt>
                <c:pt idx="99">
                  <c:v>3.9060606060606076</c:v>
                </c:pt>
                <c:pt idx="100">
                  <c:v>3.5030000000000019</c:v>
                </c:pt>
                <c:pt idx="101">
                  <c:v>3.414851485148517</c:v>
                </c:pt>
                <c:pt idx="102">
                  <c:v>3.5245098039215708</c:v>
                </c:pt>
                <c:pt idx="103">
                  <c:v>3.905825242718449</c:v>
                </c:pt>
                <c:pt idx="104">
                  <c:v>3.9317307692307719</c:v>
                </c:pt>
                <c:pt idx="105">
                  <c:v>3.545714285714288</c:v>
                </c:pt>
                <c:pt idx="106">
                  <c:v>3.7339622641509456</c:v>
                </c:pt>
                <c:pt idx="107">
                  <c:v>4.0953271028037399</c:v>
                </c:pt>
                <c:pt idx="108">
                  <c:v>4.3620370370370392</c:v>
                </c:pt>
                <c:pt idx="109">
                  <c:v>4.6697247706422038</c:v>
                </c:pt>
                <c:pt idx="110">
                  <c:v>4.7500000000000018</c:v>
                </c:pt>
                <c:pt idx="111">
                  <c:v>5.4126126126126142</c:v>
                </c:pt>
                <c:pt idx="112">
                  <c:v>5.5035714285714308</c:v>
                </c:pt>
                <c:pt idx="113">
                  <c:v>5.646902654867259</c:v>
                </c:pt>
                <c:pt idx="114">
                  <c:v>5.5885964912280723</c:v>
                </c:pt>
                <c:pt idx="115">
                  <c:v>5.0530434782608715</c:v>
                </c:pt>
                <c:pt idx="116">
                  <c:v>4.8172413793103477</c:v>
                </c:pt>
                <c:pt idx="117">
                  <c:v>5.2905982905982931</c:v>
                </c:pt>
                <c:pt idx="118">
                  <c:v>5.9838983050847485</c:v>
                </c:pt>
                <c:pt idx="119">
                  <c:v>5.653781512605045</c:v>
                </c:pt>
                <c:pt idx="120">
                  <c:v>5.1866666666666701</c:v>
                </c:pt>
                <c:pt idx="121">
                  <c:v>5.1545454545454579</c:v>
                </c:pt>
                <c:pt idx="122">
                  <c:v>4.9942622950819704</c:v>
                </c:pt>
                <c:pt idx="123">
                  <c:v>5.052845528455288</c:v>
                </c:pt>
                <c:pt idx="124">
                  <c:v>4.6048387096774226</c:v>
                </c:pt>
                <c:pt idx="125">
                  <c:v>4.044000000000004</c:v>
                </c:pt>
                <c:pt idx="126">
                  <c:v>3.7698412698412733</c:v>
                </c:pt>
                <c:pt idx="127">
                  <c:v>4.1834645669291373</c:v>
                </c:pt>
                <c:pt idx="128">
                  <c:v>3.8601562500000033</c:v>
                </c:pt>
                <c:pt idx="129">
                  <c:v>4.1069767441860501</c:v>
                </c:pt>
                <c:pt idx="130">
                  <c:v>3.9400000000000031</c:v>
                </c:pt>
                <c:pt idx="131">
                  <c:v>3.5511450381679417</c:v>
                </c:pt>
                <c:pt idx="132">
                  <c:v>3.4257575757575789</c:v>
                </c:pt>
                <c:pt idx="133">
                  <c:v>3.8563909774436125</c:v>
                </c:pt>
                <c:pt idx="134">
                  <c:v>4.0604477611940331</c:v>
                </c:pt>
                <c:pt idx="135">
                  <c:v>4.0637037037037071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832141690000963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れんたろう2!$D$3:$D$138</c:f>
              <c:numCache>
                <c:formatCode>0.00\ "位"</c:formatCode>
                <c:ptCount val="136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  <c:pt idx="90">
                  <c:v>1.9555555555555555</c:v>
                </c:pt>
                <c:pt idx="91">
                  <c:v>1.956043956043956</c:v>
                </c:pt>
                <c:pt idx="92">
                  <c:v>1.9456521739130435</c:v>
                </c:pt>
                <c:pt idx="93">
                  <c:v>1.956989247311828</c:v>
                </c:pt>
                <c:pt idx="94">
                  <c:v>1.946808510638298</c:v>
                </c:pt>
                <c:pt idx="95">
                  <c:v>1.9368421052631579</c:v>
                </c:pt>
                <c:pt idx="96">
                  <c:v>1.9375</c:v>
                </c:pt>
                <c:pt idx="97">
                  <c:v>1.9381443298969072</c:v>
                </c:pt>
                <c:pt idx="98">
                  <c:v>1.9285714285714286</c:v>
                </c:pt>
                <c:pt idx="99">
                  <c:v>1.9191919191919191</c:v>
                </c:pt>
                <c:pt idx="100">
                  <c:v>1.93</c:v>
                </c:pt>
                <c:pt idx="101">
                  <c:v>1.9306930693069306</c:v>
                </c:pt>
                <c:pt idx="102">
                  <c:v>1.9215686274509804</c:v>
                </c:pt>
                <c:pt idx="103">
                  <c:v>1.912621359223301</c:v>
                </c:pt>
                <c:pt idx="104">
                  <c:v>1.9134615384615385</c:v>
                </c:pt>
                <c:pt idx="105">
                  <c:v>1.9238095238095239</c:v>
                </c:pt>
                <c:pt idx="106">
                  <c:v>1.9150943396226414</c:v>
                </c:pt>
                <c:pt idx="107">
                  <c:v>1.9065420560747663</c:v>
                </c:pt>
                <c:pt idx="108">
                  <c:v>1.8981481481481481</c:v>
                </c:pt>
                <c:pt idx="109">
                  <c:v>1.8899082568807339</c:v>
                </c:pt>
                <c:pt idx="110">
                  <c:v>1.8818181818181818</c:v>
                </c:pt>
                <c:pt idx="111">
                  <c:v>1.8738738738738738</c:v>
                </c:pt>
                <c:pt idx="112">
                  <c:v>1.875</c:v>
                </c:pt>
                <c:pt idx="113">
                  <c:v>1.8672566371681416</c:v>
                </c:pt>
                <c:pt idx="114">
                  <c:v>1.868421052631579</c:v>
                </c:pt>
                <c:pt idx="115">
                  <c:v>1.8782608695652174</c:v>
                </c:pt>
                <c:pt idx="116">
                  <c:v>1.8879310344827587</c:v>
                </c:pt>
                <c:pt idx="117">
                  <c:v>1.8803418803418803</c:v>
                </c:pt>
                <c:pt idx="118">
                  <c:v>1.8728813559322033</c:v>
                </c:pt>
                <c:pt idx="119">
                  <c:v>1.8823529411764706</c:v>
                </c:pt>
                <c:pt idx="120">
                  <c:v>1.8916666666666666</c:v>
                </c:pt>
                <c:pt idx="121">
                  <c:v>1.8925619834710743</c:v>
                </c:pt>
                <c:pt idx="122">
                  <c:v>1.8934426229508197</c:v>
                </c:pt>
                <c:pt idx="123">
                  <c:v>1.8943089430894309</c:v>
                </c:pt>
                <c:pt idx="124">
                  <c:v>1.903225806451613</c:v>
                </c:pt>
                <c:pt idx="125">
                  <c:v>1.9119999999999999</c:v>
                </c:pt>
                <c:pt idx="126">
                  <c:v>1.9206349206349207</c:v>
                </c:pt>
                <c:pt idx="127">
                  <c:v>1.9133858267716535</c:v>
                </c:pt>
                <c:pt idx="128">
                  <c:v>1.921875</c:v>
                </c:pt>
                <c:pt idx="129">
                  <c:v>1.9147286821705427</c:v>
                </c:pt>
                <c:pt idx="130">
                  <c:v>1.9230769230769231</c:v>
                </c:pt>
                <c:pt idx="131">
                  <c:v>1.9312977099236641</c:v>
                </c:pt>
                <c:pt idx="132">
                  <c:v>1.9318181818181819</c:v>
                </c:pt>
                <c:pt idx="133">
                  <c:v>1.9248120300751879</c:v>
                </c:pt>
                <c:pt idx="134">
                  <c:v>1.9179104477611941</c:v>
                </c:pt>
                <c:pt idx="135">
                  <c:v>1.9185185185185185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れんたろう2!$E$3:$E$138</c:f>
              <c:numCache>
                <c:formatCode>0.0%</c:formatCode>
                <c:ptCount val="1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0.37362637362637363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0.38297872340425532</c:v>
                </c:pt>
                <c:pt idx="95">
                  <c:v>0.38947368421052631</c:v>
                </c:pt>
                <c:pt idx="96">
                  <c:v>0.38541666666666669</c:v>
                </c:pt>
                <c:pt idx="97">
                  <c:v>0.38144329896907214</c:v>
                </c:pt>
                <c:pt idx="98">
                  <c:v>0.38775510204081631</c:v>
                </c:pt>
                <c:pt idx="99">
                  <c:v>0.39393939393939392</c:v>
                </c:pt>
                <c:pt idx="100">
                  <c:v>0.39</c:v>
                </c:pt>
                <c:pt idx="101">
                  <c:v>0.38613861386138615</c:v>
                </c:pt>
                <c:pt idx="102">
                  <c:v>0.39215686274509803</c:v>
                </c:pt>
                <c:pt idx="103">
                  <c:v>0.39805825242718446</c:v>
                </c:pt>
                <c:pt idx="104">
                  <c:v>0.39423076923076922</c:v>
                </c:pt>
                <c:pt idx="105">
                  <c:v>0.39047619047619048</c:v>
                </c:pt>
                <c:pt idx="106">
                  <c:v>0.39622641509433965</c:v>
                </c:pt>
                <c:pt idx="107">
                  <c:v>0.40186915887850466</c:v>
                </c:pt>
                <c:pt idx="108">
                  <c:v>0.40740740740740738</c:v>
                </c:pt>
                <c:pt idx="109">
                  <c:v>0.41284403669724773</c:v>
                </c:pt>
                <c:pt idx="110">
                  <c:v>0.41818181818181815</c:v>
                </c:pt>
                <c:pt idx="111">
                  <c:v>0.42342342342342343</c:v>
                </c:pt>
                <c:pt idx="112">
                  <c:v>0.41964285714285715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  <c:pt idx="124">
                  <c:v>0.40322580645161288</c:v>
                </c:pt>
                <c:pt idx="125">
                  <c:v>0.4</c:v>
                </c:pt>
                <c:pt idx="126">
                  <c:v>0.3968253968253968</c:v>
                </c:pt>
                <c:pt idx="127">
                  <c:v>0.40157480314960631</c:v>
                </c:pt>
                <c:pt idx="128">
                  <c:v>0.3984375</c:v>
                </c:pt>
                <c:pt idx="129">
                  <c:v>0.40310077519379844</c:v>
                </c:pt>
                <c:pt idx="130">
                  <c:v>0.4</c:v>
                </c:pt>
                <c:pt idx="131">
                  <c:v>0.39694656488549618</c:v>
                </c:pt>
                <c:pt idx="132">
                  <c:v>0.39393939393939392</c:v>
                </c:pt>
                <c:pt idx="133">
                  <c:v>0.39849624060150374</c:v>
                </c:pt>
                <c:pt idx="134">
                  <c:v>0.40298507462686567</c:v>
                </c:pt>
                <c:pt idx="13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れんたろう2!$F$3:$F$138</c:f>
              <c:numCache>
                <c:formatCode>0.0%</c:formatCode>
                <c:ptCount val="13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  <c:pt idx="90">
                  <c:v>0.33333333333333331</c:v>
                </c:pt>
                <c:pt idx="91">
                  <c:v>0.32967032967032966</c:v>
                </c:pt>
                <c:pt idx="92">
                  <c:v>0.32608695652173914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0.31067961165048541</c:v>
                </c:pt>
                <c:pt idx="104">
                  <c:v>0.30769230769230771</c:v>
                </c:pt>
                <c:pt idx="105">
                  <c:v>0.31428571428571428</c:v>
                </c:pt>
                <c:pt idx="106">
                  <c:v>0.31132075471698112</c:v>
                </c:pt>
                <c:pt idx="107">
                  <c:v>0.30841121495327101</c:v>
                </c:pt>
                <c:pt idx="108">
                  <c:v>0.30555555555555558</c:v>
                </c:pt>
                <c:pt idx="109">
                  <c:v>0.30275229357798167</c:v>
                </c:pt>
                <c:pt idx="110">
                  <c:v>0.3</c:v>
                </c:pt>
                <c:pt idx="111">
                  <c:v>0.29729729729729731</c:v>
                </c:pt>
                <c:pt idx="112">
                  <c:v>0.29464285714285715</c:v>
                </c:pt>
                <c:pt idx="113">
                  <c:v>0.29203539823008851</c:v>
                </c:pt>
                <c:pt idx="114">
                  <c:v>0.28947368421052633</c:v>
                </c:pt>
                <c:pt idx="115">
                  <c:v>0.29565217391304349</c:v>
                </c:pt>
                <c:pt idx="116">
                  <c:v>0.30172413793103448</c:v>
                </c:pt>
                <c:pt idx="117">
                  <c:v>0.29914529914529914</c:v>
                </c:pt>
                <c:pt idx="118">
                  <c:v>0.29661016949152541</c:v>
                </c:pt>
                <c:pt idx="119">
                  <c:v>0.30252100840336132</c:v>
                </c:pt>
                <c:pt idx="120">
                  <c:v>0.30833333333333335</c:v>
                </c:pt>
                <c:pt idx="121">
                  <c:v>0.30578512396694213</c:v>
                </c:pt>
                <c:pt idx="122">
                  <c:v>0.30327868852459017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0.31782945736434109</c:v>
                </c:pt>
                <c:pt idx="130">
                  <c:v>0.32307692307692309</c:v>
                </c:pt>
                <c:pt idx="131">
                  <c:v>0.3282442748091603</c:v>
                </c:pt>
                <c:pt idx="132">
                  <c:v>0.32575757575757575</c:v>
                </c:pt>
                <c:pt idx="133">
                  <c:v>0.32330827067669171</c:v>
                </c:pt>
                <c:pt idx="134">
                  <c:v>0.32089552238805968</c:v>
                </c:pt>
                <c:pt idx="135">
                  <c:v>0.31851851851851853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れんたろう2!$G$3:$G$138</c:f>
              <c:numCache>
                <c:formatCode>0.0%</c:formatCode>
                <c:ptCount val="136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  <c:pt idx="90">
                  <c:v>0.27747252747252749</c:v>
                </c:pt>
                <c:pt idx="91">
                  <c:v>0.27755102040816326</c:v>
                </c:pt>
                <c:pt idx="92">
                  <c:v>0.2807017543859649</c:v>
                </c:pt>
                <c:pt idx="93">
                  <c:v>0.27978580990629182</c:v>
                </c:pt>
                <c:pt idx="94">
                  <c:v>0.27910052910052913</c:v>
                </c:pt>
                <c:pt idx="95">
                  <c:v>0.28047182175622543</c:v>
                </c:pt>
                <c:pt idx="96">
                  <c:v>0.2805194805194805</c:v>
                </c:pt>
                <c:pt idx="97">
                  <c:v>0.27963917525773196</c:v>
                </c:pt>
                <c:pt idx="98">
                  <c:v>0.28061224489795916</c:v>
                </c:pt>
                <c:pt idx="99">
                  <c:v>0.28050314465408804</c:v>
                </c:pt>
                <c:pt idx="100">
                  <c:v>0.27860696517412936</c:v>
                </c:pt>
                <c:pt idx="101">
                  <c:v>0.27764127764127766</c:v>
                </c:pt>
                <c:pt idx="102">
                  <c:v>0.27669902912621358</c:v>
                </c:pt>
                <c:pt idx="103">
                  <c:v>0.27764423076923078</c:v>
                </c:pt>
                <c:pt idx="104">
                  <c:v>0.27738095238095239</c:v>
                </c:pt>
                <c:pt idx="105">
                  <c:v>0.27379553466509987</c:v>
                </c:pt>
                <c:pt idx="106">
                  <c:v>0.27494199535962877</c:v>
                </c:pt>
                <c:pt idx="107">
                  <c:v>0.27733026467203681</c:v>
                </c:pt>
                <c:pt idx="108">
                  <c:v>0.27758816837315131</c:v>
                </c:pt>
                <c:pt idx="109">
                  <c:v>0.27833894500561168</c:v>
                </c:pt>
                <c:pt idx="110">
                  <c:v>0.27919911012235815</c:v>
                </c:pt>
                <c:pt idx="111">
                  <c:v>0.28193832599118945</c:v>
                </c:pt>
                <c:pt idx="112">
                  <c:v>0.28244274809160308</c:v>
                </c:pt>
                <c:pt idx="113">
                  <c:v>0.28277356446370533</c:v>
                </c:pt>
                <c:pt idx="114">
                  <c:v>0.28279569892473116</c:v>
                </c:pt>
                <c:pt idx="115">
                  <c:v>0.28128342245989307</c:v>
                </c:pt>
                <c:pt idx="116">
                  <c:v>0.28088701161562829</c:v>
                </c:pt>
                <c:pt idx="117">
                  <c:v>0.28347280334728031</c:v>
                </c:pt>
                <c:pt idx="118">
                  <c:v>0.28526970954356845</c:v>
                </c:pt>
                <c:pt idx="119">
                  <c:v>0.28365878725590954</c:v>
                </c:pt>
                <c:pt idx="120">
                  <c:v>0.28194726166328599</c:v>
                </c:pt>
                <c:pt idx="121">
                  <c:v>0.28225806451612906</c:v>
                </c:pt>
                <c:pt idx="122">
                  <c:v>0.28128128128128127</c:v>
                </c:pt>
                <c:pt idx="123">
                  <c:v>0.2813121272365805</c:v>
                </c:pt>
                <c:pt idx="124">
                  <c:v>0.27936821322803551</c:v>
                </c:pt>
                <c:pt idx="125">
                  <c:v>0.27881773399014781</c:v>
                </c:pt>
                <c:pt idx="126">
                  <c:v>0.27788649706457924</c:v>
                </c:pt>
                <c:pt idx="127">
                  <c:v>0.27756286266924562</c:v>
                </c:pt>
                <c:pt idx="128">
                  <c:v>0.27586206896551724</c:v>
                </c:pt>
                <c:pt idx="129">
                  <c:v>0.27714285714285714</c:v>
                </c:pt>
                <c:pt idx="130">
                  <c:v>0.27599243856332706</c:v>
                </c:pt>
                <c:pt idx="131">
                  <c:v>0.27417840375586855</c:v>
                </c:pt>
                <c:pt idx="132">
                  <c:v>0.27255813953488373</c:v>
                </c:pt>
                <c:pt idx="133">
                  <c:v>0.27331486611265005</c:v>
                </c:pt>
                <c:pt idx="134">
                  <c:v>0.27422303473491771</c:v>
                </c:pt>
                <c:pt idx="135">
                  <c:v>0.27445652173913043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680443934175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れんたろう2!$H$3:$H$138</c:f>
              <c:numCache>
                <c:formatCode>0.0%</c:formatCode>
                <c:ptCount val="136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  <c:pt idx="90">
                  <c:v>0.17857142857142858</c:v>
                </c:pt>
                <c:pt idx="91">
                  <c:v>0.17823129251700681</c:v>
                </c:pt>
                <c:pt idx="92">
                  <c:v>0.17678812415654521</c:v>
                </c:pt>
                <c:pt idx="93">
                  <c:v>0.17804551539491298</c:v>
                </c:pt>
                <c:pt idx="94">
                  <c:v>0.17724867724867724</c:v>
                </c:pt>
                <c:pt idx="95">
                  <c:v>0.17693315858453473</c:v>
                </c:pt>
                <c:pt idx="96">
                  <c:v>0.17662337662337663</c:v>
                </c:pt>
                <c:pt idx="97">
                  <c:v>0.17654639175257733</c:v>
                </c:pt>
                <c:pt idx="98">
                  <c:v>0.17729591836734693</c:v>
                </c:pt>
                <c:pt idx="99">
                  <c:v>0.17484276729559747</c:v>
                </c:pt>
                <c:pt idx="100">
                  <c:v>0.17537313432835822</c:v>
                </c:pt>
                <c:pt idx="101">
                  <c:v>0.17444717444717445</c:v>
                </c:pt>
                <c:pt idx="102">
                  <c:v>0.17597087378640777</c:v>
                </c:pt>
                <c:pt idx="103">
                  <c:v>0.17668269230769232</c:v>
                </c:pt>
                <c:pt idx="104">
                  <c:v>0.17499999999999999</c:v>
                </c:pt>
                <c:pt idx="105">
                  <c:v>0.17508813160987075</c:v>
                </c:pt>
                <c:pt idx="106">
                  <c:v>0.1751740139211137</c:v>
                </c:pt>
                <c:pt idx="107">
                  <c:v>0.17491369390103567</c:v>
                </c:pt>
                <c:pt idx="108">
                  <c:v>0.17406143344709898</c:v>
                </c:pt>
                <c:pt idx="109">
                  <c:v>0.1728395061728395</c:v>
                </c:pt>
                <c:pt idx="110">
                  <c:v>0.17241379310344829</c:v>
                </c:pt>
                <c:pt idx="111">
                  <c:v>0.17070484581497797</c:v>
                </c:pt>
                <c:pt idx="112">
                  <c:v>0.17121046892039257</c:v>
                </c:pt>
                <c:pt idx="113">
                  <c:v>0.17118093174431204</c:v>
                </c:pt>
                <c:pt idx="114">
                  <c:v>0.16989247311827957</c:v>
                </c:pt>
                <c:pt idx="115">
                  <c:v>0.17005347593582887</c:v>
                </c:pt>
                <c:pt idx="116">
                  <c:v>0.16895459345300951</c:v>
                </c:pt>
                <c:pt idx="117">
                  <c:v>0.16945606694560669</c:v>
                </c:pt>
                <c:pt idx="118">
                  <c:v>0.16804979253112035</c:v>
                </c:pt>
                <c:pt idx="119">
                  <c:v>0.16855087358684481</c:v>
                </c:pt>
                <c:pt idx="120">
                  <c:v>0.16937119675456389</c:v>
                </c:pt>
                <c:pt idx="121">
                  <c:v>0.16935483870967741</c:v>
                </c:pt>
                <c:pt idx="122">
                  <c:v>0.17017017017017017</c:v>
                </c:pt>
                <c:pt idx="123">
                  <c:v>0.16898608349900596</c:v>
                </c:pt>
                <c:pt idx="124">
                  <c:v>0.16979269496544916</c:v>
                </c:pt>
                <c:pt idx="125">
                  <c:v>0.17044334975369457</c:v>
                </c:pt>
                <c:pt idx="126">
                  <c:v>0.17123287671232876</c:v>
                </c:pt>
                <c:pt idx="127">
                  <c:v>0.17117988394584138</c:v>
                </c:pt>
                <c:pt idx="128">
                  <c:v>0.17145593869731801</c:v>
                </c:pt>
                <c:pt idx="129">
                  <c:v>0.17047619047619048</c:v>
                </c:pt>
                <c:pt idx="130">
                  <c:v>0.17013232514177692</c:v>
                </c:pt>
                <c:pt idx="131">
                  <c:v>0.17183098591549295</c:v>
                </c:pt>
                <c:pt idx="132">
                  <c:v>0.17209302325581396</c:v>
                </c:pt>
                <c:pt idx="133">
                  <c:v>0.17359187442289936</c:v>
                </c:pt>
                <c:pt idx="134">
                  <c:v>0.17367458866544791</c:v>
                </c:pt>
                <c:pt idx="135">
                  <c:v>0.17481884057971014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500191350937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れんたろう2!$I$3:$I$138</c:f>
              <c:numCache>
                <c:formatCode>0</c:formatCode>
                <c:ptCount val="136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  <c:pt idx="90">
                  <c:v>10921.287128712871</c:v>
                </c:pt>
                <c:pt idx="91">
                  <c:v>10912.254901960785</c:v>
                </c:pt>
                <c:pt idx="92">
                  <c:v>10862.01923076923</c:v>
                </c:pt>
                <c:pt idx="93">
                  <c:v>10848.325358851675</c:v>
                </c:pt>
                <c:pt idx="94">
                  <c:v>10887.677725118483</c:v>
                </c:pt>
                <c:pt idx="95">
                  <c:v>10903.271028037383</c:v>
                </c:pt>
                <c:pt idx="96">
                  <c:v>10913.425925925925</c:v>
                </c:pt>
                <c:pt idx="97">
                  <c:v>10918.433179723503</c:v>
                </c:pt>
                <c:pt idx="98">
                  <c:v>10869.545454545454</c:v>
                </c:pt>
                <c:pt idx="99">
                  <c:v>10865.470852017937</c:v>
                </c:pt>
                <c:pt idx="100">
                  <c:v>10834.375</c:v>
                </c:pt>
                <c:pt idx="101">
                  <c:v>10797.345132743363</c:v>
                </c:pt>
                <c:pt idx="102">
                  <c:v>10799.122807017544</c:v>
                </c:pt>
                <c:pt idx="103">
                  <c:v>10866.666666666666</c:v>
                </c:pt>
                <c:pt idx="104">
                  <c:v>10847.639484978541</c:v>
                </c:pt>
                <c:pt idx="105">
                  <c:v>10847.639484978541</c:v>
                </c:pt>
                <c:pt idx="106">
                  <c:v>10790.717299578058</c:v>
                </c:pt>
                <c:pt idx="107">
                  <c:v>10780.91286307054</c:v>
                </c:pt>
                <c:pt idx="108">
                  <c:v>10770.901639344262</c:v>
                </c:pt>
                <c:pt idx="109">
                  <c:v>10772.177419354839</c:v>
                </c:pt>
                <c:pt idx="110">
                  <c:v>10762.151394422312</c:v>
                </c:pt>
                <c:pt idx="111">
                  <c:v>10817.578125</c:v>
                </c:pt>
                <c:pt idx="112">
                  <c:v>10779.536679536679</c:v>
                </c:pt>
                <c:pt idx="113">
                  <c:v>10757.088122605364</c:v>
                </c:pt>
                <c:pt idx="114">
                  <c:v>10736.121673003803</c:v>
                </c:pt>
                <c:pt idx="115">
                  <c:v>10736.121673003803</c:v>
                </c:pt>
                <c:pt idx="116">
                  <c:v>10659.774436090225</c:v>
                </c:pt>
                <c:pt idx="117">
                  <c:v>10674.169741697417</c:v>
                </c:pt>
                <c:pt idx="118">
                  <c:v>10721.09090909091</c:v>
                </c:pt>
                <c:pt idx="119">
                  <c:v>10711.231884057972</c:v>
                </c:pt>
                <c:pt idx="120">
                  <c:v>10716.187050359713</c:v>
                </c:pt>
                <c:pt idx="121">
                  <c:v>10701.428571428571</c:v>
                </c:pt>
                <c:pt idx="122">
                  <c:v>10666.903914590748</c:v>
                </c:pt>
                <c:pt idx="123">
                  <c:v>10697.526501766784</c:v>
                </c:pt>
                <c:pt idx="124">
                  <c:v>10697.526501766784</c:v>
                </c:pt>
                <c:pt idx="125">
                  <c:v>10697.526501766784</c:v>
                </c:pt>
                <c:pt idx="126">
                  <c:v>10702.112676056338</c:v>
                </c:pt>
                <c:pt idx="127">
                  <c:v>10827.177700348431</c:v>
                </c:pt>
                <c:pt idx="128">
                  <c:v>10831.25</c:v>
                </c:pt>
                <c:pt idx="129">
                  <c:v>10828.52233676976</c:v>
                </c:pt>
                <c:pt idx="130">
                  <c:v>10798.630136986301</c:v>
                </c:pt>
                <c:pt idx="131">
                  <c:v>10798.630136986301</c:v>
                </c:pt>
                <c:pt idx="132">
                  <c:v>10816.382252559726</c:v>
                </c:pt>
                <c:pt idx="133">
                  <c:v>10950</c:v>
                </c:pt>
                <c:pt idx="134">
                  <c:v>10948</c:v>
                </c:pt>
                <c:pt idx="135">
                  <c:v>10919.141914191419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3.4632034632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れんたろう2!$J$3:$J$138</c:f>
              <c:numCache>
                <c:formatCode>0</c:formatCode>
                <c:ptCount val="136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  <c:pt idx="90">
                  <c:v>-8403.8461538461543</c:v>
                </c:pt>
                <c:pt idx="91">
                  <c:v>-8400.7633587786258</c:v>
                </c:pt>
                <c:pt idx="92">
                  <c:v>-8400.7633587786258</c:v>
                </c:pt>
                <c:pt idx="93">
                  <c:v>-8422.5563909774428</c:v>
                </c:pt>
                <c:pt idx="94">
                  <c:v>-8419.4029850746265</c:v>
                </c:pt>
                <c:pt idx="95">
                  <c:v>-8366.6666666666661</c:v>
                </c:pt>
                <c:pt idx="96">
                  <c:v>-8437.5</c:v>
                </c:pt>
                <c:pt idx="97">
                  <c:v>-8432.1167883211674</c:v>
                </c:pt>
                <c:pt idx="98">
                  <c:v>-8434.5323741007196</c:v>
                </c:pt>
                <c:pt idx="99">
                  <c:v>-8434.5323741007196</c:v>
                </c:pt>
                <c:pt idx="100">
                  <c:v>-8365.9574468085102</c:v>
                </c:pt>
                <c:pt idx="101">
                  <c:v>-8334.5070422535209</c:v>
                </c:pt>
                <c:pt idx="102">
                  <c:v>-8273.7931034482754</c:v>
                </c:pt>
                <c:pt idx="103">
                  <c:v>-8237.4149659863942</c:v>
                </c:pt>
                <c:pt idx="104">
                  <c:v>-8237.4149659863942</c:v>
                </c:pt>
                <c:pt idx="105">
                  <c:v>-8216.1073825503354</c:v>
                </c:pt>
                <c:pt idx="106">
                  <c:v>-8184.1059602649011</c:v>
                </c:pt>
                <c:pt idx="107">
                  <c:v>-8155.9210526315792</c:v>
                </c:pt>
                <c:pt idx="108">
                  <c:v>-8109.1503267973858</c:v>
                </c:pt>
                <c:pt idx="109">
                  <c:v>-8094.1558441558445</c:v>
                </c:pt>
                <c:pt idx="110">
                  <c:v>-8119.3548387096771</c:v>
                </c:pt>
                <c:pt idx="111">
                  <c:v>-8119.3548387096771</c:v>
                </c:pt>
                <c:pt idx="112">
                  <c:v>-8036.9426751592355</c:v>
                </c:pt>
                <c:pt idx="113">
                  <c:v>-8006.3291139240509</c:v>
                </c:pt>
                <c:pt idx="114">
                  <c:v>-8006.3291139240509</c:v>
                </c:pt>
                <c:pt idx="115">
                  <c:v>-8106.9182389937105</c:v>
                </c:pt>
                <c:pt idx="116">
                  <c:v>-8088.75</c:v>
                </c:pt>
                <c:pt idx="117">
                  <c:v>-8017.2839506172841</c:v>
                </c:pt>
                <c:pt idx="118">
                  <c:v>-8017.2839506172841</c:v>
                </c:pt>
                <c:pt idx="119">
                  <c:v>-7949.3902439024387</c:v>
                </c:pt>
                <c:pt idx="120">
                  <c:v>-8014.9700598802392</c:v>
                </c:pt>
                <c:pt idx="121">
                  <c:v>-7998.2142857142853</c:v>
                </c:pt>
                <c:pt idx="122">
                  <c:v>-7932.9411764705883</c:v>
                </c:pt>
                <c:pt idx="123">
                  <c:v>-7932.9411764705883</c:v>
                </c:pt>
                <c:pt idx="124">
                  <c:v>-7897.0930232558139</c:v>
                </c:pt>
                <c:pt idx="125">
                  <c:v>-8128.9017341040462</c:v>
                </c:pt>
                <c:pt idx="126">
                  <c:v>-8111.4285714285716</c:v>
                </c:pt>
                <c:pt idx="127">
                  <c:v>-8116.9491525423728</c:v>
                </c:pt>
                <c:pt idx="128">
                  <c:v>-8136.3128491620109</c:v>
                </c:pt>
                <c:pt idx="129">
                  <c:v>-8136.3128491620109</c:v>
                </c:pt>
                <c:pt idx="130">
                  <c:v>-8105.5555555555557</c:v>
                </c:pt>
                <c:pt idx="131">
                  <c:v>-8065.0273224043713</c:v>
                </c:pt>
                <c:pt idx="132">
                  <c:v>-8040.5405405405409</c:v>
                </c:pt>
                <c:pt idx="133">
                  <c:v>-7993.6170212765956</c:v>
                </c:pt>
                <c:pt idx="134">
                  <c:v>-7993.6842105263158</c:v>
                </c:pt>
                <c:pt idx="135">
                  <c:v>-7965.8031088082898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91.70616113744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れんたろう2!$K$3:$K$138</c:f>
              <c:numCache>
                <c:formatCode>0.0%</c:formatCode>
                <c:ptCount val="13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  <c:pt idx="114">
                  <c:v>9.6491228070175433E-2</c:v>
                </c:pt>
                <c:pt idx="115">
                  <c:v>0.10434782608695652</c:v>
                </c:pt>
                <c:pt idx="116">
                  <c:v>0.10344827586206896</c:v>
                </c:pt>
                <c:pt idx="117">
                  <c:v>0.10256410256410256</c:v>
                </c:pt>
                <c:pt idx="118">
                  <c:v>0.10169491525423729</c:v>
                </c:pt>
                <c:pt idx="119">
                  <c:v>0.10084033613445378</c:v>
                </c:pt>
                <c:pt idx="120">
                  <c:v>0.10833333333333334</c:v>
                </c:pt>
                <c:pt idx="121">
                  <c:v>0.10743801652892562</c:v>
                </c:pt>
                <c:pt idx="122">
                  <c:v>0.10655737704918032</c:v>
                </c:pt>
                <c:pt idx="123">
                  <c:v>0.10569105691056911</c:v>
                </c:pt>
                <c:pt idx="124">
                  <c:v>0.11290322580645161</c:v>
                </c:pt>
                <c:pt idx="125">
                  <c:v>0.12</c:v>
                </c:pt>
                <c:pt idx="126">
                  <c:v>0.11904761904761904</c:v>
                </c:pt>
                <c:pt idx="127">
                  <c:v>0.11811023622047244</c:v>
                </c:pt>
                <c:pt idx="128">
                  <c:v>0.1171875</c:v>
                </c:pt>
                <c:pt idx="129">
                  <c:v>0.11627906976744186</c:v>
                </c:pt>
                <c:pt idx="130">
                  <c:v>0.11538461538461539</c:v>
                </c:pt>
                <c:pt idx="131">
                  <c:v>0.12213740458015267</c:v>
                </c:pt>
                <c:pt idx="132">
                  <c:v>0.12121212121212122</c:v>
                </c:pt>
                <c:pt idx="133">
                  <c:v>0.12030075187969924</c:v>
                </c:pt>
                <c:pt idx="134">
                  <c:v>0.11940298507462686</c:v>
                </c:pt>
                <c:pt idx="135">
                  <c:v>0.11851851851851852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94871794871795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れんたろう2!$L$3:$L$138</c:f>
              <c:numCache>
                <c:formatCode>0.0%</c:formatCode>
                <c:ptCount val="136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  <c:pt idx="90">
                  <c:v>0.31318681318681318</c:v>
                </c:pt>
                <c:pt idx="91">
                  <c:v>0.31564625850340133</c:v>
                </c:pt>
                <c:pt idx="92">
                  <c:v>0.31713900134952766</c:v>
                </c:pt>
                <c:pt idx="93">
                  <c:v>0.31593038821954483</c:v>
                </c:pt>
                <c:pt idx="94">
                  <c:v>0.31613756613756616</c:v>
                </c:pt>
                <c:pt idx="95">
                  <c:v>0.31716906946264745</c:v>
                </c:pt>
                <c:pt idx="96">
                  <c:v>0.31818181818181818</c:v>
                </c:pt>
                <c:pt idx="97">
                  <c:v>0.31572164948453607</c:v>
                </c:pt>
                <c:pt idx="98">
                  <c:v>0.31887755102040816</c:v>
                </c:pt>
                <c:pt idx="99">
                  <c:v>0.31823899371069181</c:v>
                </c:pt>
                <c:pt idx="100">
                  <c:v>0.31467661691542287</c:v>
                </c:pt>
                <c:pt idx="101">
                  <c:v>0.31449631449631449</c:v>
                </c:pt>
                <c:pt idx="102">
                  <c:v>0.31310679611650488</c:v>
                </c:pt>
                <c:pt idx="103">
                  <c:v>0.31129807692307693</c:v>
                </c:pt>
                <c:pt idx="104">
                  <c:v>0.31071428571428572</c:v>
                </c:pt>
                <c:pt idx="105">
                  <c:v>0.30904817861339601</c:v>
                </c:pt>
                <c:pt idx="106">
                  <c:v>0.30974477958236657</c:v>
                </c:pt>
                <c:pt idx="107">
                  <c:v>0.31185270425776757</c:v>
                </c:pt>
                <c:pt idx="108">
                  <c:v>0.31626848691695109</c:v>
                </c:pt>
                <c:pt idx="109">
                  <c:v>0.31313131313131315</c:v>
                </c:pt>
                <c:pt idx="110">
                  <c:v>0.31368186874304782</c:v>
                </c:pt>
                <c:pt idx="111">
                  <c:v>0.31387665198237885</c:v>
                </c:pt>
                <c:pt idx="112">
                  <c:v>0.31406761177753545</c:v>
                </c:pt>
                <c:pt idx="113">
                  <c:v>0.31419284940411701</c:v>
                </c:pt>
                <c:pt idx="114">
                  <c:v>0.3139784946236559</c:v>
                </c:pt>
                <c:pt idx="115">
                  <c:v>0.31229946524064173</c:v>
                </c:pt>
                <c:pt idx="116">
                  <c:v>0.31151003167898628</c:v>
                </c:pt>
                <c:pt idx="117">
                  <c:v>0.31171548117154813</c:v>
                </c:pt>
                <c:pt idx="118">
                  <c:v>0.31120331950207469</c:v>
                </c:pt>
                <c:pt idx="119">
                  <c:v>0.31038026721479961</c:v>
                </c:pt>
                <c:pt idx="120">
                  <c:v>0.30933062880324541</c:v>
                </c:pt>
                <c:pt idx="121">
                  <c:v>0.30947580645161288</c:v>
                </c:pt>
                <c:pt idx="122">
                  <c:v>0.30730730730730732</c:v>
                </c:pt>
                <c:pt idx="123">
                  <c:v>0.30715705765407553</c:v>
                </c:pt>
                <c:pt idx="124">
                  <c:v>0.30700888450148073</c:v>
                </c:pt>
                <c:pt idx="125">
                  <c:v>0.30640394088669953</c:v>
                </c:pt>
                <c:pt idx="126">
                  <c:v>0.30430528375733856</c:v>
                </c:pt>
                <c:pt idx="127">
                  <c:v>0.30367504835589942</c:v>
                </c:pt>
                <c:pt idx="128">
                  <c:v>0.30363984674329503</c:v>
                </c:pt>
                <c:pt idx="129">
                  <c:v>0.30476190476190479</c:v>
                </c:pt>
                <c:pt idx="130">
                  <c:v>0.30434782608695654</c:v>
                </c:pt>
                <c:pt idx="131">
                  <c:v>0.30234741784037561</c:v>
                </c:pt>
                <c:pt idx="132">
                  <c:v>0.30139534883720931</c:v>
                </c:pt>
                <c:pt idx="133">
                  <c:v>0.30009233610341646</c:v>
                </c:pt>
                <c:pt idx="134">
                  <c:v>0.29981718464351004</c:v>
                </c:pt>
                <c:pt idx="135">
                  <c:v>0.29891304347826086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435132032146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れんたろう2!$M$3:$M$138</c:f>
              <c:numCache>
                <c:formatCode>0.0%</c:formatCode>
                <c:ptCount val="136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  <c:pt idx="90">
                  <c:v>0.16895604395604397</c:v>
                </c:pt>
                <c:pt idx="91">
                  <c:v>0.16734693877551021</c:v>
                </c:pt>
                <c:pt idx="92">
                  <c:v>0.16599190283400811</c:v>
                </c:pt>
                <c:pt idx="93">
                  <c:v>0.1646586345381526</c:v>
                </c:pt>
                <c:pt idx="94">
                  <c:v>0.16402116402116401</c:v>
                </c:pt>
                <c:pt idx="95">
                  <c:v>0.16382699868938402</c:v>
                </c:pt>
                <c:pt idx="96">
                  <c:v>0.16493506493506493</c:v>
                </c:pt>
                <c:pt idx="97">
                  <c:v>0.16365979381443299</c:v>
                </c:pt>
                <c:pt idx="98">
                  <c:v>0.16198979591836735</c:v>
                </c:pt>
                <c:pt idx="99">
                  <c:v>0.16352201257861634</c:v>
                </c:pt>
                <c:pt idx="100">
                  <c:v>0.16417910447761194</c:v>
                </c:pt>
                <c:pt idx="101">
                  <c:v>0.16584766584766586</c:v>
                </c:pt>
                <c:pt idx="102">
                  <c:v>0.16747572815533981</c:v>
                </c:pt>
                <c:pt idx="103">
                  <c:v>0.16586538461538461</c:v>
                </c:pt>
                <c:pt idx="104">
                  <c:v>0.16666666666666666</c:v>
                </c:pt>
                <c:pt idx="105">
                  <c:v>0.16686251468860164</c:v>
                </c:pt>
                <c:pt idx="106">
                  <c:v>0.17053364269141533</c:v>
                </c:pt>
                <c:pt idx="107">
                  <c:v>0.17031070195627157</c:v>
                </c:pt>
                <c:pt idx="108">
                  <c:v>0.17064846416382254</c:v>
                </c:pt>
                <c:pt idx="109">
                  <c:v>0.17508417508417509</c:v>
                </c:pt>
                <c:pt idx="110">
                  <c:v>0.1757508342602892</c:v>
                </c:pt>
                <c:pt idx="111">
                  <c:v>0.1762114537444934</c:v>
                </c:pt>
                <c:pt idx="112">
                  <c:v>0.17775354416575789</c:v>
                </c:pt>
                <c:pt idx="113">
                  <c:v>0.17659804983748645</c:v>
                </c:pt>
                <c:pt idx="114">
                  <c:v>0.17741935483870969</c:v>
                </c:pt>
                <c:pt idx="115">
                  <c:v>0.17647058823529413</c:v>
                </c:pt>
                <c:pt idx="116">
                  <c:v>0.17634635691657866</c:v>
                </c:pt>
                <c:pt idx="117">
                  <c:v>0.17782426778242677</c:v>
                </c:pt>
                <c:pt idx="118">
                  <c:v>0.17946058091286307</c:v>
                </c:pt>
                <c:pt idx="119">
                  <c:v>0.17985611510791366</c:v>
                </c:pt>
                <c:pt idx="120">
                  <c:v>0.18154158215010141</c:v>
                </c:pt>
                <c:pt idx="121">
                  <c:v>0.18044354838709678</c:v>
                </c:pt>
                <c:pt idx="122">
                  <c:v>0.18118118118118118</c:v>
                </c:pt>
                <c:pt idx="123">
                  <c:v>0.18091451292246521</c:v>
                </c:pt>
                <c:pt idx="124">
                  <c:v>0.18065153010858837</c:v>
                </c:pt>
                <c:pt idx="125">
                  <c:v>0.18029556650246306</c:v>
                </c:pt>
                <c:pt idx="126">
                  <c:v>0.18395303326810175</c:v>
                </c:pt>
                <c:pt idx="127">
                  <c:v>0.18568665377176016</c:v>
                </c:pt>
                <c:pt idx="128">
                  <c:v>0.18486590038314177</c:v>
                </c:pt>
                <c:pt idx="129">
                  <c:v>0.18380952380952381</c:v>
                </c:pt>
                <c:pt idx="130">
                  <c:v>0.18525519848771266</c:v>
                </c:pt>
                <c:pt idx="131">
                  <c:v>0.18497652582159624</c:v>
                </c:pt>
                <c:pt idx="132">
                  <c:v>0.18511627906976744</c:v>
                </c:pt>
                <c:pt idx="133">
                  <c:v>0.18374884579870729</c:v>
                </c:pt>
                <c:pt idx="134">
                  <c:v>0.18190127970749542</c:v>
                </c:pt>
                <c:pt idx="135">
                  <c:v>0.18115942028985507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04490368669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れんたろう2!$N$3:$N$138</c:f>
              <c:numCache>
                <c:formatCode>0.0%</c:formatCode>
                <c:ptCount val="136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  <c:pt idx="90">
                  <c:v>0.54824561403508776</c:v>
                </c:pt>
                <c:pt idx="91">
                  <c:v>0.54741379310344829</c:v>
                </c:pt>
                <c:pt idx="92">
                  <c:v>0.55319148936170215</c:v>
                </c:pt>
                <c:pt idx="93">
                  <c:v>0.55508474576271183</c:v>
                </c:pt>
                <c:pt idx="94">
                  <c:v>0.55648535564853552</c:v>
                </c:pt>
                <c:pt idx="95">
                  <c:v>0.55371900826446285</c:v>
                </c:pt>
                <c:pt idx="96">
                  <c:v>0.55510204081632653</c:v>
                </c:pt>
                <c:pt idx="97">
                  <c:v>0.55510204081632653</c:v>
                </c:pt>
                <c:pt idx="98">
                  <c:v>0.55600000000000005</c:v>
                </c:pt>
                <c:pt idx="99">
                  <c:v>0.55731225296442688</c:v>
                </c:pt>
                <c:pt idx="100">
                  <c:v>0.55731225296442688</c:v>
                </c:pt>
                <c:pt idx="101">
                  <c:v>0.5546875</c:v>
                </c:pt>
                <c:pt idx="102">
                  <c:v>0.55426356589147285</c:v>
                </c:pt>
                <c:pt idx="103">
                  <c:v>0.55598455598455598</c:v>
                </c:pt>
                <c:pt idx="104">
                  <c:v>0.55555555555555558</c:v>
                </c:pt>
                <c:pt idx="105">
                  <c:v>0.5513307984790875</c:v>
                </c:pt>
                <c:pt idx="106">
                  <c:v>0.55430711610486894</c:v>
                </c:pt>
                <c:pt idx="107">
                  <c:v>0.55719557195571956</c:v>
                </c:pt>
                <c:pt idx="108">
                  <c:v>0.5539568345323741</c:v>
                </c:pt>
                <c:pt idx="109">
                  <c:v>0.55197132616487454</c:v>
                </c:pt>
                <c:pt idx="110">
                  <c:v>0.54964539007092195</c:v>
                </c:pt>
                <c:pt idx="111">
                  <c:v>0.55438596491228065</c:v>
                </c:pt>
                <c:pt idx="112">
                  <c:v>0.55208333333333337</c:v>
                </c:pt>
                <c:pt idx="113">
                  <c:v>0.55517241379310345</c:v>
                </c:pt>
                <c:pt idx="114">
                  <c:v>0.55136986301369861</c:v>
                </c:pt>
                <c:pt idx="115">
                  <c:v>0.55136986301369861</c:v>
                </c:pt>
                <c:pt idx="116">
                  <c:v>0.55254237288135588</c:v>
                </c:pt>
                <c:pt idx="117">
                  <c:v>0.55704697986577179</c:v>
                </c:pt>
                <c:pt idx="118">
                  <c:v>0.55666666666666664</c:v>
                </c:pt>
                <c:pt idx="119">
                  <c:v>0.55629139072847678</c:v>
                </c:pt>
                <c:pt idx="120">
                  <c:v>0.55081967213114758</c:v>
                </c:pt>
                <c:pt idx="121">
                  <c:v>0.55374592833876224</c:v>
                </c:pt>
                <c:pt idx="122">
                  <c:v>0.55374592833876224</c:v>
                </c:pt>
                <c:pt idx="123">
                  <c:v>0.55339805825242716</c:v>
                </c:pt>
                <c:pt idx="124">
                  <c:v>0.54983922829581988</c:v>
                </c:pt>
                <c:pt idx="125">
                  <c:v>0.54983922829581988</c:v>
                </c:pt>
                <c:pt idx="126">
                  <c:v>0.54983922829581988</c:v>
                </c:pt>
                <c:pt idx="127">
                  <c:v>0.55095541401273884</c:v>
                </c:pt>
                <c:pt idx="128">
                  <c:v>0.54889589905362779</c:v>
                </c:pt>
                <c:pt idx="129">
                  <c:v>0.55312499999999998</c:v>
                </c:pt>
                <c:pt idx="130">
                  <c:v>0.5496894409937888</c:v>
                </c:pt>
                <c:pt idx="131">
                  <c:v>0.5496894409937888</c:v>
                </c:pt>
                <c:pt idx="132">
                  <c:v>0.54938271604938271</c:v>
                </c:pt>
                <c:pt idx="133">
                  <c:v>0.55076923076923079</c:v>
                </c:pt>
                <c:pt idx="134">
                  <c:v>0.54878048780487809</c:v>
                </c:pt>
                <c:pt idx="135">
                  <c:v>0.54848484848484846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496702181633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れんたろう2!$O$3:$O$138</c:f>
              <c:numCache>
                <c:formatCode>0.0%</c:formatCode>
                <c:ptCount val="136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  <c:pt idx="90">
                  <c:v>0.3983739837398374</c:v>
                </c:pt>
                <c:pt idx="91">
                  <c:v>0.3983739837398374</c:v>
                </c:pt>
                <c:pt idx="92">
                  <c:v>0.3983739837398374</c:v>
                </c:pt>
                <c:pt idx="93">
                  <c:v>0.3983739837398374</c:v>
                </c:pt>
                <c:pt idx="94">
                  <c:v>0.39516129032258063</c:v>
                </c:pt>
                <c:pt idx="95">
                  <c:v>0.4</c:v>
                </c:pt>
                <c:pt idx="96">
                  <c:v>0.39370078740157483</c:v>
                </c:pt>
                <c:pt idx="97">
                  <c:v>0.39370078740157483</c:v>
                </c:pt>
                <c:pt idx="98">
                  <c:v>0.39370078740157483</c:v>
                </c:pt>
                <c:pt idx="99">
                  <c:v>0.3923076923076923</c:v>
                </c:pt>
                <c:pt idx="100">
                  <c:v>0.39393939393939392</c:v>
                </c:pt>
                <c:pt idx="101">
                  <c:v>0.3925925925925926</c:v>
                </c:pt>
                <c:pt idx="102">
                  <c:v>0.39130434782608697</c:v>
                </c:pt>
                <c:pt idx="103">
                  <c:v>0.39130434782608697</c:v>
                </c:pt>
                <c:pt idx="104">
                  <c:v>0.38571428571428573</c:v>
                </c:pt>
                <c:pt idx="105">
                  <c:v>0.38028169014084506</c:v>
                </c:pt>
                <c:pt idx="106">
                  <c:v>0.37414965986394561</c:v>
                </c:pt>
                <c:pt idx="107">
                  <c:v>0.3783783783783784</c:v>
                </c:pt>
                <c:pt idx="108">
                  <c:v>0.37333333333333335</c:v>
                </c:pt>
                <c:pt idx="109">
                  <c:v>0.37820512820512819</c:v>
                </c:pt>
                <c:pt idx="110">
                  <c:v>0.38607594936708861</c:v>
                </c:pt>
                <c:pt idx="111">
                  <c:v>0.39374999999999999</c:v>
                </c:pt>
                <c:pt idx="112">
                  <c:v>0.3987730061349693</c:v>
                </c:pt>
                <c:pt idx="113">
                  <c:v>0.3987730061349693</c:v>
                </c:pt>
                <c:pt idx="114">
                  <c:v>0.4</c:v>
                </c:pt>
                <c:pt idx="115">
                  <c:v>0.4</c:v>
                </c:pt>
                <c:pt idx="116">
                  <c:v>0.39520958083832336</c:v>
                </c:pt>
                <c:pt idx="117">
                  <c:v>0.39411764705882352</c:v>
                </c:pt>
                <c:pt idx="118">
                  <c:v>0.40462427745664742</c:v>
                </c:pt>
                <c:pt idx="119">
                  <c:v>0.4</c:v>
                </c:pt>
                <c:pt idx="120">
                  <c:v>0.4022346368715084</c:v>
                </c:pt>
                <c:pt idx="121">
                  <c:v>0.4022346368715084</c:v>
                </c:pt>
                <c:pt idx="122">
                  <c:v>0.40331491712707185</c:v>
                </c:pt>
                <c:pt idx="123">
                  <c:v>0.40109890109890112</c:v>
                </c:pt>
                <c:pt idx="124">
                  <c:v>0.39890710382513661</c:v>
                </c:pt>
                <c:pt idx="125">
                  <c:v>0.39890710382513661</c:v>
                </c:pt>
                <c:pt idx="126">
                  <c:v>0.39361702127659576</c:v>
                </c:pt>
                <c:pt idx="127">
                  <c:v>0.390625</c:v>
                </c:pt>
                <c:pt idx="128">
                  <c:v>0.38860103626943004</c:v>
                </c:pt>
                <c:pt idx="129">
                  <c:v>0.38860103626943004</c:v>
                </c:pt>
                <c:pt idx="130">
                  <c:v>0.38265306122448978</c:v>
                </c:pt>
                <c:pt idx="131">
                  <c:v>0.38071065989847713</c:v>
                </c:pt>
                <c:pt idx="132">
                  <c:v>0.37688442211055279</c:v>
                </c:pt>
                <c:pt idx="133">
                  <c:v>0.37688442211055279</c:v>
                </c:pt>
                <c:pt idx="134">
                  <c:v>0.37688442211055279</c:v>
                </c:pt>
                <c:pt idx="13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46124244090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れんたろう2!$A$3:$A$138</c:f>
              <c:numCache>
                <c:formatCode>0\ "回"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れんたろう2!$P$3:$P$138</c:f>
              <c:numCache>
                <c:formatCode>0.0%</c:formatCode>
                <c:ptCount val="136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  <c:pt idx="90">
                  <c:v>0.52475247524752477</c:v>
                </c:pt>
                <c:pt idx="91">
                  <c:v>0.52941176470588236</c:v>
                </c:pt>
                <c:pt idx="92">
                  <c:v>0.52403846153846156</c:v>
                </c:pt>
                <c:pt idx="93">
                  <c:v>0.52153110047846885</c:v>
                </c:pt>
                <c:pt idx="94">
                  <c:v>0.52606635071090047</c:v>
                </c:pt>
                <c:pt idx="95">
                  <c:v>0.52336448598130836</c:v>
                </c:pt>
                <c:pt idx="96">
                  <c:v>0.52314814814814814</c:v>
                </c:pt>
                <c:pt idx="97">
                  <c:v>0.52534562211981561</c:v>
                </c:pt>
                <c:pt idx="98">
                  <c:v>0.51818181818181819</c:v>
                </c:pt>
                <c:pt idx="99">
                  <c:v>0.5246636771300448</c:v>
                </c:pt>
                <c:pt idx="100">
                  <c:v>0.5223214285714286</c:v>
                </c:pt>
                <c:pt idx="101">
                  <c:v>0.52212389380530977</c:v>
                </c:pt>
                <c:pt idx="102">
                  <c:v>0.52631578947368418</c:v>
                </c:pt>
                <c:pt idx="103">
                  <c:v>0.52813852813852813</c:v>
                </c:pt>
                <c:pt idx="104">
                  <c:v>0.52360515021459231</c:v>
                </c:pt>
                <c:pt idx="105">
                  <c:v>0.52360515021459231</c:v>
                </c:pt>
                <c:pt idx="106">
                  <c:v>0.51898734177215189</c:v>
                </c:pt>
                <c:pt idx="107">
                  <c:v>0.51867219917012453</c:v>
                </c:pt>
                <c:pt idx="108">
                  <c:v>0.51229508196721307</c:v>
                </c:pt>
                <c:pt idx="109">
                  <c:v>0.50806451612903225</c:v>
                </c:pt>
                <c:pt idx="110">
                  <c:v>0.50597609561752988</c:v>
                </c:pt>
                <c:pt idx="111">
                  <c:v>0.50390625</c:v>
                </c:pt>
                <c:pt idx="112">
                  <c:v>0.49806949806949807</c:v>
                </c:pt>
                <c:pt idx="113">
                  <c:v>0.49808429118773945</c:v>
                </c:pt>
                <c:pt idx="114">
                  <c:v>0.49809885931558934</c:v>
                </c:pt>
                <c:pt idx="115">
                  <c:v>0.49809885931558934</c:v>
                </c:pt>
                <c:pt idx="116">
                  <c:v>0.5</c:v>
                </c:pt>
                <c:pt idx="117">
                  <c:v>0.50553505535055354</c:v>
                </c:pt>
                <c:pt idx="118">
                  <c:v>0.50545454545454549</c:v>
                </c:pt>
                <c:pt idx="119">
                  <c:v>0.50724637681159424</c:v>
                </c:pt>
                <c:pt idx="120">
                  <c:v>0.5071942446043165</c:v>
                </c:pt>
                <c:pt idx="121">
                  <c:v>0.50714285714285712</c:v>
                </c:pt>
                <c:pt idx="122">
                  <c:v>0.50533807829181498</c:v>
                </c:pt>
                <c:pt idx="123">
                  <c:v>0.50176678445229683</c:v>
                </c:pt>
                <c:pt idx="124">
                  <c:v>0.50176678445229683</c:v>
                </c:pt>
                <c:pt idx="125">
                  <c:v>0.50176678445229683</c:v>
                </c:pt>
                <c:pt idx="126">
                  <c:v>0.50352112676056338</c:v>
                </c:pt>
                <c:pt idx="127">
                  <c:v>0.50871080139372826</c:v>
                </c:pt>
                <c:pt idx="128">
                  <c:v>0.51041666666666663</c:v>
                </c:pt>
                <c:pt idx="129">
                  <c:v>0.51202749140893467</c:v>
                </c:pt>
                <c:pt idx="130">
                  <c:v>0.51369863013698636</c:v>
                </c:pt>
                <c:pt idx="131">
                  <c:v>0.51369863013698636</c:v>
                </c:pt>
                <c:pt idx="132">
                  <c:v>0.51194539249146753</c:v>
                </c:pt>
                <c:pt idx="133">
                  <c:v>0.51351351351351349</c:v>
                </c:pt>
                <c:pt idx="134">
                  <c:v>0.51</c:v>
                </c:pt>
                <c:pt idx="135">
                  <c:v>0.5082508250825083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6753246753246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8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5" x14ac:dyDescent="0.45">
      <c r="A97" s="28" t="s">
        <v>303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5" x14ac:dyDescent="0.45">
      <c r="A98" s="28" t="s">
        <v>304</v>
      </c>
      <c r="B98" s="29">
        <v>43848.686238425929</v>
      </c>
      <c r="C98" s="28" t="s">
        <v>128</v>
      </c>
      <c r="D98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936</v>
      </c>
    </row>
    <row r="2" spans="1:2" x14ac:dyDescent="0.45">
      <c r="A2" t="s">
        <v>161</v>
      </c>
      <c r="B2">
        <v>83</v>
      </c>
    </row>
    <row r="3" spans="1:2" x14ac:dyDescent="0.45">
      <c r="A3" t="s">
        <v>126</v>
      </c>
      <c r="B3">
        <v>185</v>
      </c>
    </row>
    <row r="4" spans="1:2" x14ac:dyDescent="0.45">
      <c r="A4" t="s">
        <v>127</v>
      </c>
      <c r="B4">
        <v>165</v>
      </c>
    </row>
    <row r="5" spans="1:2" x14ac:dyDescent="0.45">
      <c r="A5" t="s">
        <v>172</v>
      </c>
      <c r="B5">
        <v>100</v>
      </c>
    </row>
    <row r="6" spans="1:2" x14ac:dyDescent="0.45">
      <c r="A6" t="s">
        <v>170</v>
      </c>
      <c r="B6">
        <v>135</v>
      </c>
    </row>
    <row r="7" spans="1:2" x14ac:dyDescent="0.45">
      <c r="A7" t="s">
        <v>171</v>
      </c>
      <c r="B7">
        <v>146</v>
      </c>
    </row>
    <row r="8" spans="1:2" x14ac:dyDescent="0.45">
      <c r="A8" t="s">
        <v>197</v>
      </c>
      <c r="B8">
        <v>62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>
      <selection activeCell="A2" sqref="A2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0.96944877613827396</v>
      </c>
      <c r="G2" s="167"/>
      <c r="H2" s="166">
        <v>0.84255566273157756</v>
      </c>
      <c r="I2" s="167"/>
      <c r="J2" s="166">
        <v>0.90372985974814846</v>
      </c>
      <c r="K2" s="167"/>
      <c r="L2" s="166">
        <v>0.48386097327281957</v>
      </c>
      <c r="M2" s="167"/>
      <c r="N2" s="166">
        <v>0.60353848350843964</v>
      </c>
      <c r="O2" s="167"/>
      <c r="P2" s="166">
        <v>0.45968334700991215</v>
      </c>
      <c r="Q2" s="167"/>
      <c r="R2" s="166">
        <v>0.20611966033327933</v>
      </c>
      <c r="S2" s="167"/>
      <c r="T2" s="166">
        <v>0.3934999041826106</v>
      </c>
      <c r="U2" s="167"/>
      <c r="V2" s="166">
        <v>0.42787941240005511</v>
      </c>
      <c r="W2" s="167"/>
      <c r="X2" s="166">
        <v>7.9367567211460391E-2</v>
      </c>
      <c r="Y2" s="167"/>
      <c r="Z2" s="166">
        <v>0.37147977449029246</v>
      </c>
      <c r="AA2" s="167"/>
      <c r="AB2" s="166">
        <v>-3.2787675753016686E-2</v>
      </c>
      <c r="AC2" s="167"/>
      <c r="AD2" s="166">
        <v>-5.0570532367299983E-2</v>
      </c>
      <c r="AE2" s="167"/>
      <c r="AF2" s="166">
        <v>0.85619152297191037</v>
      </c>
      <c r="AG2" s="167"/>
    </row>
    <row r="3" spans="1:33" x14ac:dyDescent="0.45">
      <c r="A3" s="70">
        <v>1</v>
      </c>
      <c r="B3" s="71" t="s">
        <v>126</v>
      </c>
      <c r="C3" s="72">
        <v>1594.7999999999997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10919.141914191419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548.60000000000048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0.24864864864864866</v>
      </c>
      <c r="L4" s="81" t="s">
        <v>281</v>
      </c>
      <c r="M4" s="84">
        <v>0.37681159420289856</v>
      </c>
      <c r="N4" s="81" t="s">
        <v>126</v>
      </c>
      <c r="O4" s="84">
        <v>0.1287779237844941</v>
      </c>
      <c r="P4" s="81" t="s">
        <v>281</v>
      </c>
      <c r="Q4" s="85">
        <v>9534.6153846153848</v>
      </c>
      <c r="R4" s="81" t="s">
        <v>171</v>
      </c>
      <c r="S4" s="85">
        <v>-6992.0731707317073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0.5082508250825083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8.6205405405405386</v>
      </c>
      <c r="F5" s="81" t="s">
        <v>126</v>
      </c>
      <c r="G5" s="82">
        <v>1.7891891891891891</v>
      </c>
      <c r="H5" s="81" t="s">
        <v>126</v>
      </c>
      <c r="I5" s="83">
        <v>0.45945945945945948</v>
      </c>
      <c r="J5" s="81" t="s">
        <v>171</v>
      </c>
      <c r="K5" s="83">
        <v>0.29452054794520549</v>
      </c>
      <c r="L5" s="81" t="s">
        <v>274</v>
      </c>
      <c r="M5" s="84">
        <v>0.3559322033898305</v>
      </c>
      <c r="N5" s="81" t="s">
        <v>171</v>
      </c>
      <c r="O5" s="84">
        <v>0.13874788494077833</v>
      </c>
      <c r="P5" s="81" t="s">
        <v>280</v>
      </c>
      <c r="Q5" s="85">
        <v>8512.5</v>
      </c>
      <c r="R5" s="81" t="s">
        <v>161</v>
      </c>
      <c r="S5" s="85">
        <v>-7683.0508474576272</v>
      </c>
      <c r="T5" s="81" t="s">
        <v>126</v>
      </c>
      <c r="U5" s="83">
        <v>4.3243243243243246E-2</v>
      </c>
      <c r="V5" s="81" t="s">
        <v>274</v>
      </c>
      <c r="W5" s="84">
        <v>0.30508474576271188</v>
      </c>
      <c r="X5" s="81" t="s">
        <v>127</v>
      </c>
      <c r="Y5" s="84">
        <v>0.30320699708454812</v>
      </c>
      <c r="Z5" s="81" t="s">
        <v>196</v>
      </c>
      <c r="AA5" s="84">
        <v>0.59677419354838712</v>
      </c>
      <c r="AB5" s="81" t="s">
        <v>126</v>
      </c>
      <c r="AC5" s="84">
        <v>0.48618784530386738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4.0637037037037071</v>
      </c>
      <c r="F6" s="81" t="s">
        <v>170</v>
      </c>
      <c r="G6" s="82">
        <v>1.9185185185185185</v>
      </c>
      <c r="H6" s="81" t="s">
        <v>228</v>
      </c>
      <c r="I6" s="83">
        <v>0.42857142857142855</v>
      </c>
      <c r="J6" s="81" t="s">
        <v>170</v>
      </c>
      <c r="K6" s="83">
        <v>0.31851851851851853</v>
      </c>
      <c r="L6" s="81" t="s">
        <v>126</v>
      </c>
      <c r="M6" s="84">
        <v>0.34231274638633374</v>
      </c>
      <c r="N6" s="81" t="s">
        <v>161</v>
      </c>
      <c r="O6" s="84">
        <v>0.16054421768707483</v>
      </c>
      <c r="P6" s="81" t="s">
        <v>196</v>
      </c>
      <c r="Q6" s="85">
        <v>8385.7142857142862</v>
      </c>
      <c r="R6" s="81" t="s">
        <v>141</v>
      </c>
      <c r="S6" s="85">
        <v>-7791.7061611374411</v>
      </c>
      <c r="T6" s="81" t="s">
        <v>171</v>
      </c>
      <c r="U6" s="83">
        <v>6.8493150684931503E-2</v>
      </c>
      <c r="V6" s="81" t="s">
        <v>170</v>
      </c>
      <c r="W6" s="84">
        <v>0.29891304347826086</v>
      </c>
      <c r="X6" s="81" t="s">
        <v>161</v>
      </c>
      <c r="Y6" s="84">
        <v>0.25578231292517006</v>
      </c>
      <c r="Z6" s="81" t="s">
        <v>126</v>
      </c>
      <c r="AA6" s="84">
        <v>0.5866336633663366</v>
      </c>
      <c r="AB6" s="81" t="s">
        <v>281</v>
      </c>
      <c r="AC6" s="84">
        <v>0.45454545454545453</v>
      </c>
      <c r="AD6" s="81" t="s">
        <v>172</v>
      </c>
      <c r="AE6" s="84">
        <v>0.46724890829694321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-6.3948846218409017E-14</v>
      </c>
      <c r="D7" s="81" t="s">
        <v>141</v>
      </c>
      <c r="E7" s="93">
        <v>-6.8321416900009637E-17</v>
      </c>
      <c r="F7" s="81" t="s">
        <v>127</v>
      </c>
      <c r="G7" s="82">
        <v>1.9818181818181819</v>
      </c>
      <c r="H7" s="81" t="s">
        <v>170</v>
      </c>
      <c r="I7" s="83">
        <v>0.4</v>
      </c>
      <c r="J7" s="81" t="s">
        <v>127</v>
      </c>
      <c r="K7" s="83">
        <v>0.32121212121212123</v>
      </c>
      <c r="L7" s="81" t="s">
        <v>127</v>
      </c>
      <c r="M7" s="84">
        <v>0.30976676384839652</v>
      </c>
      <c r="N7" s="81" t="s">
        <v>141</v>
      </c>
      <c r="O7" s="84">
        <v>0.16150019135093763</v>
      </c>
      <c r="P7" s="81" t="s">
        <v>141</v>
      </c>
      <c r="Q7" s="85">
        <v>8383.4632034632032</v>
      </c>
      <c r="R7" s="81" t="s">
        <v>172</v>
      </c>
      <c r="S7" s="85">
        <v>-7813.9240506329115</v>
      </c>
      <c r="T7" s="81" t="s">
        <v>161</v>
      </c>
      <c r="U7" s="83">
        <v>7.2289156626506021E-2</v>
      </c>
      <c r="V7" s="81" t="s">
        <v>172</v>
      </c>
      <c r="W7" s="84">
        <v>0.27346465816917731</v>
      </c>
      <c r="X7" s="81" t="s">
        <v>126</v>
      </c>
      <c r="Y7" s="84">
        <v>0.23784494086727989</v>
      </c>
      <c r="Z7" s="81" t="s">
        <v>171</v>
      </c>
      <c r="AA7" s="84">
        <v>0.55555555555555558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171</v>
      </c>
      <c r="C8" s="80">
        <v>-28.099999999999977</v>
      </c>
      <c r="D8" s="81" t="s">
        <v>171</v>
      </c>
      <c r="E8" s="93">
        <v>-0.19246575342465738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0.29468044393417525</v>
      </c>
      <c r="N8" s="81" t="s">
        <v>274</v>
      </c>
      <c r="O8" s="84">
        <v>0.16949152542372881</v>
      </c>
      <c r="P8" s="81" t="s">
        <v>171</v>
      </c>
      <c r="Q8" s="85">
        <v>8336.3363363363369</v>
      </c>
      <c r="R8" s="81" t="s">
        <v>126</v>
      </c>
      <c r="S8" s="85">
        <v>-7815.8163265306121</v>
      </c>
      <c r="T8" s="81" t="s">
        <v>172</v>
      </c>
      <c r="U8" s="83">
        <v>0.08</v>
      </c>
      <c r="V8" s="81" t="s">
        <v>203</v>
      </c>
      <c r="W8" s="84">
        <v>0.26666666666666666</v>
      </c>
      <c r="X8" s="81" t="s">
        <v>171</v>
      </c>
      <c r="Y8" s="84">
        <v>0.2326565143824027</v>
      </c>
      <c r="Z8" s="81" t="s">
        <v>141</v>
      </c>
      <c r="AA8" s="84">
        <v>0.55149670218163371</v>
      </c>
      <c r="AB8" s="81" t="s">
        <v>171</v>
      </c>
      <c r="AC8" s="84">
        <v>0.42545454545454547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127</v>
      </c>
      <c r="E9" s="93">
        <v>-0.29151515151515267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171</v>
      </c>
      <c r="M9" s="84">
        <v>0.28172588832487311</v>
      </c>
      <c r="N9" s="81" t="s">
        <v>170</v>
      </c>
      <c r="O9" s="84">
        <v>0.17481884057971014</v>
      </c>
      <c r="P9" s="81" t="s">
        <v>126</v>
      </c>
      <c r="Q9" s="85">
        <v>8179.4625719769674</v>
      </c>
      <c r="R9" s="81" t="s">
        <v>170</v>
      </c>
      <c r="S9" s="85">
        <v>-7965.8031088082898</v>
      </c>
      <c r="T9" s="81" t="s">
        <v>141</v>
      </c>
      <c r="U9" s="83">
        <v>9.2948717948717952E-2</v>
      </c>
      <c r="V9" s="81" t="s">
        <v>126</v>
      </c>
      <c r="W9" s="84">
        <v>0.26544021024967146</v>
      </c>
      <c r="X9" s="81" t="s">
        <v>141</v>
      </c>
      <c r="Y9" s="84">
        <v>0.23204490368669473</v>
      </c>
      <c r="Z9" s="81" t="s">
        <v>170</v>
      </c>
      <c r="AA9" s="84">
        <v>0.54848484848484846</v>
      </c>
      <c r="AB9" s="81" t="s">
        <v>141</v>
      </c>
      <c r="AC9" s="84">
        <v>0.4194612424409016</v>
      </c>
      <c r="AD9" s="81" t="s">
        <v>171</v>
      </c>
      <c r="AE9" s="84">
        <v>0.44744744744744747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0.33939393939393941</v>
      </c>
      <c r="J10" s="81" t="s">
        <v>274</v>
      </c>
      <c r="K10" s="83">
        <v>0.38461538461538464</v>
      </c>
      <c r="L10" s="81" t="s">
        <v>161</v>
      </c>
      <c r="M10" s="84">
        <v>0.27755102040816326</v>
      </c>
      <c r="N10" s="81" t="s">
        <v>196</v>
      </c>
      <c r="O10" s="84">
        <v>0.17499999999999999</v>
      </c>
      <c r="P10" s="81" t="s">
        <v>197</v>
      </c>
      <c r="Q10" s="85">
        <v>8070.1492537313434</v>
      </c>
      <c r="R10" s="81" t="s">
        <v>280</v>
      </c>
      <c r="S10" s="85">
        <v>-7987.5</v>
      </c>
      <c r="T10" s="81" t="s">
        <v>127</v>
      </c>
      <c r="U10" s="83">
        <v>0.10909090909090909</v>
      </c>
      <c r="V10" s="81" t="s">
        <v>171</v>
      </c>
      <c r="W10" s="84">
        <v>0.25888324873096447</v>
      </c>
      <c r="X10" s="81" t="s">
        <v>197</v>
      </c>
      <c r="Y10" s="84">
        <v>0.22823984526112184</v>
      </c>
      <c r="Z10" s="81" t="s">
        <v>172</v>
      </c>
      <c r="AA10" s="84">
        <v>0.53813559322033899</v>
      </c>
      <c r="AB10" s="81" t="s">
        <v>161</v>
      </c>
      <c r="AC10" s="84">
        <v>0.41489361702127658</v>
      </c>
      <c r="AD10" s="81" t="s">
        <v>141</v>
      </c>
      <c r="AE10" s="84">
        <v>0.44675324675324674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127</v>
      </c>
      <c r="C11" s="80">
        <v>-48.100000000000193</v>
      </c>
      <c r="D11" s="81" t="s">
        <v>274</v>
      </c>
      <c r="E11" s="93">
        <v>-3.6615384615384619</v>
      </c>
      <c r="F11" s="81" t="s">
        <v>171</v>
      </c>
      <c r="G11" s="82">
        <v>2.0410958904109591</v>
      </c>
      <c r="H11" s="81" t="s">
        <v>141</v>
      </c>
      <c r="I11" s="83">
        <v>0.33333333333333331</v>
      </c>
      <c r="J11" s="81" t="s">
        <v>172</v>
      </c>
      <c r="K11" s="83">
        <v>0.4</v>
      </c>
      <c r="L11" s="81" t="s">
        <v>170</v>
      </c>
      <c r="M11" s="84">
        <v>0.27445652173913043</v>
      </c>
      <c r="N11" s="81" t="s">
        <v>197</v>
      </c>
      <c r="O11" s="84">
        <v>0.17794970986460348</v>
      </c>
      <c r="P11" s="81" t="s">
        <v>127</v>
      </c>
      <c r="Q11" s="85">
        <v>8017.8823529411766</v>
      </c>
      <c r="R11" s="81" t="s">
        <v>203</v>
      </c>
      <c r="S11" s="85">
        <v>-8000</v>
      </c>
      <c r="T11" s="81" t="s">
        <v>170</v>
      </c>
      <c r="U11" s="83">
        <v>0.11851851851851852</v>
      </c>
      <c r="V11" s="81" t="s">
        <v>196</v>
      </c>
      <c r="W11" s="84">
        <v>0.25833333333333336</v>
      </c>
      <c r="X11" s="81" t="s">
        <v>172</v>
      </c>
      <c r="Y11" s="84">
        <v>0.19119351100811124</v>
      </c>
      <c r="Z11" s="81" t="s">
        <v>228</v>
      </c>
      <c r="AA11" s="84">
        <v>0.53333333333333333</v>
      </c>
      <c r="AB11" s="81" t="s">
        <v>172</v>
      </c>
      <c r="AC11" s="84">
        <v>0.40606060606060607</v>
      </c>
      <c r="AD11" s="81" t="s">
        <v>161</v>
      </c>
      <c r="AE11" s="84">
        <v>0.4264705882352941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280</v>
      </c>
      <c r="C12" s="80">
        <v>-80.800000000000011</v>
      </c>
      <c r="D12" s="81" t="s">
        <v>161</v>
      </c>
      <c r="E12" s="93">
        <v>-6.0590361445783163</v>
      </c>
      <c r="F12" s="81" t="s">
        <v>161</v>
      </c>
      <c r="G12" s="82">
        <v>2.1325301204819276</v>
      </c>
      <c r="H12" s="81" t="s">
        <v>161</v>
      </c>
      <c r="I12" s="83">
        <v>0.30120481927710846</v>
      </c>
      <c r="J12" s="81" t="s">
        <v>196</v>
      </c>
      <c r="K12" s="83">
        <v>0.4</v>
      </c>
      <c r="L12" s="81" t="s">
        <v>172</v>
      </c>
      <c r="M12" s="84">
        <v>0.26535341830822712</v>
      </c>
      <c r="N12" s="81" t="s">
        <v>127</v>
      </c>
      <c r="O12" s="84">
        <v>0.17930029154518951</v>
      </c>
      <c r="P12" s="81" t="s">
        <v>172</v>
      </c>
      <c r="Q12" s="85">
        <v>7835.8078602620089</v>
      </c>
      <c r="R12" s="81" t="s">
        <v>127</v>
      </c>
      <c r="S12" s="85">
        <v>-8018.6991869918702</v>
      </c>
      <c r="T12" s="81" t="s">
        <v>196</v>
      </c>
      <c r="U12" s="83">
        <v>0.12</v>
      </c>
      <c r="V12" s="81" t="s">
        <v>141</v>
      </c>
      <c r="W12" s="84">
        <v>0.25143513203214696</v>
      </c>
      <c r="X12" s="81" t="s">
        <v>170</v>
      </c>
      <c r="Y12" s="84">
        <v>0.18115942028985507</v>
      </c>
      <c r="Z12" s="81" t="s">
        <v>161</v>
      </c>
      <c r="AA12" s="84">
        <v>0.53271028037383172</v>
      </c>
      <c r="AB12" s="81" t="s">
        <v>127</v>
      </c>
      <c r="AC12" s="84">
        <v>0.37980769230769229</v>
      </c>
      <c r="AD12" s="81" t="s">
        <v>126</v>
      </c>
      <c r="AE12" s="84">
        <v>0.42226487523992323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172</v>
      </c>
      <c r="E13" s="93">
        <v>-7.5269999999999992</v>
      </c>
      <c r="F13" s="81" t="s">
        <v>228</v>
      </c>
      <c r="G13" s="82">
        <v>2.1428571428571428</v>
      </c>
      <c r="H13" s="81" t="s">
        <v>171</v>
      </c>
      <c r="I13" s="83">
        <v>0.25342465753424659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0.18308227114716108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0.52293577981651373</v>
      </c>
      <c r="AB13" s="81" t="s">
        <v>170</v>
      </c>
      <c r="AC13" s="84">
        <v>0.375</v>
      </c>
      <c r="AD13" s="81" t="s">
        <v>127</v>
      </c>
      <c r="AE13" s="84">
        <v>0.41411764705882353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-502.90000000000026</v>
      </c>
      <c r="D14" s="81" t="s">
        <v>197</v>
      </c>
      <c r="E14" s="93">
        <v>-10.732258064516131</v>
      </c>
      <c r="F14" s="81" t="s">
        <v>172</v>
      </c>
      <c r="G14" s="82">
        <v>2.19</v>
      </c>
      <c r="H14" s="81" t="s">
        <v>172</v>
      </c>
      <c r="I14" s="83">
        <v>0.21</v>
      </c>
      <c r="J14" s="81" t="s">
        <v>161</v>
      </c>
      <c r="K14" s="83">
        <v>0.43373493975903615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0.2325072886297376</v>
      </c>
      <c r="X14" s="81" t="s">
        <v>196</v>
      </c>
      <c r="Y14" s="84">
        <v>0.15</v>
      </c>
      <c r="Z14" s="81" t="s">
        <v>127</v>
      </c>
      <c r="AA14" s="84">
        <v>0.51410658307210033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-665.40000000000009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0.43548387096774194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7152.9411764705883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-752.69999999999993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0.14557823129251701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3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936</v>
      </c>
      <c r="C2" s="155"/>
      <c r="E2" s="58" t="s">
        <v>66</v>
      </c>
      <c r="F2" s="55" t="s">
        <v>22</v>
      </c>
      <c r="G2" s="43">
        <v>1737</v>
      </c>
      <c r="H2" s="128">
        <f>IF(B$15=0,0,G2/B$15)</f>
        <v>0.75194805194805192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-28.938906752411576</v>
      </c>
      <c r="P2" s="114">
        <v>933</v>
      </c>
      <c r="Q2" s="98">
        <v>-27000</v>
      </c>
    </row>
    <row r="3" spans="1:17" x14ac:dyDescent="0.45">
      <c r="A3" s="51" t="s">
        <v>8</v>
      </c>
      <c r="B3" s="156">
        <v>7839</v>
      </c>
      <c r="C3" s="157"/>
      <c r="E3" s="59" t="s">
        <v>72</v>
      </c>
      <c r="F3" s="56" t="s">
        <v>27</v>
      </c>
      <c r="G3" s="44">
        <v>1248</v>
      </c>
      <c r="H3" s="129">
        <f>IF(B$15=0,0,G3/B$15)</f>
        <v>0.54025974025974022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8.686210640608035</v>
      </c>
      <c r="P3" s="115">
        <v>921</v>
      </c>
      <c r="Q3" s="99">
        <v>8000</v>
      </c>
    </row>
    <row r="4" spans="1:17" x14ac:dyDescent="0.45">
      <c r="A4" s="51" t="s">
        <v>6</v>
      </c>
      <c r="B4" s="158">
        <v>-6.3948846218409017E-14</v>
      </c>
      <c r="C4" s="159"/>
      <c r="E4" s="59" t="s">
        <v>64</v>
      </c>
      <c r="F4" s="56" t="s">
        <v>20</v>
      </c>
      <c r="G4" s="44">
        <v>1050</v>
      </c>
      <c r="H4" s="129">
        <f>IF(B$15=0,0,G4/B$15)</f>
        <v>0.45454545454545453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-2.306805074971165</v>
      </c>
      <c r="P4" s="115">
        <v>867</v>
      </c>
      <c r="Q4" s="99">
        <v>-2000</v>
      </c>
    </row>
    <row r="5" spans="1:17" x14ac:dyDescent="0.45">
      <c r="A5" s="51" t="s">
        <v>7</v>
      </c>
      <c r="B5" s="160">
        <f>IF(B$2=0,0,B$4/B$2)</f>
        <v>-6.8321416900009637E-17</v>
      </c>
      <c r="C5" s="161"/>
      <c r="E5" s="59" t="s">
        <v>166</v>
      </c>
      <c r="F5" s="56" t="s">
        <v>167</v>
      </c>
      <c r="G5" s="44">
        <v>901</v>
      </c>
      <c r="H5" s="129">
        <f>IF(B$15=0,0,G5/B$15)</f>
        <v>0.39004329004329003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6.1274509803921573</v>
      </c>
      <c r="P5" s="115">
        <v>816</v>
      </c>
      <c r="Q5" s="99">
        <v>5000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715</v>
      </c>
      <c r="H6" s="129">
        <f>IF(B$15=0,0,G6/B$15)</f>
        <v>0.30952380952380953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5.3120849933598935</v>
      </c>
      <c r="P6" s="115">
        <v>753</v>
      </c>
      <c r="Q6" s="99">
        <v>4000</v>
      </c>
    </row>
    <row r="7" spans="1:17" x14ac:dyDescent="0.45">
      <c r="A7" s="51" t="s">
        <v>2</v>
      </c>
      <c r="B7" s="44">
        <v>312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642</v>
      </c>
      <c r="H7" s="129">
        <f>IF(B$15=0,0,G7/B$15)</f>
        <v>0.2779220779220779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15.94896331738437</v>
      </c>
      <c r="P7" s="116">
        <v>627</v>
      </c>
      <c r="Q7" s="100">
        <v>10000</v>
      </c>
    </row>
    <row r="8" spans="1:17" x14ac:dyDescent="0.45">
      <c r="A8" s="51" t="s">
        <v>3</v>
      </c>
      <c r="B8" s="44">
        <v>312</v>
      </c>
      <c r="C8" s="37">
        <f t="shared" si="1"/>
        <v>0.33333333333333331</v>
      </c>
      <c r="E8" s="59" t="s">
        <v>69</v>
      </c>
      <c r="F8" s="56" t="s">
        <v>24</v>
      </c>
      <c r="G8" s="44">
        <v>329</v>
      </c>
      <c r="H8" s="129">
        <f>IF(B$15=0,0,G8/B$15)</f>
        <v>0.14242424242424243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312</v>
      </c>
      <c r="C9" s="38">
        <f t="shared" si="1"/>
        <v>0.33333333333333331</v>
      </c>
      <c r="E9" s="59" t="s">
        <v>89</v>
      </c>
      <c r="F9" s="56" t="s">
        <v>44</v>
      </c>
      <c r="G9" s="44">
        <v>319</v>
      </c>
      <c r="H9" s="129">
        <f>IF(B$15=0,0,G9/B$15)</f>
        <v>0.1380952380952381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87</v>
      </c>
      <c r="C10" s="40">
        <f t="shared" si="1"/>
        <v>9.2948717948717952E-2</v>
      </c>
      <c r="E10" s="59" t="s">
        <v>65</v>
      </c>
      <c r="F10" s="56" t="s">
        <v>21</v>
      </c>
      <c r="G10" s="44">
        <v>241</v>
      </c>
      <c r="H10" s="129">
        <f>IF(B$15=0,0,G10/B$15)</f>
        <v>0.10432900432900433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-3.8525641025641018</v>
      </c>
      <c r="P10" s="114">
        <v>312</v>
      </c>
      <c r="Q10" s="102">
        <v>-1201.9999999999998</v>
      </c>
    </row>
    <row r="11" spans="1:17" x14ac:dyDescent="0.45">
      <c r="A11" s="54" t="s">
        <v>121</v>
      </c>
      <c r="B11" s="47">
        <v>1971</v>
      </c>
      <c r="C11" s="42">
        <f>IF(B$3=0,0,B11/B$3)</f>
        <v>0.25143513203214696</v>
      </c>
      <c r="E11" s="59" t="s">
        <v>70</v>
      </c>
      <c r="F11" s="56" t="s">
        <v>25</v>
      </c>
      <c r="G11" s="44">
        <v>210</v>
      </c>
      <c r="H11" s="129">
        <f>IF(B$15=0,0,G11/B$15)</f>
        <v>9.0909090909090912E-2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0.80064102564102591</v>
      </c>
      <c r="P11" s="115">
        <v>312</v>
      </c>
      <c r="Q11" s="103">
        <v>249.80000000000007</v>
      </c>
    </row>
    <row r="12" spans="1:17" x14ac:dyDescent="0.45">
      <c r="A12" s="51" t="s">
        <v>118</v>
      </c>
      <c r="B12" s="44">
        <v>1819</v>
      </c>
      <c r="C12" s="37">
        <f>IF(B$3=0,0,B12/B$3)</f>
        <v>0.23204490368669473</v>
      </c>
      <c r="E12" s="59" t="s">
        <v>71</v>
      </c>
      <c r="F12" s="56" t="s">
        <v>26</v>
      </c>
      <c r="G12" s="44">
        <v>183</v>
      </c>
      <c r="H12" s="129">
        <f>IF(B$15=0,0,G12/B$15)</f>
        <v>7.9220779220779219E-2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3.0519230769230754</v>
      </c>
      <c r="P12" s="116">
        <v>312</v>
      </c>
      <c r="Q12" s="104">
        <v>952.19999999999959</v>
      </c>
    </row>
    <row r="13" spans="1:17" x14ac:dyDescent="0.45">
      <c r="A13" s="50" t="s">
        <v>123</v>
      </c>
      <c r="B13" s="43">
        <f>B19</f>
        <v>1087</v>
      </c>
      <c r="C13" s="35">
        <f>IF(B$11=0,0,B13/B$11)</f>
        <v>0.55149670218163371</v>
      </c>
      <c r="E13" s="59" t="s">
        <v>86</v>
      </c>
      <c r="F13" s="56" t="s">
        <v>41</v>
      </c>
      <c r="G13" s="44">
        <v>117</v>
      </c>
      <c r="H13" s="129">
        <f>IF(B$15=0,0,G13/B$15)</f>
        <v>5.0649350649350652E-2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763</v>
      </c>
      <c r="C14" s="35">
        <f>IF(B$12=0,0,B14/B$12)</f>
        <v>0.4194612424409016</v>
      </c>
      <c r="E14" s="59" t="s">
        <v>83</v>
      </c>
      <c r="F14" s="56" t="s">
        <v>38</v>
      </c>
      <c r="G14" s="44">
        <v>116</v>
      </c>
      <c r="H14" s="129">
        <f>IF(B$15=0,0,G14/B$15)</f>
        <v>5.0216450216450215E-2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2310</v>
      </c>
      <c r="C15" s="35">
        <f>IF(B$3=0,0,B15/B$3)</f>
        <v>0.29468044393417525</v>
      </c>
      <c r="E15" s="59" t="s">
        <v>78</v>
      </c>
      <c r="F15" s="56" t="s">
        <v>33</v>
      </c>
      <c r="G15" s="44">
        <v>65</v>
      </c>
      <c r="H15" s="129">
        <f>IF(B$15=0,0,G15/B$15)</f>
        <v>2.813852813852814E-2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1266</v>
      </c>
      <c r="C16" s="37">
        <f>IF(B$3=0,0,B16/B$3)</f>
        <v>0.16150019135093763</v>
      </c>
      <c r="E16" s="59" t="s">
        <v>81</v>
      </c>
      <c r="F16" s="56" t="s">
        <v>36</v>
      </c>
      <c r="G16" s="44">
        <v>49</v>
      </c>
      <c r="H16" s="129">
        <f>IF(B$15=0,0,G16/B$15)</f>
        <v>2.1212121212121213E-2</v>
      </c>
      <c r="I16" s="90">
        <v>4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1032</v>
      </c>
      <c r="C17" s="37">
        <f>IF(B$15=0,0,B17/B$15)</f>
        <v>0.44675324675324674</v>
      </c>
      <c r="E17" s="59" t="s">
        <v>162</v>
      </c>
      <c r="F17" s="56" t="s">
        <v>163</v>
      </c>
      <c r="G17" s="44">
        <v>49</v>
      </c>
      <c r="H17" s="129">
        <f>IF(B$15=0,0,G17/B$15)</f>
        <v>2.1212121212121213E-2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5">
      <c r="A18" s="51" t="s">
        <v>11</v>
      </c>
      <c r="B18" s="44">
        <v>1278</v>
      </c>
      <c r="C18" s="37">
        <f>IF(B$15=0,0,B18/B$15)</f>
        <v>0.55324675324675321</v>
      </c>
      <c r="E18" s="59" t="s">
        <v>91</v>
      </c>
      <c r="F18" s="56" t="s">
        <v>46</v>
      </c>
      <c r="G18" s="44">
        <v>35</v>
      </c>
      <c r="H18" s="129">
        <f>IF(B$15=0,0,G18/B$15)</f>
        <v>1.5151515151515152E-2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11.290499999999994</v>
      </c>
      <c r="P18" s="115">
        <v>200</v>
      </c>
      <c r="Q18" s="103">
        <v>2258.099999999999</v>
      </c>
    </row>
    <row r="19" spans="1:17" x14ac:dyDescent="0.45">
      <c r="A19" s="51" t="s">
        <v>195</v>
      </c>
      <c r="B19" s="44">
        <v>1087</v>
      </c>
      <c r="C19" s="37">
        <f>IF(B$15=0,0,B19/B$15)</f>
        <v>0.47056277056277057</v>
      </c>
      <c r="E19" s="59" t="s">
        <v>79</v>
      </c>
      <c r="F19" s="56" t="s">
        <v>34</v>
      </c>
      <c r="G19" s="44">
        <v>32</v>
      </c>
      <c r="H19" s="129">
        <f>IF(B$15=0,0,G19/B$15)</f>
        <v>1.3852813852813853E-2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6.5340659340659268</v>
      </c>
      <c r="P19" s="115">
        <v>182</v>
      </c>
      <c r="Q19" s="103">
        <v>1189.1999999999987</v>
      </c>
    </row>
    <row r="20" spans="1:17" x14ac:dyDescent="0.45">
      <c r="A20" s="51" t="s">
        <v>193</v>
      </c>
      <c r="B20" s="44">
        <v>763</v>
      </c>
      <c r="C20" s="37">
        <f>IF(B$15=0,0,B20/B$15)</f>
        <v>0.33030303030303032</v>
      </c>
      <c r="E20" s="59" t="s">
        <v>75</v>
      </c>
      <c r="F20" s="56" t="s">
        <v>30</v>
      </c>
      <c r="G20" s="44">
        <v>18</v>
      </c>
      <c r="H20" s="129">
        <f>IF(B$15=0,0,G20/B$15)</f>
        <v>7.7922077922077922E-3</v>
      </c>
      <c r="I20" s="90">
        <v>6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5">
      <c r="A21" s="51" t="s">
        <v>194</v>
      </c>
      <c r="B21" s="44">
        <v>460</v>
      </c>
      <c r="C21" s="37">
        <f>IF(B$15=0,0,B21/B$15)</f>
        <v>0.19913419913419914</v>
      </c>
      <c r="E21" s="59" t="s">
        <v>92</v>
      </c>
      <c r="F21" s="56" t="s">
        <v>47</v>
      </c>
      <c r="G21" s="44">
        <v>16</v>
      </c>
      <c r="H21" s="129">
        <f>IF(B$15=0,0,G21/B$15)</f>
        <v>6.9264069264069264E-3</v>
      </c>
      <c r="I21" s="90">
        <v>5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8383.4632034632032</v>
      </c>
      <c r="C22" s="39">
        <v>19365800</v>
      </c>
      <c r="E22" s="59" t="s">
        <v>85</v>
      </c>
      <c r="F22" s="56" t="s">
        <v>40</v>
      </c>
      <c r="G22" s="44">
        <v>14</v>
      </c>
      <c r="H22" s="129">
        <f>IF(B$15=0,0,G22/B$15)</f>
        <v>6.0606060606060606E-3</v>
      </c>
      <c r="I22" s="90">
        <v>6</v>
      </c>
      <c r="K22" s="36">
        <v>20</v>
      </c>
      <c r="L22" s="95">
        <v>-61.199999999999996</v>
      </c>
      <c r="N22" s="111" t="s">
        <v>127</v>
      </c>
      <c r="O22" s="121">
        <f>IF(P22=0,0,Q22/P22)</f>
        <v>0.4372727272727237</v>
      </c>
      <c r="P22" s="115">
        <v>330</v>
      </c>
      <c r="Q22" s="103">
        <v>144.29999999999882</v>
      </c>
    </row>
    <row r="23" spans="1:17" x14ac:dyDescent="0.45">
      <c r="A23" s="52" t="s">
        <v>177</v>
      </c>
      <c r="B23" s="136">
        <f>IF($B$15-B$14=0,0,C23/($B$15-B$14))</f>
        <v>9055.3329023917267</v>
      </c>
      <c r="C23" s="137">
        <v>14008600</v>
      </c>
      <c r="E23" s="59" t="s">
        <v>73</v>
      </c>
      <c r="F23" s="56" t="s">
        <v>28</v>
      </c>
      <c r="G23" s="44">
        <v>8</v>
      </c>
      <c r="H23" s="129">
        <f>IF(B$15=0,0,G23/B$15)</f>
        <v>3.4632034632034632E-3</v>
      </c>
      <c r="I23" s="90">
        <v>3</v>
      </c>
      <c r="K23" s="36">
        <v>21</v>
      </c>
      <c r="L23" s="95">
        <v>7.1054273576010019E-15</v>
      </c>
      <c r="N23" s="111" t="s">
        <v>171</v>
      </c>
      <c r="O23" s="121">
        <f>IF(P23=0,0,Q23/P23)</f>
        <v>0.28869863013698649</v>
      </c>
      <c r="P23" s="115">
        <v>292</v>
      </c>
      <c r="Q23" s="103">
        <v>84.300000000000054</v>
      </c>
    </row>
    <row r="24" spans="1:17" x14ac:dyDescent="0.45">
      <c r="A24" s="52" t="s">
        <v>178</v>
      </c>
      <c r="B24" s="136">
        <f>IF(B$14=0,0,C24/B$14)</f>
        <v>7021.2319790301444</v>
      </c>
      <c r="C24" s="137">
        <v>5357200</v>
      </c>
      <c r="E24" s="59" t="s">
        <v>74</v>
      </c>
      <c r="F24" s="56" t="s">
        <v>29</v>
      </c>
      <c r="G24" s="44">
        <v>8</v>
      </c>
      <c r="H24" s="129">
        <f>IF(B$15=0,0,G24/B$15)</f>
        <v>3.4632034632034632E-3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-6.0955555555555492</v>
      </c>
      <c r="P24" s="115">
        <v>270</v>
      </c>
      <c r="Q24" s="103">
        <v>-1645.7999999999984</v>
      </c>
    </row>
    <row r="25" spans="1:17" x14ac:dyDescent="0.45">
      <c r="A25" s="52" t="s">
        <v>176</v>
      </c>
      <c r="B25" s="136">
        <f>IF(B$16=0,0,C25/B$16)</f>
        <v>-7791.7061611374411</v>
      </c>
      <c r="C25" s="137">
        <v>-9864300</v>
      </c>
      <c r="E25" s="59" t="s">
        <v>84</v>
      </c>
      <c r="F25" s="56" t="s">
        <v>39</v>
      </c>
      <c r="G25" s="44">
        <v>7</v>
      </c>
      <c r="H25" s="129">
        <f>IF(B$15=0,0,G25/B$15)</f>
        <v>3.0303030303030303E-3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-12.930810810810815</v>
      </c>
      <c r="P25" s="115">
        <v>370</v>
      </c>
      <c r="Q25" s="103">
        <v>-4784.4000000000015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6</v>
      </c>
      <c r="H26" s="129">
        <f>IF(B$15=0,0,G26/B$15)</f>
        <v>2.5974025974025974E-3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2</v>
      </c>
      <c r="E27" s="59" t="s">
        <v>88</v>
      </c>
      <c r="F27" s="56" t="s">
        <v>43</v>
      </c>
      <c r="G27" s="44">
        <v>6</v>
      </c>
      <c r="H27" s="129">
        <f>IF(B$15=0,0,G27/B$15)</f>
        <v>2.5974025974025974E-3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2.1645021645021645E-3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1.7316017316017316E-3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21</v>
      </c>
      <c r="C30" s="40">
        <f>IF(B$3=0,0,B30/B$3)</f>
        <v>2.6789131266743206E-3</v>
      </c>
      <c r="E30" s="59" t="s">
        <v>93</v>
      </c>
      <c r="F30" s="56" t="s">
        <v>48</v>
      </c>
      <c r="G30" s="44">
        <v>4</v>
      </c>
      <c r="H30" s="129">
        <f>IF(B$15=0,0,G30/B$15)</f>
        <v>1.7316017316017316E-3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1.7316017316017316E-3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179</v>
      </c>
      <c r="C32" s="141">
        <f>IF(B$15=0,0,B32/B$15)</f>
        <v>7.7489177489177483E-2</v>
      </c>
      <c r="E32" s="59" t="s">
        <v>97</v>
      </c>
      <c r="F32" s="56" t="s">
        <v>52</v>
      </c>
      <c r="G32" s="44">
        <v>1</v>
      </c>
      <c r="H32" s="129">
        <f>IF(B$15=0,0,G32/B$15)</f>
        <v>4.329004329004329E-4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397</v>
      </c>
      <c r="C33" s="37">
        <f t="shared" ref="C33:C44" si="2">IF(B$15=0,0,B33/B$15)</f>
        <v>0.17186147186147185</v>
      </c>
      <c r="E33" s="59" t="s">
        <v>101</v>
      </c>
      <c r="F33" s="56" t="s">
        <v>56</v>
      </c>
      <c r="G33" s="44">
        <v>1</v>
      </c>
      <c r="H33" s="129">
        <f>IF(B$15=0,0,G33/B$15)</f>
        <v>4.329004329004329E-4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449</v>
      </c>
      <c r="C34" s="37">
        <f>IF(B$15=0,0,B34/B$15)</f>
        <v>0.19437229437229436</v>
      </c>
      <c r="E34" s="59" t="s">
        <v>106</v>
      </c>
      <c r="F34" s="56" t="s">
        <v>113</v>
      </c>
      <c r="G34" s="44">
        <v>1</v>
      </c>
      <c r="H34" s="129">
        <f>IF(B$15=0,0,G34/B$15)</f>
        <v>4.329004329004329E-4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408</v>
      </c>
      <c r="C35" s="37">
        <f t="shared" si="2"/>
        <v>0.17662337662337663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365</v>
      </c>
      <c r="C36" s="37">
        <f t="shared" si="2"/>
        <v>0.15800865800865802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246</v>
      </c>
      <c r="C37" s="37">
        <f t="shared" si="2"/>
        <v>0.10649350649350649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121</v>
      </c>
      <c r="C38" s="37">
        <f t="shared" si="2"/>
        <v>5.2380952380952382E-2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65</v>
      </c>
      <c r="C39" s="37">
        <f t="shared" si="2"/>
        <v>2.813852813852814E-2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30</v>
      </c>
      <c r="C40" s="37">
        <f t="shared" si="2"/>
        <v>1.2987012987012988E-2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10</v>
      </c>
      <c r="C41" s="37">
        <f t="shared" si="2"/>
        <v>4.329004329004329E-3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2.5974025974025974E-3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2.5974025974025974E-3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28</v>
      </c>
      <c r="C44" s="40">
        <f t="shared" si="2"/>
        <v>1.2121212121212121E-2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</sheetData>
  <sortState xmlns:xlrd2="http://schemas.microsoft.com/office/spreadsheetml/2017/richdata2" ref="E2:I93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83</v>
      </c>
      <c r="C2" s="155"/>
      <c r="E2" s="58" t="s">
        <v>66</v>
      </c>
      <c r="F2" s="55" t="s">
        <v>22</v>
      </c>
      <c r="G2" s="43">
        <v>144</v>
      </c>
      <c r="H2" s="128">
        <f>IF(B$15=0,0,G2/B$15)</f>
        <v>0.70588235294117652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1865.0602409638554</v>
      </c>
      <c r="P2" s="114">
        <v>83</v>
      </c>
      <c r="Q2" s="98">
        <v>154800</v>
      </c>
    </row>
    <row r="3" spans="1:17" x14ac:dyDescent="0.45">
      <c r="A3" s="51" t="s">
        <v>8</v>
      </c>
      <c r="B3" s="156">
        <v>735</v>
      </c>
      <c r="C3" s="157"/>
      <c r="E3" s="59" t="s">
        <v>72</v>
      </c>
      <c r="F3" s="56" t="s">
        <v>27</v>
      </c>
      <c r="G3" s="44">
        <v>115</v>
      </c>
      <c r="H3" s="129">
        <f>IF(B$15=0,0,G3/B$15)</f>
        <v>0.56372549019607843</v>
      </c>
      <c r="I3" s="90">
        <v>3</v>
      </c>
      <c r="K3" s="36">
        <v>1</v>
      </c>
      <c r="L3" s="95">
        <v>-4.5999999999999996</v>
      </c>
      <c r="N3" s="111" t="s">
        <v>131</v>
      </c>
      <c r="O3" s="118">
        <f t="shared" si="0"/>
        <v>-2048.7804878048782</v>
      </c>
      <c r="P3" s="115">
        <v>82</v>
      </c>
      <c r="Q3" s="99">
        <v>-168000</v>
      </c>
    </row>
    <row r="4" spans="1:17" x14ac:dyDescent="0.45">
      <c r="A4" s="51" t="s">
        <v>6</v>
      </c>
      <c r="B4" s="158">
        <v>-502.90000000000026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0.35294117647058826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-1624.0506329113923</v>
      </c>
      <c r="P4" s="115">
        <v>79</v>
      </c>
      <c r="Q4" s="99">
        <v>-128300</v>
      </c>
    </row>
    <row r="5" spans="1:17" x14ac:dyDescent="0.45">
      <c r="A5" s="51" t="s">
        <v>7</v>
      </c>
      <c r="B5" s="160">
        <f>IF(B$2=0,0,B$4/B$2)</f>
        <v>-6.0590361445783163</v>
      </c>
      <c r="C5" s="161"/>
      <c r="E5" s="59" t="s">
        <v>64</v>
      </c>
      <c r="F5" s="56" t="s">
        <v>20</v>
      </c>
      <c r="G5" s="44">
        <v>56</v>
      </c>
      <c r="H5" s="129">
        <f>IF(B$15=0,0,G5/B$15)</f>
        <v>0.27450980392156865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-1074.3243243243244</v>
      </c>
      <c r="P5" s="115">
        <v>74</v>
      </c>
      <c r="Q5" s="99">
        <v>-79500</v>
      </c>
    </row>
    <row r="6" spans="1:17" x14ac:dyDescent="0.45">
      <c r="A6" s="51" t="s">
        <v>1</v>
      </c>
      <c r="B6" s="150">
        <f>IF(B$2=0,0,(B$7*1+B$8*2+B$9*3)/B$2)</f>
        <v>2.1325301204819276</v>
      </c>
      <c r="C6" s="151"/>
      <c r="E6" s="59" t="s">
        <v>68</v>
      </c>
      <c r="F6" s="56" t="s">
        <v>12</v>
      </c>
      <c r="G6" s="44">
        <v>54</v>
      </c>
      <c r="H6" s="129">
        <f>IF(B$15=0,0,G6/B$15)</f>
        <v>0.26470588235294118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-58.333333333333336</v>
      </c>
      <c r="P6" s="115">
        <v>72</v>
      </c>
      <c r="Q6" s="99">
        <v>-4200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0.30120481927710846</v>
      </c>
      <c r="E7" s="59" t="s">
        <v>67</v>
      </c>
      <c r="F7" s="56" t="s">
        <v>23</v>
      </c>
      <c r="G7" s="44">
        <v>36</v>
      </c>
      <c r="H7" s="129">
        <f>IF(B$15=0,0,G7/B$15)</f>
        <v>0.17647058823529413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-2103.2258064516127</v>
      </c>
      <c r="P7" s="116">
        <v>62</v>
      </c>
      <c r="Q7" s="100">
        <v>-130400</v>
      </c>
    </row>
    <row r="8" spans="1:17" x14ac:dyDescent="0.45">
      <c r="A8" s="51" t="s">
        <v>3</v>
      </c>
      <c r="B8" s="44">
        <v>22</v>
      </c>
      <c r="C8" s="37">
        <f t="shared" si="1"/>
        <v>0.26506024096385544</v>
      </c>
      <c r="E8" s="59" t="s">
        <v>69</v>
      </c>
      <c r="F8" s="56" t="s">
        <v>24</v>
      </c>
      <c r="G8" s="44">
        <v>34</v>
      </c>
      <c r="H8" s="129">
        <f>IF(B$15=0,0,G8/B$15)</f>
        <v>0.16666666666666666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0.43373493975903615</v>
      </c>
      <c r="E9" s="59" t="s">
        <v>71</v>
      </c>
      <c r="F9" s="56" t="s">
        <v>26</v>
      </c>
      <c r="G9" s="44">
        <v>25</v>
      </c>
      <c r="H9" s="129">
        <f>IF(B$15=0,0,G9/B$15)</f>
        <v>0.12254901960784313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7.2289156626506021E-2</v>
      </c>
      <c r="E10" s="59" t="s">
        <v>70</v>
      </c>
      <c r="F10" s="56" t="s">
        <v>25</v>
      </c>
      <c r="G10" s="44">
        <v>23</v>
      </c>
      <c r="H10" s="129">
        <f>IF(B$15=0,0,G10/B$15)</f>
        <v>0.11274509803921569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-11.299999999999999</v>
      </c>
      <c r="P10" s="114">
        <v>28</v>
      </c>
      <c r="Q10" s="102">
        <v>-316.39999999999998</v>
      </c>
    </row>
    <row r="11" spans="1:17" x14ac:dyDescent="0.45">
      <c r="A11" s="54" t="s">
        <v>121</v>
      </c>
      <c r="B11" s="47">
        <v>107</v>
      </c>
      <c r="C11" s="42">
        <f>IF(B$3=0,0,B11/B$3)</f>
        <v>0.14557823129251701</v>
      </c>
      <c r="E11" s="59" t="s">
        <v>83</v>
      </c>
      <c r="F11" s="56" t="s">
        <v>38</v>
      </c>
      <c r="G11" s="44">
        <v>18</v>
      </c>
      <c r="H11" s="129">
        <f>IF(B$15=0,0,G11/B$15)</f>
        <v>8.8235294117647065E-2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-6.5807692307692305</v>
      </c>
      <c r="P11" s="115">
        <v>26</v>
      </c>
      <c r="Q11" s="103">
        <v>-171.1</v>
      </c>
    </row>
    <row r="12" spans="1:17" x14ac:dyDescent="0.45">
      <c r="A12" s="51" t="s">
        <v>118</v>
      </c>
      <c r="B12" s="44">
        <v>188</v>
      </c>
      <c r="C12" s="37">
        <f>IF(B$3=0,0,B12/B$3)</f>
        <v>0.25578231292517006</v>
      </c>
      <c r="E12" s="59" t="s">
        <v>89</v>
      </c>
      <c r="F12" s="56" t="s">
        <v>44</v>
      </c>
      <c r="G12" s="44">
        <v>14</v>
      </c>
      <c r="H12" s="129">
        <f>IF(B$15=0,0,G12/B$15)</f>
        <v>6.8627450980392163E-2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0.53271028037383172</v>
      </c>
      <c r="E13" s="59" t="s">
        <v>65</v>
      </c>
      <c r="F13" s="56" t="s">
        <v>21</v>
      </c>
      <c r="G13" s="44">
        <v>13</v>
      </c>
      <c r="H13" s="129">
        <f>IF(B$15=0,0,G13/B$15)</f>
        <v>6.3725490196078427E-2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78</v>
      </c>
      <c r="C14" s="35">
        <f>IF(B$12=0,0,B14/B$12)</f>
        <v>0.41489361702127658</v>
      </c>
      <c r="E14" s="59" t="s">
        <v>81</v>
      </c>
      <c r="F14" s="56" t="s">
        <v>36</v>
      </c>
      <c r="G14" s="44">
        <v>9</v>
      </c>
      <c r="H14" s="129">
        <f>IF(B$15=0,0,G14/B$15)</f>
        <v>4.4117647058823532E-2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204</v>
      </c>
      <c r="C15" s="35">
        <f>IF(B$3=0,0,B15/B$3)</f>
        <v>0.27755102040816326</v>
      </c>
      <c r="E15" s="59" t="s">
        <v>86</v>
      </c>
      <c r="F15" s="56" t="s">
        <v>41</v>
      </c>
      <c r="G15" s="44">
        <v>7</v>
      </c>
      <c r="H15" s="129">
        <f>IF(B$15=0,0,G15/B$15)</f>
        <v>3.4313725490196081E-2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118</v>
      </c>
      <c r="C16" s="37">
        <f>IF(B$3=0,0,B16/B$3)</f>
        <v>0.16054421768707483</v>
      </c>
      <c r="E16" s="59" t="s">
        <v>79</v>
      </c>
      <c r="F16" s="56" t="s">
        <v>34</v>
      </c>
      <c r="G16" s="44">
        <v>5</v>
      </c>
      <c r="H16" s="129">
        <f>IF(B$15=0,0,G16/B$15)</f>
        <v>2.4509803921568627E-2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87</v>
      </c>
      <c r="C17" s="37">
        <f>IF(B$15=0,0,B17/B$15)</f>
        <v>0.4264705882352941</v>
      </c>
      <c r="E17" s="59" t="s">
        <v>91</v>
      </c>
      <c r="F17" s="56" t="s">
        <v>46</v>
      </c>
      <c r="G17" s="44">
        <v>4</v>
      </c>
      <c r="H17" s="129">
        <f>IF(B$15=0,0,G17/B$15)</f>
        <v>1.9607843137254902E-2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-0.73448275862068968</v>
      </c>
      <c r="P17" s="115">
        <v>29</v>
      </c>
      <c r="Q17" s="103">
        <v>-21.3</v>
      </c>
    </row>
    <row r="18" spans="1:17" x14ac:dyDescent="0.45">
      <c r="A18" s="51" t="s">
        <v>11</v>
      </c>
      <c r="B18" s="44">
        <v>117</v>
      </c>
      <c r="C18" s="37">
        <f>IF(B$15=0,0,B18/B$15)</f>
        <v>0.57352941176470584</v>
      </c>
      <c r="E18" s="59" t="s">
        <v>74</v>
      </c>
      <c r="F18" s="56" t="s">
        <v>29</v>
      </c>
      <c r="G18" s="44">
        <v>2</v>
      </c>
      <c r="H18" s="129">
        <f>IF(B$15=0,0,G18/B$15)</f>
        <v>9.8039215686274508E-3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57</v>
      </c>
      <c r="C19" s="37">
        <f>IF(B$15=0,0,B19/B$15)</f>
        <v>0.27941176470588236</v>
      </c>
      <c r="E19" s="59" t="s">
        <v>75</v>
      </c>
      <c r="F19" s="56" t="s">
        <v>30</v>
      </c>
      <c r="G19" s="44">
        <v>2</v>
      </c>
      <c r="H19" s="129">
        <f>IF(B$15=0,0,G19/B$15)</f>
        <v>9.8039215686274508E-3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-8.0515151515151526</v>
      </c>
      <c r="P19" s="115">
        <v>33</v>
      </c>
      <c r="Q19" s="103">
        <v>-265.70000000000005</v>
      </c>
    </row>
    <row r="20" spans="1:17" x14ac:dyDescent="0.45">
      <c r="A20" s="51" t="s">
        <v>193</v>
      </c>
      <c r="B20" s="44">
        <v>78</v>
      </c>
      <c r="C20" s="37">
        <f>IF(B$15=0,0,B20/B$15)</f>
        <v>0.38235294117647056</v>
      </c>
      <c r="E20" s="59" t="s">
        <v>78</v>
      </c>
      <c r="F20" s="56" t="s">
        <v>33</v>
      </c>
      <c r="G20" s="44">
        <v>2</v>
      </c>
      <c r="H20" s="129">
        <f>IF(B$15=0,0,G20/B$15)</f>
        <v>9.8039215686274508E-3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 t="shared" si="2"/>
        <v>-11.944736842105266</v>
      </c>
      <c r="P20" s="115">
        <v>38</v>
      </c>
      <c r="Q20" s="103">
        <v>-453.90000000000015</v>
      </c>
    </row>
    <row r="21" spans="1:17" x14ac:dyDescent="0.45">
      <c r="A21" s="51" t="s">
        <v>194</v>
      </c>
      <c r="B21" s="44">
        <v>69</v>
      </c>
      <c r="C21" s="37">
        <f>IF(B$15=0,0,B21/B$15)</f>
        <v>0.33823529411764708</v>
      </c>
      <c r="E21" s="59" t="s">
        <v>88</v>
      </c>
      <c r="F21" s="56" t="s">
        <v>43</v>
      </c>
      <c r="G21" s="44">
        <v>2</v>
      </c>
      <c r="H21" s="129">
        <f>IF(B$15=0,0,G21/B$15)</f>
        <v>9.8039215686274508E-3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7152.9411764705883</v>
      </c>
      <c r="C22" s="39">
        <v>1459200</v>
      </c>
      <c r="E22" s="59" t="s">
        <v>93</v>
      </c>
      <c r="F22" s="56" t="s">
        <v>48</v>
      </c>
      <c r="G22" s="44">
        <v>2</v>
      </c>
      <c r="H22" s="129">
        <f>IF(B$15=0,0,G22/B$15)</f>
        <v>9.8039215686274508E-3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-26.930769230769229</v>
      </c>
      <c r="P22" s="115">
        <v>26</v>
      </c>
      <c r="Q22" s="103">
        <v>-700.19999999999993</v>
      </c>
    </row>
    <row r="23" spans="1:17" x14ac:dyDescent="0.45">
      <c r="A23" s="52" t="s">
        <v>177</v>
      </c>
      <c r="B23" s="136">
        <f>IF($B$15-B$14=0,0,C23/($B$15-B$14))</f>
        <v>7666.666666666667</v>
      </c>
      <c r="C23" s="137">
        <v>966000</v>
      </c>
      <c r="E23" s="59" t="s">
        <v>77</v>
      </c>
      <c r="F23" s="56" t="s">
        <v>32</v>
      </c>
      <c r="G23" s="44">
        <v>1</v>
      </c>
      <c r="H23" s="129">
        <f>IF(B$15=0,0,G23/B$15)</f>
        <v>4.9019607843137254E-3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6323.0769230769229</v>
      </c>
      <c r="C24" s="137">
        <v>493200</v>
      </c>
      <c r="E24" s="59" t="s">
        <v>84</v>
      </c>
      <c r="F24" s="56" t="s">
        <v>39</v>
      </c>
      <c r="G24" s="44">
        <v>1</v>
      </c>
      <c r="H24" s="129">
        <f>IF(B$15=0,0,G24/B$15)</f>
        <v>4.9019607843137254E-3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-7683.0508474576272</v>
      </c>
      <c r="C25" s="137">
        <v>-906600</v>
      </c>
      <c r="E25" s="59" t="s">
        <v>87</v>
      </c>
      <c r="F25" s="56" t="s">
        <v>42</v>
      </c>
      <c r="G25" s="44">
        <v>1</v>
      </c>
      <c r="H25" s="129">
        <f>IF(B$15=0,0,G25/B$15)</f>
        <v>4.9019607843137254E-3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0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2.7210884353741495E-3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0.13235294117647059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41</v>
      </c>
      <c r="C33" s="37">
        <f t="shared" ref="C33:C44" si="3">IF(B$15=0,0,B33/B$15)</f>
        <v>0.20098039215686275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43</v>
      </c>
      <c r="C34" s="37">
        <f>IF(B$15=0,0,B34/B$15)</f>
        <v>0.2107843137254902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34</v>
      </c>
      <c r="C35" s="37">
        <f t="shared" si="3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0.10784313725490197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3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5.3921568627450983E-2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2.9411764705882353E-2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4.9019607843137254E-3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9.8039215686274508E-3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</sheetData>
  <sortState xmlns:xlrd2="http://schemas.microsoft.com/office/spreadsheetml/2017/richdata2" ref="E2:I8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8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185</v>
      </c>
      <c r="C2" s="155"/>
      <c r="E2" s="58" t="s">
        <v>66</v>
      </c>
      <c r="F2" s="55" t="s">
        <v>22</v>
      </c>
      <c r="G2" s="43">
        <v>355</v>
      </c>
      <c r="H2" s="128">
        <f>IF(B$15=0,0,G2/B$15)</f>
        <v>0.68138195777351251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1234.7826086956522</v>
      </c>
      <c r="P2" s="114">
        <v>184</v>
      </c>
      <c r="Q2" s="98">
        <v>227200</v>
      </c>
    </row>
    <row r="3" spans="1:17" x14ac:dyDescent="0.45">
      <c r="A3" s="51" t="s">
        <v>8</v>
      </c>
      <c r="B3" s="156">
        <v>1522</v>
      </c>
      <c r="C3" s="157"/>
      <c r="E3" s="59" t="s">
        <v>72</v>
      </c>
      <c r="F3" s="56" t="s">
        <v>27</v>
      </c>
      <c r="G3" s="44">
        <v>277</v>
      </c>
      <c r="H3" s="129">
        <f>IF(B$15=0,0,G3/B$15)</f>
        <v>0.53166986564299423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1223.756906077348</v>
      </c>
      <c r="P3" s="115">
        <v>181</v>
      </c>
      <c r="Q3" s="99">
        <v>221500</v>
      </c>
    </row>
    <row r="4" spans="1:17" x14ac:dyDescent="0.45">
      <c r="A4" s="51" t="s">
        <v>6</v>
      </c>
      <c r="B4" s="158">
        <v>1594.7999999999997</v>
      </c>
      <c r="C4" s="159"/>
      <c r="E4" s="59" t="s">
        <v>64</v>
      </c>
      <c r="F4" s="56" t="s">
        <v>20</v>
      </c>
      <c r="G4" s="44">
        <v>224</v>
      </c>
      <c r="H4" s="129">
        <f>IF(B$15=0,0,G4/B$15)</f>
        <v>0.42994241842610365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950.57471264367814</v>
      </c>
      <c r="P4" s="115">
        <v>174</v>
      </c>
      <c r="Q4" s="99">
        <v>165400</v>
      </c>
    </row>
    <row r="5" spans="1:17" x14ac:dyDescent="0.45">
      <c r="A5" s="51" t="s">
        <v>7</v>
      </c>
      <c r="B5" s="160">
        <f>IF(B$2=0,0,B$4/B$2)</f>
        <v>8.6205405405405386</v>
      </c>
      <c r="C5" s="161"/>
      <c r="E5" s="59" t="s">
        <v>166</v>
      </c>
      <c r="F5" s="56" t="s">
        <v>167</v>
      </c>
      <c r="G5" s="44">
        <v>202</v>
      </c>
      <c r="H5" s="129">
        <f>IF(B$15=0,0,G5/B$15)</f>
        <v>0.38771593090211132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227.16049382716051</v>
      </c>
      <c r="P5" s="115">
        <v>162</v>
      </c>
      <c r="Q5" s="99">
        <v>36800</v>
      </c>
    </row>
    <row r="6" spans="1:17" x14ac:dyDescent="0.45">
      <c r="A6" s="51" t="s">
        <v>1</v>
      </c>
      <c r="B6" s="150">
        <f>IF(B$2=0,0,(B$7*1+B$8*2+B$9*3)/B$2)</f>
        <v>1.7891891891891891</v>
      </c>
      <c r="C6" s="151"/>
      <c r="E6" s="59" t="s">
        <v>68</v>
      </c>
      <c r="F6" s="56" t="s">
        <v>12</v>
      </c>
      <c r="G6" s="44">
        <v>143</v>
      </c>
      <c r="H6" s="129">
        <f>IF(B$15=0,0,G6/B$15)</f>
        <v>0.27447216890595011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1741.7218543046358</v>
      </c>
      <c r="P6" s="115">
        <v>151</v>
      </c>
      <c r="Q6" s="99">
        <v>263000</v>
      </c>
    </row>
    <row r="7" spans="1:17" x14ac:dyDescent="0.45">
      <c r="A7" s="51" t="s">
        <v>2</v>
      </c>
      <c r="B7" s="44">
        <v>85</v>
      </c>
      <c r="C7" s="37">
        <f t="shared" ref="C7:C10" si="1">IF(B$2=0,0,B7/B$2)</f>
        <v>0.45945945945945948</v>
      </c>
      <c r="E7" s="59" t="s">
        <v>67</v>
      </c>
      <c r="F7" s="56" t="s">
        <v>23</v>
      </c>
      <c r="G7" s="44">
        <v>126</v>
      </c>
      <c r="H7" s="129">
        <f>IF(B$15=0,0,G7/B$15)</f>
        <v>0.2418426103646833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1936.2903225806451</v>
      </c>
      <c r="P7" s="116">
        <v>124</v>
      </c>
      <c r="Q7" s="100">
        <v>240100</v>
      </c>
    </row>
    <row r="8" spans="1:17" x14ac:dyDescent="0.45">
      <c r="A8" s="51" t="s">
        <v>3</v>
      </c>
      <c r="B8" s="44">
        <v>54</v>
      </c>
      <c r="C8" s="37">
        <f t="shared" si="1"/>
        <v>0.29189189189189191</v>
      </c>
      <c r="E8" s="59" t="s">
        <v>89</v>
      </c>
      <c r="F8" s="56" t="s">
        <v>44</v>
      </c>
      <c r="G8" s="44">
        <v>76</v>
      </c>
      <c r="H8" s="129">
        <f>IF(B$15=0,0,G8/B$15)</f>
        <v>0.14587332053742802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46</v>
      </c>
      <c r="C9" s="38">
        <f t="shared" si="1"/>
        <v>0.24864864864864866</v>
      </c>
      <c r="E9" s="59" t="s">
        <v>69</v>
      </c>
      <c r="F9" s="56" t="s">
        <v>24</v>
      </c>
      <c r="G9" s="44">
        <v>66</v>
      </c>
      <c r="H9" s="129">
        <f>IF(B$15=0,0,G9/B$15)</f>
        <v>0.12667946257197696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4.3243243243243246E-2</v>
      </c>
      <c r="E10" s="59" t="s">
        <v>65</v>
      </c>
      <c r="F10" s="56" t="s">
        <v>21</v>
      </c>
      <c r="G10" s="44">
        <v>57</v>
      </c>
      <c r="H10" s="129">
        <f>IF(B$15=0,0,G10/B$15)</f>
        <v>0.10940499040307101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11.56296296296296</v>
      </c>
      <c r="P10" s="114">
        <v>54</v>
      </c>
      <c r="Q10" s="102">
        <v>624.39999999999986</v>
      </c>
    </row>
    <row r="11" spans="1:17" x14ac:dyDescent="0.45">
      <c r="A11" s="54" t="s">
        <v>121</v>
      </c>
      <c r="B11" s="47">
        <v>404</v>
      </c>
      <c r="C11" s="42">
        <f>IF(B$3=0,0,B11/B$3)</f>
        <v>0.26544021024967146</v>
      </c>
      <c r="E11" s="59" t="s">
        <v>71</v>
      </c>
      <c r="F11" s="56" t="s">
        <v>26</v>
      </c>
      <c r="G11" s="44">
        <v>38</v>
      </c>
      <c r="H11" s="129">
        <f>IF(B$15=0,0,G11/B$15)</f>
        <v>7.293666026871401E-2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3.638095238095238</v>
      </c>
      <c r="P11" s="115">
        <v>63</v>
      </c>
      <c r="Q11" s="103">
        <v>229.2</v>
      </c>
    </row>
    <row r="12" spans="1:17" x14ac:dyDescent="0.45">
      <c r="A12" s="51" t="s">
        <v>118</v>
      </c>
      <c r="B12" s="44">
        <v>362</v>
      </c>
      <c r="C12" s="37">
        <f>IF(B$3=0,0,B12/B$3)</f>
        <v>0.23784494086727989</v>
      </c>
      <c r="E12" s="59" t="s">
        <v>86</v>
      </c>
      <c r="F12" s="56" t="s">
        <v>41</v>
      </c>
      <c r="G12" s="44">
        <v>34</v>
      </c>
      <c r="H12" s="129">
        <f>IF(B$15=0,0,G12/B$15)</f>
        <v>6.5259117082533583E-2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10.899999999999997</v>
      </c>
      <c r="P12" s="116">
        <v>68</v>
      </c>
      <c r="Q12" s="104">
        <v>741.19999999999982</v>
      </c>
    </row>
    <row r="13" spans="1:17" x14ac:dyDescent="0.45">
      <c r="A13" s="50" t="s">
        <v>123</v>
      </c>
      <c r="B13" s="43">
        <f>B19</f>
        <v>237</v>
      </c>
      <c r="C13" s="35">
        <f>IF(B$11=0,0,B13/B$11)</f>
        <v>0.5866336633663366</v>
      </c>
      <c r="E13" s="59" t="s">
        <v>70</v>
      </c>
      <c r="F13" s="56" t="s">
        <v>25</v>
      </c>
      <c r="G13" s="44">
        <v>30</v>
      </c>
      <c r="H13" s="129">
        <f>IF(B$15=0,0,G13/B$15)</f>
        <v>5.7581573896353169E-2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176</v>
      </c>
      <c r="C14" s="35">
        <f>IF(B$12=0,0,B14/B$12)</f>
        <v>0.48618784530386738</v>
      </c>
      <c r="E14" s="59" t="s">
        <v>83</v>
      </c>
      <c r="F14" s="56" t="s">
        <v>38</v>
      </c>
      <c r="G14" s="44">
        <v>25</v>
      </c>
      <c r="H14" s="129">
        <f>IF(B$15=0,0,G14/B$15)</f>
        <v>4.7984644913627639E-2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521</v>
      </c>
      <c r="C15" s="35">
        <f>IF(B$3=0,0,B15/B$3)</f>
        <v>0.34231274638633374</v>
      </c>
      <c r="E15" s="59" t="s">
        <v>78</v>
      </c>
      <c r="F15" s="56" t="s">
        <v>33</v>
      </c>
      <c r="G15" s="44">
        <v>21</v>
      </c>
      <c r="H15" s="129">
        <f>IF(B$15=0,0,G15/B$15)</f>
        <v>4.0307101727447218E-2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196</v>
      </c>
      <c r="C16" s="37">
        <f>IF(B$3=0,0,B16/B$3)</f>
        <v>0.1287779237844941</v>
      </c>
      <c r="E16" s="59" t="s">
        <v>162</v>
      </c>
      <c r="F16" s="56" t="s">
        <v>163</v>
      </c>
      <c r="G16" s="44">
        <v>15</v>
      </c>
      <c r="H16" s="129">
        <f>IF(B$15=0,0,G16/B$15)</f>
        <v>2.8790786948176585E-2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220</v>
      </c>
      <c r="C17" s="37">
        <f>IF(B$15=0,0,B17/B$15)</f>
        <v>0.42226487523992323</v>
      </c>
      <c r="E17" s="59" t="s">
        <v>81</v>
      </c>
      <c r="F17" s="56" t="s">
        <v>36</v>
      </c>
      <c r="G17" s="44">
        <v>8</v>
      </c>
      <c r="H17" s="129">
        <f>IF(B$15=0,0,G17/B$15)</f>
        <v>1.5355086372360844E-2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301</v>
      </c>
      <c r="C18" s="37">
        <f>IF(B$15=0,0,B18/B$15)</f>
        <v>0.57773512476007682</v>
      </c>
      <c r="E18" s="59" t="s">
        <v>91</v>
      </c>
      <c r="F18" s="56" t="s">
        <v>46</v>
      </c>
      <c r="G18" s="44">
        <v>6</v>
      </c>
      <c r="H18" s="129">
        <f>IF(B$15=0,0,G18/B$15)</f>
        <v>1.1516314779270634E-2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15.762499999999999</v>
      </c>
      <c r="P18" s="115">
        <v>64</v>
      </c>
      <c r="Q18" s="103">
        <v>1008.8</v>
      </c>
    </row>
    <row r="19" spans="1:17" x14ac:dyDescent="0.45">
      <c r="A19" s="51" t="s">
        <v>195</v>
      </c>
      <c r="B19" s="44">
        <v>237</v>
      </c>
      <c r="C19" s="37">
        <f>IF(B$15=0,0,B19/B$15)</f>
        <v>0.45489443378119004</v>
      </c>
      <c r="E19" s="59" t="s">
        <v>75</v>
      </c>
      <c r="F19" s="56" t="s">
        <v>30</v>
      </c>
      <c r="G19" s="44">
        <v>5</v>
      </c>
      <c r="H19" s="129">
        <f>IF(B$15=0,0,G19/B$15)</f>
        <v>9.5969289827255271E-3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>IF(P19=0,0,Q19/P19)</f>
        <v>12.789090909090911</v>
      </c>
      <c r="P19" s="115">
        <v>110</v>
      </c>
      <c r="Q19" s="103">
        <v>1406.8000000000002</v>
      </c>
    </row>
    <row r="20" spans="1:17" x14ac:dyDescent="0.45">
      <c r="A20" s="51" t="s">
        <v>193</v>
      </c>
      <c r="B20" s="44">
        <v>176</v>
      </c>
      <c r="C20" s="37">
        <f>IF(B$15=0,0,B20/B$15)</f>
        <v>0.33781190019193857</v>
      </c>
      <c r="E20" s="59" t="s">
        <v>79</v>
      </c>
      <c r="F20" s="56" t="s">
        <v>34</v>
      </c>
      <c r="G20" s="44">
        <v>4</v>
      </c>
      <c r="H20" s="129">
        <f>IF(B$15=0,0,G20/B$15)</f>
        <v>7.677543186180422E-3</v>
      </c>
      <c r="I20" s="90">
        <v>9</v>
      </c>
      <c r="K20" s="36">
        <v>18</v>
      </c>
      <c r="L20" s="95">
        <v>352.39999999999992</v>
      </c>
      <c r="N20" s="111" t="s">
        <v>161</v>
      </c>
      <c r="O20" s="121">
        <f>IF(P20=0,0,Q20/P20)</f>
        <v>12.43846153846154</v>
      </c>
      <c r="P20" s="115">
        <v>39</v>
      </c>
      <c r="Q20" s="103">
        <v>485.10000000000008</v>
      </c>
    </row>
    <row r="21" spans="1:17" x14ac:dyDescent="0.45">
      <c r="A21" s="51" t="s">
        <v>194</v>
      </c>
      <c r="B21" s="44">
        <v>108</v>
      </c>
      <c r="C21" s="37">
        <f>IF(B$15=0,0,B21/B$15)</f>
        <v>0.20729366602687141</v>
      </c>
      <c r="E21" s="59" t="s">
        <v>85</v>
      </c>
      <c r="F21" s="56" t="s">
        <v>40</v>
      </c>
      <c r="G21" s="44">
        <v>4</v>
      </c>
      <c r="H21" s="129">
        <f>IF(B$15=0,0,G21/B$15)</f>
        <v>7.677543186180422E-3</v>
      </c>
      <c r="I21" s="90">
        <v>5</v>
      </c>
      <c r="K21" s="36">
        <v>19</v>
      </c>
      <c r="L21" s="95">
        <v>383.19999999999993</v>
      </c>
      <c r="N21" s="111" t="s">
        <v>171</v>
      </c>
      <c r="O21" s="121">
        <f>IF(P21=0,0,Q21/P21)</f>
        <v>11.989855072463769</v>
      </c>
      <c r="P21" s="115">
        <v>69</v>
      </c>
      <c r="Q21" s="103">
        <v>827.30000000000007</v>
      </c>
    </row>
    <row r="22" spans="1:17" x14ac:dyDescent="0.45">
      <c r="A22" s="51" t="s">
        <v>5</v>
      </c>
      <c r="B22" s="48">
        <f>IF(B$15=0,0,C22/B$15)</f>
        <v>8179.4625719769674</v>
      </c>
      <c r="C22" s="39">
        <v>4261500</v>
      </c>
      <c r="E22" s="59" t="s">
        <v>92</v>
      </c>
      <c r="F22" s="56" t="s">
        <v>47</v>
      </c>
      <c r="G22" s="44">
        <v>4</v>
      </c>
      <c r="H22" s="129">
        <f>IF(B$15=0,0,G22/B$15)</f>
        <v>7.677543186180422E-3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2.7035087719298243</v>
      </c>
      <c r="P22" s="115">
        <v>57</v>
      </c>
      <c r="Q22" s="103">
        <v>154.1</v>
      </c>
    </row>
    <row r="23" spans="1:17" x14ac:dyDescent="0.45">
      <c r="A23" s="52" t="s">
        <v>177</v>
      </c>
      <c r="B23" s="136">
        <f>IF($B$15-B$14=0,0,C23/($B$15-B$14))</f>
        <v>8698.5507246376819</v>
      </c>
      <c r="C23" s="137">
        <v>3001000</v>
      </c>
      <c r="E23" s="59" t="s">
        <v>77</v>
      </c>
      <c r="F23" s="56" t="s">
        <v>32</v>
      </c>
      <c r="G23" s="44">
        <v>3</v>
      </c>
      <c r="H23" s="129">
        <f>IF(B$15=0,0,G23/B$15)</f>
        <v>5.7581573896353169E-3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7161.931818181818</v>
      </c>
      <c r="C24" s="137">
        <v>1260500</v>
      </c>
      <c r="E24" s="59" t="s">
        <v>84</v>
      </c>
      <c r="F24" s="56" t="s">
        <v>39</v>
      </c>
      <c r="G24" s="44">
        <v>3</v>
      </c>
      <c r="H24" s="129">
        <f>IF(B$15=0,0,G24/B$15)</f>
        <v>5.7581573896353169E-3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-7815.8163265306121</v>
      </c>
      <c r="C25" s="137">
        <v>-1531900</v>
      </c>
      <c r="E25" s="59" t="s">
        <v>74</v>
      </c>
      <c r="F25" s="56" t="s">
        <v>29</v>
      </c>
      <c r="G25" s="44">
        <v>2</v>
      </c>
      <c r="H25" s="129">
        <f>IF(B$15=0,0,G25/B$15)</f>
        <v>3.838771593090211E-3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3.838771593090211E-3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</v>
      </c>
      <c r="E27" s="59" t="s">
        <v>95</v>
      </c>
      <c r="F27" s="56" t="s">
        <v>50</v>
      </c>
      <c r="G27" s="44">
        <v>2</v>
      </c>
      <c r="H27" s="129">
        <f>IF(B$15=0,0,G27/B$15)</f>
        <v>3.838771593090211E-3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1.9193857965451055E-3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1.9193857965451055E-3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6.5703022339027597E-4</v>
      </c>
      <c r="E30" s="59" t="s">
        <v>106</v>
      </c>
      <c r="F30" s="56" t="s">
        <v>113</v>
      </c>
      <c r="G30" s="44">
        <v>1</v>
      </c>
      <c r="H30" s="129">
        <f>IF(B$15=0,0,G30/B$15)</f>
        <v>1.9193857965451055E-3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48</v>
      </c>
      <c r="C32" s="141">
        <f>IF(B$15=0,0,B32/B$15)</f>
        <v>9.2130518234165071E-2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96</v>
      </c>
      <c r="C33" s="37">
        <f t="shared" ref="C33:C44" si="2">IF(B$15=0,0,B33/B$15)</f>
        <v>0.18426103646833014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103</v>
      </c>
      <c r="C34" s="37">
        <f>IF(B$15=0,0,B34/B$15)</f>
        <v>0.19769673704414586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95</v>
      </c>
      <c r="C35" s="37">
        <f t="shared" si="2"/>
        <v>0.18234165067178504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76</v>
      </c>
      <c r="C36" s="37">
        <f t="shared" si="2"/>
        <v>0.14587332053742802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49</v>
      </c>
      <c r="C37" s="37">
        <f t="shared" si="2"/>
        <v>9.4049904030710174E-2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24</v>
      </c>
      <c r="C38" s="37">
        <f t="shared" si="2"/>
        <v>4.6065259117082535E-2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10</v>
      </c>
      <c r="C39" s="37">
        <f t="shared" si="2"/>
        <v>1.9193857965451054E-2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1.9193857965451054E-2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3.838771593090211E-3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1.9193857965451055E-3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7</v>
      </c>
      <c r="C44" s="40">
        <f t="shared" si="2"/>
        <v>1.3435700575815739E-2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</sheetData>
  <sortState xmlns:xlrd2="http://schemas.microsoft.com/office/spreadsheetml/2017/richdata2" ref="E2:I18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165</v>
      </c>
      <c r="C2" s="155"/>
      <c r="E2" s="58" t="s">
        <v>66</v>
      </c>
      <c r="F2" s="55" t="s">
        <v>22</v>
      </c>
      <c r="G2" s="43">
        <v>323</v>
      </c>
      <c r="H2" s="128">
        <f>IF(B$15=0,0,G2/B$15)</f>
        <v>0.76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-1067.6829268292684</v>
      </c>
      <c r="P2" s="114">
        <v>164</v>
      </c>
      <c r="Q2" s="98">
        <v>-175100</v>
      </c>
    </row>
    <row r="3" spans="1:17" x14ac:dyDescent="0.45">
      <c r="A3" s="51" t="s">
        <v>8</v>
      </c>
      <c r="B3" s="156">
        <v>1372</v>
      </c>
      <c r="C3" s="157"/>
      <c r="E3" s="59" t="s">
        <v>72</v>
      </c>
      <c r="F3" s="56" t="s">
        <v>27</v>
      </c>
      <c r="G3" s="44">
        <v>239</v>
      </c>
      <c r="H3" s="129">
        <f>IF(B$15=0,0,G3/B$15)</f>
        <v>0.56235294117647061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1366.0493827160494</v>
      </c>
      <c r="P3" s="115">
        <v>162</v>
      </c>
      <c r="Q3" s="99">
        <v>221300</v>
      </c>
    </row>
    <row r="4" spans="1:17" x14ac:dyDescent="0.45">
      <c r="A4" s="51" t="s">
        <v>6</v>
      </c>
      <c r="B4" s="158">
        <v>-48.100000000000193</v>
      </c>
      <c r="C4" s="159"/>
      <c r="E4" s="59" t="s">
        <v>166</v>
      </c>
      <c r="F4" s="56" t="s">
        <v>167</v>
      </c>
      <c r="G4" s="44">
        <v>171</v>
      </c>
      <c r="H4" s="129">
        <f>IF(B$15=0,0,G4/B$15)</f>
        <v>0.40235294117647058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12.666666666666666</v>
      </c>
      <c r="P4" s="115">
        <v>150</v>
      </c>
      <c r="Q4" s="99">
        <v>1900</v>
      </c>
    </row>
    <row r="5" spans="1:17" x14ac:dyDescent="0.45">
      <c r="A5" s="51" t="s">
        <v>7</v>
      </c>
      <c r="B5" s="160">
        <f>IF(B$2=0,0,B$4/B$2)</f>
        <v>-0.29151515151515267</v>
      </c>
      <c r="C5" s="161"/>
      <c r="E5" s="59" t="s">
        <v>64</v>
      </c>
      <c r="F5" s="56" t="s">
        <v>20</v>
      </c>
      <c r="G5" s="44">
        <v>164</v>
      </c>
      <c r="H5" s="129">
        <f>IF(B$15=0,0,G5/B$15)</f>
        <v>0.38588235294117645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71.126760563380287</v>
      </c>
      <c r="P5" s="115">
        <v>142</v>
      </c>
      <c r="Q5" s="99">
        <v>10100</v>
      </c>
    </row>
    <row r="6" spans="1:17" x14ac:dyDescent="0.45">
      <c r="A6" s="51" t="s">
        <v>1</v>
      </c>
      <c r="B6" s="150">
        <f>IF(B$2=0,0,(B$7*1+B$8*2+B$9*3)/B$2)</f>
        <v>1.9818181818181819</v>
      </c>
      <c r="C6" s="151"/>
      <c r="E6" s="59" t="s">
        <v>68</v>
      </c>
      <c r="F6" s="56" t="s">
        <v>12</v>
      </c>
      <c r="G6" s="44">
        <v>118</v>
      </c>
      <c r="H6" s="129">
        <f>IF(B$15=0,0,G6/B$15)</f>
        <v>0.27764705882352941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-1612.3076923076924</v>
      </c>
      <c r="P6" s="115">
        <v>130</v>
      </c>
      <c r="Q6" s="99">
        <v>-209600</v>
      </c>
    </row>
    <row r="7" spans="1:17" x14ac:dyDescent="0.45">
      <c r="A7" s="51" t="s">
        <v>2</v>
      </c>
      <c r="B7" s="44">
        <v>56</v>
      </c>
      <c r="C7" s="37">
        <f t="shared" ref="C7:C10" si="1">IF(B$2=0,0,B7/B$2)</f>
        <v>0.33939393939393941</v>
      </c>
      <c r="E7" s="59" t="s">
        <v>67</v>
      </c>
      <c r="F7" s="56" t="s">
        <v>23</v>
      </c>
      <c r="G7" s="44">
        <v>90</v>
      </c>
      <c r="H7" s="129">
        <f>IF(B$15=0,0,G7/B$15)</f>
        <v>0.21176470588235294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1027.5229357798164</v>
      </c>
      <c r="P7" s="116">
        <v>109</v>
      </c>
      <c r="Q7" s="100">
        <v>112000</v>
      </c>
    </row>
    <row r="8" spans="1:17" x14ac:dyDescent="0.45">
      <c r="A8" s="51" t="s">
        <v>3</v>
      </c>
      <c r="B8" s="44">
        <v>56</v>
      </c>
      <c r="C8" s="37">
        <f t="shared" si="1"/>
        <v>0.33939393939393941</v>
      </c>
      <c r="E8" s="59" t="s">
        <v>69</v>
      </c>
      <c r="F8" s="56" t="s">
        <v>24</v>
      </c>
      <c r="G8" s="44">
        <v>48</v>
      </c>
      <c r="H8" s="129">
        <f>IF(B$15=0,0,G8/B$15)</f>
        <v>0.11294117647058824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53</v>
      </c>
      <c r="C9" s="38">
        <f t="shared" si="1"/>
        <v>0.32121212121212123</v>
      </c>
      <c r="E9" s="59" t="s">
        <v>89</v>
      </c>
      <c r="F9" s="56" t="s">
        <v>44</v>
      </c>
      <c r="G9" s="44">
        <v>45</v>
      </c>
      <c r="H9" s="129">
        <f>IF(B$15=0,0,G9/B$15)</f>
        <v>0.10588235294117647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0.10909090909090909</v>
      </c>
      <c r="E10" s="59" t="s">
        <v>70</v>
      </c>
      <c r="F10" s="56" t="s">
        <v>25</v>
      </c>
      <c r="G10" s="44">
        <v>43</v>
      </c>
      <c r="H10" s="129">
        <f>IF(B$15=0,0,G10/B$15)</f>
        <v>0.1011764705882353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-0.9299999999999996</v>
      </c>
      <c r="P10" s="114">
        <v>50</v>
      </c>
      <c r="Q10" s="102">
        <v>-46.499999999999979</v>
      </c>
    </row>
    <row r="11" spans="1:17" x14ac:dyDescent="0.45">
      <c r="A11" s="54" t="s">
        <v>121</v>
      </c>
      <c r="B11" s="47">
        <v>319</v>
      </c>
      <c r="C11" s="42">
        <f>IF(B$3=0,0,B11/B$3)</f>
        <v>0.2325072886297376</v>
      </c>
      <c r="E11" s="59" t="s">
        <v>71</v>
      </c>
      <c r="F11" s="56" t="s">
        <v>26</v>
      </c>
      <c r="G11" s="44">
        <v>39</v>
      </c>
      <c r="H11" s="129">
        <f>IF(B$15=0,0,G11/B$15)</f>
        <v>9.1764705882352943E-2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3.44814814814815</v>
      </c>
      <c r="P11" s="115">
        <v>54</v>
      </c>
      <c r="Q11" s="103">
        <v>186.2000000000001</v>
      </c>
    </row>
    <row r="12" spans="1:17" x14ac:dyDescent="0.45">
      <c r="A12" s="51" t="s">
        <v>118</v>
      </c>
      <c r="B12" s="44">
        <v>416</v>
      </c>
      <c r="C12" s="37">
        <f>IF(B$3=0,0,B12/B$3)</f>
        <v>0.30320699708454812</v>
      </c>
      <c r="E12" s="59" t="s">
        <v>65</v>
      </c>
      <c r="F12" s="56" t="s">
        <v>21</v>
      </c>
      <c r="G12" s="44">
        <v>33</v>
      </c>
      <c r="H12" s="129">
        <f>IF(B$15=0,0,G12/B$15)</f>
        <v>7.7647058823529416E-2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-3.0786885245901643</v>
      </c>
      <c r="P12" s="116">
        <v>61</v>
      </c>
      <c r="Q12" s="104">
        <v>-187.8</v>
      </c>
    </row>
    <row r="13" spans="1:17" x14ac:dyDescent="0.45">
      <c r="A13" s="50" t="s">
        <v>123</v>
      </c>
      <c r="B13" s="43">
        <f>B19</f>
        <v>164</v>
      </c>
      <c r="C13" s="35">
        <f>IF(B$11=0,0,B13/B$11)</f>
        <v>0.51410658307210033</v>
      </c>
      <c r="E13" s="59" t="s">
        <v>86</v>
      </c>
      <c r="F13" s="56" t="s">
        <v>41</v>
      </c>
      <c r="G13" s="44">
        <v>25</v>
      </c>
      <c r="H13" s="129">
        <f>IF(B$15=0,0,G13/B$15)</f>
        <v>5.8823529411764705E-2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158</v>
      </c>
      <c r="C14" s="35">
        <f>IF(B$12=0,0,B14/B$12)</f>
        <v>0.37980769230769229</v>
      </c>
      <c r="E14" s="59" t="s">
        <v>83</v>
      </c>
      <c r="F14" s="56" t="s">
        <v>38</v>
      </c>
      <c r="G14" s="44">
        <v>21</v>
      </c>
      <c r="H14" s="129">
        <f>IF(B$15=0,0,G14/B$15)</f>
        <v>4.9411764705882349E-2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425</v>
      </c>
      <c r="C15" s="35">
        <f>IF(B$3=0,0,B15/B$3)</f>
        <v>0.30976676384839652</v>
      </c>
      <c r="E15" s="59" t="s">
        <v>78</v>
      </c>
      <c r="F15" s="56" t="s">
        <v>33</v>
      </c>
      <c r="G15" s="44">
        <v>17</v>
      </c>
      <c r="H15" s="129">
        <f>IF(B$15=0,0,G15/B$15)</f>
        <v>0.04</v>
      </c>
      <c r="I15" s="90">
        <v>4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246</v>
      </c>
      <c r="C16" s="37">
        <f>IF(B$3=0,0,B16/B$3)</f>
        <v>0.17930029154518951</v>
      </c>
      <c r="E16" s="59" t="s">
        <v>91</v>
      </c>
      <c r="F16" s="56" t="s">
        <v>46</v>
      </c>
      <c r="G16" s="44">
        <v>13</v>
      </c>
      <c r="H16" s="129">
        <f>IF(B$15=0,0,G16/B$15)</f>
        <v>3.0588235294117649E-2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 t="shared" si="2"/>
        <v>18.434693877551016</v>
      </c>
      <c r="P16" s="115">
        <v>49</v>
      </c>
      <c r="Q16" s="103">
        <v>903.29999999999973</v>
      </c>
    </row>
    <row r="17" spans="1:17" x14ac:dyDescent="0.45">
      <c r="A17" s="51" t="s">
        <v>12</v>
      </c>
      <c r="B17" s="44">
        <v>176</v>
      </c>
      <c r="C17" s="37">
        <f>IF(B$15=0,0,B17/B$15)</f>
        <v>0.41411764705882353</v>
      </c>
      <c r="E17" s="59" t="s">
        <v>81</v>
      </c>
      <c r="F17" s="56" t="s">
        <v>36</v>
      </c>
      <c r="G17" s="44">
        <v>9</v>
      </c>
      <c r="H17" s="129">
        <f>IF(B$15=0,0,G17/B$15)</f>
        <v>2.1176470588235293E-2</v>
      </c>
      <c r="I17" s="90">
        <v>5</v>
      </c>
      <c r="K17" s="36">
        <v>15</v>
      </c>
      <c r="L17" s="95">
        <v>-144.30000000000001</v>
      </c>
      <c r="N17" s="111" t="s">
        <v>197</v>
      </c>
      <c r="O17" s="121">
        <f t="shared" si="2"/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249</v>
      </c>
      <c r="C18" s="37">
        <f>IF(B$15=0,0,B18/B$15)</f>
        <v>0.58588235294117652</v>
      </c>
      <c r="E18" s="59" t="s">
        <v>79</v>
      </c>
      <c r="F18" s="56" t="s">
        <v>34</v>
      </c>
      <c r="G18" s="44">
        <v>7</v>
      </c>
      <c r="H18" s="129">
        <f>IF(B$15=0,0,G18/B$15)</f>
        <v>1.6470588235294119E-2</v>
      </c>
      <c r="I18" s="90">
        <v>6</v>
      </c>
      <c r="K18" s="36">
        <v>16</v>
      </c>
      <c r="L18" s="95">
        <v>-187.3</v>
      </c>
      <c r="N18" s="111" t="s">
        <v>196</v>
      </c>
      <c r="O18" s="121">
        <f t="shared" si="2"/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164</v>
      </c>
      <c r="C19" s="37">
        <f>IF(B$15=0,0,B19/B$15)</f>
        <v>0.38588235294117645</v>
      </c>
      <c r="E19" s="59" t="s">
        <v>162</v>
      </c>
      <c r="F19" s="56" t="s">
        <v>163</v>
      </c>
      <c r="G19" s="44">
        <v>5</v>
      </c>
      <c r="H19" s="129">
        <f>IF(B$15=0,0,G19/B$15)</f>
        <v>1.1764705882352941E-2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8.0515151515151508</v>
      </c>
      <c r="P19" s="115">
        <v>33</v>
      </c>
      <c r="Q19" s="103">
        <v>265.7</v>
      </c>
    </row>
    <row r="20" spans="1:17" x14ac:dyDescent="0.45">
      <c r="A20" s="51" t="s">
        <v>193</v>
      </c>
      <c r="B20" s="44">
        <v>158</v>
      </c>
      <c r="C20" s="37">
        <f>IF(B$15=0,0,B20/B$15)</f>
        <v>0.37176470588235294</v>
      </c>
      <c r="E20" s="59" t="s">
        <v>92</v>
      </c>
      <c r="F20" s="56" t="s">
        <v>47</v>
      </c>
      <c r="G20" s="44">
        <v>3</v>
      </c>
      <c r="H20" s="129">
        <f>IF(B$15=0,0,G20/B$15)</f>
        <v>7.058823529411765E-3</v>
      </c>
      <c r="I20" s="90">
        <v>4</v>
      </c>
      <c r="K20" s="36">
        <v>18</v>
      </c>
      <c r="L20" s="95">
        <v>-112.90000000000002</v>
      </c>
      <c r="N20" s="111" t="s">
        <v>274</v>
      </c>
      <c r="O20" s="121">
        <f t="shared" si="2"/>
        <v>0.40000000000000036</v>
      </c>
      <c r="P20" s="115">
        <v>4</v>
      </c>
      <c r="Q20" s="103">
        <v>1.6000000000000014</v>
      </c>
    </row>
    <row r="21" spans="1:17" x14ac:dyDescent="0.45">
      <c r="A21" s="51" t="s">
        <v>194</v>
      </c>
      <c r="B21" s="44">
        <v>103</v>
      </c>
      <c r="C21" s="37">
        <f>IF(B$15=0,0,B21/B$15)</f>
        <v>0.24235294117647058</v>
      </c>
      <c r="E21" s="59" t="s">
        <v>74</v>
      </c>
      <c r="F21" s="56" t="s">
        <v>29</v>
      </c>
      <c r="G21" s="44">
        <v>2</v>
      </c>
      <c r="H21" s="129">
        <f>IF(B$15=0,0,G21/B$15)</f>
        <v>4.7058823529411761E-3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 t="shared" si="2"/>
        <v>-3.1222222222222182</v>
      </c>
      <c r="P21" s="115">
        <v>54</v>
      </c>
      <c r="Q21" s="103">
        <v>-168.5999999999998</v>
      </c>
    </row>
    <row r="22" spans="1:17" x14ac:dyDescent="0.45">
      <c r="A22" s="51" t="s">
        <v>5</v>
      </c>
      <c r="B22" s="48">
        <f>IF(B$15=0,0,C22/B$15)</f>
        <v>8017.8823529411766</v>
      </c>
      <c r="C22" s="39">
        <v>3407600</v>
      </c>
      <c r="E22" s="59" t="s">
        <v>75</v>
      </c>
      <c r="F22" s="56" t="s">
        <v>30</v>
      </c>
      <c r="G22" s="44">
        <v>2</v>
      </c>
      <c r="H22" s="129">
        <f>IF(B$15=0,0,G22/B$15)</f>
        <v>4.7058823529411761E-3</v>
      </c>
      <c r="I22" s="90">
        <v>9</v>
      </c>
      <c r="K22" s="36">
        <v>20</v>
      </c>
      <c r="L22" s="95">
        <v>-96.000000000000028</v>
      </c>
      <c r="N22" s="111" t="s">
        <v>171</v>
      </c>
      <c r="O22" s="121">
        <f t="shared" si="2"/>
        <v>-3.2271186440677955</v>
      </c>
      <c r="P22" s="115">
        <v>59</v>
      </c>
      <c r="Q22" s="103">
        <v>-190.39999999999992</v>
      </c>
    </row>
    <row r="23" spans="1:17" x14ac:dyDescent="0.45">
      <c r="A23" s="52" t="s">
        <v>177</v>
      </c>
      <c r="B23" s="136">
        <f>IF($B$15-B$14=0,0,C23/($B$15-B$14))</f>
        <v>8648.6891385767794</v>
      </c>
      <c r="C23" s="137">
        <v>2309200</v>
      </c>
      <c r="E23" s="59" t="s">
        <v>73</v>
      </c>
      <c r="F23" s="56" t="s">
        <v>28</v>
      </c>
      <c r="G23" s="44">
        <v>1</v>
      </c>
      <c r="H23" s="129">
        <f>IF(B$15=0,0,G23/B$15)</f>
        <v>2.352941176470588E-3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 t="shared" si="2"/>
        <v>-12.789090909090911</v>
      </c>
      <c r="P23" s="115">
        <v>110</v>
      </c>
      <c r="Q23" s="103">
        <v>-1406.8000000000002</v>
      </c>
    </row>
    <row r="24" spans="1:17" x14ac:dyDescent="0.45">
      <c r="A24" s="52" t="s">
        <v>178</v>
      </c>
      <c r="B24" s="136">
        <f>IF(B$14=0,0,C24/B$14)</f>
        <v>6951.8987341772154</v>
      </c>
      <c r="C24" s="137">
        <v>1098400</v>
      </c>
      <c r="E24" s="59" t="s">
        <v>77</v>
      </c>
      <c r="F24" s="56" t="s">
        <v>32</v>
      </c>
      <c r="G24" s="44">
        <v>1</v>
      </c>
      <c r="H24" s="129">
        <f>IF(B$15=0,0,G24/B$15)</f>
        <v>2.352941176470588E-3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-8018.6991869918702</v>
      </c>
      <c r="C25" s="137">
        <v>-1972600</v>
      </c>
      <c r="E25" s="59" t="s">
        <v>84</v>
      </c>
      <c r="F25" s="56" t="s">
        <v>39</v>
      </c>
      <c r="G25" s="44">
        <v>1</v>
      </c>
      <c r="H25" s="129">
        <f>IF(B$15=0,0,G25/B$15)</f>
        <v>2.352941176470588E-3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90</v>
      </c>
      <c r="F26" s="56" t="s">
        <v>45</v>
      </c>
      <c r="G26" s="44">
        <v>1</v>
      </c>
      <c r="H26" s="129">
        <f>IF(B$15=0,0,G26/B$15)</f>
        <v>2.352941176470588E-3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2.352941176470588E-3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3.6443148688046646E-3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31</v>
      </c>
      <c r="C32" s="141">
        <f>IF(B$15=0,0,B32/B$15)</f>
        <v>7.2941176470588232E-2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80</v>
      </c>
      <c r="C33" s="37">
        <f t="shared" ref="C33:C44" si="3">IF(B$15=0,0,B33/B$15)</f>
        <v>0.18823529411764706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90</v>
      </c>
      <c r="C34" s="37">
        <f>IF(B$15=0,0,B34/B$15)</f>
        <v>0.21176470588235294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84</v>
      </c>
      <c r="C35" s="37">
        <f t="shared" si="3"/>
        <v>0.1976470588235294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62</v>
      </c>
      <c r="C36" s="37">
        <f t="shared" si="3"/>
        <v>0.14588235294117646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42</v>
      </c>
      <c r="C37" s="37">
        <f t="shared" si="3"/>
        <v>9.8823529411764699E-2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14</v>
      </c>
      <c r="C38" s="37">
        <f t="shared" si="3"/>
        <v>3.2941176470588238E-2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3"/>
        <v>2.1176470588235293E-2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3"/>
        <v>1.411764705882353E-2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2.352941176470588E-3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3"/>
        <v>4.7058823529411761E-3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9.4117647058823521E-3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</sheetData>
  <sortState xmlns:xlrd2="http://schemas.microsoft.com/office/spreadsheetml/2017/richdata2" ref="E2:I1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176</v>
      </c>
      <c r="H2" s="128">
        <f>IF(B$15=0,0,G2/B$15)</f>
        <v>0.76855895196506552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-637.37373737373741</v>
      </c>
      <c r="P2" s="114">
        <v>99</v>
      </c>
      <c r="Q2" s="98">
        <v>-63100</v>
      </c>
    </row>
    <row r="3" spans="1:17" x14ac:dyDescent="0.45">
      <c r="A3" s="51" t="s">
        <v>8</v>
      </c>
      <c r="B3" s="156">
        <v>863</v>
      </c>
      <c r="C3" s="157"/>
      <c r="E3" s="59" t="s">
        <v>64</v>
      </c>
      <c r="F3" s="56" t="s">
        <v>20</v>
      </c>
      <c r="G3" s="44">
        <v>127</v>
      </c>
      <c r="H3" s="129">
        <f>IF(B$15=0,0,G3/B$15)</f>
        <v>0.55458515283842791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-893.93939393939399</v>
      </c>
      <c r="P3" s="115">
        <v>99</v>
      </c>
      <c r="Q3" s="99">
        <v>-88500</v>
      </c>
    </row>
    <row r="4" spans="1:17" x14ac:dyDescent="0.45">
      <c r="A4" s="51" t="s">
        <v>6</v>
      </c>
      <c r="B4" s="158">
        <v>-752.69999999999993</v>
      </c>
      <c r="C4" s="159"/>
      <c r="E4" s="59" t="s">
        <v>72</v>
      </c>
      <c r="F4" s="56" t="s">
        <v>27</v>
      </c>
      <c r="G4" s="44">
        <v>114</v>
      </c>
      <c r="H4" s="129">
        <f>IF(B$15=0,0,G4/B$15)</f>
        <v>0.49781659388646288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469.89247311827955</v>
      </c>
      <c r="P4" s="115">
        <v>93</v>
      </c>
      <c r="Q4" s="99">
        <v>43700</v>
      </c>
    </row>
    <row r="5" spans="1:17" x14ac:dyDescent="0.45">
      <c r="A5" s="51" t="s">
        <v>7</v>
      </c>
      <c r="B5" s="160">
        <f>IF(B$2=0,0,B$4/B$2)</f>
        <v>-7.5269999999999992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0.41921397379912662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-779.12087912087907</v>
      </c>
      <c r="P5" s="115">
        <v>91</v>
      </c>
      <c r="Q5" s="99">
        <v>-70900</v>
      </c>
    </row>
    <row r="6" spans="1:17" x14ac:dyDescent="0.45">
      <c r="A6" s="51" t="s">
        <v>1</v>
      </c>
      <c r="B6" s="150">
        <f>IF(B$2=0,0,(B$7*1+B$8*2+B$9*3)/B$2)</f>
        <v>2.19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0.34934497816593885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-2894.1860465116279</v>
      </c>
      <c r="P6" s="115">
        <v>86</v>
      </c>
      <c r="Q6" s="99">
        <v>-248900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</v>
      </c>
      <c r="E7" s="59" t="s">
        <v>67</v>
      </c>
      <c r="F7" s="56" t="s">
        <v>23</v>
      </c>
      <c r="G7" s="44">
        <v>70</v>
      </c>
      <c r="H7" s="129">
        <f>IF(B$15=0,0,G7/B$15)</f>
        <v>0.3056768558951965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-1877.3333333333333</v>
      </c>
      <c r="P7" s="116">
        <v>75</v>
      </c>
      <c r="Q7" s="100">
        <v>-140800</v>
      </c>
    </row>
    <row r="8" spans="1:17" x14ac:dyDescent="0.45">
      <c r="A8" s="51" t="s">
        <v>3</v>
      </c>
      <c r="B8" s="44">
        <v>39</v>
      </c>
      <c r="C8" s="37">
        <f t="shared" si="1"/>
        <v>0.39</v>
      </c>
      <c r="E8" s="59" t="s">
        <v>69</v>
      </c>
      <c r="F8" s="56" t="s">
        <v>24</v>
      </c>
      <c r="G8" s="44">
        <v>33</v>
      </c>
      <c r="H8" s="129">
        <f>IF(B$15=0,0,G8/B$15)</f>
        <v>0.14410480349344978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0.4</v>
      </c>
      <c r="E9" s="59" t="s">
        <v>65</v>
      </c>
      <c r="F9" s="56" t="s">
        <v>21</v>
      </c>
      <c r="G9" s="44">
        <v>28</v>
      </c>
      <c r="H9" s="129">
        <f>IF(B$15=0,0,G9/B$15)</f>
        <v>0.1222707423580786</v>
      </c>
      <c r="I9" s="90">
        <v>7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0.08</v>
      </c>
      <c r="E10" s="59" t="s">
        <v>70</v>
      </c>
      <c r="F10" s="56" t="s">
        <v>25</v>
      </c>
      <c r="G10" s="44">
        <v>28</v>
      </c>
      <c r="H10" s="129">
        <f>IF(B$15=0,0,G10/B$15)</f>
        <v>0.1222707423580786</v>
      </c>
      <c r="I10" s="90">
        <v>3</v>
      </c>
      <c r="K10" s="36">
        <v>8</v>
      </c>
      <c r="L10" s="95">
        <v>-62.999999999999993</v>
      </c>
      <c r="N10" s="110" t="s">
        <v>157</v>
      </c>
      <c r="O10" s="120">
        <f>IF(P10=0,0,Q10/P10)</f>
        <v>-6.9425000000000026</v>
      </c>
      <c r="P10" s="114">
        <v>40</v>
      </c>
      <c r="Q10" s="102">
        <v>-277.7000000000001</v>
      </c>
    </row>
    <row r="11" spans="1:17" x14ac:dyDescent="0.45">
      <c r="A11" s="54" t="s">
        <v>121</v>
      </c>
      <c r="B11" s="47">
        <v>236</v>
      </c>
      <c r="C11" s="42">
        <f>IF(B$3=0,0,B11/B$3)</f>
        <v>0.27346465816917731</v>
      </c>
      <c r="E11" s="59" t="s">
        <v>89</v>
      </c>
      <c r="F11" s="56" t="s">
        <v>44</v>
      </c>
      <c r="G11" s="44">
        <v>26</v>
      </c>
      <c r="H11" s="129">
        <f>IF(B$15=0,0,G11/B$15)</f>
        <v>0.11353711790393013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165</v>
      </c>
      <c r="C12" s="37">
        <f>IF(B$3=0,0,B12/B$3)</f>
        <v>0.19119351100811124</v>
      </c>
      <c r="E12" s="59" t="s">
        <v>83</v>
      </c>
      <c r="F12" s="56" t="s">
        <v>38</v>
      </c>
      <c r="G12" s="44">
        <v>14</v>
      </c>
      <c r="H12" s="129">
        <f>IF(B$15=0,0,G12/B$15)</f>
        <v>6.1135371179039298E-2</v>
      </c>
      <c r="I12" s="90">
        <v>4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127</v>
      </c>
      <c r="C13" s="35">
        <f>IF(B$11=0,0,B13/B$11)</f>
        <v>0.53813559322033899</v>
      </c>
      <c r="E13" s="59" t="s">
        <v>86</v>
      </c>
      <c r="F13" s="56" t="s">
        <v>41</v>
      </c>
      <c r="G13" s="44">
        <v>10</v>
      </c>
      <c r="H13" s="129">
        <f>IF(B$15=0,0,G13/B$15)</f>
        <v>4.3668122270742356E-2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71</v>
      </c>
      <c r="F14" s="56" t="s">
        <v>26</v>
      </c>
      <c r="G14" s="44">
        <v>9</v>
      </c>
      <c r="H14" s="129">
        <f>IF(B$15=0,0,G14/B$15)</f>
        <v>3.9301310043668124E-2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229</v>
      </c>
      <c r="C15" s="35">
        <f>IF(B$3=0,0,B15/B$3)</f>
        <v>0.26535341830822712</v>
      </c>
      <c r="E15" s="59" t="s">
        <v>78</v>
      </c>
      <c r="F15" s="56" t="s">
        <v>33</v>
      </c>
      <c r="G15" s="44">
        <v>8</v>
      </c>
      <c r="H15" s="129">
        <f>IF(B$15=0,0,G15/B$15)</f>
        <v>3.4934497816593885E-2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158</v>
      </c>
      <c r="C16" s="37">
        <f>IF(B$3=0,0,B16/B$3)</f>
        <v>0.18308227114716108</v>
      </c>
      <c r="E16" s="59" t="s">
        <v>79</v>
      </c>
      <c r="F16" s="56" t="s">
        <v>34</v>
      </c>
      <c r="G16" s="44">
        <v>4</v>
      </c>
      <c r="H16" s="129">
        <f>IF(B$15=0,0,G16/B$15)</f>
        <v>1.7467248908296942E-2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>IF(P16=0,0,Q16/P16)</f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107</v>
      </c>
      <c r="C17" s="37">
        <f>IF(B$15=0,0,B17/B$15)</f>
        <v>0.46724890829694321</v>
      </c>
      <c r="E17" s="59" t="s">
        <v>81</v>
      </c>
      <c r="F17" s="56" t="s">
        <v>36</v>
      </c>
      <c r="G17" s="44">
        <v>4</v>
      </c>
      <c r="H17" s="129">
        <f>IF(B$15=0,0,G17/B$15)</f>
        <v>1.7467248908296942E-2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>IF(P17=0,0,Q17/P17)</f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0.53275109170305679</v>
      </c>
      <c r="E18" s="59" t="s">
        <v>162</v>
      </c>
      <c r="F18" s="56" t="s">
        <v>163</v>
      </c>
      <c r="G18" s="44">
        <v>4</v>
      </c>
      <c r="H18" s="129">
        <f>IF(B$15=0,0,G18/B$15)</f>
        <v>1.7467248908296942E-2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127</v>
      </c>
      <c r="C19" s="37">
        <f>IF(B$15=0,0,B19/B$15)</f>
        <v>0.55458515283842791</v>
      </c>
      <c r="E19" s="59" t="s">
        <v>75</v>
      </c>
      <c r="F19" s="56" t="s">
        <v>30</v>
      </c>
      <c r="G19" s="44">
        <v>3</v>
      </c>
      <c r="H19" s="129">
        <f>IF(B$15=0,0,G19/B$15)</f>
        <v>1.3100436681222707E-2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>IF(P19=0,0,Q19/P19)</f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0.29257641921397382</v>
      </c>
      <c r="E20" s="59" t="s">
        <v>85</v>
      </c>
      <c r="F20" s="56" t="s">
        <v>40</v>
      </c>
      <c r="G20" s="44">
        <v>1</v>
      </c>
      <c r="H20" s="129">
        <f>IF(B$15=0,0,G20/B$15)</f>
        <v>4.3668122270742356E-3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>IF(P20=0,0,Q20/P20)</f>
        <v>-15.762500000000001</v>
      </c>
      <c r="P20" s="115">
        <v>64</v>
      </c>
      <c r="Q20" s="103">
        <v>-1008.8000000000001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0.15283842794759825</v>
      </c>
      <c r="E21" s="59" t="s">
        <v>91</v>
      </c>
      <c r="F21" s="56" t="s">
        <v>46</v>
      </c>
      <c r="G21" s="44">
        <v>1</v>
      </c>
      <c r="H21" s="129">
        <f>IF(B$15=0,0,G21/B$15)</f>
        <v>4.3668122270742356E-3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>IF(P21=0,0,Q21/P21)</f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7835.8078602620089</v>
      </c>
      <c r="C22" s="39">
        <v>1794400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-177.6</v>
      </c>
      <c r="N22" s="111" t="s">
        <v>274</v>
      </c>
      <c r="O22" s="121">
        <f>IF(P22=0,0,Q22/P22)</f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8448.1481481481478</v>
      </c>
      <c r="C23" s="137">
        <v>1368600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-7813.9240506329115</v>
      </c>
      <c r="C25" s="137">
        <v>-1234600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3.4762456546929316E-3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7.4235807860262015E-2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0.1703056768558952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0.22707423580786026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35</v>
      </c>
      <c r="C35" s="37">
        <f t="shared" si="2"/>
        <v>0.15283842794759825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2"/>
        <v>0.1703056768558952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2"/>
        <v>0.10043668122270742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2"/>
        <v>6.1135371179039298E-2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2"/>
        <v>2.6200873362445413E-2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2"/>
        <v>4.3668122270742356E-3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4.3668122270742356E-3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8.7336244541484712E-3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3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135</v>
      </c>
      <c r="C2" s="155"/>
      <c r="E2" s="58" t="s">
        <v>66</v>
      </c>
      <c r="F2" s="55" t="s">
        <v>22</v>
      </c>
      <c r="G2" s="43">
        <v>271</v>
      </c>
      <c r="H2" s="128">
        <f>IF(B$15=0,0,G2/B$15)</f>
        <v>0.89438943894389444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1285.1851851851852</v>
      </c>
      <c r="P2" s="114">
        <v>135</v>
      </c>
      <c r="Q2" s="98">
        <v>173500</v>
      </c>
    </row>
    <row r="3" spans="1:17" x14ac:dyDescent="0.45">
      <c r="A3" s="51" t="s">
        <v>8</v>
      </c>
      <c r="B3" s="156">
        <v>1104</v>
      </c>
      <c r="C3" s="157"/>
      <c r="E3" s="59" t="s">
        <v>72</v>
      </c>
      <c r="F3" s="56" t="s">
        <v>27</v>
      </c>
      <c r="G3" s="44">
        <v>167</v>
      </c>
      <c r="H3" s="129">
        <f>IF(B$15=0,0,G3/B$15)</f>
        <v>0.55115511551155116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-1825.5639097744361</v>
      </c>
      <c r="P3" s="115">
        <v>133</v>
      </c>
      <c r="Q3" s="99">
        <v>-242800</v>
      </c>
    </row>
    <row r="4" spans="1:17" x14ac:dyDescent="0.45">
      <c r="A4" s="51" t="s">
        <v>6</v>
      </c>
      <c r="B4" s="158">
        <v>548.60000000000048</v>
      </c>
      <c r="C4" s="159"/>
      <c r="E4" s="59" t="s">
        <v>64</v>
      </c>
      <c r="F4" s="56" t="s">
        <v>20</v>
      </c>
      <c r="G4" s="44">
        <v>165</v>
      </c>
      <c r="H4" s="129">
        <f>IF(B$15=0,0,G4/B$15)</f>
        <v>0.54455445544554459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-439.6694214876033</v>
      </c>
      <c r="P4" s="115">
        <v>121</v>
      </c>
      <c r="Q4" s="99">
        <v>-53200</v>
      </c>
    </row>
    <row r="5" spans="1:17" x14ac:dyDescent="0.45">
      <c r="A5" s="51" t="s">
        <v>7</v>
      </c>
      <c r="B5" s="160">
        <f>IF(B$2=0,0,B$4/B$2)</f>
        <v>4.0637037037037071</v>
      </c>
      <c r="C5" s="161"/>
      <c r="E5" s="59" t="s">
        <v>67</v>
      </c>
      <c r="F5" s="56" t="s">
        <v>23</v>
      </c>
      <c r="G5" s="44">
        <v>123</v>
      </c>
      <c r="H5" s="129">
        <f>IF(B$15=0,0,G5/B$15)</f>
        <v>0.40594059405940597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2318.4210526315787</v>
      </c>
      <c r="P5" s="115">
        <v>114</v>
      </c>
      <c r="Q5" s="99">
        <v>264300</v>
      </c>
    </row>
    <row r="6" spans="1:17" x14ac:dyDescent="0.45">
      <c r="A6" s="51" t="s">
        <v>1</v>
      </c>
      <c r="B6" s="150">
        <f>IF(B$2=0,0,(B$7*1+B$8*2+B$9*3)/B$2)</f>
        <v>1.9185185185185185</v>
      </c>
      <c r="C6" s="151"/>
      <c r="E6" s="59" t="s">
        <v>68</v>
      </c>
      <c r="F6" s="56" t="s">
        <v>12</v>
      </c>
      <c r="G6" s="44">
        <v>120</v>
      </c>
      <c r="H6" s="129">
        <f>IF(B$15=0,0,G6/B$15)</f>
        <v>0.39603960396039606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1622.5490196078431</v>
      </c>
      <c r="P6" s="115">
        <v>102</v>
      </c>
      <c r="Q6" s="99">
        <v>165500</v>
      </c>
    </row>
    <row r="7" spans="1:17" x14ac:dyDescent="0.45">
      <c r="A7" s="51" t="s">
        <v>2</v>
      </c>
      <c r="B7" s="44">
        <v>54</v>
      </c>
      <c r="C7" s="37">
        <f t="shared" ref="C7:C10" si="1">IF(B$2=0,0,B7/B$2)</f>
        <v>0.4</v>
      </c>
      <c r="E7" s="59" t="s">
        <v>166</v>
      </c>
      <c r="F7" s="56" t="s">
        <v>167</v>
      </c>
      <c r="G7" s="44">
        <v>111</v>
      </c>
      <c r="H7" s="129">
        <f>IF(B$15=0,0,G7/B$15)</f>
        <v>0.36633663366336633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249.36708860759492</v>
      </c>
      <c r="P7" s="116">
        <v>79</v>
      </c>
      <c r="Q7" s="100">
        <v>19700</v>
      </c>
    </row>
    <row r="8" spans="1:17" x14ac:dyDescent="0.45">
      <c r="A8" s="51" t="s">
        <v>3</v>
      </c>
      <c r="B8" s="44">
        <v>38</v>
      </c>
      <c r="C8" s="37">
        <f t="shared" si="1"/>
        <v>0.2814814814814815</v>
      </c>
      <c r="E8" s="59" t="s">
        <v>89</v>
      </c>
      <c r="F8" s="56" t="s">
        <v>44</v>
      </c>
      <c r="G8" s="44">
        <v>76</v>
      </c>
      <c r="H8" s="129">
        <f>IF(B$15=0,0,G8/B$15)</f>
        <v>0.25082508250825081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43</v>
      </c>
      <c r="C9" s="38">
        <f t="shared" si="1"/>
        <v>0.31851851851851853</v>
      </c>
      <c r="E9" s="59" t="s">
        <v>69</v>
      </c>
      <c r="F9" s="56" t="s">
        <v>24</v>
      </c>
      <c r="G9" s="44">
        <v>65</v>
      </c>
      <c r="H9" s="129">
        <f>IF(B$15=0,0,G9/B$15)</f>
        <v>0.21452145214521451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16</v>
      </c>
      <c r="C10" s="40">
        <f t="shared" si="1"/>
        <v>0.11851851851851852</v>
      </c>
      <c r="E10" s="59" t="s">
        <v>65</v>
      </c>
      <c r="F10" s="56" t="s">
        <v>21</v>
      </c>
      <c r="G10" s="44">
        <v>43</v>
      </c>
      <c r="H10" s="129">
        <f>IF(B$15=0,0,G10/B$15)</f>
        <v>0.14191419141914191</v>
      </c>
      <c r="I10" s="90">
        <v>5</v>
      </c>
      <c r="K10" s="36">
        <v>8</v>
      </c>
      <c r="L10" s="95">
        <v>-110.19999999999999</v>
      </c>
      <c r="N10" s="110" t="s">
        <v>157</v>
      </c>
      <c r="O10" s="120">
        <f>IF(P10=0,0,Q10/P10)</f>
        <v>-7.7189189189189191</v>
      </c>
      <c r="P10" s="114">
        <v>37</v>
      </c>
      <c r="Q10" s="102">
        <v>-285.60000000000002</v>
      </c>
    </row>
    <row r="11" spans="1:17" x14ac:dyDescent="0.45">
      <c r="A11" s="54" t="s">
        <v>121</v>
      </c>
      <c r="B11" s="47">
        <v>330</v>
      </c>
      <c r="C11" s="42">
        <f>IF(B$3=0,0,B11/B$3)</f>
        <v>0.29891304347826086</v>
      </c>
      <c r="E11" s="59" t="s">
        <v>70</v>
      </c>
      <c r="F11" s="56" t="s">
        <v>25</v>
      </c>
      <c r="G11" s="44">
        <v>34</v>
      </c>
      <c r="H11" s="129">
        <f>IF(B$15=0,0,G11/B$15)</f>
        <v>0.11221122112211221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6.5529411764705872</v>
      </c>
      <c r="P11" s="115">
        <v>51</v>
      </c>
      <c r="Q11" s="103">
        <v>334.19999999999993</v>
      </c>
    </row>
    <row r="12" spans="1:17" x14ac:dyDescent="0.45">
      <c r="A12" s="51" t="s">
        <v>118</v>
      </c>
      <c r="B12" s="44">
        <v>200</v>
      </c>
      <c r="C12" s="37">
        <f>IF(B$3=0,0,B12/B$3)</f>
        <v>0.18115942028985507</v>
      </c>
      <c r="E12" s="59" t="s">
        <v>162</v>
      </c>
      <c r="F12" s="56" t="s">
        <v>163</v>
      </c>
      <c r="G12" s="44">
        <v>17</v>
      </c>
      <c r="H12" s="129">
        <f>IF(B$15=0,0,G12/B$15)</f>
        <v>5.6105610561056105E-2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10.638297872340425</v>
      </c>
      <c r="P12" s="116">
        <v>47</v>
      </c>
      <c r="Q12" s="104">
        <v>500</v>
      </c>
    </row>
    <row r="13" spans="1:17" x14ac:dyDescent="0.45">
      <c r="A13" s="50" t="s">
        <v>123</v>
      </c>
      <c r="B13" s="43">
        <f>B19</f>
        <v>181</v>
      </c>
      <c r="C13" s="35">
        <f>IF(B$11=0,0,B13/B$11)</f>
        <v>0.54848484848484846</v>
      </c>
      <c r="E13" s="59" t="s">
        <v>71</v>
      </c>
      <c r="F13" s="56" t="s">
        <v>26</v>
      </c>
      <c r="G13" s="44">
        <v>16</v>
      </c>
      <c r="H13" s="129">
        <f>IF(B$15=0,0,G13/B$15)</f>
        <v>5.2805280528052806E-2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75</v>
      </c>
      <c r="C14" s="35">
        <f>IF(B$12=0,0,B14/B$12)</f>
        <v>0.375</v>
      </c>
      <c r="E14" s="59" t="s">
        <v>86</v>
      </c>
      <c r="F14" s="56" t="s">
        <v>41</v>
      </c>
      <c r="G14" s="44">
        <v>12</v>
      </c>
      <c r="H14" s="129">
        <f>IF(B$15=0,0,G14/B$15)</f>
        <v>3.9603960396039604E-2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303</v>
      </c>
      <c r="C15" s="35">
        <f>IF(B$3=0,0,B15/B$3)</f>
        <v>0.27445652173913043</v>
      </c>
      <c r="E15" s="59" t="s">
        <v>83</v>
      </c>
      <c r="F15" s="56" t="s">
        <v>38</v>
      </c>
      <c r="G15" s="44">
        <v>10</v>
      </c>
      <c r="H15" s="129">
        <f>IF(B$15=0,0,G15/B$15)</f>
        <v>3.3003300330033E-2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193</v>
      </c>
      <c r="C16" s="37">
        <f>IF(B$3=0,0,B16/B$3)</f>
        <v>0.17481884057971014</v>
      </c>
      <c r="E16" s="59" t="s">
        <v>92</v>
      </c>
      <c r="F16" s="56" t="s">
        <v>47</v>
      </c>
      <c r="G16" s="44">
        <v>6</v>
      </c>
      <c r="H16" s="129">
        <f>IF(B$15=0,0,G16/B$15)</f>
        <v>1.9801980198019802E-2</v>
      </c>
      <c r="I16" s="90">
        <v>1</v>
      </c>
      <c r="K16" s="36">
        <v>14</v>
      </c>
      <c r="L16" s="95">
        <v>-86.499999999999972</v>
      </c>
      <c r="N16" s="111" t="s">
        <v>161</v>
      </c>
      <c r="O16" s="121">
        <f>IF(P16=0,0,Q16/P16)</f>
        <v>26.930769230769229</v>
      </c>
      <c r="P16" s="115">
        <v>26</v>
      </c>
      <c r="Q16" s="103">
        <v>700.19999999999993</v>
      </c>
    </row>
    <row r="17" spans="1:17" x14ac:dyDescent="0.45">
      <c r="A17" s="51" t="s">
        <v>12</v>
      </c>
      <c r="B17" s="44">
        <v>154</v>
      </c>
      <c r="C17" s="37">
        <f>IF(B$15=0,0,B17/B$15)</f>
        <v>0.5082508250825083</v>
      </c>
      <c r="E17" s="59" t="s">
        <v>91</v>
      </c>
      <c r="F17" s="56" t="s">
        <v>46</v>
      </c>
      <c r="G17" s="44">
        <v>5</v>
      </c>
      <c r="H17" s="129">
        <f>IF(B$15=0,0,G17/B$15)</f>
        <v>1.65016501650165E-2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11.178571428571431</v>
      </c>
      <c r="P17" s="115">
        <v>28</v>
      </c>
      <c r="Q17" s="103">
        <v>313.00000000000006</v>
      </c>
    </row>
    <row r="18" spans="1:17" x14ac:dyDescent="0.45">
      <c r="A18" s="51" t="s">
        <v>11</v>
      </c>
      <c r="B18" s="44">
        <v>149</v>
      </c>
      <c r="C18" s="37">
        <f>IF(B$15=0,0,B18/B$15)</f>
        <v>0.49174917491749176</v>
      </c>
      <c r="E18" s="59" t="s">
        <v>78</v>
      </c>
      <c r="F18" s="56" t="s">
        <v>33</v>
      </c>
      <c r="G18" s="44">
        <v>4</v>
      </c>
      <c r="H18" s="129">
        <f>IF(B$15=0,0,G18/B$15)</f>
        <v>1.3201320132013201E-2</v>
      </c>
      <c r="I18" s="90">
        <v>8</v>
      </c>
      <c r="K18" s="36">
        <v>16</v>
      </c>
      <c r="L18" s="95">
        <v>-63.099999999999966</v>
      </c>
      <c r="N18" s="111" t="s">
        <v>171</v>
      </c>
      <c r="O18" s="121">
        <f>IF(P18=0,0,Q18/P18)</f>
        <v>10.093650793650792</v>
      </c>
      <c r="P18" s="115">
        <v>63</v>
      </c>
      <c r="Q18" s="103">
        <v>635.89999999999986</v>
      </c>
    </row>
    <row r="19" spans="1:17" x14ac:dyDescent="0.45">
      <c r="A19" s="51" t="s">
        <v>195</v>
      </c>
      <c r="B19" s="44">
        <v>181</v>
      </c>
      <c r="C19" s="37">
        <f>IF(B$15=0,0,B19/B$15)</f>
        <v>0.59735973597359737</v>
      </c>
      <c r="E19" s="59" t="s">
        <v>81</v>
      </c>
      <c r="F19" s="56" t="s">
        <v>36</v>
      </c>
      <c r="G19" s="44">
        <v>4</v>
      </c>
      <c r="H19" s="129">
        <f>IF(B$15=0,0,G19/B$15)</f>
        <v>1.3201320132013201E-2</v>
      </c>
      <c r="I19" s="90">
        <v>10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75</v>
      </c>
      <c r="C20" s="37">
        <f>IF(B$15=0,0,B20/B$15)</f>
        <v>0.24752475247524752</v>
      </c>
      <c r="E20" s="59" t="s">
        <v>79</v>
      </c>
      <c r="F20" s="56" t="s">
        <v>34</v>
      </c>
      <c r="G20" s="44">
        <v>3</v>
      </c>
      <c r="H20" s="129">
        <f>IF(B$15=0,0,G20/B$15)</f>
        <v>9.9009900990099011E-3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3.1222222222222205</v>
      </c>
      <c r="P20" s="115">
        <v>54</v>
      </c>
      <c r="Q20" s="103">
        <v>168.59999999999991</v>
      </c>
    </row>
    <row r="21" spans="1:17" x14ac:dyDescent="0.45">
      <c r="A21" s="51" t="s">
        <v>194</v>
      </c>
      <c r="B21" s="44">
        <v>47</v>
      </c>
      <c r="C21" s="37">
        <f>IF(B$15=0,0,B21/B$15)</f>
        <v>0.15511551155115511</v>
      </c>
      <c r="E21" s="59" t="s">
        <v>85</v>
      </c>
      <c r="F21" s="56" t="s">
        <v>40</v>
      </c>
      <c r="G21" s="44">
        <v>3</v>
      </c>
      <c r="H21" s="129">
        <f>IF(B$15=0,0,G21/B$15)</f>
        <v>9.9009900990099011E-3</v>
      </c>
      <c r="I21" s="90">
        <v>3</v>
      </c>
      <c r="K21" s="36">
        <v>19</v>
      </c>
      <c r="L21" s="95">
        <v>-27.799999999999969</v>
      </c>
      <c r="N21" s="111" t="s">
        <v>126</v>
      </c>
      <c r="O21" s="121">
        <f>IF(P21=0,0,Q21/P21)</f>
        <v>-2.7035087719298279</v>
      </c>
      <c r="P21" s="115">
        <v>57</v>
      </c>
      <c r="Q21" s="103">
        <v>-154.10000000000019</v>
      </c>
    </row>
    <row r="22" spans="1:17" x14ac:dyDescent="0.45">
      <c r="A22" s="51" t="s">
        <v>5</v>
      </c>
      <c r="B22" s="48">
        <f>IF(B$15=0,0,C22/B$15)</f>
        <v>10919.141914191419</v>
      </c>
      <c r="C22" s="39">
        <v>3308500</v>
      </c>
      <c r="E22" s="59" t="s">
        <v>73</v>
      </c>
      <c r="F22" s="56" t="s">
        <v>28</v>
      </c>
      <c r="G22" s="44">
        <v>2</v>
      </c>
      <c r="H22" s="129">
        <f>IF(B$15=0,0,G22/B$15)</f>
        <v>6.6006600660066007E-3</v>
      </c>
      <c r="I22" s="90">
        <v>2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11518.859649122807</v>
      </c>
      <c r="C23" s="137">
        <v>2626300</v>
      </c>
      <c r="E23" s="59" t="s">
        <v>75</v>
      </c>
      <c r="F23" s="56" t="s">
        <v>30</v>
      </c>
      <c r="G23" s="44">
        <v>2</v>
      </c>
      <c r="H23" s="129">
        <f>IF(B$15=0,0,G23/B$15)</f>
        <v>6.6006600660066007E-3</v>
      </c>
      <c r="I23" s="90">
        <v>7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9096</v>
      </c>
      <c r="C24" s="137">
        <v>682200</v>
      </c>
      <c r="E24" s="59" t="s">
        <v>84</v>
      </c>
      <c r="F24" s="56" t="s">
        <v>39</v>
      </c>
      <c r="G24" s="44">
        <v>2</v>
      </c>
      <c r="H24" s="129">
        <f>IF(B$15=0,0,G24/B$15)</f>
        <v>6.6006600660066007E-3</v>
      </c>
      <c r="I24" s="90">
        <v>1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-7965.8031088082898</v>
      </c>
      <c r="C25" s="137">
        <v>-1537400</v>
      </c>
      <c r="E25" s="59" t="s">
        <v>90</v>
      </c>
      <c r="F25" s="56" t="s">
        <v>45</v>
      </c>
      <c r="G25" s="44">
        <v>2</v>
      </c>
      <c r="H25" s="129">
        <f>IF(B$15=0,0,G25/B$15)</f>
        <v>6.6006600660066007E-3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77</v>
      </c>
      <c r="F26" s="56" t="s">
        <v>32</v>
      </c>
      <c r="G26" s="44">
        <v>1</v>
      </c>
      <c r="H26" s="129">
        <f>IF(B$15=0,0,G26/B$15)</f>
        <v>3.3003300330033004E-3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2</v>
      </c>
      <c r="E27" s="59" t="s">
        <v>88</v>
      </c>
      <c r="F27" s="56" t="s">
        <v>43</v>
      </c>
      <c r="G27" s="44">
        <v>1</v>
      </c>
      <c r="H27" s="129">
        <f>IF(B$15=0,0,G27/B$15)</f>
        <v>3.3003300330033004E-3</v>
      </c>
      <c r="I27" s="90">
        <v>3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3.3003300330033004E-3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97</v>
      </c>
      <c r="F29" s="56" t="s">
        <v>52</v>
      </c>
      <c r="G29" s="44">
        <v>1</v>
      </c>
      <c r="H29" s="129">
        <f>IF(B$15=0,0,G29/B$15)</f>
        <v>3.3003300330033004E-3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1.8115942028985507E-3</v>
      </c>
      <c r="E30" s="59" t="s">
        <v>74</v>
      </c>
      <c r="F30" s="56" t="s">
        <v>29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-10.999999999999972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2.6402640264026403E-2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24</v>
      </c>
      <c r="C33" s="37">
        <f t="shared" ref="C33:C44" si="2">IF(B$15=0,0,B33/B$15)</f>
        <v>7.9207920792079209E-2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41</v>
      </c>
      <c r="C34" s="37">
        <f>IF(B$15=0,0,B34/B$15)</f>
        <v>0.13531353135313531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7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56</v>
      </c>
      <c r="C35" s="37">
        <f t="shared" si="2"/>
        <v>0.18481848184818481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67</v>
      </c>
      <c r="C36" s="37">
        <f t="shared" si="2"/>
        <v>0.22112211221122113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43</v>
      </c>
      <c r="C37" s="37">
        <f t="shared" si="2"/>
        <v>0.14191419141914191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22</v>
      </c>
      <c r="C38" s="37">
        <f t="shared" si="2"/>
        <v>7.2607260726072612E-2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19</v>
      </c>
      <c r="C39" s="37">
        <f t="shared" si="2"/>
        <v>6.2706270627062702E-2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8</v>
      </c>
      <c r="C40" s="37">
        <f t="shared" si="2"/>
        <v>2.6402640264026403E-2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9.9009900990099011E-3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6.6006600660066007E-3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3.3003300330033004E-3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9</v>
      </c>
      <c r="C44" s="40">
        <f t="shared" si="2"/>
        <v>2.9702970297029702E-2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</sheetData>
  <sortState xmlns:xlrd2="http://schemas.microsoft.com/office/spreadsheetml/2017/richdata2" ref="E2:I13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146</v>
      </c>
      <c r="C2" s="155"/>
      <c r="E2" s="58" t="s">
        <v>66</v>
      </c>
      <c r="F2" s="55" t="s">
        <v>22</v>
      </c>
      <c r="G2" s="43">
        <v>245</v>
      </c>
      <c r="H2" s="128">
        <f>IF(B$15=0,0,G2/B$15)</f>
        <v>0.7357357357357357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-207.53424657534248</v>
      </c>
      <c r="P2" s="114">
        <v>146</v>
      </c>
      <c r="Q2" s="98">
        <v>-30300</v>
      </c>
    </row>
    <row r="3" spans="1:17" x14ac:dyDescent="0.45">
      <c r="A3" s="51" t="s">
        <v>8</v>
      </c>
      <c r="B3" s="156">
        <v>1182</v>
      </c>
      <c r="C3" s="157"/>
      <c r="E3" s="59" t="s">
        <v>72</v>
      </c>
      <c r="F3" s="56" t="s">
        <v>27</v>
      </c>
      <c r="G3" s="44">
        <v>187</v>
      </c>
      <c r="H3" s="129">
        <f>IF(B$15=0,0,G3/B$15)</f>
        <v>0.56156156156156156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264.33566433566432</v>
      </c>
      <c r="P3" s="115">
        <v>143</v>
      </c>
      <c r="Q3" s="99">
        <v>37800</v>
      </c>
    </row>
    <row r="4" spans="1:17" x14ac:dyDescent="0.45">
      <c r="A4" s="51" t="s">
        <v>6</v>
      </c>
      <c r="B4" s="158">
        <v>-28.099999999999977</v>
      </c>
      <c r="C4" s="159"/>
      <c r="E4" s="59" t="s">
        <v>64</v>
      </c>
      <c r="F4" s="56" t="s">
        <v>20</v>
      </c>
      <c r="G4" s="44">
        <v>164</v>
      </c>
      <c r="H4" s="129">
        <f>IF(B$15=0,0,G4/B$15)</f>
        <v>0.4924924924924925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178.5185185185185</v>
      </c>
      <c r="P4" s="115">
        <v>135</v>
      </c>
      <c r="Q4" s="99">
        <v>24100</v>
      </c>
    </row>
    <row r="5" spans="1:17" x14ac:dyDescent="0.45">
      <c r="A5" s="51" t="s">
        <v>7</v>
      </c>
      <c r="B5" s="160">
        <f>IF(B$2=0,0,B$4/B$2)</f>
        <v>-0.19246575342465738</v>
      </c>
      <c r="C5" s="161"/>
      <c r="E5" s="59" t="s">
        <v>166</v>
      </c>
      <c r="F5" s="56" t="s">
        <v>167</v>
      </c>
      <c r="G5" s="44">
        <v>145</v>
      </c>
      <c r="H5" s="129">
        <f>IF(B$15=0,0,G5/B$15)</f>
        <v>0.43543543543543545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376.61290322580646</v>
      </c>
      <c r="P5" s="115">
        <v>124</v>
      </c>
      <c r="Q5" s="99">
        <v>46700</v>
      </c>
    </row>
    <row r="6" spans="1:17" x14ac:dyDescent="0.45">
      <c r="A6" s="51" t="s">
        <v>1</v>
      </c>
      <c r="B6" s="150">
        <f>IF(B$2=0,0,(B$7*1+B$8*2+B$9*3)/B$2)</f>
        <v>2.0410958904109591</v>
      </c>
      <c r="C6" s="151"/>
      <c r="E6" s="59" t="s">
        <v>67</v>
      </c>
      <c r="F6" s="56" t="s">
        <v>23</v>
      </c>
      <c r="G6" s="44">
        <v>110</v>
      </c>
      <c r="H6" s="129">
        <f>IF(B$15=0,0,G6/B$15)</f>
        <v>0.33033033033033032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144.24778761061947</v>
      </c>
      <c r="P6" s="115">
        <v>113</v>
      </c>
      <c r="Q6" s="99">
        <v>16300</v>
      </c>
    </row>
    <row r="7" spans="1:17" x14ac:dyDescent="0.45">
      <c r="A7" s="51" t="s">
        <v>2</v>
      </c>
      <c r="B7" s="44">
        <v>37</v>
      </c>
      <c r="C7" s="37">
        <f t="shared" ref="C7:C10" si="1">IF(B$2=0,0,B7/B$2)</f>
        <v>0.25342465753424659</v>
      </c>
      <c r="E7" s="59" t="s">
        <v>68</v>
      </c>
      <c r="F7" s="56" t="s">
        <v>12</v>
      </c>
      <c r="G7" s="44">
        <v>105</v>
      </c>
      <c r="H7" s="129">
        <f>IF(B$15=0,0,G7/B$15)</f>
        <v>0.31531531531531531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-622.91666666666663</v>
      </c>
      <c r="P7" s="116">
        <v>96</v>
      </c>
      <c r="Q7" s="100">
        <v>-59800</v>
      </c>
    </row>
    <row r="8" spans="1:17" x14ac:dyDescent="0.45">
      <c r="A8" s="51" t="s">
        <v>3</v>
      </c>
      <c r="B8" s="44">
        <v>66</v>
      </c>
      <c r="C8" s="37">
        <f t="shared" si="1"/>
        <v>0.45205479452054792</v>
      </c>
      <c r="E8" s="59" t="s">
        <v>89</v>
      </c>
      <c r="F8" s="56" t="s">
        <v>44</v>
      </c>
      <c r="G8" s="44">
        <v>46</v>
      </c>
      <c r="H8" s="129">
        <f>IF(B$15=0,0,G8/B$15)</f>
        <v>0.13813813813813813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43</v>
      </c>
      <c r="C9" s="38">
        <f t="shared" si="1"/>
        <v>0.29452054794520549</v>
      </c>
      <c r="E9" s="59" t="s">
        <v>69</v>
      </c>
      <c r="F9" s="56" t="s">
        <v>24</v>
      </c>
      <c r="G9" s="44">
        <v>45</v>
      </c>
      <c r="H9" s="129">
        <f>IF(B$15=0,0,G9/B$15)</f>
        <v>0.13513513513513514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6.8493150684931503E-2</v>
      </c>
      <c r="E10" s="59" t="s">
        <v>71</v>
      </c>
      <c r="F10" s="56" t="s">
        <v>26</v>
      </c>
      <c r="G10" s="44">
        <v>31</v>
      </c>
      <c r="H10" s="129">
        <f>IF(B$15=0,0,G10/B$15)</f>
        <v>9.3093093093093091E-2</v>
      </c>
      <c r="I10" s="90">
        <v>6</v>
      </c>
      <c r="K10" s="36">
        <v>8</v>
      </c>
      <c r="L10" s="95">
        <v>-46.7</v>
      </c>
      <c r="N10" s="110" t="s">
        <v>157</v>
      </c>
      <c r="O10" s="120">
        <f>IF(P10=0,0,Q10/P10)</f>
        <v>-2.6033333333333339</v>
      </c>
      <c r="P10" s="114">
        <v>60</v>
      </c>
      <c r="Q10" s="102">
        <v>-156.20000000000005</v>
      </c>
    </row>
    <row r="11" spans="1:17" x14ac:dyDescent="0.45">
      <c r="A11" s="54" t="s">
        <v>121</v>
      </c>
      <c r="B11" s="47">
        <v>306</v>
      </c>
      <c r="C11" s="42">
        <f>IF(B$3=0,0,B11/B$3)</f>
        <v>0.25888324873096447</v>
      </c>
      <c r="E11" s="59" t="s">
        <v>65</v>
      </c>
      <c r="F11" s="56" t="s">
        <v>21</v>
      </c>
      <c r="G11" s="44">
        <v>27</v>
      </c>
      <c r="H11" s="129">
        <f>IF(B$15=0,0,G11/B$15)</f>
        <v>8.1081081081081086E-2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1.6413043478260876</v>
      </c>
      <c r="P11" s="115">
        <v>46</v>
      </c>
      <c r="Q11" s="103">
        <v>75.500000000000028</v>
      </c>
    </row>
    <row r="12" spans="1:17" x14ac:dyDescent="0.45">
      <c r="A12" s="51" t="s">
        <v>118</v>
      </c>
      <c r="B12" s="44">
        <v>275</v>
      </c>
      <c r="C12" s="37">
        <f>IF(B$3=0,0,B12/B$3)</f>
        <v>0.2326565143824027</v>
      </c>
      <c r="E12" s="59" t="s">
        <v>70</v>
      </c>
      <c r="F12" s="56" t="s">
        <v>25</v>
      </c>
      <c r="G12" s="44">
        <v>23</v>
      </c>
      <c r="H12" s="129">
        <f>IF(B$15=0,0,G12/B$15)</f>
        <v>6.9069069069069067E-2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1.3149999999999997</v>
      </c>
      <c r="P12" s="116">
        <v>40</v>
      </c>
      <c r="Q12" s="104">
        <v>52.599999999999987</v>
      </c>
    </row>
    <row r="13" spans="1:17" x14ac:dyDescent="0.45">
      <c r="A13" s="50" t="s">
        <v>123</v>
      </c>
      <c r="B13" s="43">
        <f>B19</f>
        <v>170</v>
      </c>
      <c r="C13" s="35">
        <f>IF(B$11=0,0,B13/B$11)</f>
        <v>0.55555555555555558</v>
      </c>
      <c r="E13" s="59" t="s">
        <v>86</v>
      </c>
      <c r="F13" s="56" t="s">
        <v>41</v>
      </c>
      <c r="G13" s="44">
        <v>16</v>
      </c>
      <c r="H13" s="129">
        <f>IF(B$15=0,0,G13/B$15)</f>
        <v>4.8048048048048048E-2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117</v>
      </c>
      <c r="C14" s="35">
        <f>IF(B$12=0,0,B14/B$12)</f>
        <v>0.42545454545454547</v>
      </c>
      <c r="E14" s="59" t="s">
        <v>83</v>
      </c>
      <c r="F14" s="56" t="s">
        <v>38</v>
      </c>
      <c r="G14" s="44">
        <v>13</v>
      </c>
      <c r="H14" s="129">
        <f>IF(B$15=0,0,G14/B$15)</f>
        <v>3.903903903903904E-2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333</v>
      </c>
      <c r="C15" s="35">
        <f>IF(B$3=0,0,B15/B$3)</f>
        <v>0.28172588832487311</v>
      </c>
      <c r="E15" s="59" t="s">
        <v>79</v>
      </c>
      <c r="F15" s="56" t="s">
        <v>34</v>
      </c>
      <c r="G15" s="44">
        <v>7</v>
      </c>
      <c r="H15" s="129">
        <f>IF(B$15=0,0,G15/B$15)</f>
        <v>2.1021021021021023E-2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164</v>
      </c>
      <c r="C16" s="37">
        <f>IF(B$3=0,0,B16/B$3)</f>
        <v>0.13874788494077833</v>
      </c>
      <c r="E16" s="59" t="s">
        <v>78</v>
      </c>
      <c r="F16" s="56" t="s">
        <v>33</v>
      </c>
      <c r="G16" s="44">
        <v>6</v>
      </c>
      <c r="H16" s="129">
        <f>IF(B$15=0,0,G16/B$15)</f>
        <v>1.8018018018018018E-2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149</v>
      </c>
      <c r="C17" s="37">
        <f>IF(B$15=0,0,B17/B$15)</f>
        <v>0.44744744744744747</v>
      </c>
      <c r="E17" s="59" t="s">
        <v>162</v>
      </c>
      <c r="F17" s="56" t="s">
        <v>163</v>
      </c>
      <c r="G17" s="44">
        <v>6</v>
      </c>
      <c r="H17" s="129">
        <f>IF(B$15=0,0,G17/B$15)</f>
        <v>1.8018018018018018E-2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184</v>
      </c>
      <c r="C18" s="37">
        <f>IF(B$15=0,0,B18/B$15)</f>
        <v>0.55255255255255253</v>
      </c>
      <c r="E18" s="59" t="s">
        <v>73</v>
      </c>
      <c r="F18" s="56" t="s">
        <v>28</v>
      </c>
      <c r="G18" s="44">
        <v>5</v>
      </c>
      <c r="H18" s="129">
        <f>IF(B$15=0,0,G18/B$15)</f>
        <v>1.5015015015015015E-2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170</v>
      </c>
      <c r="C19" s="37">
        <f>IF(B$15=0,0,B19/B$15)</f>
        <v>0.51051051051051055</v>
      </c>
      <c r="E19" s="59" t="s">
        <v>81</v>
      </c>
      <c r="F19" s="56" t="s">
        <v>36</v>
      </c>
      <c r="G19" s="44">
        <v>5</v>
      </c>
      <c r="H19" s="129">
        <f>IF(B$15=0,0,G19/B$15)</f>
        <v>1.5015015015015015E-2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117</v>
      </c>
      <c r="C20" s="37">
        <f>IF(B$15=0,0,B20/B$15)</f>
        <v>0.35135135135135137</v>
      </c>
      <c r="E20" s="59" t="s">
        <v>85</v>
      </c>
      <c r="F20" s="56" t="s">
        <v>40</v>
      </c>
      <c r="G20" s="44">
        <v>3</v>
      </c>
      <c r="H20" s="129">
        <f>IF(B$15=0,0,G20/B$15)</f>
        <v>9.0090090090090089E-3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46</v>
      </c>
      <c r="C21" s="37">
        <f>IF(B$15=0,0,B21/B$15)</f>
        <v>0.13813813813813813</v>
      </c>
      <c r="E21" s="59" t="s">
        <v>91</v>
      </c>
      <c r="F21" s="56" t="s">
        <v>46</v>
      </c>
      <c r="G21" s="44">
        <v>3</v>
      </c>
      <c r="H21" s="129">
        <f>IF(B$15=0,0,G21/B$15)</f>
        <v>9.0090090090090089E-3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 t="shared" si="2"/>
        <v>3.2271186440677964</v>
      </c>
      <c r="P21" s="115">
        <v>59</v>
      </c>
      <c r="Q21" s="103">
        <v>190.39999999999998</v>
      </c>
    </row>
    <row r="22" spans="1:17" x14ac:dyDescent="0.45">
      <c r="A22" s="51" t="s">
        <v>5</v>
      </c>
      <c r="B22" s="48">
        <f>IF(B$15=0,0,C22/B$15)</f>
        <v>8336.3363363363369</v>
      </c>
      <c r="C22" s="39">
        <v>2776000</v>
      </c>
      <c r="E22" s="59" t="s">
        <v>75</v>
      </c>
      <c r="F22" s="56" t="s">
        <v>30</v>
      </c>
      <c r="G22" s="44">
        <v>2</v>
      </c>
      <c r="H22" s="129">
        <f>IF(B$15=0,0,G22/B$15)</f>
        <v>6.006006006006006E-3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1.6968750000000004</v>
      </c>
      <c r="P22" s="115">
        <v>32</v>
      </c>
      <c r="Q22" s="103">
        <v>54.300000000000011</v>
      </c>
    </row>
    <row r="23" spans="1:17" x14ac:dyDescent="0.45">
      <c r="A23" s="52" t="s">
        <v>177</v>
      </c>
      <c r="B23" s="136">
        <f>IF($B$15-B$14=0,0,C23/($B$15-B$14))</f>
        <v>9336.5740740740748</v>
      </c>
      <c r="C23" s="137">
        <v>2016700</v>
      </c>
      <c r="E23" s="59" t="s">
        <v>92</v>
      </c>
      <c r="F23" s="56" t="s">
        <v>47</v>
      </c>
      <c r="G23" s="44">
        <v>2</v>
      </c>
      <c r="H23" s="129">
        <f>IF(B$15=0,0,G23/B$15)</f>
        <v>6.006006006006006E-3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-10.093650793650792</v>
      </c>
      <c r="P23" s="115">
        <v>63</v>
      </c>
      <c r="Q23" s="103">
        <v>-635.89999999999986</v>
      </c>
    </row>
    <row r="24" spans="1:17" x14ac:dyDescent="0.45">
      <c r="A24" s="52" t="s">
        <v>178</v>
      </c>
      <c r="B24" s="136">
        <f>IF(B$14=0,0,C24/B$14)</f>
        <v>6489.7435897435898</v>
      </c>
      <c r="C24" s="137">
        <v>759300</v>
      </c>
      <c r="E24" s="59" t="s">
        <v>74</v>
      </c>
      <c r="F24" s="56" t="s">
        <v>29</v>
      </c>
      <c r="G24" s="44">
        <v>1</v>
      </c>
      <c r="H24" s="129">
        <f>IF(B$15=0,0,G24/B$15)</f>
        <v>3.003003003003003E-3</v>
      </c>
      <c r="I24" s="90">
        <v>6</v>
      </c>
      <c r="K24" s="36">
        <v>22</v>
      </c>
      <c r="L24" s="95">
        <v>-66.999999999999986</v>
      </c>
      <c r="N24" s="111" t="s">
        <v>126</v>
      </c>
      <c r="O24" s="121">
        <f t="shared" si="2"/>
        <v>-11.989855072463769</v>
      </c>
      <c r="P24" s="115">
        <v>69</v>
      </c>
      <c r="Q24" s="103">
        <v>-827.30000000000007</v>
      </c>
    </row>
    <row r="25" spans="1:17" x14ac:dyDescent="0.45">
      <c r="A25" s="52" t="s">
        <v>176</v>
      </c>
      <c r="B25" s="136">
        <f>IF(B$16=0,0,C25/B$16)</f>
        <v>-6992.0731707317073</v>
      </c>
      <c r="C25" s="137">
        <v>-1146700</v>
      </c>
      <c r="E25" s="59" t="s">
        <v>87</v>
      </c>
      <c r="F25" s="56" t="s">
        <v>42</v>
      </c>
      <c r="G25" s="44">
        <v>1</v>
      </c>
      <c r="H25" s="129">
        <f>IF(B$15=0,0,G25/B$15)</f>
        <v>3.003003003003003E-3</v>
      </c>
      <c r="I25" s="90">
        <v>4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1</v>
      </c>
      <c r="H26" s="129">
        <f>IF(B$15=0,0,G26/B$15)</f>
        <v>3.003003003003003E-3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2</v>
      </c>
      <c r="E27" s="59" t="s">
        <v>93</v>
      </c>
      <c r="F27" s="56" t="s">
        <v>48</v>
      </c>
      <c r="G27" s="44">
        <v>1</v>
      </c>
      <c r="H27" s="129">
        <f>IF(B$15=0,0,G27/B$15)</f>
        <v>3.003003003003003E-3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3.003003003003003E-3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1.6920473773265651E-3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6.006006006006006E-2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62</v>
      </c>
      <c r="C33" s="37">
        <f t="shared" ref="C33:C44" si="3">IF(B$15=0,0,B33/B$15)</f>
        <v>0.18618618618618618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67</v>
      </c>
      <c r="C34" s="37">
        <f>IF(B$15=0,0,B34/B$15)</f>
        <v>0.20120120120120119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61</v>
      </c>
      <c r="C35" s="37">
        <f t="shared" si="3"/>
        <v>0.18318318318318319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48</v>
      </c>
      <c r="C36" s="37">
        <f t="shared" si="3"/>
        <v>0.14414414414414414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38</v>
      </c>
      <c r="C37" s="37">
        <f t="shared" si="3"/>
        <v>0.11411411411411411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18</v>
      </c>
      <c r="C38" s="37">
        <f t="shared" si="3"/>
        <v>5.4054054054054057E-2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2.1021021021021023E-2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9.0090090090090089E-3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6.006006006006006E-3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3.003003003003003E-3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6.006006006006006E-3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4</v>
      </c>
      <c r="C44" s="40">
        <f t="shared" si="3"/>
        <v>1.2012012012012012E-2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</sheetData>
  <sortState xmlns:xlrd2="http://schemas.microsoft.com/office/spreadsheetml/2017/richdata2" ref="E2:I14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5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5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5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5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4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5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5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5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-11.178571428571429</v>
      </c>
      <c r="P17" s="115">
        <v>28</v>
      </c>
      <c r="Q17" s="103">
        <v>-313</v>
      </c>
    </row>
    <row r="18" spans="1:17" x14ac:dyDescent="0.45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21</v>
      </c>
      <c r="C35" s="37">
        <f t="shared" si="3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19</v>
      </c>
      <c r="C36" s="37">
        <f t="shared" si="3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4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3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3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8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1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2020-01-18T07:29:16Z</dcterms:modified>
</cp:coreProperties>
</file>