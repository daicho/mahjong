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43F91A0F-EF99-4222-ADCF-20F2ED2DE064}" xr6:coauthVersionLast="41" xr6:coauthVersionMax="41" xr10:uidLastSave="{00000000-0000-0000-0000-000000000000}"/>
  <bookViews>
    <workbookView xWindow="-120" yWindow="-120" windowWidth="29040" windowHeight="1644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35" r:id="rId6"/>
    <sheet name="たかの" sheetId="6337" r:id="rId7"/>
    <sheet name="だいち" sheetId="6339" r:id="rId8"/>
    <sheet name="ただ" sheetId="6341" r:id="rId9"/>
    <sheet name="りくと" sheetId="6343" r:id="rId10"/>
    <sheet name="れんたろう" sheetId="6345" r:id="rId11"/>
    <sheet name="まっつん" sheetId="6347" r:id="rId12"/>
    <sheet name="のり" sheetId="6349" r:id="rId13"/>
    <sheet name="ぱぱ" sheetId="6351" r:id="rId14"/>
    <sheet name="ほたに" sheetId="6353" r:id="rId15"/>
    <sheet name="いっしー" sheetId="6355" r:id="rId16"/>
    <sheet name="ともき" sheetId="6357" r:id="rId17"/>
    <sheet name="たか" sheetId="6359" r:id="rId18"/>
    <sheet name="ゆう" sheetId="6361" r:id="rId19"/>
    <sheet name="ゆう2" sheetId="6362" state="hidden" r:id="rId20"/>
    <sheet name="たか2" sheetId="6360" state="hidden" r:id="rId21"/>
    <sheet name="ともき2" sheetId="6358" state="hidden" r:id="rId22"/>
    <sheet name="いっしー2" sheetId="6356" state="hidden" r:id="rId23"/>
    <sheet name="ほたに2" sheetId="6354" state="hidden" r:id="rId24"/>
    <sheet name="ぱぱ2" sheetId="6352" state="hidden" r:id="rId25"/>
    <sheet name="のり2" sheetId="6350" state="hidden" r:id="rId26"/>
    <sheet name="まっつん2" sheetId="6348" state="hidden" r:id="rId27"/>
    <sheet name="れんたろう2" sheetId="6346" state="hidden" r:id="rId28"/>
    <sheet name="りくと2" sheetId="6344" state="hidden" r:id="rId29"/>
    <sheet name="ただ2" sheetId="6342" state="hidden" r:id="rId30"/>
    <sheet name="だいち2" sheetId="6340" state="hidden" r:id="rId31"/>
    <sheet name="たかの2" sheetId="6338" state="hidden" r:id="rId32"/>
    <sheet name="全体2" sheetId="633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22">Template1!#REF!</definedName>
    <definedName name="ダマアガリ点" localSheetId="7">だいち!#REF!</definedName>
    <definedName name="ダマアガリ点" localSheetId="30">Template1!#REF!</definedName>
    <definedName name="ダマアガリ点" localSheetId="17">たか!#REF!</definedName>
    <definedName name="ダマアガリ点" localSheetId="20">Template1!#REF!</definedName>
    <definedName name="ダマアガリ点" localSheetId="6">たかの!#REF!</definedName>
    <definedName name="ダマアガリ点" localSheetId="31">Template1!#REF!</definedName>
    <definedName name="ダマアガリ点" localSheetId="8">ただ!#REF!</definedName>
    <definedName name="ダマアガリ点" localSheetId="29">Template1!#REF!</definedName>
    <definedName name="ダマアガリ点" localSheetId="16">ともき!#REF!</definedName>
    <definedName name="ダマアガリ点" localSheetId="21">Template1!#REF!</definedName>
    <definedName name="ダマアガリ点" localSheetId="12">のり!#REF!</definedName>
    <definedName name="ダマアガリ点" localSheetId="25">Template1!#REF!</definedName>
    <definedName name="ダマアガリ点" localSheetId="13">ぱぱ!#REF!</definedName>
    <definedName name="ダマアガリ点" localSheetId="24">Template1!#REF!</definedName>
    <definedName name="ダマアガリ点" localSheetId="14">ほたに!#REF!</definedName>
    <definedName name="ダマアガリ点" localSheetId="23">Template1!#REF!</definedName>
    <definedName name="ダマアガリ点" localSheetId="11">まっつん!#REF!</definedName>
    <definedName name="ダマアガリ点" localSheetId="26">Template1!#REF!</definedName>
    <definedName name="ダマアガリ点" localSheetId="18">ゆう!#REF!</definedName>
    <definedName name="ダマアガリ点" localSheetId="19">Template1!#REF!</definedName>
    <definedName name="ダマアガリ点" localSheetId="9">りくと!#REF!</definedName>
    <definedName name="ダマアガリ点" localSheetId="28">Template1!#REF!</definedName>
    <definedName name="ダマアガリ点" localSheetId="10">れんたろう!#REF!</definedName>
    <definedName name="ダマアガリ点" localSheetId="27">Template1!#REF!</definedName>
    <definedName name="ダマアガリ点" localSheetId="5">全体!#REF!</definedName>
    <definedName name="ダマアガリ点" localSheetId="32">Template1!#REF!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22">Template1!#REF!</definedName>
    <definedName name="ふっとばし数" localSheetId="7">だいち!#REF!</definedName>
    <definedName name="ふっとばし数" localSheetId="30">Template1!#REF!</definedName>
    <definedName name="ふっとばし数" localSheetId="17">たか!#REF!</definedName>
    <definedName name="ふっとばし数" localSheetId="20">Template1!#REF!</definedName>
    <definedName name="ふっとばし数" localSheetId="6">たかの!#REF!</definedName>
    <definedName name="ふっとばし数" localSheetId="31">Template1!#REF!</definedName>
    <definedName name="ふっとばし数" localSheetId="8">ただ!#REF!</definedName>
    <definedName name="ふっとばし数" localSheetId="29">Template1!#REF!</definedName>
    <definedName name="ふっとばし数" localSheetId="16">ともき!#REF!</definedName>
    <definedName name="ふっとばし数" localSheetId="21">Template1!#REF!</definedName>
    <definedName name="ふっとばし数" localSheetId="12">のり!#REF!</definedName>
    <definedName name="ふっとばし数" localSheetId="25">Template1!#REF!</definedName>
    <definedName name="ふっとばし数" localSheetId="13">ぱぱ!#REF!</definedName>
    <definedName name="ふっとばし数" localSheetId="24">Template1!#REF!</definedName>
    <definedName name="ふっとばし数" localSheetId="14">ほたに!#REF!</definedName>
    <definedName name="ふっとばし数" localSheetId="23">Template1!#REF!</definedName>
    <definedName name="ふっとばし数" localSheetId="11">まっつん!#REF!</definedName>
    <definedName name="ふっとばし数" localSheetId="26">Template1!#REF!</definedName>
    <definedName name="ふっとばし数" localSheetId="18">ゆう!#REF!</definedName>
    <definedName name="ふっとばし数" localSheetId="19">Template1!#REF!</definedName>
    <definedName name="ふっとばし数" localSheetId="9">りくと!#REF!</definedName>
    <definedName name="ふっとばし数" localSheetId="28">Template1!#REF!</definedName>
    <definedName name="ふっとばし数" localSheetId="10">れんたろう!#REF!</definedName>
    <definedName name="ふっとばし数" localSheetId="27">Template1!#REF!</definedName>
    <definedName name="ふっとばし数" localSheetId="5">全体!#REF!</definedName>
    <definedName name="ふっとばし数" localSheetId="32">Template1!#REF!</definedName>
    <definedName name="ふっとばし数">Template1!#REF!</definedName>
    <definedName name="ふっとばし率" localSheetId="15">いっしー!#REF!</definedName>
    <definedName name="ふっとばし率" localSheetId="22">Template1!#REF!</definedName>
    <definedName name="ふっとばし率" localSheetId="7">だいち!#REF!</definedName>
    <definedName name="ふっとばし率" localSheetId="30">Template1!#REF!</definedName>
    <definedName name="ふっとばし率" localSheetId="17">たか!#REF!</definedName>
    <definedName name="ふっとばし率" localSheetId="20">Template1!#REF!</definedName>
    <definedName name="ふっとばし率" localSheetId="6">たかの!#REF!</definedName>
    <definedName name="ふっとばし率" localSheetId="31">Template1!#REF!</definedName>
    <definedName name="ふっとばし率" localSheetId="8">ただ!#REF!</definedName>
    <definedName name="ふっとばし率" localSheetId="29">Template1!#REF!</definedName>
    <definedName name="ふっとばし率" localSheetId="16">ともき!#REF!</definedName>
    <definedName name="ふっとばし率" localSheetId="21">Template1!#REF!</definedName>
    <definedName name="ふっとばし率" localSheetId="12">のり!#REF!</definedName>
    <definedName name="ふっとばし率" localSheetId="25">Template1!#REF!</definedName>
    <definedName name="ふっとばし率" localSheetId="13">ぱぱ!#REF!</definedName>
    <definedName name="ふっとばし率" localSheetId="24">Template1!#REF!</definedName>
    <definedName name="ふっとばし率" localSheetId="14">ほたに!#REF!</definedName>
    <definedName name="ふっとばし率" localSheetId="23">Template1!#REF!</definedName>
    <definedName name="ふっとばし率" localSheetId="11">まっつん!#REF!</definedName>
    <definedName name="ふっとばし率" localSheetId="26">Template1!#REF!</definedName>
    <definedName name="ふっとばし率" localSheetId="18">ゆう!#REF!</definedName>
    <definedName name="ふっとばし率" localSheetId="19">Template1!#REF!</definedName>
    <definedName name="ふっとばし率" localSheetId="9">りくと!#REF!</definedName>
    <definedName name="ふっとばし率" localSheetId="28">Template1!#REF!</definedName>
    <definedName name="ふっとばし率" localSheetId="10">れんたろう!#REF!</definedName>
    <definedName name="ふっとばし率" localSheetId="27">Template1!#REF!</definedName>
    <definedName name="ふっとばし率" localSheetId="5">全体!#REF!</definedName>
    <definedName name="ふっとばし率" localSheetId="32">Template1!#REF!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22">Template1!#REF!</definedName>
    <definedName name="逆転数" localSheetId="7">だいち!#REF!</definedName>
    <definedName name="逆転数" localSheetId="30">Template1!#REF!</definedName>
    <definedName name="逆転数" localSheetId="17">たか!#REF!</definedName>
    <definedName name="逆転数" localSheetId="20">Template1!#REF!</definedName>
    <definedName name="逆転数" localSheetId="6">たかの!#REF!</definedName>
    <definedName name="逆転数" localSheetId="31">Template1!#REF!</definedName>
    <definedName name="逆転数" localSheetId="8">ただ!#REF!</definedName>
    <definedName name="逆転数" localSheetId="29">Template1!#REF!</definedName>
    <definedName name="逆転数" localSheetId="16">ともき!#REF!</definedName>
    <definedName name="逆転数" localSheetId="21">Template1!#REF!</definedName>
    <definedName name="逆転数" localSheetId="12">のり!#REF!</definedName>
    <definedName name="逆転数" localSheetId="25">Template1!#REF!</definedName>
    <definedName name="逆転数" localSheetId="13">ぱぱ!#REF!</definedName>
    <definedName name="逆転数" localSheetId="24">Template1!#REF!</definedName>
    <definedName name="逆転数" localSheetId="14">ほたに!#REF!</definedName>
    <definedName name="逆転数" localSheetId="23">Template1!#REF!</definedName>
    <definedName name="逆転数" localSheetId="11">まっつん!#REF!</definedName>
    <definedName name="逆転数" localSheetId="26">Template1!#REF!</definedName>
    <definedName name="逆転数" localSheetId="18">ゆう!#REF!</definedName>
    <definedName name="逆転数" localSheetId="19">Template1!#REF!</definedName>
    <definedName name="逆転数" localSheetId="9">りくと!#REF!</definedName>
    <definedName name="逆転数" localSheetId="28">Template1!#REF!</definedName>
    <definedName name="逆転数" localSheetId="10">れんたろう!#REF!</definedName>
    <definedName name="逆転数" localSheetId="27">Template1!#REF!</definedName>
    <definedName name="逆転数" localSheetId="5">全体!#REF!</definedName>
    <definedName name="逆転数" localSheetId="32">Template1!#REF!</definedName>
    <definedName name="逆転数">Template1!#REF!</definedName>
    <definedName name="逆転率" localSheetId="15">いっしー!#REF!</definedName>
    <definedName name="逆転率" localSheetId="22">Template1!#REF!</definedName>
    <definedName name="逆転率" localSheetId="7">だいち!#REF!</definedName>
    <definedName name="逆転率" localSheetId="30">Template1!#REF!</definedName>
    <definedName name="逆転率" localSheetId="17">たか!#REF!</definedName>
    <definedName name="逆転率" localSheetId="20">Template1!#REF!</definedName>
    <definedName name="逆転率" localSheetId="6">たかの!#REF!</definedName>
    <definedName name="逆転率" localSheetId="31">Template1!#REF!</definedName>
    <definedName name="逆転率" localSheetId="8">ただ!#REF!</definedName>
    <definedName name="逆転率" localSheetId="29">Template1!#REF!</definedName>
    <definedName name="逆転率" localSheetId="16">ともき!#REF!</definedName>
    <definedName name="逆転率" localSheetId="21">Template1!#REF!</definedName>
    <definedName name="逆転率" localSheetId="12">のり!#REF!</definedName>
    <definedName name="逆転率" localSheetId="25">Template1!#REF!</definedName>
    <definedName name="逆転率" localSheetId="13">ぱぱ!#REF!</definedName>
    <definedName name="逆転率" localSheetId="24">Template1!#REF!</definedName>
    <definedName name="逆転率" localSheetId="14">ほたに!#REF!</definedName>
    <definedName name="逆転率" localSheetId="23">Template1!#REF!</definedName>
    <definedName name="逆転率" localSheetId="11">まっつん!#REF!</definedName>
    <definedName name="逆転率" localSheetId="26">Template1!#REF!</definedName>
    <definedName name="逆転率" localSheetId="18">ゆう!#REF!</definedName>
    <definedName name="逆転率" localSheetId="19">Template1!#REF!</definedName>
    <definedName name="逆転率" localSheetId="9">りくと!#REF!</definedName>
    <definedName name="逆転率" localSheetId="28">Template1!#REF!</definedName>
    <definedName name="逆転率" localSheetId="10">れんたろう!#REF!</definedName>
    <definedName name="逆転率" localSheetId="27">Template1!#REF!</definedName>
    <definedName name="逆転率" localSheetId="5">全体!#REF!</definedName>
    <definedName name="逆転率" localSheetId="32">Template1!#REF!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5" i="6347" l="1"/>
  <c r="O16" i="6357"/>
  <c r="O16" i="6359" l="1"/>
  <c r="O23" i="6337"/>
  <c r="O20" i="6347" l="1"/>
  <c r="O16" i="6361"/>
  <c r="O18" i="6359"/>
  <c r="O15" i="6337" l="1"/>
  <c r="O22" i="6357"/>
  <c r="O19" i="6359" l="1"/>
  <c r="O15" i="6361"/>
  <c r="O17" i="6361"/>
  <c r="C30" i="6361"/>
  <c r="B25" i="6361"/>
  <c r="C16" i="6361"/>
  <c r="B15" i="6361"/>
  <c r="H50" i="6361" s="1"/>
  <c r="B14" i="6361"/>
  <c r="B24" i="6361" s="1"/>
  <c r="B13" i="6361"/>
  <c r="C13" i="6361" s="1"/>
  <c r="O12" i="6361"/>
  <c r="C12" i="6361"/>
  <c r="O11" i="6361"/>
  <c r="C11" i="6361"/>
  <c r="O10" i="6361"/>
  <c r="C10" i="6361"/>
  <c r="C9" i="6361"/>
  <c r="C8" i="6361"/>
  <c r="O7" i="6361"/>
  <c r="C7" i="6361"/>
  <c r="O6" i="6361"/>
  <c r="B6" i="6361"/>
  <c r="O5" i="6361"/>
  <c r="B5" i="6361"/>
  <c r="O4" i="6361"/>
  <c r="O3" i="6361"/>
  <c r="O2" i="6361"/>
  <c r="O16" i="6349"/>
  <c r="O15" i="6359"/>
  <c r="O17" i="6359"/>
  <c r="C30" i="6359"/>
  <c r="B25" i="6359"/>
  <c r="C16" i="6359"/>
  <c r="B15" i="6359"/>
  <c r="H51" i="6359" s="1"/>
  <c r="B14" i="6359"/>
  <c r="B24" i="6359" s="1"/>
  <c r="B13" i="6359"/>
  <c r="C13" i="6359" s="1"/>
  <c r="O12" i="6359"/>
  <c r="C12" i="6359"/>
  <c r="O11" i="6359"/>
  <c r="C11" i="6359"/>
  <c r="O10" i="6359"/>
  <c r="C10" i="6359"/>
  <c r="C9" i="6359"/>
  <c r="C8" i="6359"/>
  <c r="O7" i="6359"/>
  <c r="C7" i="6359"/>
  <c r="O6" i="6359"/>
  <c r="B6" i="6359"/>
  <c r="O5" i="6359"/>
  <c r="B5" i="6359"/>
  <c r="O4" i="6359"/>
  <c r="O3" i="6359"/>
  <c r="O2" i="6359"/>
  <c r="O15" i="6335"/>
  <c r="H9" i="6359" l="1"/>
  <c r="C14" i="6359"/>
  <c r="C14" i="6361"/>
  <c r="H17" i="6361"/>
  <c r="H2" i="6361"/>
  <c r="H6" i="6361"/>
  <c r="H16" i="6361"/>
  <c r="H10" i="6361"/>
  <c r="H11" i="6361"/>
  <c r="H14" i="6361"/>
  <c r="C17" i="6361"/>
  <c r="H22" i="6361"/>
  <c r="B22" i="6361"/>
  <c r="H12" i="6361"/>
  <c r="H34" i="6361"/>
  <c r="C36" i="6361"/>
  <c r="H39" i="6361"/>
  <c r="H42" i="6361"/>
  <c r="C44" i="6361"/>
  <c r="H49" i="6361"/>
  <c r="H15" i="6361"/>
  <c r="C15" i="6361"/>
  <c r="H20" i="6361"/>
  <c r="C20" i="6361"/>
  <c r="B23" i="6361"/>
  <c r="H28" i="6361"/>
  <c r="H32" i="6361"/>
  <c r="C34" i="6361"/>
  <c r="H37" i="6361"/>
  <c r="H40" i="6361"/>
  <c r="C42" i="6361"/>
  <c r="H45" i="6361"/>
  <c r="H51" i="6361"/>
  <c r="H3" i="6361"/>
  <c r="H13" i="6361"/>
  <c r="H8" i="6361"/>
  <c r="H19" i="6361"/>
  <c r="C18" i="6361"/>
  <c r="C21" i="6361"/>
  <c r="H26" i="6361"/>
  <c r="H29" i="6361"/>
  <c r="C32" i="6361"/>
  <c r="H35" i="6361"/>
  <c r="H38" i="6361"/>
  <c r="C40" i="6361"/>
  <c r="H43" i="6361"/>
  <c r="H47" i="6361"/>
  <c r="H4" i="6361"/>
  <c r="H7" i="6361"/>
  <c r="H18" i="6361"/>
  <c r="C19" i="6361"/>
  <c r="H24" i="6361"/>
  <c r="H30" i="6361"/>
  <c r="H33" i="6361"/>
  <c r="H36" i="6361"/>
  <c r="C38" i="6361"/>
  <c r="H41" i="6361"/>
  <c r="H44" i="6361"/>
  <c r="H48" i="6361"/>
  <c r="H52" i="6361"/>
  <c r="H5" i="6361"/>
  <c r="H21" i="6361"/>
  <c r="H23" i="6361"/>
  <c r="H25" i="6361"/>
  <c r="H27" i="6361"/>
  <c r="H9" i="6361"/>
  <c r="H31" i="6361"/>
  <c r="C33" i="6361"/>
  <c r="C35" i="6361"/>
  <c r="C37" i="6361"/>
  <c r="C39" i="6361"/>
  <c r="C41" i="6361"/>
  <c r="C43" i="6361"/>
  <c r="H46" i="6361"/>
  <c r="C18" i="6359"/>
  <c r="H8" i="6359"/>
  <c r="H10" i="6359"/>
  <c r="H18" i="6359"/>
  <c r="H24" i="6359"/>
  <c r="C34" i="6359"/>
  <c r="C38" i="6359"/>
  <c r="H3" i="6359"/>
  <c r="H2" i="6359"/>
  <c r="H7" i="6359"/>
  <c r="C19" i="6359"/>
  <c r="H6" i="6359"/>
  <c r="H19" i="6359"/>
  <c r="C21" i="6359"/>
  <c r="H14" i="6359"/>
  <c r="C42" i="6359"/>
  <c r="H48" i="6359"/>
  <c r="H35" i="6359"/>
  <c r="H39" i="6359"/>
  <c r="H43" i="6359"/>
  <c r="H49" i="6359"/>
  <c r="H11" i="6359"/>
  <c r="H16" i="6359"/>
  <c r="H17" i="6359"/>
  <c r="C17" i="6359"/>
  <c r="B22" i="6359"/>
  <c r="H28" i="6359"/>
  <c r="C32" i="6359"/>
  <c r="C36" i="6359"/>
  <c r="C40" i="6359"/>
  <c r="C44" i="6359"/>
  <c r="H5" i="6359"/>
  <c r="H12" i="6359"/>
  <c r="H4" i="6359"/>
  <c r="H15" i="6359"/>
  <c r="B23" i="6359"/>
  <c r="C15" i="6359"/>
  <c r="H21" i="6359"/>
  <c r="C20" i="6359"/>
  <c r="H26" i="6359"/>
  <c r="H29" i="6359"/>
  <c r="H33" i="6359"/>
  <c r="H37" i="6359"/>
  <c r="H41" i="6359"/>
  <c r="H45" i="6359"/>
  <c r="H52" i="6359"/>
  <c r="H20" i="6359"/>
  <c r="H22" i="6359"/>
  <c r="H23" i="6359"/>
  <c r="H25" i="6359"/>
  <c r="H27" i="6359"/>
  <c r="H13" i="6359"/>
  <c r="H31" i="6359"/>
  <c r="C33" i="6359"/>
  <c r="C35" i="6359"/>
  <c r="C37" i="6359"/>
  <c r="C39" i="6359"/>
  <c r="C41" i="6359"/>
  <c r="C43" i="6359"/>
  <c r="H46" i="6359"/>
  <c r="H50" i="6359"/>
  <c r="H30" i="6359"/>
  <c r="H32" i="6359"/>
  <c r="H34" i="6359"/>
  <c r="H36" i="6359"/>
  <c r="H38" i="6359"/>
  <c r="H40" i="6359"/>
  <c r="H42" i="6359"/>
  <c r="H44" i="6359"/>
  <c r="H47" i="6359"/>
  <c r="O21" i="6357" l="1"/>
  <c r="O15" i="6339"/>
  <c r="O20" i="6341" l="1"/>
  <c r="O17" i="6357"/>
  <c r="O19" i="6357"/>
  <c r="O22" i="6343"/>
  <c r="O23" i="6351" l="1"/>
  <c r="O15" i="6357"/>
  <c r="O19" i="6345" l="1"/>
  <c r="O18" i="6357"/>
  <c r="O20" i="6357"/>
  <c r="C30" i="6357"/>
  <c r="B25" i="6357"/>
  <c r="C16" i="6357"/>
  <c r="B15" i="6357"/>
  <c r="H50" i="6357" s="1"/>
  <c r="C14" i="6357"/>
  <c r="B14" i="6357"/>
  <c r="B24" i="6357" s="1"/>
  <c r="B13" i="6357"/>
  <c r="C13" i="6357" s="1"/>
  <c r="O12" i="6357"/>
  <c r="C12" i="6357"/>
  <c r="O11" i="6357"/>
  <c r="C11" i="6357"/>
  <c r="O10" i="6357"/>
  <c r="C10" i="6357"/>
  <c r="C9" i="6357"/>
  <c r="C8" i="6357"/>
  <c r="O7" i="6357"/>
  <c r="C7" i="6357"/>
  <c r="O6" i="6357"/>
  <c r="B6" i="6357"/>
  <c r="O5" i="6357"/>
  <c r="B5" i="6357"/>
  <c r="O4" i="6357"/>
  <c r="O3" i="6357"/>
  <c r="O2" i="6357"/>
  <c r="O18" i="6349"/>
  <c r="O20" i="6335"/>
  <c r="C19" i="6357" l="1"/>
  <c r="H8" i="6357"/>
  <c r="H9" i="6357"/>
  <c r="H5" i="6357"/>
  <c r="H20" i="6357"/>
  <c r="H12" i="6357"/>
  <c r="H27" i="6357"/>
  <c r="H34" i="6357"/>
  <c r="C36" i="6357"/>
  <c r="H39" i="6357"/>
  <c r="H42" i="6357"/>
  <c r="C44" i="6357"/>
  <c r="H49" i="6357"/>
  <c r="B22" i="6357"/>
  <c r="H28" i="6357"/>
  <c r="H32" i="6357"/>
  <c r="C34" i="6357"/>
  <c r="H37" i="6357"/>
  <c r="H40" i="6357"/>
  <c r="C42" i="6357"/>
  <c r="H45" i="6357"/>
  <c r="H51" i="6357"/>
  <c r="H19" i="6357"/>
  <c r="C17" i="6357"/>
  <c r="H18" i="6357"/>
  <c r="C20" i="6357"/>
  <c r="H13" i="6357"/>
  <c r="C32" i="6357"/>
  <c r="H35" i="6357"/>
  <c r="H38" i="6357"/>
  <c r="C40" i="6357"/>
  <c r="H43" i="6357"/>
  <c r="H47" i="6357"/>
  <c r="H7" i="6357"/>
  <c r="H14" i="6357"/>
  <c r="H15" i="6357"/>
  <c r="H24" i="6357"/>
  <c r="H6" i="6357"/>
  <c r="C15" i="6357"/>
  <c r="H16" i="6357"/>
  <c r="H29" i="6357"/>
  <c r="H2" i="6357"/>
  <c r="H3" i="6357"/>
  <c r="H10" i="6357"/>
  <c r="H4" i="6357"/>
  <c r="H21" i="6357"/>
  <c r="C18" i="6357"/>
  <c r="C21" i="6357"/>
  <c r="H30" i="6357"/>
  <c r="H33" i="6357"/>
  <c r="H36" i="6357"/>
  <c r="C38" i="6357"/>
  <c r="H41" i="6357"/>
  <c r="H44" i="6357"/>
  <c r="H48" i="6357"/>
  <c r="H52" i="6357"/>
  <c r="B23" i="6357"/>
  <c r="H22" i="6357"/>
  <c r="H23" i="6357"/>
  <c r="H25" i="6357"/>
  <c r="H26" i="6357"/>
  <c r="H17" i="6357"/>
  <c r="H11" i="6357"/>
  <c r="H31" i="6357"/>
  <c r="C33" i="6357"/>
  <c r="C35" i="6357"/>
  <c r="C37" i="6357"/>
  <c r="C39" i="6357"/>
  <c r="C41" i="6357"/>
  <c r="C43" i="6357"/>
  <c r="H46" i="6357"/>
  <c r="O16" i="6347" l="1"/>
  <c r="O17" i="6355"/>
  <c r="O23" i="6339"/>
  <c r="O16" i="6355"/>
  <c r="O15" i="6355"/>
  <c r="C30" i="6355"/>
  <c r="B25" i="6355"/>
  <c r="C16" i="6355"/>
  <c r="B15" i="6355"/>
  <c r="H50" i="6355" s="1"/>
  <c r="B14" i="6355"/>
  <c r="B24" i="6355" s="1"/>
  <c r="C13" i="6355"/>
  <c r="B13" i="6355"/>
  <c r="O12" i="6355"/>
  <c r="C12" i="6355"/>
  <c r="O11" i="6355"/>
  <c r="C11" i="6355"/>
  <c r="O10" i="6355"/>
  <c r="C10" i="6355"/>
  <c r="C9" i="6355"/>
  <c r="C8" i="6355"/>
  <c r="O7" i="6355"/>
  <c r="C7" i="6355"/>
  <c r="O6" i="6355"/>
  <c r="B6" i="6355"/>
  <c r="O5" i="6355"/>
  <c r="B5" i="6355"/>
  <c r="O4" i="6355"/>
  <c r="O3" i="6355"/>
  <c r="O2" i="6355"/>
  <c r="O21" i="6349"/>
  <c r="O26" i="6335"/>
  <c r="H12" i="6355" l="1"/>
  <c r="C19" i="6355"/>
  <c r="H13" i="6355"/>
  <c r="H7" i="6355"/>
  <c r="H17" i="6355"/>
  <c r="C14" i="6355"/>
  <c r="H8" i="6355"/>
  <c r="H27" i="6355"/>
  <c r="H34" i="6355"/>
  <c r="C36" i="6355"/>
  <c r="H39" i="6355"/>
  <c r="H42" i="6355"/>
  <c r="C44" i="6355"/>
  <c r="H49" i="6355"/>
  <c r="H10" i="6355"/>
  <c r="H16" i="6355"/>
  <c r="C17" i="6355"/>
  <c r="B22" i="6355"/>
  <c r="H32" i="6355"/>
  <c r="H37" i="6355"/>
  <c r="H40" i="6355"/>
  <c r="C42" i="6355"/>
  <c r="H45" i="6355"/>
  <c r="H51" i="6355"/>
  <c r="H28" i="6355"/>
  <c r="C15" i="6355"/>
  <c r="C20" i="6355"/>
  <c r="H29" i="6355"/>
  <c r="C32" i="6355"/>
  <c r="H35" i="6355"/>
  <c r="H38" i="6355"/>
  <c r="C40" i="6355"/>
  <c r="H43" i="6355"/>
  <c r="H47" i="6355"/>
  <c r="H11" i="6355"/>
  <c r="H15" i="6355"/>
  <c r="H22" i="6355"/>
  <c r="C34" i="6355"/>
  <c r="H4" i="6355"/>
  <c r="H14" i="6355"/>
  <c r="H20" i="6355"/>
  <c r="H25" i="6355"/>
  <c r="H6" i="6355"/>
  <c r="H3" i="6355"/>
  <c r="H9" i="6355"/>
  <c r="H2" i="6355"/>
  <c r="H18" i="6355"/>
  <c r="C18" i="6355"/>
  <c r="C21" i="6355"/>
  <c r="H30" i="6355"/>
  <c r="H33" i="6355"/>
  <c r="H36" i="6355"/>
  <c r="C38" i="6355"/>
  <c r="H41" i="6355"/>
  <c r="H44" i="6355"/>
  <c r="H48" i="6355"/>
  <c r="H52" i="6355"/>
  <c r="B23" i="6355"/>
  <c r="H19" i="6355"/>
  <c r="H21" i="6355"/>
  <c r="H23" i="6355"/>
  <c r="H24" i="6355"/>
  <c r="H26" i="6355"/>
  <c r="H5" i="6355"/>
  <c r="H31" i="6355"/>
  <c r="C33" i="6355"/>
  <c r="C35" i="6355"/>
  <c r="C37" i="6355"/>
  <c r="C39" i="6355"/>
  <c r="C41" i="6355"/>
  <c r="C43" i="6355"/>
  <c r="H46" i="6355"/>
  <c r="O22" i="6337" l="1"/>
  <c r="O16" i="6345"/>
  <c r="O15" i="6345" l="1"/>
  <c r="O19" i="6353"/>
  <c r="O15" i="6343" l="1"/>
  <c r="O22" i="6349"/>
  <c r="O16" i="6353" l="1"/>
  <c r="O23" i="6343"/>
  <c r="O21" i="6337" l="1"/>
  <c r="O17" i="6339"/>
  <c r="O15" i="6349"/>
  <c r="O23" i="6349"/>
  <c r="O19" i="6347" l="1"/>
  <c r="O18" i="6351"/>
  <c r="O17" i="6341" l="1"/>
  <c r="O17" i="6347"/>
  <c r="O19" i="6349"/>
  <c r="O20" i="6349"/>
  <c r="O16" i="6337" l="1"/>
  <c r="O17" i="6351"/>
  <c r="O19" i="6351"/>
  <c r="O18" i="6343"/>
  <c r="O22" i="6341" l="1"/>
  <c r="O20" i="6345"/>
  <c r="O21" i="6345" l="1"/>
  <c r="O22" i="6339"/>
  <c r="O25" i="6349"/>
  <c r="O17" i="6353"/>
  <c r="O15" i="6353"/>
  <c r="O21" i="6351"/>
  <c r="O15" i="6341" l="1"/>
  <c r="O21" i="6341"/>
  <c r="O18" i="6353"/>
  <c r="O20" i="6353"/>
  <c r="C30" i="6353"/>
  <c r="B25" i="6353"/>
  <c r="C16" i="6353"/>
  <c r="B15" i="6353"/>
  <c r="H51" i="6353" s="1"/>
  <c r="B14" i="6353"/>
  <c r="C14" i="6353" s="1"/>
  <c r="B13" i="6353"/>
  <c r="C13" i="6353" s="1"/>
  <c r="O12" i="6353"/>
  <c r="C12" i="6353"/>
  <c r="O11" i="6353"/>
  <c r="C11" i="6353"/>
  <c r="O10" i="6353"/>
  <c r="C10" i="6353"/>
  <c r="C9" i="6353"/>
  <c r="C8" i="6353"/>
  <c r="O7" i="6353"/>
  <c r="C7" i="6353"/>
  <c r="O6" i="6353"/>
  <c r="B6" i="6353"/>
  <c r="O5" i="6353"/>
  <c r="B5" i="6353"/>
  <c r="O4" i="6353"/>
  <c r="O3" i="6353"/>
  <c r="O2" i="6353"/>
  <c r="O21" i="6347"/>
  <c r="O15" i="6347"/>
  <c r="O16" i="6335"/>
  <c r="H14" i="6353" l="1"/>
  <c r="H7" i="6353"/>
  <c r="H5" i="6353"/>
  <c r="H19" i="6353"/>
  <c r="H11" i="6353"/>
  <c r="C42" i="6353"/>
  <c r="H10" i="6353"/>
  <c r="H3" i="6353"/>
  <c r="H2" i="6353"/>
  <c r="C18" i="6353"/>
  <c r="C34" i="6353"/>
  <c r="B24" i="6353"/>
  <c r="H35" i="6353"/>
  <c r="C19" i="6353"/>
  <c r="H8" i="6353"/>
  <c r="H20" i="6353"/>
  <c r="C21" i="6353"/>
  <c r="H30" i="6353"/>
  <c r="C38" i="6353"/>
  <c r="H48" i="6353"/>
  <c r="H39" i="6353"/>
  <c r="H43" i="6353"/>
  <c r="H49" i="6353"/>
  <c r="H23" i="6353"/>
  <c r="H27" i="6353"/>
  <c r="C32" i="6353"/>
  <c r="C36" i="6353"/>
  <c r="C40" i="6353"/>
  <c r="C44" i="6353"/>
  <c r="H6" i="6353"/>
  <c r="H12" i="6353"/>
  <c r="H17" i="6353"/>
  <c r="H18" i="6353"/>
  <c r="C17" i="6353"/>
  <c r="B22" i="6353"/>
  <c r="H4" i="6353"/>
  <c r="H16" i="6353"/>
  <c r="B23" i="6353"/>
  <c r="C15" i="6353"/>
  <c r="H13" i="6353"/>
  <c r="C20" i="6353"/>
  <c r="H26" i="6353"/>
  <c r="H28" i="6353"/>
  <c r="H33" i="6353"/>
  <c r="H37" i="6353"/>
  <c r="H41" i="6353"/>
  <c r="H45" i="6353"/>
  <c r="H52" i="6353"/>
  <c r="H21" i="6353"/>
  <c r="H22" i="6353"/>
  <c r="H24" i="6353"/>
  <c r="H25" i="6353"/>
  <c r="H15" i="6353"/>
  <c r="H9" i="6353"/>
  <c r="H31" i="6353"/>
  <c r="C33" i="6353"/>
  <c r="C35" i="6353"/>
  <c r="C37" i="6353"/>
  <c r="C39" i="6353"/>
  <c r="C41" i="6353"/>
  <c r="C43" i="6353"/>
  <c r="H46" i="6353"/>
  <c r="H50" i="6353"/>
  <c r="H29" i="6353"/>
  <c r="H32" i="6353"/>
  <c r="H34" i="6353"/>
  <c r="H36" i="6353"/>
  <c r="H38" i="6353"/>
  <c r="H40" i="6353"/>
  <c r="H42" i="6353"/>
  <c r="H44" i="6353"/>
  <c r="H47" i="6353"/>
  <c r="O18" i="6339" l="1"/>
  <c r="O19" i="6343"/>
  <c r="O20" i="6339" l="1"/>
  <c r="O22" i="6347"/>
  <c r="O24" i="6347"/>
  <c r="O17" i="6337"/>
  <c r="O16" i="6341"/>
  <c r="O17" i="6343"/>
  <c r="O21" i="6343"/>
  <c r="O18" i="6337"/>
  <c r="O18" i="6341"/>
  <c r="O16" i="6339"/>
  <c r="O20" i="6351"/>
  <c r="O22" i="6351"/>
  <c r="O23" i="6345" l="1"/>
  <c r="O17" i="6345"/>
  <c r="O15" i="6351"/>
  <c r="O16" i="6351"/>
  <c r="C30" i="6351"/>
  <c r="B25" i="6351"/>
  <c r="C16" i="6351"/>
  <c r="B15" i="6351"/>
  <c r="H51" i="6351" s="1"/>
  <c r="B14" i="6351"/>
  <c r="C14" i="6351" s="1"/>
  <c r="B13" i="6351"/>
  <c r="C13" i="6351" s="1"/>
  <c r="O12" i="6351"/>
  <c r="C12" i="6351"/>
  <c r="O11" i="6351"/>
  <c r="C11" i="6351"/>
  <c r="O10" i="6351"/>
  <c r="C10" i="6351"/>
  <c r="C9" i="6351"/>
  <c r="C8" i="6351"/>
  <c r="O7" i="6351"/>
  <c r="C7" i="6351"/>
  <c r="O6" i="6351"/>
  <c r="B6" i="6351"/>
  <c r="O5" i="6351"/>
  <c r="B5" i="6351"/>
  <c r="O4" i="6351"/>
  <c r="O3" i="6351"/>
  <c r="O2" i="6351"/>
  <c r="O17" i="6335"/>
  <c r="O17" i="6349"/>
  <c r="O24" i="6349"/>
  <c r="C30" i="6349"/>
  <c r="B25" i="6349"/>
  <c r="C16" i="6349"/>
  <c r="B15" i="6349"/>
  <c r="H51" i="6349" s="1"/>
  <c r="B14" i="6349"/>
  <c r="B24" i="6349" s="1"/>
  <c r="B13" i="6349"/>
  <c r="C13" i="6349" s="1"/>
  <c r="O12" i="6349"/>
  <c r="C12" i="6349"/>
  <c r="O11" i="6349"/>
  <c r="C11" i="6349"/>
  <c r="O10" i="6349"/>
  <c r="C10" i="6349"/>
  <c r="C9" i="6349"/>
  <c r="C8" i="6349"/>
  <c r="O7" i="6349"/>
  <c r="C7" i="6349"/>
  <c r="O6" i="6349"/>
  <c r="B6" i="6349"/>
  <c r="O5" i="6349"/>
  <c r="B5" i="6349"/>
  <c r="O4" i="6349"/>
  <c r="O3" i="6349"/>
  <c r="O2" i="6349"/>
  <c r="O21" i="6335"/>
  <c r="C14" i="6349" l="1"/>
  <c r="H12" i="6349"/>
  <c r="H52" i="6349"/>
  <c r="H3" i="6349"/>
  <c r="H11" i="6351"/>
  <c r="H9" i="6351"/>
  <c r="H4" i="6351"/>
  <c r="H22" i="6351"/>
  <c r="H16" i="6351"/>
  <c r="C17" i="6351"/>
  <c r="B22" i="6351"/>
  <c r="H33" i="6351"/>
  <c r="H38" i="6351"/>
  <c r="H20" i="6351"/>
  <c r="B23" i="6351"/>
  <c r="H8" i="6351"/>
  <c r="H23" i="6351"/>
  <c r="C19" i="6351"/>
  <c r="H15" i="6351"/>
  <c r="H19" i="6351"/>
  <c r="H35" i="6351"/>
  <c r="C36" i="6351"/>
  <c r="H40" i="6351"/>
  <c r="H43" i="6351"/>
  <c r="C44" i="6351"/>
  <c r="H50" i="6351"/>
  <c r="H17" i="6351"/>
  <c r="H29" i="6351"/>
  <c r="C34" i="6351"/>
  <c r="H41" i="6351"/>
  <c r="C42" i="6351"/>
  <c r="H46" i="6351"/>
  <c r="H7" i="6351"/>
  <c r="H21" i="6351"/>
  <c r="C15" i="6351"/>
  <c r="H25" i="6351"/>
  <c r="C20" i="6351"/>
  <c r="H18" i="6351"/>
  <c r="H30" i="6351"/>
  <c r="C32" i="6351"/>
  <c r="H36" i="6351"/>
  <c r="H39" i="6351"/>
  <c r="C40" i="6351"/>
  <c r="H44" i="6351"/>
  <c r="H48" i="6351"/>
  <c r="H5" i="6351"/>
  <c r="H3" i="6351"/>
  <c r="H2" i="6351"/>
  <c r="H10" i="6351"/>
  <c r="H6" i="6351"/>
  <c r="H24" i="6351"/>
  <c r="C18" i="6351"/>
  <c r="C21" i="6351"/>
  <c r="H31" i="6351"/>
  <c r="H34" i="6351"/>
  <c r="H37" i="6351"/>
  <c r="C38" i="6351"/>
  <c r="H42" i="6351"/>
  <c r="H45" i="6351"/>
  <c r="H49" i="6351"/>
  <c r="H52" i="6351"/>
  <c r="B24" i="6351"/>
  <c r="H13" i="6351"/>
  <c r="H26" i="6351"/>
  <c r="H27" i="6351"/>
  <c r="H28" i="6351"/>
  <c r="H14" i="6351"/>
  <c r="H12" i="6351"/>
  <c r="H32" i="6351"/>
  <c r="C33" i="6351"/>
  <c r="C35" i="6351"/>
  <c r="C37" i="6351"/>
  <c r="C39" i="6351"/>
  <c r="C41" i="6351"/>
  <c r="C43" i="6351"/>
  <c r="H47" i="6351"/>
  <c r="H16" i="6349"/>
  <c r="H9" i="6349"/>
  <c r="H10" i="6349"/>
  <c r="H6" i="6349"/>
  <c r="C38" i="6349"/>
  <c r="C18" i="6349"/>
  <c r="H42" i="6349"/>
  <c r="H45" i="6349"/>
  <c r="C21" i="6349"/>
  <c r="H35" i="6349"/>
  <c r="H4" i="6349"/>
  <c r="H2" i="6349"/>
  <c r="H11" i="6349"/>
  <c r="H17" i="6349"/>
  <c r="H23" i="6349"/>
  <c r="H25" i="6349"/>
  <c r="H37" i="6349"/>
  <c r="H49" i="6349"/>
  <c r="H24" i="6349"/>
  <c r="C19" i="6349"/>
  <c r="H13" i="6349"/>
  <c r="H31" i="6349"/>
  <c r="H20" i="6349"/>
  <c r="C36" i="6349"/>
  <c r="H40" i="6349"/>
  <c r="H43" i="6349"/>
  <c r="C44" i="6349"/>
  <c r="H50" i="6349"/>
  <c r="C17" i="6349"/>
  <c r="H15" i="6349"/>
  <c r="B22" i="6349"/>
  <c r="H32" i="6349"/>
  <c r="H34" i="6349"/>
  <c r="C34" i="6349"/>
  <c r="H38" i="6349"/>
  <c r="H41" i="6349"/>
  <c r="C42" i="6349"/>
  <c r="H46" i="6349"/>
  <c r="H21" i="6349"/>
  <c r="H7" i="6349"/>
  <c r="H22" i="6349"/>
  <c r="C15" i="6349"/>
  <c r="H26" i="6349"/>
  <c r="C20" i="6349"/>
  <c r="H30" i="6349"/>
  <c r="H33" i="6349"/>
  <c r="C32" i="6349"/>
  <c r="H36" i="6349"/>
  <c r="H39" i="6349"/>
  <c r="C40" i="6349"/>
  <c r="H44" i="6349"/>
  <c r="H48" i="6349"/>
  <c r="H5" i="6349"/>
  <c r="B23" i="6349"/>
  <c r="H18" i="6349"/>
  <c r="H27" i="6349"/>
  <c r="H28" i="6349"/>
  <c r="H29" i="6349"/>
  <c r="H14" i="6349"/>
  <c r="H8" i="6349"/>
  <c r="H19" i="6349"/>
  <c r="C33" i="6349"/>
  <c r="C35" i="6349"/>
  <c r="C37" i="6349"/>
  <c r="C39" i="6349"/>
  <c r="C41" i="6349"/>
  <c r="C43" i="6349"/>
  <c r="H47" i="6349"/>
  <c r="O23" i="6347" l="1"/>
  <c r="O18" i="6347"/>
  <c r="C30" i="6347"/>
  <c r="B25" i="6347"/>
  <c r="C16" i="6347"/>
  <c r="B15" i="6347"/>
  <c r="H51" i="6347" s="1"/>
  <c r="B14" i="6347"/>
  <c r="B24" i="6347" s="1"/>
  <c r="B13" i="6347"/>
  <c r="C13" i="6347" s="1"/>
  <c r="O12" i="6347"/>
  <c r="C12" i="6347"/>
  <c r="O11" i="6347"/>
  <c r="C11" i="6347"/>
  <c r="O10" i="6347"/>
  <c r="C10" i="6347"/>
  <c r="C9" i="6347"/>
  <c r="C8" i="6347"/>
  <c r="O7" i="6347"/>
  <c r="C7" i="6347"/>
  <c r="O6" i="6347"/>
  <c r="B6" i="6347"/>
  <c r="O5" i="6347"/>
  <c r="B5" i="6347"/>
  <c r="O4" i="6347"/>
  <c r="O3" i="6347"/>
  <c r="O2" i="6347"/>
  <c r="O22" i="6345"/>
  <c r="O18" i="6345"/>
  <c r="C30" i="6345"/>
  <c r="B25" i="6345"/>
  <c r="C16" i="6345"/>
  <c r="B15" i="6345"/>
  <c r="H51" i="6345" s="1"/>
  <c r="B14" i="6345"/>
  <c r="B24" i="6345" s="1"/>
  <c r="B13" i="6345"/>
  <c r="C13" i="6345" s="1"/>
  <c r="O12" i="6345"/>
  <c r="C12" i="6345"/>
  <c r="O11" i="6345"/>
  <c r="C11" i="6345"/>
  <c r="O10" i="6345"/>
  <c r="C10" i="6345"/>
  <c r="C9" i="6345"/>
  <c r="C8" i="6345"/>
  <c r="O7" i="6345"/>
  <c r="C7" i="6345"/>
  <c r="O6" i="6345"/>
  <c r="B6" i="6345"/>
  <c r="O5" i="6345"/>
  <c r="B5" i="6345"/>
  <c r="O4" i="6345"/>
  <c r="O3" i="6345"/>
  <c r="O2" i="6345"/>
  <c r="O18" i="6335"/>
  <c r="O20" i="6343"/>
  <c r="O16" i="6343"/>
  <c r="C30" i="6343"/>
  <c r="B25" i="6343"/>
  <c r="C16" i="6343"/>
  <c r="B15" i="6343"/>
  <c r="H18" i="6343" s="1"/>
  <c r="B14" i="6343"/>
  <c r="B24" i="6343" s="1"/>
  <c r="B13" i="6343"/>
  <c r="C13" i="6343" s="1"/>
  <c r="O12" i="6343"/>
  <c r="C12" i="6343"/>
  <c r="O11" i="6343"/>
  <c r="C11" i="6343"/>
  <c r="O10" i="6343"/>
  <c r="C10" i="6343"/>
  <c r="C9" i="6343"/>
  <c r="C8" i="6343"/>
  <c r="O7" i="6343"/>
  <c r="C7" i="6343"/>
  <c r="O6" i="6343"/>
  <c r="B6" i="6343"/>
  <c r="O5" i="6343"/>
  <c r="B5" i="6343"/>
  <c r="O4" i="6343"/>
  <c r="O3" i="6343"/>
  <c r="O2" i="6343"/>
  <c r="O22" i="6335"/>
  <c r="O24" i="6335"/>
  <c r="C34" i="6343" l="1"/>
  <c r="C18" i="6343"/>
  <c r="C14" i="6345"/>
  <c r="C14" i="6343"/>
  <c r="H23" i="6343"/>
  <c r="H2" i="6343"/>
  <c r="H3" i="6343"/>
  <c r="H9" i="6343"/>
  <c r="H8" i="6343"/>
  <c r="H4" i="6343"/>
  <c r="C42" i="6343"/>
  <c r="C19" i="6343"/>
  <c r="H36" i="6343"/>
  <c r="H22" i="6343"/>
  <c r="H19" i="6343"/>
  <c r="H14" i="6343"/>
  <c r="C21" i="6343"/>
  <c r="H20" i="6343"/>
  <c r="C38" i="6343"/>
  <c r="H6" i="6343"/>
  <c r="H24" i="6343"/>
  <c r="H10" i="6343"/>
  <c r="H12" i="6343"/>
  <c r="H40" i="6343"/>
  <c r="C14" i="6347"/>
  <c r="H7" i="6347"/>
  <c r="H11" i="6347"/>
  <c r="H28" i="6347"/>
  <c r="H8" i="6347"/>
  <c r="H29" i="6347"/>
  <c r="C19" i="6347"/>
  <c r="H14" i="6347"/>
  <c r="H24" i="6347"/>
  <c r="H36" i="6347"/>
  <c r="C36" i="6347"/>
  <c r="H41" i="6347"/>
  <c r="H43" i="6347"/>
  <c r="C44" i="6347"/>
  <c r="H50" i="6347"/>
  <c r="B22" i="6347"/>
  <c r="C34" i="6347"/>
  <c r="H46" i="6347"/>
  <c r="H6" i="6347"/>
  <c r="H17" i="6347"/>
  <c r="H15" i="6347"/>
  <c r="C20" i="6347"/>
  <c r="H34" i="6347"/>
  <c r="C32" i="6347"/>
  <c r="H37" i="6347"/>
  <c r="H40" i="6347"/>
  <c r="C40" i="6347"/>
  <c r="H44" i="6347"/>
  <c r="H48" i="6347"/>
  <c r="H5" i="6347"/>
  <c r="H10" i="6347"/>
  <c r="H23" i="6347"/>
  <c r="H22" i="6347"/>
  <c r="C17" i="6347"/>
  <c r="H19" i="6347"/>
  <c r="H25" i="6347"/>
  <c r="H27" i="6347"/>
  <c r="H39" i="6347"/>
  <c r="C42" i="6347"/>
  <c r="H16" i="6347"/>
  <c r="C15" i="6347"/>
  <c r="H20" i="6347"/>
  <c r="H4" i="6347"/>
  <c r="H2" i="6347"/>
  <c r="H12" i="6347"/>
  <c r="H3" i="6347"/>
  <c r="H30" i="6347"/>
  <c r="C18" i="6347"/>
  <c r="C21" i="6347"/>
  <c r="H21" i="6347"/>
  <c r="H35" i="6347"/>
  <c r="H38" i="6347"/>
  <c r="C38" i="6347"/>
  <c r="H42" i="6347"/>
  <c r="H45" i="6347"/>
  <c r="H49" i="6347"/>
  <c r="H52" i="6347"/>
  <c r="B23" i="6347"/>
  <c r="H18" i="6347"/>
  <c r="H31" i="6347"/>
  <c r="H32" i="6347"/>
  <c r="H33" i="6347"/>
  <c r="H13" i="6347"/>
  <c r="H9" i="6347"/>
  <c r="H26" i="6347"/>
  <c r="C33" i="6347"/>
  <c r="C35" i="6347"/>
  <c r="C37" i="6347"/>
  <c r="C39" i="6347"/>
  <c r="C41" i="6347"/>
  <c r="C43" i="6347"/>
  <c r="H47" i="6347"/>
  <c r="H6" i="6345"/>
  <c r="H10" i="6345"/>
  <c r="H13" i="6345"/>
  <c r="H29" i="6345"/>
  <c r="H20" i="6345"/>
  <c r="H9" i="6345"/>
  <c r="H30" i="6345"/>
  <c r="C20" i="6345"/>
  <c r="H37" i="6345"/>
  <c r="C40" i="6345"/>
  <c r="H48" i="6345"/>
  <c r="H33" i="6345"/>
  <c r="C32" i="6345"/>
  <c r="H42" i="6345"/>
  <c r="H5" i="6345"/>
  <c r="H22" i="6345"/>
  <c r="C18" i="6345"/>
  <c r="H14" i="6345"/>
  <c r="H35" i="6345"/>
  <c r="H39" i="6345"/>
  <c r="H44" i="6345"/>
  <c r="H7" i="6345"/>
  <c r="H23" i="6345"/>
  <c r="C21" i="6345"/>
  <c r="H28" i="6345"/>
  <c r="H49" i="6345"/>
  <c r="C15" i="6345"/>
  <c r="H25" i="6345"/>
  <c r="H4" i="6345"/>
  <c r="H2" i="6345"/>
  <c r="H11" i="6345"/>
  <c r="H3" i="6345"/>
  <c r="H26" i="6345"/>
  <c r="C19" i="6345"/>
  <c r="H21" i="6345"/>
  <c r="H18" i="6345"/>
  <c r="H36" i="6345"/>
  <c r="C38" i="6345"/>
  <c r="H45" i="6345"/>
  <c r="H52" i="6345"/>
  <c r="C36" i="6345"/>
  <c r="H40" i="6345"/>
  <c r="H43" i="6345"/>
  <c r="C44" i="6345"/>
  <c r="H50" i="6345"/>
  <c r="C17" i="6345"/>
  <c r="H17" i="6345"/>
  <c r="B22" i="6345"/>
  <c r="H34" i="6345"/>
  <c r="H27" i="6345"/>
  <c r="C34" i="6345"/>
  <c r="H38" i="6345"/>
  <c r="H41" i="6345"/>
  <c r="C42" i="6345"/>
  <c r="H46" i="6345"/>
  <c r="H12" i="6345"/>
  <c r="B23" i="6345"/>
  <c r="H16" i="6345"/>
  <c r="H31" i="6345"/>
  <c r="H32" i="6345"/>
  <c r="H24" i="6345"/>
  <c r="H15" i="6345"/>
  <c r="H8" i="6345"/>
  <c r="H19" i="6345"/>
  <c r="C33" i="6345"/>
  <c r="C35" i="6345"/>
  <c r="C37" i="6345"/>
  <c r="C39" i="6345"/>
  <c r="C41" i="6345"/>
  <c r="C43" i="6345"/>
  <c r="H47" i="6345"/>
  <c r="H49" i="6343"/>
  <c r="H44" i="6343"/>
  <c r="H50" i="6343"/>
  <c r="C17" i="6343"/>
  <c r="H17" i="6343"/>
  <c r="B22" i="6343"/>
  <c r="H29" i="6343"/>
  <c r="C32" i="6343"/>
  <c r="C36" i="6343"/>
  <c r="C40" i="6343"/>
  <c r="C44" i="6343"/>
  <c r="H5" i="6343"/>
  <c r="H7" i="6343"/>
  <c r="H21" i="6343"/>
  <c r="B23" i="6343"/>
  <c r="C15" i="6343"/>
  <c r="H16" i="6343"/>
  <c r="C20" i="6343"/>
  <c r="H28" i="6343"/>
  <c r="H30" i="6343"/>
  <c r="H34" i="6343"/>
  <c r="H38" i="6343"/>
  <c r="H42" i="6343"/>
  <c r="H46" i="6343"/>
  <c r="H52" i="6343"/>
  <c r="H15" i="6343"/>
  <c r="H25" i="6343"/>
  <c r="H26" i="6343"/>
  <c r="H27" i="6343"/>
  <c r="H13" i="6343"/>
  <c r="H11" i="6343"/>
  <c r="H32" i="6343"/>
  <c r="C33" i="6343"/>
  <c r="C35" i="6343"/>
  <c r="C37" i="6343"/>
  <c r="C39" i="6343"/>
  <c r="C41" i="6343"/>
  <c r="C43" i="6343"/>
  <c r="H47" i="6343"/>
  <c r="H51" i="6343"/>
  <c r="H31" i="6343"/>
  <c r="H33" i="6343"/>
  <c r="H35" i="6343"/>
  <c r="H37" i="6343"/>
  <c r="H39" i="6343"/>
  <c r="H41" i="6343"/>
  <c r="H43" i="6343"/>
  <c r="H45" i="6343"/>
  <c r="H48" i="6343"/>
  <c r="O23" i="6341" l="1"/>
  <c r="O19" i="6341"/>
  <c r="C30" i="6341"/>
  <c r="B25" i="6341"/>
  <c r="C16" i="6341"/>
  <c r="B15" i="6341"/>
  <c r="H52" i="6341" s="1"/>
  <c r="B14" i="6341"/>
  <c r="B24" i="6341" s="1"/>
  <c r="B13" i="6341"/>
  <c r="C13" i="6341" s="1"/>
  <c r="O12" i="6341"/>
  <c r="C12" i="6341"/>
  <c r="O11" i="6341"/>
  <c r="C11" i="6341"/>
  <c r="O10" i="6341"/>
  <c r="C10" i="6341"/>
  <c r="C9" i="6341"/>
  <c r="C8" i="6341"/>
  <c r="O7" i="6341"/>
  <c r="C7" i="6341"/>
  <c r="O6" i="6341"/>
  <c r="B6" i="6341"/>
  <c r="O5" i="6341"/>
  <c r="B5" i="6341"/>
  <c r="O4" i="6341"/>
  <c r="O3" i="6341"/>
  <c r="O2" i="6341"/>
  <c r="O19" i="6339"/>
  <c r="O21" i="6339"/>
  <c r="C30" i="6339"/>
  <c r="B25" i="6339"/>
  <c r="C16" i="6339"/>
  <c r="B15" i="6339"/>
  <c r="H51" i="6339" s="1"/>
  <c r="B14" i="6339"/>
  <c r="C14" i="6339" s="1"/>
  <c r="B13" i="6339"/>
  <c r="C13" i="6339" s="1"/>
  <c r="O12" i="6339"/>
  <c r="C12" i="6339"/>
  <c r="O11" i="6339"/>
  <c r="C11" i="6339"/>
  <c r="O10" i="6339"/>
  <c r="C10" i="6339"/>
  <c r="C9" i="6339"/>
  <c r="C8" i="6339"/>
  <c r="O7" i="6339"/>
  <c r="C7" i="6339"/>
  <c r="O6" i="6339"/>
  <c r="B6" i="6339"/>
  <c r="O5" i="6339"/>
  <c r="B5" i="6339"/>
  <c r="O4" i="6339"/>
  <c r="O3" i="6339"/>
  <c r="O2" i="6339"/>
  <c r="O19" i="6335"/>
  <c r="O19" i="6337"/>
  <c r="O20" i="6337"/>
  <c r="C30" i="6337"/>
  <c r="B25" i="6337"/>
  <c r="C16" i="6337"/>
  <c r="B15" i="6337"/>
  <c r="H50" i="6337" s="1"/>
  <c r="B14" i="6337"/>
  <c r="B24" i="6337" s="1"/>
  <c r="B13" i="6337"/>
  <c r="C13" i="6337" s="1"/>
  <c r="O12" i="6337"/>
  <c r="C12" i="6337"/>
  <c r="O11" i="6337"/>
  <c r="C11" i="6337"/>
  <c r="O10" i="6337"/>
  <c r="C10" i="6337"/>
  <c r="C9" i="6337"/>
  <c r="C8" i="6337"/>
  <c r="O7" i="6337"/>
  <c r="C7" i="6337"/>
  <c r="O6" i="6337"/>
  <c r="B6" i="6337"/>
  <c r="O5" i="6337"/>
  <c r="B5" i="6337"/>
  <c r="O4" i="6337"/>
  <c r="O3" i="6337"/>
  <c r="O2" i="6337"/>
  <c r="O23" i="6335"/>
  <c r="O25" i="6335"/>
  <c r="C30" i="6335"/>
  <c r="B25" i="6335"/>
  <c r="C16" i="6335"/>
  <c r="B15" i="6335"/>
  <c r="H51" i="6335" s="1"/>
  <c r="B14" i="6335"/>
  <c r="B24" i="6335" s="1"/>
  <c r="B13" i="6335"/>
  <c r="C13" i="6335" s="1"/>
  <c r="O12" i="6335"/>
  <c r="C12" i="6335"/>
  <c r="O11" i="6335"/>
  <c r="C11" i="6335"/>
  <c r="O10" i="6335"/>
  <c r="C10" i="6335"/>
  <c r="C9" i="6335"/>
  <c r="C8" i="6335"/>
  <c r="O7" i="6335"/>
  <c r="C7" i="6335"/>
  <c r="O6" i="6335"/>
  <c r="B6" i="6335"/>
  <c r="O5" i="6335"/>
  <c r="B5" i="6335"/>
  <c r="O4" i="6335"/>
  <c r="O3" i="6335"/>
  <c r="O2" i="6335"/>
  <c r="H11" i="6341" l="1"/>
  <c r="H12" i="6341"/>
  <c r="H12" i="6337"/>
  <c r="H11" i="6337"/>
  <c r="H27" i="6337"/>
  <c r="C14" i="6337"/>
  <c r="C14" i="6341"/>
  <c r="C15" i="6341"/>
  <c r="H6" i="6341"/>
  <c r="H21" i="6341"/>
  <c r="H8" i="6337"/>
  <c r="H10" i="6337"/>
  <c r="H22" i="6341"/>
  <c r="H15" i="6341"/>
  <c r="H30" i="6341"/>
  <c r="H13" i="6341"/>
  <c r="H20" i="6341"/>
  <c r="C35" i="6341"/>
  <c r="C37" i="6341"/>
  <c r="C41" i="6341"/>
  <c r="C43" i="6341"/>
  <c r="H51" i="6341"/>
  <c r="C42" i="6341"/>
  <c r="H29" i="6341"/>
  <c r="H25" i="6341"/>
  <c r="H9" i="6341"/>
  <c r="C33" i="6341"/>
  <c r="C39" i="6341"/>
  <c r="H47" i="6341"/>
  <c r="H7" i="6341"/>
  <c r="H23" i="6341"/>
  <c r="C17" i="6341"/>
  <c r="C19" i="6341"/>
  <c r="C21" i="6341"/>
  <c r="B23" i="6341"/>
  <c r="H26" i="6341"/>
  <c r="H34" i="6341"/>
  <c r="H27" i="6341"/>
  <c r="H37" i="6341"/>
  <c r="H39" i="6341"/>
  <c r="H41" i="6341"/>
  <c r="H43" i="6341"/>
  <c r="H45" i="6341"/>
  <c r="H48" i="6341"/>
  <c r="H19" i="6341"/>
  <c r="H5" i="6341"/>
  <c r="H2" i="6341"/>
  <c r="H10" i="6341"/>
  <c r="H3" i="6341"/>
  <c r="H24" i="6341"/>
  <c r="H18" i="6341"/>
  <c r="H17" i="6341"/>
  <c r="H14" i="6341"/>
  <c r="H31" i="6341"/>
  <c r="H32" i="6341"/>
  <c r="H16" i="6341"/>
  <c r="C32" i="6341"/>
  <c r="C34" i="6341"/>
  <c r="C36" i="6341"/>
  <c r="C38" i="6341"/>
  <c r="C40" i="6341"/>
  <c r="C44" i="6341"/>
  <c r="H49" i="6341"/>
  <c r="H4" i="6341"/>
  <c r="H8" i="6341"/>
  <c r="H28" i="6341"/>
  <c r="C18" i="6341"/>
  <c r="C20" i="6341"/>
  <c r="B22" i="6341"/>
  <c r="H33" i="6341"/>
  <c r="H35" i="6341"/>
  <c r="H36" i="6341"/>
  <c r="H38" i="6341"/>
  <c r="H40" i="6341"/>
  <c r="H42" i="6341"/>
  <c r="H44" i="6341"/>
  <c r="H46" i="6341"/>
  <c r="H50" i="6341"/>
  <c r="C14" i="6335"/>
  <c r="H10" i="6335"/>
  <c r="H16" i="6339"/>
  <c r="H25" i="6339"/>
  <c r="H17" i="6339"/>
  <c r="H4" i="6339"/>
  <c r="H23" i="6339"/>
  <c r="H9" i="6339"/>
  <c r="H31" i="6339"/>
  <c r="C19" i="6339"/>
  <c r="H14" i="6339"/>
  <c r="H34" i="6339"/>
  <c r="H27" i="6339"/>
  <c r="C36" i="6339"/>
  <c r="H41" i="6339"/>
  <c r="H44" i="6339"/>
  <c r="C44" i="6339"/>
  <c r="H50" i="6339"/>
  <c r="H10" i="6339"/>
  <c r="H6" i="6339"/>
  <c r="H11" i="6339"/>
  <c r="H19" i="6339"/>
  <c r="C17" i="6339"/>
  <c r="B22" i="6339"/>
  <c r="H26" i="6339"/>
  <c r="H35" i="6339"/>
  <c r="C34" i="6339"/>
  <c r="H39" i="6339"/>
  <c r="H42" i="6339"/>
  <c r="C42" i="6339"/>
  <c r="H29" i="6339"/>
  <c r="H7" i="6339"/>
  <c r="H30" i="6339"/>
  <c r="B23" i="6339"/>
  <c r="C15" i="6339"/>
  <c r="H20" i="6339"/>
  <c r="C20" i="6339"/>
  <c r="H21" i="6339"/>
  <c r="H28" i="6339"/>
  <c r="C32" i="6339"/>
  <c r="H37" i="6339"/>
  <c r="H40" i="6339"/>
  <c r="C40" i="6339"/>
  <c r="H45" i="6339"/>
  <c r="H48" i="6339"/>
  <c r="H5" i="6339"/>
  <c r="H2" i="6339"/>
  <c r="H13" i="6339"/>
  <c r="H3" i="6339"/>
  <c r="C18" i="6339"/>
  <c r="C21" i="6339"/>
  <c r="H18" i="6339"/>
  <c r="H36" i="6339"/>
  <c r="H38" i="6339"/>
  <c r="C38" i="6339"/>
  <c r="H43" i="6339"/>
  <c r="H46" i="6339"/>
  <c r="H49" i="6339"/>
  <c r="H52" i="6339"/>
  <c r="B24" i="6339"/>
  <c r="H15" i="6339"/>
  <c r="H32" i="6339"/>
  <c r="H33" i="6339"/>
  <c r="H24" i="6339"/>
  <c r="H12" i="6339"/>
  <c r="H8" i="6339"/>
  <c r="H22" i="6339"/>
  <c r="C33" i="6339"/>
  <c r="C35" i="6339"/>
  <c r="C37" i="6339"/>
  <c r="C39" i="6339"/>
  <c r="C41" i="6339"/>
  <c r="C43" i="6339"/>
  <c r="H47" i="6339"/>
  <c r="H25" i="6337"/>
  <c r="H5" i="6337"/>
  <c r="C19" i="6337"/>
  <c r="H34" i="6337"/>
  <c r="C36" i="6337"/>
  <c r="H39" i="6337"/>
  <c r="H42" i="6337"/>
  <c r="C44" i="6337"/>
  <c r="H49" i="6337"/>
  <c r="C17" i="6337"/>
  <c r="H14" i="6337"/>
  <c r="B22" i="6337"/>
  <c r="H20" i="6337"/>
  <c r="H21" i="6337"/>
  <c r="C34" i="6337"/>
  <c r="H37" i="6337"/>
  <c r="H40" i="6337"/>
  <c r="C42" i="6337"/>
  <c r="H45" i="6337"/>
  <c r="H51" i="6337"/>
  <c r="C15" i="6337"/>
  <c r="C20" i="6337"/>
  <c r="H30" i="6337"/>
  <c r="H31" i="6337"/>
  <c r="C32" i="6337"/>
  <c r="H35" i="6337"/>
  <c r="H38" i="6337"/>
  <c r="C40" i="6337"/>
  <c r="H43" i="6337"/>
  <c r="H47" i="6337"/>
  <c r="H4" i="6337"/>
  <c r="H18" i="6337"/>
  <c r="H22" i="6337"/>
  <c r="H7" i="6337"/>
  <c r="H26" i="6337"/>
  <c r="H16" i="6337"/>
  <c r="H6" i="6337"/>
  <c r="H2" i="6337"/>
  <c r="H9" i="6337"/>
  <c r="H3" i="6337"/>
  <c r="H23" i="6337"/>
  <c r="C18" i="6337"/>
  <c r="C21" i="6337"/>
  <c r="H17" i="6337"/>
  <c r="H33" i="6337"/>
  <c r="H36" i="6337"/>
  <c r="C38" i="6337"/>
  <c r="H41" i="6337"/>
  <c r="H44" i="6337"/>
  <c r="H48" i="6337"/>
  <c r="H52" i="6337"/>
  <c r="B23" i="6337"/>
  <c r="H19" i="6337"/>
  <c r="H28" i="6337"/>
  <c r="H29" i="6337"/>
  <c r="H24" i="6337"/>
  <c r="H15" i="6337"/>
  <c r="H13" i="6337"/>
  <c r="H32" i="6337"/>
  <c r="C33" i="6337"/>
  <c r="C35" i="6337"/>
  <c r="C37" i="6337"/>
  <c r="C39" i="6337"/>
  <c r="C41" i="6337"/>
  <c r="C43" i="6337"/>
  <c r="H46" i="6337"/>
  <c r="H12" i="6335"/>
  <c r="H8" i="6335"/>
  <c r="H6" i="6335"/>
  <c r="H35" i="6335"/>
  <c r="C19" i="6335"/>
  <c r="H13" i="6335"/>
  <c r="H28" i="6335"/>
  <c r="H31" i="6335"/>
  <c r="C36" i="6335"/>
  <c r="H42" i="6335"/>
  <c r="H44" i="6335"/>
  <c r="C44" i="6335"/>
  <c r="H50" i="6335"/>
  <c r="H20" i="6335"/>
  <c r="C17" i="6335"/>
  <c r="H27" i="6335"/>
  <c r="H30" i="6335"/>
  <c r="H40" i="6335"/>
  <c r="H33" i="6335"/>
  <c r="H34" i="6335"/>
  <c r="H16" i="6335"/>
  <c r="B22" i="6335"/>
  <c r="C34" i="6335"/>
  <c r="C15" i="6335"/>
  <c r="H19" i="6335"/>
  <c r="C20" i="6335"/>
  <c r="H29" i="6335"/>
  <c r="C32" i="6335"/>
  <c r="H39" i="6335"/>
  <c r="H41" i="6335"/>
  <c r="C40" i="6335"/>
  <c r="H45" i="6335"/>
  <c r="H48" i="6335"/>
  <c r="H5" i="6335"/>
  <c r="H24" i="6335"/>
  <c r="H17" i="6335"/>
  <c r="C42" i="6335"/>
  <c r="H7" i="6335"/>
  <c r="H23" i="6335"/>
  <c r="H21" i="6335"/>
  <c r="H4" i="6335"/>
  <c r="H2" i="6335"/>
  <c r="H11" i="6335"/>
  <c r="H3" i="6335"/>
  <c r="H26" i="6335"/>
  <c r="C18" i="6335"/>
  <c r="C21" i="6335"/>
  <c r="H18" i="6335"/>
  <c r="H38" i="6335"/>
  <c r="H32" i="6335"/>
  <c r="C38" i="6335"/>
  <c r="H43" i="6335"/>
  <c r="H46" i="6335"/>
  <c r="H49" i="6335"/>
  <c r="H52" i="6335"/>
  <c r="B23" i="6335"/>
  <c r="H15" i="6335"/>
  <c r="H36" i="6335"/>
  <c r="H37" i="6335"/>
  <c r="H25" i="6335"/>
  <c r="H14" i="6335"/>
  <c r="H9" i="6335"/>
  <c r="H22" i="6335"/>
  <c r="C33" i="6335"/>
  <c r="C35" i="6335"/>
  <c r="C37" i="6335"/>
  <c r="C39" i="6335"/>
  <c r="C41" i="6335"/>
  <c r="C43" i="6335"/>
  <c r="H47" i="633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<sst xmlns="http://schemas.openxmlformats.org/spreadsheetml/2006/main" count="3846" uniqueCount="300">
  <si>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</si>
  <si>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</si>
  <si>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</si>
  <si>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</si>
  <si>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</si>
  <si>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</si>
  <si>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</si>
  <si>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</si>
  <si>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</si>
  <si>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</si>
  <si>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</si>
  <si>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</si>
  <si>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</si>
  <si>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</si>
  <si>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</si>
  <si>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</si>
  <si>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</si>
  <si>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</si>
  <si>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</si>
  <si>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</si>
  <si>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</si>
  <si>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</si>
  <si>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</si>
  <si>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</si>
  <si>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</si>
  <si>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</si>
  <si>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</si>
  <si>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</si>
  <si>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</si>
  <si>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</si>
  <si>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</si>
  <si>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</si>
  <si>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</si>
  <si>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</si>
  <si>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</si>
  <si>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</si>
  <si>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</si>
  <si>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</si>
  <si>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</si>
  <si>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</si>
  <si>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</si>
  <si>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</si>
  <si>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</si>
  <si>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</si>
  <si>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</si>
  <si>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</si>
  <si>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</si>
  <si>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</si>
  <si>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</si>
  <si>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</si>
  <si>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</si>
  <si>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</si>
  <si>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</si>
  <si>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</si>
  <si>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</si>
  <si>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</si>
  <si>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</si>
  <si>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</si>
  <si>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</si>
  <si>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</si>
  <si>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</si>
  <si>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</si>
  <si>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</si>
  <si>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</si>
  <si>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</si>
  <si>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</si>
  <si>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</si>
  <si>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</si>
  <si>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</si>
  <si>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</si>
  <si>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</si>
  <si>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</si>
  <si>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</si>
  <si>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</si>
  <si>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</si>
  <si>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</si>
  <si>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</si>
  <si>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</si>
  <si>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</si>
  <si>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</si>
  <si>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</si>
  <si>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</si>
  <si>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</si>
  <si>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</si>
  <si>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</si>
  <si>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</si>
  <si>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</si>
  <si>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</si>
  <si>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</si>
  <si>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</si>
  <si>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</si>
  <si>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</si>
  <si>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</si>
  <si>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</si>
  <si>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</si>
  <si>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</si>
  <si>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</si>
  <si>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</si>
  <si>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</si>
  <si>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</si>
  <si>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</si>
  <si>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</si>
  <si>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</si>
  <si>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</si>
  <si>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</si>
  <si>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</si>
  <si>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</si>
  <si>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</si>
  <si>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</si>
  <si>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</si>
  <si>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</si>
  <si>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</si>
  <si>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</si>
  <si>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</si>
  <si>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</si>
  <si>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</si>
  <si>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</si>
  <si>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</si>
  <si>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</si>
  <si>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</si>
  <si>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</si>
  <si>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</si>
  <si>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</si>
  <si>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</si>
  <si>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</si>
  <si>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</si>
  <si>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</si>
  <si>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</si>
  <si>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</si>
  <si>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</si>
  <si>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</si>
  <si>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</si>
  <si>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</si>
  <si>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</si>
  <si>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</si>
  <si>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</si>
  <si>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</si>
  <si>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</si>
  <si>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</si>
  <si>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</si>
  <si>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</si>
  <si>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</si>
  <si>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</si>
  <si>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</si>
  <si>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</si>
  <si>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</si>
  <si>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</si>
  <si>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</si>
  <si>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</si>
  <si>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</si>
  <si>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</si>
  <si>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</si>
  <si>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</si>
  <si>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</si>
  <si>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</si>
  <si>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</si>
  <si>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</si>
  <si>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</si>
  <si>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</si>
  <si>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</si>
  <si>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</si>
  <si>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</si>
  <si>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</si>
  <si>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</si>
  <si>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</si>
  <si>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</si>
  <si>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</si>
  <si>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</si>
  <si>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</si>
  <si>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</si>
  <si>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</si>
  <si>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</si>
  <si>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</si>
  <si>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</si>
  <si>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</si>
  <si>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</si>
  <si>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</si>
  <si>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</si>
  <si>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</si>
  <si>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</si>
  <si>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</si>
  <si>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</si>
  <si>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</si>
  <si>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</si>
  <si>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</si>
  <si>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</si>
  <si>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</si>
  <si>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</si>
  <si>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</si>
  <si>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</si>
  <si>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</si>
  <si>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</si>
  <si>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</si>
  <si>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</si>
  <si>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</si>
  <si>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</si>
  <si>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</si>
  <si>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</si>
  <si>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</si>
  <si>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</si>
  <si>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</si>
  <si>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</si>
  <si>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</si>
  <si>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</si>
  <si>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</si>
  <si>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</si>
  <si>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</si>
  <si>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</si>
  <si>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</si>
  <si>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</si>
  <si>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</si>
  <si>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</si>
  <si>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</si>
  <si>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</si>
  <si>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</si>
  <si>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</si>
  <si>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</si>
  <si>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</si>
  <si>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</si>
  <si>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</si>
  <si>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</si>
  <si>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</si>
  <si>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</si>
  <si>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</si>
  <si>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</si>
  <si>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</si>
  <si>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</si>
  <si>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</si>
  <si>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</si>
  <si>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</si>
  <si>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</si>
  <si>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</si>
  <si>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</si>
  <si>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</si>
  <si>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</si>
  <si>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</si>
  <si>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</si>
  <si>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</si>
  <si>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</si>
  <si>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</si>
  <si>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</si>
  <si>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</si>
  <si>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</si>
  <si>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</si>
  <si>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</si>
  <si>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</si>
  <si>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</si>
  <si>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</si>
  <si>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</si>
  <si>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</si>
  <si>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</si>
  <si>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</si>
  <si>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</si>
  <si>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</si>
  <si>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</si>
  <si>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</si>
  <si>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</si>
  <si>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</si>
  <si>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</si>
  <si>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</si>
  <si>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</si>
  <si>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</si>
  <si>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</si>
  <si>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</si>
  <si>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</si>
  <si>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</si>
  <si>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</si>
  <si>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</si>
  <si>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</si>
  <si>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</si>
  <si>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</si>
  <si>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</si>
  <si>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</si>
  <si>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</si>
  <si>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ともき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</si>
  <si>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</si>
  <si>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</si>
  <si>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</si>
  <si>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</si>
  <si>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</si>
  <si>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</si>
  <si>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</si>
  <si>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</si>
  <si>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</si>
  <si>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2019-12-10@2.xlsm</t>
  </si>
  <si>
    <t>2019-12-09@5.xlsm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</si>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</sst>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全体!$K$2:$K$899</c:f>
              <c:numCache>
                <c:formatCode>General</c:formatCode>
                <c:ptCount val="8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</c:numCache>
            </c:numRef>
          </c:xVal>
          <c:yVal>
            <c:numRef>
              <c:f>全体!$L$2:$L$899</c:f>
              <c:numCache>
                <c:formatCode>\+0.0;\-0.0;\±0</c:formatCode>
                <c:ptCount val="898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A7-445E-90C4-721645F4A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-30.201342281879196</c:v>
                </c:pt>
                <c:pt idx="1">
                  <c:v>9.0702947845804989</c:v>
                </c:pt>
                <c:pt idx="2">
                  <c:v>-2.4154589371980677</c:v>
                </c:pt>
                <c:pt idx="3">
                  <c:v>8.9743589743589745</c:v>
                </c:pt>
                <c:pt idx="4">
                  <c:v>4.1841004184100417</c:v>
                </c:pt>
                <c:pt idx="5">
                  <c:v>15.075376884422111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38-42F9-83D5-B15157FA9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174</c:v>
                </c:pt>
                <c:pt idx="1">
                  <c:v>373</c:v>
                </c:pt>
                <c:pt idx="2">
                  <c:v>431</c:v>
                </c:pt>
                <c:pt idx="3">
                  <c:v>389</c:v>
                </c:pt>
                <c:pt idx="4">
                  <c:v>349</c:v>
                </c:pt>
                <c:pt idx="5">
                  <c:v>240</c:v>
                </c:pt>
                <c:pt idx="6">
                  <c:v>116</c:v>
                </c:pt>
                <c:pt idx="7">
                  <c:v>63</c:v>
                </c:pt>
                <c:pt idx="8">
                  <c:v>28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3-445E-BF87-C5B99FA54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たかの!$L$2:$L$80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85-498E-AD83-94B77E06B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2233.3333333333335</c:v>
                </c:pt>
                <c:pt idx="1">
                  <c:v>-1844.1558441558441</c:v>
                </c:pt>
                <c:pt idx="2">
                  <c:v>-1763.5135135135135</c:v>
                </c:pt>
                <c:pt idx="3">
                  <c:v>-991.304347826087</c:v>
                </c:pt>
                <c:pt idx="4">
                  <c:v>-83.582089552238813</c:v>
                </c:pt>
                <c:pt idx="5">
                  <c:v>-2245.6140350877195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98-4CAD-8437-A35A491D0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38</c:v>
                </c:pt>
                <c:pt idx="2">
                  <c:v>41</c:v>
                </c:pt>
                <c:pt idx="3">
                  <c:v>32</c:v>
                </c:pt>
                <c:pt idx="4">
                  <c:v>20</c:v>
                </c:pt>
                <c:pt idx="5">
                  <c:v>16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8-42B0-8AD6-78D86EBF1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だいち!$K$2:$K$177</c:f>
              <c:numCache>
                <c:formatCode>General</c:formatCode>
                <c:ptCount val="1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</c:numCache>
            </c:numRef>
          </c:xVal>
          <c:yVal>
            <c:numRef>
              <c:f>だいち!$L$2:$L$177</c:f>
              <c:numCache>
                <c:formatCode>\+0.0;\-0.0;\±0</c:formatCode>
                <c:ptCount val="176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4-4E9C-B256-F9C54AD2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1105.7471264367816</c:v>
                </c:pt>
                <c:pt idx="1">
                  <c:v>1235.0877192982457</c:v>
                </c:pt>
                <c:pt idx="2">
                  <c:v>1126.8292682926829</c:v>
                </c:pt>
                <c:pt idx="3">
                  <c:v>296.73202614379085</c:v>
                </c:pt>
                <c:pt idx="4">
                  <c:v>1573.943661971831</c:v>
                </c:pt>
                <c:pt idx="5">
                  <c:v>2268.3760683760684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35-4A34-9FA0-9C0167931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47</c:v>
                </c:pt>
                <c:pt idx="1">
                  <c:v>90</c:v>
                </c:pt>
                <c:pt idx="2">
                  <c:v>97</c:v>
                </c:pt>
                <c:pt idx="3">
                  <c:v>88</c:v>
                </c:pt>
                <c:pt idx="4">
                  <c:v>70</c:v>
                </c:pt>
                <c:pt idx="5">
                  <c:v>47</c:v>
                </c:pt>
                <c:pt idx="6">
                  <c:v>24</c:v>
                </c:pt>
                <c:pt idx="7">
                  <c:v>8</c:v>
                </c:pt>
                <c:pt idx="8">
                  <c:v>10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D2-432A-922E-6BC7EA50C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ただ!$L$2:$L$158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44C3-A53D-077AB27E0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-1056.7741935483871</c:v>
                </c:pt>
                <c:pt idx="1">
                  <c:v>1330.0653594771243</c:v>
                </c:pt>
                <c:pt idx="2">
                  <c:v>-404.96453900709218</c:v>
                </c:pt>
                <c:pt idx="3">
                  <c:v>274.62686567164178</c:v>
                </c:pt>
                <c:pt idx="4">
                  <c:v>-1145.0819672131147</c:v>
                </c:pt>
                <c:pt idx="5">
                  <c:v>1146.0784313725489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E5-403B-99FA-1FC40641B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29</c:v>
                </c:pt>
                <c:pt idx="1">
                  <c:v>68</c:v>
                </c:pt>
                <c:pt idx="2">
                  <c:v>84</c:v>
                </c:pt>
                <c:pt idx="3">
                  <c:v>79</c:v>
                </c:pt>
                <c:pt idx="4">
                  <c:v>59</c:v>
                </c:pt>
                <c:pt idx="5">
                  <c:v>42</c:v>
                </c:pt>
                <c:pt idx="6">
                  <c:v>13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89-409F-9865-FDE36D023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りくと!$K$2:$K$99</c:f>
              <c:numCache>
                <c:formatCode>General</c:formatCode>
                <c:ptCount val="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</c:numCache>
            </c:numRef>
          </c:xVal>
          <c:yVal>
            <c:numRef>
              <c:f>りくと!$L$2:$L$99</c:f>
              <c:numCache>
                <c:formatCode>\+0.0;\-0.0;\±0</c:formatCode>
                <c:ptCount val="9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9-4E06-9499-35612FAD5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-453.125</c:v>
                </c:pt>
                <c:pt idx="1">
                  <c:v>-558.33333333333337</c:v>
                </c:pt>
                <c:pt idx="2">
                  <c:v>418.88888888888891</c:v>
                </c:pt>
                <c:pt idx="3">
                  <c:v>-651.13636363636363</c:v>
                </c:pt>
                <c:pt idx="4">
                  <c:v>-2996.3855421686749</c:v>
                </c:pt>
                <c:pt idx="5">
                  <c:v>-2010.958904109589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E9-4124-822B-3D5DDE381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16</c:v>
                </c:pt>
                <c:pt idx="1">
                  <c:v>39</c:v>
                </c:pt>
                <c:pt idx="2">
                  <c:v>51</c:v>
                </c:pt>
                <c:pt idx="3">
                  <c:v>34</c:v>
                </c:pt>
                <c:pt idx="4">
                  <c:v>38</c:v>
                </c:pt>
                <c:pt idx="5">
                  <c:v>23</c:v>
                </c:pt>
                <c:pt idx="6">
                  <c:v>13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2-45FC-985C-150825F0D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れんたろう!$L$2:$L$129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9F-4CDC-B77C-C6D843CD2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1430.7086614173229</c:v>
                </c:pt>
                <c:pt idx="1">
                  <c:v>-2113.6</c:v>
                </c:pt>
                <c:pt idx="2">
                  <c:v>-8.8495575221238933</c:v>
                </c:pt>
                <c:pt idx="3">
                  <c:v>2172.8971962616824</c:v>
                </c:pt>
                <c:pt idx="4">
                  <c:v>1398.9473684210527</c:v>
                </c:pt>
                <c:pt idx="5">
                  <c:v>420.54794520547944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26-4246-AF38-EF944017D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8</c:v>
                </c:pt>
                <c:pt idx="1">
                  <c:v>22</c:v>
                </c:pt>
                <c:pt idx="2">
                  <c:v>39</c:v>
                </c:pt>
                <c:pt idx="3">
                  <c:v>54</c:v>
                </c:pt>
                <c:pt idx="4">
                  <c:v>64</c:v>
                </c:pt>
                <c:pt idx="5">
                  <c:v>41</c:v>
                </c:pt>
                <c:pt idx="6">
                  <c:v>22</c:v>
                </c:pt>
                <c:pt idx="7">
                  <c:v>19</c:v>
                </c:pt>
                <c:pt idx="8">
                  <c:v>6</c:v>
                </c:pt>
                <c:pt idx="9">
                  <c:v>2</c:v>
                </c:pt>
                <c:pt idx="10">
                  <c:v>2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2-4FDB-8E26-243A65572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まっつん!$K$2:$K$144</c:f>
              <c:numCache>
                <c:formatCode>General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まっつん!$L$2:$L$144</c:f>
              <c:numCache>
                <c:formatCode>\+0.0;\-0.0;\±0</c:formatCode>
                <c:ptCount val="14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2-4EB9-A559-7DCB9C27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-380.28169014084506</c:v>
                </c:pt>
                <c:pt idx="1">
                  <c:v>189.92805755395685</c:v>
                </c:pt>
                <c:pt idx="2">
                  <c:v>150.38167938931298</c:v>
                </c:pt>
                <c:pt idx="3">
                  <c:v>170.83333333333334</c:v>
                </c:pt>
                <c:pt idx="4">
                  <c:v>171.55963302752295</c:v>
                </c:pt>
                <c:pt idx="5">
                  <c:v>-1058.0645161290322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81-4738-8DF2-CD7991DC6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19</c:v>
                </c:pt>
                <c:pt idx="1">
                  <c:v>61</c:v>
                </c:pt>
                <c:pt idx="2">
                  <c:v>66</c:v>
                </c:pt>
                <c:pt idx="3">
                  <c:v>59</c:v>
                </c:pt>
                <c:pt idx="4">
                  <c:v>47</c:v>
                </c:pt>
                <c:pt idx="5">
                  <c:v>37</c:v>
                </c:pt>
                <c:pt idx="6">
                  <c:v>15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C2-4541-A085-9C6DE07C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のり!$L$2:$L$64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B-4C27-88F6-9657DAF50E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-2541.9354838709678</c:v>
                </c:pt>
                <c:pt idx="1">
                  <c:v>738.70967741935488</c:v>
                </c:pt>
                <c:pt idx="2">
                  <c:v>-691.52542372881351</c:v>
                </c:pt>
                <c:pt idx="3">
                  <c:v>-1784.9056603773586</c:v>
                </c:pt>
                <c:pt idx="4">
                  <c:v>-1862</c:v>
                </c:pt>
                <c:pt idx="5">
                  <c:v>-2182.9268292682927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AE-40C6-8B9E-7705277E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26</c:v>
                </c:pt>
                <c:pt idx="2">
                  <c:v>27</c:v>
                </c:pt>
                <c:pt idx="3">
                  <c:v>21</c:v>
                </c:pt>
                <c:pt idx="4">
                  <c:v>19</c:v>
                </c:pt>
                <c:pt idx="5">
                  <c:v>11</c:v>
                </c:pt>
                <c:pt idx="6">
                  <c:v>10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07-4F69-84C8-E5E9046E8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ぱぱ!$L$2:$L$27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C6-4CE7-96A7-268B603D4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-3136</c:v>
                </c:pt>
                <c:pt idx="1">
                  <c:v>-1216</c:v>
                </c:pt>
                <c:pt idx="2">
                  <c:v>1454.1666666666667</c:v>
                </c:pt>
                <c:pt idx="3">
                  <c:v>-2866.6666666666665</c:v>
                </c:pt>
                <c:pt idx="4">
                  <c:v>4822.727272727273</c:v>
                </c:pt>
                <c:pt idx="5">
                  <c:v>711.11111111111109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4-49C2-A91B-1BB2889A8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7</c:v>
                </c:pt>
                <c:pt idx="1">
                  <c:v>9</c:v>
                </c:pt>
                <c:pt idx="2">
                  <c:v>10</c:v>
                </c:pt>
                <c:pt idx="3">
                  <c:v>9</c:v>
                </c:pt>
                <c:pt idx="4">
                  <c:v>10</c:v>
                </c:pt>
                <c:pt idx="5">
                  <c:v>12</c:v>
                </c:pt>
                <c:pt idx="6">
                  <c:v>3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C-4304-915F-D35A1F1D7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A-42CF-8F73-FBB8701073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D3D-9497-E0059D81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AF-49A6-A31B-EF2C64608A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EB-47FB-98BA-F456A5279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BF-4DD9-B49C-03DC0E65F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3-4C1A-B036-2162F6DA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ともき!$L$2:$L$15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7E-4935-8016-F35F29F67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-2923.0769230769229</c:v>
                </c:pt>
                <c:pt idx="1">
                  <c:v>-430.76923076923077</c:v>
                </c:pt>
                <c:pt idx="2">
                  <c:v>-2992.3076923076924</c:v>
                </c:pt>
                <c:pt idx="3">
                  <c:v>623.07692307692309</c:v>
                </c:pt>
                <c:pt idx="4">
                  <c:v>-827.27272727272725</c:v>
                </c:pt>
                <c:pt idx="5">
                  <c:v>4244.4444444444443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C4-4F91-A109-A14AFFCF8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5</c:v>
                </c:pt>
                <c:pt idx="1">
                  <c:v>12</c:v>
                </c:pt>
                <c:pt idx="2">
                  <c:v>6</c:v>
                </c:pt>
                <c:pt idx="3">
                  <c:v>9</c:v>
                </c:pt>
                <c:pt idx="4">
                  <c:v>6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2F-4B67-8C5D-71CA68A873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たか!$L$2:$L$10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41-4443-994E-5EBA92DBD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1387.5</c:v>
                </c:pt>
                <c:pt idx="1">
                  <c:v>5162.5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5-48B0-A4D5-D161A5086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9F-4AA3-8044-2D0F7928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82-40EB-B216-C01322854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7-4ACD-87D6-D2FBEDD26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63-45A0-A3EA-AE53835B6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まっつん2!$B$3:$B$145</c:f>
              <c:numCache>
                <c:formatCode>\+0.0;\-0.0;\±0</c:formatCode>
                <c:ptCount val="14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5.684341886080801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まっつん2!$C$3:$C$145</c:f>
              <c:numCache>
                <c:formatCode>\+0.0;\-0.0;\±0</c:formatCode>
                <c:ptCount val="143"/>
                <c:pt idx="1">
                  <c:v>46.9</c:v>
                </c:pt>
                <c:pt idx="2">
                  <c:v>4.0500000000000007</c:v>
                </c:pt>
                <c:pt idx="3">
                  <c:v>8.6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  <c:pt idx="13">
                  <c:v>-5.2615384615384606</c:v>
                </c:pt>
                <c:pt idx="14">
                  <c:v>-1.8428571428571421</c:v>
                </c:pt>
                <c:pt idx="15">
                  <c:v>-2.3666666666666658</c:v>
                </c:pt>
                <c:pt idx="16">
                  <c:v>-2.2249999999999992</c:v>
                </c:pt>
                <c:pt idx="17">
                  <c:v>-1.7529411764705873</c:v>
                </c:pt>
                <c:pt idx="18">
                  <c:v>-3.4666666666666663</c:v>
                </c:pt>
                <c:pt idx="19">
                  <c:v>-2.9684210526315784</c:v>
                </c:pt>
                <c:pt idx="20">
                  <c:v>-4.6599999999999993</c:v>
                </c:pt>
                <c:pt idx="21">
                  <c:v>-5.89047619047619</c:v>
                </c:pt>
                <c:pt idx="22">
                  <c:v>-3.045454545454545</c:v>
                </c:pt>
                <c:pt idx="23">
                  <c:v>-2.5913043478260862</c:v>
                </c:pt>
                <c:pt idx="24">
                  <c:v>-3.8083333333333331</c:v>
                </c:pt>
                <c:pt idx="25">
                  <c:v>-1.6519999999999997</c:v>
                </c:pt>
                <c:pt idx="26">
                  <c:v>-2.0807692307692305</c:v>
                </c:pt>
                <c:pt idx="27">
                  <c:v>-2.5999999999999996</c:v>
                </c:pt>
                <c:pt idx="28">
                  <c:v>-2.1892857142857141</c:v>
                </c:pt>
                <c:pt idx="29">
                  <c:v>-3.7827586206896546</c:v>
                </c:pt>
                <c:pt idx="30">
                  <c:v>-3.5766666666666662</c:v>
                </c:pt>
                <c:pt idx="31">
                  <c:v>-3.1225806451612899</c:v>
                </c:pt>
                <c:pt idx="32">
                  <c:v>-1.6906249999999994</c:v>
                </c:pt>
                <c:pt idx="33">
                  <c:v>-1.481818181818181</c:v>
                </c:pt>
                <c:pt idx="34">
                  <c:v>-1.8823529411764699</c:v>
                </c:pt>
                <c:pt idx="35">
                  <c:v>-2.0685714285714281</c:v>
                </c:pt>
                <c:pt idx="36">
                  <c:v>-1.816666666666666</c:v>
                </c:pt>
                <c:pt idx="37">
                  <c:v>-1.5837837837837832</c:v>
                </c:pt>
                <c:pt idx="38">
                  <c:v>-1.3631578947368417</c:v>
                </c:pt>
                <c:pt idx="39">
                  <c:v>-1.7410256410256404</c:v>
                </c:pt>
                <c:pt idx="40">
                  <c:v>-1.5324999999999993</c:v>
                </c:pt>
                <c:pt idx="41">
                  <c:v>-1.3878048780487799</c:v>
                </c:pt>
                <c:pt idx="42">
                  <c:v>-1.3928571428571423</c:v>
                </c:pt>
                <c:pt idx="43">
                  <c:v>-1.1604651162790693</c:v>
                </c:pt>
                <c:pt idx="44">
                  <c:v>0.26363636363636417</c:v>
                </c:pt>
                <c:pt idx="45">
                  <c:v>-0.51777777777777723</c:v>
                </c:pt>
                <c:pt idx="46">
                  <c:v>-0.24130434782608645</c:v>
                </c:pt>
                <c:pt idx="47">
                  <c:v>-0.66170212765957392</c:v>
                </c:pt>
                <c:pt idx="48">
                  <c:v>-0.38541666666666624</c:v>
                </c:pt>
                <c:pt idx="49">
                  <c:v>0.14489795918367393</c:v>
                </c:pt>
                <c:pt idx="50">
                  <c:v>0.13000000000000045</c:v>
                </c:pt>
                <c:pt idx="51">
                  <c:v>-5.8823529411760143E-3</c:v>
                </c:pt>
                <c:pt idx="52">
                  <c:v>0.16923076923076966</c:v>
                </c:pt>
                <c:pt idx="53">
                  <c:v>0.10943396226415136</c:v>
                </c:pt>
                <c:pt idx="54">
                  <c:v>-0.23148148148148109</c:v>
                </c:pt>
                <c:pt idx="55">
                  <c:v>0.66181818181818219</c:v>
                </c:pt>
                <c:pt idx="56">
                  <c:v>-6.607142857142824E-2</c:v>
                </c:pt>
                <c:pt idx="57">
                  <c:v>0.22631578947368455</c:v>
                </c:pt>
                <c:pt idx="58">
                  <c:v>0.65000000000000024</c:v>
                </c:pt>
                <c:pt idx="59">
                  <c:v>1.3050847457627122</c:v>
                </c:pt>
                <c:pt idx="60">
                  <c:v>0.3516666666666669</c:v>
                </c:pt>
                <c:pt idx="61">
                  <c:v>0.44426229508196746</c:v>
                </c:pt>
                <c:pt idx="62">
                  <c:v>0.19032258064516153</c:v>
                </c:pt>
                <c:pt idx="63">
                  <c:v>0.73650793650793678</c:v>
                </c:pt>
                <c:pt idx="64">
                  <c:v>0.62343750000000031</c:v>
                </c:pt>
                <c:pt idx="65">
                  <c:v>0.22461538461538491</c:v>
                </c:pt>
                <c:pt idx="66">
                  <c:v>-9.5454545454545139E-2</c:v>
                </c:pt>
                <c:pt idx="67">
                  <c:v>-4.1791044776119092E-2</c:v>
                </c:pt>
                <c:pt idx="68">
                  <c:v>-0.52647058823529391</c:v>
                </c:pt>
                <c:pt idx="69">
                  <c:v>-0.86811594202898523</c:v>
                </c:pt>
                <c:pt idx="70">
                  <c:v>-0.7085714285714283</c:v>
                </c:pt>
                <c:pt idx="71">
                  <c:v>-0.76056338028168979</c:v>
                </c:pt>
                <c:pt idx="72">
                  <c:v>-0.94722222222222185</c:v>
                </c:pt>
                <c:pt idx="73">
                  <c:v>-0.89999999999999969</c:v>
                </c:pt>
                <c:pt idx="74">
                  <c:v>-0.48108108108108072</c:v>
                </c:pt>
                <c:pt idx="75">
                  <c:v>-0.49999999999999961</c:v>
                </c:pt>
                <c:pt idx="76">
                  <c:v>-0.37105263157894697</c:v>
                </c:pt>
                <c:pt idx="77">
                  <c:v>-1.1337662337662333</c:v>
                </c:pt>
                <c:pt idx="78">
                  <c:v>-1.71025641025641</c:v>
                </c:pt>
                <c:pt idx="79">
                  <c:v>-2.1518987341772147</c:v>
                </c:pt>
                <c:pt idx="80">
                  <c:v>-2.0724999999999998</c:v>
                </c:pt>
                <c:pt idx="81">
                  <c:v>-1.4320987654320987</c:v>
                </c:pt>
                <c:pt idx="82">
                  <c:v>-1.4292682926829268</c:v>
                </c:pt>
                <c:pt idx="83">
                  <c:v>-1.5493975903614456</c:v>
                </c:pt>
                <c:pt idx="84">
                  <c:v>-1.4261904761904762</c:v>
                </c:pt>
                <c:pt idx="85">
                  <c:v>-1.1458823529411766</c:v>
                </c:pt>
                <c:pt idx="86">
                  <c:v>-0.97441860465116292</c:v>
                </c:pt>
                <c:pt idx="87">
                  <c:v>-0.65977011494252891</c:v>
                </c:pt>
                <c:pt idx="88">
                  <c:v>-0.71818181818181825</c:v>
                </c:pt>
                <c:pt idx="89">
                  <c:v>-1.3438202247191011</c:v>
                </c:pt>
                <c:pt idx="90">
                  <c:v>-0.64000000000000012</c:v>
                </c:pt>
                <c:pt idx="91">
                  <c:v>-0.60329670329670337</c:v>
                </c:pt>
                <c:pt idx="92">
                  <c:v>-0.1858695652173914</c:v>
                </c:pt>
                <c:pt idx="93">
                  <c:v>9.4623655913978394E-2</c:v>
                </c:pt>
                <c:pt idx="94">
                  <c:v>-4.3617021276595856E-2</c:v>
                </c:pt>
                <c:pt idx="95">
                  <c:v>0.33578947368421042</c:v>
                </c:pt>
                <c:pt idx="96">
                  <c:v>0.54479166666666656</c:v>
                </c:pt>
                <c:pt idx="97">
                  <c:v>0.14432989690721643</c:v>
                </c:pt>
                <c:pt idx="98">
                  <c:v>0.21836734693877544</c:v>
                </c:pt>
                <c:pt idx="99">
                  <c:v>-5.454545454545464E-2</c:v>
                </c:pt>
                <c:pt idx="100">
                  <c:v>-0.25600000000000006</c:v>
                </c:pt>
                <c:pt idx="101">
                  <c:v>0.31881188118811871</c:v>
                </c:pt>
                <c:pt idx="102">
                  <c:v>0.27156862745098026</c:v>
                </c:pt>
                <c:pt idx="103">
                  <c:v>0.44466019417475716</c:v>
                </c:pt>
                <c:pt idx="104">
                  <c:v>1.1749999999999998</c:v>
                </c:pt>
                <c:pt idx="105">
                  <c:v>0.82190476190476169</c:v>
                </c:pt>
                <c:pt idx="106">
                  <c:v>0.79528301886792441</c:v>
                </c:pt>
                <c:pt idx="107">
                  <c:v>0.99345794392523346</c:v>
                </c:pt>
                <c:pt idx="108">
                  <c:v>0.9185185185185184</c:v>
                </c:pt>
                <c:pt idx="109">
                  <c:v>1.2128440366972475</c:v>
                </c:pt>
                <c:pt idx="110">
                  <c:v>1.0918181818181818</c:v>
                </c:pt>
                <c:pt idx="111">
                  <c:v>0.95765765765765765</c:v>
                </c:pt>
                <c:pt idx="112">
                  <c:v>0.9330357142857143</c:v>
                </c:pt>
                <c:pt idx="113">
                  <c:v>0.89823008849557517</c:v>
                </c:pt>
                <c:pt idx="114">
                  <c:v>1.025438596491228</c:v>
                </c:pt>
                <c:pt idx="115">
                  <c:v>0.76347826086956527</c:v>
                </c:pt>
                <c:pt idx="116">
                  <c:v>0.61034482758620701</c:v>
                </c:pt>
                <c:pt idx="117">
                  <c:v>0.54358974358974366</c:v>
                </c:pt>
                <c:pt idx="118">
                  <c:v>0.83389830508474583</c:v>
                </c:pt>
                <c:pt idx="119">
                  <c:v>0.81176470588235305</c:v>
                </c:pt>
                <c:pt idx="120">
                  <c:v>0.55583333333333351</c:v>
                </c:pt>
                <c:pt idx="121">
                  <c:v>0.28264462809917368</c:v>
                </c:pt>
                <c:pt idx="122">
                  <c:v>8.1967213114766914E-4</c:v>
                </c:pt>
                <c:pt idx="123">
                  <c:v>-0.30081300813008116</c:v>
                </c:pt>
                <c:pt idx="124">
                  <c:v>-0.53951612903225787</c:v>
                </c:pt>
                <c:pt idx="125">
                  <c:v>-0.6791999999999998</c:v>
                </c:pt>
                <c:pt idx="126">
                  <c:v>-1.049206349206349</c:v>
                </c:pt>
                <c:pt idx="127">
                  <c:v>-1.0433070866141732</c:v>
                </c:pt>
                <c:pt idx="128">
                  <c:v>-1.41484375</c:v>
                </c:pt>
                <c:pt idx="129">
                  <c:v>-1.6302325581395347</c:v>
                </c:pt>
                <c:pt idx="130">
                  <c:v>-1.776153846153846</c:v>
                </c:pt>
                <c:pt idx="131">
                  <c:v>-1.8503816793893129</c:v>
                </c:pt>
                <c:pt idx="132">
                  <c:v>-1.8045454545454545</c:v>
                </c:pt>
                <c:pt idx="133">
                  <c:v>-1.7105263157894737</c:v>
                </c:pt>
                <c:pt idx="134">
                  <c:v>-1.4447761194029851</c:v>
                </c:pt>
                <c:pt idx="135">
                  <c:v>-1.5711111111111111</c:v>
                </c:pt>
                <c:pt idx="136">
                  <c:v>-1.3169117647058823</c:v>
                </c:pt>
                <c:pt idx="137">
                  <c:v>-1.1116788321167883</c:v>
                </c:pt>
                <c:pt idx="138">
                  <c:v>-1.1775362318840579</c:v>
                </c:pt>
                <c:pt idx="139">
                  <c:v>-1.0812949640287768</c:v>
                </c:pt>
                <c:pt idx="140">
                  <c:v>-0.69142857142857128</c:v>
                </c:pt>
                <c:pt idx="141">
                  <c:v>-0.75177304964538993</c:v>
                </c:pt>
                <c:pt idx="142">
                  <c:v>-1.0021126760563379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3370589588414731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まっつん2!$D$3:$D$145</c:f>
              <c:numCache>
                <c:formatCode>0.00\ "位"</c:formatCode>
                <c:ptCount val="143"/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2.0666666666666669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2.1904761904761907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2.12</c:v>
                </c:pt>
                <c:pt idx="26">
                  <c:v>2.1538461538461537</c:v>
                </c:pt>
                <c:pt idx="27">
                  <c:v>2.1481481481481484</c:v>
                </c:pt>
                <c:pt idx="28">
                  <c:v>2.1428571428571428</c:v>
                </c:pt>
                <c:pt idx="29">
                  <c:v>2.1724137931034484</c:v>
                </c:pt>
                <c:pt idx="30">
                  <c:v>2.1666666666666665</c:v>
                </c:pt>
                <c:pt idx="31">
                  <c:v>2.161290322580645</c:v>
                </c:pt>
                <c:pt idx="32">
                  <c:v>2.125</c:v>
                </c:pt>
                <c:pt idx="33">
                  <c:v>2.1212121212121211</c:v>
                </c:pt>
                <c:pt idx="34">
                  <c:v>2.1470588235294117</c:v>
                </c:pt>
                <c:pt idx="35">
                  <c:v>2.1428571428571428</c:v>
                </c:pt>
                <c:pt idx="36">
                  <c:v>2.1388888888888888</c:v>
                </c:pt>
                <c:pt idx="37">
                  <c:v>2.1351351351351351</c:v>
                </c:pt>
                <c:pt idx="38">
                  <c:v>2.1315789473684212</c:v>
                </c:pt>
                <c:pt idx="39">
                  <c:v>2.1282051282051282</c:v>
                </c:pt>
                <c:pt idx="40">
                  <c:v>2.125</c:v>
                </c:pt>
                <c:pt idx="41">
                  <c:v>2.1219512195121952</c:v>
                </c:pt>
                <c:pt idx="42">
                  <c:v>2.1190476190476191</c:v>
                </c:pt>
                <c:pt idx="43">
                  <c:v>2.1162790697674421</c:v>
                </c:pt>
                <c:pt idx="44">
                  <c:v>2.0909090909090908</c:v>
                </c:pt>
                <c:pt idx="45">
                  <c:v>2.1111111111111112</c:v>
                </c:pt>
                <c:pt idx="46">
                  <c:v>2.1086956521739131</c:v>
                </c:pt>
                <c:pt idx="47">
                  <c:v>2.1063829787234041</c:v>
                </c:pt>
                <c:pt idx="48">
                  <c:v>2.1041666666666665</c:v>
                </c:pt>
                <c:pt idx="49">
                  <c:v>2.0816326530612246</c:v>
                </c:pt>
                <c:pt idx="50">
                  <c:v>2.08</c:v>
                </c:pt>
                <c:pt idx="51">
                  <c:v>2.0784313725490198</c:v>
                </c:pt>
                <c:pt idx="52">
                  <c:v>2.0769230769230771</c:v>
                </c:pt>
                <c:pt idx="53">
                  <c:v>2.0754716981132075</c:v>
                </c:pt>
                <c:pt idx="54">
                  <c:v>2.0925925925925926</c:v>
                </c:pt>
                <c:pt idx="55">
                  <c:v>2.0727272727272728</c:v>
                </c:pt>
                <c:pt idx="56">
                  <c:v>2.0892857142857144</c:v>
                </c:pt>
                <c:pt idx="57">
                  <c:v>2.0701754385964914</c:v>
                </c:pt>
                <c:pt idx="58">
                  <c:v>2.0517241379310347</c:v>
                </c:pt>
                <c:pt idx="59">
                  <c:v>2.0338983050847457</c:v>
                </c:pt>
                <c:pt idx="60">
                  <c:v>2.0499999999999998</c:v>
                </c:pt>
                <c:pt idx="61">
                  <c:v>2.0491803278688523</c:v>
                </c:pt>
                <c:pt idx="62">
                  <c:v>2.064516129032258</c:v>
                </c:pt>
                <c:pt idx="63">
                  <c:v>2.0476190476190474</c:v>
                </c:pt>
                <c:pt idx="64">
                  <c:v>2.046875</c:v>
                </c:pt>
                <c:pt idx="65">
                  <c:v>2.0615384615384613</c:v>
                </c:pt>
                <c:pt idx="66">
                  <c:v>2.0757575757575757</c:v>
                </c:pt>
                <c:pt idx="67">
                  <c:v>2.0746268656716418</c:v>
                </c:pt>
                <c:pt idx="68">
                  <c:v>2.0735294117647061</c:v>
                </c:pt>
                <c:pt idx="69">
                  <c:v>2.0869565217391304</c:v>
                </c:pt>
                <c:pt idx="70">
                  <c:v>2.0857142857142859</c:v>
                </c:pt>
                <c:pt idx="71">
                  <c:v>2.084507042253521</c:v>
                </c:pt>
                <c:pt idx="72">
                  <c:v>2.0833333333333335</c:v>
                </c:pt>
                <c:pt idx="73">
                  <c:v>2.0821917808219177</c:v>
                </c:pt>
                <c:pt idx="74">
                  <c:v>2.0675675675675675</c:v>
                </c:pt>
                <c:pt idx="75">
                  <c:v>2.0666666666666669</c:v>
                </c:pt>
                <c:pt idx="76">
                  <c:v>2.0657894736842106</c:v>
                </c:pt>
                <c:pt idx="77">
                  <c:v>2.0779220779220777</c:v>
                </c:pt>
                <c:pt idx="78">
                  <c:v>2.0897435897435899</c:v>
                </c:pt>
                <c:pt idx="79">
                  <c:v>2.1012658227848102</c:v>
                </c:pt>
                <c:pt idx="80">
                  <c:v>2.1</c:v>
                </c:pt>
                <c:pt idx="81">
                  <c:v>2.0864197530864197</c:v>
                </c:pt>
                <c:pt idx="82">
                  <c:v>2.0853658536585367</c:v>
                </c:pt>
                <c:pt idx="83">
                  <c:v>2.0843373493975905</c:v>
                </c:pt>
                <c:pt idx="84">
                  <c:v>2.0833333333333335</c:v>
                </c:pt>
                <c:pt idx="85">
                  <c:v>2.0705882352941178</c:v>
                </c:pt>
                <c:pt idx="86">
                  <c:v>2.058139534883721</c:v>
                </c:pt>
                <c:pt idx="87">
                  <c:v>2.0459770114942528</c:v>
                </c:pt>
                <c:pt idx="88">
                  <c:v>2.0454545454545454</c:v>
                </c:pt>
                <c:pt idx="89">
                  <c:v>2.0561797752808988</c:v>
                </c:pt>
                <c:pt idx="90">
                  <c:v>2.0444444444444443</c:v>
                </c:pt>
                <c:pt idx="91">
                  <c:v>2.0439560439560438</c:v>
                </c:pt>
                <c:pt idx="92">
                  <c:v>2.0326086956521738</c:v>
                </c:pt>
                <c:pt idx="93">
                  <c:v>2.021505376344086</c:v>
                </c:pt>
                <c:pt idx="94">
                  <c:v>2.021276595744681</c:v>
                </c:pt>
                <c:pt idx="95">
                  <c:v>2.0105263157894737</c:v>
                </c:pt>
                <c:pt idx="96">
                  <c:v>2.0104166666666665</c:v>
                </c:pt>
                <c:pt idx="97">
                  <c:v>2.0206185567010309</c:v>
                </c:pt>
                <c:pt idx="98">
                  <c:v>2.0204081632653059</c:v>
                </c:pt>
                <c:pt idx="99">
                  <c:v>2.0303030303030303</c:v>
                </c:pt>
                <c:pt idx="100">
                  <c:v>2.04</c:v>
                </c:pt>
                <c:pt idx="101">
                  <c:v>2.0297029702970297</c:v>
                </c:pt>
                <c:pt idx="102">
                  <c:v>2.0294117647058822</c:v>
                </c:pt>
                <c:pt idx="103">
                  <c:v>2.0194174757281553</c:v>
                </c:pt>
                <c:pt idx="104">
                  <c:v>2.0096153846153846</c:v>
                </c:pt>
                <c:pt idx="105">
                  <c:v>2.019047619047619</c:v>
                </c:pt>
                <c:pt idx="106">
                  <c:v>2.0188679245283021</c:v>
                </c:pt>
                <c:pt idx="107">
                  <c:v>2.0093457943925235</c:v>
                </c:pt>
                <c:pt idx="108">
                  <c:v>2.0092592592592591</c:v>
                </c:pt>
                <c:pt idx="109">
                  <c:v>2</c:v>
                </c:pt>
                <c:pt idx="110">
                  <c:v>2.0090909090909093</c:v>
                </c:pt>
                <c:pt idx="111">
                  <c:v>2.0180180180180178</c:v>
                </c:pt>
                <c:pt idx="112">
                  <c:v>2.0178571428571428</c:v>
                </c:pt>
                <c:pt idx="113">
                  <c:v>2.0176991150442478</c:v>
                </c:pt>
                <c:pt idx="114">
                  <c:v>2.0175438596491229</c:v>
                </c:pt>
                <c:pt idx="115">
                  <c:v>2.026086956521739</c:v>
                </c:pt>
                <c:pt idx="116">
                  <c:v>2.0344827586206895</c:v>
                </c:pt>
                <c:pt idx="117">
                  <c:v>2.0341880341880341</c:v>
                </c:pt>
                <c:pt idx="118">
                  <c:v>2.0254237288135593</c:v>
                </c:pt>
                <c:pt idx="119">
                  <c:v>2.0252100840336134</c:v>
                </c:pt>
                <c:pt idx="120">
                  <c:v>2.0333333333333332</c:v>
                </c:pt>
                <c:pt idx="121">
                  <c:v>2.0413223140495869</c:v>
                </c:pt>
                <c:pt idx="122">
                  <c:v>2.0491803278688523</c:v>
                </c:pt>
                <c:pt idx="123">
                  <c:v>2.0569105691056913</c:v>
                </c:pt>
                <c:pt idx="124">
                  <c:v>2.064516129032258</c:v>
                </c:pt>
                <c:pt idx="125">
                  <c:v>2.0720000000000001</c:v>
                </c:pt>
                <c:pt idx="126">
                  <c:v>2.0793650793650795</c:v>
                </c:pt>
                <c:pt idx="127">
                  <c:v>2.0787401574803148</c:v>
                </c:pt>
                <c:pt idx="128">
                  <c:v>2.0859375</c:v>
                </c:pt>
                <c:pt idx="129">
                  <c:v>2.0930232558139537</c:v>
                </c:pt>
                <c:pt idx="130">
                  <c:v>2.0923076923076924</c:v>
                </c:pt>
                <c:pt idx="131">
                  <c:v>2.0916030534351147</c:v>
                </c:pt>
                <c:pt idx="132">
                  <c:v>2.0909090909090908</c:v>
                </c:pt>
                <c:pt idx="133">
                  <c:v>2.0902255639097747</c:v>
                </c:pt>
                <c:pt idx="134">
                  <c:v>2.0820895522388061</c:v>
                </c:pt>
                <c:pt idx="135">
                  <c:v>2.0814814814814815</c:v>
                </c:pt>
                <c:pt idx="136">
                  <c:v>2.0735294117647061</c:v>
                </c:pt>
                <c:pt idx="137">
                  <c:v>2.0656934306569341</c:v>
                </c:pt>
                <c:pt idx="138">
                  <c:v>2.0652173913043477</c:v>
                </c:pt>
                <c:pt idx="139">
                  <c:v>2.0575539568345325</c:v>
                </c:pt>
                <c:pt idx="140">
                  <c:v>2.0499999999999998</c:v>
                </c:pt>
                <c:pt idx="141">
                  <c:v>2.0496453900709222</c:v>
                </c:pt>
                <c:pt idx="142">
                  <c:v>2.056338028169014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まっつん2!$E$3:$E$145</c:f>
              <c:numCache>
                <c:formatCode>0.0%</c:formatCode>
                <c:ptCount val="14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0.35714285714285715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0.27272727272727271</c:v>
                </c:pt>
                <c:pt idx="23">
                  <c:v>0.2608695652173913</c:v>
                </c:pt>
                <c:pt idx="24">
                  <c:v>0.25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0.2413793103448276</c:v>
                </c:pt>
                <c:pt idx="30">
                  <c:v>0.23333333333333334</c:v>
                </c:pt>
                <c:pt idx="31">
                  <c:v>0.22580645161290322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0.20454545454545456</c:v>
                </c:pt>
                <c:pt idx="45">
                  <c:v>0.2</c:v>
                </c:pt>
                <c:pt idx="46">
                  <c:v>0.19565217391304349</c:v>
                </c:pt>
                <c:pt idx="47">
                  <c:v>0.19148936170212766</c:v>
                </c:pt>
                <c:pt idx="48">
                  <c:v>0.1875</c:v>
                </c:pt>
                <c:pt idx="49">
                  <c:v>0.20408163265306123</c:v>
                </c:pt>
                <c:pt idx="50">
                  <c:v>0.2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0.18518518518518517</c:v>
                </c:pt>
                <c:pt idx="55">
                  <c:v>0.2</c:v>
                </c:pt>
                <c:pt idx="56">
                  <c:v>0.19642857142857142</c:v>
                </c:pt>
                <c:pt idx="57">
                  <c:v>0.21052631578947367</c:v>
                </c:pt>
                <c:pt idx="58">
                  <c:v>0.22413793103448276</c:v>
                </c:pt>
                <c:pt idx="59">
                  <c:v>0.23728813559322035</c:v>
                </c:pt>
                <c:pt idx="60">
                  <c:v>0.23333333333333334</c:v>
                </c:pt>
                <c:pt idx="61">
                  <c:v>0.22950819672131148</c:v>
                </c:pt>
                <c:pt idx="62">
                  <c:v>0.22580645161290322</c:v>
                </c:pt>
                <c:pt idx="63">
                  <c:v>0.23809523809523808</c:v>
                </c:pt>
                <c:pt idx="64">
                  <c:v>0.234375</c:v>
                </c:pt>
                <c:pt idx="65">
                  <c:v>0.23076923076923078</c:v>
                </c:pt>
                <c:pt idx="66">
                  <c:v>0.22727272727272727</c:v>
                </c:pt>
                <c:pt idx="67">
                  <c:v>0.22388059701492538</c:v>
                </c:pt>
                <c:pt idx="68">
                  <c:v>0.22058823529411764</c:v>
                </c:pt>
                <c:pt idx="69">
                  <c:v>0.21739130434782608</c:v>
                </c:pt>
                <c:pt idx="70">
                  <c:v>0.21428571428571427</c:v>
                </c:pt>
                <c:pt idx="71">
                  <c:v>0.21126760563380281</c:v>
                </c:pt>
                <c:pt idx="72">
                  <c:v>0.20833333333333334</c:v>
                </c:pt>
                <c:pt idx="73">
                  <c:v>0.20547945205479451</c:v>
                </c:pt>
                <c:pt idx="74">
                  <c:v>0.21621621621621623</c:v>
                </c:pt>
                <c:pt idx="75">
                  <c:v>0.21333333333333335</c:v>
                </c:pt>
                <c:pt idx="76">
                  <c:v>0.21052631578947367</c:v>
                </c:pt>
                <c:pt idx="77">
                  <c:v>0.20779220779220781</c:v>
                </c:pt>
                <c:pt idx="78">
                  <c:v>0.20512820512820512</c:v>
                </c:pt>
                <c:pt idx="79">
                  <c:v>0.20253164556962025</c:v>
                </c:pt>
                <c:pt idx="80">
                  <c:v>0.2</c:v>
                </c:pt>
                <c:pt idx="81">
                  <c:v>0.20987654320987653</c:v>
                </c:pt>
                <c:pt idx="82">
                  <c:v>0.2073170731707317</c:v>
                </c:pt>
                <c:pt idx="83">
                  <c:v>0.20481927710843373</c:v>
                </c:pt>
                <c:pt idx="84">
                  <c:v>0.20238095238095238</c:v>
                </c:pt>
                <c:pt idx="85">
                  <c:v>0.21176470588235294</c:v>
                </c:pt>
                <c:pt idx="86">
                  <c:v>0.22093023255813954</c:v>
                </c:pt>
                <c:pt idx="87">
                  <c:v>0.22988505747126436</c:v>
                </c:pt>
                <c:pt idx="88">
                  <c:v>0.22727272727272727</c:v>
                </c:pt>
                <c:pt idx="89">
                  <c:v>0.2247191011235955</c:v>
                </c:pt>
                <c:pt idx="90">
                  <c:v>0.23333333333333334</c:v>
                </c:pt>
                <c:pt idx="91">
                  <c:v>0.23076923076923078</c:v>
                </c:pt>
                <c:pt idx="92">
                  <c:v>0.2391304347826087</c:v>
                </c:pt>
                <c:pt idx="93">
                  <c:v>0.24731182795698925</c:v>
                </c:pt>
                <c:pt idx="94">
                  <c:v>0.24468085106382978</c:v>
                </c:pt>
                <c:pt idx="95">
                  <c:v>0.25263157894736843</c:v>
                </c:pt>
                <c:pt idx="96">
                  <c:v>0.25</c:v>
                </c:pt>
                <c:pt idx="97">
                  <c:v>0.24742268041237114</c:v>
                </c:pt>
                <c:pt idx="98">
                  <c:v>0.24489795918367346</c:v>
                </c:pt>
                <c:pt idx="99">
                  <c:v>0.24242424242424243</c:v>
                </c:pt>
                <c:pt idx="100">
                  <c:v>0.24</c:v>
                </c:pt>
                <c:pt idx="101">
                  <c:v>0.24752475247524752</c:v>
                </c:pt>
                <c:pt idx="102">
                  <c:v>0.24509803921568626</c:v>
                </c:pt>
                <c:pt idx="103">
                  <c:v>0.25242718446601942</c:v>
                </c:pt>
                <c:pt idx="104">
                  <c:v>0.25961538461538464</c:v>
                </c:pt>
                <c:pt idx="105">
                  <c:v>0.25714285714285712</c:v>
                </c:pt>
                <c:pt idx="106">
                  <c:v>0.25471698113207547</c:v>
                </c:pt>
                <c:pt idx="107">
                  <c:v>0.26168224299065418</c:v>
                </c:pt>
                <c:pt idx="108">
                  <c:v>0.25925925925925924</c:v>
                </c:pt>
                <c:pt idx="109">
                  <c:v>0.26605504587155965</c:v>
                </c:pt>
                <c:pt idx="110">
                  <c:v>0.26363636363636361</c:v>
                </c:pt>
                <c:pt idx="111">
                  <c:v>0.26126126126126126</c:v>
                </c:pt>
                <c:pt idx="112">
                  <c:v>0.25892857142857145</c:v>
                </c:pt>
                <c:pt idx="113">
                  <c:v>0.25663716814159293</c:v>
                </c:pt>
                <c:pt idx="114">
                  <c:v>0.25438596491228072</c:v>
                </c:pt>
                <c:pt idx="115">
                  <c:v>0.25217391304347825</c:v>
                </c:pt>
                <c:pt idx="116">
                  <c:v>0.25</c:v>
                </c:pt>
                <c:pt idx="117">
                  <c:v>0.24786324786324787</c:v>
                </c:pt>
                <c:pt idx="118">
                  <c:v>0.25423728813559321</c:v>
                </c:pt>
                <c:pt idx="119">
                  <c:v>0.25210084033613445</c:v>
                </c:pt>
                <c:pt idx="120">
                  <c:v>0.25</c:v>
                </c:pt>
                <c:pt idx="121">
                  <c:v>0.24793388429752067</c:v>
                </c:pt>
                <c:pt idx="122">
                  <c:v>0.24590163934426229</c:v>
                </c:pt>
                <c:pt idx="123">
                  <c:v>0.24390243902439024</c:v>
                </c:pt>
                <c:pt idx="124">
                  <c:v>0.24193548387096775</c:v>
                </c:pt>
                <c:pt idx="125">
                  <c:v>0.24</c:v>
                </c:pt>
                <c:pt idx="126">
                  <c:v>0.23809523809523808</c:v>
                </c:pt>
                <c:pt idx="127">
                  <c:v>0.23622047244094488</c:v>
                </c:pt>
                <c:pt idx="128">
                  <c:v>0.234375</c:v>
                </c:pt>
                <c:pt idx="129">
                  <c:v>0.23255813953488372</c:v>
                </c:pt>
                <c:pt idx="130">
                  <c:v>0.23076923076923078</c:v>
                </c:pt>
                <c:pt idx="131">
                  <c:v>0.22900763358778625</c:v>
                </c:pt>
                <c:pt idx="132">
                  <c:v>0.22727272727272727</c:v>
                </c:pt>
                <c:pt idx="133">
                  <c:v>0.22556390977443608</c:v>
                </c:pt>
                <c:pt idx="134">
                  <c:v>0.23134328358208955</c:v>
                </c:pt>
                <c:pt idx="135">
                  <c:v>0.22962962962962963</c:v>
                </c:pt>
                <c:pt idx="136">
                  <c:v>0.23529411764705882</c:v>
                </c:pt>
                <c:pt idx="137">
                  <c:v>0.24087591240875914</c:v>
                </c:pt>
                <c:pt idx="138">
                  <c:v>0.2391304347826087</c:v>
                </c:pt>
                <c:pt idx="139">
                  <c:v>0.2446043165467626</c:v>
                </c:pt>
                <c:pt idx="140">
                  <c:v>0.25</c:v>
                </c:pt>
                <c:pt idx="141">
                  <c:v>0.24822695035460993</c:v>
                </c:pt>
                <c:pt idx="142">
                  <c:v>0.24647887323943662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まっつん2!$F$3:$F$145</c:f>
              <c:numCache>
                <c:formatCode>0.0%</c:formatCode>
                <c:ptCount val="14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0.4</c:v>
                </c:pt>
                <c:pt idx="21">
                  <c:v>0.42857142857142855</c:v>
                </c:pt>
                <c:pt idx="22">
                  <c:v>0.40909090909090912</c:v>
                </c:pt>
                <c:pt idx="23">
                  <c:v>0.39130434782608697</c:v>
                </c:pt>
                <c:pt idx="24">
                  <c:v>0.41666666666666669</c:v>
                </c:pt>
                <c:pt idx="25">
                  <c:v>0.4</c:v>
                </c:pt>
                <c:pt idx="26">
                  <c:v>0.42307692307692307</c:v>
                </c:pt>
                <c:pt idx="27">
                  <c:v>0.40740740740740738</c:v>
                </c:pt>
                <c:pt idx="28">
                  <c:v>0.39285714285714285</c:v>
                </c:pt>
                <c:pt idx="29">
                  <c:v>0.41379310344827586</c:v>
                </c:pt>
                <c:pt idx="30">
                  <c:v>0.4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0.37142857142857144</c:v>
                </c:pt>
                <c:pt idx="36">
                  <c:v>0.3611111111111111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0.30232558139534882</c:v>
                </c:pt>
                <c:pt idx="44">
                  <c:v>0.29545454545454547</c:v>
                </c:pt>
                <c:pt idx="45">
                  <c:v>0.31111111111111112</c:v>
                </c:pt>
                <c:pt idx="46">
                  <c:v>0.30434782608695654</c:v>
                </c:pt>
                <c:pt idx="47">
                  <c:v>0.2978723404255319</c:v>
                </c:pt>
                <c:pt idx="48">
                  <c:v>0.29166666666666669</c:v>
                </c:pt>
                <c:pt idx="49">
                  <c:v>0.2857142857142857</c:v>
                </c:pt>
                <c:pt idx="50">
                  <c:v>0.28000000000000003</c:v>
                </c:pt>
                <c:pt idx="51">
                  <c:v>0.27450980392156865</c:v>
                </c:pt>
                <c:pt idx="52">
                  <c:v>0.26923076923076922</c:v>
                </c:pt>
                <c:pt idx="53">
                  <c:v>0.26415094339622641</c:v>
                </c:pt>
                <c:pt idx="54">
                  <c:v>0.27777777777777779</c:v>
                </c:pt>
                <c:pt idx="55">
                  <c:v>0.27272727272727271</c:v>
                </c:pt>
                <c:pt idx="56">
                  <c:v>0.2857142857142857</c:v>
                </c:pt>
                <c:pt idx="57">
                  <c:v>0.2807017543859649</c:v>
                </c:pt>
                <c:pt idx="58">
                  <c:v>0.27586206896551724</c:v>
                </c:pt>
                <c:pt idx="59">
                  <c:v>0.2711864406779661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0.29032258064516131</c:v>
                </c:pt>
                <c:pt idx="63">
                  <c:v>0.2857142857142857</c:v>
                </c:pt>
                <c:pt idx="64">
                  <c:v>0.28125</c:v>
                </c:pt>
                <c:pt idx="65">
                  <c:v>0.29230769230769232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0.30434782608695654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0.28767123287671231</c:v>
                </c:pt>
                <c:pt idx="74">
                  <c:v>0.28378378378378377</c:v>
                </c:pt>
                <c:pt idx="75">
                  <c:v>0.28000000000000003</c:v>
                </c:pt>
                <c:pt idx="76">
                  <c:v>0.27631578947368424</c:v>
                </c:pt>
                <c:pt idx="77">
                  <c:v>0.2857142857142857</c:v>
                </c:pt>
                <c:pt idx="78">
                  <c:v>0.29487179487179488</c:v>
                </c:pt>
                <c:pt idx="79">
                  <c:v>0.30379746835443039</c:v>
                </c:pt>
                <c:pt idx="80">
                  <c:v>0.3</c:v>
                </c:pt>
                <c:pt idx="81">
                  <c:v>0.29629629629629628</c:v>
                </c:pt>
                <c:pt idx="82">
                  <c:v>0.29268292682926828</c:v>
                </c:pt>
                <c:pt idx="83">
                  <c:v>0.28915662650602408</c:v>
                </c:pt>
                <c:pt idx="84">
                  <c:v>0.2857142857142857</c:v>
                </c:pt>
                <c:pt idx="85">
                  <c:v>0.28235294117647058</c:v>
                </c:pt>
                <c:pt idx="86">
                  <c:v>0.27906976744186046</c:v>
                </c:pt>
                <c:pt idx="87">
                  <c:v>0.27586206896551724</c:v>
                </c:pt>
                <c:pt idx="88">
                  <c:v>0.27272727272727271</c:v>
                </c:pt>
                <c:pt idx="89">
                  <c:v>0.2808988764044944</c:v>
                </c:pt>
                <c:pt idx="90">
                  <c:v>0.27777777777777779</c:v>
                </c:pt>
                <c:pt idx="91">
                  <c:v>0.27472527472527475</c:v>
                </c:pt>
                <c:pt idx="92">
                  <c:v>0.27173913043478259</c:v>
                </c:pt>
                <c:pt idx="93">
                  <c:v>0.26881720430107525</c:v>
                </c:pt>
                <c:pt idx="94">
                  <c:v>0.26595744680851063</c:v>
                </c:pt>
                <c:pt idx="95">
                  <c:v>0.26315789473684209</c:v>
                </c:pt>
                <c:pt idx="96">
                  <c:v>0.26041666666666669</c:v>
                </c:pt>
                <c:pt idx="97">
                  <c:v>0.26804123711340205</c:v>
                </c:pt>
                <c:pt idx="98">
                  <c:v>0.26530612244897961</c:v>
                </c:pt>
                <c:pt idx="99">
                  <c:v>0.27272727272727271</c:v>
                </c:pt>
                <c:pt idx="100">
                  <c:v>0.28000000000000003</c:v>
                </c:pt>
                <c:pt idx="101">
                  <c:v>0.27722772277227725</c:v>
                </c:pt>
                <c:pt idx="102">
                  <c:v>0.27450980392156865</c:v>
                </c:pt>
                <c:pt idx="103">
                  <c:v>0.27184466019417475</c:v>
                </c:pt>
                <c:pt idx="104">
                  <c:v>0.26923076923076922</c:v>
                </c:pt>
                <c:pt idx="105">
                  <c:v>0.27619047619047621</c:v>
                </c:pt>
                <c:pt idx="106">
                  <c:v>0.27358490566037735</c:v>
                </c:pt>
                <c:pt idx="107">
                  <c:v>0.27102803738317754</c:v>
                </c:pt>
                <c:pt idx="108">
                  <c:v>0.26851851851851855</c:v>
                </c:pt>
                <c:pt idx="109">
                  <c:v>0.26605504587155965</c:v>
                </c:pt>
                <c:pt idx="110">
                  <c:v>0.27272727272727271</c:v>
                </c:pt>
                <c:pt idx="111">
                  <c:v>0.27927927927927926</c:v>
                </c:pt>
                <c:pt idx="112">
                  <c:v>0.2767857142857143</c:v>
                </c:pt>
                <c:pt idx="113">
                  <c:v>0.27433628318584069</c:v>
                </c:pt>
                <c:pt idx="114">
                  <c:v>0.27192982456140352</c:v>
                </c:pt>
                <c:pt idx="115">
                  <c:v>0.27826086956521739</c:v>
                </c:pt>
                <c:pt idx="116">
                  <c:v>0.28448275862068967</c:v>
                </c:pt>
                <c:pt idx="117">
                  <c:v>0.28205128205128205</c:v>
                </c:pt>
                <c:pt idx="118">
                  <c:v>0.27966101694915252</c:v>
                </c:pt>
                <c:pt idx="119">
                  <c:v>0.27731092436974791</c:v>
                </c:pt>
                <c:pt idx="120">
                  <c:v>0.28333333333333333</c:v>
                </c:pt>
                <c:pt idx="121">
                  <c:v>0.28925619834710742</c:v>
                </c:pt>
                <c:pt idx="122">
                  <c:v>0.29508196721311475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0.32558139534883723</c:v>
                </c:pt>
                <c:pt idx="130">
                  <c:v>0.32307692307692309</c:v>
                </c:pt>
                <c:pt idx="131">
                  <c:v>0.32061068702290074</c:v>
                </c:pt>
                <c:pt idx="132">
                  <c:v>0.31818181818181818</c:v>
                </c:pt>
                <c:pt idx="133">
                  <c:v>0.31578947368421051</c:v>
                </c:pt>
                <c:pt idx="134">
                  <c:v>0.31343283582089554</c:v>
                </c:pt>
                <c:pt idx="135">
                  <c:v>0.31111111111111112</c:v>
                </c:pt>
                <c:pt idx="136">
                  <c:v>0.30882352941176472</c:v>
                </c:pt>
                <c:pt idx="137">
                  <c:v>0.30656934306569344</c:v>
                </c:pt>
                <c:pt idx="138">
                  <c:v>0.30434782608695654</c:v>
                </c:pt>
                <c:pt idx="139">
                  <c:v>0.30215827338129497</c:v>
                </c:pt>
                <c:pt idx="140">
                  <c:v>0.3</c:v>
                </c:pt>
                <c:pt idx="141">
                  <c:v>0.2978723404255319</c:v>
                </c:pt>
                <c:pt idx="142">
                  <c:v>0.30281690140845069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まっつん2!$G$3:$G$145</c:f>
              <c:numCache>
                <c:formatCode>0.0%</c:formatCode>
                <c:ptCount val="143"/>
                <c:pt idx="1">
                  <c:v>0.36363636363636365</c:v>
                </c:pt>
                <c:pt idx="2">
                  <c:v>0.18181818181818182</c:v>
                </c:pt>
                <c:pt idx="3">
                  <c:v>0.24242424242424243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  <c:pt idx="13">
                  <c:v>0.25203252032520324</c:v>
                </c:pt>
                <c:pt idx="14">
                  <c:v>0.27480916030534353</c:v>
                </c:pt>
                <c:pt idx="15">
                  <c:v>0.2733812949640288</c:v>
                </c:pt>
                <c:pt idx="16">
                  <c:v>0.26896551724137929</c:v>
                </c:pt>
                <c:pt idx="17">
                  <c:v>0.27631578947368424</c:v>
                </c:pt>
                <c:pt idx="18">
                  <c:v>0.27380952380952384</c:v>
                </c:pt>
                <c:pt idx="19">
                  <c:v>0.27840909090909088</c:v>
                </c:pt>
                <c:pt idx="20">
                  <c:v>0.27322404371584702</c:v>
                </c:pt>
                <c:pt idx="21">
                  <c:v>0.26178010471204188</c:v>
                </c:pt>
                <c:pt idx="22">
                  <c:v>0.26767676767676768</c:v>
                </c:pt>
                <c:pt idx="23">
                  <c:v>0.26829268292682928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0.26315789473684209</c:v>
                </c:pt>
                <c:pt idx="27">
                  <c:v>0.26406926406926406</c:v>
                </c:pt>
                <c:pt idx="28">
                  <c:v>0.26890756302521007</c:v>
                </c:pt>
                <c:pt idx="29">
                  <c:v>0.26337448559670784</c:v>
                </c:pt>
                <c:pt idx="30">
                  <c:v>0.26315789473684209</c:v>
                </c:pt>
                <c:pt idx="31">
                  <c:v>0.26744186046511625</c:v>
                </c:pt>
                <c:pt idx="32">
                  <c:v>0.27376425855513309</c:v>
                </c:pt>
                <c:pt idx="33">
                  <c:v>0.26568265682656828</c:v>
                </c:pt>
                <c:pt idx="34">
                  <c:v>0.26618705035971224</c:v>
                </c:pt>
                <c:pt idx="35">
                  <c:v>0.26923076923076922</c:v>
                </c:pt>
                <c:pt idx="36">
                  <c:v>0.27397260273972601</c:v>
                </c:pt>
                <c:pt idx="37">
                  <c:v>0.28052805280528054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0.27522935779816515</c:v>
                </c:pt>
                <c:pt idx="41">
                  <c:v>0.27844311377245506</c:v>
                </c:pt>
                <c:pt idx="42">
                  <c:v>0.28279883381924198</c:v>
                </c:pt>
                <c:pt idx="43">
                  <c:v>0.28285714285714286</c:v>
                </c:pt>
                <c:pt idx="44">
                  <c:v>0.28732394366197184</c:v>
                </c:pt>
                <c:pt idx="45">
                  <c:v>0.28415300546448086</c:v>
                </c:pt>
                <c:pt idx="46">
                  <c:v>0.28301886792452829</c:v>
                </c:pt>
                <c:pt idx="47">
                  <c:v>0.28238341968911918</c:v>
                </c:pt>
                <c:pt idx="48">
                  <c:v>0.28498727735368956</c:v>
                </c:pt>
                <c:pt idx="49">
                  <c:v>0.28499999999999998</c:v>
                </c:pt>
                <c:pt idx="50">
                  <c:v>0.28186274509803921</c:v>
                </c:pt>
                <c:pt idx="51">
                  <c:v>0.27751196172248804</c:v>
                </c:pt>
                <c:pt idx="52">
                  <c:v>0.28000000000000003</c:v>
                </c:pt>
                <c:pt idx="53">
                  <c:v>0.28175519630484991</c:v>
                </c:pt>
                <c:pt idx="54">
                  <c:v>0.28018223234624146</c:v>
                </c:pt>
                <c:pt idx="55">
                  <c:v>0.28442437923250563</c:v>
                </c:pt>
                <c:pt idx="56">
                  <c:v>0.2807017543859649</c:v>
                </c:pt>
                <c:pt idx="57">
                  <c:v>0.2832618025751073</c:v>
                </c:pt>
                <c:pt idx="58">
                  <c:v>0.28361344537815125</c:v>
                </c:pt>
                <c:pt idx="59">
                  <c:v>0.28985507246376813</c:v>
                </c:pt>
                <c:pt idx="60">
                  <c:v>0.28888888888888886</c:v>
                </c:pt>
                <c:pt idx="61">
                  <c:v>0.28769841269841268</c:v>
                </c:pt>
                <c:pt idx="62">
                  <c:v>0.287109375</c:v>
                </c:pt>
                <c:pt idx="63">
                  <c:v>0.28875968992248063</c:v>
                </c:pt>
                <c:pt idx="64">
                  <c:v>0.28927203065134099</c:v>
                </c:pt>
                <c:pt idx="65">
                  <c:v>0.28625235404896421</c:v>
                </c:pt>
                <c:pt idx="66">
                  <c:v>0.28491620111731841</c:v>
                </c:pt>
                <c:pt idx="67">
                  <c:v>0.28623853211009176</c:v>
                </c:pt>
                <c:pt idx="68">
                  <c:v>0.28442028985507245</c:v>
                </c:pt>
                <c:pt idx="69">
                  <c:v>0.28264758497316639</c:v>
                </c:pt>
                <c:pt idx="70">
                  <c:v>0.28368794326241137</c:v>
                </c:pt>
                <c:pt idx="71">
                  <c:v>0.28196147110332748</c:v>
                </c:pt>
                <c:pt idx="72">
                  <c:v>0.28151986183074268</c:v>
                </c:pt>
                <c:pt idx="73">
                  <c:v>0.28034188034188035</c:v>
                </c:pt>
                <c:pt idx="74">
                  <c:v>0.28499156829679595</c:v>
                </c:pt>
                <c:pt idx="75">
                  <c:v>0.28499999999999998</c:v>
                </c:pt>
                <c:pt idx="76">
                  <c:v>0.28547854785478549</c:v>
                </c:pt>
                <c:pt idx="77">
                  <c:v>0.28038897893030795</c:v>
                </c:pt>
                <c:pt idx="78">
                  <c:v>0.27768860353130015</c:v>
                </c:pt>
                <c:pt idx="79">
                  <c:v>0.27760252365930599</c:v>
                </c:pt>
                <c:pt idx="80">
                  <c:v>0.27856025039123633</c:v>
                </c:pt>
                <c:pt idx="81">
                  <c:v>0.28328173374613003</c:v>
                </c:pt>
                <c:pt idx="82">
                  <c:v>0.28287461773700306</c:v>
                </c:pt>
                <c:pt idx="83">
                  <c:v>0.27987897125567324</c:v>
                </c:pt>
                <c:pt idx="84">
                  <c:v>0.28035982008995503</c:v>
                </c:pt>
                <c:pt idx="85">
                  <c:v>0.28041543026706234</c:v>
                </c:pt>
                <c:pt idx="86">
                  <c:v>0.28111273792093705</c:v>
                </c:pt>
                <c:pt idx="87">
                  <c:v>0.28260869565217389</c:v>
                </c:pt>
                <c:pt idx="88">
                  <c:v>0.28307254623044098</c:v>
                </c:pt>
                <c:pt idx="89">
                  <c:v>0.28212290502793297</c:v>
                </c:pt>
                <c:pt idx="90">
                  <c:v>0.28393351800554018</c:v>
                </c:pt>
                <c:pt idx="91">
                  <c:v>0.28434065934065933</c:v>
                </c:pt>
                <c:pt idx="92">
                  <c:v>0.2857142857142857</c:v>
                </c:pt>
                <c:pt idx="93">
                  <c:v>0.28936742934051146</c:v>
                </c:pt>
                <c:pt idx="94">
                  <c:v>0.28894806924101196</c:v>
                </c:pt>
                <c:pt idx="95">
                  <c:v>0.28912466843501328</c:v>
                </c:pt>
                <c:pt idx="96">
                  <c:v>0.29040735873850199</c:v>
                </c:pt>
                <c:pt idx="97">
                  <c:v>0.28793774319066145</c:v>
                </c:pt>
                <c:pt idx="98">
                  <c:v>0.28937259923175418</c:v>
                </c:pt>
                <c:pt idx="99">
                  <c:v>0.2878787878787879</c:v>
                </c:pt>
                <c:pt idx="100">
                  <c:v>0.28714107365792757</c:v>
                </c:pt>
                <c:pt idx="101">
                  <c:v>0.28888888888888886</c:v>
                </c:pt>
                <c:pt idx="102">
                  <c:v>0.28886168910648713</c:v>
                </c:pt>
                <c:pt idx="103">
                  <c:v>0.28950542822677927</c:v>
                </c:pt>
                <c:pt idx="104">
                  <c:v>0.2930622009569378</c:v>
                </c:pt>
                <c:pt idx="105">
                  <c:v>0.29078014184397161</c:v>
                </c:pt>
                <c:pt idx="106">
                  <c:v>0.29024676850763809</c:v>
                </c:pt>
                <c:pt idx="107">
                  <c:v>0.29254079254079252</c:v>
                </c:pt>
                <c:pt idx="108">
                  <c:v>0.29032258064516131</c:v>
                </c:pt>
                <c:pt idx="109">
                  <c:v>0.29142857142857143</c:v>
                </c:pt>
                <c:pt idx="110">
                  <c:v>0.29171396140749151</c:v>
                </c:pt>
                <c:pt idx="111">
                  <c:v>0.29021372328458944</c:v>
                </c:pt>
                <c:pt idx="112">
                  <c:v>0.28938547486033517</c:v>
                </c:pt>
                <c:pt idx="113">
                  <c:v>0.28839779005524863</c:v>
                </c:pt>
                <c:pt idx="114">
                  <c:v>0.28758169934640521</c:v>
                </c:pt>
                <c:pt idx="115">
                  <c:v>0.28663793103448276</c:v>
                </c:pt>
                <c:pt idx="116">
                  <c:v>0.28678038379530918</c:v>
                </c:pt>
                <c:pt idx="117">
                  <c:v>0.28752642706131076</c:v>
                </c:pt>
                <c:pt idx="118">
                  <c:v>0.28856243441762852</c:v>
                </c:pt>
                <c:pt idx="119">
                  <c:v>0.28838174273858919</c:v>
                </c:pt>
                <c:pt idx="120">
                  <c:v>0.28717948717948716</c:v>
                </c:pt>
                <c:pt idx="121">
                  <c:v>0.28629441624365481</c:v>
                </c:pt>
                <c:pt idx="122">
                  <c:v>0.28528225806451613</c:v>
                </c:pt>
                <c:pt idx="123">
                  <c:v>0.28243512974051899</c:v>
                </c:pt>
                <c:pt idx="124">
                  <c:v>0.28019801980198022</c:v>
                </c:pt>
                <c:pt idx="125">
                  <c:v>0.27952755905511811</c:v>
                </c:pt>
                <c:pt idx="126">
                  <c:v>0.27918287937743191</c:v>
                </c:pt>
                <c:pt idx="127">
                  <c:v>0.27895752895752896</c:v>
                </c:pt>
                <c:pt idx="128">
                  <c:v>0.27681992337164751</c:v>
                </c:pt>
                <c:pt idx="129">
                  <c:v>0.27619047619047621</c:v>
                </c:pt>
                <c:pt idx="130">
                  <c:v>0.27573182247403211</c:v>
                </c:pt>
                <c:pt idx="131">
                  <c:v>0.27450980392156865</c:v>
                </c:pt>
                <c:pt idx="132">
                  <c:v>0.27525486561631141</c:v>
                </c:pt>
                <c:pt idx="133">
                  <c:v>0.27532228360957645</c:v>
                </c:pt>
                <c:pt idx="134">
                  <c:v>0.2783882783882784</c:v>
                </c:pt>
                <c:pt idx="135">
                  <c:v>0.27636363636363637</c:v>
                </c:pt>
                <c:pt idx="136">
                  <c:v>0.2788808664259928</c:v>
                </c:pt>
                <c:pt idx="137">
                  <c:v>0.28071748878923769</c:v>
                </c:pt>
                <c:pt idx="138">
                  <c:v>0.27960819234194123</c:v>
                </c:pt>
                <c:pt idx="139">
                  <c:v>0.27939876215738285</c:v>
                </c:pt>
                <c:pt idx="140">
                  <c:v>0.27978817299205649</c:v>
                </c:pt>
                <c:pt idx="141">
                  <c:v>0.27982456140350875</c:v>
                </c:pt>
                <c:pt idx="142">
                  <c:v>0.2795138888888889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476914865225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まっつん2!$H$3:$H$145</c:f>
              <c:numCache>
                <c:formatCode>0.0%</c:formatCode>
                <c:ptCount val="143"/>
                <c:pt idx="1">
                  <c:v>0</c:v>
                </c:pt>
                <c:pt idx="2">
                  <c:v>4.5454545454545456E-2</c:v>
                </c:pt>
                <c:pt idx="3">
                  <c:v>6.0606060606060608E-2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  <c:pt idx="13">
                  <c:v>0.12195121951219512</c:v>
                </c:pt>
                <c:pt idx="14">
                  <c:v>0.11450381679389313</c:v>
                </c:pt>
                <c:pt idx="15">
                  <c:v>0.11510791366906475</c:v>
                </c:pt>
                <c:pt idx="16">
                  <c:v>0.11724137931034483</c:v>
                </c:pt>
                <c:pt idx="17">
                  <c:v>0.11842105263157894</c:v>
                </c:pt>
                <c:pt idx="18">
                  <c:v>0.13095238095238096</c:v>
                </c:pt>
                <c:pt idx="19">
                  <c:v>0.13636363636363635</c:v>
                </c:pt>
                <c:pt idx="20">
                  <c:v>0.13661202185792351</c:v>
                </c:pt>
                <c:pt idx="21">
                  <c:v>0.14659685863874344</c:v>
                </c:pt>
                <c:pt idx="22">
                  <c:v>0.14141414141414141</c:v>
                </c:pt>
                <c:pt idx="23">
                  <c:v>0.14146341463414633</c:v>
                </c:pt>
                <c:pt idx="24">
                  <c:v>0.15023474178403756</c:v>
                </c:pt>
                <c:pt idx="25">
                  <c:v>0.15384615384615385</c:v>
                </c:pt>
                <c:pt idx="26">
                  <c:v>0.15350877192982457</c:v>
                </c:pt>
                <c:pt idx="27">
                  <c:v>0.15151515151515152</c:v>
                </c:pt>
                <c:pt idx="28">
                  <c:v>0.14705882352941177</c:v>
                </c:pt>
                <c:pt idx="29">
                  <c:v>0.15226337448559671</c:v>
                </c:pt>
                <c:pt idx="30">
                  <c:v>0.14979757085020243</c:v>
                </c:pt>
                <c:pt idx="31">
                  <c:v>0.15116279069767441</c:v>
                </c:pt>
                <c:pt idx="32">
                  <c:v>0.14828897338403041</c:v>
                </c:pt>
                <c:pt idx="33">
                  <c:v>0.14391143911439114</c:v>
                </c:pt>
                <c:pt idx="34">
                  <c:v>0.14388489208633093</c:v>
                </c:pt>
                <c:pt idx="35">
                  <c:v>0.13986013986013987</c:v>
                </c:pt>
                <c:pt idx="36">
                  <c:v>0.1404109589041096</c:v>
                </c:pt>
                <c:pt idx="37">
                  <c:v>0.14191419141914191</c:v>
                </c:pt>
                <c:pt idx="38">
                  <c:v>0.14376996805111822</c:v>
                </c:pt>
                <c:pt idx="39">
                  <c:v>0.14374999999999999</c:v>
                </c:pt>
                <c:pt idx="40">
                  <c:v>0.14678899082568808</c:v>
                </c:pt>
                <c:pt idx="41">
                  <c:v>0.1497005988023952</c:v>
                </c:pt>
                <c:pt idx="42">
                  <c:v>0.14868804664723032</c:v>
                </c:pt>
                <c:pt idx="43">
                  <c:v>0.14857142857142858</c:v>
                </c:pt>
                <c:pt idx="44">
                  <c:v>0.14647887323943662</c:v>
                </c:pt>
                <c:pt idx="45">
                  <c:v>0.1448087431693989</c:v>
                </c:pt>
                <c:pt idx="46">
                  <c:v>0.14285714285714285</c:v>
                </c:pt>
                <c:pt idx="47">
                  <c:v>0.14248704663212436</c:v>
                </c:pt>
                <c:pt idx="48">
                  <c:v>0.13994910941475827</c:v>
                </c:pt>
                <c:pt idx="49">
                  <c:v>0.14000000000000001</c:v>
                </c:pt>
                <c:pt idx="50">
                  <c:v>0.13970588235294118</c:v>
                </c:pt>
                <c:pt idx="51">
                  <c:v>0.13636363636363635</c:v>
                </c:pt>
                <c:pt idx="52">
                  <c:v>0.13411764705882354</c:v>
                </c:pt>
                <c:pt idx="53">
                  <c:v>0.13163972286374134</c:v>
                </c:pt>
                <c:pt idx="54">
                  <c:v>0.12984054669703873</c:v>
                </c:pt>
                <c:pt idx="55">
                  <c:v>0.12866817155756208</c:v>
                </c:pt>
                <c:pt idx="56">
                  <c:v>0.1337719298245614</c:v>
                </c:pt>
                <c:pt idx="57">
                  <c:v>0.13304721030042918</c:v>
                </c:pt>
                <c:pt idx="58">
                  <c:v>0.13025210084033614</c:v>
                </c:pt>
                <c:pt idx="59">
                  <c:v>0.13043478260869565</c:v>
                </c:pt>
                <c:pt idx="60">
                  <c:v>0.13333333333333333</c:v>
                </c:pt>
                <c:pt idx="61">
                  <c:v>0.13095238095238096</c:v>
                </c:pt>
                <c:pt idx="62">
                  <c:v>0.130859375</c:v>
                </c:pt>
                <c:pt idx="63">
                  <c:v>0.12984496124031009</c:v>
                </c:pt>
                <c:pt idx="64">
                  <c:v>0.13026819923371646</c:v>
                </c:pt>
                <c:pt idx="65">
                  <c:v>0.128060263653484</c:v>
                </c:pt>
                <c:pt idx="66">
                  <c:v>0.1266294227188082</c:v>
                </c:pt>
                <c:pt idx="67">
                  <c:v>0.12477064220183487</c:v>
                </c:pt>
                <c:pt idx="68">
                  <c:v>0.125</c:v>
                </c:pt>
                <c:pt idx="69">
                  <c:v>0.12701252236135957</c:v>
                </c:pt>
                <c:pt idx="70">
                  <c:v>0.12588652482269502</c:v>
                </c:pt>
                <c:pt idx="71">
                  <c:v>0.12784588441330999</c:v>
                </c:pt>
                <c:pt idx="72">
                  <c:v>0.12780656303972365</c:v>
                </c:pt>
                <c:pt idx="73">
                  <c:v>0.12820512820512819</c:v>
                </c:pt>
                <c:pt idx="74">
                  <c:v>0.12816188870151771</c:v>
                </c:pt>
                <c:pt idx="75">
                  <c:v>0.13</c:v>
                </c:pt>
                <c:pt idx="76">
                  <c:v>0.132013201320132</c:v>
                </c:pt>
                <c:pt idx="77">
                  <c:v>0.13452188006482982</c:v>
                </c:pt>
                <c:pt idx="78">
                  <c:v>0.13643659711075443</c:v>
                </c:pt>
                <c:pt idx="79">
                  <c:v>0.13880126182965299</c:v>
                </c:pt>
                <c:pt idx="80">
                  <c:v>0.13771517996870108</c:v>
                </c:pt>
                <c:pt idx="81">
                  <c:v>0.13777089783281735</c:v>
                </c:pt>
                <c:pt idx="82">
                  <c:v>0.13608562691131498</c:v>
                </c:pt>
                <c:pt idx="83">
                  <c:v>0.13615733736762481</c:v>
                </c:pt>
                <c:pt idx="84">
                  <c:v>0.13493253373313344</c:v>
                </c:pt>
                <c:pt idx="85">
                  <c:v>0.13649851632047477</c:v>
                </c:pt>
                <c:pt idx="86">
                  <c:v>0.13469985358711567</c:v>
                </c:pt>
                <c:pt idx="87">
                  <c:v>0.13333333333333333</c:v>
                </c:pt>
                <c:pt idx="88">
                  <c:v>0.1337126600284495</c:v>
                </c:pt>
                <c:pt idx="89">
                  <c:v>0.13547486033519554</c:v>
                </c:pt>
                <c:pt idx="90">
                  <c:v>0.13434903047091412</c:v>
                </c:pt>
                <c:pt idx="91">
                  <c:v>0.13461538461538461</c:v>
                </c:pt>
                <c:pt idx="92">
                  <c:v>0.13469387755102041</c:v>
                </c:pt>
                <c:pt idx="93">
                  <c:v>0.13458950201884254</c:v>
                </c:pt>
                <c:pt idx="94">
                  <c:v>0.13448735019973368</c:v>
                </c:pt>
                <c:pt idx="95">
                  <c:v>0.13395225464190982</c:v>
                </c:pt>
                <c:pt idx="96">
                  <c:v>0.13403416557161629</c:v>
                </c:pt>
                <c:pt idx="97">
                  <c:v>0.13618677042801555</c:v>
                </c:pt>
                <c:pt idx="98">
                  <c:v>0.13444302176696543</c:v>
                </c:pt>
                <c:pt idx="99">
                  <c:v>0.13636363636363635</c:v>
                </c:pt>
                <c:pt idx="100">
                  <c:v>0.13732833957553059</c:v>
                </c:pt>
                <c:pt idx="101">
                  <c:v>0.13580246913580246</c:v>
                </c:pt>
                <c:pt idx="102">
                  <c:v>0.13586291309669524</c:v>
                </c:pt>
                <c:pt idx="103">
                  <c:v>0.13751507840772015</c:v>
                </c:pt>
                <c:pt idx="104">
                  <c:v>0.13755980861244019</c:v>
                </c:pt>
                <c:pt idx="105">
                  <c:v>0.13593380614657211</c:v>
                </c:pt>
                <c:pt idx="106">
                  <c:v>0.13513513513513514</c:v>
                </c:pt>
                <c:pt idx="107">
                  <c:v>0.1351981351981352</c:v>
                </c:pt>
                <c:pt idx="108">
                  <c:v>0.1347926267281106</c:v>
                </c:pt>
                <c:pt idx="109">
                  <c:v>0.13485714285714287</c:v>
                </c:pt>
                <c:pt idx="110">
                  <c:v>0.1362088535754824</c:v>
                </c:pt>
                <c:pt idx="111">
                  <c:v>0.13610798650168729</c:v>
                </c:pt>
                <c:pt idx="112">
                  <c:v>0.13519553072625698</c:v>
                </c:pt>
                <c:pt idx="113">
                  <c:v>0.13370165745856355</c:v>
                </c:pt>
                <c:pt idx="114">
                  <c:v>0.13180827886710239</c:v>
                </c:pt>
                <c:pt idx="115">
                  <c:v>0.13254310344827586</c:v>
                </c:pt>
                <c:pt idx="116">
                  <c:v>0.13326226012793177</c:v>
                </c:pt>
                <c:pt idx="117">
                  <c:v>0.1331923890063425</c:v>
                </c:pt>
                <c:pt idx="118">
                  <c:v>0.13326337880377753</c:v>
                </c:pt>
                <c:pt idx="119">
                  <c:v>0.13278008298755187</c:v>
                </c:pt>
                <c:pt idx="120">
                  <c:v>0.13435897435897437</c:v>
                </c:pt>
                <c:pt idx="121">
                  <c:v>0.13604060913705585</c:v>
                </c:pt>
                <c:pt idx="122">
                  <c:v>0.13608870967741934</c:v>
                </c:pt>
                <c:pt idx="123">
                  <c:v>0.13672654690618763</c:v>
                </c:pt>
                <c:pt idx="124">
                  <c:v>0.13663366336633664</c:v>
                </c:pt>
                <c:pt idx="125">
                  <c:v>0.13681102362204725</c:v>
                </c:pt>
                <c:pt idx="126">
                  <c:v>0.13910505836575876</c:v>
                </c:pt>
                <c:pt idx="127">
                  <c:v>0.13996138996138996</c:v>
                </c:pt>
                <c:pt idx="128">
                  <c:v>0.1417624521072797</c:v>
                </c:pt>
                <c:pt idx="129">
                  <c:v>0.14190476190476189</c:v>
                </c:pt>
                <c:pt idx="130">
                  <c:v>0.14069877242681775</c:v>
                </c:pt>
                <c:pt idx="131">
                  <c:v>0.1419234360410831</c:v>
                </c:pt>
                <c:pt idx="132">
                  <c:v>0.14179796107506951</c:v>
                </c:pt>
                <c:pt idx="133">
                  <c:v>0.14088397790055249</c:v>
                </c:pt>
                <c:pt idx="134">
                  <c:v>0.14010989010989011</c:v>
                </c:pt>
                <c:pt idx="135">
                  <c:v>0.1390909090909091</c:v>
                </c:pt>
                <c:pt idx="136">
                  <c:v>0.13898916967509026</c:v>
                </c:pt>
                <c:pt idx="137">
                  <c:v>0.13901345291479822</c:v>
                </c:pt>
                <c:pt idx="138">
                  <c:v>0.13802315227070347</c:v>
                </c:pt>
                <c:pt idx="139">
                  <c:v>0.13881520778072501</c:v>
                </c:pt>
                <c:pt idx="140">
                  <c:v>0.13857016769638128</c:v>
                </c:pt>
                <c:pt idx="141">
                  <c:v>0.13859649122807016</c:v>
                </c:pt>
                <c:pt idx="142">
                  <c:v>0.1388888888888889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0928742994395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まっつん2!$I$3:$I$145</c:f>
              <c:numCache>
                <c:formatCode>0</c:formatCode>
                <c:ptCount val="143"/>
                <c:pt idx="1">
                  <c:v>8950</c:v>
                </c:pt>
                <c:pt idx="2">
                  <c:v>8950</c:v>
                </c:pt>
                <c:pt idx="3">
                  <c:v>8937.5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  <c:pt idx="13">
                  <c:v>7677.4193548387093</c:v>
                </c:pt>
                <c:pt idx="14">
                  <c:v>7488.8888888888887</c:v>
                </c:pt>
                <c:pt idx="15">
                  <c:v>7507.894736842105</c:v>
                </c:pt>
                <c:pt idx="16">
                  <c:v>7776.9230769230771</c:v>
                </c:pt>
                <c:pt idx="17">
                  <c:v>7554.7619047619046</c:v>
                </c:pt>
                <c:pt idx="18">
                  <c:v>7491.304347826087</c:v>
                </c:pt>
                <c:pt idx="19">
                  <c:v>7540.8163265306121</c:v>
                </c:pt>
                <c:pt idx="20">
                  <c:v>7544</c:v>
                </c:pt>
                <c:pt idx="21">
                  <c:v>7544</c:v>
                </c:pt>
                <c:pt idx="22">
                  <c:v>7658.4905660377362</c:v>
                </c:pt>
                <c:pt idx="23">
                  <c:v>7809.090909090909</c:v>
                </c:pt>
                <c:pt idx="24">
                  <c:v>7807.1428571428569</c:v>
                </c:pt>
                <c:pt idx="25">
                  <c:v>8455.1724137931033</c:v>
                </c:pt>
                <c:pt idx="26">
                  <c:v>8395</c:v>
                </c:pt>
                <c:pt idx="27">
                  <c:v>8362.2950819672133</c:v>
                </c:pt>
                <c:pt idx="28">
                  <c:v>8460.9375</c:v>
                </c:pt>
                <c:pt idx="29">
                  <c:v>8460.9375</c:v>
                </c:pt>
                <c:pt idx="30">
                  <c:v>8429.2307692307695</c:v>
                </c:pt>
                <c:pt idx="31">
                  <c:v>8295.652173913044</c:v>
                </c:pt>
                <c:pt idx="32">
                  <c:v>8494.4444444444453</c:v>
                </c:pt>
                <c:pt idx="33">
                  <c:v>8494.4444444444453</c:v>
                </c:pt>
                <c:pt idx="34">
                  <c:v>8339.1891891891901</c:v>
                </c:pt>
                <c:pt idx="35">
                  <c:v>8112.9870129870133</c:v>
                </c:pt>
                <c:pt idx="36">
                  <c:v>8108.75</c:v>
                </c:pt>
                <c:pt idx="37">
                  <c:v>8100</c:v>
                </c:pt>
                <c:pt idx="38">
                  <c:v>8111.4942528735628</c:v>
                </c:pt>
                <c:pt idx="39">
                  <c:v>8063.636363636364</c:v>
                </c:pt>
                <c:pt idx="40">
                  <c:v>8151.1111111111113</c:v>
                </c:pt>
                <c:pt idx="41">
                  <c:v>8081.7204301075271</c:v>
                </c:pt>
                <c:pt idx="42">
                  <c:v>8176.2886597938141</c:v>
                </c:pt>
                <c:pt idx="43">
                  <c:v>8213.1313131313127</c:v>
                </c:pt>
                <c:pt idx="44">
                  <c:v>8383.3333333333339</c:v>
                </c:pt>
                <c:pt idx="45">
                  <c:v>8318.2692307692305</c:v>
                </c:pt>
                <c:pt idx="46">
                  <c:v>8353.3333333333339</c:v>
                </c:pt>
                <c:pt idx="47">
                  <c:v>8305.5045871559632</c:v>
                </c:pt>
                <c:pt idx="48">
                  <c:v>8366.0714285714294</c:v>
                </c:pt>
                <c:pt idx="49">
                  <c:v>8429.8245614035095</c:v>
                </c:pt>
                <c:pt idx="50">
                  <c:v>8460.8695652173919</c:v>
                </c:pt>
                <c:pt idx="51">
                  <c:v>8543.1034482758623</c:v>
                </c:pt>
                <c:pt idx="52">
                  <c:v>8626.8907563025205</c:v>
                </c:pt>
                <c:pt idx="53">
                  <c:v>8558.1967213114749</c:v>
                </c:pt>
                <c:pt idx="54">
                  <c:v>8553.6585365853662</c:v>
                </c:pt>
                <c:pt idx="55">
                  <c:v>8650.7936507936502</c:v>
                </c:pt>
                <c:pt idx="56">
                  <c:v>8638.28125</c:v>
                </c:pt>
                <c:pt idx="57">
                  <c:v>8578.0303030303039</c:v>
                </c:pt>
                <c:pt idx="58">
                  <c:v>8562.2222222222226</c:v>
                </c:pt>
                <c:pt idx="59">
                  <c:v>8480.7142857142862</c:v>
                </c:pt>
                <c:pt idx="60">
                  <c:v>8379.720279720279</c:v>
                </c:pt>
                <c:pt idx="61">
                  <c:v>8366.8965517241377</c:v>
                </c:pt>
                <c:pt idx="62">
                  <c:v>8375.5102040816328</c:v>
                </c:pt>
                <c:pt idx="63">
                  <c:v>8461.7449664429532</c:v>
                </c:pt>
                <c:pt idx="64">
                  <c:v>8508.6092715231789</c:v>
                </c:pt>
                <c:pt idx="65">
                  <c:v>8490.78947368421</c:v>
                </c:pt>
                <c:pt idx="66">
                  <c:v>8461.4379084967313</c:v>
                </c:pt>
                <c:pt idx="67">
                  <c:v>8463.461538461539</c:v>
                </c:pt>
                <c:pt idx="68">
                  <c:v>8428.6624203821648</c:v>
                </c:pt>
                <c:pt idx="69">
                  <c:v>8400</c:v>
                </c:pt>
                <c:pt idx="70">
                  <c:v>8493.75</c:v>
                </c:pt>
                <c:pt idx="71">
                  <c:v>8490.6832298136651</c:v>
                </c:pt>
                <c:pt idx="72">
                  <c:v>8430.6748466257668</c:v>
                </c:pt>
                <c:pt idx="73">
                  <c:v>8476.8292682926822</c:v>
                </c:pt>
                <c:pt idx="74">
                  <c:v>8431.9526627218929</c:v>
                </c:pt>
                <c:pt idx="75">
                  <c:v>8415.78947368421</c:v>
                </c:pt>
                <c:pt idx="76">
                  <c:v>8409.2485549132944</c:v>
                </c:pt>
                <c:pt idx="77">
                  <c:v>8409.2485549132944</c:v>
                </c:pt>
                <c:pt idx="78">
                  <c:v>8409.2485549132944</c:v>
                </c:pt>
                <c:pt idx="79">
                  <c:v>8336.931818181818</c:v>
                </c:pt>
                <c:pt idx="80">
                  <c:v>8320.2247191011229</c:v>
                </c:pt>
                <c:pt idx="81">
                  <c:v>8359.5628415300544</c:v>
                </c:pt>
                <c:pt idx="82">
                  <c:v>8345.405405405405</c:v>
                </c:pt>
                <c:pt idx="83">
                  <c:v>8345.405405405405</c:v>
                </c:pt>
                <c:pt idx="84">
                  <c:v>8304.8128342245982</c:v>
                </c:pt>
                <c:pt idx="85">
                  <c:v>8407.4074074074069</c:v>
                </c:pt>
                <c:pt idx="86">
                  <c:v>8382.2916666666661</c:v>
                </c:pt>
                <c:pt idx="87">
                  <c:v>8352.8205128205136</c:v>
                </c:pt>
                <c:pt idx="88">
                  <c:v>8317.5879396984928</c:v>
                </c:pt>
                <c:pt idx="89">
                  <c:v>8315.8415841584156</c:v>
                </c:pt>
                <c:pt idx="90">
                  <c:v>8426.3414634146338</c:v>
                </c:pt>
                <c:pt idx="91">
                  <c:v>8408.6956521739139</c:v>
                </c:pt>
                <c:pt idx="92">
                  <c:v>8431.9047619047615</c:v>
                </c:pt>
                <c:pt idx="93">
                  <c:v>8365.1162790697672</c:v>
                </c:pt>
                <c:pt idx="94">
                  <c:v>8335.9447004608301</c:v>
                </c:pt>
                <c:pt idx="95">
                  <c:v>8407.798165137614</c:v>
                </c:pt>
                <c:pt idx="96">
                  <c:v>8432.1266968325799</c:v>
                </c:pt>
                <c:pt idx="97">
                  <c:v>8403.6036036036039</c:v>
                </c:pt>
                <c:pt idx="98">
                  <c:v>8381.858407079646</c:v>
                </c:pt>
                <c:pt idx="99">
                  <c:v>8326.3157894736851</c:v>
                </c:pt>
                <c:pt idx="100">
                  <c:v>8340.8695652173919</c:v>
                </c:pt>
                <c:pt idx="101">
                  <c:v>8434.6153846153848</c:v>
                </c:pt>
                <c:pt idx="102">
                  <c:v>8447.8813559322025</c:v>
                </c:pt>
                <c:pt idx="103">
                  <c:v>8495</c:v>
                </c:pt>
                <c:pt idx="104">
                  <c:v>8576.7346938775518</c:v>
                </c:pt>
                <c:pt idx="105">
                  <c:v>8552.4390243902435</c:v>
                </c:pt>
                <c:pt idx="106">
                  <c:v>8550.2024291497983</c:v>
                </c:pt>
                <c:pt idx="107">
                  <c:v>8514.3426294820711</c:v>
                </c:pt>
                <c:pt idx="108">
                  <c:v>8511.5079365079364</c:v>
                </c:pt>
                <c:pt idx="109">
                  <c:v>8554.1176470588234</c:v>
                </c:pt>
                <c:pt idx="110">
                  <c:v>8537.7431906614784</c:v>
                </c:pt>
                <c:pt idx="111">
                  <c:v>8524.8062015503874</c:v>
                </c:pt>
                <c:pt idx="112">
                  <c:v>8521.6216216216217</c:v>
                </c:pt>
                <c:pt idx="113">
                  <c:v>8486.9731800766276</c:v>
                </c:pt>
                <c:pt idx="114">
                  <c:v>8470.8333333333339</c:v>
                </c:pt>
                <c:pt idx="115">
                  <c:v>8427.8195488721813</c:v>
                </c:pt>
                <c:pt idx="116">
                  <c:v>8381.0408921933085</c:v>
                </c:pt>
                <c:pt idx="117">
                  <c:v>8388.6029411764703</c:v>
                </c:pt>
                <c:pt idx="118">
                  <c:v>8393.818181818182</c:v>
                </c:pt>
                <c:pt idx="119">
                  <c:v>8341.0071942446048</c:v>
                </c:pt>
                <c:pt idx="120">
                  <c:v>8314.2857142857138</c:v>
                </c:pt>
                <c:pt idx="121">
                  <c:v>8310.9929078014193</c:v>
                </c:pt>
                <c:pt idx="122">
                  <c:v>8295.4063604240291</c:v>
                </c:pt>
                <c:pt idx="123">
                  <c:v>8295.4063604240291</c:v>
                </c:pt>
                <c:pt idx="124">
                  <c:v>8295.4063604240291</c:v>
                </c:pt>
                <c:pt idx="125">
                  <c:v>8294.3661971830988</c:v>
                </c:pt>
                <c:pt idx="126">
                  <c:v>8252.6132404181189</c:v>
                </c:pt>
                <c:pt idx="127">
                  <c:v>8278.5467128027685</c:v>
                </c:pt>
                <c:pt idx="128">
                  <c:v>8278.5467128027685</c:v>
                </c:pt>
                <c:pt idx="129">
                  <c:v>8276.5517241379312</c:v>
                </c:pt>
                <c:pt idx="130">
                  <c:v>8255.1369863013697</c:v>
                </c:pt>
                <c:pt idx="131">
                  <c:v>8236.3945578231287</c:v>
                </c:pt>
                <c:pt idx="132">
                  <c:v>8234.0067340067344</c:v>
                </c:pt>
                <c:pt idx="133">
                  <c:v>8245.8193979933112</c:v>
                </c:pt>
                <c:pt idx="134">
                  <c:v>8185.5263157894733</c:v>
                </c:pt>
                <c:pt idx="135">
                  <c:v>8185.5263157894733</c:v>
                </c:pt>
                <c:pt idx="136">
                  <c:v>8178.9644012944982</c:v>
                </c:pt>
                <c:pt idx="137">
                  <c:v>8156.2300319488822</c:v>
                </c:pt>
                <c:pt idx="138">
                  <c:v>8147.1337579617839</c:v>
                </c:pt>
                <c:pt idx="139">
                  <c:v>8158.8607594936711</c:v>
                </c:pt>
                <c:pt idx="140">
                  <c:v>8284.5425867507893</c:v>
                </c:pt>
                <c:pt idx="141">
                  <c:v>8274.2946708463951</c:v>
                </c:pt>
                <c:pt idx="142">
                  <c:v>8240.9937888198765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99.00407424173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まっつん2!$J$3:$J$145</c:f>
              <c:numCache>
                <c:formatCode>0</c:formatCode>
                <c:ptCount val="143"/>
                <c:pt idx="1">
                  <c:v>0</c:v>
                </c:pt>
                <c:pt idx="2">
                  <c:v>-12000</c:v>
                </c:pt>
                <c:pt idx="3">
                  <c:v>-10000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  <c:pt idx="13">
                  <c:v>-7960</c:v>
                </c:pt>
                <c:pt idx="14">
                  <c:v>-7960</c:v>
                </c:pt>
                <c:pt idx="15">
                  <c:v>-7643.75</c:v>
                </c:pt>
                <c:pt idx="16">
                  <c:v>-7647.0588235294117</c:v>
                </c:pt>
                <c:pt idx="17">
                  <c:v>-7383.333333333333</c:v>
                </c:pt>
                <c:pt idx="18">
                  <c:v>-7331.818181818182</c:v>
                </c:pt>
                <c:pt idx="19">
                  <c:v>-7095.833333333333</c:v>
                </c:pt>
                <c:pt idx="20">
                  <c:v>-7292</c:v>
                </c:pt>
                <c:pt idx="21">
                  <c:v>-6960.7142857142853</c:v>
                </c:pt>
                <c:pt idx="22">
                  <c:v>-6960.7142857142853</c:v>
                </c:pt>
                <c:pt idx="23">
                  <c:v>-6820.6896551724139</c:v>
                </c:pt>
                <c:pt idx="24">
                  <c:v>-6946.875</c:v>
                </c:pt>
                <c:pt idx="25">
                  <c:v>-6832.3529411764703</c:v>
                </c:pt>
                <c:pt idx="26">
                  <c:v>-6711.4285714285716</c:v>
                </c:pt>
                <c:pt idx="27">
                  <c:v>-6711.4285714285716</c:v>
                </c:pt>
                <c:pt idx="28">
                  <c:v>-6711.4285714285716</c:v>
                </c:pt>
                <c:pt idx="29">
                  <c:v>-7159.4594594594591</c:v>
                </c:pt>
                <c:pt idx="30">
                  <c:v>-7159.4594594594591</c:v>
                </c:pt>
                <c:pt idx="31">
                  <c:v>-7305.1282051282051</c:v>
                </c:pt>
                <c:pt idx="32">
                  <c:v>-7305.1282051282051</c:v>
                </c:pt>
                <c:pt idx="33">
                  <c:v>-7305.1282051282051</c:v>
                </c:pt>
                <c:pt idx="34">
                  <c:v>-7187.5</c:v>
                </c:pt>
                <c:pt idx="35">
                  <c:v>-7187.5</c:v>
                </c:pt>
                <c:pt idx="36">
                  <c:v>-7207.3170731707314</c:v>
                </c:pt>
                <c:pt idx="37">
                  <c:v>-7476.7441860465115</c:v>
                </c:pt>
                <c:pt idx="38">
                  <c:v>-7408.8888888888887</c:v>
                </c:pt>
                <c:pt idx="39">
                  <c:v>-7415.217391304348</c:v>
                </c:pt>
                <c:pt idx="40">
                  <c:v>-7381.25</c:v>
                </c:pt>
                <c:pt idx="41">
                  <c:v>-7318</c:v>
                </c:pt>
                <c:pt idx="42">
                  <c:v>-7801.9607843137255</c:v>
                </c:pt>
                <c:pt idx="43">
                  <c:v>-7682.6923076923076</c:v>
                </c:pt>
                <c:pt idx="44">
                  <c:v>-7682.6923076923076</c:v>
                </c:pt>
                <c:pt idx="45">
                  <c:v>-7688.6792452830186</c:v>
                </c:pt>
                <c:pt idx="46">
                  <c:v>-7688.6792452830186</c:v>
                </c:pt>
                <c:pt idx="47">
                  <c:v>-7827.272727272727</c:v>
                </c:pt>
                <c:pt idx="48">
                  <c:v>-7827.272727272727</c:v>
                </c:pt>
                <c:pt idx="49">
                  <c:v>-7757.1428571428569</c:v>
                </c:pt>
                <c:pt idx="50">
                  <c:v>-7705.2631578947367</c:v>
                </c:pt>
                <c:pt idx="51">
                  <c:v>-7705.2631578947367</c:v>
                </c:pt>
                <c:pt idx="52">
                  <c:v>-7705.2631578947367</c:v>
                </c:pt>
                <c:pt idx="53">
                  <c:v>-7705.2631578947367</c:v>
                </c:pt>
                <c:pt idx="54">
                  <c:v>-7705.2631578947367</c:v>
                </c:pt>
                <c:pt idx="55">
                  <c:v>-7705.2631578947367</c:v>
                </c:pt>
                <c:pt idx="56">
                  <c:v>-7642.622950819672</c:v>
                </c:pt>
                <c:pt idx="57">
                  <c:v>-7777.4193548387093</c:v>
                </c:pt>
                <c:pt idx="58">
                  <c:v>-7777.4193548387093</c:v>
                </c:pt>
                <c:pt idx="59">
                  <c:v>-7695.2380952380954</c:v>
                </c:pt>
                <c:pt idx="60">
                  <c:v>-7790.909090909091</c:v>
                </c:pt>
                <c:pt idx="61">
                  <c:v>-7790.909090909091</c:v>
                </c:pt>
                <c:pt idx="62">
                  <c:v>-7943.2835820895525</c:v>
                </c:pt>
                <c:pt idx="63">
                  <c:v>-7943.2835820895525</c:v>
                </c:pt>
                <c:pt idx="64">
                  <c:v>-8179.411764705882</c:v>
                </c:pt>
                <c:pt idx="65">
                  <c:v>-8179.411764705882</c:v>
                </c:pt>
                <c:pt idx="66">
                  <c:v>-8179.411764705882</c:v>
                </c:pt>
                <c:pt idx="67">
                  <c:v>-8179.411764705882</c:v>
                </c:pt>
                <c:pt idx="68">
                  <c:v>-8321.7391304347821</c:v>
                </c:pt>
                <c:pt idx="69">
                  <c:v>-8270.422535211268</c:v>
                </c:pt>
                <c:pt idx="70">
                  <c:v>-8270.422535211268</c:v>
                </c:pt>
                <c:pt idx="71">
                  <c:v>-8079.4520547945203</c:v>
                </c:pt>
                <c:pt idx="72">
                  <c:v>-8078.3783783783783</c:v>
                </c:pt>
                <c:pt idx="73">
                  <c:v>-7997.333333333333</c:v>
                </c:pt>
                <c:pt idx="74">
                  <c:v>-7993.4210526315792</c:v>
                </c:pt>
                <c:pt idx="75">
                  <c:v>-7903.8461538461543</c:v>
                </c:pt>
                <c:pt idx="76">
                  <c:v>-7811.25</c:v>
                </c:pt>
                <c:pt idx="77">
                  <c:v>-8059.0361445783128</c:v>
                </c:pt>
                <c:pt idx="78">
                  <c:v>-7997.6470588235297</c:v>
                </c:pt>
                <c:pt idx="79">
                  <c:v>-7967.045454545455</c:v>
                </c:pt>
                <c:pt idx="80">
                  <c:v>-7967.045454545455</c:v>
                </c:pt>
                <c:pt idx="81">
                  <c:v>-7967.4157303370785</c:v>
                </c:pt>
                <c:pt idx="82">
                  <c:v>-7967.4157303370785</c:v>
                </c:pt>
                <c:pt idx="83">
                  <c:v>-7911.1111111111113</c:v>
                </c:pt>
                <c:pt idx="84">
                  <c:v>-7911.1111111111113</c:v>
                </c:pt>
                <c:pt idx="85">
                  <c:v>-7886.95652173913</c:v>
                </c:pt>
                <c:pt idx="86">
                  <c:v>-7886.95652173913</c:v>
                </c:pt>
                <c:pt idx="87">
                  <c:v>-7886.95652173913</c:v>
                </c:pt>
                <c:pt idx="88">
                  <c:v>-7886.1702127659573</c:v>
                </c:pt>
                <c:pt idx="89">
                  <c:v>-8062.8865979381444</c:v>
                </c:pt>
                <c:pt idx="90">
                  <c:v>-8062.8865979381444</c:v>
                </c:pt>
                <c:pt idx="91">
                  <c:v>-7990.8163265306121</c:v>
                </c:pt>
                <c:pt idx="92">
                  <c:v>-7936.363636363636</c:v>
                </c:pt>
                <c:pt idx="93">
                  <c:v>-7896</c:v>
                </c:pt>
                <c:pt idx="94">
                  <c:v>-7936.6336633663368</c:v>
                </c:pt>
                <c:pt idx="95">
                  <c:v>-7936.6336633663368</c:v>
                </c:pt>
                <c:pt idx="96">
                  <c:v>-7909.8039215686276</c:v>
                </c:pt>
                <c:pt idx="97">
                  <c:v>-7902.8571428571431</c:v>
                </c:pt>
                <c:pt idx="98">
                  <c:v>-7902.8571428571431</c:v>
                </c:pt>
                <c:pt idx="99">
                  <c:v>-7774.0740740740739</c:v>
                </c:pt>
                <c:pt idx="100">
                  <c:v>-7714.545454545455</c:v>
                </c:pt>
                <c:pt idx="101">
                  <c:v>-7714.545454545455</c:v>
                </c:pt>
                <c:pt idx="102">
                  <c:v>-7671.1711711711714</c:v>
                </c:pt>
                <c:pt idx="103">
                  <c:v>-7662.2807017543855</c:v>
                </c:pt>
                <c:pt idx="104">
                  <c:v>-7618.260869565217</c:v>
                </c:pt>
                <c:pt idx="105">
                  <c:v>-7618.260869565217</c:v>
                </c:pt>
                <c:pt idx="106">
                  <c:v>-7618.260869565217</c:v>
                </c:pt>
                <c:pt idx="107">
                  <c:v>-7597.4137931034484</c:v>
                </c:pt>
                <c:pt idx="108">
                  <c:v>-7554.7008547008545</c:v>
                </c:pt>
                <c:pt idx="109">
                  <c:v>-7523.7288135593217</c:v>
                </c:pt>
                <c:pt idx="110">
                  <c:v>-7435.833333333333</c:v>
                </c:pt>
                <c:pt idx="111">
                  <c:v>-7440.4958677685954</c:v>
                </c:pt>
                <c:pt idx="112">
                  <c:v>-7440.4958677685954</c:v>
                </c:pt>
                <c:pt idx="113">
                  <c:v>-7440.4958677685954</c:v>
                </c:pt>
                <c:pt idx="114">
                  <c:v>-7440.4958677685954</c:v>
                </c:pt>
                <c:pt idx="115">
                  <c:v>-7348.7804878048782</c:v>
                </c:pt>
                <c:pt idx="116">
                  <c:v>-7272.8</c:v>
                </c:pt>
                <c:pt idx="117">
                  <c:v>-7310.3174603174602</c:v>
                </c:pt>
                <c:pt idx="118">
                  <c:v>-7262.9921259842522</c:v>
                </c:pt>
                <c:pt idx="119">
                  <c:v>-7268.75</c:v>
                </c:pt>
                <c:pt idx="120">
                  <c:v>-7283.2061068702287</c:v>
                </c:pt>
                <c:pt idx="121">
                  <c:v>-7288.8059701492539</c:v>
                </c:pt>
                <c:pt idx="122">
                  <c:v>-7273.333333333333</c:v>
                </c:pt>
                <c:pt idx="123">
                  <c:v>-7233.5766423357663</c:v>
                </c:pt>
                <c:pt idx="124">
                  <c:v>-7192.753623188406</c:v>
                </c:pt>
                <c:pt idx="125">
                  <c:v>-7198.5611510791368</c:v>
                </c:pt>
                <c:pt idx="126">
                  <c:v>-7162.9370629370633</c:v>
                </c:pt>
                <c:pt idx="127">
                  <c:v>-7157.2413793103451</c:v>
                </c:pt>
                <c:pt idx="128">
                  <c:v>-7159.4594594594591</c:v>
                </c:pt>
                <c:pt idx="129">
                  <c:v>-7191.9463087248323</c:v>
                </c:pt>
                <c:pt idx="130">
                  <c:v>-7191.9463087248323</c:v>
                </c:pt>
                <c:pt idx="131">
                  <c:v>-7076.3157894736842</c:v>
                </c:pt>
                <c:pt idx="132">
                  <c:v>-7108.4967320261439</c:v>
                </c:pt>
                <c:pt idx="133">
                  <c:v>-7108.4967320261439</c:v>
                </c:pt>
                <c:pt idx="134">
                  <c:v>-7108.4967320261439</c:v>
                </c:pt>
                <c:pt idx="135">
                  <c:v>-7108.4967320261439</c:v>
                </c:pt>
                <c:pt idx="136">
                  <c:v>-7140.2597402597403</c:v>
                </c:pt>
                <c:pt idx="137">
                  <c:v>-7102.5806451612907</c:v>
                </c:pt>
                <c:pt idx="138">
                  <c:v>-7102.5806451612907</c:v>
                </c:pt>
                <c:pt idx="139">
                  <c:v>-7075.7961783439487</c:v>
                </c:pt>
                <c:pt idx="140">
                  <c:v>-7075.7961783439487</c:v>
                </c:pt>
                <c:pt idx="141">
                  <c:v>-7106.9620253164558</c:v>
                </c:pt>
                <c:pt idx="142">
                  <c:v>-7051.875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99.9170812603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まっつん2!$K$3:$K$145</c:f>
              <c:numCache>
                <c:formatCode>0.0%</c:formatCode>
                <c:ptCount val="1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</c:v>
                </c:pt>
                <c:pt idx="41">
                  <c:v>9.7560975609756101E-2</c:v>
                </c:pt>
                <c:pt idx="42">
                  <c:v>9.5238095238095233E-2</c:v>
                </c:pt>
                <c:pt idx="43">
                  <c:v>9.3023255813953487E-2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8.5106382978723402E-2</c:v>
                </c:pt>
                <c:pt idx="48">
                  <c:v>8.3333333333333329E-2</c:v>
                </c:pt>
                <c:pt idx="49">
                  <c:v>8.1632653061224483E-2</c:v>
                </c:pt>
                <c:pt idx="50">
                  <c:v>0.08</c:v>
                </c:pt>
                <c:pt idx="51">
                  <c:v>7.8431372549019607E-2</c:v>
                </c:pt>
                <c:pt idx="52">
                  <c:v>7.6923076923076927E-2</c:v>
                </c:pt>
                <c:pt idx="53">
                  <c:v>7.5471698113207544E-2</c:v>
                </c:pt>
                <c:pt idx="54">
                  <c:v>7.407407407407407E-2</c:v>
                </c:pt>
                <c:pt idx="55">
                  <c:v>7.2727272727272724E-2</c:v>
                </c:pt>
                <c:pt idx="56">
                  <c:v>7.1428571428571425E-2</c:v>
                </c:pt>
                <c:pt idx="57">
                  <c:v>7.0175438596491224E-2</c:v>
                </c:pt>
                <c:pt idx="58">
                  <c:v>6.8965517241379309E-2</c:v>
                </c:pt>
                <c:pt idx="59">
                  <c:v>6.7796610169491525E-2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7.8125E-2</c:v>
                </c:pt>
                <c:pt idx="65">
                  <c:v>7.6923076923076927E-2</c:v>
                </c:pt>
                <c:pt idx="66">
                  <c:v>7.575757575757576E-2</c:v>
                </c:pt>
                <c:pt idx="67">
                  <c:v>7.4626865671641784E-2</c:v>
                </c:pt>
                <c:pt idx="68">
                  <c:v>7.3529411764705885E-2</c:v>
                </c:pt>
                <c:pt idx="69">
                  <c:v>7.2463768115942032E-2</c:v>
                </c:pt>
                <c:pt idx="70">
                  <c:v>7.1428571428571425E-2</c:v>
                </c:pt>
                <c:pt idx="71">
                  <c:v>7.0422535211267609E-2</c:v>
                </c:pt>
                <c:pt idx="72">
                  <c:v>6.9444444444444448E-2</c:v>
                </c:pt>
                <c:pt idx="73">
                  <c:v>6.8493150684931503E-2</c:v>
                </c:pt>
                <c:pt idx="74">
                  <c:v>6.7567567567567571E-2</c:v>
                </c:pt>
                <c:pt idx="75">
                  <c:v>6.6666666666666666E-2</c:v>
                </c:pt>
                <c:pt idx="76">
                  <c:v>6.5789473684210523E-2</c:v>
                </c:pt>
                <c:pt idx="77">
                  <c:v>7.792207792207792E-2</c:v>
                </c:pt>
                <c:pt idx="78">
                  <c:v>8.9743589743589744E-2</c:v>
                </c:pt>
                <c:pt idx="79">
                  <c:v>8.8607594936708861E-2</c:v>
                </c:pt>
                <c:pt idx="80">
                  <c:v>8.7499999999999994E-2</c:v>
                </c:pt>
                <c:pt idx="81">
                  <c:v>8.6419753086419748E-2</c:v>
                </c:pt>
                <c:pt idx="82">
                  <c:v>8.5365853658536592E-2</c:v>
                </c:pt>
                <c:pt idx="83">
                  <c:v>8.4337349397590355E-2</c:v>
                </c:pt>
                <c:pt idx="84">
                  <c:v>8.3333333333333329E-2</c:v>
                </c:pt>
                <c:pt idx="85">
                  <c:v>8.2352941176470587E-2</c:v>
                </c:pt>
                <c:pt idx="86">
                  <c:v>8.1395348837209308E-2</c:v>
                </c:pt>
                <c:pt idx="87">
                  <c:v>8.0459770114942528E-2</c:v>
                </c:pt>
                <c:pt idx="88">
                  <c:v>7.9545454545454544E-2</c:v>
                </c:pt>
                <c:pt idx="89">
                  <c:v>8.98876404494382E-2</c:v>
                </c:pt>
                <c:pt idx="90">
                  <c:v>8.8888888888888892E-2</c:v>
                </c:pt>
                <c:pt idx="91">
                  <c:v>8.7912087912087919E-2</c:v>
                </c:pt>
                <c:pt idx="92">
                  <c:v>8.6956521739130432E-2</c:v>
                </c:pt>
                <c:pt idx="93">
                  <c:v>8.6021505376344093E-2</c:v>
                </c:pt>
                <c:pt idx="94">
                  <c:v>8.5106382978723402E-2</c:v>
                </c:pt>
                <c:pt idx="95">
                  <c:v>8.4210526315789472E-2</c:v>
                </c:pt>
                <c:pt idx="96">
                  <c:v>8.3333333333333329E-2</c:v>
                </c:pt>
                <c:pt idx="97">
                  <c:v>8.247422680412371E-2</c:v>
                </c:pt>
                <c:pt idx="98">
                  <c:v>8.1632653061224483E-2</c:v>
                </c:pt>
                <c:pt idx="99">
                  <c:v>8.0808080808080815E-2</c:v>
                </c:pt>
                <c:pt idx="100">
                  <c:v>0.08</c:v>
                </c:pt>
                <c:pt idx="101">
                  <c:v>7.9207920792079209E-2</c:v>
                </c:pt>
                <c:pt idx="102">
                  <c:v>7.8431372549019607E-2</c:v>
                </c:pt>
                <c:pt idx="103">
                  <c:v>7.7669902912621352E-2</c:v>
                </c:pt>
                <c:pt idx="104">
                  <c:v>7.6923076923076927E-2</c:v>
                </c:pt>
                <c:pt idx="105">
                  <c:v>7.6190476190476197E-2</c:v>
                </c:pt>
                <c:pt idx="106">
                  <c:v>7.5471698113207544E-2</c:v>
                </c:pt>
                <c:pt idx="107">
                  <c:v>7.476635514018691E-2</c:v>
                </c:pt>
                <c:pt idx="108">
                  <c:v>7.407407407407407E-2</c:v>
                </c:pt>
                <c:pt idx="109">
                  <c:v>7.3394495412844041E-2</c:v>
                </c:pt>
                <c:pt idx="110">
                  <c:v>7.2727272727272724E-2</c:v>
                </c:pt>
                <c:pt idx="111">
                  <c:v>7.2072072072072071E-2</c:v>
                </c:pt>
                <c:pt idx="112">
                  <c:v>7.1428571428571425E-2</c:v>
                </c:pt>
                <c:pt idx="113">
                  <c:v>7.0796460176991149E-2</c:v>
                </c:pt>
                <c:pt idx="114">
                  <c:v>7.0175438596491224E-2</c:v>
                </c:pt>
                <c:pt idx="115">
                  <c:v>6.9565217391304349E-2</c:v>
                </c:pt>
                <c:pt idx="116">
                  <c:v>6.8965517241379309E-2</c:v>
                </c:pt>
                <c:pt idx="117">
                  <c:v>6.8376068376068383E-2</c:v>
                </c:pt>
                <c:pt idx="118">
                  <c:v>6.7796610169491525E-2</c:v>
                </c:pt>
                <c:pt idx="119">
                  <c:v>6.7226890756302518E-2</c:v>
                </c:pt>
                <c:pt idx="120">
                  <c:v>6.6666666666666666E-2</c:v>
                </c:pt>
                <c:pt idx="121">
                  <c:v>6.6115702479338845E-2</c:v>
                </c:pt>
                <c:pt idx="122">
                  <c:v>6.5573770491803282E-2</c:v>
                </c:pt>
                <c:pt idx="123">
                  <c:v>6.5040650406504072E-2</c:v>
                </c:pt>
                <c:pt idx="124">
                  <c:v>6.4516129032258063E-2</c:v>
                </c:pt>
                <c:pt idx="125">
                  <c:v>6.4000000000000001E-2</c:v>
                </c:pt>
                <c:pt idx="126">
                  <c:v>7.1428571428571425E-2</c:v>
                </c:pt>
                <c:pt idx="127">
                  <c:v>7.0866141732283464E-2</c:v>
                </c:pt>
                <c:pt idx="128">
                  <c:v>7.8125E-2</c:v>
                </c:pt>
                <c:pt idx="129">
                  <c:v>7.7519379844961239E-2</c:v>
                </c:pt>
                <c:pt idx="130">
                  <c:v>7.6923076923076927E-2</c:v>
                </c:pt>
                <c:pt idx="131">
                  <c:v>7.6335877862595422E-2</c:v>
                </c:pt>
                <c:pt idx="132">
                  <c:v>7.575757575757576E-2</c:v>
                </c:pt>
                <c:pt idx="133">
                  <c:v>7.5187969924812026E-2</c:v>
                </c:pt>
                <c:pt idx="134">
                  <c:v>7.4626865671641784E-2</c:v>
                </c:pt>
                <c:pt idx="135">
                  <c:v>7.407407407407407E-2</c:v>
                </c:pt>
                <c:pt idx="136">
                  <c:v>7.3529411764705885E-2</c:v>
                </c:pt>
                <c:pt idx="137">
                  <c:v>7.2992700729927001E-2</c:v>
                </c:pt>
                <c:pt idx="138">
                  <c:v>7.2463768115942032E-2</c:v>
                </c:pt>
                <c:pt idx="139">
                  <c:v>7.1942446043165464E-2</c:v>
                </c:pt>
                <c:pt idx="140">
                  <c:v>7.1428571428571425E-2</c:v>
                </c:pt>
                <c:pt idx="141">
                  <c:v>7.0921985815602842E-2</c:v>
                </c:pt>
                <c:pt idx="142">
                  <c:v>7.0422535211267609E-2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60312151616496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まっつん2!$L$3:$L$145</c:f>
              <c:numCache>
                <c:formatCode>0.0%</c:formatCode>
                <c:ptCount val="143"/>
                <c:pt idx="1">
                  <c:v>9.0909090909090912E-2</c:v>
                </c:pt>
                <c:pt idx="2">
                  <c:v>9.0909090909090912E-2</c:v>
                </c:pt>
                <c:pt idx="3">
                  <c:v>0.12121212121212122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  <c:pt idx="13">
                  <c:v>0.2032520325203252</c:v>
                </c:pt>
                <c:pt idx="14">
                  <c:v>0.21374045801526717</c:v>
                </c:pt>
                <c:pt idx="15">
                  <c:v>0.22302158273381295</c:v>
                </c:pt>
                <c:pt idx="16">
                  <c:v>0.2413793103448276</c:v>
                </c:pt>
                <c:pt idx="17">
                  <c:v>0.25</c:v>
                </c:pt>
                <c:pt idx="18">
                  <c:v>0.25</c:v>
                </c:pt>
                <c:pt idx="19">
                  <c:v>0.25568181818181818</c:v>
                </c:pt>
                <c:pt idx="20">
                  <c:v>0.26229508196721313</c:v>
                </c:pt>
                <c:pt idx="21">
                  <c:v>0.25654450261780104</c:v>
                </c:pt>
                <c:pt idx="22">
                  <c:v>0.26262626262626265</c:v>
                </c:pt>
                <c:pt idx="23">
                  <c:v>0.26829268292682928</c:v>
                </c:pt>
                <c:pt idx="24">
                  <c:v>0.25821596244131456</c:v>
                </c:pt>
                <c:pt idx="25">
                  <c:v>0.25339366515837103</c:v>
                </c:pt>
                <c:pt idx="26">
                  <c:v>0.25438596491228072</c:v>
                </c:pt>
                <c:pt idx="27">
                  <c:v>0.25108225108225107</c:v>
                </c:pt>
                <c:pt idx="28">
                  <c:v>0.26050420168067229</c:v>
                </c:pt>
                <c:pt idx="29">
                  <c:v>0.25925925925925924</c:v>
                </c:pt>
                <c:pt idx="30">
                  <c:v>0.25506072874493929</c:v>
                </c:pt>
                <c:pt idx="31">
                  <c:v>0.25193798449612403</c:v>
                </c:pt>
                <c:pt idx="32">
                  <c:v>0.2509505703422053</c:v>
                </c:pt>
                <c:pt idx="33">
                  <c:v>0.24723247232472326</c:v>
                </c:pt>
                <c:pt idx="34">
                  <c:v>0.24100719424460432</c:v>
                </c:pt>
                <c:pt idx="35">
                  <c:v>0.23426573426573427</c:v>
                </c:pt>
                <c:pt idx="36">
                  <c:v>0.2363013698630137</c:v>
                </c:pt>
                <c:pt idx="37">
                  <c:v>0.24092409240924093</c:v>
                </c:pt>
                <c:pt idx="38">
                  <c:v>0.24600638977635783</c:v>
                </c:pt>
                <c:pt idx="39">
                  <c:v>0.24374999999999999</c:v>
                </c:pt>
                <c:pt idx="40">
                  <c:v>0.24464831804281345</c:v>
                </c:pt>
                <c:pt idx="41">
                  <c:v>0.24850299401197604</c:v>
                </c:pt>
                <c:pt idx="42">
                  <c:v>0.25072886297376096</c:v>
                </c:pt>
                <c:pt idx="43">
                  <c:v>0.25714285714285712</c:v>
                </c:pt>
                <c:pt idx="44">
                  <c:v>0.26197183098591548</c:v>
                </c:pt>
                <c:pt idx="45">
                  <c:v>0.25683060109289618</c:v>
                </c:pt>
                <c:pt idx="46">
                  <c:v>0.25336927223719674</c:v>
                </c:pt>
                <c:pt idx="47">
                  <c:v>0.25129533678756477</c:v>
                </c:pt>
                <c:pt idx="48">
                  <c:v>0.25190839694656486</c:v>
                </c:pt>
                <c:pt idx="49">
                  <c:v>0.2525</c:v>
                </c:pt>
                <c:pt idx="50">
                  <c:v>0.25245098039215685</c:v>
                </c:pt>
                <c:pt idx="51">
                  <c:v>0.25358851674641147</c:v>
                </c:pt>
                <c:pt idx="52">
                  <c:v>0.2541176470588235</c:v>
                </c:pt>
                <c:pt idx="53">
                  <c:v>0.25635103926096997</c:v>
                </c:pt>
                <c:pt idx="54">
                  <c:v>0.25740318906605925</c:v>
                </c:pt>
                <c:pt idx="55">
                  <c:v>0.25733634311512416</c:v>
                </c:pt>
                <c:pt idx="56">
                  <c:v>0.26096491228070173</c:v>
                </c:pt>
                <c:pt idx="57">
                  <c:v>0.25751072961373389</c:v>
                </c:pt>
                <c:pt idx="58">
                  <c:v>0.25420168067226889</c:v>
                </c:pt>
                <c:pt idx="59">
                  <c:v>0.25465838509316768</c:v>
                </c:pt>
                <c:pt idx="60">
                  <c:v>0.25454545454545452</c:v>
                </c:pt>
                <c:pt idx="61">
                  <c:v>0.25595238095238093</c:v>
                </c:pt>
                <c:pt idx="62">
                  <c:v>0.255859375</c:v>
                </c:pt>
                <c:pt idx="63">
                  <c:v>0.2558139534883721</c:v>
                </c:pt>
                <c:pt idx="64">
                  <c:v>0.25478927203065133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0.25504587155963304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0.25354609929078015</c:v>
                </c:pt>
                <c:pt idx="71">
                  <c:v>0.25043782837127848</c:v>
                </c:pt>
                <c:pt idx="72">
                  <c:v>0.25043177892918828</c:v>
                </c:pt>
                <c:pt idx="73">
                  <c:v>0.24957264957264957</c:v>
                </c:pt>
                <c:pt idx="74">
                  <c:v>0.25126475548060706</c:v>
                </c:pt>
                <c:pt idx="75">
                  <c:v>0.25666666666666665</c:v>
                </c:pt>
                <c:pt idx="76">
                  <c:v>0.25577557755775576</c:v>
                </c:pt>
                <c:pt idx="77">
                  <c:v>0.25283630470016205</c:v>
                </c:pt>
                <c:pt idx="78">
                  <c:v>0.2504012841091493</c:v>
                </c:pt>
                <c:pt idx="79">
                  <c:v>0.25078864353312302</c:v>
                </c:pt>
                <c:pt idx="80">
                  <c:v>0.25039123630672927</c:v>
                </c:pt>
                <c:pt idx="81">
                  <c:v>0.25386996904024767</c:v>
                </c:pt>
                <c:pt idx="82">
                  <c:v>0.25229357798165136</c:v>
                </c:pt>
                <c:pt idx="83">
                  <c:v>0.25264750378214829</c:v>
                </c:pt>
                <c:pt idx="84">
                  <c:v>0.25337331334332835</c:v>
                </c:pt>
                <c:pt idx="85">
                  <c:v>0.25370919881305637</c:v>
                </c:pt>
                <c:pt idx="86">
                  <c:v>0.25768667642752563</c:v>
                </c:pt>
                <c:pt idx="87">
                  <c:v>0.2608695652173913</c:v>
                </c:pt>
                <c:pt idx="88">
                  <c:v>0.26315789473684209</c:v>
                </c:pt>
                <c:pt idx="89">
                  <c:v>0.26396648044692739</c:v>
                </c:pt>
                <c:pt idx="90">
                  <c:v>0.26592797783933519</c:v>
                </c:pt>
                <c:pt idx="91">
                  <c:v>0.26648351648351648</c:v>
                </c:pt>
                <c:pt idx="92">
                  <c:v>0.26666666666666666</c:v>
                </c:pt>
                <c:pt idx="93">
                  <c:v>0.27052489905787347</c:v>
                </c:pt>
                <c:pt idx="94">
                  <c:v>0.27030625832223704</c:v>
                </c:pt>
                <c:pt idx="95">
                  <c:v>0.27055702917771884</c:v>
                </c:pt>
                <c:pt idx="96">
                  <c:v>0.26938239159001315</c:v>
                </c:pt>
                <c:pt idx="97">
                  <c:v>0.26848249027237353</c:v>
                </c:pt>
                <c:pt idx="98">
                  <c:v>0.26632522407170295</c:v>
                </c:pt>
                <c:pt idx="99">
                  <c:v>0.26767676767676768</c:v>
                </c:pt>
                <c:pt idx="100">
                  <c:v>0.26716604244694131</c:v>
                </c:pt>
                <c:pt idx="101">
                  <c:v>0.26790123456790121</c:v>
                </c:pt>
                <c:pt idx="102">
                  <c:v>0.27050183598531213</c:v>
                </c:pt>
                <c:pt idx="103">
                  <c:v>0.27020506634499397</c:v>
                </c:pt>
                <c:pt idx="104">
                  <c:v>0.27272727272727271</c:v>
                </c:pt>
                <c:pt idx="105">
                  <c:v>0.27304964539007093</c:v>
                </c:pt>
                <c:pt idx="106">
                  <c:v>0.27379553466509987</c:v>
                </c:pt>
                <c:pt idx="107">
                  <c:v>0.27272727272727271</c:v>
                </c:pt>
                <c:pt idx="108">
                  <c:v>0.27073732718894011</c:v>
                </c:pt>
                <c:pt idx="109">
                  <c:v>0.27085714285714285</c:v>
                </c:pt>
                <c:pt idx="110">
                  <c:v>0.26901248581157777</c:v>
                </c:pt>
                <c:pt idx="111">
                  <c:v>0.26884139482564678</c:v>
                </c:pt>
                <c:pt idx="112">
                  <c:v>0.26703910614525139</c:v>
                </c:pt>
                <c:pt idx="113">
                  <c:v>0.26629834254143647</c:v>
                </c:pt>
                <c:pt idx="114">
                  <c:v>0.26361655773420478</c:v>
                </c:pt>
                <c:pt idx="115">
                  <c:v>0.26400862068965519</c:v>
                </c:pt>
                <c:pt idx="116">
                  <c:v>0.26545842217484006</c:v>
                </c:pt>
                <c:pt idx="117">
                  <c:v>0.26427061310782241</c:v>
                </c:pt>
                <c:pt idx="118">
                  <c:v>0.26652675760755506</c:v>
                </c:pt>
                <c:pt idx="119">
                  <c:v>0.26763485477178423</c:v>
                </c:pt>
                <c:pt idx="120">
                  <c:v>0.26871794871794874</c:v>
                </c:pt>
                <c:pt idx="121">
                  <c:v>0.26802030456852793</c:v>
                </c:pt>
                <c:pt idx="122">
                  <c:v>0.26915322580645162</c:v>
                </c:pt>
                <c:pt idx="123">
                  <c:v>0.27045908183632733</c:v>
                </c:pt>
                <c:pt idx="124">
                  <c:v>0.26831683168316833</c:v>
                </c:pt>
                <c:pt idx="125">
                  <c:v>0.26771653543307089</c:v>
                </c:pt>
                <c:pt idx="126">
                  <c:v>0.26653696498054474</c:v>
                </c:pt>
                <c:pt idx="127">
                  <c:v>0.2673745173745174</c:v>
                </c:pt>
                <c:pt idx="128">
                  <c:v>0.26532567049808431</c:v>
                </c:pt>
                <c:pt idx="129">
                  <c:v>0.26476190476190475</c:v>
                </c:pt>
                <c:pt idx="130">
                  <c:v>0.26628895184135976</c:v>
                </c:pt>
                <c:pt idx="131">
                  <c:v>0.26610644257703081</c:v>
                </c:pt>
                <c:pt idx="132">
                  <c:v>0.26413345690454126</c:v>
                </c:pt>
                <c:pt idx="133">
                  <c:v>0.26427255985267034</c:v>
                </c:pt>
                <c:pt idx="134">
                  <c:v>0.26465201465201466</c:v>
                </c:pt>
                <c:pt idx="135">
                  <c:v>0.26363636363636361</c:v>
                </c:pt>
                <c:pt idx="136">
                  <c:v>0.26353790613718414</c:v>
                </c:pt>
                <c:pt idx="137">
                  <c:v>0.26457399103139012</c:v>
                </c:pt>
                <c:pt idx="138">
                  <c:v>0.26357969723953695</c:v>
                </c:pt>
                <c:pt idx="139">
                  <c:v>0.2625994694960212</c:v>
                </c:pt>
                <c:pt idx="140">
                  <c:v>0.26213592233009708</c:v>
                </c:pt>
                <c:pt idx="141">
                  <c:v>0.26315789473684209</c:v>
                </c:pt>
                <c:pt idx="142">
                  <c:v>0.26041666666666669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35361622631438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まっつん2!$M$3:$M$145</c:f>
              <c:numCache>
                <c:formatCode>0.0%</c:formatCode>
                <c:ptCount val="143"/>
                <c:pt idx="1">
                  <c:v>0.27272727272727271</c:v>
                </c:pt>
                <c:pt idx="2">
                  <c:v>0.18181818181818182</c:v>
                </c:pt>
                <c:pt idx="3">
                  <c:v>0.15151515151515152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  <c:pt idx="13">
                  <c:v>0.22764227642276422</c:v>
                </c:pt>
                <c:pt idx="14">
                  <c:v>0.23664122137404581</c:v>
                </c:pt>
                <c:pt idx="15">
                  <c:v>0.2446043165467626</c:v>
                </c:pt>
                <c:pt idx="16">
                  <c:v>0.2413793103448276</c:v>
                </c:pt>
                <c:pt idx="17">
                  <c:v>0.24342105263157895</c:v>
                </c:pt>
                <c:pt idx="18">
                  <c:v>0.25</c:v>
                </c:pt>
                <c:pt idx="19">
                  <c:v>0.26136363636363635</c:v>
                </c:pt>
                <c:pt idx="20">
                  <c:v>0.25683060109289618</c:v>
                </c:pt>
                <c:pt idx="21">
                  <c:v>0.25654450261780104</c:v>
                </c:pt>
                <c:pt idx="22">
                  <c:v>0.25757575757575757</c:v>
                </c:pt>
                <c:pt idx="23">
                  <c:v>0.25853658536585367</c:v>
                </c:pt>
                <c:pt idx="24">
                  <c:v>0.26291079812206575</c:v>
                </c:pt>
                <c:pt idx="25">
                  <c:v>0.26244343891402716</c:v>
                </c:pt>
                <c:pt idx="26">
                  <c:v>0.25877192982456143</c:v>
                </c:pt>
                <c:pt idx="27">
                  <c:v>0.25974025974025972</c:v>
                </c:pt>
                <c:pt idx="28">
                  <c:v>0.25630252100840334</c:v>
                </c:pt>
                <c:pt idx="29">
                  <c:v>0.25925925925925924</c:v>
                </c:pt>
                <c:pt idx="30">
                  <c:v>0.25910931174089069</c:v>
                </c:pt>
                <c:pt idx="31">
                  <c:v>0.27131782945736432</c:v>
                </c:pt>
                <c:pt idx="32">
                  <c:v>0.28136882129277568</c:v>
                </c:pt>
                <c:pt idx="33">
                  <c:v>0.28413284132841327</c:v>
                </c:pt>
                <c:pt idx="34">
                  <c:v>0.29136690647482016</c:v>
                </c:pt>
                <c:pt idx="35">
                  <c:v>0.2937062937062937</c:v>
                </c:pt>
                <c:pt idx="36">
                  <c:v>0.28767123287671231</c:v>
                </c:pt>
                <c:pt idx="37">
                  <c:v>0.28382838283828382</c:v>
                </c:pt>
                <c:pt idx="38">
                  <c:v>0.27795527156549521</c:v>
                </c:pt>
                <c:pt idx="39">
                  <c:v>0.27500000000000002</c:v>
                </c:pt>
                <c:pt idx="40">
                  <c:v>0.27217125382262997</c:v>
                </c:pt>
                <c:pt idx="41">
                  <c:v>0.26946107784431139</c:v>
                </c:pt>
                <c:pt idx="42">
                  <c:v>0.26822157434402333</c:v>
                </c:pt>
                <c:pt idx="43">
                  <c:v>0.26285714285714284</c:v>
                </c:pt>
                <c:pt idx="44">
                  <c:v>0.25915492957746478</c:v>
                </c:pt>
                <c:pt idx="45">
                  <c:v>0.25683060109289618</c:v>
                </c:pt>
                <c:pt idx="46">
                  <c:v>0.2587601078167116</c:v>
                </c:pt>
                <c:pt idx="47">
                  <c:v>0.25647668393782386</c:v>
                </c:pt>
                <c:pt idx="48">
                  <c:v>0.2544529262086514</c:v>
                </c:pt>
                <c:pt idx="49">
                  <c:v>0.255</c:v>
                </c:pt>
                <c:pt idx="50">
                  <c:v>0.25</c:v>
                </c:pt>
                <c:pt idx="51">
                  <c:v>0.25119617224880381</c:v>
                </c:pt>
                <c:pt idx="52">
                  <c:v>0.25176470588235295</c:v>
                </c:pt>
                <c:pt idx="53">
                  <c:v>0.24942263279445728</c:v>
                </c:pt>
                <c:pt idx="54">
                  <c:v>0.24601366742596811</c:v>
                </c:pt>
                <c:pt idx="55">
                  <c:v>0.24830699774266365</c:v>
                </c:pt>
                <c:pt idx="56">
                  <c:v>0.24561403508771928</c:v>
                </c:pt>
                <c:pt idx="57">
                  <c:v>0.24678111587982832</c:v>
                </c:pt>
                <c:pt idx="58">
                  <c:v>0.24789915966386555</c:v>
                </c:pt>
                <c:pt idx="59">
                  <c:v>0.2484472049689441</c:v>
                </c:pt>
                <c:pt idx="60">
                  <c:v>0.25050505050505051</c:v>
                </c:pt>
                <c:pt idx="61">
                  <c:v>0.25198412698412698</c:v>
                </c:pt>
                <c:pt idx="62">
                  <c:v>0.251953125</c:v>
                </c:pt>
                <c:pt idx="63">
                  <c:v>0.25193798449612403</c:v>
                </c:pt>
                <c:pt idx="64">
                  <c:v>0.25287356321839083</c:v>
                </c:pt>
                <c:pt idx="65">
                  <c:v>0.25235404896421848</c:v>
                </c:pt>
                <c:pt idx="66">
                  <c:v>0.25139664804469275</c:v>
                </c:pt>
                <c:pt idx="67">
                  <c:v>0.25321100917431194</c:v>
                </c:pt>
                <c:pt idx="68">
                  <c:v>0.25362318840579712</c:v>
                </c:pt>
                <c:pt idx="69">
                  <c:v>0.25223613595706618</c:v>
                </c:pt>
                <c:pt idx="70">
                  <c:v>0.25177304964539005</c:v>
                </c:pt>
                <c:pt idx="71">
                  <c:v>0.24868651488616461</c:v>
                </c:pt>
                <c:pt idx="72">
                  <c:v>0.24525043177892919</c:v>
                </c:pt>
                <c:pt idx="73">
                  <c:v>0.24615384615384617</c:v>
                </c:pt>
                <c:pt idx="74">
                  <c:v>0.24283305227655985</c:v>
                </c:pt>
                <c:pt idx="75">
                  <c:v>0.24166666666666667</c:v>
                </c:pt>
                <c:pt idx="76">
                  <c:v>0.24092409240924093</c:v>
                </c:pt>
                <c:pt idx="77">
                  <c:v>0.23824959481361427</c:v>
                </c:pt>
                <c:pt idx="78">
                  <c:v>0.23595505617977527</c:v>
                </c:pt>
                <c:pt idx="79">
                  <c:v>0.23501577287066247</c:v>
                </c:pt>
                <c:pt idx="80">
                  <c:v>0.23630672926447574</c:v>
                </c:pt>
                <c:pt idx="81">
                  <c:v>0.23529411764705882</c:v>
                </c:pt>
                <c:pt idx="82">
                  <c:v>0.23547400611620795</c:v>
                </c:pt>
                <c:pt idx="83">
                  <c:v>0.2329803328290469</c:v>
                </c:pt>
                <c:pt idx="84">
                  <c:v>0.23088455772113944</c:v>
                </c:pt>
                <c:pt idx="85">
                  <c:v>0.2314540059347181</c:v>
                </c:pt>
                <c:pt idx="86">
                  <c:v>0.22986822840409957</c:v>
                </c:pt>
                <c:pt idx="87">
                  <c:v>0.22898550724637681</c:v>
                </c:pt>
                <c:pt idx="88">
                  <c:v>0.22759601706970128</c:v>
                </c:pt>
                <c:pt idx="89">
                  <c:v>0.22346368715083798</c:v>
                </c:pt>
                <c:pt idx="90">
                  <c:v>0.22160664819944598</c:v>
                </c:pt>
                <c:pt idx="91">
                  <c:v>0.22115384615384615</c:v>
                </c:pt>
                <c:pt idx="92">
                  <c:v>0.22040816326530613</c:v>
                </c:pt>
                <c:pt idx="93">
                  <c:v>0.21938088829071331</c:v>
                </c:pt>
                <c:pt idx="94">
                  <c:v>0.21970705725699069</c:v>
                </c:pt>
                <c:pt idx="95">
                  <c:v>0.21883289124668434</c:v>
                </c:pt>
                <c:pt idx="96">
                  <c:v>0.21944809461235218</c:v>
                </c:pt>
                <c:pt idx="97">
                  <c:v>0.21789883268482491</c:v>
                </c:pt>
                <c:pt idx="98">
                  <c:v>0.22023047375160051</c:v>
                </c:pt>
                <c:pt idx="99">
                  <c:v>0.2196969696969697</c:v>
                </c:pt>
                <c:pt idx="100">
                  <c:v>0.22097378277153559</c:v>
                </c:pt>
                <c:pt idx="101">
                  <c:v>0.21975308641975308</c:v>
                </c:pt>
                <c:pt idx="102">
                  <c:v>0.21787025703794369</c:v>
                </c:pt>
                <c:pt idx="103">
                  <c:v>0.21833534378769601</c:v>
                </c:pt>
                <c:pt idx="104">
                  <c:v>0.21770334928229665</c:v>
                </c:pt>
                <c:pt idx="105">
                  <c:v>0.21631205673758866</c:v>
                </c:pt>
                <c:pt idx="106">
                  <c:v>0.21504112808460635</c:v>
                </c:pt>
                <c:pt idx="107">
                  <c:v>0.21678321678321677</c:v>
                </c:pt>
                <c:pt idx="108">
                  <c:v>0.21658986175115208</c:v>
                </c:pt>
                <c:pt idx="109">
                  <c:v>0.216</c:v>
                </c:pt>
                <c:pt idx="110">
                  <c:v>0.21793416572077184</c:v>
                </c:pt>
                <c:pt idx="111">
                  <c:v>0.21934758155230596</c:v>
                </c:pt>
                <c:pt idx="112">
                  <c:v>0.2212290502793296</c:v>
                </c:pt>
                <c:pt idx="113">
                  <c:v>0.22209944751381216</c:v>
                </c:pt>
                <c:pt idx="114">
                  <c:v>0.22222222222222221</c:v>
                </c:pt>
                <c:pt idx="115">
                  <c:v>0.22306034482758622</c:v>
                </c:pt>
                <c:pt idx="116">
                  <c:v>0.22388059701492538</c:v>
                </c:pt>
                <c:pt idx="117">
                  <c:v>0.22410147991543342</c:v>
                </c:pt>
                <c:pt idx="118">
                  <c:v>0.22350472193074503</c:v>
                </c:pt>
                <c:pt idx="119">
                  <c:v>0.22095435684647302</c:v>
                </c:pt>
                <c:pt idx="120">
                  <c:v>0.2194871794871795</c:v>
                </c:pt>
                <c:pt idx="121">
                  <c:v>0.22030456852791877</c:v>
                </c:pt>
                <c:pt idx="122">
                  <c:v>0.22076612903225806</c:v>
                </c:pt>
                <c:pt idx="123">
                  <c:v>0.21956087824351297</c:v>
                </c:pt>
                <c:pt idx="124">
                  <c:v>0.22079207920792079</c:v>
                </c:pt>
                <c:pt idx="125">
                  <c:v>0.22244094488188976</c:v>
                </c:pt>
                <c:pt idx="126">
                  <c:v>0.2227626459143969</c:v>
                </c:pt>
                <c:pt idx="127">
                  <c:v>0.22200772200772201</c:v>
                </c:pt>
                <c:pt idx="128">
                  <c:v>0.22318007662835249</c:v>
                </c:pt>
                <c:pt idx="129">
                  <c:v>0.22476190476190477</c:v>
                </c:pt>
                <c:pt idx="130">
                  <c:v>0.22379603399433429</c:v>
                </c:pt>
                <c:pt idx="131">
                  <c:v>0.2250233426704015</c:v>
                </c:pt>
                <c:pt idx="132">
                  <c:v>0.22613531047265986</c:v>
                </c:pt>
                <c:pt idx="133">
                  <c:v>0.22559852670349909</c:v>
                </c:pt>
                <c:pt idx="134">
                  <c:v>0.2271062271062271</c:v>
                </c:pt>
                <c:pt idx="135">
                  <c:v>0.22818181818181818</c:v>
                </c:pt>
                <c:pt idx="136">
                  <c:v>0.23104693140794225</c:v>
                </c:pt>
                <c:pt idx="137">
                  <c:v>0.23139013452914797</c:v>
                </c:pt>
                <c:pt idx="138">
                  <c:v>0.23063223508459482</c:v>
                </c:pt>
                <c:pt idx="139">
                  <c:v>0.23076923076923078</c:v>
                </c:pt>
                <c:pt idx="140">
                  <c:v>0.23036187113857018</c:v>
                </c:pt>
                <c:pt idx="141">
                  <c:v>0.22982456140350876</c:v>
                </c:pt>
                <c:pt idx="142">
                  <c:v>0.23177083333333334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385108086469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まっつん2!$N$3:$N$145</c:f>
              <c:numCache>
                <c:formatCode>0.0%</c:formatCode>
                <c:ptCount val="143"/>
                <c:pt idx="1">
                  <c:v>1</c:v>
                </c:pt>
                <c:pt idx="2">
                  <c:v>0.5</c:v>
                </c:pt>
                <c:pt idx="3">
                  <c:v>0.75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  <c:pt idx="13">
                  <c:v>0.56000000000000005</c:v>
                </c:pt>
                <c:pt idx="14">
                  <c:v>0.5714285714285714</c:v>
                </c:pt>
                <c:pt idx="15">
                  <c:v>0.5161290322580645</c:v>
                </c:pt>
                <c:pt idx="16">
                  <c:v>0.45714285714285713</c:v>
                </c:pt>
                <c:pt idx="17">
                  <c:v>0.47368421052631576</c:v>
                </c:pt>
                <c:pt idx="18">
                  <c:v>0.47619047619047616</c:v>
                </c:pt>
                <c:pt idx="19">
                  <c:v>0.48888888888888887</c:v>
                </c:pt>
                <c:pt idx="20">
                  <c:v>0.47916666666666669</c:v>
                </c:pt>
                <c:pt idx="21">
                  <c:v>0.46938775510204084</c:v>
                </c:pt>
                <c:pt idx="22">
                  <c:v>0.46153846153846156</c:v>
                </c:pt>
                <c:pt idx="23">
                  <c:v>0.45454545454545453</c:v>
                </c:pt>
                <c:pt idx="24">
                  <c:v>0.45454545454545453</c:v>
                </c:pt>
                <c:pt idx="25">
                  <c:v>0.4642857142857143</c:v>
                </c:pt>
                <c:pt idx="26">
                  <c:v>0.48275862068965519</c:v>
                </c:pt>
                <c:pt idx="27">
                  <c:v>0.48275862068965519</c:v>
                </c:pt>
                <c:pt idx="28">
                  <c:v>0.5</c:v>
                </c:pt>
                <c:pt idx="29">
                  <c:v>0.49206349206349204</c:v>
                </c:pt>
                <c:pt idx="30">
                  <c:v>0.49206349206349204</c:v>
                </c:pt>
                <c:pt idx="31">
                  <c:v>0.50769230769230766</c:v>
                </c:pt>
                <c:pt idx="32">
                  <c:v>0.51515151515151514</c:v>
                </c:pt>
                <c:pt idx="33">
                  <c:v>0.5074626865671642</c:v>
                </c:pt>
                <c:pt idx="34">
                  <c:v>0.5074626865671642</c:v>
                </c:pt>
                <c:pt idx="35">
                  <c:v>0.5074626865671642</c:v>
                </c:pt>
                <c:pt idx="36">
                  <c:v>0.52173913043478259</c:v>
                </c:pt>
                <c:pt idx="37">
                  <c:v>0.54794520547945202</c:v>
                </c:pt>
                <c:pt idx="38">
                  <c:v>0.53246753246753242</c:v>
                </c:pt>
                <c:pt idx="39">
                  <c:v>0.52564102564102566</c:v>
                </c:pt>
                <c:pt idx="40">
                  <c:v>0.53749999999999998</c:v>
                </c:pt>
                <c:pt idx="41">
                  <c:v>0.54216867469879515</c:v>
                </c:pt>
                <c:pt idx="42">
                  <c:v>0.55813953488372092</c:v>
                </c:pt>
                <c:pt idx="43">
                  <c:v>0.55555555555555558</c:v>
                </c:pt>
                <c:pt idx="44">
                  <c:v>0.56989247311827962</c:v>
                </c:pt>
                <c:pt idx="45">
                  <c:v>0.57446808510638303</c:v>
                </c:pt>
                <c:pt idx="46">
                  <c:v>0.57446808510638303</c:v>
                </c:pt>
                <c:pt idx="47">
                  <c:v>0.57731958762886593</c:v>
                </c:pt>
                <c:pt idx="48">
                  <c:v>0.58585858585858586</c:v>
                </c:pt>
                <c:pt idx="49">
                  <c:v>0.59405940594059403</c:v>
                </c:pt>
                <c:pt idx="50">
                  <c:v>0.59223300970873782</c:v>
                </c:pt>
                <c:pt idx="51">
                  <c:v>0.58490566037735847</c:v>
                </c:pt>
                <c:pt idx="52">
                  <c:v>0.59259259259259256</c:v>
                </c:pt>
                <c:pt idx="53">
                  <c:v>0.5855855855855856</c:v>
                </c:pt>
                <c:pt idx="54">
                  <c:v>0.58407079646017701</c:v>
                </c:pt>
                <c:pt idx="55">
                  <c:v>0.58771929824561409</c:v>
                </c:pt>
                <c:pt idx="56">
                  <c:v>0.5714285714285714</c:v>
                </c:pt>
                <c:pt idx="57">
                  <c:v>0.57499999999999996</c:v>
                </c:pt>
                <c:pt idx="58">
                  <c:v>0.57851239669421484</c:v>
                </c:pt>
                <c:pt idx="59">
                  <c:v>0.58536585365853655</c:v>
                </c:pt>
                <c:pt idx="60">
                  <c:v>0.57936507936507942</c:v>
                </c:pt>
                <c:pt idx="61">
                  <c:v>0.5736434108527132</c:v>
                </c:pt>
                <c:pt idx="62">
                  <c:v>0.58015267175572516</c:v>
                </c:pt>
                <c:pt idx="63">
                  <c:v>0.58333333333333337</c:v>
                </c:pt>
                <c:pt idx="64">
                  <c:v>0.5864661654135338</c:v>
                </c:pt>
                <c:pt idx="65">
                  <c:v>0.58208955223880599</c:v>
                </c:pt>
                <c:pt idx="66">
                  <c:v>0.58518518518518514</c:v>
                </c:pt>
                <c:pt idx="67">
                  <c:v>0.58273381294964033</c:v>
                </c:pt>
                <c:pt idx="68">
                  <c:v>0.57857142857142863</c:v>
                </c:pt>
                <c:pt idx="69">
                  <c:v>0.57446808510638303</c:v>
                </c:pt>
                <c:pt idx="70">
                  <c:v>0.57342657342657344</c:v>
                </c:pt>
                <c:pt idx="71">
                  <c:v>0.57342657342657344</c:v>
                </c:pt>
                <c:pt idx="72">
                  <c:v>0.57241379310344831</c:v>
                </c:pt>
                <c:pt idx="73">
                  <c:v>0.57534246575342463</c:v>
                </c:pt>
                <c:pt idx="74">
                  <c:v>0.57718120805369133</c:v>
                </c:pt>
                <c:pt idx="75">
                  <c:v>0.5714285714285714</c:v>
                </c:pt>
                <c:pt idx="76">
                  <c:v>0.5741935483870968</c:v>
                </c:pt>
                <c:pt idx="77">
                  <c:v>0.57051282051282048</c:v>
                </c:pt>
                <c:pt idx="78">
                  <c:v>0.57051282051282048</c:v>
                </c:pt>
                <c:pt idx="79">
                  <c:v>0.55974842767295596</c:v>
                </c:pt>
                <c:pt idx="80">
                  <c:v>0.5625</c:v>
                </c:pt>
                <c:pt idx="81">
                  <c:v>0.56707317073170727</c:v>
                </c:pt>
                <c:pt idx="82">
                  <c:v>0.5696969696969697</c:v>
                </c:pt>
                <c:pt idx="83">
                  <c:v>0.56287425149700598</c:v>
                </c:pt>
                <c:pt idx="84">
                  <c:v>0.56804733727810652</c:v>
                </c:pt>
                <c:pt idx="85">
                  <c:v>0.56140350877192979</c:v>
                </c:pt>
                <c:pt idx="86">
                  <c:v>0.55681818181818177</c:v>
                </c:pt>
                <c:pt idx="87">
                  <c:v>0.56111111111111112</c:v>
                </c:pt>
                <c:pt idx="88">
                  <c:v>0.56216216216216219</c:v>
                </c:pt>
                <c:pt idx="89">
                  <c:v>0.56084656084656082</c:v>
                </c:pt>
                <c:pt idx="90">
                  <c:v>0.56770833333333337</c:v>
                </c:pt>
                <c:pt idx="91">
                  <c:v>0.57216494845360821</c:v>
                </c:pt>
                <c:pt idx="92">
                  <c:v>0.57653061224489799</c:v>
                </c:pt>
                <c:pt idx="93">
                  <c:v>0.58208955223880599</c:v>
                </c:pt>
                <c:pt idx="94">
                  <c:v>0.58128078817733986</c:v>
                </c:pt>
                <c:pt idx="95">
                  <c:v>0.58333333333333337</c:v>
                </c:pt>
                <c:pt idx="96">
                  <c:v>0.58536585365853655</c:v>
                </c:pt>
                <c:pt idx="97">
                  <c:v>0.57971014492753625</c:v>
                </c:pt>
                <c:pt idx="98">
                  <c:v>0.58173076923076927</c:v>
                </c:pt>
                <c:pt idx="99">
                  <c:v>0.57075471698113212</c:v>
                </c:pt>
                <c:pt idx="100">
                  <c:v>0.57009345794392519</c:v>
                </c:pt>
                <c:pt idx="101">
                  <c:v>0.57603686635944695</c:v>
                </c:pt>
                <c:pt idx="102">
                  <c:v>0.57466063348416285</c:v>
                </c:pt>
                <c:pt idx="103">
                  <c:v>0.5758928571428571</c:v>
                </c:pt>
                <c:pt idx="104">
                  <c:v>0.58333333333333337</c:v>
                </c:pt>
                <c:pt idx="105">
                  <c:v>0.58008658008658009</c:v>
                </c:pt>
                <c:pt idx="106">
                  <c:v>0.57510729613733902</c:v>
                </c:pt>
                <c:pt idx="107">
                  <c:v>0.57692307692307687</c:v>
                </c:pt>
                <c:pt idx="108">
                  <c:v>0.5787234042553191</c:v>
                </c:pt>
                <c:pt idx="109">
                  <c:v>0.57805907172995785</c:v>
                </c:pt>
                <c:pt idx="110">
                  <c:v>0.57805907172995785</c:v>
                </c:pt>
                <c:pt idx="111">
                  <c:v>0.57740585774058573</c:v>
                </c:pt>
                <c:pt idx="112">
                  <c:v>0.57740585774058573</c:v>
                </c:pt>
                <c:pt idx="113">
                  <c:v>0.57676348547717837</c:v>
                </c:pt>
                <c:pt idx="114">
                  <c:v>0.57438016528925617</c:v>
                </c:pt>
                <c:pt idx="115">
                  <c:v>0.56734693877551023</c:v>
                </c:pt>
                <c:pt idx="116">
                  <c:v>0.56224899598393574</c:v>
                </c:pt>
                <c:pt idx="117">
                  <c:v>0.56399999999999995</c:v>
                </c:pt>
                <c:pt idx="118">
                  <c:v>0.56692913385826771</c:v>
                </c:pt>
                <c:pt idx="119">
                  <c:v>0.56589147286821706</c:v>
                </c:pt>
                <c:pt idx="120">
                  <c:v>0.56106870229007633</c:v>
                </c:pt>
                <c:pt idx="121">
                  <c:v>0.56060606060606055</c:v>
                </c:pt>
                <c:pt idx="122">
                  <c:v>0.55805243445692887</c:v>
                </c:pt>
                <c:pt idx="123">
                  <c:v>0.54981549815498154</c:v>
                </c:pt>
                <c:pt idx="124">
                  <c:v>0.54981549815498154</c:v>
                </c:pt>
                <c:pt idx="125">
                  <c:v>0.54779411764705888</c:v>
                </c:pt>
                <c:pt idx="126">
                  <c:v>0.54744525547445255</c:v>
                </c:pt>
                <c:pt idx="127">
                  <c:v>0.54512635379061369</c:v>
                </c:pt>
                <c:pt idx="128">
                  <c:v>0.54512635379061369</c:v>
                </c:pt>
                <c:pt idx="129">
                  <c:v>0.5467625899280576</c:v>
                </c:pt>
                <c:pt idx="130">
                  <c:v>0.54609929078014185</c:v>
                </c:pt>
                <c:pt idx="131">
                  <c:v>0.54736842105263162</c:v>
                </c:pt>
                <c:pt idx="132">
                  <c:v>0.54736842105263162</c:v>
                </c:pt>
                <c:pt idx="133">
                  <c:v>0.54703832752613235</c:v>
                </c:pt>
                <c:pt idx="134">
                  <c:v>0.55017301038062283</c:v>
                </c:pt>
                <c:pt idx="135">
                  <c:v>0.5482758620689655</c:v>
                </c:pt>
                <c:pt idx="136">
                  <c:v>0.54794520547945202</c:v>
                </c:pt>
                <c:pt idx="137">
                  <c:v>0.54915254237288136</c:v>
                </c:pt>
                <c:pt idx="138">
                  <c:v>0.55067567567567566</c:v>
                </c:pt>
                <c:pt idx="139">
                  <c:v>0.55218855218855223</c:v>
                </c:pt>
                <c:pt idx="140">
                  <c:v>0.55218855218855223</c:v>
                </c:pt>
                <c:pt idx="141">
                  <c:v>0.55333333333333334</c:v>
                </c:pt>
                <c:pt idx="142">
                  <c:v>0.55333333333333334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0526315789473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まっつん2!$O$3:$O$145</c:f>
              <c:numCache>
                <c:formatCode>0.0%</c:formatCode>
                <c:ptCount val="143"/>
                <c:pt idx="1">
                  <c:v>1</c:v>
                </c:pt>
                <c:pt idx="2">
                  <c:v>0.75</c:v>
                </c:pt>
                <c:pt idx="3">
                  <c:v>0.8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  <c:pt idx="13">
                  <c:v>0.4642857142857143</c:v>
                </c:pt>
                <c:pt idx="14">
                  <c:v>0.5161290322580645</c:v>
                </c:pt>
                <c:pt idx="15">
                  <c:v>0.52941176470588236</c:v>
                </c:pt>
                <c:pt idx="16">
                  <c:v>0.54285714285714282</c:v>
                </c:pt>
                <c:pt idx="17">
                  <c:v>0.54054054054054057</c:v>
                </c:pt>
                <c:pt idx="18">
                  <c:v>0.52380952380952384</c:v>
                </c:pt>
                <c:pt idx="19">
                  <c:v>0.5</c:v>
                </c:pt>
                <c:pt idx="20">
                  <c:v>0.48936170212765956</c:v>
                </c:pt>
                <c:pt idx="21">
                  <c:v>0.46938775510204084</c:v>
                </c:pt>
                <c:pt idx="22">
                  <c:v>0.47058823529411764</c:v>
                </c:pt>
                <c:pt idx="23">
                  <c:v>0.47169811320754718</c:v>
                </c:pt>
                <c:pt idx="24">
                  <c:v>0.4642857142857143</c:v>
                </c:pt>
                <c:pt idx="25">
                  <c:v>0.44827586206896552</c:v>
                </c:pt>
                <c:pt idx="26">
                  <c:v>0.44067796610169491</c:v>
                </c:pt>
                <c:pt idx="27">
                  <c:v>0.43333333333333335</c:v>
                </c:pt>
                <c:pt idx="28">
                  <c:v>0.42622950819672129</c:v>
                </c:pt>
                <c:pt idx="29">
                  <c:v>0.41269841269841268</c:v>
                </c:pt>
                <c:pt idx="30">
                  <c:v>0.40625</c:v>
                </c:pt>
                <c:pt idx="31">
                  <c:v>0.4</c:v>
                </c:pt>
                <c:pt idx="32">
                  <c:v>0.40540540540540543</c:v>
                </c:pt>
                <c:pt idx="33">
                  <c:v>0.38961038961038963</c:v>
                </c:pt>
                <c:pt idx="34">
                  <c:v>0.39506172839506171</c:v>
                </c:pt>
                <c:pt idx="35">
                  <c:v>0.40476190476190477</c:v>
                </c:pt>
                <c:pt idx="36">
                  <c:v>0.40476190476190477</c:v>
                </c:pt>
                <c:pt idx="37">
                  <c:v>0.39534883720930231</c:v>
                </c:pt>
                <c:pt idx="38">
                  <c:v>0.39080459770114945</c:v>
                </c:pt>
                <c:pt idx="39">
                  <c:v>0.38636363636363635</c:v>
                </c:pt>
                <c:pt idx="40">
                  <c:v>0.38202247191011235</c:v>
                </c:pt>
                <c:pt idx="41">
                  <c:v>0.3888888888888889</c:v>
                </c:pt>
                <c:pt idx="42">
                  <c:v>0.39130434782608697</c:v>
                </c:pt>
                <c:pt idx="43">
                  <c:v>0.39130434782608697</c:v>
                </c:pt>
                <c:pt idx="44">
                  <c:v>0.39130434782608697</c:v>
                </c:pt>
                <c:pt idx="45">
                  <c:v>0.39361702127659576</c:v>
                </c:pt>
                <c:pt idx="46">
                  <c:v>0.38541666666666669</c:v>
                </c:pt>
                <c:pt idx="47">
                  <c:v>0.39393939393939392</c:v>
                </c:pt>
                <c:pt idx="48">
                  <c:v>0.4</c:v>
                </c:pt>
                <c:pt idx="49">
                  <c:v>0.39215686274509803</c:v>
                </c:pt>
                <c:pt idx="50">
                  <c:v>0.39215686274509803</c:v>
                </c:pt>
                <c:pt idx="51">
                  <c:v>0.38095238095238093</c:v>
                </c:pt>
                <c:pt idx="52">
                  <c:v>0.38317757009345793</c:v>
                </c:pt>
                <c:pt idx="53">
                  <c:v>0.3888888888888889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0.40869565217391307</c:v>
                </c:pt>
                <c:pt idx="58">
                  <c:v>0.4152542372881356</c:v>
                </c:pt>
                <c:pt idx="59">
                  <c:v>0.42499999999999999</c:v>
                </c:pt>
                <c:pt idx="60">
                  <c:v>0.41935483870967744</c:v>
                </c:pt>
                <c:pt idx="61">
                  <c:v>0.41732283464566927</c:v>
                </c:pt>
                <c:pt idx="62">
                  <c:v>0.41085271317829458</c:v>
                </c:pt>
                <c:pt idx="63">
                  <c:v>0.41538461538461541</c:v>
                </c:pt>
                <c:pt idx="64">
                  <c:v>0.40909090909090912</c:v>
                </c:pt>
                <c:pt idx="65">
                  <c:v>0.41044776119402987</c:v>
                </c:pt>
                <c:pt idx="66">
                  <c:v>0.40740740740740738</c:v>
                </c:pt>
                <c:pt idx="67">
                  <c:v>0.40579710144927539</c:v>
                </c:pt>
                <c:pt idx="68">
                  <c:v>0.4</c:v>
                </c:pt>
                <c:pt idx="69">
                  <c:v>0.40425531914893614</c:v>
                </c:pt>
                <c:pt idx="70">
                  <c:v>0.40845070422535212</c:v>
                </c:pt>
                <c:pt idx="71">
                  <c:v>0.40845070422535212</c:v>
                </c:pt>
                <c:pt idx="72">
                  <c:v>0.40845070422535212</c:v>
                </c:pt>
                <c:pt idx="73">
                  <c:v>0.40277777777777779</c:v>
                </c:pt>
                <c:pt idx="74">
                  <c:v>0.40277777777777779</c:v>
                </c:pt>
                <c:pt idx="75">
                  <c:v>0.4</c:v>
                </c:pt>
                <c:pt idx="76">
                  <c:v>0.4041095890410959</c:v>
                </c:pt>
                <c:pt idx="77">
                  <c:v>0.40136054421768708</c:v>
                </c:pt>
                <c:pt idx="78">
                  <c:v>0.40136054421768708</c:v>
                </c:pt>
                <c:pt idx="79">
                  <c:v>0.40268456375838924</c:v>
                </c:pt>
                <c:pt idx="80">
                  <c:v>0.40397350993377484</c:v>
                </c:pt>
                <c:pt idx="81">
                  <c:v>0.40789473684210525</c:v>
                </c:pt>
                <c:pt idx="82">
                  <c:v>0.40909090909090912</c:v>
                </c:pt>
                <c:pt idx="83">
                  <c:v>0.40909090909090912</c:v>
                </c:pt>
                <c:pt idx="84">
                  <c:v>0.40909090909090912</c:v>
                </c:pt>
                <c:pt idx="85">
                  <c:v>0.41025641025641024</c:v>
                </c:pt>
                <c:pt idx="86">
                  <c:v>0.4140127388535032</c:v>
                </c:pt>
                <c:pt idx="87">
                  <c:v>0.41139240506329117</c:v>
                </c:pt>
                <c:pt idx="88">
                  <c:v>0.41249999999999998</c:v>
                </c:pt>
                <c:pt idx="89">
                  <c:v>0.41249999999999998</c:v>
                </c:pt>
                <c:pt idx="90">
                  <c:v>0.41249999999999998</c:v>
                </c:pt>
                <c:pt idx="91">
                  <c:v>0.40993788819875776</c:v>
                </c:pt>
                <c:pt idx="92">
                  <c:v>0.41358024691358025</c:v>
                </c:pt>
                <c:pt idx="93">
                  <c:v>0.41717791411042943</c:v>
                </c:pt>
                <c:pt idx="94">
                  <c:v>0.41212121212121211</c:v>
                </c:pt>
                <c:pt idx="95">
                  <c:v>0.41212121212121211</c:v>
                </c:pt>
                <c:pt idx="96">
                  <c:v>0.41317365269461076</c:v>
                </c:pt>
                <c:pt idx="97">
                  <c:v>0.4107142857142857</c:v>
                </c:pt>
                <c:pt idx="98">
                  <c:v>0.41860465116279072</c:v>
                </c:pt>
                <c:pt idx="99">
                  <c:v>0.42528735632183906</c:v>
                </c:pt>
                <c:pt idx="100">
                  <c:v>0.42372881355932202</c:v>
                </c:pt>
                <c:pt idx="101">
                  <c:v>0.42696629213483145</c:v>
                </c:pt>
                <c:pt idx="102">
                  <c:v>0.42696629213483145</c:v>
                </c:pt>
                <c:pt idx="103">
                  <c:v>0.43093922651933703</c:v>
                </c:pt>
                <c:pt idx="104">
                  <c:v>0.43406593406593408</c:v>
                </c:pt>
                <c:pt idx="105">
                  <c:v>0.43169398907103823</c:v>
                </c:pt>
                <c:pt idx="106">
                  <c:v>0.43169398907103823</c:v>
                </c:pt>
                <c:pt idx="107">
                  <c:v>0.43548387096774194</c:v>
                </c:pt>
                <c:pt idx="108">
                  <c:v>0.43085106382978722</c:v>
                </c:pt>
                <c:pt idx="109">
                  <c:v>0.43386243386243384</c:v>
                </c:pt>
                <c:pt idx="110">
                  <c:v>0.4375</c:v>
                </c:pt>
                <c:pt idx="111">
                  <c:v>0.43076923076923079</c:v>
                </c:pt>
                <c:pt idx="112">
                  <c:v>0.42929292929292928</c:v>
                </c:pt>
                <c:pt idx="113">
                  <c:v>0.42786069651741293</c:v>
                </c:pt>
                <c:pt idx="114">
                  <c:v>0.43627450980392157</c:v>
                </c:pt>
                <c:pt idx="115">
                  <c:v>0.43961352657004832</c:v>
                </c:pt>
                <c:pt idx="116">
                  <c:v>0.43809523809523809</c:v>
                </c:pt>
                <c:pt idx="117">
                  <c:v>0.44339622641509435</c:v>
                </c:pt>
                <c:pt idx="118">
                  <c:v>0.44131455399061031</c:v>
                </c:pt>
                <c:pt idx="119">
                  <c:v>0.44131455399061031</c:v>
                </c:pt>
                <c:pt idx="120">
                  <c:v>0.44392523364485981</c:v>
                </c:pt>
                <c:pt idx="121">
                  <c:v>0.44239631336405533</c:v>
                </c:pt>
                <c:pt idx="122">
                  <c:v>0.43835616438356162</c:v>
                </c:pt>
                <c:pt idx="123">
                  <c:v>0.43636363636363634</c:v>
                </c:pt>
                <c:pt idx="124">
                  <c:v>0.43049327354260092</c:v>
                </c:pt>
                <c:pt idx="125">
                  <c:v>0.42920353982300885</c:v>
                </c:pt>
                <c:pt idx="126">
                  <c:v>0.43231441048034935</c:v>
                </c:pt>
                <c:pt idx="127">
                  <c:v>0.43043478260869567</c:v>
                </c:pt>
                <c:pt idx="128">
                  <c:v>0.42489270386266093</c:v>
                </c:pt>
                <c:pt idx="129">
                  <c:v>0.41949152542372881</c:v>
                </c:pt>
                <c:pt idx="130">
                  <c:v>0.41772151898734178</c:v>
                </c:pt>
                <c:pt idx="131">
                  <c:v>0.41078838174273857</c:v>
                </c:pt>
                <c:pt idx="132">
                  <c:v>0.41393442622950821</c:v>
                </c:pt>
                <c:pt idx="133">
                  <c:v>0.41632653061224489</c:v>
                </c:pt>
                <c:pt idx="134">
                  <c:v>0.42338709677419356</c:v>
                </c:pt>
                <c:pt idx="135">
                  <c:v>0.41832669322709165</c:v>
                </c:pt>
                <c:pt idx="136">
                  <c:v>0.42578125</c:v>
                </c:pt>
                <c:pt idx="137">
                  <c:v>0.43023255813953487</c:v>
                </c:pt>
                <c:pt idx="138">
                  <c:v>0.42857142857142855</c:v>
                </c:pt>
                <c:pt idx="139">
                  <c:v>0.42528735632183906</c:v>
                </c:pt>
                <c:pt idx="140">
                  <c:v>0.42528735632183906</c:v>
                </c:pt>
                <c:pt idx="141">
                  <c:v>0.42366412213740456</c:v>
                </c:pt>
                <c:pt idx="142">
                  <c:v>0.42322097378277151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09919261822375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まっつん2!$A$3:$A$145</c:f>
              <c:numCache>
                <c:formatCode>0\ "回"</c:formatCode>
                <c:ptCount val="1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</c:numCache>
            </c:numRef>
          </c:xVal>
          <c:yVal>
            <c:numRef>
              <c:f>まっつん2!$P$3:$P$145</c:f>
              <c:numCache>
                <c:formatCode>0.0%</c:formatCode>
                <c:ptCount val="143"/>
                <c:pt idx="1">
                  <c:v>0.25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  <c:pt idx="13">
                  <c:v>0.35483870967741937</c:v>
                </c:pt>
                <c:pt idx="14">
                  <c:v>0.3888888888888889</c:v>
                </c:pt>
                <c:pt idx="15">
                  <c:v>0.36842105263157893</c:v>
                </c:pt>
                <c:pt idx="16">
                  <c:v>0.35897435897435898</c:v>
                </c:pt>
                <c:pt idx="17">
                  <c:v>0.35714285714285715</c:v>
                </c:pt>
                <c:pt idx="18">
                  <c:v>0.36956521739130432</c:v>
                </c:pt>
                <c:pt idx="19">
                  <c:v>0.38775510204081631</c:v>
                </c:pt>
                <c:pt idx="20">
                  <c:v>0.38</c:v>
                </c:pt>
                <c:pt idx="21">
                  <c:v>0.38</c:v>
                </c:pt>
                <c:pt idx="22">
                  <c:v>0.39622641509433965</c:v>
                </c:pt>
                <c:pt idx="23">
                  <c:v>0.38181818181818183</c:v>
                </c:pt>
                <c:pt idx="24">
                  <c:v>0.375</c:v>
                </c:pt>
                <c:pt idx="25">
                  <c:v>0.37931034482758619</c:v>
                </c:pt>
                <c:pt idx="26">
                  <c:v>0.4</c:v>
                </c:pt>
                <c:pt idx="27">
                  <c:v>0.39344262295081966</c:v>
                </c:pt>
                <c:pt idx="28">
                  <c:v>0.421875</c:v>
                </c:pt>
                <c:pt idx="29">
                  <c:v>0.421875</c:v>
                </c:pt>
                <c:pt idx="30">
                  <c:v>0.41538461538461541</c:v>
                </c:pt>
                <c:pt idx="31">
                  <c:v>0.40579710144927539</c:v>
                </c:pt>
                <c:pt idx="32">
                  <c:v>0.40277777777777779</c:v>
                </c:pt>
                <c:pt idx="33">
                  <c:v>0.40277777777777779</c:v>
                </c:pt>
                <c:pt idx="34">
                  <c:v>0.40540540540540543</c:v>
                </c:pt>
                <c:pt idx="35">
                  <c:v>0.41558441558441561</c:v>
                </c:pt>
                <c:pt idx="36">
                  <c:v>0.42499999999999999</c:v>
                </c:pt>
                <c:pt idx="37">
                  <c:v>0.4</c:v>
                </c:pt>
                <c:pt idx="38">
                  <c:v>0.40229885057471265</c:v>
                </c:pt>
                <c:pt idx="39">
                  <c:v>0.39772727272727271</c:v>
                </c:pt>
                <c:pt idx="40">
                  <c:v>0.3888888888888889</c:v>
                </c:pt>
                <c:pt idx="41">
                  <c:v>0.39784946236559138</c:v>
                </c:pt>
                <c:pt idx="42">
                  <c:v>0.40206185567010311</c:v>
                </c:pt>
                <c:pt idx="43">
                  <c:v>0.41414141414141414</c:v>
                </c:pt>
                <c:pt idx="44">
                  <c:v>0.42156862745098039</c:v>
                </c:pt>
                <c:pt idx="45">
                  <c:v>0.41346153846153844</c:v>
                </c:pt>
                <c:pt idx="46">
                  <c:v>0.41904761904761906</c:v>
                </c:pt>
                <c:pt idx="47">
                  <c:v>0.42201834862385323</c:v>
                </c:pt>
                <c:pt idx="48">
                  <c:v>0.41964285714285715</c:v>
                </c:pt>
                <c:pt idx="49">
                  <c:v>0.42982456140350878</c:v>
                </c:pt>
                <c:pt idx="50">
                  <c:v>0.43478260869565216</c:v>
                </c:pt>
                <c:pt idx="51">
                  <c:v>0.43965517241379309</c:v>
                </c:pt>
                <c:pt idx="52">
                  <c:v>0.43697478991596639</c:v>
                </c:pt>
                <c:pt idx="53">
                  <c:v>0.4344262295081967</c:v>
                </c:pt>
                <c:pt idx="54">
                  <c:v>0.43089430894308944</c:v>
                </c:pt>
                <c:pt idx="55">
                  <c:v>0.42063492063492064</c:v>
                </c:pt>
                <c:pt idx="56">
                  <c:v>0.421875</c:v>
                </c:pt>
                <c:pt idx="57">
                  <c:v>0.41666666666666669</c:v>
                </c:pt>
                <c:pt idx="58">
                  <c:v>0.42222222222222222</c:v>
                </c:pt>
                <c:pt idx="59">
                  <c:v>0.44285714285714284</c:v>
                </c:pt>
                <c:pt idx="60">
                  <c:v>0.44055944055944057</c:v>
                </c:pt>
                <c:pt idx="61">
                  <c:v>0.43448275862068964</c:v>
                </c:pt>
                <c:pt idx="62">
                  <c:v>0.44217687074829931</c:v>
                </c:pt>
                <c:pt idx="63">
                  <c:v>0.44295302013422821</c:v>
                </c:pt>
                <c:pt idx="64">
                  <c:v>0.44370860927152317</c:v>
                </c:pt>
                <c:pt idx="65">
                  <c:v>0.44078947368421051</c:v>
                </c:pt>
                <c:pt idx="66">
                  <c:v>0.44444444444444442</c:v>
                </c:pt>
                <c:pt idx="67">
                  <c:v>0.44871794871794873</c:v>
                </c:pt>
                <c:pt idx="68">
                  <c:v>0.45222929936305734</c:v>
                </c:pt>
                <c:pt idx="69">
                  <c:v>0.44936708860759494</c:v>
                </c:pt>
                <c:pt idx="70">
                  <c:v>0.45624999999999999</c:v>
                </c:pt>
                <c:pt idx="71">
                  <c:v>0.453416149068323</c:v>
                </c:pt>
                <c:pt idx="72">
                  <c:v>0.46012269938650308</c:v>
                </c:pt>
                <c:pt idx="73">
                  <c:v>0.46341463414634149</c:v>
                </c:pt>
                <c:pt idx="74">
                  <c:v>0.44970414201183434</c:v>
                </c:pt>
                <c:pt idx="75">
                  <c:v>0.45029239766081869</c:v>
                </c:pt>
                <c:pt idx="76">
                  <c:v>0.45086705202312138</c:v>
                </c:pt>
                <c:pt idx="77">
                  <c:v>0.45086705202312138</c:v>
                </c:pt>
                <c:pt idx="78">
                  <c:v>0.45086705202312138</c:v>
                </c:pt>
                <c:pt idx="79">
                  <c:v>0.44886363636363635</c:v>
                </c:pt>
                <c:pt idx="80">
                  <c:v>0.449438202247191</c:v>
                </c:pt>
                <c:pt idx="81">
                  <c:v>0.44808743169398907</c:v>
                </c:pt>
                <c:pt idx="82">
                  <c:v>0.44864864864864867</c:v>
                </c:pt>
                <c:pt idx="83">
                  <c:v>0.44864864864864867</c:v>
                </c:pt>
                <c:pt idx="84">
                  <c:v>0.44385026737967914</c:v>
                </c:pt>
                <c:pt idx="85">
                  <c:v>0.44973544973544971</c:v>
                </c:pt>
                <c:pt idx="86">
                  <c:v>0.44791666666666669</c:v>
                </c:pt>
                <c:pt idx="87">
                  <c:v>0.44615384615384618</c:v>
                </c:pt>
                <c:pt idx="88">
                  <c:v>0.44221105527638194</c:v>
                </c:pt>
                <c:pt idx="89">
                  <c:v>0.4405940594059406</c:v>
                </c:pt>
                <c:pt idx="90">
                  <c:v>0.44878048780487806</c:v>
                </c:pt>
                <c:pt idx="91">
                  <c:v>0.44927536231884058</c:v>
                </c:pt>
                <c:pt idx="92">
                  <c:v>0.45714285714285713</c:v>
                </c:pt>
                <c:pt idx="93">
                  <c:v>0.46046511627906977</c:v>
                </c:pt>
                <c:pt idx="94">
                  <c:v>0.45622119815668205</c:v>
                </c:pt>
                <c:pt idx="95">
                  <c:v>0.45412844036697247</c:v>
                </c:pt>
                <c:pt idx="96">
                  <c:v>0.45248868778280543</c:v>
                </c:pt>
                <c:pt idx="97">
                  <c:v>0.45495495495495497</c:v>
                </c:pt>
                <c:pt idx="98">
                  <c:v>0.44690265486725661</c:v>
                </c:pt>
                <c:pt idx="99">
                  <c:v>0.44736842105263158</c:v>
                </c:pt>
                <c:pt idx="100">
                  <c:v>0.45217391304347826</c:v>
                </c:pt>
                <c:pt idx="101">
                  <c:v>0.45299145299145299</c:v>
                </c:pt>
                <c:pt idx="102">
                  <c:v>0.45338983050847459</c:v>
                </c:pt>
                <c:pt idx="103">
                  <c:v>0.44583333333333336</c:v>
                </c:pt>
                <c:pt idx="104">
                  <c:v>0.44897959183673469</c:v>
                </c:pt>
                <c:pt idx="105">
                  <c:v>0.44715447154471544</c:v>
                </c:pt>
                <c:pt idx="106">
                  <c:v>0.44534412955465585</c:v>
                </c:pt>
                <c:pt idx="107">
                  <c:v>0.44621513944223107</c:v>
                </c:pt>
                <c:pt idx="108">
                  <c:v>0.44841269841269843</c:v>
                </c:pt>
                <c:pt idx="109">
                  <c:v>0.45098039215686275</c:v>
                </c:pt>
                <c:pt idx="110">
                  <c:v>0.44747081712062259</c:v>
                </c:pt>
                <c:pt idx="111">
                  <c:v>0.44573643410852715</c:v>
                </c:pt>
                <c:pt idx="112">
                  <c:v>0.44401544401544402</c:v>
                </c:pt>
                <c:pt idx="113">
                  <c:v>0.44827586206896552</c:v>
                </c:pt>
                <c:pt idx="114">
                  <c:v>0.44696969696969696</c:v>
                </c:pt>
                <c:pt idx="115">
                  <c:v>0.44736842105263158</c:v>
                </c:pt>
                <c:pt idx="116">
                  <c:v>0.44981412639405205</c:v>
                </c:pt>
                <c:pt idx="117">
                  <c:v>0.4485294117647059</c:v>
                </c:pt>
                <c:pt idx="118">
                  <c:v>0.44727272727272727</c:v>
                </c:pt>
                <c:pt idx="119">
                  <c:v>0.4460431654676259</c:v>
                </c:pt>
                <c:pt idx="120">
                  <c:v>0.44642857142857145</c:v>
                </c:pt>
                <c:pt idx="121">
                  <c:v>0.44680851063829785</c:v>
                </c:pt>
                <c:pt idx="122">
                  <c:v>0.44522968197879859</c:v>
                </c:pt>
                <c:pt idx="123">
                  <c:v>0.44522968197879859</c:v>
                </c:pt>
                <c:pt idx="124">
                  <c:v>0.44522968197879859</c:v>
                </c:pt>
                <c:pt idx="125">
                  <c:v>0.44718309859154931</c:v>
                </c:pt>
                <c:pt idx="126">
                  <c:v>0.44599303135888502</c:v>
                </c:pt>
                <c:pt idx="127">
                  <c:v>0.44636678200692043</c:v>
                </c:pt>
                <c:pt idx="128">
                  <c:v>0.44636678200692043</c:v>
                </c:pt>
                <c:pt idx="129">
                  <c:v>0.44827586206896552</c:v>
                </c:pt>
                <c:pt idx="130">
                  <c:v>0.4452054794520548</c:v>
                </c:pt>
                <c:pt idx="131">
                  <c:v>0.445578231292517</c:v>
                </c:pt>
                <c:pt idx="132">
                  <c:v>0.44444444444444442</c:v>
                </c:pt>
                <c:pt idx="133">
                  <c:v>0.44481605351170567</c:v>
                </c:pt>
                <c:pt idx="134">
                  <c:v>0.44407894736842107</c:v>
                </c:pt>
                <c:pt idx="135">
                  <c:v>0.44407894736842107</c:v>
                </c:pt>
                <c:pt idx="136">
                  <c:v>0.44336569579288027</c:v>
                </c:pt>
                <c:pt idx="137">
                  <c:v>0.44089456869009586</c:v>
                </c:pt>
                <c:pt idx="138">
                  <c:v>0.4426751592356688</c:v>
                </c:pt>
                <c:pt idx="139">
                  <c:v>0.44303797468354428</c:v>
                </c:pt>
                <c:pt idx="140">
                  <c:v>0.44164037854889587</c:v>
                </c:pt>
                <c:pt idx="141">
                  <c:v>0.44200626959247646</c:v>
                </c:pt>
                <c:pt idx="142">
                  <c:v>0.44409937888198758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4861928474422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93"/>
  <sheetViews>
    <sheetView workbookViewId="0"/>
  </sheetViews>
  <sheetFormatPr defaultColWidth="9" defaultRowHeight="18.75" x14ac:dyDescent="0.4"/>
  <cols>
    <col min="1" max="1" width="19.125" style="28" customWidth="1"/>
    <col min="2" max="2" width="19.1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218</v>
      </c>
      <c r="B2" s="29">
        <v>43735.624351851853</v>
      </c>
      <c r="C2" s="28" t="s">
        <v>128</v>
      </c>
      <c r="D2" s="28" t="s">
        <v>129</v>
      </c>
    </row>
    <row r="3" spans="1:12" x14ac:dyDescent="0.4">
      <c r="A3" s="28" t="s">
        <v>219</v>
      </c>
      <c r="B3" s="29">
        <v>43735.624351851853</v>
      </c>
      <c r="C3" s="28" t="s">
        <v>128</v>
      </c>
    </row>
    <row r="4" spans="1:12" x14ac:dyDescent="0.4">
      <c r="A4" s="28" t="s">
        <v>220</v>
      </c>
      <c r="B4" s="29">
        <v>43735.624351851853</v>
      </c>
      <c r="C4" s="28" t="s">
        <v>128</v>
      </c>
    </row>
    <row r="5" spans="1:12" x14ac:dyDescent="0.4">
      <c r="A5" s="28" t="s">
        <v>221</v>
      </c>
      <c r="B5" s="29">
        <v>43736.046932870369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">
      <c r="A6" s="28" t="s">
        <v>222</v>
      </c>
      <c r="B6" s="29">
        <v>43737.059895833336</v>
      </c>
      <c r="C6" s="28" t="s">
        <v>128</v>
      </c>
      <c r="D6" s="28" t="s">
        <v>129</v>
      </c>
      <c r="E6" s="28" t="s">
        <v>173</v>
      </c>
    </row>
    <row r="7" spans="1:12" x14ac:dyDescent="0.4">
      <c r="A7" s="28" t="s">
        <v>223</v>
      </c>
      <c r="B7" s="29">
        <v>43739.000706018516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224</v>
      </c>
      <c r="K7" s="28" t="s">
        <v>225</v>
      </c>
      <c r="L7" s="28" t="s">
        <v>226</v>
      </c>
    </row>
    <row r="8" spans="1:12" x14ac:dyDescent="0.4">
      <c r="A8" s="28" t="s">
        <v>227</v>
      </c>
      <c r="B8" s="29">
        <v>43741.94121527778</v>
      </c>
      <c r="C8" s="28" t="s">
        <v>128</v>
      </c>
    </row>
    <row r="9" spans="1:12" x14ac:dyDescent="0.4">
      <c r="A9" s="28" t="s">
        <v>229</v>
      </c>
      <c r="B9" s="29">
        <v>43739.660624999997</v>
      </c>
      <c r="C9" s="28" t="s">
        <v>129</v>
      </c>
      <c r="D9" s="28" t="s">
        <v>173</v>
      </c>
      <c r="E9" s="28" t="s">
        <v>128</v>
      </c>
    </row>
    <row r="10" spans="1:12" x14ac:dyDescent="0.4">
      <c r="A10" s="28" t="s">
        <v>230</v>
      </c>
      <c r="B10" s="29">
        <v>43740.021921296298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">
      <c r="A11" s="28" t="s">
        <v>231</v>
      </c>
      <c r="B11" s="29">
        <v>43741.94121527778</v>
      </c>
      <c r="C11" s="28" t="s">
        <v>128</v>
      </c>
    </row>
    <row r="12" spans="1:12" x14ac:dyDescent="0.4">
      <c r="A12" s="28" t="s">
        <v>232</v>
      </c>
      <c r="B12" s="29">
        <v>43744.941354166665</v>
      </c>
      <c r="C12" s="28" t="s">
        <v>128</v>
      </c>
      <c r="D12" s="28" t="s">
        <v>129</v>
      </c>
      <c r="E12" s="28" t="s">
        <v>173</v>
      </c>
    </row>
    <row r="13" spans="1:12" x14ac:dyDescent="0.4">
      <c r="A13" s="28" t="s">
        <v>233</v>
      </c>
      <c r="B13" s="29">
        <v>43744.941354166665</v>
      </c>
      <c r="C13" s="28" t="s">
        <v>128</v>
      </c>
      <c r="D13" s="28" t="s">
        <v>129</v>
      </c>
    </row>
    <row r="14" spans="1:12" x14ac:dyDescent="0.4">
      <c r="A14" s="28" t="s">
        <v>234</v>
      </c>
      <c r="B14" s="29">
        <v>43743.104375000003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">
      <c r="A15" s="28" t="s">
        <v>235</v>
      </c>
      <c r="B15" s="29">
        <v>43744.941354166665</v>
      </c>
      <c r="C15" s="28" t="s">
        <v>128</v>
      </c>
      <c r="D15" s="28" t="s">
        <v>129</v>
      </c>
    </row>
    <row r="16" spans="1:12" x14ac:dyDescent="0.4">
      <c r="A16" s="28" t="s">
        <v>236</v>
      </c>
      <c r="B16" s="29">
        <v>43743.786203703705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">
      <c r="A17" s="28" t="s">
        <v>237</v>
      </c>
      <c r="B17" s="29">
        <v>43745.016377314816</v>
      </c>
      <c r="C17" s="28" t="s">
        <v>128</v>
      </c>
      <c r="D17" s="28" t="s">
        <v>129</v>
      </c>
    </row>
    <row r="18" spans="1:12" x14ac:dyDescent="0.4">
      <c r="A18" s="28" t="s">
        <v>238</v>
      </c>
      <c r="B18" s="29">
        <v>43745.531828703701</v>
      </c>
      <c r="C18" s="28" t="s">
        <v>128</v>
      </c>
    </row>
    <row r="19" spans="1:12" x14ac:dyDescent="0.4">
      <c r="A19" s="28" t="s">
        <v>239</v>
      </c>
      <c r="B19" s="29">
        <v>43748.019456018519</v>
      </c>
      <c r="C19" s="28" t="s">
        <v>128</v>
      </c>
    </row>
    <row r="20" spans="1:12" x14ac:dyDescent="0.4">
      <c r="A20" s="28" t="s">
        <v>240</v>
      </c>
      <c r="B20" s="29">
        <v>43747.02511574074</v>
      </c>
      <c r="C20" s="28" t="s">
        <v>128</v>
      </c>
      <c r="D20" s="28" t="s">
        <v>129</v>
      </c>
    </row>
    <row r="21" spans="1:12" x14ac:dyDescent="0.4">
      <c r="A21" s="28" t="s">
        <v>241</v>
      </c>
      <c r="B21" s="29">
        <v>43747.024814814817</v>
      </c>
      <c r="C21" s="28" t="s">
        <v>128</v>
      </c>
    </row>
    <row r="22" spans="1:12" x14ac:dyDescent="0.4">
      <c r="A22" s="28" t="s">
        <v>242</v>
      </c>
      <c r="B22" s="29">
        <v>43748.018101851849</v>
      </c>
      <c r="C22" s="28" t="s">
        <v>128</v>
      </c>
      <c r="D22" s="28" t="s">
        <v>129</v>
      </c>
      <c r="E22" s="28" t="s">
        <v>173</v>
      </c>
    </row>
    <row r="23" spans="1:12" x14ac:dyDescent="0.4">
      <c r="A23" s="28" t="s">
        <v>243</v>
      </c>
      <c r="B23" s="29">
        <v>43812.011736111112</v>
      </c>
      <c r="C23" s="28" t="s">
        <v>128</v>
      </c>
    </row>
    <row r="24" spans="1:12" x14ac:dyDescent="0.4">
      <c r="A24" s="28" t="s">
        <v>244</v>
      </c>
      <c r="B24" s="29">
        <v>43750.503020833334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">
      <c r="A25" s="28" t="s">
        <v>245</v>
      </c>
      <c r="B25" s="29">
        <v>43753.56559027778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224</v>
      </c>
      <c r="K25" s="28" t="s">
        <v>225</v>
      </c>
      <c r="L25" s="28" t="s">
        <v>226</v>
      </c>
    </row>
    <row r="26" spans="1:12" x14ac:dyDescent="0.4">
      <c r="A26" s="28" t="s">
        <v>246</v>
      </c>
      <c r="B26" s="29">
        <v>43753.56559027778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">
      <c r="A27" s="28" t="s">
        <v>247</v>
      </c>
      <c r="B27" s="29">
        <v>43753.56559027778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224</v>
      </c>
      <c r="K27" s="28" t="s">
        <v>225</v>
      </c>
    </row>
    <row r="28" spans="1:12" x14ac:dyDescent="0.4">
      <c r="A28" s="28" t="s">
        <v>248</v>
      </c>
      <c r="B28" s="29">
        <v>43812.011736111112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224</v>
      </c>
      <c r="K28" s="28" t="s">
        <v>225</v>
      </c>
    </row>
    <row r="29" spans="1:12" x14ac:dyDescent="0.4">
      <c r="A29" s="28" t="s">
        <v>200</v>
      </c>
      <c r="B29" s="29">
        <v>43762.714826388888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">
      <c r="A30" s="28" t="s">
        <v>201</v>
      </c>
      <c r="B30" s="29">
        <v>43762.714826388888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">
      <c r="A31" s="28" t="s">
        <v>202</v>
      </c>
      <c r="B31" s="29">
        <v>43762.714826388888</v>
      </c>
      <c r="C31" s="28" t="s">
        <v>128</v>
      </c>
      <c r="D31" s="28" t="s">
        <v>129</v>
      </c>
      <c r="E31" s="28" t="s">
        <v>173</v>
      </c>
    </row>
    <row r="32" spans="1:12" x14ac:dyDescent="0.4">
      <c r="A32" s="28" t="s">
        <v>204</v>
      </c>
      <c r="B32" s="29">
        <v>43762.714826388888</v>
      </c>
      <c r="C32" s="28" t="s">
        <v>128</v>
      </c>
      <c r="D32" s="28" t="s">
        <v>129</v>
      </c>
      <c r="E32" s="28" t="s">
        <v>173</v>
      </c>
    </row>
    <row r="33" spans="1:9" x14ac:dyDescent="0.4">
      <c r="A33" s="28" t="s">
        <v>205</v>
      </c>
      <c r="B33" s="29">
        <v>43762.714826388888</v>
      </c>
      <c r="C33" s="28" t="s">
        <v>128</v>
      </c>
      <c r="D33" s="28" t="s">
        <v>129</v>
      </c>
      <c r="E33" s="28" t="s">
        <v>173</v>
      </c>
    </row>
    <row r="34" spans="1:9" x14ac:dyDescent="0.4">
      <c r="A34" s="28" t="s">
        <v>206</v>
      </c>
      <c r="B34" s="29">
        <v>43762.714826388888</v>
      </c>
      <c r="C34" s="28" t="s">
        <v>128</v>
      </c>
      <c r="D34" s="28" t="s">
        <v>129</v>
      </c>
      <c r="E34" s="28" t="s">
        <v>173</v>
      </c>
    </row>
    <row r="35" spans="1:9" x14ac:dyDescent="0.4">
      <c r="A35" s="28" t="s">
        <v>207</v>
      </c>
      <c r="B35" s="29">
        <v>43762.714826388888</v>
      </c>
      <c r="C35" s="28" t="s">
        <v>128</v>
      </c>
      <c r="D35" s="28" t="s">
        <v>129</v>
      </c>
      <c r="E35" s="28" t="s">
        <v>173</v>
      </c>
    </row>
    <row r="36" spans="1:9" x14ac:dyDescent="0.4">
      <c r="A36" s="28" t="s">
        <v>208</v>
      </c>
      <c r="B36" s="29">
        <v>43763.368263888886</v>
      </c>
      <c r="C36" s="28" t="s">
        <v>128</v>
      </c>
      <c r="D36" s="28" t="s">
        <v>129</v>
      </c>
    </row>
    <row r="37" spans="1:9" x14ac:dyDescent="0.4">
      <c r="A37" s="28" t="s">
        <v>209</v>
      </c>
      <c r="B37" s="29">
        <v>43763.368263888886</v>
      </c>
      <c r="C37" s="28" t="s">
        <v>128</v>
      </c>
      <c r="D37" s="28" t="s">
        <v>129</v>
      </c>
      <c r="E37" s="28" t="s">
        <v>173</v>
      </c>
    </row>
    <row r="38" spans="1:9" x14ac:dyDescent="0.4">
      <c r="A38" s="28" t="s">
        <v>210</v>
      </c>
      <c r="B38" s="29">
        <v>43764.955659722225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">
      <c r="A39" s="28" t="s">
        <v>211</v>
      </c>
      <c r="B39" s="29">
        <v>43765.064502314817</v>
      </c>
      <c r="C39" s="28" t="s">
        <v>128</v>
      </c>
      <c r="D39" s="28" t="s">
        <v>129</v>
      </c>
      <c r="E39" s="28" t="s">
        <v>173</v>
      </c>
    </row>
    <row r="40" spans="1:9" x14ac:dyDescent="0.4">
      <c r="A40" s="28" t="s">
        <v>212</v>
      </c>
      <c r="B40" s="29">
        <v>43767.744305555556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">
      <c r="A41" s="28" t="s">
        <v>213</v>
      </c>
      <c r="B41" s="29">
        <v>43767.744305555556</v>
      </c>
      <c r="C41" s="28" t="s">
        <v>128</v>
      </c>
    </row>
    <row r="42" spans="1:9" x14ac:dyDescent="0.4">
      <c r="A42" s="28" t="s">
        <v>214</v>
      </c>
      <c r="B42" s="29">
        <v>43767.744305555556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">
      <c r="A43" s="28" t="s">
        <v>215</v>
      </c>
      <c r="B43" s="29">
        <v>43768.428414351853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">
      <c r="A44" s="28" t="s">
        <v>216</v>
      </c>
      <c r="B44" s="29">
        <v>43769.787280092591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">
      <c r="A45" s="28" t="s">
        <v>217</v>
      </c>
      <c r="B45" s="29">
        <v>43774.96366898148</v>
      </c>
      <c r="C45" s="28" t="s">
        <v>128</v>
      </c>
      <c r="D45" s="28" t="s">
        <v>129</v>
      </c>
    </row>
    <row r="46" spans="1:9" x14ac:dyDescent="0.4">
      <c r="A46" s="28" t="s">
        <v>249</v>
      </c>
      <c r="B46" s="29">
        <v>43774.96366898148</v>
      </c>
      <c r="C46" s="28" t="s">
        <v>128</v>
      </c>
      <c r="D46" s="28" t="s">
        <v>129</v>
      </c>
    </row>
    <row r="47" spans="1:9" x14ac:dyDescent="0.4">
      <c r="A47" s="28" t="s">
        <v>250</v>
      </c>
      <c r="B47" s="29">
        <v>43774.96366898148</v>
      </c>
      <c r="C47" s="28" t="s">
        <v>128</v>
      </c>
    </row>
    <row r="48" spans="1:9" x14ac:dyDescent="0.4">
      <c r="A48" s="28" t="s">
        <v>251</v>
      </c>
      <c r="B48" s="29">
        <v>43774.96366898148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">
      <c r="A49" s="28" t="s">
        <v>252</v>
      </c>
      <c r="B49" s="29">
        <v>43774.96366898148</v>
      </c>
      <c r="C49" s="28" t="s">
        <v>128</v>
      </c>
      <c r="D49" s="28" t="s">
        <v>129</v>
      </c>
    </row>
    <row r="50" spans="1:9" x14ac:dyDescent="0.4">
      <c r="A50" s="28" t="s">
        <v>253</v>
      </c>
      <c r="B50" s="29">
        <v>43774.96366898148</v>
      </c>
      <c r="C50" s="28" t="s">
        <v>128</v>
      </c>
    </row>
    <row r="51" spans="1:9" x14ac:dyDescent="0.4">
      <c r="A51" s="28" t="s">
        <v>254</v>
      </c>
      <c r="B51" s="29">
        <v>43775.020810185182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">
      <c r="A52" s="28" t="s">
        <v>255</v>
      </c>
      <c r="B52" s="29">
        <v>43788.617604166669</v>
      </c>
      <c r="C52" s="28" t="s">
        <v>128</v>
      </c>
      <c r="D52" s="28" t="s">
        <v>129</v>
      </c>
    </row>
    <row r="53" spans="1:9" x14ac:dyDescent="0.4">
      <c r="A53" s="28" t="s">
        <v>256</v>
      </c>
      <c r="B53" s="29">
        <v>43788.617604166669</v>
      </c>
      <c r="C53" s="28" t="s">
        <v>128</v>
      </c>
    </row>
    <row r="54" spans="1:9" x14ac:dyDescent="0.4">
      <c r="A54" s="28" t="s">
        <v>257</v>
      </c>
      <c r="B54" s="29">
        <v>43788.617604166669</v>
      </c>
      <c r="C54" s="28" t="s">
        <v>128</v>
      </c>
      <c r="D54" s="28" t="s">
        <v>129</v>
      </c>
    </row>
    <row r="55" spans="1:9" x14ac:dyDescent="0.4">
      <c r="A55" s="28" t="s">
        <v>258</v>
      </c>
      <c r="B55" s="29">
        <v>43788.617604166669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">
      <c r="A56" s="28" t="s">
        <v>259</v>
      </c>
      <c r="B56" s="29">
        <v>43788.617604166669</v>
      </c>
      <c r="C56" s="28" t="s">
        <v>128</v>
      </c>
    </row>
    <row r="57" spans="1:9" x14ac:dyDescent="0.4">
      <c r="A57" s="28" t="s">
        <v>260</v>
      </c>
      <c r="B57" s="29">
        <v>43788.617604166669</v>
      </c>
      <c r="C57" s="28" t="s">
        <v>128</v>
      </c>
    </row>
    <row r="58" spans="1:9" x14ac:dyDescent="0.4">
      <c r="A58" s="28" t="s">
        <v>261</v>
      </c>
      <c r="B58" s="29">
        <v>43788.617604166669</v>
      </c>
      <c r="C58" s="28" t="s">
        <v>128</v>
      </c>
      <c r="D58" s="28" t="s">
        <v>129</v>
      </c>
    </row>
    <row r="59" spans="1:9" x14ac:dyDescent="0.4">
      <c r="A59" s="28" t="s">
        <v>262</v>
      </c>
      <c r="B59" s="29">
        <v>43788.617604166669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">
      <c r="A60" s="28" t="s">
        <v>263</v>
      </c>
      <c r="B60" s="29">
        <v>43788.617604166669</v>
      </c>
      <c r="C60" s="28" t="s">
        <v>128</v>
      </c>
    </row>
    <row r="61" spans="1:9" x14ac:dyDescent="0.4">
      <c r="A61" s="28" t="s">
        <v>264</v>
      </c>
      <c r="B61" s="29">
        <v>43812.011736111112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">
      <c r="A62" s="28" t="s">
        <v>265</v>
      </c>
      <c r="B62" s="29">
        <v>43812.011736111112</v>
      </c>
      <c r="C62" s="28" t="s">
        <v>128</v>
      </c>
    </row>
    <row r="63" spans="1:9" x14ac:dyDescent="0.4">
      <c r="A63" s="28" t="s">
        <v>266</v>
      </c>
      <c r="B63" s="29">
        <v>43812.011736111112</v>
      </c>
      <c r="C63" s="28" t="s">
        <v>128</v>
      </c>
    </row>
    <row r="64" spans="1:9" x14ac:dyDescent="0.4">
      <c r="A64" s="28" t="s">
        <v>267</v>
      </c>
      <c r="B64" s="29">
        <v>43812.011736111112</v>
      </c>
      <c r="C64" s="28" t="s">
        <v>128</v>
      </c>
      <c r="D64" s="28" t="s">
        <v>129</v>
      </c>
    </row>
    <row r="65" spans="1:12" x14ac:dyDescent="0.4">
      <c r="A65" s="28" t="s">
        <v>268</v>
      </c>
      <c r="B65" s="29">
        <v>43812.011747685188</v>
      </c>
      <c r="C65" s="28" t="s">
        <v>128</v>
      </c>
      <c r="D65" s="28" t="s">
        <v>129</v>
      </c>
      <c r="E65" s="28" t="s">
        <v>173</v>
      </c>
    </row>
    <row r="66" spans="1:12" x14ac:dyDescent="0.4">
      <c r="A66" s="28" t="s">
        <v>269</v>
      </c>
      <c r="B66" s="29">
        <v>43812.011747685188</v>
      </c>
      <c r="C66" s="28" t="s">
        <v>128</v>
      </c>
    </row>
    <row r="67" spans="1:12" x14ac:dyDescent="0.4">
      <c r="A67" s="28" t="s">
        <v>270</v>
      </c>
      <c r="B67" s="29">
        <v>43812.011747685188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224</v>
      </c>
      <c r="K67" s="28" t="s">
        <v>225</v>
      </c>
      <c r="L67" s="28" t="s">
        <v>226</v>
      </c>
    </row>
    <row r="68" spans="1:12" x14ac:dyDescent="0.4">
      <c r="A68" s="28" t="s">
        <v>271</v>
      </c>
      <c r="B68" s="29">
        <v>43812.011747685188</v>
      </c>
      <c r="C68" s="28" t="s">
        <v>128</v>
      </c>
      <c r="D68" s="28" t="s">
        <v>129</v>
      </c>
      <c r="E68" s="28" t="s">
        <v>173</v>
      </c>
    </row>
    <row r="69" spans="1:12" x14ac:dyDescent="0.4">
      <c r="A69" s="28" t="s">
        <v>272</v>
      </c>
      <c r="B69" s="29">
        <v>43812.011747685188</v>
      </c>
      <c r="C69" s="28" t="s">
        <v>128</v>
      </c>
      <c r="D69" s="28" t="s">
        <v>129</v>
      </c>
      <c r="E69" s="28" t="s">
        <v>173</v>
      </c>
    </row>
    <row r="70" spans="1:12" x14ac:dyDescent="0.4">
      <c r="A70" s="28" t="s">
        <v>273</v>
      </c>
      <c r="B70" s="29">
        <v>43812.011747685188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">
      <c r="A71" s="28" t="s">
        <v>275</v>
      </c>
      <c r="B71" s="29">
        <v>43812.011747685188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">
      <c r="A72" s="28" t="s">
        <v>276</v>
      </c>
      <c r="B72" s="29">
        <v>43812.011747685188</v>
      </c>
      <c r="C72" s="28" t="s">
        <v>128</v>
      </c>
      <c r="D72" s="28" t="s">
        <v>129</v>
      </c>
    </row>
    <row r="73" spans="1:12" x14ac:dyDescent="0.4">
      <c r="A73" s="28" t="s">
        <v>277</v>
      </c>
      <c r="B73" s="29">
        <v>43812.011747685188</v>
      </c>
      <c r="C73" s="28" t="s">
        <v>128</v>
      </c>
    </row>
    <row r="74" spans="1:12" x14ac:dyDescent="0.4">
      <c r="A74" s="28" t="s">
        <v>278</v>
      </c>
      <c r="B74" s="29">
        <v>43812.011747685188</v>
      </c>
      <c r="C74" s="28" t="s">
        <v>128</v>
      </c>
    </row>
    <row r="75" spans="1:12" x14ac:dyDescent="0.4">
      <c r="A75" s="28" t="s">
        <v>279</v>
      </c>
      <c r="B75" s="29">
        <v>43812.011747685188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">
      <c r="A76" s="28" t="s">
        <v>282</v>
      </c>
      <c r="B76" s="29">
        <v>43812.011747685188</v>
      </c>
      <c r="C76" s="28" t="s">
        <v>128</v>
      </c>
    </row>
    <row r="77" spans="1:12" x14ac:dyDescent="0.4">
      <c r="A77" s="28" t="s">
        <v>283</v>
      </c>
      <c r="B77" s="29">
        <v>43812.011747685188</v>
      </c>
      <c r="C77" s="28" t="s">
        <v>128</v>
      </c>
      <c r="D77" s="28" t="s">
        <v>129</v>
      </c>
    </row>
    <row r="78" spans="1:12" x14ac:dyDescent="0.4">
      <c r="A78" s="28" t="s">
        <v>285</v>
      </c>
      <c r="B78" s="29">
        <v>43812.011747685188</v>
      </c>
      <c r="C78" s="28" t="s">
        <v>128</v>
      </c>
      <c r="D78" s="28" t="s">
        <v>129</v>
      </c>
      <c r="E78" s="28" t="s">
        <v>173</v>
      </c>
    </row>
    <row r="79" spans="1:12" x14ac:dyDescent="0.4">
      <c r="A79" s="28" t="s">
        <v>284</v>
      </c>
      <c r="B79" s="29">
        <v>43812.011747685188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">
      <c r="A80" s="28" t="s">
        <v>286</v>
      </c>
      <c r="B80" s="29">
        <v>43812.940081018518</v>
      </c>
      <c r="C80" s="28" t="s">
        <v>128</v>
      </c>
    </row>
    <row r="81" spans="1:9" x14ac:dyDescent="0.4">
      <c r="A81" s="28" t="s">
        <v>287</v>
      </c>
      <c r="B81" s="29">
        <v>43813.051678240743</v>
      </c>
      <c r="C81" s="28" t="s">
        <v>128</v>
      </c>
      <c r="D81" s="28" t="s">
        <v>129</v>
      </c>
      <c r="E81" s="28" t="s">
        <v>173</v>
      </c>
    </row>
    <row r="82" spans="1:9" x14ac:dyDescent="0.4">
      <c r="A82" s="28" t="s">
        <v>288</v>
      </c>
      <c r="B82" s="29">
        <v>43815.960185185184</v>
      </c>
      <c r="C82" s="28" t="s">
        <v>128</v>
      </c>
    </row>
    <row r="83" spans="1:9" x14ac:dyDescent="0.4">
      <c r="A83" s="28" t="s">
        <v>289</v>
      </c>
      <c r="B83" s="29">
        <v>43816.119837962964</v>
      </c>
      <c r="C83" s="28" t="s">
        <v>128</v>
      </c>
      <c r="D83" s="28" t="s">
        <v>129</v>
      </c>
      <c r="E83" s="28" t="s">
        <v>173</v>
      </c>
    </row>
    <row r="84" spans="1:9" x14ac:dyDescent="0.4">
      <c r="A84" s="28" t="s">
        <v>290</v>
      </c>
      <c r="B84" s="29">
        <v>43818.049363425926</v>
      </c>
      <c r="C84" s="28" t="s">
        <v>128</v>
      </c>
      <c r="D84" s="28" t="s">
        <v>129</v>
      </c>
    </row>
    <row r="85" spans="1:9" x14ac:dyDescent="0.4">
      <c r="A85" s="28" t="s">
        <v>291</v>
      </c>
      <c r="B85" s="29">
        <v>43837.741377314815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">
      <c r="A86" s="28" t="s">
        <v>292</v>
      </c>
      <c r="B86" s="29">
        <v>43837.741377314815</v>
      </c>
      <c r="C86" s="28" t="s">
        <v>128</v>
      </c>
      <c r="D86" s="28" t="s">
        <v>129</v>
      </c>
    </row>
    <row r="87" spans="1:9" x14ac:dyDescent="0.4">
      <c r="A87" s="28" t="s">
        <v>293</v>
      </c>
      <c r="B87" s="29">
        <v>43837.741377314815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">
      <c r="A88" s="28" t="s">
        <v>294</v>
      </c>
      <c r="B88" s="29">
        <v>43837.773657407408</v>
      </c>
      <c r="C88" s="28" t="s">
        <v>128</v>
      </c>
    </row>
    <row r="89" spans="1:9" x14ac:dyDescent="0.4">
      <c r="A89" s="28" t="s">
        <v>295</v>
      </c>
      <c r="B89" s="29">
        <v>43839.958333333336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">
      <c r="A90" s="28" t="s">
        <v>296</v>
      </c>
      <c r="B90" s="29">
        <v>43840.01121527778</v>
      </c>
      <c r="C90" s="28" t="s">
        <v>128</v>
      </c>
    </row>
    <row r="91" spans="1:9" x14ac:dyDescent="0.4">
      <c r="A91" s="28" t="s">
        <v>297</v>
      </c>
      <c r="B91" s="29">
        <v>43843.94021990741</v>
      </c>
      <c r="C91" s="28" t="s">
        <v>128</v>
      </c>
      <c r="D91" s="28" t="s">
        <v>129</v>
      </c>
      <c r="E91" s="28" t="s">
        <v>173</v>
      </c>
    </row>
    <row r="92" spans="1:9" x14ac:dyDescent="0.4">
      <c r="A92" s="28" t="s">
        <v>298</v>
      </c>
      <c r="B92" s="29">
        <v>43843.94023148148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">
      <c r="A93" s="28" t="s">
        <v>299</v>
      </c>
      <c r="B93" s="29">
        <v>43844.019513888888</v>
      </c>
      <c r="C93" s="28" t="s">
        <v>128</v>
      </c>
      <c r="D93" s="28" t="s">
        <v>129</v>
      </c>
      <c r="E93" s="28" t="s">
        <v>173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6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141</v>
      </c>
      <c r="B1">
        <v>897</v>
      </c>
    </row>
    <row r="2" spans="1:2" x14ac:dyDescent="0.4">
      <c r="A2" t="s">
        <v>161</v>
      </c>
      <c r="B2">
        <v>78</v>
      </c>
    </row>
    <row r="3" spans="1:2" x14ac:dyDescent="0.4">
      <c r="A3" t="s">
        <v>126</v>
      </c>
      <c r="B3">
        <v>175</v>
      </c>
    </row>
    <row r="4" spans="1:2" x14ac:dyDescent="0.4">
      <c r="A4" t="s">
        <v>127</v>
      </c>
      <c r="B4">
        <v>156</v>
      </c>
    </row>
    <row r="5" spans="1:2" x14ac:dyDescent="0.4">
      <c r="A5" t="s">
        <v>172</v>
      </c>
      <c r="B5">
        <v>97</v>
      </c>
    </row>
    <row r="6" spans="1:2" x14ac:dyDescent="0.4">
      <c r="A6" t="s">
        <v>170</v>
      </c>
      <c r="B6">
        <v>127</v>
      </c>
    </row>
    <row r="7" spans="1:2" x14ac:dyDescent="0.4">
      <c r="A7" t="s">
        <v>171</v>
      </c>
      <c r="B7">
        <v>142</v>
      </c>
    </row>
    <row r="8" spans="1:2" x14ac:dyDescent="0.4">
      <c r="A8" t="s">
        <v>197</v>
      </c>
      <c r="B8">
        <v>62</v>
      </c>
    </row>
    <row r="9" spans="1:2" x14ac:dyDescent="0.4">
      <c r="A9" t="s">
        <v>196</v>
      </c>
      <c r="B9">
        <v>25</v>
      </c>
    </row>
    <row r="10" spans="1:2" x14ac:dyDescent="0.4">
      <c r="A10" t="s">
        <v>228</v>
      </c>
      <c r="B10">
        <v>7</v>
      </c>
    </row>
    <row r="11" spans="1:2" x14ac:dyDescent="0.4">
      <c r="A11" t="s">
        <v>203</v>
      </c>
      <c r="B11">
        <v>2</v>
      </c>
    </row>
    <row r="12" spans="1:2" x14ac:dyDescent="0.4">
      <c r="A12" t="s">
        <v>274</v>
      </c>
      <c r="B12">
        <v>13</v>
      </c>
    </row>
    <row r="13" spans="1:2" x14ac:dyDescent="0.4">
      <c r="A13" t="s">
        <v>281</v>
      </c>
      <c r="B13">
        <v>8</v>
      </c>
    </row>
    <row r="14" spans="1:2" x14ac:dyDescent="0.4">
      <c r="A14" t="s">
        <v>280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4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8" customWidth="1"/>
    <col min="34" max="16384" width="9" style="69"/>
  </cols>
  <sheetData>
    <row r="1" spans="1:33" x14ac:dyDescent="0.4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">
      <c r="A2" s="68" t="s">
        <v>154</v>
      </c>
      <c r="B2" s="164"/>
      <c r="C2" s="165"/>
      <c r="D2" s="164"/>
      <c r="E2" s="165"/>
      <c r="F2" s="166">
        <v>0.97012688448863238</v>
      </c>
      <c r="G2" s="167"/>
      <c r="H2" s="166">
        <v>0.83923337992951286</v>
      </c>
      <c r="I2" s="167"/>
      <c r="J2" s="166">
        <v>0.88797606732015288</v>
      </c>
      <c r="K2" s="167"/>
      <c r="L2" s="166">
        <v>0.4903387434056764</v>
      </c>
      <c r="M2" s="167"/>
      <c r="N2" s="166">
        <v>0.53001936201389555</v>
      </c>
      <c r="O2" s="167"/>
      <c r="P2" s="166">
        <v>0.46792772444980585</v>
      </c>
      <c r="Q2" s="167"/>
      <c r="R2" s="166">
        <v>0.23629462170071053</v>
      </c>
      <c r="S2" s="167"/>
      <c r="T2" s="166">
        <v>0.38458170096671757</v>
      </c>
      <c r="U2" s="167"/>
      <c r="V2" s="166">
        <v>0.4109605697893462</v>
      </c>
      <c r="W2" s="167"/>
      <c r="X2" s="166">
        <v>8.158930017642721E-2</v>
      </c>
      <c r="Y2" s="167"/>
      <c r="Z2" s="166">
        <v>0.38811740284995255</v>
      </c>
      <c r="AA2" s="167"/>
      <c r="AB2" s="166">
        <v>-2.7528243080126486E-2</v>
      </c>
      <c r="AC2" s="167"/>
      <c r="AD2" s="166">
        <v>-5.134298218868226E-2</v>
      </c>
      <c r="AE2" s="167"/>
      <c r="AF2" s="166">
        <v>0.85543746585744185</v>
      </c>
      <c r="AG2" s="167"/>
    </row>
    <row r="3" spans="1:33" x14ac:dyDescent="0.4">
      <c r="A3" s="70">
        <v>1</v>
      </c>
      <c r="B3" s="71" t="s">
        <v>126</v>
      </c>
      <c r="C3" s="72">
        <v>1535.7999999999997</v>
      </c>
      <c r="D3" s="73" t="s">
        <v>281</v>
      </c>
      <c r="E3" s="92">
        <v>13.3125</v>
      </c>
      <c r="F3" s="73" t="s">
        <v>203</v>
      </c>
      <c r="G3" s="74">
        <v>1.5</v>
      </c>
      <c r="H3" s="73" t="s">
        <v>281</v>
      </c>
      <c r="I3" s="75">
        <v>0.625</v>
      </c>
      <c r="J3" s="73" t="s">
        <v>203</v>
      </c>
      <c r="K3" s="75">
        <v>0</v>
      </c>
      <c r="L3" s="73" t="s">
        <v>203</v>
      </c>
      <c r="M3" s="76">
        <v>0.46666666666666667</v>
      </c>
      <c r="N3" s="73" t="s">
        <v>203</v>
      </c>
      <c r="O3" s="76">
        <v>6.6666666666666666E-2</v>
      </c>
      <c r="P3" s="73" t="s">
        <v>170</v>
      </c>
      <c r="Q3" s="77">
        <v>10827.177700348431</v>
      </c>
      <c r="R3" s="73" t="s">
        <v>196</v>
      </c>
      <c r="S3" s="77">
        <v>-6876.1904761904761</v>
      </c>
      <c r="T3" s="73" t="s">
        <v>203</v>
      </c>
      <c r="U3" s="75">
        <v>0</v>
      </c>
      <c r="V3" s="73" t="s">
        <v>281</v>
      </c>
      <c r="W3" s="76">
        <v>0.40579710144927539</v>
      </c>
      <c r="X3" s="73" t="s">
        <v>228</v>
      </c>
      <c r="Y3" s="76">
        <v>0.35483870967741937</v>
      </c>
      <c r="Z3" s="73" t="s">
        <v>281</v>
      </c>
      <c r="AA3" s="76">
        <v>0.6785714285714286</v>
      </c>
      <c r="AB3" s="73" t="s">
        <v>203</v>
      </c>
      <c r="AC3" s="76">
        <v>1</v>
      </c>
      <c r="AD3" s="73" t="s">
        <v>196</v>
      </c>
      <c r="AE3" s="76">
        <v>0.5714285714285714</v>
      </c>
      <c r="AF3" s="73" t="s">
        <v>126</v>
      </c>
      <c r="AG3" s="87">
        <v>149100</v>
      </c>
    </row>
    <row r="4" spans="1:33" x14ac:dyDescent="0.4">
      <c r="A4" s="78">
        <v>2</v>
      </c>
      <c r="B4" s="79" t="s">
        <v>170</v>
      </c>
      <c r="C4" s="80">
        <v>531.30000000000041</v>
      </c>
      <c r="D4" s="81" t="s">
        <v>203</v>
      </c>
      <c r="E4" s="93">
        <v>13.1</v>
      </c>
      <c r="F4" s="81" t="s">
        <v>281</v>
      </c>
      <c r="G4" s="82">
        <v>1.75</v>
      </c>
      <c r="H4" s="81" t="s">
        <v>203</v>
      </c>
      <c r="I4" s="83">
        <v>0.5</v>
      </c>
      <c r="J4" s="81" t="s">
        <v>126</v>
      </c>
      <c r="K4" s="83">
        <v>0.25142857142857145</v>
      </c>
      <c r="L4" s="81" t="s">
        <v>281</v>
      </c>
      <c r="M4" s="84">
        <v>0.37681159420289856</v>
      </c>
      <c r="N4" s="81" t="s">
        <v>126</v>
      </c>
      <c r="O4" s="84">
        <v>0.13086074177746676</v>
      </c>
      <c r="P4" s="81" t="s">
        <v>281</v>
      </c>
      <c r="Q4" s="85">
        <v>9534.6153846153848</v>
      </c>
      <c r="R4" s="81" t="s">
        <v>171</v>
      </c>
      <c r="S4" s="85">
        <v>-7051.875</v>
      </c>
      <c r="T4" s="81" t="s">
        <v>281</v>
      </c>
      <c r="U4" s="83">
        <v>0</v>
      </c>
      <c r="V4" s="81" t="s">
        <v>280</v>
      </c>
      <c r="W4" s="84">
        <v>0.375</v>
      </c>
      <c r="X4" s="81" t="s">
        <v>203</v>
      </c>
      <c r="Y4" s="84">
        <v>0.33333333333333331</v>
      </c>
      <c r="Z4" s="81" t="s">
        <v>274</v>
      </c>
      <c r="AA4" s="84">
        <v>0.61111111111111116</v>
      </c>
      <c r="AB4" s="81" t="s">
        <v>274</v>
      </c>
      <c r="AC4" s="84">
        <v>0.73333333333333328</v>
      </c>
      <c r="AD4" s="81" t="s">
        <v>170</v>
      </c>
      <c r="AE4" s="84">
        <v>0.50871080139372826</v>
      </c>
      <c r="AF4" s="81" t="s">
        <v>141</v>
      </c>
      <c r="AG4" s="88">
        <v>149100</v>
      </c>
    </row>
    <row r="5" spans="1:33" x14ac:dyDescent="0.4">
      <c r="A5" s="78">
        <v>3</v>
      </c>
      <c r="B5" s="79" t="s">
        <v>281</v>
      </c>
      <c r="C5" s="80">
        <v>106.5</v>
      </c>
      <c r="D5" s="81" t="s">
        <v>126</v>
      </c>
      <c r="E5" s="93">
        <v>8.775999999999998</v>
      </c>
      <c r="F5" s="81" t="s">
        <v>126</v>
      </c>
      <c r="G5" s="82">
        <v>1.7885714285714285</v>
      </c>
      <c r="H5" s="81" t="s">
        <v>126</v>
      </c>
      <c r="I5" s="83">
        <v>0.46285714285714286</v>
      </c>
      <c r="J5" s="81" t="s">
        <v>171</v>
      </c>
      <c r="K5" s="83">
        <v>0.30281690140845069</v>
      </c>
      <c r="L5" s="81" t="s">
        <v>274</v>
      </c>
      <c r="M5" s="84">
        <v>0.3559322033898305</v>
      </c>
      <c r="N5" s="81" t="s">
        <v>171</v>
      </c>
      <c r="O5" s="84">
        <v>0.1388888888888889</v>
      </c>
      <c r="P5" s="81" t="s">
        <v>280</v>
      </c>
      <c r="Q5" s="85">
        <v>8512.5</v>
      </c>
      <c r="R5" s="81" t="s">
        <v>126</v>
      </c>
      <c r="S5" s="85">
        <v>-7731.5508021390378</v>
      </c>
      <c r="T5" s="81" t="s">
        <v>126</v>
      </c>
      <c r="U5" s="83">
        <v>4.5714285714285714E-2</v>
      </c>
      <c r="V5" s="81" t="s">
        <v>274</v>
      </c>
      <c r="W5" s="84">
        <v>0.30508474576271188</v>
      </c>
      <c r="X5" s="81" t="s">
        <v>127</v>
      </c>
      <c r="Y5" s="84">
        <v>0.29984544049459044</v>
      </c>
      <c r="Z5" s="81" t="s">
        <v>196</v>
      </c>
      <c r="AA5" s="84">
        <v>0.59677419354838712</v>
      </c>
      <c r="AB5" s="81" t="s">
        <v>126</v>
      </c>
      <c r="AC5" s="84">
        <v>0.48809523809523808</v>
      </c>
      <c r="AD5" s="81" t="s">
        <v>274</v>
      </c>
      <c r="AE5" s="84">
        <v>0.5</v>
      </c>
      <c r="AF5" s="81" t="s">
        <v>170</v>
      </c>
      <c r="AG5" s="88">
        <v>122100</v>
      </c>
    </row>
    <row r="6" spans="1:33" x14ac:dyDescent="0.4">
      <c r="A6" s="78">
        <v>4</v>
      </c>
      <c r="B6" s="79" t="s">
        <v>203</v>
      </c>
      <c r="C6" s="80">
        <v>26.2</v>
      </c>
      <c r="D6" s="81" t="s">
        <v>170</v>
      </c>
      <c r="E6" s="93">
        <v>4.1834645669291373</v>
      </c>
      <c r="F6" s="81" t="s">
        <v>170</v>
      </c>
      <c r="G6" s="82">
        <v>1.9133858267716535</v>
      </c>
      <c r="H6" s="81" t="s">
        <v>228</v>
      </c>
      <c r="I6" s="83">
        <v>0.42857142857142855</v>
      </c>
      <c r="J6" s="81" t="s">
        <v>127</v>
      </c>
      <c r="K6" s="83">
        <v>0.3141025641025641</v>
      </c>
      <c r="L6" s="81" t="s">
        <v>126</v>
      </c>
      <c r="M6" s="84">
        <v>0.3435969209237229</v>
      </c>
      <c r="N6" s="81" t="s">
        <v>161</v>
      </c>
      <c r="O6" s="84">
        <v>0.15208034433285508</v>
      </c>
      <c r="P6" s="81" t="s">
        <v>141</v>
      </c>
      <c r="Q6" s="85">
        <v>8399.0040742417386</v>
      </c>
      <c r="R6" s="81" t="s">
        <v>141</v>
      </c>
      <c r="S6" s="85">
        <v>-7799.9170812603652</v>
      </c>
      <c r="T6" s="81" t="s">
        <v>171</v>
      </c>
      <c r="U6" s="83">
        <v>7.0422535211267609E-2</v>
      </c>
      <c r="V6" s="81" t="s">
        <v>170</v>
      </c>
      <c r="W6" s="84">
        <v>0.30367504835589942</v>
      </c>
      <c r="X6" s="81" t="s">
        <v>161</v>
      </c>
      <c r="Y6" s="84">
        <v>0.25538020086083213</v>
      </c>
      <c r="Z6" s="81" t="s">
        <v>126</v>
      </c>
      <c r="AA6" s="84">
        <v>0.59055118110236215</v>
      </c>
      <c r="AB6" s="81" t="s">
        <v>281</v>
      </c>
      <c r="AC6" s="84">
        <v>0.45454545454545453</v>
      </c>
      <c r="AD6" s="81" t="s">
        <v>172</v>
      </c>
      <c r="AE6" s="84">
        <v>0.4732142857142857</v>
      </c>
      <c r="AF6" s="81" t="s">
        <v>171</v>
      </c>
      <c r="AG6" s="88">
        <v>101400</v>
      </c>
    </row>
    <row r="7" spans="1:33" x14ac:dyDescent="0.4">
      <c r="A7" s="78">
        <v>5</v>
      </c>
      <c r="B7" s="79" t="s">
        <v>141</v>
      </c>
      <c r="C7" s="80">
        <v>-5.6843418860808015E-14</v>
      </c>
      <c r="D7" s="81" t="s">
        <v>141</v>
      </c>
      <c r="E7" s="93">
        <v>-6.3370589588414731E-17</v>
      </c>
      <c r="F7" s="81" t="s">
        <v>127</v>
      </c>
      <c r="G7" s="82">
        <v>1.9807692307692308</v>
      </c>
      <c r="H7" s="81" t="s">
        <v>170</v>
      </c>
      <c r="I7" s="83">
        <v>0.40157480314960631</v>
      </c>
      <c r="J7" s="81" t="s">
        <v>170</v>
      </c>
      <c r="K7" s="83">
        <v>0.31496062992125984</v>
      </c>
      <c r="L7" s="81" t="s">
        <v>127</v>
      </c>
      <c r="M7" s="84">
        <v>0.30602782071097373</v>
      </c>
      <c r="N7" s="81" t="s">
        <v>141</v>
      </c>
      <c r="O7" s="84">
        <v>0.16092874299439552</v>
      </c>
      <c r="P7" s="81" t="s">
        <v>196</v>
      </c>
      <c r="Q7" s="85">
        <v>8385.7142857142862</v>
      </c>
      <c r="R7" s="81" t="s">
        <v>127</v>
      </c>
      <c r="S7" s="85">
        <v>-7845.7627118644068</v>
      </c>
      <c r="T7" s="81" t="s">
        <v>172</v>
      </c>
      <c r="U7" s="83">
        <v>7.2164948453608241E-2</v>
      </c>
      <c r="V7" s="81" t="s">
        <v>172</v>
      </c>
      <c r="W7" s="84">
        <v>0.279322853688029</v>
      </c>
      <c r="X7" s="81" t="s">
        <v>126</v>
      </c>
      <c r="Y7" s="84">
        <v>0.23512946116165151</v>
      </c>
      <c r="Z7" s="81" t="s">
        <v>171</v>
      </c>
      <c r="AA7" s="84">
        <v>0.55333333333333334</v>
      </c>
      <c r="AB7" s="81" t="s">
        <v>197</v>
      </c>
      <c r="AC7" s="84">
        <v>0.43220338983050849</v>
      </c>
      <c r="AD7" s="81" t="s">
        <v>281</v>
      </c>
      <c r="AE7" s="84">
        <v>0.46153846153846156</v>
      </c>
      <c r="AF7" s="81" t="s">
        <v>196</v>
      </c>
      <c r="AG7" s="88">
        <v>95200</v>
      </c>
    </row>
    <row r="8" spans="1:33" x14ac:dyDescent="0.4">
      <c r="A8" s="78">
        <v>6</v>
      </c>
      <c r="B8" s="79" t="s">
        <v>127</v>
      </c>
      <c r="C8" s="80">
        <v>-12.100000000000186</v>
      </c>
      <c r="D8" s="81" t="s">
        <v>127</v>
      </c>
      <c r="E8" s="93">
        <v>-7.756410256410376E-2</v>
      </c>
      <c r="F8" s="81" t="s">
        <v>274</v>
      </c>
      <c r="G8" s="82">
        <v>2</v>
      </c>
      <c r="H8" s="81" t="s">
        <v>274</v>
      </c>
      <c r="I8" s="83">
        <v>0.38461538461538464</v>
      </c>
      <c r="J8" s="81" t="s">
        <v>141</v>
      </c>
      <c r="K8" s="83">
        <v>0.33333333333333331</v>
      </c>
      <c r="L8" s="81" t="s">
        <v>141</v>
      </c>
      <c r="M8" s="84">
        <v>0.29476914865225512</v>
      </c>
      <c r="N8" s="81" t="s">
        <v>274</v>
      </c>
      <c r="O8" s="84">
        <v>0.16949152542372881</v>
      </c>
      <c r="P8" s="81" t="s">
        <v>171</v>
      </c>
      <c r="Q8" s="85">
        <v>8240.9937888198765</v>
      </c>
      <c r="R8" s="81" t="s">
        <v>172</v>
      </c>
      <c r="S8" s="85">
        <v>-7855.0335570469797</v>
      </c>
      <c r="T8" s="81" t="s">
        <v>161</v>
      </c>
      <c r="U8" s="83">
        <v>7.6923076923076927E-2</v>
      </c>
      <c r="V8" s="81" t="s">
        <v>203</v>
      </c>
      <c r="W8" s="84">
        <v>0.26666666666666666</v>
      </c>
      <c r="X8" s="81" t="s">
        <v>171</v>
      </c>
      <c r="Y8" s="84">
        <v>0.23177083333333334</v>
      </c>
      <c r="Z8" s="81" t="s">
        <v>170</v>
      </c>
      <c r="AA8" s="84">
        <v>0.55095541401273884</v>
      </c>
      <c r="AB8" s="81" t="s">
        <v>171</v>
      </c>
      <c r="AC8" s="84">
        <v>0.42322097378277151</v>
      </c>
      <c r="AD8" s="81" t="s">
        <v>197</v>
      </c>
      <c r="AE8" s="84">
        <v>0.45522388059701491</v>
      </c>
      <c r="AF8" s="81" t="s">
        <v>127</v>
      </c>
      <c r="AG8" s="88">
        <v>91800</v>
      </c>
    </row>
    <row r="9" spans="1:33" x14ac:dyDescent="0.4">
      <c r="A9" s="78">
        <v>7</v>
      </c>
      <c r="B9" s="79" t="s">
        <v>196</v>
      </c>
      <c r="C9" s="80">
        <v>-45.7</v>
      </c>
      <c r="D9" s="81" t="s">
        <v>171</v>
      </c>
      <c r="E9" s="93">
        <v>-1.0021126760563379</v>
      </c>
      <c r="F9" s="81" t="s">
        <v>141</v>
      </c>
      <c r="G9" s="82">
        <v>2</v>
      </c>
      <c r="H9" s="81" t="s">
        <v>196</v>
      </c>
      <c r="I9" s="83">
        <v>0.36</v>
      </c>
      <c r="J9" s="81" t="s">
        <v>281</v>
      </c>
      <c r="K9" s="83">
        <v>0.375</v>
      </c>
      <c r="L9" s="81" t="s">
        <v>171</v>
      </c>
      <c r="M9" s="84">
        <v>0.2795138888888889</v>
      </c>
      <c r="N9" s="81" t="s">
        <v>170</v>
      </c>
      <c r="O9" s="84">
        <v>0.17117988394584138</v>
      </c>
      <c r="P9" s="81" t="s">
        <v>126</v>
      </c>
      <c r="Q9" s="85">
        <v>8217.5152749490826</v>
      </c>
      <c r="R9" s="81" t="s">
        <v>161</v>
      </c>
      <c r="S9" s="85">
        <v>-7918.867924528302</v>
      </c>
      <c r="T9" s="81" t="s">
        <v>141</v>
      </c>
      <c r="U9" s="83">
        <v>9.4760312151616496E-2</v>
      </c>
      <c r="V9" s="81" t="s">
        <v>126</v>
      </c>
      <c r="W9" s="84">
        <v>0.26662001399580126</v>
      </c>
      <c r="X9" s="81" t="s">
        <v>141</v>
      </c>
      <c r="Y9" s="84">
        <v>0.23138510808646917</v>
      </c>
      <c r="Z9" s="81" t="s">
        <v>141</v>
      </c>
      <c r="AA9" s="84">
        <v>0.55052631578947364</v>
      </c>
      <c r="AB9" s="81" t="s">
        <v>141</v>
      </c>
      <c r="AC9" s="84">
        <v>0.42099192618223757</v>
      </c>
      <c r="AD9" s="81" t="s">
        <v>141</v>
      </c>
      <c r="AE9" s="84">
        <v>0.44861928474422813</v>
      </c>
      <c r="AF9" s="81" t="s">
        <v>161</v>
      </c>
      <c r="AG9" s="88">
        <v>87400</v>
      </c>
    </row>
    <row r="10" spans="1:33" x14ac:dyDescent="0.4">
      <c r="A10" s="78">
        <v>8</v>
      </c>
      <c r="B10" s="79" t="s">
        <v>274</v>
      </c>
      <c r="C10" s="80">
        <v>-47.6</v>
      </c>
      <c r="D10" s="81" t="s">
        <v>196</v>
      </c>
      <c r="E10" s="93">
        <v>-1.8280000000000001</v>
      </c>
      <c r="F10" s="81" t="s">
        <v>196</v>
      </c>
      <c r="G10" s="82">
        <v>2.04</v>
      </c>
      <c r="H10" s="81" t="s">
        <v>127</v>
      </c>
      <c r="I10" s="83">
        <v>0.33333333333333331</v>
      </c>
      <c r="J10" s="81" t="s">
        <v>274</v>
      </c>
      <c r="K10" s="83">
        <v>0.38461538461538464</v>
      </c>
      <c r="L10" s="81" t="s">
        <v>161</v>
      </c>
      <c r="M10" s="84">
        <v>0.27833572453371591</v>
      </c>
      <c r="N10" s="81" t="s">
        <v>196</v>
      </c>
      <c r="O10" s="84">
        <v>0.17499999999999999</v>
      </c>
      <c r="P10" s="81" t="s">
        <v>127</v>
      </c>
      <c r="Q10" s="85">
        <v>8215.6565656565654</v>
      </c>
      <c r="R10" s="81" t="s">
        <v>280</v>
      </c>
      <c r="S10" s="85">
        <v>-7987.5</v>
      </c>
      <c r="T10" s="81" t="s">
        <v>127</v>
      </c>
      <c r="U10" s="83">
        <v>0.11538461538461539</v>
      </c>
      <c r="V10" s="81" t="s">
        <v>171</v>
      </c>
      <c r="W10" s="84">
        <v>0.26041666666666669</v>
      </c>
      <c r="X10" s="81" t="s">
        <v>197</v>
      </c>
      <c r="Y10" s="84">
        <v>0.22823984526112184</v>
      </c>
      <c r="Z10" s="81" t="s">
        <v>172</v>
      </c>
      <c r="AA10" s="84">
        <v>0.53679653679653683</v>
      </c>
      <c r="AB10" s="81" t="s">
        <v>161</v>
      </c>
      <c r="AC10" s="84">
        <v>0.4157303370786517</v>
      </c>
      <c r="AD10" s="81" t="s">
        <v>171</v>
      </c>
      <c r="AE10" s="84">
        <v>0.44409937888198758</v>
      </c>
      <c r="AF10" s="81" t="s">
        <v>197</v>
      </c>
      <c r="AG10" s="88">
        <v>85100</v>
      </c>
    </row>
    <row r="11" spans="1:33" x14ac:dyDescent="0.4">
      <c r="A11" s="78">
        <v>9</v>
      </c>
      <c r="B11" s="79" t="s">
        <v>280</v>
      </c>
      <c r="C11" s="80">
        <v>-80.800000000000011</v>
      </c>
      <c r="D11" s="81" t="s">
        <v>274</v>
      </c>
      <c r="E11" s="93">
        <v>-3.6615384615384619</v>
      </c>
      <c r="F11" s="81" t="s">
        <v>171</v>
      </c>
      <c r="G11" s="82">
        <v>2.056338028169014</v>
      </c>
      <c r="H11" s="81" t="s">
        <v>141</v>
      </c>
      <c r="I11" s="83">
        <v>0.33333333333333331</v>
      </c>
      <c r="J11" s="81" t="s">
        <v>172</v>
      </c>
      <c r="K11" s="83">
        <v>0.39175257731958762</v>
      </c>
      <c r="L11" s="81" t="s">
        <v>170</v>
      </c>
      <c r="M11" s="84">
        <v>0.27756286266924562</v>
      </c>
      <c r="N11" s="81" t="s">
        <v>197</v>
      </c>
      <c r="O11" s="84">
        <v>0.17794970986460348</v>
      </c>
      <c r="P11" s="81" t="s">
        <v>197</v>
      </c>
      <c r="Q11" s="85">
        <v>8070.1492537313434</v>
      </c>
      <c r="R11" s="81" t="s">
        <v>203</v>
      </c>
      <c r="S11" s="85">
        <v>-8000</v>
      </c>
      <c r="T11" s="81" t="s">
        <v>170</v>
      </c>
      <c r="U11" s="83">
        <v>0.11811023622047244</v>
      </c>
      <c r="V11" s="81" t="s">
        <v>196</v>
      </c>
      <c r="W11" s="84">
        <v>0.25833333333333336</v>
      </c>
      <c r="X11" s="81" t="s">
        <v>172</v>
      </c>
      <c r="Y11" s="84">
        <v>0.19347037484885127</v>
      </c>
      <c r="Z11" s="81" t="s">
        <v>228</v>
      </c>
      <c r="AA11" s="84">
        <v>0.53333333333333333</v>
      </c>
      <c r="AB11" s="81" t="s">
        <v>172</v>
      </c>
      <c r="AC11" s="84">
        <v>0.41249999999999998</v>
      </c>
      <c r="AD11" s="81" t="s">
        <v>161</v>
      </c>
      <c r="AE11" s="84">
        <v>0.42783505154639173</v>
      </c>
      <c r="AF11" s="81" t="s">
        <v>281</v>
      </c>
      <c r="AG11" s="88">
        <v>70900</v>
      </c>
    </row>
    <row r="12" spans="1:33" x14ac:dyDescent="0.4">
      <c r="A12" s="78">
        <v>10</v>
      </c>
      <c r="B12" s="79" t="s">
        <v>228</v>
      </c>
      <c r="C12" s="80">
        <v>-104.80000000000001</v>
      </c>
      <c r="D12" s="81" t="s">
        <v>161</v>
      </c>
      <c r="E12" s="93">
        <v>-5.4820512820512857</v>
      </c>
      <c r="F12" s="81" t="s">
        <v>161</v>
      </c>
      <c r="G12" s="82">
        <v>2.1153846153846154</v>
      </c>
      <c r="H12" s="81" t="s">
        <v>161</v>
      </c>
      <c r="I12" s="83">
        <v>0.32051282051282054</v>
      </c>
      <c r="J12" s="81" t="s">
        <v>196</v>
      </c>
      <c r="K12" s="83">
        <v>0.4</v>
      </c>
      <c r="L12" s="81" t="s">
        <v>172</v>
      </c>
      <c r="M12" s="84">
        <v>0.27085852478839179</v>
      </c>
      <c r="N12" s="81" t="s">
        <v>172</v>
      </c>
      <c r="O12" s="84">
        <v>0.18016928657799275</v>
      </c>
      <c r="P12" s="81" t="s">
        <v>172</v>
      </c>
      <c r="Q12" s="85">
        <v>7832.1428571428569</v>
      </c>
      <c r="R12" s="81" t="s">
        <v>170</v>
      </c>
      <c r="S12" s="85">
        <v>-8116.9491525423728</v>
      </c>
      <c r="T12" s="81" t="s">
        <v>196</v>
      </c>
      <c r="U12" s="83">
        <v>0.12</v>
      </c>
      <c r="V12" s="81" t="s">
        <v>141</v>
      </c>
      <c r="W12" s="84">
        <v>0.25353616226314385</v>
      </c>
      <c r="X12" s="81" t="s">
        <v>170</v>
      </c>
      <c r="Y12" s="84">
        <v>0.18568665377176016</v>
      </c>
      <c r="Z12" s="81" t="s">
        <v>197</v>
      </c>
      <c r="AA12" s="84">
        <v>0.52293577981651373</v>
      </c>
      <c r="AB12" s="81" t="s">
        <v>170</v>
      </c>
      <c r="AC12" s="84">
        <v>0.390625</v>
      </c>
      <c r="AD12" s="81" t="s">
        <v>126</v>
      </c>
      <c r="AE12" s="84">
        <v>0.42769857433808556</v>
      </c>
      <c r="AF12" s="81" t="s">
        <v>172</v>
      </c>
      <c r="AG12" s="88">
        <v>69500</v>
      </c>
    </row>
    <row r="13" spans="1:33" x14ac:dyDescent="0.4">
      <c r="A13" s="78">
        <v>11</v>
      </c>
      <c r="B13" s="79" t="s">
        <v>171</v>
      </c>
      <c r="C13" s="80">
        <v>-142.29999999999998</v>
      </c>
      <c r="D13" s="81" t="s">
        <v>172</v>
      </c>
      <c r="E13" s="93">
        <v>-6.9432989690721634</v>
      </c>
      <c r="F13" s="81" t="s">
        <v>228</v>
      </c>
      <c r="G13" s="82">
        <v>2.1428571428571428</v>
      </c>
      <c r="H13" s="81" t="s">
        <v>171</v>
      </c>
      <c r="I13" s="83">
        <v>0.24647887323943662</v>
      </c>
      <c r="J13" s="81" t="s">
        <v>280</v>
      </c>
      <c r="K13" s="83">
        <v>0.4</v>
      </c>
      <c r="L13" s="81" t="s">
        <v>196</v>
      </c>
      <c r="M13" s="84">
        <v>0.26250000000000001</v>
      </c>
      <c r="N13" s="81" t="s">
        <v>127</v>
      </c>
      <c r="O13" s="84">
        <v>0.18238021638330756</v>
      </c>
      <c r="P13" s="81" t="s">
        <v>228</v>
      </c>
      <c r="Q13" s="85">
        <v>7473.333333333333</v>
      </c>
      <c r="R13" s="81" t="s">
        <v>274</v>
      </c>
      <c r="S13" s="85">
        <v>-8205</v>
      </c>
      <c r="T13" s="81" t="s">
        <v>197</v>
      </c>
      <c r="U13" s="83">
        <v>0.16129032258064516</v>
      </c>
      <c r="V13" s="81" t="s">
        <v>228</v>
      </c>
      <c r="W13" s="84">
        <v>0.24193548387096775</v>
      </c>
      <c r="X13" s="81" t="s">
        <v>281</v>
      </c>
      <c r="Y13" s="84">
        <v>0.15942028985507245</v>
      </c>
      <c r="Z13" s="81" t="s">
        <v>161</v>
      </c>
      <c r="AA13" s="84">
        <v>0.52</v>
      </c>
      <c r="AB13" s="81" t="s">
        <v>127</v>
      </c>
      <c r="AC13" s="84">
        <v>0.37628865979381443</v>
      </c>
      <c r="AD13" s="81" t="s">
        <v>127</v>
      </c>
      <c r="AE13" s="84">
        <v>0.41414141414141414</v>
      </c>
      <c r="AF13" s="81" t="s">
        <v>274</v>
      </c>
      <c r="AG13" s="88">
        <v>65900</v>
      </c>
    </row>
    <row r="14" spans="1:33" x14ac:dyDescent="0.4">
      <c r="A14" s="78">
        <v>12</v>
      </c>
      <c r="B14" s="79" t="s">
        <v>161</v>
      </c>
      <c r="C14" s="80">
        <v>-427.60000000000025</v>
      </c>
      <c r="D14" s="81" t="s">
        <v>197</v>
      </c>
      <c r="E14" s="93">
        <v>-10.732258064516131</v>
      </c>
      <c r="F14" s="81" t="s">
        <v>172</v>
      </c>
      <c r="G14" s="82">
        <v>2.1752577319587627</v>
      </c>
      <c r="H14" s="81" t="s">
        <v>172</v>
      </c>
      <c r="I14" s="83">
        <v>0.21649484536082475</v>
      </c>
      <c r="J14" s="81" t="s">
        <v>197</v>
      </c>
      <c r="K14" s="83">
        <v>0.43548387096774194</v>
      </c>
      <c r="L14" s="81" t="s">
        <v>197</v>
      </c>
      <c r="M14" s="84">
        <v>0.25918762088974856</v>
      </c>
      <c r="N14" s="81" t="s">
        <v>228</v>
      </c>
      <c r="O14" s="84">
        <v>0.19354838709677419</v>
      </c>
      <c r="P14" s="81" t="s">
        <v>203</v>
      </c>
      <c r="Q14" s="85">
        <v>7385.7142857142853</v>
      </c>
      <c r="R14" s="81" t="s">
        <v>197</v>
      </c>
      <c r="S14" s="85">
        <v>-8323.9130434782601</v>
      </c>
      <c r="T14" s="81" t="s">
        <v>280</v>
      </c>
      <c r="U14" s="83">
        <v>0.2</v>
      </c>
      <c r="V14" s="81" t="s">
        <v>127</v>
      </c>
      <c r="W14" s="84">
        <v>0.2357032457496136</v>
      </c>
      <c r="X14" s="81" t="s">
        <v>196</v>
      </c>
      <c r="Y14" s="84">
        <v>0.15</v>
      </c>
      <c r="Z14" s="81" t="s">
        <v>127</v>
      </c>
      <c r="AA14" s="84">
        <v>0.50819672131147542</v>
      </c>
      <c r="AB14" s="81" t="s">
        <v>196</v>
      </c>
      <c r="AC14" s="84">
        <v>0.33333333333333331</v>
      </c>
      <c r="AD14" s="81" t="s">
        <v>228</v>
      </c>
      <c r="AE14" s="84">
        <v>0.33333333333333331</v>
      </c>
      <c r="AF14" s="81" t="s">
        <v>228</v>
      </c>
      <c r="AG14" s="88">
        <v>59500</v>
      </c>
    </row>
    <row r="15" spans="1:33" x14ac:dyDescent="0.4">
      <c r="A15" s="78">
        <v>13</v>
      </c>
      <c r="B15" s="79" t="s">
        <v>197</v>
      </c>
      <c r="C15" s="80">
        <v>-665.40000000000009</v>
      </c>
      <c r="D15" s="81" t="s">
        <v>228</v>
      </c>
      <c r="E15" s="93">
        <v>-14.971428571428573</v>
      </c>
      <c r="F15" s="81" t="s">
        <v>280</v>
      </c>
      <c r="G15" s="82">
        <v>2.2000000000000002</v>
      </c>
      <c r="H15" s="81" t="s">
        <v>280</v>
      </c>
      <c r="I15" s="83">
        <v>0.2</v>
      </c>
      <c r="J15" s="81" t="s">
        <v>161</v>
      </c>
      <c r="K15" s="83">
        <v>0.4358974358974359</v>
      </c>
      <c r="L15" s="81" t="s">
        <v>228</v>
      </c>
      <c r="M15" s="84">
        <v>0.24193548387096775</v>
      </c>
      <c r="N15" s="81" t="s">
        <v>280</v>
      </c>
      <c r="O15" s="84">
        <v>0.2</v>
      </c>
      <c r="P15" s="81" t="s">
        <v>161</v>
      </c>
      <c r="Q15" s="85">
        <v>7171.1340206185569</v>
      </c>
      <c r="R15" s="81" t="s">
        <v>281</v>
      </c>
      <c r="S15" s="85">
        <v>-8437.5</v>
      </c>
      <c r="T15" s="81" t="s">
        <v>274</v>
      </c>
      <c r="U15" s="83">
        <v>0.23076923076923078</v>
      </c>
      <c r="V15" s="81" t="s">
        <v>197</v>
      </c>
      <c r="W15" s="84">
        <v>0.21083172147001933</v>
      </c>
      <c r="X15" s="81" t="s">
        <v>280</v>
      </c>
      <c r="Y15" s="84">
        <v>0.15</v>
      </c>
      <c r="Z15" s="81" t="s">
        <v>203</v>
      </c>
      <c r="AA15" s="84">
        <v>0.5</v>
      </c>
      <c r="AB15" s="81" t="s">
        <v>280</v>
      </c>
      <c r="AC15" s="84">
        <v>0.33333333333333331</v>
      </c>
      <c r="AD15" s="81" t="s">
        <v>203</v>
      </c>
      <c r="AE15" s="84">
        <v>0.2857142857142857</v>
      </c>
      <c r="AF15" s="81" t="s">
        <v>203</v>
      </c>
      <c r="AG15" s="88">
        <v>52800</v>
      </c>
    </row>
    <row r="16" spans="1:33" x14ac:dyDescent="0.4">
      <c r="A16" s="78">
        <v>14</v>
      </c>
      <c r="B16" s="79" t="s">
        <v>172</v>
      </c>
      <c r="C16" s="80">
        <v>-673.49999999999989</v>
      </c>
      <c r="D16" s="81" t="s">
        <v>280</v>
      </c>
      <c r="E16" s="93">
        <v>-16.160000000000004</v>
      </c>
      <c r="F16" s="81" t="s">
        <v>197</v>
      </c>
      <c r="G16" s="82">
        <v>2.274193548387097</v>
      </c>
      <c r="H16" s="81" t="s">
        <v>197</v>
      </c>
      <c r="I16" s="83">
        <v>0.16129032258064516</v>
      </c>
      <c r="J16" s="81" t="s">
        <v>228</v>
      </c>
      <c r="K16" s="83">
        <v>0.5714285714285714</v>
      </c>
      <c r="L16" s="81" t="s">
        <v>280</v>
      </c>
      <c r="M16" s="84">
        <v>0.2</v>
      </c>
      <c r="N16" s="81" t="s">
        <v>281</v>
      </c>
      <c r="O16" s="84">
        <v>0.2318840579710145</v>
      </c>
      <c r="P16" s="81" t="s">
        <v>274</v>
      </c>
      <c r="Q16" s="85">
        <v>6407.1428571428569</v>
      </c>
      <c r="R16" s="81" t="s">
        <v>228</v>
      </c>
      <c r="S16" s="85">
        <v>-9075</v>
      </c>
      <c r="T16" s="81" t="s">
        <v>228</v>
      </c>
      <c r="U16" s="83">
        <v>0.5714285714285714</v>
      </c>
      <c r="V16" s="81" t="s">
        <v>161</v>
      </c>
      <c r="W16" s="84">
        <v>0.14347202295552366</v>
      </c>
      <c r="X16" s="81" t="s">
        <v>274</v>
      </c>
      <c r="Y16" s="84">
        <v>0.1271186440677966</v>
      </c>
      <c r="Z16" s="81" t="s">
        <v>280</v>
      </c>
      <c r="AA16" s="84">
        <v>0.4</v>
      </c>
      <c r="AB16" s="81" t="s">
        <v>228</v>
      </c>
      <c r="AC16" s="84">
        <v>0.27272727272727271</v>
      </c>
      <c r="AD16" s="81" t="s">
        <v>280</v>
      </c>
      <c r="AE16" s="84">
        <v>0.25</v>
      </c>
      <c r="AF16" s="81" t="s">
        <v>280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A6EC4-2334-478F-98A5-E0D233397B9F}">
  <sheetPr codeName="Sheet4"/>
  <dimension ref="A1:Q89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897</v>
      </c>
      <c r="C2" s="155"/>
      <c r="E2" s="58" t="s">
        <v>66</v>
      </c>
      <c r="F2" s="55" t="s">
        <v>22</v>
      </c>
      <c r="G2" s="43">
        <v>1673</v>
      </c>
      <c r="H2" s="128">
        <f>IF(B$15=0,0,G2/B$15)</f>
        <v>0.75735626980534176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-30.201342281879196</v>
      </c>
      <c r="P2" s="114">
        <v>894</v>
      </c>
      <c r="Q2" s="98">
        <v>-27000</v>
      </c>
    </row>
    <row r="3" spans="1:17" x14ac:dyDescent="0.4">
      <c r="A3" s="51" t="s">
        <v>8</v>
      </c>
      <c r="B3" s="156">
        <v>7494</v>
      </c>
      <c r="C3" s="157"/>
      <c r="E3" s="59" t="s">
        <v>72</v>
      </c>
      <c r="F3" s="56" t="s">
        <v>27</v>
      </c>
      <c r="G3" s="44">
        <v>1182</v>
      </c>
      <c r="H3" s="129">
        <f>IF(B$15=0,0,G3/B$15)</f>
        <v>0.53508374830239924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9.0702947845804989</v>
      </c>
      <c r="P3" s="115">
        <v>882</v>
      </c>
      <c r="Q3" s="99">
        <v>8000</v>
      </c>
    </row>
    <row r="4" spans="1:17" x14ac:dyDescent="0.4">
      <c r="A4" s="51" t="s">
        <v>6</v>
      </c>
      <c r="B4" s="158">
        <v>-5.6843418860808015E-14</v>
      </c>
      <c r="C4" s="159"/>
      <c r="E4" s="59" t="s">
        <v>64</v>
      </c>
      <c r="F4" s="56" t="s">
        <v>20</v>
      </c>
      <c r="G4" s="44">
        <v>1010</v>
      </c>
      <c r="H4" s="129">
        <f>IF(B$15=0,0,G4/B$15)</f>
        <v>0.457220461747397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-2.4154589371980677</v>
      </c>
      <c r="P4" s="115">
        <v>828</v>
      </c>
      <c r="Q4" s="99">
        <v>-2000</v>
      </c>
    </row>
    <row r="5" spans="1:17" x14ac:dyDescent="0.4">
      <c r="A5" s="51" t="s">
        <v>7</v>
      </c>
      <c r="B5" s="160">
        <f>IF(B$2=0,0,B$4/B$2)</f>
        <v>-6.3370589588414731E-17</v>
      </c>
      <c r="C5" s="161"/>
      <c r="E5" s="59" t="s">
        <v>166</v>
      </c>
      <c r="F5" s="56" t="s">
        <v>167</v>
      </c>
      <c r="G5" s="44">
        <v>858</v>
      </c>
      <c r="H5" s="129">
        <f>IF(B$15=0,0,G5/B$15)</f>
        <v>0.38841104572204616</v>
      </c>
      <c r="I5" s="90">
        <v>6</v>
      </c>
      <c r="K5" s="36">
        <v>3</v>
      </c>
      <c r="L5" s="95">
        <v>0</v>
      </c>
      <c r="N5" s="111" t="s">
        <v>133</v>
      </c>
      <c r="O5" s="118">
        <f t="shared" si="0"/>
        <v>8.9743589743589745</v>
      </c>
      <c r="P5" s="115">
        <v>780</v>
      </c>
      <c r="Q5" s="99">
        <v>7000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689</v>
      </c>
      <c r="H6" s="129">
        <f>IF(B$15=0,0,G6/B$15)</f>
        <v>0.31190583974649161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4.1841004184100417</v>
      </c>
      <c r="P6" s="115">
        <v>717</v>
      </c>
      <c r="Q6" s="99">
        <v>3000</v>
      </c>
    </row>
    <row r="7" spans="1:17" x14ac:dyDescent="0.4">
      <c r="A7" s="51" t="s">
        <v>2</v>
      </c>
      <c r="B7" s="44">
        <v>299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621</v>
      </c>
      <c r="H7" s="129">
        <f>IF(B$15=0,0,G7/B$15)</f>
        <v>0.2811226799456768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15.075376884422111</v>
      </c>
      <c r="P7" s="116">
        <v>597</v>
      </c>
      <c r="Q7" s="100">
        <v>9000</v>
      </c>
    </row>
    <row r="8" spans="1:17" x14ac:dyDescent="0.4">
      <c r="A8" s="51" t="s">
        <v>3</v>
      </c>
      <c r="B8" s="44">
        <v>299</v>
      </c>
      <c r="C8" s="37">
        <f t="shared" si="1"/>
        <v>0.33333333333333331</v>
      </c>
      <c r="E8" s="59" t="s">
        <v>69</v>
      </c>
      <c r="F8" s="56" t="s">
        <v>24</v>
      </c>
      <c r="G8" s="44">
        <v>316</v>
      </c>
      <c r="H8" s="129">
        <f>IF(B$15=0,0,G8/B$15)</f>
        <v>0.14305115436849253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299</v>
      </c>
      <c r="C9" s="38">
        <f t="shared" si="1"/>
        <v>0.33333333333333331</v>
      </c>
      <c r="E9" s="59" t="s">
        <v>89</v>
      </c>
      <c r="F9" s="56" t="s">
        <v>44</v>
      </c>
      <c r="G9" s="44">
        <v>306</v>
      </c>
      <c r="H9" s="129">
        <f>IF(B$15=0,0,G9/B$15)</f>
        <v>0.13852421910366683</v>
      </c>
      <c r="I9" s="90">
        <v>6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85</v>
      </c>
      <c r="C10" s="40">
        <f t="shared" si="1"/>
        <v>9.4760312151616496E-2</v>
      </c>
      <c r="E10" s="59" t="s">
        <v>65</v>
      </c>
      <c r="F10" s="56" t="s">
        <v>21</v>
      </c>
      <c r="G10" s="44">
        <v>232</v>
      </c>
      <c r="H10" s="129">
        <f>IF(B$15=0,0,G10/B$15)</f>
        <v>0.10502489814395655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-3.0969899665551837</v>
      </c>
      <c r="P10" s="114">
        <v>299</v>
      </c>
      <c r="Q10" s="102">
        <v>-925.99999999999989</v>
      </c>
    </row>
    <row r="11" spans="1:17" x14ac:dyDescent="0.4">
      <c r="A11" s="54" t="s">
        <v>121</v>
      </c>
      <c r="B11" s="47">
        <v>1900</v>
      </c>
      <c r="C11" s="42">
        <f>IF(B$3=0,0,B11/B$3)</f>
        <v>0.25353616226314385</v>
      </c>
      <c r="E11" s="59" t="s">
        <v>70</v>
      </c>
      <c r="F11" s="56" t="s">
        <v>25</v>
      </c>
      <c r="G11" s="44">
        <v>201</v>
      </c>
      <c r="H11" s="129">
        <f>IF(B$15=0,0,G11/B$15)</f>
        <v>9.0991398822996825E-2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0.58662207357859542</v>
      </c>
      <c r="P11" s="115">
        <v>299</v>
      </c>
      <c r="Q11" s="103">
        <v>175.40000000000003</v>
      </c>
    </row>
    <row r="12" spans="1:17" x14ac:dyDescent="0.4">
      <c r="A12" s="51" t="s">
        <v>118</v>
      </c>
      <c r="B12" s="44">
        <v>1734</v>
      </c>
      <c r="C12" s="37">
        <f>IF(B$3=0,0,B12/B$3)</f>
        <v>0.23138510808646917</v>
      </c>
      <c r="E12" s="59" t="s">
        <v>71</v>
      </c>
      <c r="F12" s="56" t="s">
        <v>26</v>
      </c>
      <c r="G12" s="44">
        <v>175</v>
      </c>
      <c r="H12" s="129">
        <f>IF(B$15=0,0,G12/B$15)</f>
        <v>7.922136713444998E-2</v>
      </c>
      <c r="I12" s="90">
        <v>8</v>
      </c>
      <c r="K12" s="36">
        <v>10</v>
      </c>
      <c r="L12" s="95">
        <v>-12</v>
      </c>
      <c r="N12" s="112" t="s">
        <v>159</v>
      </c>
      <c r="O12" s="122">
        <f>IF(P12=0,0,Q12/P12)</f>
        <v>2.5103678929765874</v>
      </c>
      <c r="P12" s="116">
        <v>299</v>
      </c>
      <c r="Q12" s="104">
        <v>750.59999999999968</v>
      </c>
    </row>
    <row r="13" spans="1:17" x14ac:dyDescent="0.4">
      <c r="A13" s="50" t="s">
        <v>123</v>
      </c>
      <c r="B13" s="43">
        <f>B19</f>
        <v>1046</v>
      </c>
      <c r="C13" s="35">
        <f>IF(B$11=0,0,B13/B$11)</f>
        <v>0.55052631578947364</v>
      </c>
      <c r="E13" s="59" t="s">
        <v>83</v>
      </c>
      <c r="F13" s="56" t="s">
        <v>38</v>
      </c>
      <c r="G13" s="44">
        <v>113</v>
      </c>
      <c r="H13" s="129">
        <f>IF(B$15=0,0,G13/B$15)</f>
        <v>5.1154368492530557E-2</v>
      </c>
      <c r="I13" s="90">
        <v>6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730</v>
      </c>
      <c r="C14" s="35">
        <f>IF(B$12=0,0,B14/B$12)</f>
        <v>0.42099192618223757</v>
      </c>
      <c r="E14" s="59" t="s">
        <v>86</v>
      </c>
      <c r="F14" s="56" t="s">
        <v>41</v>
      </c>
      <c r="G14" s="44">
        <v>109</v>
      </c>
      <c r="H14" s="129">
        <f>IF(B$15=0,0,G14/B$15)</f>
        <v>4.934359438660027E-2</v>
      </c>
      <c r="I14" s="90">
        <v>5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2209</v>
      </c>
      <c r="C15" s="35">
        <f>IF(B$3=0,0,B15/B$3)</f>
        <v>0.29476914865225512</v>
      </c>
      <c r="E15" s="59" t="s">
        <v>78</v>
      </c>
      <c r="F15" s="56" t="s">
        <v>33</v>
      </c>
      <c r="G15" s="44">
        <v>63</v>
      </c>
      <c r="H15" s="129">
        <f>IF(B$15=0,0,G15/B$15)</f>
        <v>2.8519692168401993E-2</v>
      </c>
      <c r="I15" s="90">
        <v>6</v>
      </c>
      <c r="K15" s="36">
        <v>13</v>
      </c>
      <c r="L15" s="95">
        <v>-1.7</v>
      </c>
      <c r="N15" s="110" t="s">
        <v>280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">
      <c r="A16" s="51" t="s">
        <v>13</v>
      </c>
      <c r="B16" s="44">
        <v>1206</v>
      </c>
      <c r="C16" s="37">
        <f>IF(B$3=0,0,B16/B$3)</f>
        <v>0.16092874299439552</v>
      </c>
      <c r="E16" s="59" t="s">
        <v>162</v>
      </c>
      <c r="F16" s="56" t="s">
        <v>163</v>
      </c>
      <c r="G16" s="44">
        <v>48</v>
      </c>
      <c r="H16" s="129">
        <f>IF(B$15=0,0,G16/B$15)</f>
        <v>2.1729289271163424E-2</v>
      </c>
      <c r="I16" s="90">
        <v>3</v>
      </c>
      <c r="K16" s="36">
        <v>14</v>
      </c>
      <c r="L16" s="95">
        <v>24.3</v>
      </c>
      <c r="N16" s="111" t="s">
        <v>228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1" t="s">
        <v>12</v>
      </c>
      <c r="B17" s="44">
        <v>991</v>
      </c>
      <c r="C17" s="37">
        <f>IF(B$15=0,0,B17/B$15)</f>
        <v>0.44861928474422813</v>
      </c>
      <c r="E17" s="59" t="s">
        <v>81</v>
      </c>
      <c r="F17" s="56" t="s">
        <v>36</v>
      </c>
      <c r="G17" s="44">
        <v>47</v>
      </c>
      <c r="H17" s="129">
        <f>IF(B$15=0,0,G17/B$15)</f>
        <v>2.1276595744680851E-2</v>
      </c>
      <c r="I17" s="90">
        <v>4</v>
      </c>
      <c r="K17" s="36">
        <v>15</v>
      </c>
      <c r="L17" s="95">
        <v>0</v>
      </c>
      <c r="N17" s="111" t="s">
        <v>197</v>
      </c>
      <c r="O17" s="121">
        <f>IF(P17=0,0,Q17/P17)</f>
        <v>16.098387096774179</v>
      </c>
      <c r="P17" s="115">
        <v>124</v>
      </c>
      <c r="Q17" s="103">
        <v>1996.1999999999982</v>
      </c>
    </row>
    <row r="18" spans="1:17" x14ac:dyDescent="0.4">
      <c r="A18" s="51" t="s">
        <v>11</v>
      </c>
      <c r="B18" s="44">
        <v>1218</v>
      </c>
      <c r="C18" s="37">
        <f>IF(B$15=0,0,B18/B$15)</f>
        <v>0.55138071525577181</v>
      </c>
      <c r="E18" s="59" t="s">
        <v>91</v>
      </c>
      <c r="F18" s="56" t="s">
        <v>46</v>
      </c>
      <c r="G18" s="44">
        <v>34</v>
      </c>
      <c r="H18" s="129">
        <f>IF(B$15=0,0,G18/B$15)</f>
        <v>1.5391579900407425E-2</v>
      </c>
      <c r="I18" s="90">
        <v>4</v>
      </c>
      <c r="K18" s="36">
        <v>16</v>
      </c>
      <c r="L18" s="95">
        <v>-28.2</v>
      </c>
      <c r="N18" s="111" t="s">
        <v>172</v>
      </c>
      <c r="O18" s="121">
        <f>IF(P18=0,0,Q18/P18)</f>
        <v>10.414948453608243</v>
      </c>
      <c r="P18" s="115">
        <v>194</v>
      </c>
      <c r="Q18" s="103">
        <v>2020.4999999999991</v>
      </c>
    </row>
    <row r="19" spans="1:17" x14ac:dyDescent="0.4">
      <c r="A19" s="51" t="s">
        <v>195</v>
      </c>
      <c r="B19" s="44">
        <v>1046</v>
      </c>
      <c r="C19" s="37">
        <f>IF(B$15=0,0,B19/B$15)</f>
        <v>0.47351742870076957</v>
      </c>
      <c r="E19" s="59" t="s">
        <v>79</v>
      </c>
      <c r="F19" s="56" t="s">
        <v>34</v>
      </c>
      <c r="G19" s="44">
        <v>31</v>
      </c>
      <c r="H19" s="129">
        <f>IF(B$15=0,0,G19/B$15)</f>
        <v>1.403349932095971E-2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5.6005813953488293</v>
      </c>
      <c r="P19" s="115">
        <v>172</v>
      </c>
      <c r="Q19" s="103">
        <v>963.2999999999987</v>
      </c>
    </row>
    <row r="20" spans="1:17" x14ac:dyDescent="0.4">
      <c r="A20" s="51" t="s">
        <v>193</v>
      </c>
      <c r="B20" s="44">
        <v>730</v>
      </c>
      <c r="C20" s="37">
        <f>IF(B$15=0,0,B20/B$15)</f>
        <v>0.33046627433227704</v>
      </c>
      <c r="E20" s="59" t="s">
        <v>75</v>
      </c>
      <c r="F20" s="56" t="s">
        <v>30</v>
      </c>
      <c r="G20" s="44">
        <v>17</v>
      </c>
      <c r="H20" s="129">
        <f>IF(B$15=0,0,G20/B$15)</f>
        <v>7.6957899502037123E-3</v>
      </c>
      <c r="I20" s="90">
        <v>5</v>
      </c>
      <c r="K20" s="36">
        <v>18</v>
      </c>
      <c r="L20" s="95">
        <v>0</v>
      </c>
      <c r="N20" s="111" t="s">
        <v>274</v>
      </c>
      <c r="O20" s="121">
        <f>IF(P20=0,0,Q20/P20)</f>
        <v>5.4923076923076897</v>
      </c>
      <c r="P20" s="115">
        <v>26</v>
      </c>
      <c r="Q20" s="103">
        <v>142.79999999999993</v>
      </c>
    </row>
    <row r="21" spans="1:17" x14ac:dyDescent="0.4">
      <c r="A21" s="51" t="s">
        <v>194</v>
      </c>
      <c r="B21" s="44">
        <v>433</v>
      </c>
      <c r="C21" s="37">
        <f>IF(B$15=0,0,B21/B$15)</f>
        <v>0.19601629696695339</v>
      </c>
      <c r="E21" s="59" t="s">
        <v>85</v>
      </c>
      <c r="F21" s="56" t="s">
        <v>40</v>
      </c>
      <c r="G21" s="44">
        <v>13</v>
      </c>
      <c r="H21" s="129">
        <f>IF(B$15=0,0,G21/B$15)</f>
        <v>5.8850158442734267E-3</v>
      </c>
      <c r="I21" s="90">
        <v>6</v>
      </c>
      <c r="K21" s="36">
        <v>19</v>
      </c>
      <c r="L21" s="95">
        <v>-22.4</v>
      </c>
      <c r="N21" s="111" t="s">
        <v>196</v>
      </c>
      <c r="O21" s="121">
        <f>IF(P21=0,0,Q21/P21)</f>
        <v>2.742</v>
      </c>
      <c r="P21" s="115">
        <v>50</v>
      </c>
      <c r="Q21" s="103">
        <v>137.1</v>
      </c>
    </row>
    <row r="22" spans="1:17" x14ac:dyDescent="0.4">
      <c r="A22" s="51" t="s">
        <v>5</v>
      </c>
      <c r="B22" s="48">
        <f>IF(B$15=0,0,C22/B$15)</f>
        <v>8399.0040742417386</v>
      </c>
      <c r="C22" s="39">
        <v>18553400</v>
      </c>
      <c r="E22" s="59" t="s">
        <v>92</v>
      </c>
      <c r="F22" s="56" t="s">
        <v>47</v>
      </c>
      <c r="G22" s="44">
        <v>13</v>
      </c>
      <c r="H22" s="129">
        <f>IF(B$15=0,0,G22/B$15)</f>
        <v>5.8850158442734267E-3</v>
      </c>
      <c r="I22" s="90">
        <v>5</v>
      </c>
      <c r="K22" s="36">
        <v>20</v>
      </c>
      <c r="L22" s="95">
        <v>-61.199999999999996</v>
      </c>
      <c r="N22" s="111" t="s">
        <v>171</v>
      </c>
      <c r="O22" s="121">
        <f>IF(P22=0,0,Q22/P22)</f>
        <v>1.5031690140845073</v>
      </c>
      <c r="P22" s="115">
        <v>284</v>
      </c>
      <c r="Q22" s="103">
        <v>426.90000000000009</v>
      </c>
    </row>
    <row r="23" spans="1:17" x14ac:dyDescent="0.4">
      <c r="A23" s="52" t="s">
        <v>177</v>
      </c>
      <c r="B23" s="136">
        <f>IF($B$15-B$14=0,0,C23/($B$15-B$14))</f>
        <v>9047.532116294793</v>
      </c>
      <c r="C23" s="137">
        <v>13381300</v>
      </c>
      <c r="E23" s="59" t="s">
        <v>73</v>
      </c>
      <c r="F23" s="56" t="s">
        <v>28</v>
      </c>
      <c r="G23" s="44">
        <v>8</v>
      </c>
      <c r="H23" s="129">
        <f>IF(B$15=0,0,G23/B$15)</f>
        <v>3.6215482118605704E-3</v>
      </c>
      <c r="I23" s="90">
        <v>3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0.11634615384615</v>
      </c>
      <c r="P23" s="115">
        <v>312</v>
      </c>
      <c r="Q23" s="103">
        <v>36.299999999998803</v>
      </c>
    </row>
    <row r="24" spans="1:17" x14ac:dyDescent="0.4">
      <c r="A24" s="52" t="s">
        <v>178</v>
      </c>
      <c r="B24" s="136">
        <f>IF(B$14=0,0,C24/B$14)</f>
        <v>7085.0684931506848</v>
      </c>
      <c r="C24" s="137">
        <v>5172100</v>
      </c>
      <c r="E24" s="59" t="s">
        <v>74</v>
      </c>
      <c r="F24" s="56" t="s">
        <v>29</v>
      </c>
      <c r="G24" s="44">
        <v>8</v>
      </c>
      <c r="H24" s="129">
        <f>IF(B$15=0,0,G24/B$15)</f>
        <v>3.6215482118605704E-3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-6.2751968503936926</v>
      </c>
      <c r="P24" s="115">
        <v>254</v>
      </c>
      <c r="Q24" s="103">
        <v>-1593.8999999999978</v>
      </c>
    </row>
    <row r="25" spans="1:17" x14ac:dyDescent="0.4">
      <c r="A25" s="52" t="s">
        <v>176</v>
      </c>
      <c r="B25" s="136">
        <f>IF(B$16=0,0,C25/B$16)</f>
        <v>-7799.9170812603652</v>
      </c>
      <c r="C25" s="137">
        <v>-9406700</v>
      </c>
      <c r="E25" s="59" t="s">
        <v>84</v>
      </c>
      <c r="F25" s="56" t="s">
        <v>39</v>
      </c>
      <c r="G25" s="44">
        <v>7</v>
      </c>
      <c r="H25" s="129">
        <f>IF(B$15=0,0,G25/B$15)</f>
        <v>3.1688546853779992E-3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-13.164000000000005</v>
      </c>
      <c r="P25" s="115">
        <v>350</v>
      </c>
      <c r="Q25" s="103">
        <v>-4607.4000000000015</v>
      </c>
    </row>
    <row r="26" spans="1:17" x14ac:dyDescent="0.4">
      <c r="A26" s="51" t="s">
        <v>164</v>
      </c>
      <c r="B26" s="44">
        <v>7</v>
      </c>
      <c r="C26" s="131">
        <v>2</v>
      </c>
      <c r="E26" s="59" t="s">
        <v>77</v>
      </c>
      <c r="F26" s="56" t="s">
        <v>32</v>
      </c>
      <c r="G26" s="44">
        <v>6</v>
      </c>
      <c r="H26" s="129">
        <f>IF(B$15=0,0,G26/B$15)</f>
        <v>2.716161158895428E-3</v>
      </c>
      <c r="I26" s="90">
        <v>4</v>
      </c>
      <c r="K26" s="36">
        <v>24</v>
      </c>
      <c r="L26" s="95">
        <v>7.1054273576010019E-15</v>
      </c>
      <c r="N26" s="111" t="s">
        <v>203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">
      <c r="A27" s="51" t="s">
        <v>165</v>
      </c>
      <c r="B27" s="44">
        <v>31</v>
      </c>
      <c r="C27" s="131">
        <v>10</v>
      </c>
      <c r="E27" s="59" t="s">
        <v>88</v>
      </c>
      <c r="F27" s="56" t="s">
        <v>43</v>
      </c>
      <c r="G27" s="44">
        <v>5</v>
      </c>
      <c r="H27" s="129">
        <f>IF(B$15=0,0,G27/B$15)</f>
        <v>2.2634676324128564E-3</v>
      </c>
      <c r="I27" s="90">
        <v>4</v>
      </c>
      <c r="K27" s="36">
        <v>25</v>
      </c>
      <c r="L27" s="95">
        <v>15.000000000000007</v>
      </c>
    </row>
    <row r="28" spans="1:17" x14ac:dyDescent="0.4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4</v>
      </c>
      <c r="H28" s="129">
        <f>IF(B$15=0,0,G28/B$15)</f>
        <v>1.8107741059302852E-3</v>
      </c>
      <c r="I28" s="90">
        <v>5</v>
      </c>
      <c r="K28" s="36">
        <v>26</v>
      </c>
      <c r="L28" s="95">
        <v>0.60000000000000675</v>
      </c>
    </row>
    <row r="29" spans="1:17" x14ac:dyDescent="0.4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4</v>
      </c>
      <c r="H29" s="129">
        <f>IF(B$15=0,0,G29/B$15)</f>
        <v>1.8107741059302852E-3</v>
      </c>
      <c r="I29" s="90">
        <v>4</v>
      </c>
      <c r="K29" s="36">
        <v>27</v>
      </c>
      <c r="L29" s="95">
        <v>6.7723604502134549E-15</v>
      </c>
    </row>
    <row r="30" spans="1:17" x14ac:dyDescent="0.4">
      <c r="A30" s="53" t="s">
        <v>139</v>
      </c>
      <c r="B30" s="61">
        <v>21</v>
      </c>
      <c r="C30" s="40">
        <f>IF(B$3=0,0,B30/B$3)</f>
        <v>2.8022417934347476E-3</v>
      </c>
      <c r="E30" s="59" t="s">
        <v>93</v>
      </c>
      <c r="F30" s="56" t="s">
        <v>48</v>
      </c>
      <c r="G30" s="44">
        <v>4</v>
      </c>
      <c r="H30" s="129">
        <f>IF(B$15=0,0,G30/B$15)</f>
        <v>1.8107741059302852E-3</v>
      </c>
      <c r="I30" s="90">
        <v>4</v>
      </c>
      <c r="K30" s="36">
        <v>28</v>
      </c>
      <c r="L30" s="95">
        <v>-30.199999999999992</v>
      </c>
    </row>
    <row r="31" spans="1:17" x14ac:dyDescent="0.4">
      <c r="E31" s="59" t="s">
        <v>95</v>
      </c>
      <c r="F31" s="56" t="s">
        <v>50</v>
      </c>
      <c r="G31" s="44">
        <v>4</v>
      </c>
      <c r="H31" s="129">
        <f>IF(B$15=0,0,G31/B$15)</f>
        <v>1.8107741059302852E-3</v>
      </c>
      <c r="I31" s="90">
        <v>4</v>
      </c>
      <c r="K31" s="36">
        <v>29</v>
      </c>
      <c r="L31" s="95">
        <v>-2.3999999999999915</v>
      </c>
    </row>
    <row r="32" spans="1:17" x14ac:dyDescent="0.4">
      <c r="A32" s="86" t="s">
        <v>183</v>
      </c>
      <c r="B32" s="144">
        <v>174</v>
      </c>
      <c r="C32" s="141">
        <f>IF(B$15=0,0,B32/B$15)</f>
        <v>7.876867360796741E-2</v>
      </c>
      <c r="E32" s="59" t="s">
        <v>97</v>
      </c>
      <c r="F32" s="56" t="s">
        <v>52</v>
      </c>
      <c r="G32" s="44">
        <v>1</v>
      </c>
      <c r="H32" s="129">
        <f>IF(B$15=0,0,G32/B$15)</f>
        <v>4.526935264825713E-4</v>
      </c>
      <c r="I32" s="90">
        <v>2</v>
      </c>
      <c r="K32" s="36">
        <v>30</v>
      </c>
      <c r="L32" s="95">
        <v>8.4376949871511897E-15</v>
      </c>
    </row>
    <row r="33" spans="1:12" x14ac:dyDescent="0.4">
      <c r="A33" s="51" t="s">
        <v>179</v>
      </c>
      <c r="B33" s="44">
        <v>373</v>
      </c>
      <c r="C33" s="37">
        <f t="shared" ref="C33:C44" si="2">IF(B$15=0,0,B33/B$15)</f>
        <v>0.16885468537799908</v>
      </c>
      <c r="E33" s="59" t="s">
        <v>101</v>
      </c>
      <c r="F33" s="56" t="s">
        <v>56</v>
      </c>
      <c r="G33" s="44">
        <v>1</v>
      </c>
      <c r="H33" s="129">
        <f>IF(B$15=0,0,G33/B$15)</f>
        <v>4.526935264825713E-4</v>
      </c>
      <c r="I33" s="90">
        <v>2</v>
      </c>
      <c r="K33" s="36">
        <v>31</v>
      </c>
      <c r="L33" s="95">
        <v>12.500000000000009</v>
      </c>
    </row>
    <row r="34" spans="1:12" x14ac:dyDescent="0.4">
      <c r="A34" s="51" t="s">
        <v>180</v>
      </c>
      <c r="B34" s="145">
        <v>431</v>
      </c>
      <c r="C34" s="37">
        <f>IF(B$15=0,0,B34/B$15)</f>
        <v>0.19511090991398822</v>
      </c>
      <c r="E34" s="59" t="s">
        <v>106</v>
      </c>
      <c r="F34" s="56" t="s">
        <v>113</v>
      </c>
      <c r="G34" s="44">
        <v>1</v>
      </c>
      <c r="H34" s="129">
        <f>IF(B$15=0,0,G34/B$15)</f>
        <v>4.526935264825713E-4</v>
      </c>
      <c r="I34" s="90">
        <v>2</v>
      </c>
      <c r="K34" s="36">
        <v>32</v>
      </c>
      <c r="L34" s="95">
        <v>47.300000000000004</v>
      </c>
    </row>
    <row r="35" spans="1:12" x14ac:dyDescent="0.4">
      <c r="A35" s="51" t="s">
        <v>181</v>
      </c>
      <c r="B35" s="145">
        <v>389</v>
      </c>
      <c r="C35" s="37">
        <f t="shared" si="2"/>
        <v>0.17609778180172023</v>
      </c>
      <c r="E35" s="59" t="s">
        <v>76</v>
      </c>
      <c r="F35" s="56" t="s">
        <v>31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7.1054273576010019E-15</v>
      </c>
    </row>
    <row r="36" spans="1:12" x14ac:dyDescent="0.4">
      <c r="A36" s="51" t="s">
        <v>182</v>
      </c>
      <c r="B36" s="145">
        <v>349</v>
      </c>
      <c r="C36" s="37">
        <f t="shared" si="2"/>
        <v>0.15799004074241738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">
      <c r="A37" s="51" t="s">
        <v>184</v>
      </c>
      <c r="B37" s="145">
        <v>240</v>
      </c>
      <c r="C37" s="37">
        <f t="shared" si="2"/>
        <v>0.10864644635581711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">
      <c r="A38" s="51" t="s">
        <v>185</v>
      </c>
      <c r="B38" s="145">
        <v>116</v>
      </c>
      <c r="C38" s="37">
        <f t="shared" si="2"/>
        <v>5.2512449071978273E-2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">
      <c r="A39" s="51" t="s">
        <v>186</v>
      </c>
      <c r="B39" s="145">
        <v>63</v>
      </c>
      <c r="C39" s="37">
        <f t="shared" si="2"/>
        <v>2.8519692168401993E-2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">
      <c r="A40" s="51" t="s">
        <v>187</v>
      </c>
      <c r="B40" s="145">
        <v>28</v>
      </c>
      <c r="C40" s="37">
        <f t="shared" si="2"/>
        <v>1.2675418741511997E-2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">
      <c r="A41" s="51" t="s">
        <v>188</v>
      </c>
      <c r="B41" s="145">
        <v>9</v>
      </c>
      <c r="C41" s="37">
        <f t="shared" si="2"/>
        <v>4.074241738343142E-3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">
      <c r="A42" s="51" t="s">
        <v>189</v>
      </c>
      <c r="B42" s="145">
        <v>6</v>
      </c>
      <c r="C42" s="37">
        <f t="shared" si="2"/>
        <v>2.716161158895428E-3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">
      <c r="A43" s="51" t="s">
        <v>190</v>
      </c>
      <c r="B43" s="145">
        <v>6</v>
      </c>
      <c r="C43" s="37">
        <f t="shared" si="2"/>
        <v>2.716161158895428E-3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">
      <c r="A44" s="53" t="s">
        <v>191</v>
      </c>
      <c r="B44" s="140">
        <v>25</v>
      </c>
      <c r="C44" s="40">
        <f t="shared" si="2"/>
        <v>1.1317338162064282E-2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  <row r="438" spans="11:12" x14ac:dyDescent="0.4">
      <c r="K438" s="36">
        <v>436</v>
      </c>
      <c r="L438" s="95">
        <v>3.4999999999999853</v>
      </c>
    </row>
    <row r="439" spans="11:12" x14ac:dyDescent="0.4">
      <c r="K439" s="36">
        <v>437</v>
      </c>
      <c r="L439" s="95">
        <v>38.999999999999986</v>
      </c>
    </row>
    <row r="440" spans="11:12" x14ac:dyDescent="0.4">
      <c r="K440" s="36">
        <v>438</v>
      </c>
      <c r="L440" s="95">
        <v>-1.4210854715202004E-14</v>
      </c>
    </row>
    <row r="441" spans="11:12" x14ac:dyDescent="0.4">
      <c r="K441" s="36">
        <v>439</v>
      </c>
      <c r="L441" s="95">
        <v>-33.000000000000014</v>
      </c>
    </row>
    <row r="442" spans="11:12" x14ac:dyDescent="0.4">
      <c r="K442" s="36">
        <v>440</v>
      </c>
      <c r="L442" s="95">
        <v>45.59999999999998</v>
      </c>
    </row>
    <row r="443" spans="11:12" x14ac:dyDescent="0.4">
      <c r="K443" s="36">
        <v>441</v>
      </c>
      <c r="L443" s="95">
        <v>-2.1316282072803006E-14</v>
      </c>
    </row>
    <row r="444" spans="11:12" x14ac:dyDescent="0.4">
      <c r="K444" s="36">
        <v>442</v>
      </c>
      <c r="L444" s="95">
        <v>-24.100000000000023</v>
      </c>
    </row>
    <row r="445" spans="11:12" x14ac:dyDescent="0.4">
      <c r="K445" s="36">
        <v>443</v>
      </c>
      <c r="L445" s="95">
        <v>-23.800000000000022</v>
      </c>
    </row>
    <row r="446" spans="11:12" x14ac:dyDescent="0.4">
      <c r="K446" s="36">
        <v>444</v>
      </c>
      <c r="L446" s="95">
        <v>-2.1316282072803006E-14</v>
      </c>
    </row>
    <row r="447" spans="11:12" x14ac:dyDescent="0.4">
      <c r="K447" s="36">
        <v>445</v>
      </c>
      <c r="L447" s="95">
        <v>10.299999999999979</v>
      </c>
    </row>
    <row r="448" spans="11:12" x14ac:dyDescent="0.4">
      <c r="K448" s="36">
        <v>446</v>
      </c>
      <c r="L448" s="95">
        <v>45.399999999999977</v>
      </c>
    </row>
    <row r="449" spans="11:12" x14ac:dyDescent="0.4">
      <c r="K449" s="36">
        <v>447</v>
      </c>
      <c r="L449" s="95">
        <v>-2.1316282072803006E-14</v>
      </c>
    </row>
    <row r="450" spans="11:12" x14ac:dyDescent="0.4">
      <c r="K450" s="36">
        <v>448</v>
      </c>
      <c r="L450" s="95">
        <v>26.699999999999978</v>
      </c>
    </row>
    <row r="451" spans="11:12" x14ac:dyDescent="0.4">
      <c r="K451" s="36">
        <v>449</v>
      </c>
      <c r="L451" s="95">
        <v>22.299999999999976</v>
      </c>
    </row>
    <row r="452" spans="11:12" x14ac:dyDescent="0.4">
      <c r="K452" s="36">
        <v>450</v>
      </c>
      <c r="L452" s="95">
        <v>-2.4868995751603507E-14</v>
      </c>
    </row>
    <row r="453" spans="11:12" x14ac:dyDescent="0.4">
      <c r="K453" s="36">
        <v>451</v>
      </c>
      <c r="L453" s="95">
        <v>-28.900000000000023</v>
      </c>
    </row>
    <row r="454" spans="11:12" x14ac:dyDescent="0.4">
      <c r="K454" s="36">
        <v>452</v>
      </c>
      <c r="L454" s="95">
        <v>-43.100000000000023</v>
      </c>
    </row>
    <row r="455" spans="11:12" x14ac:dyDescent="0.4">
      <c r="K455" s="36">
        <v>453</v>
      </c>
      <c r="L455" s="95">
        <v>-2.1316282072803006E-14</v>
      </c>
    </row>
    <row r="456" spans="11:12" x14ac:dyDescent="0.4">
      <c r="K456" s="36">
        <v>454</v>
      </c>
      <c r="L456" s="95">
        <v>21.499999999999979</v>
      </c>
    </row>
    <row r="457" spans="11:12" x14ac:dyDescent="0.4">
      <c r="K457" s="36">
        <v>455</v>
      </c>
      <c r="L457" s="95">
        <v>23.999999999999979</v>
      </c>
    </row>
    <row r="458" spans="11:12" x14ac:dyDescent="0.4">
      <c r="K458" s="36">
        <v>456</v>
      </c>
      <c r="L458" s="95">
        <v>-2.1316282072803006E-14</v>
      </c>
    </row>
    <row r="459" spans="11:12" x14ac:dyDescent="0.4">
      <c r="K459" s="36">
        <v>457</v>
      </c>
      <c r="L459" s="95">
        <v>-25.100000000000023</v>
      </c>
    </row>
    <row r="460" spans="11:12" x14ac:dyDescent="0.4">
      <c r="K460" s="36">
        <v>458</v>
      </c>
      <c r="L460" s="95">
        <v>4.9999999999999787</v>
      </c>
    </row>
    <row r="461" spans="11:12" x14ac:dyDescent="0.4">
      <c r="K461" s="36">
        <v>459</v>
      </c>
      <c r="L461" s="95">
        <v>-2.1316282072803006E-14</v>
      </c>
    </row>
    <row r="462" spans="11:12" x14ac:dyDescent="0.4">
      <c r="K462" s="36">
        <v>460</v>
      </c>
      <c r="L462" s="95">
        <v>2.9999999999999787</v>
      </c>
    </row>
    <row r="463" spans="11:12" x14ac:dyDescent="0.4">
      <c r="K463" s="36">
        <v>461</v>
      </c>
      <c r="L463" s="95">
        <v>37.09999999999998</v>
      </c>
    </row>
    <row r="464" spans="11:12" x14ac:dyDescent="0.4">
      <c r="K464" s="36">
        <v>462</v>
      </c>
      <c r="L464" s="95">
        <v>-2.1316282072803006E-14</v>
      </c>
    </row>
    <row r="465" spans="11:12" x14ac:dyDescent="0.4">
      <c r="K465" s="36">
        <v>463</v>
      </c>
      <c r="L465" s="95">
        <v>-1.9000000000000212</v>
      </c>
    </row>
    <row r="466" spans="11:12" x14ac:dyDescent="0.4">
      <c r="K466" s="36">
        <v>464</v>
      </c>
      <c r="L466" s="95">
        <v>-27.700000000000021</v>
      </c>
    </row>
    <row r="467" spans="11:12" x14ac:dyDescent="0.4">
      <c r="K467" s="36">
        <v>465</v>
      </c>
      <c r="L467" s="95">
        <v>-2.1316282072803006E-14</v>
      </c>
    </row>
    <row r="468" spans="11:12" x14ac:dyDescent="0.4">
      <c r="K468" s="36">
        <v>466</v>
      </c>
      <c r="L468" s="95">
        <v>35.899999999999977</v>
      </c>
    </row>
    <row r="469" spans="11:12" x14ac:dyDescent="0.4">
      <c r="K469" s="36">
        <v>467</v>
      </c>
      <c r="L469" s="95">
        <v>45.199999999999974</v>
      </c>
    </row>
    <row r="470" spans="11:12" x14ac:dyDescent="0.4">
      <c r="K470" s="36">
        <v>468</v>
      </c>
      <c r="L470" s="95">
        <v>-2.8421709430404007E-14</v>
      </c>
    </row>
    <row r="471" spans="11:12" x14ac:dyDescent="0.4">
      <c r="K471" s="36">
        <v>469</v>
      </c>
      <c r="L471" s="95">
        <v>37.39999999999997</v>
      </c>
    </row>
    <row r="472" spans="11:12" x14ac:dyDescent="0.4">
      <c r="K472" s="36">
        <v>470</v>
      </c>
      <c r="L472" s="95">
        <v>59.099999999999966</v>
      </c>
    </row>
    <row r="473" spans="11:12" x14ac:dyDescent="0.4">
      <c r="K473" s="36">
        <v>471</v>
      </c>
      <c r="L473" s="95">
        <v>-3.5527136788005009E-14</v>
      </c>
    </row>
    <row r="474" spans="11:12" x14ac:dyDescent="0.4">
      <c r="K474" s="36">
        <v>472</v>
      </c>
      <c r="L474" s="95">
        <v>-3.5000000000000355</v>
      </c>
    </row>
    <row r="475" spans="11:12" x14ac:dyDescent="0.4">
      <c r="K475" s="36">
        <v>473</v>
      </c>
      <c r="L475" s="95">
        <v>15.999999999999964</v>
      </c>
    </row>
    <row r="476" spans="11:12" x14ac:dyDescent="0.4">
      <c r="K476" s="36">
        <v>474</v>
      </c>
      <c r="L476" s="95">
        <v>-3.5527136788005009E-14</v>
      </c>
    </row>
    <row r="477" spans="11:12" x14ac:dyDescent="0.4">
      <c r="K477" s="36">
        <v>475</v>
      </c>
      <c r="L477" s="95">
        <v>28.099999999999966</v>
      </c>
    </row>
    <row r="478" spans="11:12" x14ac:dyDescent="0.4">
      <c r="K478" s="36">
        <v>476</v>
      </c>
      <c r="L478" s="95">
        <v>41.699999999999967</v>
      </c>
    </row>
    <row r="479" spans="11:12" x14ac:dyDescent="0.4">
      <c r="K479" s="36">
        <v>477</v>
      </c>
      <c r="L479" s="95">
        <v>-3.5527136788005009E-14</v>
      </c>
    </row>
    <row r="480" spans="11:12" x14ac:dyDescent="0.4">
      <c r="K480" s="36">
        <v>478</v>
      </c>
      <c r="L480" s="95">
        <v>51.899999999999963</v>
      </c>
    </row>
    <row r="481" spans="11:12" x14ac:dyDescent="0.4">
      <c r="K481" s="36">
        <v>479</v>
      </c>
      <c r="L481" s="95">
        <v>2.3999999999999631</v>
      </c>
    </row>
    <row r="482" spans="11:12" x14ac:dyDescent="0.4">
      <c r="K482" s="36">
        <v>480</v>
      </c>
      <c r="L482" s="95">
        <v>-3.6859404417555197E-14</v>
      </c>
    </row>
    <row r="483" spans="11:12" x14ac:dyDescent="0.4">
      <c r="K483" s="36">
        <v>481</v>
      </c>
      <c r="L483" s="95">
        <v>-17.100000000000037</v>
      </c>
    </row>
    <row r="484" spans="11:12" x14ac:dyDescent="0.4">
      <c r="K484" s="36">
        <v>482</v>
      </c>
      <c r="L484" s="95">
        <v>-21.900000000000038</v>
      </c>
    </row>
    <row r="485" spans="11:12" x14ac:dyDescent="0.4">
      <c r="K485" s="36">
        <v>483</v>
      </c>
      <c r="L485" s="95">
        <v>-3.907985046680551E-14</v>
      </c>
    </row>
    <row r="486" spans="11:12" x14ac:dyDescent="0.4">
      <c r="K486" s="36">
        <v>484</v>
      </c>
      <c r="L486" s="95">
        <v>-46.100000000000037</v>
      </c>
    </row>
    <row r="487" spans="11:12" x14ac:dyDescent="0.4">
      <c r="K487" s="36">
        <v>485</v>
      </c>
      <c r="L487" s="95">
        <v>-41.900000000000034</v>
      </c>
    </row>
    <row r="488" spans="11:12" x14ac:dyDescent="0.4">
      <c r="K488" s="36">
        <v>486</v>
      </c>
      <c r="L488" s="95">
        <v>-3.5527136788005009E-14</v>
      </c>
    </row>
    <row r="489" spans="11:12" x14ac:dyDescent="0.4">
      <c r="K489" s="36">
        <v>487</v>
      </c>
      <c r="L489" s="95">
        <v>-30.300000000000036</v>
      </c>
    </row>
    <row r="490" spans="11:12" x14ac:dyDescent="0.4">
      <c r="K490" s="36">
        <v>488</v>
      </c>
      <c r="L490" s="95">
        <v>16.499999999999961</v>
      </c>
    </row>
    <row r="491" spans="11:12" x14ac:dyDescent="0.4">
      <c r="K491" s="36">
        <v>489</v>
      </c>
      <c r="L491" s="95">
        <v>-3.907985046680551E-14</v>
      </c>
    </row>
    <row r="492" spans="11:12" x14ac:dyDescent="0.4">
      <c r="K492" s="36">
        <v>490</v>
      </c>
      <c r="L492" s="95">
        <v>-36.600000000000037</v>
      </c>
    </row>
    <row r="493" spans="11:12" x14ac:dyDescent="0.4">
      <c r="K493" s="36">
        <v>491</v>
      </c>
      <c r="L493" s="95">
        <v>-49.000000000000036</v>
      </c>
    </row>
    <row r="494" spans="11:12" x14ac:dyDescent="0.4">
      <c r="K494" s="36">
        <v>492</v>
      </c>
      <c r="L494" s="95">
        <v>-3.5527136788005009E-14</v>
      </c>
    </row>
    <row r="495" spans="11:12" x14ac:dyDescent="0.4">
      <c r="K495" s="36">
        <v>493</v>
      </c>
      <c r="L495" s="95">
        <v>-48.600000000000037</v>
      </c>
    </row>
    <row r="496" spans="11:12" x14ac:dyDescent="0.4">
      <c r="K496" s="36">
        <v>494</v>
      </c>
      <c r="L496" s="95">
        <v>-44.400000000000034</v>
      </c>
    </row>
    <row r="497" spans="11:12" x14ac:dyDescent="0.4">
      <c r="K497" s="36">
        <v>495</v>
      </c>
      <c r="L497" s="95">
        <v>-3.5527136788005009E-14</v>
      </c>
    </row>
    <row r="498" spans="11:12" x14ac:dyDescent="0.4">
      <c r="K498" s="36">
        <v>496</v>
      </c>
      <c r="L498" s="95">
        <v>-9.6000000000000352</v>
      </c>
    </row>
    <row r="499" spans="11:12" x14ac:dyDescent="0.4">
      <c r="K499" s="36">
        <v>497</v>
      </c>
      <c r="L499" s="95">
        <v>40.19999999999996</v>
      </c>
    </row>
    <row r="500" spans="11:12" x14ac:dyDescent="0.4">
      <c r="K500" s="36">
        <v>498</v>
      </c>
      <c r="L500" s="95">
        <v>-4.2632564145606011E-14</v>
      </c>
    </row>
    <row r="501" spans="11:12" x14ac:dyDescent="0.4">
      <c r="K501" s="36">
        <v>499</v>
      </c>
      <c r="L501" s="95">
        <v>-48.80000000000004</v>
      </c>
    </row>
    <row r="502" spans="11:12" x14ac:dyDescent="0.4">
      <c r="K502" s="36">
        <v>500</v>
      </c>
      <c r="L502" s="95">
        <v>-50.000000000000043</v>
      </c>
    </row>
    <row r="503" spans="11:12" x14ac:dyDescent="0.4">
      <c r="K503" s="36">
        <v>501</v>
      </c>
      <c r="L503" s="95">
        <v>-4.2632564145606011E-14</v>
      </c>
    </row>
    <row r="504" spans="11:12" x14ac:dyDescent="0.4">
      <c r="K504" s="36">
        <v>502</v>
      </c>
      <c r="L504" s="95">
        <v>-11.400000000000043</v>
      </c>
    </row>
    <row r="505" spans="11:12" x14ac:dyDescent="0.4">
      <c r="K505" s="36">
        <v>503</v>
      </c>
      <c r="L505" s="95">
        <v>33.69999999999996</v>
      </c>
    </row>
    <row r="506" spans="11:12" x14ac:dyDescent="0.4">
      <c r="K506" s="36">
        <v>504</v>
      </c>
      <c r="L506" s="95">
        <v>-4.2632564145606011E-14</v>
      </c>
    </row>
    <row r="507" spans="11:12" x14ac:dyDescent="0.4">
      <c r="K507" s="36">
        <v>505</v>
      </c>
      <c r="L507" s="95">
        <v>124.09999999999995</v>
      </c>
    </row>
    <row r="508" spans="11:12" x14ac:dyDescent="0.4">
      <c r="K508" s="36">
        <v>506</v>
      </c>
      <c r="L508" s="95">
        <v>132.89999999999995</v>
      </c>
    </row>
    <row r="509" spans="11:12" x14ac:dyDescent="0.4">
      <c r="K509" s="36">
        <v>507</v>
      </c>
      <c r="L509" s="95">
        <v>-5.6843418860808015E-14</v>
      </c>
    </row>
    <row r="510" spans="11:12" x14ac:dyDescent="0.4">
      <c r="K510" s="36">
        <v>508</v>
      </c>
      <c r="L510" s="95">
        <v>22.399999999999942</v>
      </c>
    </row>
    <row r="511" spans="11:12" x14ac:dyDescent="0.4">
      <c r="K511" s="36">
        <v>509</v>
      </c>
      <c r="L511" s="95">
        <v>29.399999999999942</v>
      </c>
    </row>
    <row r="512" spans="11:12" x14ac:dyDescent="0.4">
      <c r="K512" s="36">
        <v>510</v>
      </c>
      <c r="L512" s="95">
        <v>-5.6843418860808015E-14</v>
      </c>
    </row>
    <row r="513" spans="11:12" x14ac:dyDescent="0.4">
      <c r="K513" s="36">
        <v>511</v>
      </c>
      <c r="L513" s="95">
        <v>13.599999999999943</v>
      </c>
    </row>
    <row r="514" spans="11:12" x14ac:dyDescent="0.4">
      <c r="K514" s="36">
        <v>512</v>
      </c>
      <c r="L514" s="95">
        <v>-0.50000000000005684</v>
      </c>
    </row>
    <row r="515" spans="11:12" x14ac:dyDescent="0.4">
      <c r="K515" s="36">
        <v>513</v>
      </c>
      <c r="L515" s="95">
        <v>-5.6843418860808015E-14</v>
      </c>
    </row>
    <row r="516" spans="11:12" x14ac:dyDescent="0.4">
      <c r="K516" s="36">
        <v>514</v>
      </c>
      <c r="L516" s="95">
        <v>-48.20000000000006</v>
      </c>
    </row>
    <row r="517" spans="11:12" x14ac:dyDescent="0.4">
      <c r="K517" s="36">
        <v>515</v>
      </c>
      <c r="L517" s="95">
        <v>-70.600000000000051</v>
      </c>
    </row>
    <row r="518" spans="11:12" x14ac:dyDescent="0.4">
      <c r="K518" s="36">
        <v>516</v>
      </c>
      <c r="L518" s="95">
        <v>-5.6843418860808015E-14</v>
      </c>
    </row>
    <row r="519" spans="11:12" x14ac:dyDescent="0.4">
      <c r="K519" s="36">
        <v>517</v>
      </c>
      <c r="L519" s="95">
        <v>44.499999999999943</v>
      </c>
    </row>
    <row r="520" spans="11:12" x14ac:dyDescent="0.4">
      <c r="K520" s="36">
        <v>518</v>
      </c>
      <c r="L520" s="95">
        <v>30.999999999999943</v>
      </c>
    </row>
    <row r="521" spans="11:12" x14ac:dyDescent="0.4">
      <c r="K521" s="36">
        <v>519</v>
      </c>
      <c r="L521" s="95">
        <v>-5.6843418860808015E-14</v>
      </c>
    </row>
    <row r="522" spans="11:12" x14ac:dyDescent="0.4">
      <c r="K522" s="36">
        <v>520</v>
      </c>
      <c r="L522" s="95">
        <v>16.999999999999943</v>
      </c>
    </row>
    <row r="523" spans="11:12" x14ac:dyDescent="0.4">
      <c r="K523" s="36">
        <v>521</v>
      </c>
      <c r="L523" s="95">
        <v>-6.6000000000000583</v>
      </c>
    </row>
    <row r="524" spans="11:12" x14ac:dyDescent="0.4">
      <c r="K524" s="36">
        <v>522</v>
      </c>
      <c r="L524" s="95">
        <v>-5.8619775700208265E-14</v>
      </c>
    </row>
    <row r="525" spans="11:12" x14ac:dyDescent="0.4">
      <c r="K525" s="36">
        <v>523</v>
      </c>
      <c r="L525" s="95">
        <v>3.1999999999999416</v>
      </c>
    </row>
    <row r="526" spans="11:12" x14ac:dyDescent="0.4">
      <c r="K526" s="36">
        <v>524</v>
      </c>
      <c r="L526" s="95">
        <v>-26.400000000000059</v>
      </c>
    </row>
    <row r="527" spans="11:12" x14ac:dyDescent="0.4">
      <c r="K527" s="36">
        <v>525</v>
      </c>
      <c r="L527" s="95">
        <v>-6.0396132539608516E-14</v>
      </c>
    </row>
    <row r="528" spans="11:12" x14ac:dyDescent="0.4">
      <c r="K528" s="36">
        <v>526</v>
      </c>
      <c r="L528" s="95">
        <v>-52.300000000000054</v>
      </c>
    </row>
    <row r="529" spans="11:12" x14ac:dyDescent="0.4">
      <c r="K529" s="36">
        <v>527</v>
      </c>
      <c r="L529" s="95">
        <v>-11.500000000000057</v>
      </c>
    </row>
    <row r="530" spans="11:12" x14ac:dyDescent="0.4">
      <c r="K530" s="36">
        <v>528</v>
      </c>
      <c r="L530" s="95">
        <v>-5.6843418860808015E-14</v>
      </c>
    </row>
    <row r="531" spans="11:12" x14ac:dyDescent="0.4">
      <c r="K531" s="36">
        <v>529</v>
      </c>
      <c r="L531" s="95">
        <v>-22.800000000000058</v>
      </c>
    </row>
    <row r="532" spans="11:12" x14ac:dyDescent="0.4">
      <c r="K532" s="36">
        <v>530</v>
      </c>
      <c r="L532" s="95">
        <v>-70.600000000000051</v>
      </c>
    </row>
    <row r="533" spans="11:12" x14ac:dyDescent="0.4">
      <c r="K533" s="36">
        <v>531</v>
      </c>
      <c r="L533" s="95">
        <v>-5.6843418860808015E-14</v>
      </c>
    </row>
    <row r="534" spans="11:12" x14ac:dyDescent="0.4">
      <c r="K534" s="36">
        <v>532</v>
      </c>
      <c r="L534" s="95">
        <v>5.799999999999943</v>
      </c>
    </row>
    <row r="535" spans="11:12" x14ac:dyDescent="0.4">
      <c r="K535" s="36">
        <v>533</v>
      </c>
      <c r="L535" s="95">
        <v>-16.300000000000058</v>
      </c>
    </row>
    <row r="536" spans="11:12" x14ac:dyDescent="0.4">
      <c r="K536" s="36">
        <v>534</v>
      </c>
      <c r="L536" s="95">
        <v>-5.6843418860808015E-14</v>
      </c>
    </row>
    <row r="537" spans="11:12" x14ac:dyDescent="0.4">
      <c r="K537" s="36">
        <v>535</v>
      </c>
      <c r="L537" s="95">
        <v>-41.100000000000058</v>
      </c>
    </row>
    <row r="538" spans="11:12" x14ac:dyDescent="0.4">
      <c r="K538" s="36">
        <v>536</v>
      </c>
      <c r="L538" s="95">
        <v>5.7999999999999403</v>
      </c>
    </row>
    <row r="539" spans="11:12" x14ac:dyDescent="0.4">
      <c r="K539" s="36">
        <v>537</v>
      </c>
      <c r="L539" s="95">
        <v>-5.9507954119908391E-14</v>
      </c>
    </row>
    <row r="540" spans="11:12" x14ac:dyDescent="0.4">
      <c r="K540" s="36">
        <v>538</v>
      </c>
      <c r="L540" s="95">
        <v>-56.400000000000055</v>
      </c>
    </row>
    <row r="541" spans="11:12" x14ac:dyDescent="0.4">
      <c r="K541" s="36">
        <v>539</v>
      </c>
      <c r="L541" s="95">
        <v>-7.4000000000000554</v>
      </c>
    </row>
    <row r="542" spans="11:12" x14ac:dyDescent="0.4">
      <c r="K542" s="36">
        <v>540</v>
      </c>
      <c r="L542" s="95">
        <v>-5.5067062021407764E-14</v>
      </c>
    </row>
    <row r="543" spans="11:12" x14ac:dyDescent="0.4">
      <c r="K543" s="36">
        <v>541</v>
      </c>
      <c r="L543" s="95">
        <v>36.199999999999946</v>
      </c>
    </row>
    <row r="544" spans="11:12" x14ac:dyDescent="0.4">
      <c r="K544" s="36">
        <v>542</v>
      </c>
      <c r="L544" s="95">
        <v>43.299999999999947</v>
      </c>
    </row>
    <row r="545" spans="11:12" x14ac:dyDescent="0.4">
      <c r="K545" s="36">
        <v>543</v>
      </c>
      <c r="L545" s="95">
        <v>-4.9737991503207013E-14</v>
      </c>
    </row>
    <row r="546" spans="11:12" x14ac:dyDescent="0.4">
      <c r="K546" s="36">
        <v>544</v>
      </c>
      <c r="L546" s="95">
        <v>-26.400000000000048</v>
      </c>
    </row>
    <row r="547" spans="11:12" x14ac:dyDescent="0.4">
      <c r="K547" s="36">
        <v>545</v>
      </c>
      <c r="L547" s="95">
        <v>-25.00000000000005</v>
      </c>
    </row>
    <row r="548" spans="11:12" x14ac:dyDescent="0.4">
      <c r="K548" s="36">
        <v>546</v>
      </c>
      <c r="L548" s="95">
        <v>-4.9737991503207013E-14</v>
      </c>
    </row>
    <row r="549" spans="11:12" x14ac:dyDescent="0.4">
      <c r="K549" s="36">
        <v>547</v>
      </c>
      <c r="L549" s="95">
        <v>-13.100000000000049</v>
      </c>
    </row>
    <row r="550" spans="11:12" x14ac:dyDescent="0.4">
      <c r="K550" s="36">
        <v>548</v>
      </c>
      <c r="L550" s="95">
        <v>36.099999999999952</v>
      </c>
    </row>
    <row r="551" spans="11:12" x14ac:dyDescent="0.4">
      <c r="K551" s="36">
        <v>549</v>
      </c>
      <c r="L551" s="95">
        <v>-4.9737991503207013E-14</v>
      </c>
    </row>
    <row r="552" spans="11:12" x14ac:dyDescent="0.4">
      <c r="K552" s="36">
        <v>550</v>
      </c>
      <c r="L552" s="95">
        <v>-3.9000000000000496</v>
      </c>
    </row>
    <row r="553" spans="11:12" x14ac:dyDescent="0.4">
      <c r="K553" s="36">
        <v>551</v>
      </c>
      <c r="L553" s="95">
        <v>-19.200000000000049</v>
      </c>
    </row>
    <row r="554" spans="11:12" x14ac:dyDescent="0.4">
      <c r="K554" s="36">
        <v>552</v>
      </c>
      <c r="L554" s="95">
        <v>-4.9737991503207013E-14</v>
      </c>
    </row>
    <row r="555" spans="11:12" x14ac:dyDescent="0.4">
      <c r="K555" s="36">
        <v>553</v>
      </c>
      <c r="L555" s="95">
        <v>-49.00000000000005</v>
      </c>
    </row>
    <row r="556" spans="11:12" x14ac:dyDescent="0.4">
      <c r="K556" s="36">
        <v>554</v>
      </c>
      <c r="L556" s="95">
        <v>12.99999999999995</v>
      </c>
    </row>
    <row r="557" spans="11:12" x14ac:dyDescent="0.4">
      <c r="K557" s="36">
        <v>555</v>
      </c>
      <c r="L557" s="95">
        <v>-4.9737991503207013E-14</v>
      </c>
    </row>
    <row r="558" spans="11:12" x14ac:dyDescent="0.4">
      <c r="K558" s="36">
        <v>556</v>
      </c>
      <c r="L558" s="95">
        <v>-19.50000000000005</v>
      </c>
    </row>
    <row r="559" spans="11:12" x14ac:dyDescent="0.4">
      <c r="K559" s="36">
        <v>557</v>
      </c>
      <c r="L559" s="95">
        <v>-16.80000000000005</v>
      </c>
    </row>
    <row r="560" spans="11:12" x14ac:dyDescent="0.4">
      <c r="K560" s="36">
        <v>558</v>
      </c>
      <c r="L560" s="95">
        <v>-4.9737991503207013E-14</v>
      </c>
    </row>
    <row r="561" spans="11:12" x14ac:dyDescent="0.4">
      <c r="K561" s="36">
        <v>559</v>
      </c>
      <c r="L561" s="95">
        <v>37.799999999999947</v>
      </c>
    </row>
    <row r="562" spans="11:12" x14ac:dyDescent="0.4">
      <c r="K562" s="36">
        <v>560</v>
      </c>
      <c r="L562" s="95">
        <v>-7.7000000000000526</v>
      </c>
    </row>
    <row r="563" spans="11:12" x14ac:dyDescent="0.4">
      <c r="K563" s="36">
        <v>561</v>
      </c>
      <c r="L563" s="95">
        <v>-5.2402526762307389E-14</v>
      </c>
    </row>
    <row r="564" spans="11:12" x14ac:dyDescent="0.4">
      <c r="K564" s="36">
        <v>562</v>
      </c>
      <c r="L564" s="95">
        <v>-18.400000000000052</v>
      </c>
    </row>
    <row r="565" spans="11:12" x14ac:dyDescent="0.4">
      <c r="K565" s="36">
        <v>563</v>
      </c>
      <c r="L565" s="95">
        <v>-59.200000000000045</v>
      </c>
    </row>
    <row r="566" spans="11:12" x14ac:dyDescent="0.4">
      <c r="K566" s="36">
        <v>564</v>
      </c>
      <c r="L566" s="95">
        <v>-4.2632564145606011E-14</v>
      </c>
    </row>
    <row r="567" spans="11:12" x14ac:dyDescent="0.4">
      <c r="K567" s="36">
        <v>565</v>
      </c>
      <c r="L567" s="95">
        <v>1.0999999999999575</v>
      </c>
    </row>
    <row r="568" spans="11:12" x14ac:dyDescent="0.4">
      <c r="K568" s="36">
        <v>566</v>
      </c>
      <c r="L568" s="95">
        <v>44.799999999999962</v>
      </c>
    </row>
    <row r="569" spans="11:12" x14ac:dyDescent="0.4">
      <c r="K569" s="36">
        <v>567</v>
      </c>
      <c r="L569" s="95">
        <v>-3.5527136788005009E-14</v>
      </c>
    </row>
    <row r="570" spans="11:12" x14ac:dyDescent="0.4">
      <c r="K570" s="36">
        <v>568</v>
      </c>
      <c r="L570" s="95">
        <v>1.0999999999999646</v>
      </c>
    </row>
    <row r="571" spans="11:12" x14ac:dyDescent="0.4">
      <c r="K571" s="36">
        <v>569</v>
      </c>
      <c r="L571" s="95">
        <v>25.099999999999966</v>
      </c>
    </row>
    <row r="572" spans="11:12" x14ac:dyDescent="0.4">
      <c r="K572" s="36">
        <v>570</v>
      </c>
      <c r="L572" s="95">
        <v>-3.5527136788005009E-14</v>
      </c>
    </row>
    <row r="573" spans="11:12" x14ac:dyDescent="0.4">
      <c r="K573" s="36">
        <v>571</v>
      </c>
      <c r="L573" s="95">
        <v>-0.10000000000003553</v>
      </c>
    </row>
    <row r="574" spans="11:12" x14ac:dyDescent="0.4">
      <c r="K574" s="36">
        <v>572</v>
      </c>
      <c r="L574" s="95">
        <v>-35.80000000000004</v>
      </c>
    </row>
    <row r="575" spans="11:12" x14ac:dyDescent="0.4">
      <c r="K575" s="36">
        <v>573</v>
      </c>
      <c r="L575" s="95">
        <v>-4.2632564145606011E-14</v>
      </c>
    </row>
    <row r="576" spans="11:12" x14ac:dyDescent="0.4">
      <c r="K576" s="36">
        <v>574</v>
      </c>
      <c r="L576" s="95">
        <v>-22.500000000000043</v>
      </c>
    </row>
    <row r="577" spans="11:12" x14ac:dyDescent="0.4">
      <c r="K577" s="36">
        <v>575</v>
      </c>
      <c r="L577" s="95">
        <v>-30.400000000000041</v>
      </c>
    </row>
    <row r="578" spans="11:12" x14ac:dyDescent="0.4">
      <c r="K578" s="36">
        <v>576</v>
      </c>
      <c r="L578" s="95">
        <v>-4.2632564145606011E-14</v>
      </c>
    </row>
    <row r="579" spans="11:12" x14ac:dyDescent="0.4">
      <c r="K579" s="36">
        <v>577</v>
      </c>
      <c r="L579" s="95">
        <v>-87.400000000000048</v>
      </c>
    </row>
    <row r="580" spans="11:12" x14ac:dyDescent="0.4">
      <c r="K580" s="36">
        <v>578</v>
      </c>
      <c r="L580" s="95">
        <v>9.699999999999946</v>
      </c>
    </row>
    <row r="581" spans="11:12" x14ac:dyDescent="0.4">
      <c r="K581" s="36">
        <v>579</v>
      </c>
      <c r="L581" s="95">
        <v>-5.3290705182007514E-14</v>
      </c>
    </row>
    <row r="582" spans="11:12" x14ac:dyDescent="0.4">
      <c r="K582" s="36">
        <v>580</v>
      </c>
      <c r="L582" s="95">
        <v>25.899999999999945</v>
      </c>
    </row>
    <row r="583" spans="11:12" x14ac:dyDescent="0.4">
      <c r="K583" s="36">
        <v>581</v>
      </c>
      <c r="L583" s="95">
        <v>2.7999999999999439</v>
      </c>
    </row>
    <row r="584" spans="11:12" x14ac:dyDescent="0.4">
      <c r="K584" s="36">
        <v>582</v>
      </c>
      <c r="L584" s="95">
        <v>-5.595524044110789E-14</v>
      </c>
    </row>
    <row r="585" spans="11:12" x14ac:dyDescent="0.4">
      <c r="K585" s="36">
        <v>583</v>
      </c>
      <c r="L585" s="95">
        <v>-12.900000000000055</v>
      </c>
    </row>
    <row r="586" spans="11:12" x14ac:dyDescent="0.4">
      <c r="K586" s="36">
        <v>584</v>
      </c>
      <c r="L586" s="95">
        <v>32.299999999999947</v>
      </c>
    </row>
    <row r="587" spans="11:12" x14ac:dyDescent="0.4">
      <c r="K587" s="36">
        <v>585</v>
      </c>
      <c r="L587" s="95">
        <v>-4.9737991503207013E-14</v>
      </c>
    </row>
    <row r="588" spans="11:12" x14ac:dyDescent="0.4">
      <c r="K588" s="36">
        <v>586</v>
      </c>
      <c r="L588" s="95">
        <v>35.99999999999995</v>
      </c>
    </row>
    <row r="589" spans="11:12" x14ac:dyDescent="0.4">
      <c r="K589" s="36">
        <v>587</v>
      </c>
      <c r="L589" s="95">
        <v>-12.800000000000047</v>
      </c>
    </row>
    <row r="590" spans="11:12" x14ac:dyDescent="0.4">
      <c r="K590" s="36">
        <v>588</v>
      </c>
      <c r="L590" s="95">
        <v>-4.6185277824406512E-14</v>
      </c>
    </row>
    <row r="591" spans="11:12" x14ac:dyDescent="0.4">
      <c r="K591" s="36">
        <v>589</v>
      </c>
      <c r="L591" s="95">
        <v>20.399999999999952</v>
      </c>
    </row>
    <row r="592" spans="11:12" x14ac:dyDescent="0.4">
      <c r="K592" s="36">
        <v>590</v>
      </c>
      <c r="L592" s="95">
        <v>-30.700000000000049</v>
      </c>
    </row>
    <row r="593" spans="11:12" x14ac:dyDescent="0.4">
      <c r="K593" s="36">
        <v>591</v>
      </c>
      <c r="L593" s="95">
        <v>-4.9737991503207013E-14</v>
      </c>
    </row>
    <row r="594" spans="11:12" x14ac:dyDescent="0.4">
      <c r="K594" s="36">
        <v>592</v>
      </c>
      <c r="L594" s="95">
        <v>-60.300000000000047</v>
      </c>
    </row>
    <row r="595" spans="11:12" x14ac:dyDescent="0.4">
      <c r="K595" s="36">
        <v>593</v>
      </c>
      <c r="L595" s="95">
        <v>-0.3000000000000469</v>
      </c>
    </row>
    <row r="596" spans="11:12" x14ac:dyDescent="0.4">
      <c r="K596" s="36">
        <v>594</v>
      </c>
      <c r="L596" s="95">
        <v>-4.6906922790412864E-14</v>
      </c>
    </row>
    <row r="597" spans="11:12" x14ac:dyDescent="0.4">
      <c r="K597" s="36">
        <v>595</v>
      </c>
      <c r="L597" s="95">
        <v>-45.600000000000051</v>
      </c>
    </row>
    <row r="598" spans="11:12" x14ac:dyDescent="0.4">
      <c r="K598" s="36">
        <v>596</v>
      </c>
      <c r="L598" s="95">
        <v>9.5999999999999517</v>
      </c>
    </row>
    <row r="599" spans="11:12" x14ac:dyDescent="0.4">
      <c r="K599" s="36">
        <v>597</v>
      </c>
      <c r="L599" s="95">
        <v>-4.7961634663806763E-14</v>
      </c>
    </row>
    <row r="600" spans="11:12" x14ac:dyDescent="0.4">
      <c r="K600" s="36">
        <v>598</v>
      </c>
      <c r="L600" s="95">
        <v>28.899999999999949</v>
      </c>
    </row>
    <row r="601" spans="11:12" x14ac:dyDescent="0.4">
      <c r="K601" s="36">
        <v>599</v>
      </c>
      <c r="L601" s="95">
        <v>27.899999999999949</v>
      </c>
    </row>
    <row r="602" spans="11:12" x14ac:dyDescent="0.4">
      <c r="K602" s="36">
        <v>600</v>
      </c>
      <c r="L602" s="95">
        <v>-4.9737991503207013E-14</v>
      </c>
    </row>
    <row r="603" spans="11:12" x14ac:dyDescent="0.4">
      <c r="K603" s="36">
        <v>601</v>
      </c>
      <c r="L603" s="95">
        <v>-31.50000000000005</v>
      </c>
    </row>
    <row r="604" spans="11:12" x14ac:dyDescent="0.4">
      <c r="K604" s="36">
        <v>602</v>
      </c>
      <c r="L604" s="95">
        <v>-38.400000000000048</v>
      </c>
    </row>
    <row r="605" spans="11:12" x14ac:dyDescent="0.4">
      <c r="K605" s="36">
        <v>603</v>
      </c>
      <c r="L605" s="95">
        <v>-4.9737991503207013E-14</v>
      </c>
    </row>
    <row r="606" spans="11:12" x14ac:dyDescent="0.4">
      <c r="K606" s="36">
        <v>604</v>
      </c>
      <c r="L606" s="95">
        <v>33.49999999999995</v>
      </c>
    </row>
    <row r="607" spans="11:12" x14ac:dyDescent="0.4">
      <c r="K607" s="36">
        <v>605</v>
      </c>
      <c r="L607" s="95">
        <v>0.6999999999999531</v>
      </c>
    </row>
    <row r="608" spans="11:12" x14ac:dyDescent="0.4">
      <c r="K608" s="36">
        <v>606</v>
      </c>
      <c r="L608" s="95">
        <v>-4.6851411639181606E-14</v>
      </c>
    </row>
    <row r="609" spans="11:12" x14ac:dyDescent="0.4">
      <c r="K609" s="36">
        <v>607</v>
      </c>
      <c r="L609" s="95">
        <v>11.999999999999954</v>
      </c>
    </row>
    <row r="610" spans="11:12" x14ac:dyDescent="0.4">
      <c r="K610" s="36">
        <v>608</v>
      </c>
      <c r="L610" s="95">
        <v>38.299999999999955</v>
      </c>
    </row>
    <row r="611" spans="11:12" x14ac:dyDescent="0.4">
      <c r="K611" s="36">
        <v>609</v>
      </c>
      <c r="L611" s="95">
        <v>-4.2632564145606011E-14</v>
      </c>
    </row>
    <row r="612" spans="11:12" x14ac:dyDescent="0.4">
      <c r="K612" s="36">
        <v>610</v>
      </c>
      <c r="L612" s="95">
        <v>7.3999999999999577</v>
      </c>
    </row>
    <row r="613" spans="11:12" x14ac:dyDescent="0.4">
      <c r="K613" s="36">
        <v>611</v>
      </c>
      <c r="L613" s="95">
        <v>26.799999999999955</v>
      </c>
    </row>
    <row r="614" spans="11:12" x14ac:dyDescent="0.4">
      <c r="K614" s="36">
        <v>612</v>
      </c>
      <c r="L614" s="95">
        <v>-4.6185277824406512E-14</v>
      </c>
    </row>
    <row r="615" spans="11:12" x14ac:dyDescent="0.4">
      <c r="K615" s="36">
        <v>613</v>
      </c>
      <c r="L615" s="95">
        <v>-26.800000000000047</v>
      </c>
    </row>
    <row r="616" spans="11:12" x14ac:dyDescent="0.4">
      <c r="K616" s="36">
        <v>614</v>
      </c>
      <c r="L616" s="95">
        <v>-5.3000000000000469</v>
      </c>
    </row>
    <row r="617" spans="11:12" x14ac:dyDescent="0.4">
      <c r="K617" s="36">
        <v>615</v>
      </c>
      <c r="L617" s="95">
        <v>-4.7073456244106637E-14</v>
      </c>
    </row>
    <row r="618" spans="11:12" x14ac:dyDescent="0.4">
      <c r="K618" s="36">
        <v>616</v>
      </c>
      <c r="L618" s="95">
        <v>-20.200000000000045</v>
      </c>
    </row>
    <row r="619" spans="11:12" x14ac:dyDescent="0.4">
      <c r="K619" s="36">
        <v>617</v>
      </c>
      <c r="L619" s="95">
        <v>-28.900000000000045</v>
      </c>
    </row>
    <row r="620" spans="11:12" x14ac:dyDescent="0.4">
      <c r="K620" s="36">
        <v>618</v>
      </c>
      <c r="L620" s="95">
        <v>-4.6185277824406512E-14</v>
      </c>
    </row>
    <row r="621" spans="11:12" x14ac:dyDescent="0.4">
      <c r="K621" s="36">
        <v>619</v>
      </c>
      <c r="L621" s="95">
        <v>-22.600000000000048</v>
      </c>
    </row>
    <row r="622" spans="11:12" x14ac:dyDescent="0.4">
      <c r="K622" s="36">
        <v>620</v>
      </c>
      <c r="L622" s="95">
        <v>-20.000000000000046</v>
      </c>
    </row>
    <row r="623" spans="11:12" x14ac:dyDescent="0.4">
      <c r="K623" s="36">
        <v>621</v>
      </c>
      <c r="L623" s="95">
        <v>-4.6185277824406512E-14</v>
      </c>
    </row>
    <row r="624" spans="11:12" x14ac:dyDescent="0.4">
      <c r="K624" s="36">
        <v>622</v>
      </c>
      <c r="L624" s="95">
        <v>42.299999999999955</v>
      </c>
    </row>
    <row r="625" spans="11:12" x14ac:dyDescent="0.4">
      <c r="K625" s="36">
        <v>623</v>
      </c>
      <c r="L625" s="95">
        <v>46.999999999999957</v>
      </c>
    </row>
    <row r="626" spans="11:12" x14ac:dyDescent="0.4">
      <c r="K626" s="36">
        <v>624</v>
      </c>
      <c r="L626" s="95">
        <v>-4.2632564145606011E-14</v>
      </c>
    </row>
    <row r="627" spans="11:12" x14ac:dyDescent="0.4">
      <c r="K627" s="36">
        <v>625</v>
      </c>
      <c r="L627" s="95">
        <v>-21.600000000000044</v>
      </c>
    </row>
    <row r="628" spans="11:12" x14ac:dyDescent="0.4">
      <c r="K628" s="36">
        <v>626</v>
      </c>
      <c r="L628" s="95">
        <v>0.59999999999995524</v>
      </c>
    </row>
    <row r="629" spans="11:12" x14ac:dyDescent="0.4">
      <c r="K629" s="36">
        <v>627</v>
      </c>
      <c r="L629" s="95">
        <v>-4.4741987892393809E-14</v>
      </c>
    </row>
    <row r="630" spans="11:12" x14ac:dyDescent="0.4">
      <c r="K630" s="36">
        <v>628</v>
      </c>
      <c r="L630" s="95">
        <v>1.0999999999999552</v>
      </c>
    </row>
    <row r="631" spans="11:12" x14ac:dyDescent="0.4">
      <c r="K631" s="36">
        <v>629</v>
      </c>
      <c r="L631" s="95">
        <v>-47.400000000000048</v>
      </c>
    </row>
    <row r="632" spans="11:12" x14ac:dyDescent="0.4">
      <c r="K632" s="36">
        <v>630</v>
      </c>
      <c r="L632" s="95">
        <v>-4.9737991503207013E-14</v>
      </c>
    </row>
    <row r="633" spans="11:12" x14ac:dyDescent="0.4">
      <c r="K633" s="36">
        <v>631</v>
      </c>
      <c r="L633" s="95">
        <v>-55.50000000000005</v>
      </c>
    </row>
    <row r="634" spans="11:12" x14ac:dyDescent="0.4">
      <c r="K634" s="36">
        <v>632</v>
      </c>
      <c r="L634" s="95">
        <v>-66.200000000000045</v>
      </c>
    </row>
    <row r="635" spans="11:12" x14ac:dyDescent="0.4">
      <c r="K635" s="36">
        <v>633</v>
      </c>
      <c r="L635" s="95">
        <v>-4.2632564145606011E-14</v>
      </c>
    </row>
    <row r="636" spans="11:12" x14ac:dyDescent="0.4">
      <c r="K636" s="36">
        <v>634</v>
      </c>
      <c r="L636" s="95">
        <v>54.19999999999996</v>
      </c>
    </row>
    <row r="637" spans="11:12" x14ac:dyDescent="0.4">
      <c r="K637" s="36">
        <v>635</v>
      </c>
      <c r="L637" s="95">
        <v>48.69999999999996</v>
      </c>
    </row>
    <row r="638" spans="11:12" x14ac:dyDescent="0.4">
      <c r="K638" s="36">
        <v>636</v>
      </c>
      <c r="L638" s="95">
        <v>-4.2632564145606011E-14</v>
      </c>
    </row>
    <row r="639" spans="11:12" x14ac:dyDescent="0.4">
      <c r="K639" s="36">
        <v>637</v>
      </c>
      <c r="L639" s="95">
        <v>15.699999999999957</v>
      </c>
    </row>
    <row r="640" spans="11:12" x14ac:dyDescent="0.4">
      <c r="K640" s="36">
        <v>638</v>
      </c>
      <c r="L640" s="95">
        <v>18.299999999999958</v>
      </c>
    </row>
    <row r="641" spans="11:12" x14ac:dyDescent="0.4">
      <c r="K641" s="36">
        <v>639</v>
      </c>
      <c r="L641" s="95">
        <v>-4.2632564145606011E-14</v>
      </c>
    </row>
    <row r="642" spans="11:12" x14ac:dyDescent="0.4">
      <c r="K642" s="36">
        <v>640</v>
      </c>
      <c r="L642" s="95">
        <v>26.799999999999958</v>
      </c>
    </row>
    <row r="643" spans="11:12" x14ac:dyDescent="0.4">
      <c r="K643" s="36">
        <v>641</v>
      </c>
      <c r="L643" s="95">
        <v>-14.900000000000045</v>
      </c>
    </row>
    <row r="644" spans="11:12" x14ac:dyDescent="0.4">
      <c r="K644" s="36">
        <v>642</v>
      </c>
      <c r="L644" s="95">
        <v>-4.4408920985006262E-14</v>
      </c>
    </row>
    <row r="645" spans="11:12" x14ac:dyDescent="0.4">
      <c r="K645" s="36">
        <v>643</v>
      </c>
      <c r="L645" s="95">
        <v>57.799999999999955</v>
      </c>
    </row>
    <row r="646" spans="11:12" x14ac:dyDescent="0.4">
      <c r="K646" s="36">
        <v>644</v>
      </c>
      <c r="L646" s="95">
        <v>45.199999999999953</v>
      </c>
    </row>
    <row r="647" spans="11:12" x14ac:dyDescent="0.4">
      <c r="K647" s="36">
        <v>645</v>
      </c>
      <c r="L647" s="95">
        <v>-4.9737991503207013E-14</v>
      </c>
    </row>
    <row r="648" spans="11:12" x14ac:dyDescent="0.4">
      <c r="K648" s="36">
        <v>646</v>
      </c>
      <c r="L648" s="95">
        <v>-4.5000000000000497</v>
      </c>
    </row>
    <row r="649" spans="11:12" x14ac:dyDescent="0.4">
      <c r="K649" s="36">
        <v>647</v>
      </c>
      <c r="L649" s="95">
        <v>-28.80000000000005</v>
      </c>
    </row>
    <row r="650" spans="11:12" x14ac:dyDescent="0.4">
      <c r="K650" s="36">
        <v>648</v>
      </c>
      <c r="L650" s="95">
        <v>-4.9737991503207013E-14</v>
      </c>
    </row>
    <row r="651" spans="11:12" x14ac:dyDescent="0.4">
      <c r="K651" s="36">
        <v>649</v>
      </c>
      <c r="L651" s="95">
        <v>-19.700000000000049</v>
      </c>
    </row>
    <row r="652" spans="11:12" x14ac:dyDescent="0.4">
      <c r="K652" s="36">
        <v>650</v>
      </c>
      <c r="L652" s="95">
        <v>-1.6000000000000476</v>
      </c>
    </row>
    <row r="653" spans="11:12" x14ac:dyDescent="0.4">
      <c r="K653" s="36">
        <v>651</v>
      </c>
      <c r="L653" s="95">
        <v>-4.75175454539567E-14</v>
      </c>
    </row>
    <row r="654" spans="11:12" x14ac:dyDescent="0.4">
      <c r="K654" s="36">
        <v>652</v>
      </c>
      <c r="L654" s="95">
        <v>-46.800000000000047</v>
      </c>
    </row>
    <row r="655" spans="11:12" x14ac:dyDescent="0.4">
      <c r="K655" s="36">
        <v>653</v>
      </c>
      <c r="L655" s="95">
        <v>29.599999999999959</v>
      </c>
    </row>
    <row r="656" spans="11:12" x14ac:dyDescent="0.4">
      <c r="K656" s="36">
        <v>654</v>
      </c>
      <c r="L656" s="95">
        <v>-4.2632564145606011E-14</v>
      </c>
    </row>
    <row r="657" spans="11:12" x14ac:dyDescent="0.4">
      <c r="K657" s="36">
        <v>655</v>
      </c>
      <c r="L657" s="95">
        <v>36.799999999999955</v>
      </c>
    </row>
    <row r="658" spans="11:12" x14ac:dyDescent="0.4">
      <c r="K658" s="36">
        <v>656</v>
      </c>
      <c r="L658" s="95">
        <v>0.89999999999995595</v>
      </c>
    </row>
    <row r="659" spans="11:12" x14ac:dyDescent="0.4">
      <c r="K659" s="36">
        <v>657</v>
      </c>
      <c r="L659" s="95">
        <v>-4.4075854077618715E-14</v>
      </c>
    </row>
    <row r="660" spans="11:12" x14ac:dyDescent="0.4">
      <c r="K660" s="36">
        <v>658</v>
      </c>
      <c r="L660" s="95">
        <v>0.5999999999999559</v>
      </c>
    </row>
    <row r="661" spans="11:12" x14ac:dyDescent="0.4">
      <c r="K661" s="36">
        <v>659</v>
      </c>
      <c r="L661" s="95">
        <v>18.699999999999957</v>
      </c>
    </row>
    <row r="662" spans="11:12" x14ac:dyDescent="0.4">
      <c r="K662" s="36">
        <v>660</v>
      </c>
      <c r="L662" s="95">
        <v>-4.2632564145606011E-14</v>
      </c>
    </row>
    <row r="663" spans="11:12" x14ac:dyDescent="0.4">
      <c r="K663" s="36">
        <v>661</v>
      </c>
      <c r="L663" s="95">
        <v>-18.500000000000043</v>
      </c>
    </row>
    <row r="664" spans="11:12" x14ac:dyDescent="0.4">
      <c r="K664" s="36">
        <v>662</v>
      </c>
      <c r="L664" s="95">
        <v>-63.600000000000044</v>
      </c>
    </row>
    <row r="665" spans="11:12" x14ac:dyDescent="0.4">
      <c r="K665" s="36">
        <v>663</v>
      </c>
      <c r="L665" s="95">
        <v>-4.2632564145606011E-14</v>
      </c>
    </row>
    <row r="666" spans="11:12" x14ac:dyDescent="0.4">
      <c r="K666" s="36">
        <v>664</v>
      </c>
      <c r="L666" s="95">
        <v>35.19999999999996</v>
      </c>
    </row>
    <row r="667" spans="11:12" x14ac:dyDescent="0.4">
      <c r="K667" s="36">
        <v>665</v>
      </c>
      <c r="L667" s="95">
        <v>-11.500000000000043</v>
      </c>
    </row>
    <row r="668" spans="11:12" x14ac:dyDescent="0.4">
      <c r="K668" s="36">
        <v>666</v>
      </c>
      <c r="L668" s="95">
        <v>-4.2632564145606011E-14</v>
      </c>
    </row>
    <row r="669" spans="11:12" x14ac:dyDescent="0.4">
      <c r="K669" s="36">
        <v>667</v>
      </c>
      <c r="L669" s="95">
        <v>28.899999999999956</v>
      </c>
    </row>
    <row r="670" spans="11:12" x14ac:dyDescent="0.4">
      <c r="K670" s="36">
        <v>668</v>
      </c>
      <c r="L670" s="95">
        <v>25.399999999999956</v>
      </c>
    </row>
    <row r="671" spans="11:12" x14ac:dyDescent="0.4">
      <c r="K671" s="36">
        <v>669</v>
      </c>
      <c r="L671" s="95">
        <v>-4.2632564145606011E-14</v>
      </c>
    </row>
    <row r="672" spans="11:12" x14ac:dyDescent="0.4">
      <c r="K672" s="36">
        <v>670</v>
      </c>
      <c r="L672" s="95">
        <v>3.2999999999999572</v>
      </c>
    </row>
    <row r="673" spans="11:12" x14ac:dyDescent="0.4">
      <c r="K673" s="36">
        <v>671</v>
      </c>
      <c r="L673" s="95">
        <v>22.699999999999957</v>
      </c>
    </row>
    <row r="674" spans="11:12" x14ac:dyDescent="0.4">
      <c r="K674" s="36">
        <v>672</v>
      </c>
      <c r="L674" s="95">
        <v>-4.2632564145606011E-14</v>
      </c>
    </row>
    <row r="675" spans="11:12" x14ac:dyDescent="0.4">
      <c r="K675" s="36">
        <v>673</v>
      </c>
      <c r="L675" s="95">
        <v>8.9999999999999574</v>
      </c>
    </row>
    <row r="676" spans="11:12" x14ac:dyDescent="0.4">
      <c r="K676" s="36">
        <v>674</v>
      </c>
      <c r="L676" s="95">
        <v>-43.600000000000044</v>
      </c>
    </row>
    <row r="677" spans="11:12" x14ac:dyDescent="0.4">
      <c r="K677" s="36">
        <v>675</v>
      </c>
      <c r="L677" s="95">
        <v>-4.2632564145606011E-14</v>
      </c>
    </row>
    <row r="678" spans="11:12" x14ac:dyDescent="0.4">
      <c r="K678" s="36">
        <v>676</v>
      </c>
      <c r="L678" s="95">
        <v>27.399999999999956</v>
      </c>
    </row>
    <row r="679" spans="11:12" x14ac:dyDescent="0.4">
      <c r="K679" s="36">
        <v>677</v>
      </c>
      <c r="L679" s="95">
        <v>41.999999999999957</v>
      </c>
    </row>
    <row r="680" spans="11:12" x14ac:dyDescent="0.4">
      <c r="K680" s="36">
        <v>678</v>
      </c>
      <c r="L680" s="95">
        <v>-4.2632564145606011E-14</v>
      </c>
    </row>
    <row r="681" spans="11:12" x14ac:dyDescent="0.4">
      <c r="K681" s="36">
        <v>679</v>
      </c>
      <c r="L681" s="95">
        <v>-22.300000000000043</v>
      </c>
    </row>
    <row r="682" spans="11:12" x14ac:dyDescent="0.4">
      <c r="K682" s="36">
        <v>680</v>
      </c>
      <c r="L682" s="95">
        <v>-17.100000000000044</v>
      </c>
    </row>
    <row r="683" spans="11:12" x14ac:dyDescent="0.4">
      <c r="K683" s="36">
        <v>681</v>
      </c>
      <c r="L683" s="95">
        <v>-4.2632564145606011E-14</v>
      </c>
    </row>
    <row r="684" spans="11:12" x14ac:dyDescent="0.4">
      <c r="K684" s="36">
        <v>682</v>
      </c>
      <c r="L684" s="95">
        <v>-5.0000000000000426</v>
      </c>
    </row>
    <row r="685" spans="11:12" x14ac:dyDescent="0.4">
      <c r="K685" s="36">
        <v>683</v>
      </c>
      <c r="L685" s="95">
        <v>19.999999999999957</v>
      </c>
    </row>
    <row r="686" spans="11:12" x14ac:dyDescent="0.4">
      <c r="K686" s="36">
        <v>684</v>
      </c>
      <c r="L686" s="95">
        <v>-4.2632564145606011E-14</v>
      </c>
    </row>
    <row r="687" spans="11:12" x14ac:dyDescent="0.4">
      <c r="K687" s="36">
        <v>685</v>
      </c>
      <c r="L687" s="95">
        <v>47.499999999999957</v>
      </c>
    </row>
    <row r="688" spans="11:12" x14ac:dyDescent="0.4">
      <c r="K688" s="36">
        <v>686</v>
      </c>
      <c r="L688" s="95">
        <v>45.499999999999957</v>
      </c>
    </row>
    <row r="689" spans="11:12" x14ac:dyDescent="0.4">
      <c r="K689" s="36">
        <v>687</v>
      </c>
      <c r="L689" s="95">
        <v>-4.2632564145606011E-14</v>
      </c>
    </row>
    <row r="690" spans="11:12" x14ac:dyDescent="0.4">
      <c r="K690" s="36">
        <v>688</v>
      </c>
      <c r="L690" s="95">
        <v>4.1999999999999575</v>
      </c>
    </row>
    <row r="691" spans="11:12" x14ac:dyDescent="0.4">
      <c r="K691" s="36">
        <v>689</v>
      </c>
      <c r="L691" s="95">
        <v>26.199999999999957</v>
      </c>
    </row>
    <row r="692" spans="11:12" x14ac:dyDescent="0.4">
      <c r="K692" s="36">
        <v>690</v>
      </c>
      <c r="L692" s="95">
        <v>-4.2632564145606011E-14</v>
      </c>
    </row>
    <row r="693" spans="11:12" x14ac:dyDescent="0.4">
      <c r="K693" s="36">
        <v>691</v>
      </c>
      <c r="L693" s="95">
        <v>46.19999999999996</v>
      </c>
    </row>
    <row r="694" spans="11:12" x14ac:dyDescent="0.4">
      <c r="K694" s="36">
        <v>692</v>
      </c>
      <c r="L694" s="95">
        <v>-5.3000000000000398</v>
      </c>
    </row>
    <row r="695" spans="11:12" x14ac:dyDescent="0.4">
      <c r="K695" s="36">
        <v>693</v>
      </c>
      <c r="L695" s="95">
        <v>-3.9968028886505635E-14</v>
      </c>
    </row>
    <row r="696" spans="11:12" x14ac:dyDescent="0.4">
      <c r="K696" s="36">
        <v>694</v>
      </c>
      <c r="L696" s="95">
        <v>5.5999999999999597</v>
      </c>
    </row>
    <row r="697" spans="11:12" x14ac:dyDescent="0.4">
      <c r="K697" s="36">
        <v>695</v>
      </c>
      <c r="L697" s="95">
        <v>23.19999999999996</v>
      </c>
    </row>
    <row r="698" spans="11:12" x14ac:dyDescent="0.4">
      <c r="K698" s="36">
        <v>696</v>
      </c>
      <c r="L698" s="95">
        <v>-3.907985046680551E-14</v>
      </c>
    </row>
    <row r="699" spans="11:12" x14ac:dyDescent="0.4">
      <c r="K699" s="36">
        <v>697</v>
      </c>
      <c r="L699" s="95">
        <v>3.8999999999999608</v>
      </c>
    </row>
    <row r="700" spans="11:12" x14ac:dyDescent="0.4">
      <c r="K700" s="36">
        <v>698</v>
      </c>
      <c r="L700" s="95">
        <v>-36.30000000000004</v>
      </c>
    </row>
    <row r="701" spans="11:12" x14ac:dyDescent="0.4">
      <c r="K701" s="36">
        <v>699</v>
      </c>
      <c r="L701" s="95">
        <v>-4.2632564145606011E-14</v>
      </c>
    </row>
    <row r="702" spans="11:12" x14ac:dyDescent="0.4">
      <c r="K702" s="36">
        <v>700</v>
      </c>
      <c r="L702" s="95">
        <v>-7.0000000000000426</v>
      </c>
    </row>
    <row r="703" spans="11:12" x14ac:dyDescent="0.4">
      <c r="K703" s="36">
        <v>701</v>
      </c>
      <c r="L703" s="95">
        <v>-35.700000000000045</v>
      </c>
    </row>
    <row r="704" spans="11:12" x14ac:dyDescent="0.4">
      <c r="K704" s="36">
        <v>702</v>
      </c>
      <c r="L704" s="95">
        <v>-4.2632564145606011E-14</v>
      </c>
    </row>
    <row r="705" spans="11:12" x14ac:dyDescent="0.4">
      <c r="K705" s="36">
        <v>703</v>
      </c>
      <c r="L705" s="95">
        <v>-7.1000000000000423</v>
      </c>
    </row>
    <row r="706" spans="11:12" x14ac:dyDescent="0.4">
      <c r="K706" s="36">
        <v>704</v>
      </c>
      <c r="L706" s="95">
        <v>17.599999999999959</v>
      </c>
    </row>
    <row r="707" spans="11:12" x14ac:dyDescent="0.4">
      <c r="K707" s="36">
        <v>705</v>
      </c>
      <c r="L707" s="95">
        <v>-4.2632564145606011E-14</v>
      </c>
    </row>
    <row r="708" spans="11:12" x14ac:dyDescent="0.4">
      <c r="K708" s="36">
        <v>706</v>
      </c>
      <c r="L708" s="95">
        <v>32.999999999999957</v>
      </c>
    </row>
    <row r="709" spans="11:12" x14ac:dyDescent="0.4">
      <c r="K709" s="36">
        <v>707</v>
      </c>
      <c r="L709" s="95">
        <v>33.099999999999959</v>
      </c>
    </row>
    <row r="710" spans="11:12" x14ac:dyDescent="0.4">
      <c r="K710" s="36">
        <v>708</v>
      </c>
      <c r="L710" s="95">
        <v>-4.2632564145606011E-14</v>
      </c>
    </row>
    <row r="711" spans="11:12" x14ac:dyDescent="0.4">
      <c r="K711" s="36">
        <v>709</v>
      </c>
      <c r="L711" s="95">
        <v>-12.100000000000042</v>
      </c>
    </row>
    <row r="712" spans="11:12" x14ac:dyDescent="0.4">
      <c r="K712" s="36">
        <v>710</v>
      </c>
      <c r="L712" s="95">
        <v>-12.800000000000042</v>
      </c>
    </row>
    <row r="713" spans="11:12" x14ac:dyDescent="0.4">
      <c r="K713" s="36">
        <v>711</v>
      </c>
      <c r="L713" s="95">
        <v>-4.0856207306205761E-14</v>
      </c>
    </row>
    <row r="714" spans="11:12" x14ac:dyDescent="0.4">
      <c r="K714" s="36">
        <v>712</v>
      </c>
      <c r="L714" s="95">
        <v>-13.800000000000042</v>
      </c>
    </row>
    <row r="715" spans="11:12" x14ac:dyDescent="0.4">
      <c r="K715" s="36">
        <v>713</v>
      </c>
      <c r="L715" s="95">
        <v>0.49999999999995914</v>
      </c>
    </row>
    <row r="716" spans="11:12" x14ac:dyDescent="0.4">
      <c r="K716" s="36">
        <v>714</v>
      </c>
      <c r="L716" s="95">
        <v>-4.0856207306205761E-14</v>
      </c>
    </row>
    <row r="717" spans="11:12" x14ac:dyDescent="0.4">
      <c r="K717" s="36">
        <v>715</v>
      </c>
      <c r="L717" s="95">
        <v>-2.8000000000000407</v>
      </c>
    </row>
    <row r="718" spans="11:12" x14ac:dyDescent="0.4">
      <c r="K718" s="36">
        <v>716</v>
      </c>
      <c r="L718" s="95">
        <v>-15.700000000000042</v>
      </c>
    </row>
    <row r="719" spans="11:12" x14ac:dyDescent="0.4">
      <c r="K719" s="36">
        <v>717</v>
      </c>
      <c r="L719" s="95">
        <v>-4.2632564145606011E-14</v>
      </c>
    </row>
    <row r="720" spans="11:12" x14ac:dyDescent="0.4">
      <c r="K720" s="36">
        <v>718</v>
      </c>
      <c r="L720" s="95">
        <v>10.199999999999957</v>
      </c>
    </row>
    <row r="721" spans="11:12" x14ac:dyDescent="0.4">
      <c r="K721" s="36">
        <v>719</v>
      </c>
      <c r="L721" s="95">
        <v>-37.700000000000045</v>
      </c>
    </row>
    <row r="722" spans="11:12" x14ac:dyDescent="0.4">
      <c r="K722" s="36">
        <v>720</v>
      </c>
      <c r="L722" s="95">
        <v>-4.2632564145606011E-14</v>
      </c>
    </row>
    <row r="723" spans="11:12" x14ac:dyDescent="0.4">
      <c r="K723" s="36">
        <v>721</v>
      </c>
      <c r="L723" s="95">
        <v>-30.900000000000041</v>
      </c>
    </row>
    <row r="724" spans="11:12" x14ac:dyDescent="0.4">
      <c r="K724" s="36">
        <v>722</v>
      </c>
      <c r="L724" s="95">
        <v>-9.2000000000000419</v>
      </c>
    </row>
    <row r="725" spans="11:12" x14ac:dyDescent="0.4">
      <c r="K725" s="36">
        <v>723</v>
      </c>
      <c r="L725" s="95">
        <v>-4.2632564145606011E-14</v>
      </c>
    </row>
    <row r="726" spans="11:12" x14ac:dyDescent="0.4">
      <c r="K726" s="36">
        <v>724</v>
      </c>
      <c r="L726" s="95">
        <v>-49.500000000000043</v>
      </c>
    </row>
    <row r="727" spans="11:12" x14ac:dyDescent="0.4">
      <c r="K727" s="36">
        <v>725</v>
      </c>
      <c r="L727" s="95">
        <v>-56.900000000000041</v>
      </c>
    </row>
    <row r="728" spans="11:12" x14ac:dyDescent="0.4">
      <c r="K728" s="36">
        <v>726</v>
      </c>
      <c r="L728" s="95">
        <v>-4.2632564145606011E-14</v>
      </c>
    </row>
    <row r="729" spans="11:12" x14ac:dyDescent="0.4">
      <c r="K729" s="36">
        <v>727</v>
      </c>
      <c r="L729" s="95">
        <v>-36.400000000000041</v>
      </c>
    </row>
    <row r="730" spans="11:12" x14ac:dyDescent="0.4">
      <c r="K730" s="36">
        <v>728</v>
      </c>
      <c r="L730" s="95">
        <v>-32.700000000000038</v>
      </c>
    </row>
    <row r="731" spans="11:12" x14ac:dyDescent="0.4">
      <c r="K731" s="36">
        <v>729</v>
      </c>
      <c r="L731" s="95">
        <v>-3.5527136788005009E-14</v>
      </c>
    </row>
    <row r="732" spans="11:12" x14ac:dyDescent="0.4">
      <c r="K732" s="36">
        <v>730</v>
      </c>
      <c r="L732" s="95">
        <v>34.999999999999964</v>
      </c>
    </row>
    <row r="733" spans="11:12" x14ac:dyDescent="0.4">
      <c r="K733" s="36">
        <v>731</v>
      </c>
      <c r="L733" s="95">
        <v>-1.3000000000000327</v>
      </c>
    </row>
    <row r="734" spans="11:12" x14ac:dyDescent="0.4">
      <c r="K734" s="36">
        <v>732</v>
      </c>
      <c r="L734" s="95">
        <v>-3.2640556923979602E-14</v>
      </c>
    </row>
    <row r="735" spans="11:12" x14ac:dyDescent="0.4">
      <c r="K735" s="36">
        <v>733</v>
      </c>
      <c r="L735" s="95">
        <v>-16.600000000000033</v>
      </c>
    </row>
    <row r="736" spans="11:12" x14ac:dyDescent="0.4">
      <c r="K736" s="36">
        <v>734</v>
      </c>
      <c r="L736" s="95">
        <v>-14.600000000000033</v>
      </c>
    </row>
    <row r="737" spans="11:12" x14ac:dyDescent="0.4">
      <c r="K737" s="36">
        <v>735</v>
      </c>
      <c r="L737" s="95">
        <v>-3.3750779948604759E-14</v>
      </c>
    </row>
    <row r="738" spans="11:12" x14ac:dyDescent="0.4">
      <c r="K738" s="36">
        <v>736</v>
      </c>
      <c r="L738" s="95">
        <v>45.899999999999963</v>
      </c>
    </row>
    <row r="739" spans="11:12" x14ac:dyDescent="0.4">
      <c r="K739" s="36">
        <v>737</v>
      </c>
      <c r="L739" s="95">
        <v>10.499999999999964</v>
      </c>
    </row>
    <row r="740" spans="11:12" x14ac:dyDescent="0.4">
      <c r="K740" s="36">
        <v>738</v>
      </c>
      <c r="L740" s="95">
        <v>-3.5527136788005009E-14</v>
      </c>
    </row>
    <row r="741" spans="11:12" x14ac:dyDescent="0.4">
      <c r="K741" s="36">
        <v>739</v>
      </c>
      <c r="L741" s="95">
        <v>45.599999999999966</v>
      </c>
    </row>
    <row r="742" spans="11:12" x14ac:dyDescent="0.4">
      <c r="K742" s="36">
        <v>740</v>
      </c>
      <c r="L742" s="95">
        <v>57.199999999999967</v>
      </c>
    </row>
    <row r="743" spans="11:12" x14ac:dyDescent="0.4">
      <c r="K743" s="36">
        <v>741</v>
      </c>
      <c r="L743" s="95">
        <v>-3.5527136788005009E-14</v>
      </c>
    </row>
    <row r="744" spans="11:12" x14ac:dyDescent="0.4">
      <c r="K744" s="36">
        <v>742</v>
      </c>
      <c r="L744" s="95">
        <v>11.399999999999965</v>
      </c>
    </row>
    <row r="745" spans="11:12" x14ac:dyDescent="0.4">
      <c r="K745" s="36">
        <v>743</v>
      </c>
      <c r="L745" s="95">
        <v>49.499999999999964</v>
      </c>
    </row>
    <row r="746" spans="11:12" x14ac:dyDescent="0.4">
      <c r="K746" s="36">
        <v>744</v>
      </c>
      <c r="L746" s="95">
        <v>-3.5527136788005009E-14</v>
      </c>
    </row>
    <row r="747" spans="11:12" x14ac:dyDescent="0.4">
      <c r="K747" s="36">
        <v>745</v>
      </c>
      <c r="L747" s="95">
        <v>-3.8000000000000353</v>
      </c>
    </row>
    <row r="748" spans="11:12" x14ac:dyDescent="0.4">
      <c r="K748" s="36">
        <v>746</v>
      </c>
      <c r="L748" s="95">
        <v>-28.300000000000036</v>
      </c>
    </row>
    <row r="749" spans="11:12" x14ac:dyDescent="0.4">
      <c r="K749" s="36">
        <v>747</v>
      </c>
      <c r="L749" s="95">
        <v>-3.5527136788005009E-14</v>
      </c>
    </row>
    <row r="750" spans="11:12" x14ac:dyDescent="0.4">
      <c r="K750" s="36">
        <v>748</v>
      </c>
      <c r="L750" s="95">
        <v>42.499999999999964</v>
      </c>
    </row>
    <row r="751" spans="11:12" x14ac:dyDescent="0.4">
      <c r="K751" s="36">
        <v>749</v>
      </c>
      <c r="L751" s="95">
        <v>-3.9000000000000341</v>
      </c>
    </row>
    <row r="752" spans="11:12" x14ac:dyDescent="0.4">
      <c r="K752" s="36">
        <v>750</v>
      </c>
      <c r="L752" s="95">
        <v>-3.4194869158454821E-14</v>
      </c>
    </row>
    <row r="753" spans="11:12" x14ac:dyDescent="0.4">
      <c r="K753" s="36">
        <v>751</v>
      </c>
      <c r="L753" s="95">
        <v>-25.200000000000035</v>
      </c>
    </row>
    <row r="754" spans="11:12" x14ac:dyDescent="0.4">
      <c r="K754" s="36">
        <v>752</v>
      </c>
      <c r="L754" s="95">
        <v>1.7999999999999652</v>
      </c>
    </row>
    <row r="755" spans="11:12" x14ac:dyDescent="0.4">
      <c r="K755" s="36">
        <v>753</v>
      </c>
      <c r="L755" s="95">
        <v>-3.4861002973229915E-14</v>
      </c>
    </row>
    <row r="756" spans="11:12" x14ac:dyDescent="0.4">
      <c r="K756" s="36">
        <v>754</v>
      </c>
      <c r="L756" s="95">
        <v>44.399999999999963</v>
      </c>
    </row>
    <row r="757" spans="11:12" x14ac:dyDescent="0.4">
      <c r="K757" s="36">
        <v>755</v>
      </c>
      <c r="L757" s="95">
        <v>2.9999999999999645</v>
      </c>
    </row>
    <row r="758" spans="11:12" x14ac:dyDescent="0.4">
      <c r="K758" s="36">
        <v>756</v>
      </c>
      <c r="L758" s="95">
        <v>-3.5527136788005009E-14</v>
      </c>
    </row>
    <row r="759" spans="11:12" x14ac:dyDescent="0.4">
      <c r="K759" s="36">
        <v>757</v>
      </c>
      <c r="L759" s="95">
        <v>26.199999999999964</v>
      </c>
    </row>
    <row r="760" spans="11:12" x14ac:dyDescent="0.4">
      <c r="K760" s="36">
        <v>758</v>
      </c>
      <c r="L760" s="95">
        <v>-15.400000000000038</v>
      </c>
    </row>
    <row r="761" spans="11:12" x14ac:dyDescent="0.4">
      <c r="K761" s="36">
        <v>759</v>
      </c>
      <c r="L761" s="95">
        <v>-3.730349362740526E-14</v>
      </c>
    </row>
    <row r="762" spans="11:12" x14ac:dyDescent="0.4">
      <c r="K762" s="36">
        <v>760</v>
      </c>
      <c r="L762" s="95">
        <v>0.89999999999996272</v>
      </c>
    </row>
    <row r="763" spans="11:12" x14ac:dyDescent="0.4">
      <c r="K763" s="36">
        <v>761</v>
      </c>
      <c r="L763" s="95">
        <v>41.799999999999962</v>
      </c>
    </row>
    <row r="764" spans="11:12" x14ac:dyDescent="0.4">
      <c r="K764" s="36">
        <v>762</v>
      </c>
      <c r="L764" s="95">
        <v>-3.5527136788005009E-14</v>
      </c>
    </row>
    <row r="765" spans="11:12" x14ac:dyDescent="0.4">
      <c r="K765" s="36">
        <v>763</v>
      </c>
      <c r="L765" s="95">
        <v>34.499999999999964</v>
      </c>
    </row>
    <row r="766" spans="11:12" x14ac:dyDescent="0.4">
      <c r="K766" s="36">
        <v>764</v>
      </c>
      <c r="L766" s="95">
        <v>29.099999999999966</v>
      </c>
    </row>
    <row r="767" spans="11:12" x14ac:dyDescent="0.4">
      <c r="K767" s="36">
        <v>765</v>
      </c>
      <c r="L767" s="95">
        <v>-3.5527136788005009E-14</v>
      </c>
    </row>
    <row r="768" spans="11:12" x14ac:dyDescent="0.4">
      <c r="K768" s="36">
        <v>766</v>
      </c>
      <c r="L768" s="95">
        <v>2.3999999999999644</v>
      </c>
    </row>
    <row r="769" spans="11:12" x14ac:dyDescent="0.4">
      <c r="K769" s="36">
        <v>767</v>
      </c>
      <c r="L769" s="95">
        <v>16.999999999999964</v>
      </c>
    </row>
    <row r="770" spans="11:12" x14ac:dyDescent="0.4">
      <c r="K770" s="36">
        <v>768</v>
      </c>
      <c r="L770" s="95">
        <v>-3.5527136788005009E-14</v>
      </c>
    </row>
    <row r="771" spans="11:12" x14ac:dyDescent="0.4">
      <c r="K771" s="36">
        <v>769</v>
      </c>
      <c r="L771" s="95">
        <v>-7.2000000000000357</v>
      </c>
    </row>
    <row r="772" spans="11:12" x14ac:dyDescent="0.4">
      <c r="K772" s="36">
        <v>770</v>
      </c>
      <c r="L772" s="95">
        <v>-42.80000000000004</v>
      </c>
    </row>
    <row r="773" spans="11:12" x14ac:dyDescent="0.4">
      <c r="K773" s="36">
        <v>771</v>
      </c>
      <c r="L773" s="95">
        <v>-4.2632564145606011E-14</v>
      </c>
    </row>
    <row r="774" spans="11:12" x14ac:dyDescent="0.4">
      <c r="K774" s="36">
        <v>772</v>
      </c>
      <c r="L774" s="95">
        <v>-26.700000000000042</v>
      </c>
    </row>
    <row r="775" spans="11:12" x14ac:dyDescent="0.4">
      <c r="K775" s="36">
        <v>773</v>
      </c>
      <c r="L775" s="95">
        <v>-34.80000000000004</v>
      </c>
    </row>
    <row r="776" spans="11:12" x14ac:dyDescent="0.4">
      <c r="K776" s="36">
        <v>774</v>
      </c>
      <c r="L776" s="95">
        <v>-4.2632564145606011E-14</v>
      </c>
    </row>
    <row r="777" spans="11:12" x14ac:dyDescent="0.4">
      <c r="K777" s="36">
        <v>775</v>
      </c>
      <c r="L777" s="95">
        <v>-19.000000000000043</v>
      </c>
    </row>
    <row r="778" spans="11:12" x14ac:dyDescent="0.4">
      <c r="K778" s="36">
        <v>776</v>
      </c>
      <c r="L778" s="95">
        <v>-4.2632564145606011E-14</v>
      </c>
    </row>
    <row r="779" spans="11:12" x14ac:dyDescent="0.4">
      <c r="K779" s="36">
        <v>777</v>
      </c>
      <c r="L779" s="95">
        <v>-4.2632564145606011E-14</v>
      </c>
    </row>
    <row r="780" spans="11:12" x14ac:dyDescent="0.4">
      <c r="K780" s="36">
        <v>778</v>
      </c>
      <c r="L780" s="95">
        <v>6.599999999999957</v>
      </c>
    </row>
    <row r="781" spans="11:12" x14ac:dyDescent="0.4">
      <c r="K781" s="36">
        <v>779</v>
      </c>
      <c r="L781" s="95">
        <v>-18.200000000000045</v>
      </c>
    </row>
    <row r="782" spans="11:12" x14ac:dyDescent="0.4">
      <c r="K782" s="36">
        <v>780</v>
      </c>
      <c r="L782" s="95">
        <v>-4.6185277824406512E-14</v>
      </c>
    </row>
    <row r="783" spans="11:12" x14ac:dyDescent="0.4">
      <c r="K783" s="36">
        <v>781</v>
      </c>
      <c r="L783" s="95">
        <v>-36.600000000000051</v>
      </c>
    </row>
    <row r="784" spans="11:12" x14ac:dyDescent="0.4">
      <c r="K784" s="36">
        <v>782</v>
      </c>
      <c r="L784" s="95">
        <v>1.7999999999999474</v>
      </c>
    </row>
    <row r="785" spans="11:12" x14ac:dyDescent="0.4">
      <c r="K785" s="36">
        <v>783</v>
      </c>
      <c r="L785" s="95">
        <v>-5.262457136723242E-14</v>
      </c>
    </row>
    <row r="786" spans="11:12" x14ac:dyDescent="0.4">
      <c r="K786" s="36">
        <v>784</v>
      </c>
      <c r="L786" s="95">
        <v>23.499999999999947</v>
      </c>
    </row>
    <row r="787" spans="11:12" x14ac:dyDescent="0.4">
      <c r="K787" s="36">
        <v>785</v>
      </c>
      <c r="L787" s="95">
        <v>29.899999999999949</v>
      </c>
    </row>
    <row r="788" spans="11:12" x14ac:dyDescent="0.4">
      <c r="K788" s="36">
        <v>786</v>
      </c>
      <c r="L788" s="95">
        <v>-4.9737991503207013E-14</v>
      </c>
    </row>
    <row r="789" spans="11:12" x14ac:dyDescent="0.4">
      <c r="K789" s="36">
        <v>787</v>
      </c>
      <c r="L789" s="95">
        <v>36.199999999999953</v>
      </c>
    </row>
    <row r="790" spans="11:12" x14ac:dyDescent="0.4">
      <c r="K790" s="36">
        <v>788</v>
      </c>
      <c r="L790" s="95">
        <v>9.8999999999999524</v>
      </c>
    </row>
    <row r="791" spans="11:12" x14ac:dyDescent="0.4">
      <c r="K791" s="36">
        <v>789</v>
      </c>
      <c r="L791" s="95">
        <v>-4.7961634663806763E-14</v>
      </c>
    </row>
    <row r="792" spans="11:12" x14ac:dyDescent="0.4">
      <c r="K792" s="36">
        <v>790</v>
      </c>
      <c r="L792" s="95">
        <v>-32.50000000000005</v>
      </c>
    </row>
    <row r="793" spans="11:12" x14ac:dyDescent="0.4">
      <c r="K793" s="36">
        <v>791</v>
      </c>
      <c r="L793" s="95">
        <v>-30.400000000000048</v>
      </c>
    </row>
    <row r="794" spans="11:12" x14ac:dyDescent="0.4">
      <c r="K794" s="36">
        <v>792</v>
      </c>
      <c r="L794" s="95">
        <v>-4.9737991503207013E-14</v>
      </c>
    </row>
    <row r="795" spans="11:12" x14ac:dyDescent="0.4">
      <c r="K795" s="36">
        <v>793</v>
      </c>
      <c r="L795" s="95">
        <v>42.399999999999949</v>
      </c>
    </row>
    <row r="796" spans="11:12" x14ac:dyDescent="0.4">
      <c r="K796" s="36">
        <v>794</v>
      </c>
      <c r="L796" s="95">
        <v>34.099999999999952</v>
      </c>
    </row>
    <row r="797" spans="11:12" x14ac:dyDescent="0.4">
      <c r="K797" s="36">
        <v>795</v>
      </c>
      <c r="L797" s="95">
        <v>-4.9737991503207013E-14</v>
      </c>
    </row>
    <row r="798" spans="11:12" x14ac:dyDescent="0.4">
      <c r="K798" s="36">
        <v>796</v>
      </c>
      <c r="L798" s="95">
        <v>32.899999999999949</v>
      </c>
    </row>
    <row r="799" spans="11:12" x14ac:dyDescent="0.4">
      <c r="K799" s="36">
        <v>797</v>
      </c>
      <c r="L799" s="95">
        <v>37.099999999999952</v>
      </c>
    </row>
    <row r="800" spans="11:12" x14ac:dyDescent="0.4">
      <c r="K800" s="36">
        <v>798</v>
      </c>
      <c r="L800" s="95">
        <v>-4.9737991503207013E-14</v>
      </c>
    </row>
    <row r="801" spans="11:12" x14ac:dyDescent="0.4">
      <c r="K801" s="36">
        <v>799</v>
      </c>
      <c r="L801" s="95">
        <v>-31.900000000000048</v>
      </c>
    </row>
    <row r="802" spans="11:12" x14ac:dyDescent="0.4">
      <c r="K802" s="36">
        <v>800</v>
      </c>
      <c r="L802" s="95">
        <v>-36.700000000000045</v>
      </c>
    </row>
    <row r="803" spans="11:12" x14ac:dyDescent="0.4">
      <c r="K803" s="36">
        <v>801</v>
      </c>
      <c r="L803" s="95">
        <v>-4.2632564145606011E-14</v>
      </c>
    </row>
    <row r="804" spans="11:12" x14ac:dyDescent="0.4">
      <c r="K804" s="36">
        <v>802</v>
      </c>
      <c r="L804" s="95">
        <v>50.099999999999959</v>
      </c>
    </row>
    <row r="805" spans="11:12" x14ac:dyDescent="0.4">
      <c r="K805" s="36">
        <v>803</v>
      </c>
      <c r="L805" s="95">
        <v>39.599999999999959</v>
      </c>
    </row>
    <row r="806" spans="11:12" x14ac:dyDescent="0.4">
      <c r="K806" s="36">
        <v>804</v>
      </c>
      <c r="L806" s="95">
        <v>-4.2632564145606011E-14</v>
      </c>
    </row>
    <row r="807" spans="11:12" x14ac:dyDescent="0.4">
      <c r="K807" s="36">
        <v>805</v>
      </c>
      <c r="L807" s="95">
        <v>6.3999999999999577</v>
      </c>
    </row>
    <row r="808" spans="11:12" x14ac:dyDescent="0.4">
      <c r="K808" s="36">
        <v>806</v>
      </c>
      <c r="L808" s="95">
        <v>-23.500000000000043</v>
      </c>
    </row>
    <row r="809" spans="11:12" x14ac:dyDescent="0.4">
      <c r="K809" s="36">
        <v>807</v>
      </c>
      <c r="L809" s="95">
        <v>-4.2632564145606011E-14</v>
      </c>
    </row>
    <row r="810" spans="11:12" x14ac:dyDescent="0.4">
      <c r="K810" s="36">
        <v>808</v>
      </c>
      <c r="L810" s="95">
        <v>-3.6000000000000427</v>
      </c>
    </row>
    <row r="811" spans="11:12" x14ac:dyDescent="0.4">
      <c r="K811" s="36">
        <v>809</v>
      </c>
      <c r="L811" s="95">
        <v>17.999999999999957</v>
      </c>
    </row>
    <row r="812" spans="11:12" x14ac:dyDescent="0.4">
      <c r="K812" s="36">
        <v>810</v>
      </c>
      <c r="L812" s="95">
        <v>-4.2632564145606011E-14</v>
      </c>
    </row>
    <row r="813" spans="11:12" x14ac:dyDescent="0.4">
      <c r="K813" s="36">
        <v>811</v>
      </c>
      <c r="L813" s="95">
        <v>9.3999999999999577</v>
      </c>
    </row>
    <row r="814" spans="11:12" x14ac:dyDescent="0.4">
      <c r="K814" s="36">
        <v>812</v>
      </c>
      <c r="L814" s="95">
        <v>47.299999999999955</v>
      </c>
    </row>
    <row r="815" spans="11:12" x14ac:dyDescent="0.4">
      <c r="K815" s="36">
        <v>813</v>
      </c>
      <c r="L815" s="95">
        <v>-4.2632564145606011E-14</v>
      </c>
    </row>
    <row r="816" spans="11:12" x14ac:dyDescent="0.4">
      <c r="K816" s="36">
        <v>814</v>
      </c>
      <c r="L816" s="95">
        <v>-13.200000000000042</v>
      </c>
    </row>
    <row r="817" spans="11:12" x14ac:dyDescent="0.4">
      <c r="K817" s="36">
        <v>815</v>
      </c>
      <c r="L817" s="95">
        <v>-13.500000000000043</v>
      </c>
    </row>
    <row r="818" spans="11:12" x14ac:dyDescent="0.4">
      <c r="K818" s="36">
        <v>816</v>
      </c>
      <c r="L818" s="95">
        <v>-4.2632564145606011E-14</v>
      </c>
    </row>
    <row r="819" spans="11:12" x14ac:dyDescent="0.4">
      <c r="K819" s="36">
        <v>817</v>
      </c>
      <c r="L819" s="95">
        <v>-29.000000000000043</v>
      </c>
    </row>
    <row r="820" spans="11:12" x14ac:dyDescent="0.4">
      <c r="K820" s="36">
        <v>818</v>
      </c>
      <c r="L820" s="95">
        <v>49.299999999999955</v>
      </c>
    </row>
    <row r="821" spans="11:12" x14ac:dyDescent="0.4">
      <c r="K821" s="36">
        <v>819</v>
      </c>
      <c r="L821" s="95">
        <v>-4.2632564145606011E-14</v>
      </c>
    </row>
    <row r="822" spans="11:12" x14ac:dyDescent="0.4">
      <c r="K822" s="36">
        <v>820</v>
      </c>
      <c r="L822" s="95">
        <v>15.599999999999957</v>
      </c>
    </row>
    <row r="823" spans="11:12" x14ac:dyDescent="0.4">
      <c r="K823" s="36">
        <v>821</v>
      </c>
      <c r="L823" s="95">
        <v>52.499999999999957</v>
      </c>
    </row>
    <row r="824" spans="11:12" x14ac:dyDescent="0.4">
      <c r="K824" s="36">
        <v>822</v>
      </c>
      <c r="L824" s="95">
        <v>-4.2632564145606011E-14</v>
      </c>
    </row>
    <row r="825" spans="11:12" x14ac:dyDescent="0.4">
      <c r="K825" s="36">
        <v>823</v>
      </c>
      <c r="L825" s="95">
        <v>-1.5000000000000426</v>
      </c>
    </row>
    <row r="826" spans="11:12" x14ac:dyDescent="0.4">
      <c r="K826" s="36">
        <v>824</v>
      </c>
      <c r="L826" s="95">
        <v>20.199999999999957</v>
      </c>
    </row>
    <row r="827" spans="11:12" x14ac:dyDescent="0.4">
      <c r="K827" s="36">
        <v>825</v>
      </c>
      <c r="L827" s="95">
        <v>-4.2632564145606011E-14</v>
      </c>
    </row>
    <row r="828" spans="11:12" x14ac:dyDescent="0.4">
      <c r="K828" s="36">
        <v>826</v>
      </c>
      <c r="L828" s="95">
        <v>-30.000000000000043</v>
      </c>
    </row>
    <row r="829" spans="11:12" x14ac:dyDescent="0.4">
      <c r="K829" s="36">
        <v>827</v>
      </c>
      <c r="L829" s="95">
        <v>0.99999999999995737</v>
      </c>
    </row>
    <row r="830" spans="11:12" x14ac:dyDescent="0.4">
      <c r="K830" s="36">
        <v>828</v>
      </c>
      <c r="L830" s="95">
        <v>-4.2632564145606011E-14</v>
      </c>
    </row>
    <row r="831" spans="11:12" x14ac:dyDescent="0.4">
      <c r="K831" s="36">
        <v>829</v>
      </c>
      <c r="L831" s="95">
        <v>-56.000000000000043</v>
      </c>
    </row>
    <row r="832" spans="11:12" x14ac:dyDescent="0.4">
      <c r="K832" s="36">
        <v>830</v>
      </c>
      <c r="L832" s="95">
        <v>-46.500000000000043</v>
      </c>
    </row>
    <row r="833" spans="11:12" x14ac:dyDescent="0.4">
      <c r="K833" s="36">
        <v>831</v>
      </c>
      <c r="L833" s="95">
        <v>-4.2632564145606011E-14</v>
      </c>
    </row>
    <row r="834" spans="11:12" x14ac:dyDescent="0.4">
      <c r="K834" s="36">
        <v>832</v>
      </c>
      <c r="L834" s="95">
        <v>-22.300000000000043</v>
      </c>
    </row>
    <row r="835" spans="11:12" x14ac:dyDescent="0.4">
      <c r="K835" s="36">
        <v>833</v>
      </c>
      <c r="L835" s="95">
        <v>-19.100000000000044</v>
      </c>
    </row>
    <row r="836" spans="11:12" x14ac:dyDescent="0.4">
      <c r="K836" s="36">
        <v>834</v>
      </c>
      <c r="L836" s="95">
        <v>-4.2632564145606011E-14</v>
      </c>
    </row>
    <row r="837" spans="11:12" x14ac:dyDescent="0.4">
      <c r="K837" s="36">
        <v>835</v>
      </c>
      <c r="L837" s="95">
        <v>-48.600000000000044</v>
      </c>
    </row>
    <row r="838" spans="11:12" x14ac:dyDescent="0.4">
      <c r="K838" s="36">
        <v>836</v>
      </c>
      <c r="L838" s="95">
        <v>-48.800000000000047</v>
      </c>
    </row>
    <row r="839" spans="11:12" x14ac:dyDescent="0.4">
      <c r="K839" s="36">
        <v>837</v>
      </c>
      <c r="L839" s="95">
        <v>-4.9737991503207013E-14</v>
      </c>
    </row>
    <row r="840" spans="11:12" x14ac:dyDescent="0.4">
      <c r="K840" s="36">
        <v>838</v>
      </c>
      <c r="L840" s="95">
        <v>-29.200000000000049</v>
      </c>
    </row>
    <row r="841" spans="11:12" x14ac:dyDescent="0.4">
      <c r="K841" s="36">
        <v>839</v>
      </c>
      <c r="L841" s="95">
        <v>-30.700000000000049</v>
      </c>
    </row>
    <row r="842" spans="11:12" x14ac:dyDescent="0.4">
      <c r="K842" s="36">
        <v>840</v>
      </c>
      <c r="L842" s="95">
        <v>-4.9737991503207013E-14</v>
      </c>
    </row>
    <row r="843" spans="11:12" x14ac:dyDescent="0.4">
      <c r="K843" s="36">
        <v>841</v>
      </c>
      <c r="L843" s="95">
        <v>-20.600000000000051</v>
      </c>
    </row>
    <row r="844" spans="11:12" x14ac:dyDescent="0.4">
      <c r="K844" s="36">
        <v>842</v>
      </c>
      <c r="L844" s="95">
        <v>39.599999999999952</v>
      </c>
    </row>
    <row r="845" spans="11:12" x14ac:dyDescent="0.4">
      <c r="K845" s="36">
        <v>843</v>
      </c>
      <c r="L845" s="95">
        <v>-4.9737991503207013E-14</v>
      </c>
    </row>
    <row r="846" spans="11:12" x14ac:dyDescent="0.4">
      <c r="K846" s="36">
        <v>844</v>
      </c>
      <c r="L846" s="95">
        <v>34.399999999999949</v>
      </c>
    </row>
    <row r="847" spans="11:12" x14ac:dyDescent="0.4">
      <c r="K847" s="36">
        <v>845</v>
      </c>
      <c r="L847" s="95">
        <v>22.899999999999949</v>
      </c>
    </row>
    <row r="848" spans="11:12" x14ac:dyDescent="0.4">
      <c r="K848" s="36">
        <v>846</v>
      </c>
      <c r="L848" s="95">
        <v>-4.9737991503207013E-14</v>
      </c>
    </row>
    <row r="849" spans="11:12" x14ac:dyDescent="0.4">
      <c r="K849" s="36">
        <v>847</v>
      </c>
      <c r="L849" s="95">
        <v>4.1999999999999504</v>
      </c>
    </row>
    <row r="850" spans="11:12" x14ac:dyDescent="0.4">
      <c r="K850" s="36">
        <v>848</v>
      </c>
      <c r="L850" s="95">
        <v>34.399999999999949</v>
      </c>
    </row>
    <row r="851" spans="11:12" x14ac:dyDescent="0.4">
      <c r="K851" s="36">
        <v>849</v>
      </c>
      <c r="L851" s="95">
        <v>-4.9737991503207013E-14</v>
      </c>
    </row>
    <row r="852" spans="11:12" x14ac:dyDescent="0.4">
      <c r="K852" s="36">
        <v>850</v>
      </c>
      <c r="L852" s="95">
        <v>-28.80000000000005</v>
      </c>
    </row>
    <row r="853" spans="11:12" x14ac:dyDescent="0.4">
      <c r="K853" s="36">
        <v>851</v>
      </c>
      <c r="L853" s="95">
        <v>-87.100000000000051</v>
      </c>
    </row>
    <row r="854" spans="11:12" x14ac:dyDescent="0.4">
      <c r="K854" s="36">
        <v>852</v>
      </c>
      <c r="L854" s="95">
        <v>-5.6843418860808015E-14</v>
      </c>
    </row>
    <row r="855" spans="11:12" x14ac:dyDescent="0.4">
      <c r="K855" s="36">
        <v>853</v>
      </c>
      <c r="L855" s="95">
        <v>2.799999999999943</v>
      </c>
    </row>
    <row r="856" spans="11:12" x14ac:dyDescent="0.4">
      <c r="K856" s="36">
        <v>854</v>
      </c>
      <c r="L856" s="95">
        <v>33.29999999999994</v>
      </c>
    </row>
    <row r="857" spans="11:12" x14ac:dyDescent="0.4">
      <c r="K857" s="36">
        <v>855</v>
      </c>
      <c r="L857" s="95">
        <v>-5.6843418860808015E-14</v>
      </c>
    </row>
    <row r="858" spans="11:12" x14ac:dyDescent="0.4">
      <c r="K858" s="36">
        <v>856</v>
      </c>
      <c r="L858" s="95">
        <v>-12.000000000000057</v>
      </c>
    </row>
    <row r="859" spans="11:12" x14ac:dyDescent="0.4">
      <c r="K859" s="36">
        <v>857</v>
      </c>
      <c r="L859" s="95">
        <v>-62.400000000000055</v>
      </c>
    </row>
    <row r="860" spans="11:12" x14ac:dyDescent="0.4">
      <c r="K860" s="36">
        <v>858</v>
      </c>
      <c r="L860" s="95">
        <v>-5.6843418860808015E-14</v>
      </c>
    </row>
    <row r="861" spans="11:12" x14ac:dyDescent="0.4">
      <c r="K861" s="36">
        <v>859</v>
      </c>
      <c r="L861" s="95">
        <v>22.099999999999945</v>
      </c>
    </row>
    <row r="862" spans="11:12" x14ac:dyDescent="0.4">
      <c r="K862" s="36">
        <v>860</v>
      </c>
      <c r="L862" s="95">
        <v>23.399999999999945</v>
      </c>
    </row>
    <row r="863" spans="11:12" x14ac:dyDescent="0.4">
      <c r="K863" s="36">
        <v>861</v>
      </c>
      <c r="L863" s="95">
        <v>-5.3290705182007514E-14</v>
      </c>
    </row>
    <row r="864" spans="11:12" x14ac:dyDescent="0.4">
      <c r="K864" s="36">
        <v>862</v>
      </c>
      <c r="L864" s="95">
        <v>60.599999999999952</v>
      </c>
    </row>
    <row r="865" spans="11:12" x14ac:dyDescent="0.4">
      <c r="K865" s="36">
        <v>863</v>
      </c>
      <c r="L865" s="95">
        <v>46.199999999999953</v>
      </c>
    </row>
    <row r="866" spans="11:12" x14ac:dyDescent="0.4">
      <c r="K866" s="36">
        <v>864</v>
      </c>
      <c r="L866" s="95">
        <v>-4.9737991503207013E-14</v>
      </c>
    </row>
    <row r="867" spans="11:12" x14ac:dyDescent="0.4">
      <c r="K867" s="36">
        <v>865</v>
      </c>
      <c r="L867" s="95">
        <v>-38.50000000000005</v>
      </c>
    </row>
    <row r="868" spans="11:12" x14ac:dyDescent="0.4">
      <c r="K868" s="36">
        <v>866</v>
      </c>
      <c r="L868" s="95">
        <v>-26.30000000000005</v>
      </c>
    </row>
    <row r="869" spans="11:12" x14ac:dyDescent="0.4">
      <c r="K869" s="36">
        <v>867</v>
      </c>
      <c r="L869" s="95">
        <v>-4.9737991503207013E-14</v>
      </c>
    </row>
    <row r="870" spans="11:12" x14ac:dyDescent="0.4">
      <c r="K870" s="36">
        <v>868</v>
      </c>
      <c r="L870" s="95">
        <v>39.799999999999947</v>
      </c>
    </row>
    <row r="871" spans="11:12" x14ac:dyDescent="0.4">
      <c r="K871" s="36">
        <v>869</v>
      </c>
      <c r="L871" s="95">
        <v>-10.700000000000053</v>
      </c>
    </row>
    <row r="872" spans="11:12" x14ac:dyDescent="0.4">
      <c r="K872" s="36">
        <v>870</v>
      </c>
      <c r="L872" s="95">
        <v>-5.3290705182007514E-14</v>
      </c>
    </row>
    <row r="873" spans="11:12" x14ac:dyDescent="0.4">
      <c r="K873" s="36">
        <v>871</v>
      </c>
      <c r="L873" s="95">
        <v>-32.000000000000057</v>
      </c>
    </row>
    <row r="874" spans="11:12" x14ac:dyDescent="0.4">
      <c r="K874" s="36">
        <v>872</v>
      </c>
      <c r="L874" s="95">
        <v>1.8999999999999417</v>
      </c>
    </row>
    <row r="875" spans="11:12" x14ac:dyDescent="0.4">
      <c r="K875" s="36">
        <v>873</v>
      </c>
      <c r="L875" s="95">
        <v>-5.8175686490358203E-14</v>
      </c>
    </row>
    <row r="876" spans="11:12" x14ac:dyDescent="0.4">
      <c r="K876" s="36">
        <v>874</v>
      </c>
      <c r="L876" s="95">
        <v>-42.300000000000054</v>
      </c>
    </row>
    <row r="877" spans="11:12" x14ac:dyDescent="0.4">
      <c r="K877" s="36">
        <v>875</v>
      </c>
      <c r="L877" s="95">
        <v>-60.800000000000054</v>
      </c>
    </row>
    <row r="878" spans="11:12" x14ac:dyDescent="0.4">
      <c r="K878" s="36">
        <v>876</v>
      </c>
      <c r="L878" s="95">
        <v>-5.6843418860808015E-14</v>
      </c>
    </row>
    <row r="879" spans="11:12" x14ac:dyDescent="0.4">
      <c r="K879" s="36">
        <v>877</v>
      </c>
      <c r="L879" s="95">
        <v>32.999999999999943</v>
      </c>
    </row>
    <row r="880" spans="11:12" x14ac:dyDescent="0.4">
      <c r="K880" s="36">
        <v>878</v>
      </c>
      <c r="L880" s="95">
        <v>-2.0000000000000568</v>
      </c>
    </row>
    <row r="881" spans="11:12" x14ac:dyDescent="0.4">
      <c r="K881" s="36">
        <v>879</v>
      </c>
      <c r="L881" s="95">
        <v>-5.6843418860808015E-14</v>
      </c>
    </row>
    <row r="882" spans="11:12" x14ac:dyDescent="0.4">
      <c r="K882" s="36">
        <v>880</v>
      </c>
      <c r="L882" s="95">
        <v>26.799999999999944</v>
      </c>
    </row>
    <row r="883" spans="11:12" x14ac:dyDescent="0.4">
      <c r="K883" s="36">
        <v>881</v>
      </c>
      <c r="L883" s="95">
        <v>32.199999999999946</v>
      </c>
    </row>
    <row r="884" spans="11:12" x14ac:dyDescent="0.4">
      <c r="K884" s="36">
        <v>882</v>
      </c>
      <c r="L884" s="95">
        <v>-5.6843418860808015E-14</v>
      </c>
    </row>
    <row r="885" spans="11:12" x14ac:dyDescent="0.4">
      <c r="K885" s="36">
        <v>883</v>
      </c>
      <c r="L885" s="95">
        <v>45.199999999999946</v>
      </c>
    </row>
    <row r="886" spans="11:12" x14ac:dyDescent="0.4">
      <c r="K886" s="36">
        <v>884</v>
      </c>
      <c r="L886" s="95">
        <v>10.199999999999946</v>
      </c>
    </row>
    <row r="887" spans="11:12" x14ac:dyDescent="0.4">
      <c r="K887" s="36">
        <v>885</v>
      </c>
      <c r="L887" s="95">
        <v>-5.3290705182007514E-14</v>
      </c>
    </row>
    <row r="888" spans="11:12" x14ac:dyDescent="0.4">
      <c r="K888" s="36">
        <v>886</v>
      </c>
      <c r="L888" s="95">
        <v>-12.500000000000053</v>
      </c>
    </row>
    <row r="889" spans="11:12" x14ac:dyDescent="0.4">
      <c r="K889" s="36">
        <v>887</v>
      </c>
      <c r="L889" s="95">
        <v>-12.200000000000053</v>
      </c>
    </row>
    <row r="890" spans="11:12" x14ac:dyDescent="0.4">
      <c r="K890" s="36">
        <v>888</v>
      </c>
      <c r="L890" s="95">
        <v>-5.3290705182007514E-14</v>
      </c>
    </row>
    <row r="891" spans="11:12" x14ac:dyDescent="0.4">
      <c r="K891" s="36">
        <v>889</v>
      </c>
      <c r="L891" s="95">
        <v>-65.500000000000057</v>
      </c>
    </row>
    <row r="892" spans="11:12" x14ac:dyDescent="0.4">
      <c r="K892" s="36">
        <v>890</v>
      </c>
      <c r="L892" s="95">
        <v>-12.000000000000057</v>
      </c>
    </row>
    <row r="893" spans="11:12" x14ac:dyDescent="0.4">
      <c r="K893" s="36">
        <v>891</v>
      </c>
      <c r="L893" s="95">
        <v>-5.6843418860808015E-14</v>
      </c>
    </row>
    <row r="894" spans="11:12" x14ac:dyDescent="0.4">
      <c r="K894" s="36">
        <v>892</v>
      </c>
      <c r="L894" s="95">
        <v>-9.2000000000000561</v>
      </c>
    </row>
    <row r="895" spans="11:12" x14ac:dyDescent="0.4">
      <c r="K895" s="36">
        <v>893</v>
      </c>
      <c r="L895" s="95">
        <v>-39.70000000000006</v>
      </c>
    </row>
    <row r="896" spans="11:12" x14ac:dyDescent="0.4">
      <c r="K896" s="36">
        <v>894</v>
      </c>
      <c r="L896" s="95">
        <v>-5.6843418860808015E-14</v>
      </c>
    </row>
    <row r="897" spans="11:12" x14ac:dyDescent="0.4">
      <c r="K897" s="36">
        <v>895</v>
      </c>
      <c r="L897" s="95">
        <v>-36.300000000000054</v>
      </c>
    </row>
    <row r="898" spans="11:12" x14ac:dyDescent="0.4">
      <c r="K898" s="36">
        <v>896</v>
      </c>
      <c r="L898" s="95">
        <v>-56.300000000000054</v>
      </c>
    </row>
    <row r="899" spans="11:12" x14ac:dyDescent="0.4">
      <c r="K899" s="36">
        <v>897</v>
      </c>
      <c r="L899" s="95">
        <v>-5.6843418860808015E-14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EB5EA-E0CA-4ACC-A701-109180EC8838}">
  <sheetPr codeName="Sheet7"/>
  <dimension ref="A1:Q8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78</v>
      </c>
      <c r="C2" s="155"/>
      <c r="E2" s="58" t="s">
        <v>66</v>
      </c>
      <c r="F2" s="55" t="s">
        <v>22</v>
      </c>
      <c r="G2" s="43">
        <v>139</v>
      </c>
      <c r="H2" s="128">
        <f>IF(B$15=0,0,G2/B$15)</f>
        <v>0.71649484536082475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2233.3333333333335</v>
      </c>
      <c r="P2" s="114">
        <v>78</v>
      </c>
      <c r="Q2" s="98">
        <v>174200</v>
      </c>
    </row>
    <row r="3" spans="1:17" x14ac:dyDescent="0.4">
      <c r="A3" s="51" t="s">
        <v>8</v>
      </c>
      <c r="B3" s="156">
        <v>697</v>
      </c>
      <c r="C3" s="157"/>
      <c r="E3" s="59" t="s">
        <v>72</v>
      </c>
      <c r="F3" s="56" t="s">
        <v>27</v>
      </c>
      <c r="G3" s="44">
        <v>107</v>
      </c>
      <c r="H3" s="129">
        <f>IF(B$15=0,0,G3/B$15)</f>
        <v>0.55154639175257736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-1844.1558441558441</v>
      </c>
      <c r="P3" s="115">
        <v>77</v>
      </c>
      <c r="Q3" s="99">
        <v>-142000</v>
      </c>
    </row>
    <row r="4" spans="1:17" x14ac:dyDescent="0.4">
      <c r="A4" s="51" t="s">
        <v>6</v>
      </c>
      <c r="B4" s="158">
        <v>-427.60000000000025</v>
      </c>
      <c r="C4" s="159"/>
      <c r="E4" s="59" t="s">
        <v>166</v>
      </c>
      <c r="F4" s="56" t="s">
        <v>167</v>
      </c>
      <c r="G4" s="44">
        <v>72</v>
      </c>
      <c r="H4" s="129">
        <f>IF(B$15=0,0,G4/B$15)</f>
        <v>0.37113402061855671</v>
      </c>
      <c r="I4" s="90">
        <v>9</v>
      </c>
      <c r="K4" s="36">
        <v>2</v>
      </c>
      <c r="L4" s="95">
        <v>19.899999999999999</v>
      </c>
      <c r="N4" s="111" t="s">
        <v>132</v>
      </c>
      <c r="O4" s="118">
        <f t="shared" si="0"/>
        <v>-1763.5135135135135</v>
      </c>
      <c r="P4" s="115">
        <v>74</v>
      </c>
      <c r="Q4" s="99">
        <v>-130500</v>
      </c>
    </row>
    <row r="5" spans="1:17" x14ac:dyDescent="0.4">
      <c r="A5" s="51" t="s">
        <v>7</v>
      </c>
      <c r="B5" s="160">
        <f>IF(B$2=0,0,B$4/B$2)</f>
        <v>-5.4820512820512857</v>
      </c>
      <c r="C5" s="161"/>
      <c r="E5" s="59" t="s">
        <v>68</v>
      </c>
      <c r="F5" s="56" t="s">
        <v>12</v>
      </c>
      <c r="G5" s="44">
        <v>52</v>
      </c>
      <c r="H5" s="129">
        <f>IF(B$15=0,0,G5/B$15)</f>
        <v>0.26804123711340205</v>
      </c>
      <c r="I5" s="90">
        <v>12</v>
      </c>
      <c r="K5" s="36">
        <v>3</v>
      </c>
      <c r="L5" s="95">
        <v>-8.3000000000000007</v>
      </c>
      <c r="N5" s="111" t="s">
        <v>133</v>
      </c>
      <c r="O5" s="118">
        <f t="shared" si="0"/>
        <v>-991.304347826087</v>
      </c>
      <c r="P5" s="115">
        <v>69</v>
      </c>
      <c r="Q5" s="99">
        <v>-68400</v>
      </c>
    </row>
    <row r="6" spans="1:17" x14ac:dyDescent="0.4">
      <c r="A6" s="51" t="s">
        <v>1</v>
      </c>
      <c r="B6" s="150">
        <f>IF(B$2=0,0,(B$7*1+B$8*2+B$9*3)/B$2)</f>
        <v>2.1153846153846154</v>
      </c>
      <c r="C6" s="151"/>
      <c r="E6" s="59" t="s">
        <v>64</v>
      </c>
      <c r="F6" s="56" t="s">
        <v>20</v>
      </c>
      <c r="G6" s="44">
        <v>51</v>
      </c>
      <c r="H6" s="129">
        <f>IF(B$15=0,0,G6/B$15)</f>
        <v>0.26288659793814434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-83.582089552238813</v>
      </c>
      <c r="P6" s="115">
        <v>67</v>
      </c>
      <c r="Q6" s="99">
        <v>-5600</v>
      </c>
    </row>
    <row r="7" spans="1:17" x14ac:dyDescent="0.4">
      <c r="A7" s="51" t="s">
        <v>2</v>
      </c>
      <c r="B7" s="44">
        <v>25</v>
      </c>
      <c r="C7" s="37">
        <f t="shared" ref="C7:C10" si="1">IF(B$2=0,0,B7/B$2)</f>
        <v>0.32051282051282054</v>
      </c>
      <c r="E7" s="59" t="s">
        <v>67</v>
      </c>
      <c r="F7" s="56" t="s">
        <v>23</v>
      </c>
      <c r="G7" s="44">
        <v>34</v>
      </c>
      <c r="H7" s="129">
        <f>IF(B$15=0,0,G7/B$15)</f>
        <v>0.17525773195876287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-2245.6140350877195</v>
      </c>
      <c r="P7" s="116">
        <v>57</v>
      </c>
      <c r="Q7" s="100">
        <v>-128000</v>
      </c>
    </row>
    <row r="8" spans="1:17" x14ac:dyDescent="0.4">
      <c r="A8" s="51" t="s">
        <v>3</v>
      </c>
      <c r="B8" s="44">
        <v>19</v>
      </c>
      <c r="C8" s="37">
        <f t="shared" si="1"/>
        <v>0.24358974358974358</v>
      </c>
      <c r="E8" s="59" t="s">
        <v>69</v>
      </c>
      <c r="F8" s="56" t="s">
        <v>24</v>
      </c>
      <c r="G8" s="44">
        <v>32</v>
      </c>
      <c r="H8" s="129">
        <f>IF(B$15=0,0,G8/B$15)</f>
        <v>0.16494845360824742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34</v>
      </c>
      <c r="C9" s="38">
        <f t="shared" si="1"/>
        <v>0.4358974358974359</v>
      </c>
      <c r="E9" s="59" t="s">
        <v>70</v>
      </c>
      <c r="F9" s="56" t="s">
        <v>25</v>
      </c>
      <c r="G9" s="44">
        <v>23</v>
      </c>
      <c r="H9" s="129">
        <f>IF(B$15=0,0,G9/B$15)</f>
        <v>0.11855670103092783</v>
      </c>
      <c r="I9" s="90">
        <v>4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6</v>
      </c>
      <c r="C10" s="40">
        <f t="shared" si="1"/>
        <v>7.6923076923076927E-2</v>
      </c>
      <c r="E10" s="59" t="s">
        <v>71</v>
      </c>
      <c r="F10" s="56" t="s">
        <v>26</v>
      </c>
      <c r="G10" s="44">
        <v>23</v>
      </c>
      <c r="H10" s="129">
        <f>IF(B$15=0,0,G10/B$15)</f>
        <v>0.11855670103092783</v>
      </c>
      <c r="I10" s="90">
        <v>2</v>
      </c>
      <c r="K10" s="36">
        <v>8</v>
      </c>
      <c r="L10" s="95">
        <v>-76.900000000000006</v>
      </c>
      <c r="N10" s="110" t="s">
        <v>157</v>
      </c>
      <c r="O10" s="120">
        <f>IF(P10=0,0,Q10/P10)</f>
        <v>-11.592592592592593</v>
      </c>
      <c r="P10" s="114">
        <v>27</v>
      </c>
      <c r="Q10" s="102">
        <v>-313</v>
      </c>
    </row>
    <row r="11" spans="1:17" x14ac:dyDescent="0.4">
      <c r="A11" s="54" t="s">
        <v>121</v>
      </c>
      <c r="B11" s="47">
        <v>100</v>
      </c>
      <c r="C11" s="42">
        <f>IF(B$3=0,0,B11/B$3)</f>
        <v>0.14347202295552366</v>
      </c>
      <c r="E11" s="59" t="s">
        <v>83</v>
      </c>
      <c r="F11" s="56" t="s">
        <v>38</v>
      </c>
      <c r="G11" s="44">
        <v>18</v>
      </c>
      <c r="H11" s="129">
        <f>IF(B$15=0,0,G11/B$15)</f>
        <v>9.2783505154639179E-2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-5.2208333333333323</v>
      </c>
      <c r="P11" s="115">
        <v>24</v>
      </c>
      <c r="Q11" s="103">
        <v>-125.29999999999998</v>
      </c>
    </row>
    <row r="12" spans="1:17" x14ac:dyDescent="0.4">
      <c r="A12" s="51" t="s">
        <v>118</v>
      </c>
      <c r="B12" s="44">
        <v>178</v>
      </c>
      <c r="C12" s="37">
        <f>IF(B$3=0,0,B12/B$3)</f>
        <v>0.25538020086083213</v>
      </c>
      <c r="E12" s="59" t="s">
        <v>65</v>
      </c>
      <c r="F12" s="56" t="s">
        <v>21</v>
      </c>
      <c r="G12" s="44">
        <v>13</v>
      </c>
      <c r="H12" s="129">
        <f>IF(B$15=0,0,G12/B$15)</f>
        <v>6.7010309278350513E-2</v>
      </c>
      <c r="I12" s="90">
        <v>13</v>
      </c>
      <c r="K12" s="36">
        <v>10</v>
      </c>
      <c r="L12" s="95">
        <v>-32.700000000000003</v>
      </c>
      <c r="N12" s="112" t="s">
        <v>159</v>
      </c>
      <c r="O12" s="122">
        <f>IF(P12=0,0,Q12/P12)</f>
        <v>0.39629629629629665</v>
      </c>
      <c r="P12" s="116">
        <v>27</v>
      </c>
      <c r="Q12" s="104">
        <v>10.70000000000001</v>
      </c>
    </row>
    <row r="13" spans="1:17" x14ac:dyDescent="0.4">
      <c r="A13" s="50" t="s">
        <v>123</v>
      </c>
      <c r="B13" s="43">
        <f>B19</f>
        <v>52</v>
      </c>
      <c r="C13" s="35">
        <f>IF(B$11=0,0,B13/B$11)</f>
        <v>0.52</v>
      </c>
      <c r="E13" s="59" t="s">
        <v>89</v>
      </c>
      <c r="F13" s="56" t="s">
        <v>44</v>
      </c>
      <c r="G13" s="44">
        <v>12</v>
      </c>
      <c r="H13" s="129">
        <f>IF(B$15=0,0,G13/B$15)</f>
        <v>6.1855670103092786E-2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74</v>
      </c>
      <c r="C14" s="35">
        <f>IF(B$12=0,0,B14/B$12)</f>
        <v>0.4157303370786517</v>
      </c>
      <c r="E14" s="59" t="s">
        <v>81</v>
      </c>
      <c r="F14" s="56" t="s">
        <v>36</v>
      </c>
      <c r="G14" s="44">
        <v>9</v>
      </c>
      <c r="H14" s="129">
        <f>IF(B$15=0,0,G14/B$15)</f>
        <v>4.6391752577319589E-2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194</v>
      </c>
      <c r="C15" s="35">
        <f>IF(B$3=0,0,B15/B$3)</f>
        <v>0.27833572453371591</v>
      </c>
      <c r="E15" s="59" t="s">
        <v>86</v>
      </c>
      <c r="F15" s="56" t="s">
        <v>41</v>
      </c>
      <c r="G15" s="44">
        <v>5</v>
      </c>
      <c r="H15" s="129">
        <f>IF(B$15=0,0,G15/B$15)</f>
        <v>2.5773195876288658E-2</v>
      </c>
      <c r="I15" s="90">
        <v>10</v>
      </c>
      <c r="K15" s="36">
        <v>13</v>
      </c>
      <c r="L15" s="95">
        <v>-66.2</v>
      </c>
      <c r="N15" s="110" t="s">
        <v>274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">
      <c r="A16" s="51" t="s">
        <v>13</v>
      </c>
      <c r="B16" s="44">
        <v>106</v>
      </c>
      <c r="C16" s="37">
        <f>IF(B$3=0,0,B16/B$3)</f>
        <v>0.15208034433285508</v>
      </c>
      <c r="E16" s="59" t="s">
        <v>79</v>
      </c>
      <c r="F16" s="56" t="s">
        <v>34</v>
      </c>
      <c r="G16" s="44">
        <v>4</v>
      </c>
      <c r="H16" s="129">
        <f>IF(B$15=0,0,G16/B$15)</f>
        <v>2.0618556701030927E-2</v>
      </c>
      <c r="I16" s="90">
        <v>4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">
      <c r="A17" s="51" t="s">
        <v>12</v>
      </c>
      <c r="B17" s="44">
        <v>83</v>
      </c>
      <c r="C17" s="37">
        <f>IF(B$15=0,0,B17/B$15)</f>
        <v>0.42783505154639173</v>
      </c>
      <c r="E17" s="59" t="s">
        <v>91</v>
      </c>
      <c r="F17" s="56" t="s">
        <v>46</v>
      </c>
      <c r="G17" s="44">
        <v>4</v>
      </c>
      <c r="H17" s="129">
        <f>IF(B$15=0,0,G17/B$15)</f>
        <v>2.0618556701030927E-2</v>
      </c>
      <c r="I17" s="90">
        <v>3</v>
      </c>
      <c r="K17" s="36">
        <v>15</v>
      </c>
      <c r="L17" s="95">
        <v>-65.2</v>
      </c>
      <c r="N17" s="111" t="s">
        <v>171</v>
      </c>
      <c r="O17" s="121">
        <f t="shared" si="2"/>
        <v>4.4185185185185185</v>
      </c>
      <c r="P17" s="115">
        <v>27</v>
      </c>
      <c r="Q17" s="103">
        <v>119.3</v>
      </c>
    </row>
    <row r="18" spans="1:17" x14ac:dyDescent="0.4">
      <c r="A18" s="51" t="s">
        <v>11</v>
      </c>
      <c r="B18" s="44">
        <v>111</v>
      </c>
      <c r="C18" s="37">
        <f>IF(B$15=0,0,B18/B$15)</f>
        <v>0.57216494845360821</v>
      </c>
      <c r="E18" s="59" t="s">
        <v>74</v>
      </c>
      <c r="F18" s="56" t="s">
        <v>29</v>
      </c>
      <c r="G18" s="44">
        <v>2</v>
      </c>
      <c r="H18" s="129">
        <f>IF(B$15=0,0,G18/B$15)</f>
        <v>1.0309278350515464E-2</v>
      </c>
      <c r="I18" s="90">
        <v>1</v>
      </c>
      <c r="K18" s="36">
        <v>16</v>
      </c>
      <c r="L18" s="95">
        <v>-70.600000000000009</v>
      </c>
      <c r="N18" s="111" t="s">
        <v>172</v>
      </c>
      <c r="O18" s="121">
        <f t="shared" si="2"/>
        <v>-1.4666666666666697</v>
      </c>
      <c r="P18" s="115">
        <v>18</v>
      </c>
      <c r="Q18" s="103">
        <v>-26.400000000000055</v>
      </c>
    </row>
    <row r="19" spans="1:17" x14ac:dyDescent="0.4">
      <c r="A19" s="51" t="s">
        <v>195</v>
      </c>
      <c r="B19" s="44">
        <v>52</v>
      </c>
      <c r="C19" s="37">
        <f>IF(B$15=0,0,B19/B$15)</f>
        <v>0.26804123711340205</v>
      </c>
      <c r="E19" s="59" t="s">
        <v>78</v>
      </c>
      <c r="F19" s="56" t="s">
        <v>33</v>
      </c>
      <c r="G19" s="44">
        <v>2</v>
      </c>
      <c r="H19" s="129">
        <f>IF(B$15=0,0,G19/B$15)</f>
        <v>1.0309278350515464E-2</v>
      </c>
      <c r="I19" s="90">
        <v>9</v>
      </c>
      <c r="K19" s="36">
        <v>17</v>
      </c>
      <c r="L19" s="95">
        <v>-65.2</v>
      </c>
      <c r="N19" s="111" t="s">
        <v>127</v>
      </c>
      <c r="O19" s="121">
        <f t="shared" si="2"/>
        <v>-5.5300000000000011</v>
      </c>
      <c r="P19" s="115">
        <v>30</v>
      </c>
      <c r="Q19" s="103">
        <v>-165.90000000000003</v>
      </c>
    </row>
    <row r="20" spans="1:17" x14ac:dyDescent="0.4">
      <c r="A20" s="51" t="s">
        <v>193</v>
      </c>
      <c r="B20" s="44">
        <v>74</v>
      </c>
      <c r="C20" s="37">
        <f>IF(B$15=0,0,B20/B$15)</f>
        <v>0.38144329896907214</v>
      </c>
      <c r="E20" s="59" t="s">
        <v>88</v>
      </c>
      <c r="F20" s="56" t="s">
        <v>43</v>
      </c>
      <c r="G20" s="44">
        <v>2</v>
      </c>
      <c r="H20" s="129">
        <f>IF(B$15=0,0,G20/B$15)</f>
        <v>1.0309278350515464E-2</v>
      </c>
      <c r="I20" s="90">
        <v>1</v>
      </c>
      <c r="K20" s="36">
        <v>18</v>
      </c>
      <c r="L20" s="95">
        <v>-80.2</v>
      </c>
      <c r="N20" s="111" t="s">
        <v>126</v>
      </c>
      <c r="O20" s="121">
        <f t="shared" si="2"/>
        <v>-12.572222222222225</v>
      </c>
      <c r="P20" s="115">
        <v>36</v>
      </c>
      <c r="Q20" s="103">
        <v>-452.60000000000008</v>
      </c>
    </row>
    <row r="21" spans="1:17" x14ac:dyDescent="0.4">
      <c r="A21" s="51" t="s">
        <v>194</v>
      </c>
      <c r="B21" s="44">
        <v>68</v>
      </c>
      <c r="C21" s="37">
        <f>IF(B$15=0,0,B21/B$15)</f>
        <v>0.35051546391752575</v>
      </c>
      <c r="E21" s="59" t="s">
        <v>93</v>
      </c>
      <c r="F21" s="56" t="s">
        <v>48</v>
      </c>
      <c r="G21" s="44">
        <v>2</v>
      </c>
      <c r="H21" s="129">
        <f>IF(B$15=0,0,G21/B$15)</f>
        <v>1.0309278350515464E-2</v>
      </c>
      <c r="I21" s="90">
        <v>1</v>
      </c>
      <c r="K21" s="36">
        <v>19</v>
      </c>
      <c r="L21" s="95">
        <v>-115.1</v>
      </c>
      <c r="N21" s="111" t="s">
        <v>197</v>
      </c>
      <c r="O21" s="121">
        <f t="shared" si="2"/>
        <v>-18.291666666666664</v>
      </c>
      <c r="P21" s="115">
        <v>12</v>
      </c>
      <c r="Q21" s="103">
        <v>-219.49999999999997</v>
      </c>
    </row>
    <row r="22" spans="1:17" x14ac:dyDescent="0.4">
      <c r="A22" s="51" t="s">
        <v>5</v>
      </c>
      <c r="B22" s="48">
        <f>IF(B$15=0,0,C22/B$15)</f>
        <v>7171.1340206185569</v>
      </c>
      <c r="C22" s="39">
        <v>1391200</v>
      </c>
      <c r="E22" s="59" t="s">
        <v>75</v>
      </c>
      <c r="F22" s="56" t="s">
        <v>30</v>
      </c>
      <c r="G22" s="44">
        <v>1</v>
      </c>
      <c r="H22" s="129">
        <f>IF(B$15=0,0,G22/B$15)</f>
        <v>5.1546391752577319E-3</v>
      </c>
      <c r="I22" s="90">
        <v>8</v>
      </c>
      <c r="K22" s="36">
        <v>20</v>
      </c>
      <c r="L22" s="95">
        <v>-88.8</v>
      </c>
      <c r="N22" s="111" t="s">
        <v>170</v>
      </c>
      <c r="O22" s="121">
        <f t="shared" si="2"/>
        <v>-31.130434782608695</v>
      </c>
      <c r="P22" s="115">
        <v>23</v>
      </c>
      <c r="Q22" s="103">
        <v>-716</v>
      </c>
    </row>
    <row r="23" spans="1:17" x14ac:dyDescent="0.4">
      <c r="A23" s="52" t="s">
        <v>177</v>
      </c>
      <c r="B23" s="136">
        <f>IF($B$15-B$14=0,0,C23/($B$15-B$14))</f>
        <v>7721.666666666667</v>
      </c>
      <c r="C23" s="137">
        <v>926600</v>
      </c>
      <c r="E23" s="59" t="s">
        <v>77</v>
      </c>
      <c r="F23" s="56" t="s">
        <v>32</v>
      </c>
      <c r="G23" s="44">
        <v>1</v>
      </c>
      <c r="H23" s="129">
        <f>IF(B$15=0,0,G23/B$15)</f>
        <v>5.1546391752577319E-3</v>
      </c>
      <c r="I23" s="90">
        <v>2</v>
      </c>
      <c r="K23" s="36">
        <v>21</v>
      </c>
      <c r="L23" s="95">
        <v>-111.4</v>
      </c>
      <c r="N23" s="111" t="s">
        <v>281</v>
      </c>
      <c r="O23" s="121">
        <f t="shared" si="2"/>
        <v>-38</v>
      </c>
      <c r="P23" s="115">
        <v>1</v>
      </c>
      <c r="Q23" s="103">
        <v>-38</v>
      </c>
    </row>
    <row r="24" spans="1:17" x14ac:dyDescent="0.4">
      <c r="A24" s="52" t="s">
        <v>178</v>
      </c>
      <c r="B24" s="136">
        <f>IF(B$14=0,0,C24/B$14)</f>
        <v>6278.3783783783783</v>
      </c>
      <c r="C24" s="137">
        <v>464600</v>
      </c>
      <c r="E24" s="59" t="s">
        <v>84</v>
      </c>
      <c r="F24" s="56" t="s">
        <v>39</v>
      </c>
      <c r="G24" s="44">
        <v>1</v>
      </c>
      <c r="H24" s="129">
        <f>IF(B$15=0,0,G24/B$15)</f>
        <v>5.1546391752577319E-3</v>
      </c>
      <c r="I24" s="90">
        <v>3</v>
      </c>
      <c r="K24" s="36">
        <v>22</v>
      </c>
      <c r="L24" s="95">
        <v>-142.80000000000001</v>
      </c>
    </row>
    <row r="25" spans="1:17" x14ac:dyDescent="0.4">
      <c r="A25" s="52" t="s">
        <v>176</v>
      </c>
      <c r="B25" s="136">
        <f>IF(B$16=0,0,C25/B$16)</f>
        <v>-7918.867924528302</v>
      </c>
      <c r="C25" s="137">
        <v>-839400</v>
      </c>
      <c r="E25" s="59" t="s">
        <v>87</v>
      </c>
      <c r="F25" s="56" t="s">
        <v>42</v>
      </c>
      <c r="G25" s="44">
        <v>1</v>
      </c>
      <c r="H25" s="129">
        <f>IF(B$15=0,0,G25/B$15)</f>
        <v>5.1546391752577319E-3</v>
      </c>
      <c r="I25" s="90">
        <v>3</v>
      </c>
      <c r="K25" s="36">
        <v>23</v>
      </c>
      <c r="L25" s="95">
        <v>-80.900000000000006</v>
      </c>
    </row>
    <row r="26" spans="1:17" x14ac:dyDescent="0.4">
      <c r="A26" s="51" t="s">
        <v>164</v>
      </c>
      <c r="B26" s="44">
        <v>5</v>
      </c>
      <c r="C26" s="131">
        <v>5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5</v>
      </c>
      <c r="K26" s="36">
        <v>24</v>
      </c>
      <c r="L26" s="95">
        <v>-111.60000000000001</v>
      </c>
    </row>
    <row r="27" spans="1:17" x14ac:dyDescent="0.4">
      <c r="A27" s="51" t="s">
        <v>165</v>
      </c>
      <c r="B27" s="44">
        <v>32</v>
      </c>
      <c r="C27" s="131">
        <v>8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">
      <c r="A30" s="53" t="s">
        <v>139</v>
      </c>
      <c r="B30" s="61">
        <v>2</v>
      </c>
      <c r="C30" s="40">
        <f>IF(B$3=0,0,B30/B$3)</f>
        <v>2.8694404591104736E-3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">
      <c r="A32" s="86" t="s">
        <v>183</v>
      </c>
      <c r="B32" s="144">
        <v>27</v>
      </c>
      <c r="C32" s="141">
        <f>IF(B$15=0,0,B32/B$15)</f>
        <v>0.13917525773195877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">
      <c r="A33" s="51" t="s">
        <v>179</v>
      </c>
      <c r="B33" s="44">
        <v>38</v>
      </c>
      <c r="C33" s="37">
        <f t="shared" ref="C33:C44" si="3">IF(B$15=0,0,B33/B$15)</f>
        <v>0.19587628865979381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">
      <c r="A34" s="51" t="s">
        <v>180</v>
      </c>
      <c r="B34" s="145">
        <v>41</v>
      </c>
      <c r="C34" s="37">
        <f>IF(B$15=0,0,B34/B$15)</f>
        <v>0.21134020618556701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-211.90000000000003</v>
      </c>
    </row>
    <row r="35" spans="1:12" x14ac:dyDescent="0.4">
      <c r="A35" s="51" t="s">
        <v>181</v>
      </c>
      <c r="B35" s="145">
        <v>32</v>
      </c>
      <c r="C35" s="37">
        <f t="shared" si="3"/>
        <v>0.16494845360824742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">
      <c r="A36" s="51" t="s">
        <v>182</v>
      </c>
      <c r="B36" s="145">
        <v>20</v>
      </c>
      <c r="C36" s="37">
        <f t="shared" si="3"/>
        <v>0.10309278350515463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">
      <c r="A37" s="51" t="s">
        <v>184</v>
      </c>
      <c r="B37" s="145">
        <v>16</v>
      </c>
      <c r="C37" s="37">
        <f t="shared" si="3"/>
        <v>8.247422680412371E-2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">
      <c r="A38" s="51" t="s">
        <v>185</v>
      </c>
      <c r="B38" s="145">
        <v>11</v>
      </c>
      <c r="C38" s="37">
        <f t="shared" si="3"/>
        <v>5.6701030927835051E-2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">
      <c r="A39" s="51" t="s">
        <v>186</v>
      </c>
      <c r="B39" s="145">
        <v>6</v>
      </c>
      <c r="C39" s="37">
        <f t="shared" si="3"/>
        <v>3.0927835051546393E-2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">
      <c r="A40" s="51" t="s">
        <v>187</v>
      </c>
      <c r="B40" s="145">
        <v>1</v>
      </c>
      <c r="C40" s="37">
        <f t="shared" si="3"/>
        <v>5.1546391752577319E-3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">
      <c r="A44" s="53" t="s">
        <v>191</v>
      </c>
      <c r="B44" s="140">
        <v>2</v>
      </c>
      <c r="C44" s="40">
        <f t="shared" si="3"/>
        <v>1.0309278350515464E-2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">
      <c r="K53" s="36">
        <v>51</v>
      </c>
      <c r="L53" s="95">
        <v>-273.60000000000008</v>
      </c>
    </row>
    <row r="54" spans="5:12" x14ac:dyDescent="0.4">
      <c r="K54" s="36">
        <v>52</v>
      </c>
      <c r="L54" s="95">
        <v>-296.10000000000008</v>
      </c>
    </row>
    <row r="55" spans="5:12" x14ac:dyDescent="0.4">
      <c r="K55" s="36">
        <v>53</v>
      </c>
      <c r="L55" s="95">
        <v>-383.50000000000011</v>
      </c>
    </row>
    <row r="56" spans="5:12" x14ac:dyDescent="0.4">
      <c r="K56" s="36">
        <v>54</v>
      </c>
      <c r="L56" s="95">
        <v>-415.00000000000011</v>
      </c>
    </row>
    <row r="57" spans="5:12" x14ac:dyDescent="0.4">
      <c r="K57" s="36">
        <v>55</v>
      </c>
      <c r="L57" s="95">
        <v>-381.50000000000011</v>
      </c>
    </row>
    <row r="58" spans="5:12" x14ac:dyDescent="0.4">
      <c r="K58" s="36">
        <v>56</v>
      </c>
      <c r="L58" s="95">
        <v>-369.50000000000011</v>
      </c>
    </row>
    <row r="59" spans="5:12" x14ac:dyDescent="0.4">
      <c r="K59" s="36">
        <v>57</v>
      </c>
      <c r="L59" s="95">
        <v>-389.2000000000001</v>
      </c>
    </row>
    <row r="60" spans="5:12" x14ac:dyDescent="0.4">
      <c r="K60" s="36">
        <v>58</v>
      </c>
      <c r="L60" s="95">
        <v>-436.00000000000011</v>
      </c>
    </row>
    <row r="61" spans="5:12" x14ac:dyDescent="0.4">
      <c r="K61" s="36">
        <v>59</v>
      </c>
      <c r="L61" s="95">
        <v>-399.2000000000001</v>
      </c>
    </row>
    <row r="62" spans="5:12" x14ac:dyDescent="0.4">
      <c r="K62" s="36">
        <v>60</v>
      </c>
      <c r="L62" s="95">
        <v>-444.30000000000013</v>
      </c>
    </row>
    <row r="63" spans="5:12" x14ac:dyDescent="0.4">
      <c r="K63" s="36">
        <v>61</v>
      </c>
      <c r="L63" s="95">
        <v>-491.00000000000011</v>
      </c>
    </row>
    <row r="64" spans="5:12" x14ac:dyDescent="0.4">
      <c r="K64" s="36">
        <v>62</v>
      </c>
      <c r="L64" s="95">
        <v>-482.00000000000011</v>
      </c>
    </row>
    <row r="65" spans="11:12" x14ac:dyDescent="0.4">
      <c r="K65" s="36">
        <v>63</v>
      </c>
      <c r="L65" s="95">
        <v>-522.20000000000016</v>
      </c>
    </row>
    <row r="66" spans="11:12" x14ac:dyDescent="0.4">
      <c r="K66" s="36">
        <v>64</v>
      </c>
      <c r="L66" s="95">
        <v>-550.9000000000002</v>
      </c>
    </row>
    <row r="67" spans="11:12" x14ac:dyDescent="0.4">
      <c r="K67" s="36">
        <v>65</v>
      </c>
      <c r="L67" s="95">
        <v>-526.20000000000016</v>
      </c>
    </row>
    <row r="68" spans="11:12" x14ac:dyDescent="0.4">
      <c r="K68" s="36">
        <v>66</v>
      </c>
      <c r="L68" s="95">
        <v>-497.90000000000015</v>
      </c>
    </row>
    <row r="69" spans="11:12" x14ac:dyDescent="0.4">
      <c r="K69" s="36">
        <v>67</v>
      </c>
      <c r="L69" s="95">
        <v>-494.00000000000017</v>
      </c>
    </row>
    <row r="70" spans="11:12" x14ac:dyDescent="0.4">
      <c r="K70" s="36">
        <v>68</v>
      </c>
      <c r="L70" s="95">
        <v>-513.00000000000023</v>
      </c>
    </row>
    <row r="71" spans="11:12" x14ac:dyDescent="0.4">
      <c r="K71" s="36">
        <v>69</v>
      </c>
      <c r="L71" s="95">
        <v>-482.60000000000025</v>
      </c>
    </row>
    <row r="72" spans="11:12" x14ac:dyDescent="0.4">
      <c r="K72" s="36">
        <v>70</v>
      </c>
      <c r="L72" s="95">
        <v>-490.90000000000026</v>
      </c>
    </row>
    <row r="73" spans="11:12" x14ac:dyDescent="0.4">
      <c r="K73" s="36">
        <v>71</v>
      </c>
      <c r="L73" s="95">
        <v>-486.70000000000027</v>
      </c>
    </row>
    <row r="74" spans="11:12" x14ac:dyDescent="0.4">
      <c r="K74" s="36">
        <v>72</v>
      </c>
      <c r="L74" s="95">
        <v>-450.00000000000028</v>
      </c>
    </row>
    <row r="75" spans="11:12" x14ac:dyDescent="0.4">
      <c r="K75" s="36">
        <v>73</v>
      </c>
      <c r="L75" s="95">
        <v>-460.50000000000028</v>
      </c>
    </row>
    <row r="76" spans="11:12" x14ac:dyDescent="0.4">
      <c r="K76" s="36">
        <v>74</v>
      </c>
      <c r="L76" s="95">
        <v>-460.70000000000027</v>
      </c>
    </row>
    <row r="77" spans="11:12" x14ac:dyDescent="0.4">
      <c r="K77" s="36">
        <v>75</v>
      </c>
      <c r="L77" s="95">
        <v>-462.20000000000027</v>
      </c>
    </row>
    <row r="78" spans="11:12" x14ac:dyDescent="0.4">
      <c r="K78" s="36">
        <v>76</v>
      </c>
      <c r="L78" s="95">
        <v>-520.50000000000023</v>
      </c>
    </row>
    <row r="79" spans="11:12" x14ac:dyDescent="0.4">
      <c r="K79" s="36">
        <v>77</v>
      </c>
      <c r="L79" s="95">
        <v>-490.00000000000023</v>
      </c>
    </row>
    <row r="80" spans="11:12" x14ac:dyDescent="0.4">
      <c r="K80" s="36">
        <v>78</v>
      </c>
      <c r="L80" s="95">
        <v>-427.60000000000025</v>
      </c>
    </row>
  </sheetData>
  <sortState xmlns:xlrd2="http://schemas.microsoft.com/office/spreadsheetml/2017/richdata2" ref="E2:I81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CE4EF-9CC7-4B01-BCDE-8541105FEBD1}">
  <sheetPr codeName="Sheet9"/>
  <dimension ref="A1:Q17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175</v>
      </c>
      <c r="C2" s="155"/>
      <c r="E2" s="58" t="s">
        <v>66</v>
      </c>
      <c r="F2" s="55" t="s">
        <v>22</v>
      </c>
      <c r="G2" s="43">
        <v>334</v>
      </c>
      <c r="H2" s="128">
        <f>IF(B$15=0,0,G2/B$15)</f>
        <v>0.68024439918533608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1105.7471264367816</v>
      </c>
      <c r="P2" s="114">
        <v>174</v>
      </c>
      <c r="Q2" s="98">
        <v>192400</v>
      </c>
    </row>
    <row r="3" spans="1:17" x14ac:dyDescent="0.4">
      <c r="A3" s="51" t="s">
        <v>8</v>
      </c>
      <c r="B3" s="156">
        <v>1429</v>
      </c>
      <c r="C3" s="157"/>
      <c r="E3" s="59" t="s">
        <v>72</v>
      </c>
      <c r="F3" s="56" t="s">
        <v>27</v>
      </c>
      <c r="G3" s="44">
        <v>254</v>
      </c>
      <c r="H3" s="129">
        <f>IF(B$15=0,0,G3/B$15)</f>
        <v>0.51731160896130346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1235.0877192982457</v>
      </c>
      <c r="P3" s="115">
        <v>171</v>
      </c>
      <c r="Q3" s="99">
        <v>211200</v>
      </c>
    </row>
    <row r="4" spans="1:17" x14ac:dyDescent="0.4">
      <c r="A4" s="51" t="s">
        <v>6</v>
      </c>
      <c r="B4" s="158">
        <v>1535.7999999999997</v>
      </c>
      <c r="C4" s="159"/>
      <c r="E4" s="59" t="s">
        <v>64</v>
      </c>
      <c r="F4" s="56" t="s">
        <v>20</v>
      </c>
      <c r="G4" s="44">
        <v>214</v>
      </c>
      <c r="H4" s="129">
        <f>IF(B$15=0,0,G4/B$15)</f>
        <v>0.43584521384928715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1126.8292682926829</v>
      </c>
      <c r="P4" s="115">
        <v>164</v>
      </c>
      <c r="Q4" s="99">
        <v>184800</v>
      </c>
    </row>
    <row r="5" spans="1:17" x14ac:dyDescent="0.4">
      <c r="A5" s="51" t="s">
        <v>7</v>
      </c>
      <c r="B5" s="160">
        <f>IF(B$2=0,0,B$4/B$2)</f>
        <v>8.775999999999998</v>
      </c>
      <c r="C5" s="161"/>
      <c r="E5" s="59" t="s">
        <v>166</v>
      </c>
      <c r="F5" s="56" t="s">
        <v>167</v>
      </c>
      <c r="G5" s="44">
        <v>187</v>
      </c>
      <c r="H5" s="129">
        <f>IF(B$15=0,0,G5/B$15)</f>
        <v>0.38085539714867617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296.73202614379085</v>
      </c>
      <c r="P5" s="115">
        <v>153</v>
      </c>
      <c r="Q5" s="99">
        <v>45400</v>
      </c>
    </row>
    <row r="6" spans="1:17" x14ac:dyDescent="0.4">
      <c r="A6" s="51" t="s">
        <v>1</v>
      </c>
      <c r="B6" s="150">
        <f>IF(B$2=0,0,(B$7*1+B$8*2+B$9*3)/B$2)</f>
        <v>1.7885714285714285</v>
      </c>
      <c r="C6" s="151"/>
      <c r="E6" s="59" t="s">
        <v>68</v>
      </c>
      <c r="F6" s="56" t="s">
        <v>12</v>
      </c>
      <c r="G6" s="44">
        <v>137</v>
      </c>
      <c r="H6" s="129">
        <f>IF(B$15=0,0,G6/B$15)</f>
        <v>0.27902240325865579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1573.943661971831</v>
      </c>
      <c r="P6" s="115">
        <v>142</v>
      </c>
      <c r="Q6" s="99">
        <v>223500</v>
      </c>
    </row>
    <row r="7" spans="1:17" x14ac:dyDescent="0.4">
      <c r="A7" s="51" t="s">
        <v>2</v>
      </c>
      <c r="B7" s="44">
        <v>81</v>
      </c>
      <c r="C7" s="37">
        <f t="shared" ref="C7:C10" si="1">IF(B$2=0,0,B7/B$2)</f>
        <v>0.46285714285714286</v>
      </c>
      <c r="E7" s="59" t="s">
        <v>67</v>
      </c>
      <c r="F7" s="56" t="s">
        <v>23</v>
      </c>
      <c r="G7" s="44">
        <v>118</v>
      </c>
      <c r="H7" s="129">
        <f>IF(B$15=0,0,G7/B$15)</f>
        <v>0.24032586558044808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2268.3760683760684</v>
      </c>
      <c r="P7" s="116">
        <v>117</v>
      </c>
      <c r="Q7" s="100">
        <v>265400</v>
      </c>
    </row>
    <row r="8" spans="1:17" x14ac:dyDescent="0.4">
      <c r="A8" s="51" t="s">
        <v>3</v>
      </c>
      <c r="B8" s="44">
        <v>50</v>
      </c>
      <c r="C8" s="37">
        <f t="shared" si="1"/>
        <v>0.2857142857142857</v>
      </c>
      <c r="E8" s="59" t="s">
        <v>89</v>
      </c>
      <c r="F8" s="56" t="s">
        <v>44</v>
      </c>
      <c r="G8" s="44">
        <v>72</v>
      </c>
      <c r="H8" s="129">
        <f>IF(B$15=0,0,G8/B$15)</f>
        <v>0.14663951120162932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44</v>
      </c>
      <c r="C9" s="38">
        <f t="shared" si="1"/>
        <v>0.25142857142857145</v>
      </c>
      <c r="E9" s="59" t="s">
        <v>69</v>
      </c>
      <c r="F9" s="56" t="s">
        <v>24</v>
      </c>
      <c r="G9" s="44">
        <v>61</v>
      </c>
      <c r="H9" s="129">
        <f>IF(B$15=0,0,G9/B$15)</f>
        <v>0.12423625254582485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8</v>
      </c>
      <c r="C10" s="40">
        <f t="shared" si="1"/>
        <v>4.5714285714285714E-2</v>
      </c>
      <c r="E10" s="59" t="s">
        <v>65</v>
      </c>
      <c r="F10" s="56" t="s">
        <v>21</v>
      </c>
      <c r="G10" s="44">
        <v>54</v>
      </c>
      <c r="H10" s="129">
        <f>IF(B$15=0,0,G10/B$15)</f>
        <v>0.10997963340122199</v>
      </c>
      <c r="I10" s="90">
        <v>9</v>
      </c>
      <c r="K10" s="36">
        <v>8</v>
      </c>
      <c r="L10" s="95">
        <v>148.1</v>
      </c>
      <c r="N10" s="110" t="s">
        <v>157</v>
      </c>
      <c r="O10" s="120">
        <f>IF(P10=0,0,Q10/P10)</f>
        <v>13.427450980392154</v>
      </c>
      <c r="P10" s="114">
        <v>51</v>
      </c>
      <c r="Q10" s="102">
        <v>684.79999999999984</v>
      </c>
    </row>
    <row r="11" spans="1:17" x14ac:dyDescent="0.4">
      <c r="A11" s="54" t="s">
        <v>121</v>
      </c>
      <c r="B11" s="47">
        <v>381</v>
      </c>
      <c r="C11" s="42">
        <f>IF(B$3=0,0,B11/B$3)</f>
        <v>0.26662001399580126</v>
      </c>
      <c r="E11" s="59" t="s">
        <v>71</v>
      </c>
      <c r="F11" s="56" t="s">
        <v>26</v>
      </c>
      <c r="G11" s="44">
        <v>35</v>
      </c>
      <c r="H11" s="129">
        <f>IF(B$15=0,0,G11/B$15)</f>
        <v>7.128309572301425E-2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3.1254237288135589</v>
      </c>
      <c r="P11" s="115">
        <v>59</v>
      </c>
      <c r="Q11" s="103">
        <v>184.39999999999998</v>
      </c>
    </row>
    <row r="12" spans="1:17" x14ac:dyDescent="0.4">
      <c r="A12" s="51" t="s">
        <v>118</v>
      </c>
      <c r="B12" s="44">
        <v>336</v>
      </c>
      <c r="C12" s="37">
        <f>IF(B$3=0,0,B12/B$3)</f>
        <v>0.23512946116165151</v>
      </c>
      <c r="E12" s="59" t="s">
        <v>86</v>
      </c>
      <c r="F12" s="56" t="s">
        <v>41</v>
      </c>
      <c r="G12" s="44">
        <v>32</v>
      </c>
      <c r="H12" s="129">
        <f>IF(B$15=0,0,G12/B$15)</f>
        <v>6.5173116089613028E-2</v>
      </c>
      <c r="I12" s="90">
        <v>2</v>
      </c>
      <c r="K12" s="36">
        <v>10</v>
      </c>
      <c r="L12" s="95">
        <v>158.19999999999999</v>
      </c>
      <c r="N12" s="112" t="s">
        <v>159</v>
      </c>
      <c r="O12" s="122">
        <f>IF(P12=0,0,Q12/P12)</f>
        <v>10.255384615384612</v>
      </c>
      <c r="P12" s="116">
        <v>65</v>
      </c>
      <c r="Q12" s="104">
        <v>666.5999999999998</v>
      </c>
    </row>
    <row r="13" spans="1:17" x14ac:dyDescent="0.4">
      <c r="A13" s="50" t="s">
        <v>123</v>
      </c>
      <c r="B13" s="43">
        <f>B19</f>
        <v>225</v>
      </c>
      <c r="C13" s="35">
        <f>IF(B$11=0,0,B13/B$11)</f>
        <v>0.59055118110236215</v>
      </c>
      <c r="E13" s="59" t="s">
        <v>70</v>
      </c>
      <c r="F13" s="56" t="s">
        <v>25</v>
      </c>
      <c r="G13" s="44">
        <v>29</v>
      </c>
      <c r="H13" s="129">
        <f>IF(B$15=0,0,G13/B$15)</f>
        <v>5.9063136456211814E-2</v>
      </c>
      <c r="I13" s="90">
        <v>13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164</v>
      </c>
      <c r="C14" s="35">
        <f>IF(B$12=0,0,B14/B$12)</f>
        <v>0.48809523809523808</v>
      </c>
      <c r="E14" s="59" t="s">
        <v>83</v>
      </c>
      <c r="F14" s="56" t="s">
        <v>38</v>
      </c>
      <c r="G14" s="44">
        <v>24</v>
      </c>
      <c r="H14" s="129">
        <f>IF(B$15=0,0,G14/B$15)</f>
        <v>4.8879837067209775E-2</v>
      </c>
      <c r="I14" s="90">
        <v>8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491</v>
      </c>
      <c r="C15" s="35">
        <f>IF(B$3=0,0,B15/B$3)</f>
        <v>0.3435969209237229</v>
      </c>
      <c r="E15" s="59" t="s">
        <v>78</v>
      </c>
      <c r="F15" s="56" t="s">
        <v>33</v>
      </c>
      <c r="G15" s="44">
        <v>21</v>
      </c>
      <c r="H15" s="129">
        <f>IF(B$15=0,0,G15/B$15)</f>
        <v>4.2769857433808553E-2</v>
      </c>
      <c r="I15" s="90">
        <v>3</v>
      </c>
      <c r="K15" s="36">
        <v>13</v>
      </c>
      <c r="L15" s="95">
        <v>206.39999999999998</v>
      </c>
      <c r="N15" s="110" t="s">
        <v>274</v>
      </c>
      <c r="O15" s="120">
        <f t="shared" ref="O15:O23" si="2">IF(P15=0,0,Q15/P15)</f>
        <v>49.766666666666659</v>
      </c>
      <c r="P15" s="114">
        <v>3</v>
      </c>
      <c r="Q15" s="102">
        <v>149.29999999999998</v>
      </c>
    </row>
    <row r="16" spans="1:17" x14ac:dyDescent="0.4">
      <c r="A16" s="51" t="s">
        <v>13</v>
      </c>
      <c r="B16" s="44">
        <v>187</v>
      </c>
      <c r="C16" s="37">
        <f>IF(B$3=0,0,B16/B$3)</f>
        <v>0.13086074177746676</v>
      </c>
      <c r="E16" s="59" t="s">
        <v>162</v>
      </c>
      <c r="F16" s="56" t="s">
        <v>163</v>
      </c>
      <c r="G16" s="44">
        <v>14</v>
      </c>
      <c r="H16" s="129">
        <f>IF(B$15=0,0,G16/B$15)</f>
        <v>2.8513238289205704E-2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 t="shared" si="2"/>
        <v>39.662500000000009</v>
      </c>
      <c r="P16" s="115">
        <v>8</v>
      </c>
      <c r="Q16" s="103">
        <v>317.30000000000007</v>
      </c>
    </row>
    <row r="17" spans="1:17" x14ac:dyDescent="0.4">
      <c r="A17" s="51" t="s">
        <v>12</v>
      </c>
      <c r="B17" s="44">
        <v>210</v>
      </c>
      <c r="C17" s="37">
        <f>IF(B$15=0,0,B17/B$15)</f>
        <v>0.42769857433808556</v>
      </c>
      <c r="E17" s="59" t="s">
        <v>81</v>
      </c>
      <c r="F17" s="56" t="s">
        <v>36</v>
      </c>
      <c r="G17" s="44">
        <v>7</v>
      </c>
      <c r="H17" s="129">
        <f>IF(B$15=0,0,G17/B$15)</f>
        <v>1.4256619144602852E-2</v>
      </c>
      <c r="I17" s="90">
        <v>9</v>
      </c>
      <c r="K17" s="36">
        <v>15</v>
      </c>
      <c r="L17" s="95">
        <v>269.49999999999994</v>
      </c>
      <c r="N17" s="111" t="s">
        <v>197</v>
      </c>
      <c r="O17" s="121">
        <f t="shared" si="2"/>
        <v>26.642105263157898</v>
      </c>
      <c r="P17" s="115">
        <v>19</v>
      </c>
      <c r="Q17" s="103">
        <v>506.20000000000005</v>
      </c>
    </row>
    <row r="18" spans="1:17" x14ac:dyDescent="0.4">
      <c r="A18" s="51" t="s">
        <v>11</v>
      </c>
      <c r="B18" s="44">
        <v>281</v>
      </c>
      <c r="C18" s="37">
        <f>IF(B$15=0,0,B18/B$15)</f>
        <v>0.57230142566191444</v>
      </c>
      <c r="E18" s="59" t="s">
        <v>91</v>
      </c>
      <c r="F18" s="56" t="s">
        <v>46</v>
      </c>
      <c r="G18" s="44">
        <v>6</v>
      </c>
      <c r="H18" s="129">
        <f>IF(B$15=0,0,G18/B$15)</f>
        <v>1.2219959266802444E-2</v>
      </c>
      <c r="I18" s="90">
        <v>7</v>
      </c>
      <c r="K18" s="36">
        <v>16</v>
      </c>
      <c r="L18" s="95">
        <v>323.69999999999993</v>
      </c>
      <c r="N18" s="111" t="s">
        <v>172</v>
      </c>
      <c r="O18" s="121">
        <f t="shared" si="2"/>
        <v>15.152459016393442</v>
      </c>
      <c r="P18" s="115">
        <v>61</v>
      </c>
      <c r="Q18" s="103">
        <v>924.3</v>
      </c>
    </row>
    <row r="19" spans="1:17" x14ac:dyDescent="0.4">
      <c r="A19" s="51" t="s">
        <v>195</v>
      </c>
      <c r="B19" s="44">
        <v>225</v>
      </c>
      <c r="C19" s="37">
        <f>IF(B$15=0,0,B19/B$15)</f>
        <v>0.45824847250509165</v>
      </c>
      <c r="E19" s="59" t="s">
        <v>75</v>
      </c>
      <c r="F19" s="56" t="s">
        <v>30</v>
      </c>
      <c r="G19" s="44">
        <v>5</v>
      </c>
      <c r="H19" s="129">
        <f>IF(B$15=0,0,G19/B$15)</f>
        <v>1.0183299389002037E-2</v>
      </c>
      <c r="I19" s="90">
        <v>4</v>
      </c>
      <c r="K19" s="36">
        <v>17</v>
      </c>
      <c r="L19" s="95">
        <v>359.09999999999991</v>
      </c>
      <c r="N19" s="111" t="s">
        <v>161</v>
      </c>
      <c r="O19" s="121">
        <f t="shared" si="2"/>
        <v>13.075675675675678</v>
      </c>
      <c r="P19" s="115">
        <v>37</v>
      </c>
      <c r="Q19" s="103">
        <v>483.80000000000007</v>
      </c>
    </row>
    <row r="20" spans="1:17" x14ac:dyDescent="0.4">
      <c r="A20" s="51" t="s">
        <v>193</v>
      </c>
      <c r="B20" s="44">
        <v>164</v>
      </c>
      <c r="C20" s="37">
        <f>IF(B$15=0,0,B20/B$15)</f>
        <v>0.33401221995926678</v>
      </c>
      <c r="E20" s="59" t="s">
        <v>79</v>
      </c>
      <c r="F20" s="56" t="s">
        <v>34</v>
      </c>
      <c r="G20" s="44">
        <v>4</v>
      </c>
      <c r="H20" s="129">
        <f>IF(B$15=0,0,G20/B$15)</f>
        <v>8.1466395112016286E-3</v>
      </c>
      <c r="I20" s="90">
        <v>9</v>
      </c>
      <c r="K20" s="36">
        <v>18</v>
      </c>
      <c r="L20" s="95">
        <v>352.39999999999992</v>
      </c>
      <c r="N20" s="111" t="s">
        <v>171</v>
      </c>
      <c r="O20" s="121">
        <f t="shared" si="2"/>
        <v>12.623880597014924</v>
      </c>
      <c r="P20" s="115">
        <v>67</v>
      </c>
      <c r="Q20" s="103">
        <v>845.8</v>
      </c>
    </row>
    <row r="21" spans="1:17" x14ac:dyDescent="0.4">
      <c r="A21" s="51" t="s">
        <v>194</v>
      </c>
      <c r="B21" s="44">
        <v>102</v>
      </c>
      <c r="C21" s="37">
        <f>IF(B$15=0,0,B21/B$15)</f>
        <v>0.20773930753564154</v>
      </c>
      <c r="E21" s="59" t="s">
        <v>85</v>
      </c>
      <c r="F21" s="56" t="s">
        <v>40</v>
      </c>
      <c r="G21" s="44">
        <v>4</v>
      </c>
      <c r="H21" s="129">
        <f>IF(B$15=0,0,G21/B$15)</f>
        <v>8.1466395112016286E-3</v>
      </c>
      <c r="I21" s="90">
        <v>5</v>
      </c>
      <c r="K21" s="36">
        <v>19</v>
      </c>
      <c r="L21" s="95">
        <v>383.19999999999993</v>
      </c>
      <c r="N21" s="111" t="s">
        <v>127</v>
      </c>
      <c r="O21" s="121">
        <f t="shared" si="2"/>
        <v>12.54903846153846</v>
      </c>
      <c r="P21" s="115">
        <v>104</v>
      </c>
      <c r="Q21" s="103">
        <v>1305.0999999999999</v>
      </c>
    </row>
    <row r="22" spans="1:17" x14ac:dyDescent="0.4">
      <c r="A22" s="51" t="s">
        <v>5</v>
      </c>
      <c r="B22" s="48">
        <f>IF(B$15=0,0,C22/B$15)</f>
        <v>8217.5152749490826</v>
      </c>
      <c r="C22" s="39">
        <v>4034800</v>
      </c>
      <c r="E22" s="59" t="s">
        <v>92</v>
      </c>
      <c r="F22" s="56" t="s">
        <v>47</v>
      </c>
      <c r="G22" s="44">
        <v>4</v>
      </c>
      <c r="H22" s="129">
        <f>IF(B$15=0,0,G22/B$15)</f>
        <v>8.1466395112016286E-3</v>
      </c>
      <c r="I22" s="90">
        <v>2</v>
      </c>
      <c r="K22" s="36">
        <v>20</v>
      </c>
      <c r="L22" s="95">
        <v>365.49999999999994</v>
      </c>
      <c r="N22" s="111" t="s">
        <v>170</v>
      </c>
      <c r="O22" s="121">
        <f t="shared" si="2"/>
        <v>2.9220000000000006</v>
      </c>
      <c r="P22" s="115">
        <v>50</v>
      </c>
      <c r="Q22" s="103">
        <v>146.10000000000002</v>
      </c>
    </row>
    <row r="23" spans="1:17" x14ac:dyDescent="0.4">
      <c r="A23" s="52" t="s">
        <v>177</v>
      </c>
      <c r="B23" s="136">
        <f>IF($B$15-B$14=0,0,C23/($B$15-B$14))</f>
        <v>8663.3027522935772</v>
      </c>
      <c r="C23" s="137">
        <v>2832900</v>
      </c>
      <c r="E23" s="59" t="s">
        <v>77</v>
      </c>
      <c r="F23" s="56" t="s">
        <v>32</v>
      </c>
      <c r="G23" s="44">
        <v>3</v>
      </c>
      <c r="H23" s="129">
        <f>IF(B$15=0,0,G23/B$15)</f>
        <v>6.1099796334012219E-3</v>
      </c>
      <c r="I23" s="90">
        <v>1</v>
      </c>
      <c r="K23" s="36">
        <v>21</v>
      </c>
      <c r="L23" s="95">
        <v>371.39999999999992</v>
      </c>
      <c r="N23" s="111" t="s">
        <v>203</v>
      </c>
      <c r="O23" s="121">
        <f t="shared" si="2"/>
        <v>-70.5</v>
      </c>
      <c r="P23" s="115">
        <v>1</v>
      </c>
      <c r="Q23" s="103">
        <v>-70.5</v>
      </c>
    </row>
    <row r="24" spans="1:17" x14ac:dyDescent="0.4">
      <c r="A24" s="52" t="s">
        <v>178</v>
      </c>
      <c r="B24" s="136">
        <f>IF(B$14=0,0,C24/B$14)</f>
        <v>7328.6585365853662</v>
      </c>
      <c r="C24" s="137">
        <v>1201900</v>
      </c>
      <c r="E24" s="59" t="s">
        <v>84</v>
      </c>
      <c r="F24" s="56" t="s">
        <v>39</v>
      </c>
      <c r="G24" s="44">
        <v>3</v>
      </c>
      <c r="H24" s="129">
        <f>IF(B$15=0,0,G24/B$15)</f>
        <v>6.1099796334012219E-3</v>
      </c>
      <c r="I24" s="90">
        <v>2</v>
      </c>
      <c r="K24" s="36">
        <v>22</v>
      </c>
      <c r="L24" s="95">
        <v>414.2999999999999</v>
      </c>
    </row>
    <row r="25" spans="1:17" x14ac:dyDescent="0.4">
      <c r="A25" s="52" t="s">
        <v>176</v>
      </c>
      <c r="B25" s="136">
        <f>IF(B$16=0,0,C25/B$16)</f>
        <v>-7731.5508021390378</v>
      </c>
      <c r="C25" s="137">
        <v>-1445800</v>
      </c>
      <c r="E25" s="59" t="s">
        <v>74</v>
      </c>
      <c r="F25" s="56" t="s">
        <v>29</v>
      </c>
      <c r="G25" s="44">
        <v>2</v>
      </c>
      <c r="H25" s="129">
        <f>IF(B$15=0,0,G25/B$15)</f>
        <v>4.0733197556008143E-3</v>
      </c>
      <c r="I25" s="90">
        <v>4</v>
      </c>
      <c r="K25" s="36">
        <v>23</v>
      </c>
      <c r="L25" s="95">
        <v>356.2999999999999</v>
      </c>
    </row>
    <row r="26" spans="1:17" x14ac:dyDescent="0.4">
      <c r="A26" s="51" t="s">
        <v>164</v>
      </c>
      <c r="B26" s="44">
        <v>6</v>
      </c>
      <c r="C26" s="131">
        <v>1</v>
      </c>
      <c r="E26" s="59" t="s">
        <v>88</v>
      </c>
      <c r="F26" s="56" t="s">
        <v>43</v>
      </c>
      <c r="G26" s="44">
        <v>2</v>
      </c>
      <c r="H26" s="129">
        <f>IF(B$15=0,0,G26/B$15)</f>
        <v>4.0733197556008143E-3</v>
      </c>
      <c r="I26" s="90">
        <v>2</v>
      </c>
      <c r="K26" s="36">
        <v>24</v>
      </c>
      <c r="L26" s="95">
        <v>329.89999999999992</v>
      </c>
    </row>
    <row r="27" spans="1:17" x14ac:dyDescent="0.4">
      <c r="A27" s="51" t="s">
        <v>165</v>
      </c>
      <c r="B27" s="44">
        <v>43</v>
      </c>
      <c r="C27" s="131">
        <v>4</v>
      </c>
      <c r="E27" s="59" t="s">
        <v>95</v>
      </c>
      <c r="F27" s="56" t="s">
        <v>50</v>
      </c>
      <c r="G27" s="44">
        <v>2</v>
      </c>
      <c r="H27" s="129">
        <f>IF(B$15=0,0,G27/B$15)</f>
        <v>4.0733197556008143E-3</v>
      </c>
      <c r="I27" s="90">
        <v>2</v>
      </c>
      <c r="K27" s="36">
        <v>25</v>
      </c>
      <c r="L27" s="95">
        <v>294.99999999999994</v>
      </c>
    </row>
    <row r="28" spans="1:17" x14ac:dyDescent="0.4">
      <c r="A28" s="86" t="s">
        <v>138</v>
      </c>
      <c r="B28" s="148">
        <v>8</v>
      </c>
      <c r="C28" s="149"/>
      <c r="E28" s="59" t="s">
        <v>90</v>
      </c>
      <c r="F28" s="56" t="s">
        <v>45</v>
      </c>
      <c r="G28" s="44">
        <v>1</v>
      </c>
      <c r="H28" s="129">
        <f>IF(B$15=0,0,G28/B$15)</f>
        <v>2.0366598778004071E-3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4" t="s">
        <v>192</v>
      </c>
      <c r="B29" s="146">
        <v>149100</v>
      </c>
      <c r="C29" s="147"/>
      <c r="E29" s="59" t="s">
        <v>106</v>
      </c>
      <c r="F29" s="56" t="s">
        <v>113</v>
      </c>
      <c r="G29" s="44">
        <v>1</v>
      </c>
      <c r="H29" s="129">
        <f>IF(B$15=0,0,G29/B$15)</f>
        <v>2.0366598778004071E-3</v>
      </c>
      <c r="I29" s="90">
        <v>1</v>
      </c>
      <c r="K29" s="36">
        <v>27</v>
      </c>
      <c r="L29" s="95">
        <v>362.4</v>
      </c>
    </row>
    <row r="30" spans="1:17" x14ac:dyDescent="0.4">
      <c r="A30" s="53" t="s">
        <v>139</v>
      </c>
      <c r="B30" s="61">
        <v>1</v>
      </c>
      <c r="C30" s="40">
        <f>IF(B$3=0,0,B30/B$3)</f>
        <v>6.9979006298110562E-4</v>
      </c>
      <c r="E30" s="59" t="s">
        <v>73</v>
      </c>
      <c r="F30" s="56" t="s">
        <v>28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375.79999999999995</v>
      </c>
    </row>
    <row r="31" spans="1:17" x14ac:dyDescent="0.4">
      <c r="E31" s="59" t="s">
        <v>76</v>
      </c>
      <c r="F31" s="56" t="s">
        <v>31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A32" s="86" t="s">
        <v>183</v>
      </c>
      <c r="B32" s="144">
        <v>47</v>
      </c>
      <c r="C32" s="141">
        <f>IF(B$15=0,0,B32/B$15)</f>
        <v>9.5723014256619138E-2</v>
      </c>
      <c r="E32" s="59" t="s">
        <v>80</v>
      </c>
      <c r="F32" s="56" t="s">
        <v>35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340.79999999999995</v>
      </c>
    </row>
    <row r="33" spans="1:12" x14ac:dyDescent="0.4">
      <c r="A33" s="51" t="s">
        <v>179</v>
      </c>
      <c r="B33" s="44">
        <v>90</v>
      </c>
      <c r="C33" s="37">
        <f t="shared" ref="C33:C44" si="3">IF(B$15=0,0,B33/B$15)</f>
        <v>0.18329938900203666</v>
      </c>
      <c r="E33" s="59" t="s">
        <v>82</v>
      </c>
      <c r="F33" s="56" t="s">
        <v>37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">
      <c r="A34" s="51" t="s">
        <v>180</v>
      </c>
      <c r="B34" s="145">
        <v>97</v>
      </c>
      <c r="C34" s="37">
        <f>IF(B$15=0,0,B34/B$15)</f>
        <v>0.19755600814663951</v>
      </c>
      <c r="E34" s="59" t="s">
        <v>87</v>
      </c>
      <c r="F34" s="56" t="s">
        <v>42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349.39999999999992</v>
      </c>
    </row>
    <row r="35" spans="1:12" x14ac:dyDescent="0.4">
      <c r="A35" s="51" t="s">
        <v>181</v>
      </c>
      <c r="B35" s="145">
        <v>88</v>
      </c>
      <c r="C35" s="37">
        <f t="shared" si="3"/>
        <v>0.17922606924643583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">
      <c r="A36" s="51" t="s">
        <v>182</v>
      </c>
      <c r="B36" s="145">
        <v>70</v>
      </c>
      <c r="C36" s="37">
        <f t="shared" si="3"/>
        <v>0.1425661914460285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">
      <c r="A37" s="51" t="s">
        <v>184</v>
      </c>
      <c r="B37" s="145">
        <v>47</v>
      </c>
      <c r="C37" s="37">
        <f t="shared" si="3"/>
        <v>9.5723014256619138E-2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">
      <c r="A38" s="51" t="s">
        <v>185</v>
      </c>
      <c r="B38" s="145">
        <v>24</v>
      </c>
      <c r="C38" s="37">
        <f t="shared" si="3"/>
        <v>4.8879837067209775E-2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">
      <c r="A39" s="51" t="s">
        <v>186</v>
      </c>
      <c r="B39" s="145">
        <v>8</v>
      </c>
      <c r="C39" s="37">
        <f t="shared" si="3"/>
        <v>1.6293279022403257E-2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">
      <c r="A40" s="51" t="s">
        <v>187</v>
      </c>
      <c r="B40" s="145">
        <v>10</v>
      </c>
      <c r="C40" s="37">
        <f t="shared" si="3"/>
        <v>2.0366598778004074E-2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">
      <c r="A41" s="51" t="s">
        <v>188</v>
      </c>
      <c r="B41" s="145">
        <v>2</v>
      </c>
      <c r="C41" s="37">
        <f t="shared" si="3"/>
        <v>4.0733197556008143E-3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">
      <c r="A43" s="51" t="s">
        <v>190</v>
      </c>
      <c r="B43" s="145">
        <v>1</v>
      </c>
      <c r="C43" s="37">
        <f t="shared" si="3"/>
        <v>2.0366598778004071E-3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">
      <c r="A44" s="53" t="s">
        <v>191</v>
      </c>
      <c r="B44" s="140">
        <v>7</v>
      </c>
      <c r="C44" s="40">
        <f t="shared" si="3"/>
        <v>1.4256619144602852E-2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  <row r="91" spans="11:12" x14ac:dyDescent="0.4">
      <c r="K91" s="36">
        <v>89</v>
      </c>
      <c r="L91" s="95">
        <v>531.89999999999986</v>
      </c>
    </row>
    <row r="92" spans="11:12" x14ac:dyDescent="0.4">
      <c r="K92" s="36">
        <v>90</v>
      </c>
      <c r="L92" s="95">
        <v>486.29999999999984</v>
      </c>
    </row>
    <row r="93" spans="11:12" x14ac:dyDescent="0.4">
      <c r="K93" s="36">
        <v>91</v>
      </c>
      <c r="L93" s="95">
        <v>520.39999999999986</v>
      </c>
    </row>
    <row r="94" spans="11:12" x14ac:dyDescent="0.4">
      <c r="K94" s="36">
        <v>92</v>
      </c>
      <c r="L94" s="95">
        <v>548.09999999999991</v>
      </c>
    </row>
    <row r="95" spans="11:12" x14ac:dyDescent="0.4">
      <c r="K95" s="36">
        <v>93</v>
      </c>
      <c r="L95" s="95">
        <v>583.99999999999989</v>
      </c>
    </row>
    <row r="96" spans="11:12" x14ac:dyDescent="0.4">
      <c r="K96" s="36">
        <v>94</v>
      </c>
      <c r="L96" s="95">
        <v>605.69999999999993</v>
      </c>
    </row>
    <row r="97" spans="11:12" x14ac:dyDescent="0.4">
      <c r="K97" s="36">
        <v>95</v>
      </c>
      <c r="L97" s="95">
        <v>625.19999999999993</v>
      </c>
    </row>
    <row r="98" spans="11:12" x14ac:dyDescent="0.4">
      <c r="K98" s="36">
        <v>96</v>
      </c>
      <c r="L98" s="95">
        <v>638.79999999999995</v>
      </c>
    </row>
    <row r="99" spans="11:12" x14ac:dyDescent="0.4">
      <c r="K99" s="36">
        <v>97</v>
      </c>
      <c r="L99" s="95">
        <v>680.69999999999993</v>
      </c>
    </row>
    <row r="100" spans="11:12" x14ac:dyDescent="0.4">
      <c r="K100" s="36">
        <v>98</v>
      </c>
      <c r="L100" s="95">
        <v>664.19999999999993</v>
      </c>
    </row>
    <row r="101" spans="11:12" x14ac:dyDescent="0.4">
      <c r="K101" s="36">
        <v>99</v>
      </c>
      <c r="L101" s="95">
        <v>713.19999999999993</v>
      </c>
    </row>
    <row r="102" spans="11:12" x14ac:dyDescent="0.4">
      <c r="K102" s="36">
        <v>100</v>
      </c>
      <c r="L102" s="95">
        <v>757.59999999999991</v>
      </c>
    </row>
    <row r="103" spans="11:12" x14ac:dyDescent="0.4">
      <c r="K103" s="36">
        <v>101</v>
      </c>
      <c r="L103" s="95">
        <v>717.39999999999986</v>
      </c>
    </row>
    <row r="104" spans="11:12" x14ac:dyDescent="0.4">
      <c r="K104" s="36">
        <v>102</v>
      </c>
      <c r="L104" s="95">
        <v>767.39999999999986</v>
      </c>
    </row>
    <row r="105" spans="11:12" x14ac:dyDescent="0.4">
      <c r="K105" s="36">
        <v>103</v>
      </c>
      <c r="L105" s="95">
        <v>891.49999999999989</v>
      </c>
    </row>
    <row r="106" spans="11:12" x14ac:dyDescent="0.4">
      <c r="K106" s="36">
        <v>104</v>
      </c>
      <c r="L106" s="95">
        <v>898.49999999999989</v>
      </c>
    </row>
    <row r="107" spans="11:12" x14ac:dyDescent="0.4">
      <c r="K107" s="36">
        <v>105</v>
      </c>
      <c r="L107" s="95">
        <v>884.39999999999986</v>
      </c>
    </row>
    <row r="108" spans="11:12" x14ac:dyDescent="0.4">
      <c r="K108" s="36">
        <v>106</v>
      </c>
      <c r="L108" s="95">
        <v>954.99999999999989</v>
      </c>
    </row>
    <row r="109" spans="11:12" x14ac:dyDescent="0.4">
      <c r="K109" s="36">
        <v>107</v>
      </c>
      <c r="L109" s="95">
        <v>923.99999999999989</v>
      </c>
    </row>
    <row r="110" spans="11:12" x14ac:dyDescent="0.4">
      <c r="K110" s="36">
        <v>108</v>
      </c>
      <c r="L110" s="95">
        <v>900.39999999999986</v>
      </c>
    </row>
    <row r="111" spans="11:12" x14ac:dyDescent="0.4">
      <c r="K111" s="36">
        <v>109</v>
      </c>
      <c r="L111" s="95">
        <v>903.59999999999991</v>
      </c>
    </row>
    <row r="112" spans="11:12" x14ac:dyDescent="0.4">
      <c r="K112" s="36">
        <v>110</v>
      </c>
      <c r="L112" s="95">
        <v>915.09999999999991</v>
      </c>
    </row>
    <row r="113" spans="11:12" x14ac:dyDescent="0.4">
      <c r="K113" s="36">
        <v>111</v>
      </c>
      <c r="L113" s="95">
        <v>985.69999999999993</v>
      </c>
    </row>
    <row r="114" spans="11:12" x14ac:dyDescent="0.4">
      <c r="K114" s="36">
        <v>112</v>
      </c>
      <c r="L114" s="95">
        <v>991.49999999999989</v>
      </c>
    </row>
    <row r="115" spans="11:12" x14ac:dyDescent="0.4">
      <c r="K115" s="36">
        <v>113</v>
      </c>
      <c r="L115" s="95">
        <v>1038.3999999999999</v>
      </c>
    </row>
    <row r="116" spans="11:12" x14ac:dyDescent="0.4">
      <c r="K116" s="36">
        <v>114</v>
      </c>
      <c r="L116" s="95">
        <v>1045.8</v>
      </c>
    </row>
    <row r="117" spans="11:12" x14ac:dyDescent="0.4">
      <c r="K117" s="36">
        <v>115</v>
      </c>
      <c r="L117" s="95">
        <v>1047.2</v>
      </c>
    </row>
    <row r="118" spans="11:12" x14ac:dyDescent="0.4">
      <c r="K118" s="36">
        <v>116</v>
      </c>
      <c r="L118" s="95">
        <v>1043.3</v>
      </c>
    </row>
    <row r="119" spans="11:12" x14ac:dyDescent="0.4">
      <c r="K119" s="36">
        <v>117</v>
      </c>
      <c r="L119" s="95">
        <v>1060.0999999999999</v>
      </c>
    </row>
    <row r="120" spans="11:12" x14ac:dyDescent="0.4">
      <c r="K120" s="36">
        <v>118</v>
      </c>
      <c r="L120" s="95">
        <v>1067.8</v>
      </c>
    </row>
    <row r="121" spans="11:12" x14ac:dyDescent="0.4">
      <c r="K121" s="36">
        <v>119</v>
      </c>
      <c r="L121" s="95">
        <v>1027</v>
      </c>
    </row>
    <row r="122" spans="11:12" x14ac:dyDescent="0.4">
      <c r="K122" s="36">
        <v>120</v>
      </c>
      <c r="L122" s="95">
        <v>1070.7</v>
      </c>
    </row>
    <row r="123" spans="11:12" x14ac:dyDescent="0.4">
      <c r="K123" s="36">
        <v>121</v>
      </c>
      <c r="L123" s="95">
        <v>1071.8</v>
      </c>
    </row>
    <row r="124" spans="11:12" x14ac:dyDescent="0.4">
      <c r="K124" s="36">
        <v>122</v>
      </c>
      <c r="L124" s="95">
        <v>1110.2</v>
      </c>
    </row>
    <row r="125" spans="11:12" x14ac:dyDescent="0.4">
      <c r="K125" s="36">
        <v>123</v>
      </c>
      <c r="L125" s="95">
        <v>1077.4000000000001</v>
      </c>
    </row>
    <row r="126" spans="11:12" x14ac:dyDescent="0.4">
      <c r="K126" s="36">
        <v>124</v>
      </c>
      <c r="L126" s="95">
        <v>1103.7</v>
      </c>
    </row>
    <row r="127" spans="11:12" x14ac:dyDescent="0.4">
      <c r="K127" s="36">
        <v>125</v>
      </c>
      <c r="L127" s="95">
        <v>1125.2</v>
      </c>
    </row>
    <row r="128" spans="11:12" x14ac:dyDescent="0.4">
      <c r="K128" s="36">
        <v>126</v>
      </c>
      <c r="L128" s="95">
        <v>1116.5</v>
      </c>
    </row>
    <row r="129" spans="11:12" x14ac:dyDescent="0.4">
      <c r="K129" s="36">
        <v>127</v>
      </c>
      <c r="L129" s="95">
        <v>1093.9000000000001</v>
      </c>
    </row>
    <row r="130" spans="11:12" x14ac:dyDescent="0.4">
      <c r="K130" s="36">
        <v>128</v>
      </c>
      <c r="L130" s="95">
        <v>1098.6000000000001</v>
      </c>
    </row>
    <row r="131" spans="11:12" x14ac:dyDescent="0.4">
      <c r="K131" s="36">
        <v>129</v>
      </c>
      <c r="L131" s="95">
        <v>1120.8000000000002</v>
      </c>
    </row>
    <row r="132" spans="11:12" x14ac:dyDescent="0.4">
      <c r="K132" s="36">
        <v>130</v>
      </c>
      <c r="L132" s="95">
        <v>1072.3000000000002</v>
      </c>
    </row>
    <row r="133" spans="11:12" x14ac:dyDescent="0.4">
      <c r="K133" s="36">
        <v>131</v>
      </c>
      <c r="L133" s="95">
        <v>1138.5000000000002</v>
      </c>
    </row>
    <row r="134" spans="11:12" x14ac:dyDescent="0.4">
      <c r="K134" s="36">
        <v>132</v>
      </c>
      <c r="L134" s="95">
        <v>1192.7000000000003</v>
      </c>
    </row>
    <row r="135" spans="11:12" x14ac:dyDescent="0.4">
      <c r="K135" s="36">
        <v>133</v>
      </c>
      <c r="L135" s="95">
        <v>1208.4000000000003</v>
      </c>
    </row>
    <row r="136" spans="11:12" x14ac:dyDescent="0.4">
      <c r="K136" s="36">
        <v>134</v>
      </c>
      <c r="L136" s="95">
        <v>1166.7000000000003</v>
      </c>
    </row>
    <row r="137" spans="11:12" x14ac:dyDescent="0.4">
      <c r="K137" s="36">
        <v>135</v>
      </c>
      <c r="L137" s="95">
        <v>1154.1000000000004</v>
      </c>
    </row>
    <row r="138" spans="11:12" x14ac:dyDescent="0.4">
      <c r="K138" s="36">
        <v>136</v>
      </c>
      <c r="L138" s="95">
        <v>1129.8000000000004</v>
      </c>
    </row>
    <row r="139" spans="11:12" x14ac:dyDescent="0.4">
      <c r="K139" s="36">
        <v>137</v>
      </c>
      <c r="L139" s="95">
        <v>1111.1000000000004</v>
      </c>
    </row>
    <row r="140" spans="11:12" x14ac:dyDescent="0.4">
      <c r="K140" s="36">
        <v>138</v>
      </c>
      <c r="L140" s="95">
        <v>1174.7000000000003</v>
      </c>
    </row>
    <row r="141" spans="11:12" x14ac:dyDescent="0.4">
      <c r="K141" s="36">
        <v>139</v>
      </c>
      <c r="L141" s="95">
        <v>1218.3000000000002</v>
      </c>
    </row>
    <row r="142" spans="11:12" x14ac:dyDescent="0.4">
      <c r="K142" s="36">
        <v>140</v>
      </c>
      <c r="L142" s="95">
        <v>1245.7000000000003</v>
      </c>
    </row>
    <row r="143" spans="11:12" x14ac:dyDescent="0.4">
      <c r="K143" s="36">
        <v>141</v>
      </c>
      <c r="L143" s="95">
        <v>1262.8000000000002</v>
      </c>
    </row>
    <row r="144" spans="11:12" x14ac:dyDescent="0.4">
      <c r="K144" s="36">
        <v>142</v>
      </c>
      <c r="L144" s="95">
        <v>1242.8000000000002</v>
      </c>
    </row>
    <row r="145" spans="11:12" x14ac:dyDescent="0.4">
      <c r="K145" s="36">
        <v>143</v>
      </c>
      <c r="L145" s="95">
        <v>1197.3000000000002</v>
      </c>
    </row>
    <row r="146" spans="11:12" x14ac:dyDescent="0.4">
      <c r="K146" s="36">
        <v>144</v>
      </c>
      <c r="L146" s="95">
        <v>1171.1000000000001</v>
      </c>
    </row>
    <row r="147" spans="11:12" x14ac:dyDescent="0.4">
      <c r="K147" s="36">
        <v>145</v>
      </c>
      <c r="L147" s="95">
        <v>1175.0000000000002</v>
      </c>
    </row>
    <row r="148" spans="11:12" x14ac:dyDescent="0.4">
      <c r="K148" s="36">
        <v>146</v>
      </c>
      <c r="L148" s="95">
        <v>1172.2000000000003</v>
      </c>
    </row>
    <row r="149" spans="11:12" x14ac:dyDescent="0.4">
      <c r="K149" s="36">
        <v>147</v>
      </c>
      <c r="L149" s="95">
        <v>1141.3000000000002</v>
      </c>
    </row>
    <row r="150" spans="11:12" x14ac:dyDescent="0.4">
      <c r="K150" s="36">
        <v>148</v>
      </c>
      <c r="L150" s="95">
        <v>1145.0000000000002</v>
      </c>
    </row>
    <row r="151" spans="11:12" x14ac:dyDescent="0.4">
      <c r="K151" s="36">
        <v>149</v>
      </c>
      <c r="L151" s="95">
        <v>1159.6000000000001</v>
      </c>
    </row>
    <row r="152" spans="11:12" x14ac:dyDescent="0.4">
      <c r="K152" s="36">
        <v>150</v>
      </c>
      <c r="L152" s="95">
        <v>1171.0000000000002</v>
      </c>
    </row>
    <row r="153" spans="11:12" x14ac:dyDescent="0.4">
      <c r="K153" s="36">
        <v>151</v>
      </c>
      <c r="L153" s="95">
        <v>1213.5000000000002</v>
      </c>
    </row>
    <row r="154" spans="11:12" x14ac:dyDescent="0.4">
      <c r="K154" s="36">
        <v>152</v>
      </c>
      <c r="L154" s="95">
        <v>1248.0000000000002</v>
      </c>
    </row>
    <row r="155" spans="11:12" x14ac:dyDescent="0.4">
      <c r="K155" s="36">
        <v>153</v>
      </c>
      <c r="L155" s="95">
        <v>1250.4000000000003</v>
      </c>
    </row>
    <row r="156" spans="11:12" x14ac:dyDescent="0.4">
      <c r="K156" s="36">
        <v>154</v>
      </c>
      <c r="L156" s="95">
        <v>1223.7000000000003</v>
      </c>
    </row>
    <row r="157" spans="11:12" x14ac:dyDescent="0.4">
      <c r="K157" s="36">
        <v>155</v>
      </c>
      <c r="L157" s="95">
        <v>1213.8000000000002</v>
      </c>
    </row>
    <row r="158" spans="11:12" x14ac:dyDescent="0.4">
      <c r="K158" s="36">
        <v>156</v>
      </c>
      <c r="L158" s="95">
        <v>1263.9000000000001</v>
      </c>
    </row>
    <row r="159" spans="11:12" x14ac:dyDescent="0.4">
      <c r="K159" s="36">
        <v>157</v>
      </c>
      <c r="L159" s="95">
        <v>1287.4000000000001</v>
      </c>
    </row>
    <row r="160" spans="11:12" x14ac:dyDescent="0.4">
      <c r="K160" s="36">
        <v>158</v>
      </c>
      <c r="L160" s="95">
        <v>1309</v>
      </c>
    </row>
    <row r="161" spans="11:12" x14ac:dyDescent="0.4">
      <c r="K161" s="36">
        <v>159</v>
      </c>
      <c r="L161" s="95">
        <v>1345.9</v>
      </c>
    </row>
    <row r="162" spans="11:12" x14ac:dyDescent="0.4">
      <c r="K162" s="36">
        <v>160</v>
      </c>
      <c r="L162" s="95">
        <v>1344.4</v>
      </c>
    </row>
    <row r="163" spans="11:12" x14ac:dyDescent="0.4">
      <c r="K163" s="36">
        <v>161</v>
      </c>
      <c r="L163" s="95">
        <v>1375.4</v>
      </c>
    </row>
    <row r="164" spans="11:12" x14ac:dyDescent="0.4">
      <c r="K164" s="36">
        <v>162</v>
      </c>
      <c r="L164" s="95">
        <v>1421.9</v>
      </c>
    </row>
    <row r="165" spans="11:12" x14ac:dyDescent="0.4">
      <c r="K165" s="36">
        <v>163</v>
      </c>
      <c r="L165" s="95">
        <v>1425.1000000000001</v>
      </c>
    </row>
    <row r="166" spans="11:12" x14ac:dyDescent="0.4">
      <c r="K166" s="36">
        <v>164</v>
      </c>
      <c r="L166" s="95">
        <v>1402.2</v>
      </c>
    </row>
    <row r="167" spans="11:12" x14ac:dyDescent="0.4">
      <c r="K167" s="36">
        <v>165</v>
      </c>
      <c r="L167" s="95">
        <v>1432.4</v>
      </c>
    </row>
    <row r="168" spans="11:12" x14ac:dyDescent="0.4">
      <c r="K168" s="36">
        <v>166</v>
      </c>
      <c r="L168" s="95">
        <v>1454.5</v>
      </c>
    </row>
    <row r="169" spans="11:12" x14ac:dyDescent="0.4">
      <c r="K169" s="36">
        <v>167</v>
      </c>
      <c r="L169" s="95">
        <v>1408.3</v>
      </c>
    </row>
    <row r="170" spans="11:12" x14ac:dyDescent="0.4">
      <c r="K170" s="36">
        <v>168</v>
      </c>
      <c r="L170" s="95">
        <v>1434.6</v>
      </c>
    </row>
    <row r="171" spans="11:12" x14ac:dyDescent="0.4">
      <c r="K171" s="36">
        <v>169</v>
      </c>
      <c r="L171" s="95">
        <v>1474.3999999999999</v>
      </c>
    </row>
    <row r="172" spans="11:12" x14ac:dyDescent="0.4">
      <c r="K172" s="36">
        <v>170</v>
      </c>
      <c r="L172" s="95">
        <v>1472.4999999999998</v>
      </c>
    </row>
    <row r="173" spans="11:12" x14ac:dyDescent="0.4">
      <c r="K173" s="36">
        <v>171</v>
      </c>
      <c r="L173" s="95">
        <v>1533.2999999999997</v>
      </c>
    </row>
    <row r="174" spans="11:12" x14ac:dyDescent="0.4">
      <c r="K174" s="36">
        <v>172</v>
      </c>
      <c r="L174" s="95">
        <v>1535.2999999999997</v>
      </c>
    </row>
    <row r="175" spans="11:12" x14ac:dyDescent="0.4">
      <c r="K175" s="36">
        <v>173</v>
      </c>
      <c r="L175" s="95">
        <v>1503.0999999999997</v>
      </c>
    </row>
    <row r="176" spans="11:12" x14ac:dyDescent="0.4">
      <c r="K176" s="36">
        <v>174</v>
      </c>
      <c r="L176" s="95">
        <v>1548.2999999999997</v>
      </c>
    </row>
    <row r="177" spans="11:12" x14ac:dyDescent="0.4">
      <c r="K177" s="36">
        <v>175</v>
      </c>
      <c r="L177" s="95">
        <v>1535.7999999999997</v>
      </c>
    </row>
  </sheetData>
  <sortState xmlns:xlrd2="http://schemas.microsoft.com/office/spreadsheetml/2017/richdata2" ref="E2:I178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158BD-7ADD-4470-B658-64B4471980A9}">
  <sheetPr codeName="Sheet11"/>
  <dimension ref="A1:Q15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309</v>
      </c>
      <c r="H2" s="128">
        <f>IF(B$15=0,0,G2/B$15)</f>
        <v>0.78030303030303028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-1056.7741935483871</v>
      </c>
      <c r="P2" s="114">
        <v>155</v>
      </c>
      <c r="Q2" s="98">
        <v>-163800</v>
      </c>
    </row>
    <row r="3" spans="1:17" x14ac:dyDescent="0.4">
      <c r="A3" s="51" t="s">
        <v>8</v>
      </c>
      <c r="B3" s="156">
        <v>1294</v>
      </c>
      <c r="C3" s="157"/>
      <c r="E3" s="59" t="s">
        <v>72</v>
      </c>
      <c r="F3" s="56" t="s">
        <v>27</v>
      </c>
      <c r="G3" s="44">
        <v>216</v>
      </c>
      <c r="H3" s="129">
        <f>IF(B$15=0,0,G3/B$15)</f>
        <v>0.54545454545454541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1330.0653594771243</v>
      </c>
      <c r="P3" s="115">
        <v>153</v>
      </c>
      <c r="Q3" s="99">
        <v>203500</v>
      </c>
    </row>
    <row r="4" spans="1:17" x14ac:dyDescent="0.4">
      <c r="A4" s="51" t="s">
        <v>6</v>
      </c>
      <c r="B4" s="158">
        <v>-12.100000000000186</v>
      </c>
      <c r="C4" s="159"/>
      <c r="E4" s="59" t="s">
        <v>166</v>
      </c>
      <c r="F4" s="56" t="s">
        <v>167</v>
      </c>
      <c r="G4" s="44">
        <v>159</v>
      </c>
      <c r="H4" s="129">
        <f>IF(B$15=0,0,G4/B$15)</f>
        <v>0.40151515151515149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-404.96453900709218</v>
      </c>
      <c r="P4" s="115">
        <v>141</v>
      </c>
      <c r="Q4" s="99">
        <v>-57100</v>
      </c>
    </row>
    <row r="5" spans="1:17" x14ac:dyDescent="0.4">
      <c r="A5" s="51" t="s">
        <v>7</v>
      </c>
      <c r="B5" s="160">
        <f>IF(B$2=0,0,B$4/B$2)</f>
        <v>-7.756410256410376E-2</v>
      </c>
      <c r="C5" s="161"/>
      <c r="E5" s="59" t="s">
        <v>64</v>
      </c>
      <c r="F5" s="56" t="s">
        <v>20</v>
      </c>
      <c r="G5" s="44">
        <v>155</v>
      </c>
      <c r="H5" s="129">
        <f>IF(B$15=0,0,G5/B$15)</f>
        <v>0.39141414141414144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274.62686567164178</v>
      </c>
      <c r="P5" s="115">
        <v>134</v>
      </c>
      <c r="Q5" s="99">
        <v>36800</v>
      </c>
    </row>
    <row r="6" spans="1:17" x14ac:dyDescent="0.4">
      <c r="A6" s="51" t="s">
        <v>1</v>
      </c>
      <c r="B6" s="150">
        <f>IF(B$2=0,0,(B$7*1+B$8*2+B$9*3)/B$2)</f>
        <v>1.9807692307692308</v>
      </c>
      <c r="C6" s="151"/>
      <c r="E6" s="59" t="s">
        <v>68</v>
      </c>
      <c r="F6" s="56" t="s">
        <v>12</v>
      </c>
      <c r="G6" s="44">
        <v>112</v>
      </c>
      <c r="H6" s="129">
        <f>IF(B$15=0,0,G6/B$15)</f>
        <v>0.28282828282828282</v>
      </c>
      <c r="I6" s="90">
        <v>9</v>
      </c>
      <c r="K6" s="36">
        <v>4</v>
      </c>
      <c r="L6" s="95">
        <v>-38.099999999999994</v>
      </c>
      <c r="N6" s="111" t="s">
        <v>134</v>
      </c>
      <c r="O6" s="118">
        <f t="shared" si="0"/>
        <v>-1145.0819672131147</v>
      </c>
      <c r="P6" s="115">
        <v>122</v>
      </c>
      <c r="Q6" s="99">
        <v>-139700</v>
      </c>
    </row>
    <row r="7" spans="1:17" x14ac:dyDescent="0.4">
      <c r="A7" s="51" t="s">
        <v>2</v>
      </c>
      <c r="B7" s="44">
        <v>52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86</v>
      </c>
      <c r="H7" s="129">
        <f>IF(B$15=0,0,G7/B$15)</f>
        <v>0.21717171717171718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1146.0784313725489</v>
      </c>
      <c r="P7" s="116">
        <v>102</v>
      </c>
      <c r="Q7" s="100">
        <v>116900</v>
      </c>
    </row>
    <row r="8" spans="1:17" x14ac:dyDescent="0.4">
      <c r="A8" s="51" t="s">
        <v>3</v>
      </c>
      <c r="B8" s="44">
        <v>55</v>
      </c>
      <c r="C8" s="37">
        <f t="shared" si="1"/>
        <v>0.35256410256410259</v>
      </c>
      <c r="E8" s="59" t="s">
        <v>69</v>
      </c>
      <c r="F8" s="56" t="s">
        <v>24</v>
      </c>
      <c r="G8" s="44">
        <v>48</v>
      </c>
      <c r="H8" s="129">
        <f>IF(B$15=0,0,G8/B$15)</f>
        <v>0.12121212121212122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49</v>
      </c>
      <c r="C9" s="38">
        <f t="shared" si="1"/>
        <v>0.3141025641025641</v>
      </c>
      <c r="E9" s="59" t="s">
        <v>89</v>
      </c>
      <c r="F9" s="56" t="s">
        <v>44</v>
      </c>
      <c r="G9" s="44">
        <v>44</v>
      </c>
      <c r="H9" s="129">
        <f>IF(B$15=0,0,G9/B$15)</f>
        <v>0.1111111111111111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18</v>
      </c>
      <c r="C10" s="40">
        <f t="shared" si="1"/>
        <v>0.11538461538461539</v>
      </c>
      <c r="E10" s="59" t="s">
        <v>70</v>
      </c>
      <c r="F10" s="56" t="s">
        <v>25</v>
      </c>
      <c r="G10" s="44">
        <v>38</v>
      </c>
      <c r="H10" s="129">
        <f>IF(B$15=0,0,G10/B$15)</f>
        <v>9.5959595959595953E-2</v>
      </c>
      <c r="I10" s="90">
        <v>7</v>
      </c>
      <c r="K10" s="36">
        <v>8</v>
      </c>
      <c r="L10" s="95">
        <v>-56.79999999999999</v>
      </c>
      <c r="N10" s="110" t="s">
        <v>157</v>
      </c>
      <c r="O10" s="120">
        <f>IF(P10=0,0,Q10/P10)</f>
        <v>1.7304347826086961</v>
      </c>
      <c r="P10" s="114">
        <v>46</v>
      </c>
      <c r="Q10" s="102">
        <v>79.600000000000023</v>
      </c>
    </row>
    <row r="11" spans="1:17" x14ac:dyDescent="0.4">
      <c r="A11" s="54" t="s">
        <v>121</v>
      </c>
      <c r="B11" s="47">
        <v>305</v>
      </c>
      <c r="C11" s="42">
        <f>IF(B$3=0,0,B11/B$3)</f>
        <v>0.2357032457496136</v>
      </c>
      <c r="E11" s="59" t="s">
        <v>71</v>
      </c>
      <c r="F11" s="56" t="s">
        <v>26</v>
      </c>
      <c r="G11" s="44">
        <v>37</v>
      </c>
      <c r="H11" s="129">
        <f>IF(B$15=0,0,G11/B$15)</f>
        <v>9.3434343434343439E-2</v>
      </c>
      <c r="I11" s="90">
        <v>7</v>
      </c>
      <c r="K11" s="36">
        <v>9</v>
      </c>
      <c r="L11" s="95">
        <v>-83.699999999999989</v>
      </c>
      <c r="N11" s="111" t="s">
        <v>158</v>
      </c>
      <c r="O11" s="121">
        <f>IF(P11=0,0,Q11/P11)</f>
        <v>2.8680000000000012</v>
      </c>
      <c r="P11" s="115">
        <v>50</v>
      </c>
      <c r="Q11" s="103">
        <v>143.40000000000006</v>
      </c>
    </row>
    <row r="12" spans="1:17" x14ac:dyDescent="0.4">
      <c r="A12" s="51" t="s">
        <v>118</v>
      </c>
      <c r="B12" s="44">
        <v>388</v>
      </c>
      <c r="C12" s="37">
        <f>IF(B$3=0,0,B12/B$3)</f>
        <v>0.29984544049459044</v>
      </c>
      <c r="E12" s="59" t="s">
        <v>65</v>
      </c>
      <c r="F12" s="56" t="s">
        <v>21</v>
      </c>
      <c r="G12" s="44">
        <v>32</v>
      </c>
      <c r="H12" s="129">
        <f>IF(B$15=0,0,G12/B$15)</f>
        <v>8.0808080808080815E-2</v>
      </c>
      <c r="I12" s="90">
        <v>11</v>
      </c>
      <c r="K12" s="36">
        <v>10</v>
      </c>
      <c r="L12" s="95">
        <v>-78.399999999999991</v>
      </c>
      <c r="N12" s="112" t="s">
        <v>159</v>
      </c>
      <c r="O12" s="122">
        <f>IF(P12=0,0,Q12/P12)</f>
        <v>-3.9183333333333339</v>
      </c>
      <c r="P12" s="116">
        <v>60</v>
      </c>
      <c r="Q12" s="104">
        <v>-235.10000000000002</v>
      </c>
    </row>
    <row r="13" spans="1:17" x14ac:dyDescent="0.4">
      <c r="A13" s="50" t="s">
        <v>123</v>
      </c>
      <c r="B13" s="43">
        <f>B19</f>
        <v>155</v>
      </c>
      <c r="C13" s="35">
        <f>IF(B$11=0,0,B13/B$11)</f>
        <v>0.50819672131147542</v>
      </c>
      <c r="E13" s="59" t="s">
        <v>86</v>
      </c>
      <c r="F13" s="56" t="s">
        <v>41</v>
      </c>
      <c r="G13" s="44">
        <v>24</v>
      </c>
      <c r="H13" s="129">
        <f>IF(B$15=0,0,G13/B$15)</f>
        <v>6.0606060606060608E-2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146</v>
      </c>
      <c r="C14" s="35">
        <f>IF(B$12=0,0,B14/B$12)</f>
        <v>0.37628865979381443</v>
      </c>
      <c r="E14" s="59" t="s">
        <v>83</v>
      </c>
      <c r="F14" s="56" t="s">
        <v>38</v>
      </c>
      <c r="G14" s="44">
        <v>20</v>
      </c>
      <c r="H14" s="129">
        <f>IF(B$15=0,0,G14/B$15)</f>
        <v>5.0505050505050504E-2</v>
      </c>
      <c r="I14" s="90">
        <v>7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396</v>
      </c>
      <c r="C15" s="35">
        <f>IF(B$3=0,0,B15/B$3)</f>
        <v>0.30602782071097373</v>
      </c>
      <c r="E15" s="59" t="s">
        <v>78</v>
      </c>
      <c r="F15" s="56" t="s">
        <v>33</v>
      </c>
      <c r="G15" s="44">
        <v>16</v>
      </c>
      <c r="H15" s="129">
        <f>IF(B$15=0,0,G15/B$15)</f>
        <v>4.0404040404040407E-2</v>
      </c>
      <c r="I15" s="90">
        <v>4</v>
      </c>
      <c r="K15" s="36">
        <v>13</v>
      </c>
      <c r="L15" s="95">
        <v>-86.8</v>
      </c>
      <c r="N15" s="110" t="s">
        <v>228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1" t="s">
        <v>13</v>
      </c>
      <c r="B16" s="44">
        <v>236</v>
      </c>
      <c r="C16" s="37">
        <f>IF(B$3=0,0,B16/B$3)</f>
        <v>0.18238021638330756</v>
      </c>
      <c r="E16" s="59" t="s">
        <v>91</v>
      </c>
      <c r="F16" s="56" t="s">
        <v>46</v>
      </c>
      <c r="G16" s="44">
        <v>13</v>
      </c>
      <c r="H16" s="129">
        <f>IF(B$15=0,0,G16/B$15)</f>
        <v>3.2828282828282832E-2</v>
      </c>
      <c r="I16" s="90">
        <v>2</v>
      </c>
      <c r="K16" s="36">
        <v>14</v>
      </c>
      <c r="L16" s="95">
        <v>-138.4</v>
      </c>
      <c r="N16" s="111" t="s">
        <v>172</v>
      </c>
      <c r="O16" s="121">
        <f>IF(P16=0,0,Q16/P16)</f>
        <v>17.456249999999994</v>
      </c>
      <c r="P16" s="115">
        <v>48</v>
      </c>
      <c r="Q16" s="103">
        <v>837.89999999999964</v>
      </c>
    </row>
    <row r="17" spans="1:17" x14ac:dyDescent="0.4">
      <c r="A17" s="51" t="s">
        <v>12</v>
      </c>
      <c r="B17" s="44">
        <v>164</v>
      </c>
      <c r="C17" s="37">
        <f>IF(B$15=0,0,B17/B$15)</f>
        <v>0.41414141414141414</v>
      </c>
      <c r="E17" s="59" t="s">
        <v>81</v>
      </c>
      <c r="F17" s="56" t="s">
        <v>36</v>
      </c>
      <c r="G17" s="44">
        <v>8</v>
      </c>
      <c r="H17" s="129">
        <f>IF(B$15=0,0,G17/B$15)</f>
        <v>2.0202020202020204E-2</v>
      </c>
      <c r="I17" s="90">
        <v>5</v>
      </c>
      <c r="K17" s="36">
        <v>15</v>
      </c>
      <c r="L17" s="95">
        <v>-144.30000000000001</v>
      </c>
      <c r="N17" s="111" t="s">
        <v>197</v>
      </c>
      <c r="O17" s="121">
        <f>IF(P17=0,0,Q17/P17)</f>
        <v>16.62857142857143</v>
      </c>
      <c r="P17" s="115">
        <v>14</v>
      </c>
      <c r="Q17" s="103">
        <v>232.8</v>
      </c>
    </row>
    <row r="18" spans="1:17" x14ac:dyDescent="0.4">
      <c r="A18" s="51" t="s">
        <v>11</v>
      </c>
      <c r="B18" s="44">
        <v>232</v>
      </c>
      <c r="C18" s="37">
        <f>IF(B$15=0,0,B18/B$15)</f>
        <v>0.58585858585858586</v>
      </c>
      <c r="E18" s="59" t="s">
        <v>79</v>
      </c>
      <c r="F18" s="56" t="s">
        <v>34</v>
      </c>
      <c r="G18" s="44">
        <v>7</v>
      </c>
      <c r="H18" s="129">
        <f>IF(B$15=0,0,G18/B$15)</f>
        <v>1.7676767676767676E-2</v>
      </c>
      <c r="I18" s="90">
        <v>6</v>
      </c>
      <c r="K18" s="36">
        <v>16</v>
      </c>
      <c r="L18" s="95">
        <v>-187.3</v>
      </c>
      <c r="N18" s="111" t="s">
        <v>196</v>
      </c>
      <c r="O18" s="121">
        <f>IF(P18=0,0,Q18/P18)</f>
        <v>13.5</v>
      </c>
      <c r="P18" s="115">
        <v>5</v>
      </c>
      <c r="Q18" s="103">
        <v>67.5</v>
      </c>
    </row>
    <row r="19" spans="1:17" x14ac:dyDescent="0.4">
      <c r="A19" s="51" t="s">
        <v>195</v>
      </c>
      <c r="B19" s="44">
        <v>155</v>
      </c>
      <c r="C19" s="37">
        <f>IF(B$15=0,0,B19/B$15)</f>
        <v>0.39141414141414144</v>
      </c>
      <c r="E19" s="59" t="s">
        <v>162</v>
      </c>
      <c r="F19" s="56" t="s">
        <v>163</v>
      </c>
      <c r="G19" s="44">
        <v>5</v>
      </c>
      <c r="H19" s="129">
        <f>IF(B$15=0,0,G19/B$15)</f>
        <v>1.2626262626262626E-2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5.5299999999999994</v>
      </c>
      <c r="P19" s="115">
        <v>30</v>
      </c>
      <c r="Q19" s="103">
        <v>165.89999999999998</v>
      </c>
    </row>
    <row r="20" spans="1:17" x14ac:dyDescent="0.4">
      <c r="A20" s="51" t="s">
        <v>193</v>
      </c>
      <c r="B20" s="44">
        <v>146</v>
      </c>
      <c r="C20" s="37">
        <f>IF(B$15=0,0,B20/B$15)</f>
        <v>0.36868686868686867</v>
      </c>
      <c r="E20" s="59" t="s">
        <v>92</v>
      </c>
      <c r="F20" s="56" t="s">
        <v>47</v>
      </c>
      <c r="G20" s="44">
        <v>3</v>
      </c>
      <c r="H20" s="129">
        <f>IF(B$15=0,0,G20/B$15)</f>
        <v>7.575757575757576E-3</v>
      </c>
      <c r="I20" s="90">
        <v>3</v>
      </c>
      <c r="K20" s="36">
        <v>18</v>
      </c>
      <c r="L20" s="95">
        <v>-112.90000000000002</v>
      </c>
      <c r="N20" s="111" t="s">
        <v>274</v>
      </c>
      <c r="O20" s="121">
        <f>IF(P20=0,0,Q20/P20)</f>
        <v>0.40000000000000036</v>
      </c>
      <c r="P20" s="115">
        <v>4</v>
      </c>
      <c r="Q20" s="103">
        <v>1.6000000000000014</v>
      </c>
    </row>
    <row r="21" spans="1:17" x14ac:dyDescent="0.4">
      <c r="A21" s="51" t="s">
        <v>194</v>
      </c>
      <c r="B21" s="44">
        <v>95</v>
      </c>
      <c r="C21" s="37">
        <f>IF(B$15=0,0,B21/B$15)</f>
        <v>0.23989898989898989</v>
      </c>
      <c r="E21" s="59" t="s">
        <v>74</v>
      </c>
      <c r="F21" s="56" t="s">
        <v>29</v>
      </c>
      <c r="G21" s="44">
        <v>2</v>
      </c>
      <c r="H21" s="129">
        <f>IF(B$15=0,0,G21/B$15)</f>
        <v>5.0505050505050509E-3</v>
      </c>
      <c r="I21" s="90">
        <v>3</v>
      </c>
      <c r="K21" s="36">
        <v>19</v>
      </c>
      <c r="L21" s="95">
        <v>-162.40000000000003</v>
      </c>
      <c r="N21" s="111" t="s">
        <v>171</v>
      </c>
      <c r="O21" s="121">
        <f>IF(P21=0,0,Q21/P21)</f>
        <v>-0.12545454545454426</v>
      </c>
      <c r="P21" s="115">
        <v>55</v>
      </c>
      <c r="Q21" s="103">
        <v>-6.8999999999999346</v>
      </c>
    </row>
    <row r="22" spans="1:17" x14ac:dyDescent="0.4">
      <c r="A22" s="51" t="s">
        <v>5</v>
      </c>
      <c r="B22" s="48">
        <f>IF(B$15=0,0,C22/B$15)</f>
        <v>8215.6565656565654</v>
      </c>
      <c r="C22" s="39">
        <v>3253400</v>
      </c>
      <c r="E22" s="59" t="s">
        <v>75</v>
      </c>
      <c r="F22" s="56" t="s">
        <v>30</v>
      </c>
      <c r="G22" s="44">
        <v>2</v>
      </c>
      <c r="H22" s="129">
        <f>IF(B$15=0,0,G22/B$15)</f>
        <v>5.0505050505050509E-3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-3.6119999999999961</v>
      </c>
      <c r="P22" s="115">
        <v>50</v>
      </c>
      <c r="Q22" s="103">
        <v>-180.5999999999998</v>
      </c>
    </row>
    <row r="23" spans="1:17" x14ac:dyDescent="0.4">
      <c r="A23" s="52" t="s">
        <v>177</v>
      </c>
      <c r="B23" s="136">
        <f>IF($B$15-B$14=0,0,C23/($B$15-B$14))</f>
        <v>8862.4</v>
      </c>
      <c r="C23" s="137">
        <v>2215600</v>
      </c>
      <c r="E23" s="59" t="s">
        <v>73</v>
      </c>
      <c r="F23" s="56" t="s">
        <v>28</v>
      </c>
      <c r="G23" s="44">
        <v>1</v>
      </c>
      <c r="H23" s="129">
        <f>IF(B$15=0,0,G23/B$15)</f>
        <v>2.5252525252525255E-3</v>
      </c>
      <c r="I23" s="90">
        <v>4</v>
      </c>
      <c r="K23" s="36">
        <v>21</v>
      </c>
      <c r="L23" s="95">
        <v>-67.200000000000031</v>
      </c>
      <c r="N23" s="111" t="s">
        <v>126</v>
      </c>
      <c r="O23" s="121">
        <f>IF(P23=0,0,Q23/P23)</f>
        <v>-12.54903846153846</v>
      </c>
      <c r="P23" s="115">
        <v>104</v>
      </c>
      <c r="Q23" s="103">
        <v>-1305.0999999999999</v>
      </c>
    </row>
    <row r="24" spans="1:17" x14ac:dyDescent="0.4">
      <c r="A24" s="52" t="s">
        <v>178</v>
      </c>
      <c r="B24" s="136">
        <f>IF(B$14=0,0,C24/B$14)</f>
        <v>7108.2191780821922</v>
      </c>
      <c r="C24" s="137">
        <v>1037800</v>
      </c>
      <c r="E24" s="59" t="s">
        <v>77</v>
      </c>
      <c r="F24" s="56" t="s">
        <v>32</v>
      </c>
      <c r="G24" s="44">
        <v>1</v>
      </c>
      <c r="H24" s="129">
        <f>IF(B$15=0,0,G24/B$15)</f>
        <v>2.5252525252525255E-3</v>
      </c>
      <c r="I24" s="90">
        <v>5</v>
      </c>
      <c r="K24" s="36">
        <v>22</v>
      </c>
      <c r="L24" s="95">
        <v>-38.400000000000034</v>
      </c>
    </row>
    <row r="25" spans="1:17" x14ac:dyDescent="0.4">
      <c r="A25" s="52" t="s">
        <v>176</v>
      </c>
      <c r="B25" s="136">
        <f>IF(B$16=0,0,C25/B$16)</f>
        <v>-7845.7627118644068</v>
      </c>
      <c r="C25" s="137">
        <v>-1851600</v>
      </c>
      <c r="E25" s="59" t="s">
        <v>84</v>
      </c>
      <c r="F25" s="56" t="s">
        <v>39</v>
      </c>
      <c r="G25" s="44">
        <v>1</v>
      </c>
      <c r="H25" s="129">
        <f>IF(B$15=0,0,G25/B$15)</f>
        <v>2.5252525252525255E-3</v>
      </c>
      <c r="I25" s="90">
        <v>5</v>
      </c>
      <c r="K25" s="36">
        <v>23</v>
      </c>
      <c r="L25" s="95">
        <v>-37.600000000000037</v>
      </c>
    </row>
    <row r="26" spans="1:17" x14ac:dyDescent="0.4">
      <c r="A26" s="51" t="s">
        <v>164</v>
      </c>
      <c r="B26" s="44">
        <v>7</v>
      </c>
      <c r="C26" s="131">
        <v>0</v>
      </c>
      <c r="E26" s="59" t="s">
        <v>90</v>
      </c>
      <c r="F26" s="56" t="s">
        <v>45</v>
      </c>
      <c r="G26" s="44">
        <v>1</v>
      </c>
      <c r="H26" s="129">
        <f>IF(B$15=0,0,G26/B$15)</f>
        <v>2.5252525252525255E-3</v>
      </c>
      <c r="I26" s="90">
        <v>2</v>
      </c>
      <c r="K26" s="36">
        <v>24</v>
      </c>
      <c r="L26" s="95">
        <v>-37.600000000000037</v>
      </c>
    </row>
    <row r="27" spans="1:17" x14ac:dyDescent="0.4">
      <c r="A27" s="51" t="s">
        <v>165</v>
      </c>
      <c r="B27" s="44">
        <v>30</v>
      </c>
      <c r="C27" s="131">
        <v>5</v>
      </c>
      <c r="E27" s="59" t="s">
        <v>95</v>
      </c>
      <c r="F27" s="56" t="s">
        <v>50</v>
      </c>
      <c r="G27" s="44">
        <v>1</v>
      </c>
      <c r="H27" s="129">
        <f>IF(B$15=0,0,G27/B$15)</f>
        <v>2.5252525252525255E-3</v>
      </c>
      <c r="I27" s="90">
        <v>3</v>
      </c>
      <c r="K27" s="36">
        <v>25</v>
      </c>
      <c r="L27" s="95">
        <v>-10.700000000000038</v>
      </c>
    </row>
    <row r="28" spans="1:17" x14ac:dyDescent="0.4">
      <c r="A28" s="86" t="s">
        <v>138</v>
      </c>
      <c r="B28" s="148">
        <v>8</v>
      </c>
      <c r="C28" s="149"/>
      <c r="E28" s="59" t="s">
        <v>76</v>
      </c>
      <c r="F28" s="56" t="s">
        <v>31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A30" s="53" t="s">
        <v>139</v>
      </c>
      <c r="B30" s="61">
        <v>5</v>
      </c>
      <c r="C30" s="40">
        <f>IF(B$3=0,0,B30/B$3)</f>
        <v>3.8639876352395673E-3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40.799999999999962</v>
      </c>
    </row>
    <row r="32" spans="1:17" x14ac:dyDescent="0.4">
      <c r="A32" s="86" t="s">
        <v>183</v>
      </c>
      <c r="B32" s="144">
        <v>29</v>
      </c>
      <c r="C32" s="141">
        <f>IF(B$15=0,0,B32/B$15)</f>
        <v>7.3232323232323232E-2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63.499999999999957</v>
      </c>
    </row>
    <row r="33" spans="1:12" x14ac:dyDescent="0.4">
      <c r="A33" s="51" t="s">
        <v>179</v>
      </c>
      <c r="B33" s="44">
        <v>68</v>
      </c>
      <c r="C33" s="37">
        <f t="shared" ref="C33:C44" si="2">IF(B$15=0,0,B33/B$15)</f>
        <v>0.17171717171717171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94.299999999999955</v>
      </c>
    </row>
    <row r="34" spans="1:12" x14ac:dyDescent="0.4">
      <c r="A34" s="51" t="s">
        <v>180</v>
      </c>
      <c r="B34" s="145">
        <v>84</v>
      </c>
      <c r="C34" s="37">
        <f>IF(B$15=0,0,B34/B$15)</f>
        <v>0.21212121212121213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">
      <c r="A35" s="51" t="s">
        <v>181</v>
      </c>
      <c r="B35" s="145">
        <v>79</v>
      </c>
      <c r="C35" s="37">
        <f t="shared" si="2"/>
        <v>0.1994949494949495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">
      <c r="A36" s="51" t="s">
        <v>182</v>
      </c>
      <c r="B36" s="145">
        <v>59</v>
      </c>
      <c r="C36" s="37">
        <f t="shared" si="2"/>
        <v>0.14898989898989898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">
      <c r="A37" s="51" t="s">
        <v>184</v>
      </c>
      <c r="B37" s="145">
        <v>42</v>
      </c>
      <c r="C37" s="37">
        <f t="shared" si="2"/>
        <v>0.10606060606060606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">
      <c r="A38" s="51" t="s">
        <v>185</v>
      </c>
      <c r="B38" s="145">
        <v>13</v>
      </c>
      <c r="C38" s="37">
        <f t="shared" si="2"/>
        <v>3.2828282828282832E-2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">
      <c r="A39" s="51" t="s">
        <v>186</v>
      </c>
      <c r="B39" s="145">
        <v>9</v>
      </c>
      <c r="C39" s="37">
        <f t="shared" si="2"/>
        <v>2.2727272727272728E-2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">
      <c r="A40" s="51" t="s">
        <v>187</v>
      </c>
      <c r="B40" s="145">
        <v>6</v>
      </c>
      <c r="C40" s="37">
        <f t="shared" si="2"/>
        <v>1.5151515151515152E-2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">
      <c r="A41" s="51" t="s">
        <v>188</v>
      </c>
      <c r="B41" s="145">
        <v>1</v>
      </c>
      <c r="C41" s="37">
        <f t="shared" si="2"/>
        <v>2.5252525252525255E-3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">
      <c r="A42" s="51" t="s">
        <v>189</v>
      </c>
      <c r="B42" s="145">
        <v>2</v>
      </c>
      <c r="C42" s="37">
        <f t="shared" si="2"/>
        <v>5.0505050505050509E-3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">
      <c r="A44" s="53" t="s">
        <v>191</v>
      </c>
      <c r="B44" s="140">
        <v>4</v>
      </c>
      <c r="C44" s="40">
        <f t="shared" si="2"/>
        <v>1.0101010101010102E-2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  <row r="86" spans="11:12" x14ac:dyDescent="0.4">
      <c r="K86" s="36">
        <v>84</v>
      </c>
      <c r="L86" s="95">
        <v>283.59999999999991</v>
      </c>
    </row>
    <row r="87" spans="11:12" x14ac:dyDescent="0.4">
      <c r="K87" s="36">
        <v>85</v>
      </c>
      <c r="L87" s="95">
        <v>320.99999999999989</v>
      </c>
    </row>
    <row r="88" spans="11:12" x14ac:dyDescent="0.4">
      <c r="K88" s="36">
        <v>86</v>
      </c>
      <c r="L88" s="95">
        <v>317.49999999999989</v>
      </c>
    </row>
    <row r="89" spans="11:12" x14ac:dyDescent="0.4">
      <c r="K89" s="36">
        <v>87</v>
      </c>
      <c r="L89" s="95">
        <v>369.39999999999986</v>
      </c>
    </row>
    <row r="90" spans="11:12" x14ac:dyDescent="0.4">
      <c r="K90" s="36">
        <v>88</v>
      </c>
      <c r="L90" s="95">
        <v>352.29999999999984</v>
      </c>
    </row>
    <row r="91" spans="11:12" x14ac:dyDescent="0.4">
      <c r="K91" s="36">
        <v>89</v>
      </c>
      <c r="L91" s="95">
        <v>356.49999999999983</v>
      </c>
    </row>
    <row r="92" spans="11:12" x14ac:dyDescent="0.4">
      <c r="K92" s="36">
        <v>90</v>
      </c>
      <c r="L92" s="95">
        <v>326.19999999999982</v>
      </c>
    </row>
    <row r="93" spans="11:12" x14ac:dyDescent="0.4">
      <c r="K93" s="36">
        <v>91</v>
      </c>
      <c r="L93" s="95">
        <v>316.5999999999998</v>
      </c>
    </row>
    <row r="94" spans="11:12" x14ac:dyDescent="0.4">
      <c r="K94" s="36">
        <v>92</v>
      </c>
      <c r="L94" s="95">
        <v>267.79999999999978</v>
      </c>
    </row>
    <row r="95" spans="11:12" x14ac:dyDescent="0.4">
      <c r="K95" s="36">
        <v>93</v>
      </c>
      <c r="L95" s="95">
        <v>234.0999999999998</v>
      </c>
    </row>
    <row r="96" spans="11:12" x14ac:dyDescent="0.4">
      <c r="K96" s="36">
        <v>94</v>
      </c>
      <c r="L96" s="95">
        <v>101.19999999999979</v>
      </c>
    </row>
    <row r="97" spans="11:12" x14ac:dyDescent="0.4">
      <c r="K97" s="36">
        <v>95</v>
      </c>
      <c r="L97" s="95">
        <v>71.799999999999784</v>
      </c>
    </row>
    <row r="98" spans="11:12" x14ac:dyDescent="0.4">
      <c r="K98" s="36">
        <v>96</v>
      </c>
      <c r="L98" s="95">
        <v>72.299999999999784</v>
      </c>
    </row>
    <row r="99" spans="11:12" x14ac:dyDescent="0.4">
      <c r="K99" s="36">
        <v>97</v>
      </c>
      <c r="L99" s="95">
        <v>49.899999999999785</v>
      </c>
    </row>
    <row r="100" spans="11:12" x14ac:dyDescent="0.4">
      <c r="K100" s="36">
        <v>98</v>
      </c>
      <c r="L100" s="95">
        <v>36.399999999999785</v>
      </c>
    </row>
    <row r="101" spans="11:12" x14ac:dyDescent="0.4">
      <c r="K101" s="36">
        <v>99</v>
      </c>
      <c r="L101" s="95">
        <v>42.999999999999787</v>
      </c>
    </row>
    <row r="102" spans="11:12" x14ac:dyDescent="0.4">
      <c r="K102" s="36">
        <v>100</v>
      </c>
      <c r="L102" s="95">
        <v>13.399999999999785</v>
      </c>
    </row>
    <row r="103" spans="11:12" x14ac:dyDescent="0.4">
      <c r="K103" s="36">
        <v>101</v>
      </c>
      <c r="L103" s="95">
        <v>-34.400000000000212</v>
      </c>
    </row>
    <row r="104" spans="11:12" x14ac:dyDescent="0.4">
      <c r="K104" s="36">
        <v>102</v>
      </c>
      <c r="L104" s="95">
        <v>-56.500000000000213</v>
      </c>
    </row>
    <row r="105" spans="11:12" x14ac:dyDescent="0.4">
      <c r="K105" s="36">
        <v>103</v>
      </c>
      <c r="L105" s="95">
        <v>-31.500000000000213</v>
      </c>
    </row>
    <row r="106" spans="11:12" x14ac:dyDescent="0.4">
      <c r="K106" s="36">
        <v>104</v>
      </c>
      <c r="L106" s="95">
        <v>-49.900000000000212</v>
      </c>
    </row>
    <row r="107" spans="11:12" x14ac:dyDescent="0.4">
      <c r="K107" s="36">
        <v>105</v>
      </c>
      <c r="L107" s="95">
        <v>-48.80000000000021</v>
      </c>
    </row>
    <row r="108" spans="11:12" x14ac:dyDescent="0.4">
      <c r="K108" s="36">
        <v>106</v>
      </c>
      <c r="L108" s="95">
        <v>-48.900000000000212</v>
      </c>
    </row>
    <row r="109" spans="11:12" x14ac:dyDescent="0.4">
      <c r="K109" s="36">
        <v>107</v>
      </c>
      <c r="L109" s="95">
        <v>-18.500000000000213</v>
      </c>
    </row>
    <row r="110" spans="11:12" x14ac:dyDescent="0.4">
      <c r="K110" s="36">
        <v>108</v>
      </c>
      <c r="L110" s="95">
        <v>-28.200000000000212</v>
      </c>
    </row>
    <row r="111" spans="11:12" x14ac:dyDescent="0.4">
      <c r="K111" s="36">
        <v>109</v>
      </c>
      <c r="L111" s="95">
        <v>31.799999999999788</v>
      </c>
    </row>
    <row r="112" spans="11:12" x14ac:dyDescent="0.4">
      <c r="K112" s="36">
        <v>110</v>
      </c>
      <c r="L112" s="95">
        <v>86.999999999999787</v>
      </c>
    </row>
    <row r="113" spans="11:12" x14ac:dyDescent="0.4">
      <c r="K113" s="36">
        <v>111</v>
      </c>
      <c r="L113" s="95">
        <v>85.999999999999787</v>
      </c>
    </row>
    <row r="114" spans="11:12" x14ac:dyDescent="0.4">
      <c r="K114" s="36">
        <v>112</v>
      </c>
      <c r="L114" s="95">
        <v>85.299999999999784</v>
      </c>
    </row>
    <row r="115" spans="11:12" x14ac:dyDescent="0.4">
      <c r="K115" s="36">
        <v>113</v>
      </c>
      <c r="L115" s="95">
        <v>104.69999999999979</v>
      </c>
    </row>
    <row r="116" spans="11:12" x14ac:dyDescent="0.4">
      <c r="K116" s="36">
        <v>114</v>
      </c>
      <c r="L116" s="95">
        <v>109.99999999999979</v>
      </c>
    </row>
    <row r="117" spans="11:12" x14ac:dyDescent="0.4">
      <c r="K117" s="36">
        <v>115</v>
      </c>
      <c r="L117" s="95">
        <v>138.89999999999978</v>
      </c>
    </row>
    <row r="118" spans="11:12" x14ac:dyDescent="0.4">
      <c r="K118" s="36">
        <v>116</v>
      </c>
      <c r="L118" s="95">
        <v>141.49999999999977</v>
      </c>
    </row>
    <row r="119" spans="11:12" x14ac:dyDescent="0.4">
      <c r="K119" s="36">
        <v>117</v>
      </c>
      <c r="L119" s="95">
        <v>94.499999999999773</v>
      </c>
    </row>
    <row r="120" spans="11:12" x14ac:dyDescent="0.4">
      <c r="K120" s="36">
        <v>118</v>
      </c>
      <c r="L120" s="95">
        <v>93.899999999999778</v>
      </c>
    </row>
    <row r="121" spans="11:12" x14ac:dyDescent="0.4">
      <c r="K121" s="36">
        <v>119</v>
      </c>
      <c r="L121" s="95">
        <v>141.29999999999978</v>
      </c>
    </row>
    <row r="122" spans="11:12" x14ac:dyDescent="0.4">
      <c r="K122" s="36">
        <v>120</v>
      </c>
      <c r="L122" s="95">
        <v>130.5999999999998</v>
      </c>
    </row>
    <row r="123" spans="11:12" x14ac:dyDescent="0.4">
      <c r="K123" s="36">
        <v>121</v>
      </c>
      <c r="L123" s="95">
        <v>125.0999999999998</v>
      </c>
    </row>
    <row r="124" spans="11:12" x14ac:dyDescent="0.4">
      <c r="K124" s="36">
        <v>122</v>
      </c>
      <c r="L124" s="95">
        <v>127.69999999999979</v>
      </c>
    </row>
    <row r="125" spans="11:12" x14ac:dyDescent="0.4">
      <c r="K125" s="36">
        <v>123</v>
      </c>
      <c r="L125" s="95">
        <v>154.4999999999998</v>
      </c>
    </row>
    <row r="126" spans="11:12" x14ac:dyDescent="0.4">
      <c r="K126" s="36">
        <v>124</v>
      </c>
      <c r="L126" s="95">
        <v>172.5999999999998</v>
      </c>
    </row>
    <row r="127" spans="11:12" x14ac:dyDescent="0.4">
      <c r="K127" s="36">
        <v>125</v>
      </c>
      <c r="L127" s="95">
        <v>119.9999999999998</v>
      </c>
    </row>
    <row r="128" spans="11:12" x14ac:dyDescent="0.4">
      <c r="K128" s="36">
        <v>126</v>
      </c>
      <c r="L128" s="95">
        <v>77.999999999999801</v>
      </c>
    </row>
    <row r="129" spans="11:12" x14ac:dyDescent="0.4">
      <c r="K129" s="36">
        <v>127</v>
      </c>
      <c r="L129" s="95">
        <v>83.199999999999804</v>
      </c>
    </row>
    <row r="130" spans="11:12" x14ac:dyDescent="0.4">
      <c r="K130" s="36">
        <v>128</v>
      </c>
      <c r="L130" s="95">
        <v>31.699999999999804</v>
      </c>
    </row>
    <row r="131" spans="11:12" x14ac:dyDescent="0.4">
      <c r="K131" s="36">
        <v>129</v>
      </c>
      <c r="L131" s="95">
        <v>24.699999999999804</v>
      </c>
    </row>
    <row r="132" spans="11:12" x14ac:dyDescent="0.4">
      <c r="K132" s="36">
        <v>130</v>
      </c>
      <c r="L132" s="95">
        <v>11.799999999999804</v>
      </c>
    </row>
    <row r="133" spans="11:12" x14ac:dyDescent="0.4">
      <c r="K133" s="36">
        <v>131</v>
      </c>
      <c r="L133" s="95">
        <v>33.499999999999801</v>
      </c>
    </row>
    <row r="134" spans="11:12" x14ac:dyDescent="0.4">
      <c r="K134" s="36">
        <v>132</v>
      </c>
      <c r="L134" s="95">
        <v>90.399999999999807</v>
      </c>
    </row>
    <row r="135" spans="11:12" x14ac:dyDescent="0.4">
      <c r="K135" s="36">
        <v>133</v>
      </c>
      <c r="L135" s="95">
        <v>91.299999999999812</v>
      </c>
    </row>
    <row r="136" spans="11:12" x14ac:dyDescent="0.4">
      <c r="K136" s="36">
        <v>134</v>
      </c>
      <c r="L136" s="95">
        <v>55.699999999999811</v>
      </c>
    </row>
    <row r="137" spans="11:12" x14ac:dyDescent="0.4">
      <c r="K137" s="36">
        <v>135</v>
      </c>
      <c r="L137" s="95">
        <v>47.59999999999981</v>
      </c>
    </row>
    <row r="138" spans="11:12" x14ac:dyDescent="0.4">
      <c r="K138" s="36">
        <v>136</v>
      </c>
      <c r="L138" s="95">
        <v>22.799999999999809</v>
      </c>
    </row>
    <row r="139" spans="11:12" x14ac:dyDescent="0.4">
      <c r="K139" s="36">
        <v>137</v>
      </c>
      <c r="L139" s="95">
        <v>58.999999999999815</v>
      </c>
    </row>
    <row r="140" spans="11:12" x14ac:dyDescent="0.4">
      <c r="K140" s="36">
        <v>138</v>
      </c>
      <c r="L140" s="95">
        <v>61.099999999999817</v>
      </c>
    </row>
    <row r="141" spans="11:12" x14ac:dyDescent="0.4">
      <c r="K141" s="36">
        <v>139</v>
      </c>
      <c r="L141" s="95">
        <v>32.099999999999817</v>
      </c>
    </row>
    <row r="142" spans="11:12" x14ac:dyDescent="0.4">
      <c r="K142" s="36">
        <v>140</v>
      </c>
      <c r="L142" s="95">
        <v>11.899999999999817</v>
      </c>
    </row>
    <row r="143" spans="11:12" x14ac:dyDescent="0.4">
      <c r="K143" s="36">
        <v>141</v>
      </c>
      <c r="L143" s="95">
        <v>-18.100000000000183</v>
      </c>
    </row>
    <row r="144" spans="11:12" x14ac:dyDescent="0.4">
      <c r="K144" s="36">
        <v>142</v>
      </c>
      <c r="L144" s="95">
        <v>30.699999999999815</v>
      </c>
    </row>
    <row r="145" spans="11:12" x14ac:dyDescent="0.4">
      <c r="K145" s="36">
        <v>143</v>
      </c>
      <c r="L145" s="95">
        <v>61.399999999999814</v>
      </c>
    </row>
    <row r="146" spans="11:12" x14ac:dyDescent="0.4">
      <c r="K146" s="36">
        <v>144</v>
      </c>
      <c r="L146" s="95">
        <v>21.799999999999812</v>
      </c>
    </row>
    <row r="147" spans="11:12" x14ac:dyDescent="0.4">
      <c r="K147" s="36">
        <v>145</v>
      </c>
      <c r="L147" s="95">
        <v>56.199999999999811</v>
      </c>
    </row>
    <row r="148" spans="11:12" x14ac:dyDescent="0.4">
      <c r="K148" s="36">
        <v>146</v>
      </c>
      <c r="L148" s="95">
        <v>21.799999999999812</v>
      </c>
    </row>
    <row r="149" spans="11:12" x14ac:dyDescent="0.4">
      <c r="K149" s="36">
        <v>147</v>
      </c>
      <c r="L149" s="95">
        <v>-1.6000000000001862</v>
      </c>
    </row>
    <row r="150" spans="11:12" x14ac:dyDescent="0.4">
      <c r="K150" s="36">
        <v>148</v>
      </c>
      <c r="L150" s="95">
        <v>58.999999999999815</v>
      </c>
    </row>
    <row r="151" spans="11:12" x14ac:dyDescent="0.4">
      <c r="K151" s="36">
        <v>149</v>
      </c>
      <c r="L151" s="95">
        <v>20.499999999999815</v>
      </c>
    </row>
    <row r="152" spans="11:12" x14ac:dyDescent="0.4">
      <c r="K152" s="36">
        <v>150</v>
      </c>
      <c r="L152" s="95">
        <v>-14.500000000000185</v>
      </c>
    </row>
    <row r="153" spans="11:12" x14ac:dyDescent="0.4">
      <c r="K153" s="36">
        <v>151</v>
      </c>
      <c r="L153" s="95">
        <v>-9.1000000000001844</v>
      </c>
    </row>
    <row r="154" spans="11:12" x14ac:dyDescent="0.4">
      <c r="K154" s="36">
        <v>152</v>
      </c>
      <c r="L154" s="95">
        <v>-44.100000000000186</v>
      </c>
    </row>
    <row r="155" spans="11:12" x14ac:dyDescent="0.4">
      <c r="K155" s="36">
        <v>153</v>
      </c>
      <c r="L155" s="95">
        <v>-43.800000000000189</v>
      </c>
    </row>
    <row r="156" spans="11:12" x14ac:dyDescent="0.4">
      <c r="K156" s="36">
        <v>154</v>
      </c>
      <c r="L156" s="95">
        <v>-31.800000000000189</v>
      </c>
    </row>
    <row r="157" spans="11:12" x14ac:dyDescent="0.4">
      <c r="K157" s="36">
        <v>155</v>
      </c>
      <c r="L157" s="95">
        <v>7.8999999999998138</v>
      </c>
    </row>
    <row r="158" spans="11:12" x14ac:dyDescent="0.4">
      <c r="K158" s="36">
        <v>156</v>
      </c>
      <c r="L158" s="95">
        <v>-12.100000000000186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26C2D-E050-44B5-86ED-989961FA76EC}">
  <sheetPr codeName="Sheet13"/>
  <dimension ref="A1:Q9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97</v>
      </c>
      <c r="C2" s="155"/>
      <c r="E2" s="58" t="s">
        <v>66</v>
      </c>
      <c r="F2" s="55" t="s">
        <v>22</v>
      </c>
      <c r="G2" s="43">
        <v>175</v>
      </c>
      <c r="H2" s="128">
        <f>IF(B$15=0,0,G2/B$15)</f>
        <v>0.78125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-453.125</v>
      </c>
      <c r="P2" s="114">
        <v>96</v>
      </c>
      <c r="Q2" s="98">
        <v>-43500</v>
      </c>
    </row>
    <row r="3" spans="1:17" x14ac:dyDescent="0.4">
      <c r="A3" s="51" t="s">
        <v>8</v>
      </c>
      <c r="B3" s="156">
        <v>827</v>
      </c>
      <c r="C3" s="157"/>
      <c r="E3" s="59" t="s">
        <v>64</v>
      </c>
      <c r="F3" s="56" t="s">
        <v>20</v>
      </c>
      <c r="G3" s="44">
        <v>124</v>
      </c>
      <c r="H3" s="129">
        <f>IF(B$15=0,0,G3/B$15)</f>
        <v>0.5535714285714286</v>
      </c>
      <c r="I3" s="90">
        <v>4</v>
      </c>
      <c r="K3" s="36">
        <v>1</v>
      </c>
      <c r="L3" s="95">
        <v>-37.799999999999997</v>
      </c>
      <c r="N3" s="111" t="s">
        <v>131</v>
      </c>
      <c r="O3" s="118">
        <f t="shared" si="0"/>
        <v>-558.33333333333337</v>
      </c>
      <c r="P3" s="115">
        <v>96</v>
      </c>
      <c r="Q3" s="99">
        <v>-53600</v>
      </c>
    </row>
    <row r="4" spans="1:17" x14ac:dyDescent="0.4">
      <c r="A4" s="51" t="s">
        <v>6</v>
      </c>
      <c r="B4" s="158">
        <v>-673.49999999999989</v>
      </c>
      <c r="C4" s="159"/>
      <c r="E4" s="59" t="s">
        <v>72</v>
      </c>
      <c r="F4" s="56" t="s">
        <v>27</v>
      </c>
      <c r="G4" s="44">
        <v>112</v>
      </c>
      <c r="H4" s="129">
        <f>IF(B$15=0,0,G4/B$15)</f>
        <v>0.5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418.88888888888891</v>
      </c>
      <c r="P4" s="115">
        <v>90</v>
      </c>
      <c r="Q4" s="99">
        <v>37700</v>
      </c>
    </row>
    <row r="5" spans="1:17" x14ac:dyDescent="0.4">
      <c r="A5" s="51" t="s">
        <v>7</v>
      </c>
      <c r="B5" s="160">
        <f>IF(B$2=0,0,B$4/B$2)</f>
        <v>-6.9432989690721634</v>
      </c>
      <c r="C5" s="161"/>
      <c r="E5" s="59" t="s">
        <v>166</v>
      </c>
      <c r="F5" s="56" t="s">
        <v>167</v>
      </c>
      <c r="G5" s="44">
        <v>95</v>
      </c>
      <c r="H5" s="129">
        <f>IF(B$15=0,0,G5/B$15)</f>
        <v>0.42410714285714285</v>
      </c>
      <c r="I5" s="90">
        <v>3</v>
      </c>
      <c r="K5" s="36">
        <v>3</v>
      </c>
      <c r="L5" s="95">
        <v>-17.599999999999998</v>
      </c>
      <c r="N5" s="111" t="s">
        <v>133</v>
      </c>
      <c r="O5" s="118">
        <f t="shared" si="0"/>
        <v>-651.13636363636363</v>
      </c>
      <c r="P5" s="115">
        <v>88</v>
      </c>
      <c r="Q5" s="99">
        <v>-57300</v>
      </c>
    </row>
    <row r="6" spans="1:17" x14ac:dyDescent="0.4">
      <c r="A6" s="51" t="s">
        <v>1</v>
      </c>
      <c r="B6" s="150">
        <f>IF(B$2=0,0,(B$7*1+B$8*2+B$9*3)/B$2)</f>
        <v>2.1752577319587627</v>
      </c>
      <c r="C6" s="151"/>
      <c r="E6" s="59" t="s">
        <v>68</v>
      </c>
      <c r="F6" s="56" t="s">
        <v>12</v>
      </c>
      <c r="G6" s="44">
        <v>79</v>
      </c>
      <c r="H6" s="129">
        <f>IF(B$15=0,0,G6/B$15)</f>
        <v>0.35267857142857145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-2996.3855421686749</v>
      </c>
      <c r="P6" s="115">
        <v>83</v>
      </c>
      <c r="Q6" s="99">
        <v>-248700</v>
      </c>
    </row>
    <row r="7" spans="1:17" x14ac:dyDescent="0.4">
      <c r="A7" s="51" t="s">
        <v>2</v>
      </c>
      <c r="B7" s="44">
        <v>21</v>
      </c>
      <c r="C7" s="37">
        <f t="shared" ref="C7:C10" si="1">IF(B$2=0,0,B7/B$2)</f>
        <v>0.21649484536082475</v>
      </c>
      <c r="E7" s="59" t="s">
        <v>67</v>
      </c>
      <c r="F7" s="56" t="s">
        <v>23</v>
      </c>
      <c r="G7" s="44">
        <v>68</v>
      </c>
      <c r="H7" s="129">
        <f>IF(B$15=0,0,G7/B$15)</f>
        <v>0.30357142857142855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-2010.958904109589</v>
      </c>
      <c r="P7" s="116">
        <v>73</v>
      </c>
      <c r="Q7" s="100">
        <v>-146800</v>
      </c>
    </row>
    <row r="8" spans="1:17" x14ac:dyDescent="0.4">
      <c r="A8" s="51" t="s">
        <v>3</v>
      </c>
      <c r="B8" s="44">
        <v>38</v>
      </c>
      <c r="C8" s="37">
        <f t="shared" si="1"/>
        <v>0.39175257731958762</v>
      </c>
      <c r="E8" s="59" t="s">
        <v>69</v>
      </c>
      <c r="F8" s="56" t="s">
        <v>24</v>
      </c>
      <c r="G8" s="44">
        <v>32</v>
      </c>
      <c r="H8" s="129">
        <f>IF(B$15=0,0,G8/B$15)</f>
        <v>0.14285714285714285</v>
      </c>
      <c r="I8" s="90">
        <v>7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38</v>
      </c>
      <c r="C9" s="38">
        <f t="shared" si="1"/>
        <v>0.39175257731958762</v>
      </c>
      <c r="E9" s="59" t="s">
        <v>70</v>
      </c>
      <c r="F9" s="56" t="s">
        <v>25</v>
      </c>
      <c r="G9" s="44">
        <v>27</v>
      </c>
      <c r="H9" s="129">
        <f>IF(B$15=0,0,G9/B$15)</f>
        <v>0.12053571428571429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7</v>
      </c>
      <c r="C10" s="40">
        <f t="shared" si="1"/>
        <v>7.2164948453608241E-2</v>
      </c>
      <c r="E10" s="59" t="s">
        <v>65</v>
      </c>
      <c r="F10" s="56" t="s">
        <v>21</v>
      </c>
      <c r="G10" s="44">
        <v>26</v>
      </c>
      <c r="H10" s="129">
        <f>IF(B$15=0,0,G10/B$15)</f>
        <v>0.11607142857142858</v>
      </c>
      <c r="I10" s="90">
        <v>8</v>
      </c>
      <c r="K10" s="36">
        <v>8</v>
      </c>
      <c r="L10" s="95">
        <v>-62.999999999999993</v>
      </c>
      <c r="N10" s="110" t="s">
        <v>157</v>
      </c>
      <c r="O10" s="120">
        <f>IF(P10=0,0,Q10/P10)</f>
        <v>-5.9589743589743609</v>
      </c>
      <c r="P10" s="114">
        <v>39</v>
      </c>
      <c r="Q10" s="102">
        <v>-232.40000000000009</v>
      </c>
    </row>
    <row r="11" spans="1:17" x14ac:dyDescent="0.4">
      <c r="A11" s="54" t="s">
        <v>121</v>
      </c>
      <c r="B11" s="47">
        <v>231</v>
      </c>
      <c r="C11" s="42">
        <f>IF(B$3=0,0,B11/B$3)</f>
        <v>0.279322853688029</v>
      </c>
      <c r="E11" s="59" t="s">
        <v>89</v>
      </c>
      <c r="F11" s="56" t="s">
        <v>44</v>
      </c>
      <c r="G11" s="44">
        <v>25</v>
      </c>
      <c r="H11" s="129">
        <f>IF(B$15=0,0,G11/B$15)</f>
        <v>0.11160714285714286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">
      <c r="A12" s="51" t="s">
        <v>118</v>
      </c>
      <c r="B12" s="44">
        <v>160</v>
      </c>
      <c r="C12" s="37">
        <f>IF(B$3=0,0,B12/B$3)</f>
        <v>0.19347037484885127</v>
      </c>
      <c r="E12" s="59" t="s">
        <v>83</v>
      </c>
      <c r="F12" s="56" t="s">
        <v>38</v>
      </c>
      <c r="G12" s="44">
        <v>13</v>
      </c>
      <c r="H12" s="129">
        <f>IF(B$15=0,0,G12/B$15)</f>
        <v>5.8035714285714288E-2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-8.9862068965517228</v>
      </c>
      <c r="P12" s="116">
        <v>29</v>
      </c>
      <c r="Q12" s="104">
        <v>-260.59999999999997</v>
      </c>
    </row>
    <row r="13" spans="1:17" x14ac:dyDescent="0.4">
      <c r="A13" s="50" t="s">
        <v>123</v>
      </c>
      <c r="B13" s="43">
        <f>B19</f>
        <v>124</v>
      </c>
      <c r="C13" s="35">
        <f>IF(B$11=0,0,B13/B$11)</f>
        <v>0.53679653679653683</v>
      </c>
      <c r="E13" s="59" t="s">
        <v>86</v>
      </c>
      <c r="F13" s="56" t="s">
        <v>41</v>
      </c>
      <c r="G13" s="44">
        <v>10</v>
      </c>
      <c r="H13" s="129">
        <f>IF(B$15=0,0,G13/B$15)</f>
        <v>4.4642857142857144E-2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66</v>
      </c>
      <c r="C14" s="35">
        <f>IF(B$12=0,0,B14/B$12)</f>
        <v>0.41249999999999998</v>
      </c>
      <c r="E14" s="59" t="s">
        <v>71</v>
      </c>
      <c r="F14" s="56" t="s">
        <v>26</v>
      </c>
      <c r="G14" s="44">
        <v>9</v>
      </c>
      <c r="H14" s="129">
        <f>IF(B$15=0,0,G14/B$15)</f>
        <v>4.0178571428571432E-2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224</v>
      </c>
      <c r="C15" s="35">
        <f>IF(B$3=0,0,B15/B$3)</f>
        <v>0.27085852478839179</v>
      </c>
      <c r="E15" s="59" t="s">
        <v>78</v>
      </c>
      <c r="F15" s="56" t="s">
        <v>33</v>
      </c>
      <c r="G15" s="44">
        <v>8</v>
      </c>
      <c r="H15" s="129">
        <f>IF(B$15=0,0,G15/B$15)</f>
        <v>3.5714285714285712E-2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24.274999999999999</v>
      </c>
      <c r="P15" s="114">
        <v>4</v>
      </c>
      <c r="Q15" s="102">
        <v>97.1</v>
      </c>
    </row>
    <row r="16" spans="1:17" x14ac:dyDescent="0.4">
      <c r="A16" s="51" t="s">
        <v>13</v>
      </c>
      <c r="B16" s="44">
        <v>149</v>
      </c>
      <c r="C16" s="37">
        <f>IF(B$3=0,0,B16/B$3)</f>
        <v>0.18016928657799275</v>
      </c>
      <c r="E16" s="59" t="s">
        <v>79</v>
      </c>
      <c r="F16" s="56" t="s">
        <v>34</v>
      </c>
      <c r="G16" s="44">
        <v>4</v>
      </c>
      <c r="H16" s="129">
        <f>IF(B$15=0,0,G16/B$15)</f>
        <v>1.7857142857142856E-2</v>
      </c>
      <c r="I16" s="90">
        <v>5</v>
      </c>
      <c r="K16" s="36">
        <v>14</v>
      </c>
      <c r="L16" s="95">
        <v>-204.8</v>
      </c>
      <c r="N16" s="111" t="s">
        <v>170</v>
      </c>
      <c r="O16" s="121">
        <f t="shared" si="2"/>
        <v>7.1727272727272746</v>
      </c>
      <c r="P16" s="115">
        <v>22</v>
      </c>
      <c r="Q16" s="103">
        <v>157.80000000000004</v>
      </c>
    </row>
    <row r="17" spans="1:17" x14ac:dyDescent="0.4">
      <c r="A17" s="51" t="s">
        <v>12</v>
      </c>
      <c r="B17" s="44">
        <v>106</v>
      </c>
      <c r="C17" s="37">
        <f>IF(B$15=0,0,B17/B$15)</f>
        <v>0.4732142857142857</v>
      </c>
      <c r="E17" s="59" t="s">
        <v>81</v>
      </c>
      <c r="F17" s="56" t="s">
        <v>36</v>
      </c>
      <c r="G17" s="44">
        <v>4</v>
      </c>
      <c r="H17" s="129">
        <f>IF(B$15=0,0,G17/B$15)</f>
        <v>1.7857142857142856E-2</v>
      </c>
      <c r="I17" s="90">
        <v>6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">
      <c r="A18" s="51" t="s">
        <v>11</v>
      </c>
      <c r="B18" s="44">
        <v>118</v>
      </c>
      <c r="C18" s="37">
        <f>IF(B$15=0,0,B18/B$15)</f>
        <v>0.5267857142857143</v>
      </c>
      <c r="E18" s="59" t="s">
        <v>162</v>
      </c>
      <c r="F18" s="56" t="s">
        <v>163</v>
      </c>
      <c r="G18" s="44">
        <v>4</v>
      </c>
      <c r="H18" s="129">
        <f>IF(B$15=0,0,G18/B$15)</f>
        <v>1.7857142857142856E-2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0.14000000000000129</v>
      </c>
      <c r="P18" s="115">
        <v>10</v>
      </c>
      <c r="Q18" s="103">
        <v>1.4000000000000128</v>
      </c>
    </row>
    <row r="19" spans="1:17" x14ac:dyDescent="0.4">
      <c r="A19" s="51" t="s">
        <v>195</v>
      </c>
      <c r="B19" s="44">
        <v>124</v>
      </c>
      <c r="C19" s="37">
        <f>IF(B$15=0,0,B19/B$15)</f>
        <v>0.5535714285714286</v>
      </c>
      <c r="E19" s="59" t="s">
        <v>75</v>
      </c>
      <c r="F19" s="56" t="s">
        <v>30</v>
      </c>
      <c r="G19" s="44">
        <v>3</v>
      </c>
      <c r="H19" s="129">
        <f>IF(B$15=0,0,G19/B$15)</f>
        <v>1.3392857142857142E-2</v>
      </c>
      <c r="I19" s="90">
        <v>3</v>
      </c>
      <c r="K19" s="36">
        <v>17</v>
      </c>
      <c r="L19" s="95">
        <v>-251.4</v>
      </c>
      <c r="N19" s="111" t="s">
        <v>126</v>
      </c>
      <c r="O19" s="121">
        <f t="shared" si="2"/>
        <v>-15.152459016393443</v>
      </c>
      <c r="P19" s="115">
        <v>61</v>
      </c>
      <c r="Q19" s="103">
        <v>-924.30000000000007</v>
      </c>
    </row>
    <row r="20" spans="1:17" x14ac:dyDescent="0.4">
      <c r="A20" s="51" t="s">
        <v>193</v>
      </c>
      <c r="B20" s="44">
        <v>66</v>
      </c>
      <c r="C20" s="37">
        <f>IF(B$15=0,0,B20/B$15)</f>
        <v>0.29464285714285715</v>
      </c>
      <c r="E20" s="59" t="s">
        <v>91</v>
      </c>
      <c r="F20" s="56" t="s">
        <v>46</v>
      </c>
      <c r="G20" s="44">
        <v>1</v>
      </c>
      <c r="H20" s="129">
        <f>IF(B$15=0,0,G20/B$15)</f>
        <v>4.464285714285714E-3</v>
      </c>
      <c r="I20" s="90">
        <v>9</v>
      </c>
      <c r="K20" s="36">
        <v>18</v>
      </c>
      <c r="L20" s="95">
        <v>-240</v>
      </c>
      <c r="N20" s="111" t="s">
        <v>171</v>
      </c>
      <c r="O20" s="121">
        <f t="shared" si="2"/>
        <v>-15.669230769230769</v>
      </c>
      <c r="P20" s="115">
        <v>26</v>
      </c>
      <c r="Q20" s="103">
        <v>-407.4</v>
      </c>
    </row>
    <row r="21" spans="1:17" x14ac:dyDescent="0.4">
      <c r="A21" s="51" t="s">
        <v>194</v>
      </c>
      <c r="B21" s="44">
        <v>34</v>
      </c>
      <c r="C21" s="37">
        <f>IF(B$15=0,0,B21/B$15)</f>
        <v>0.15178571428571427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-218</v>
      </c>
      <c r="N21" s="111" t="s">
        <v>127</v>
      </c>
      <c r="O21" s="121">
        <f t="shared" si="2"/>
        <v>-17.456249999999994</v>
      </c>
      <c r="P21" s="115">
        <v>48</v>
      </c>
      <c r="Q21" s="103">
        <v>-837.89999999999964</v>
      </c>
    </row>
    <row r="22" spans="1:17" x14ac:dyDescent="0.4">
      <c r="A22" s="51" t="s">
        <v>5</v>
      </c>
      <c r="B22" s="48">
        <f>IF(B$15=0,0,C22/B$15)</f>
        <v>7832.1428571428569</v>
      </c>
      <c r="C22" s="39">
        <v>1754400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-177.6</v>
      </c>
      <c r="N22" s="111" t="s">
        <v>274</v>
      </c>
      <c r="O22" s="121">
        <f t="shared" si="2"/>
        <v>-19.25</v>
      </c>
      <c r="P22" s="115">
        <v>4</v>
      </c>
      <c r="Q22" s="103">
        <v>-77</v>
      </c>
    </row>
    <row r="23" spans="1:17" x14ac:dyDescent="0.4">
      <c r="A23" s="52" t="s">
        <v>177</v>
      </c>
      <c r="B23" s="136">
        <f>IF($B$15-B$14=0,0,C23/($B$15-B$14))</f>
        <v>8484.8101265822788</v>
      </c>
      <c r="C23" s="137">
        <v>1340600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-133.30000000000001</v>
      </c>
      <c r="N23" s="111" t="s">
        <v>228</v>
      </c>
      <c r="O23" s="121">
        <f t="shared" si="2"/>
        <v>-56.6</v>
      </c>
      <c r="P23" s="115">
        <v>1</v>
      </c>
      <c r="Q23" s="103">
        <v>-56.6</v>
      </c>
    </row>
    <row r="24" spans="1:17" x14ac:dyDescent="0.4">
      <c r="A24" s="52" t="s">
        <v>178</v>
      </c>
      <c r="B24" s="136">
        <f>IF(B$14=0,0,C24/B$14)</f>
        <v>6269.69696969697</v>
      </c>
      <c r="C24" s="137">
        <v>413800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-164.60000000000002</v>
      </c>
    </row>
    <row r="25" spans="1:17" x14ac:dyDescent="0.4">
      <c r="A25" s="52" t="s">
        <v>176</v>
      </c>
      <c r="B25" s="136">
        <f>IF(B$16=0,0,C25/B$16)</f>
        <v>-7855.0335570469797</v>
      </c>
      <c r="C25" s="137">
        <v>-1170400</v>
      </c>
      <c r="E25" s="59" t="s">
        <v>80</v>
      </c>
      <c r="F25" s="56" t="s">
        <v>35</v>
      </c>
      <c r="G25" s="44">
        <v>0</v>
      </c>
      <c r="H25" s="129">
        <f>IF(B$15=0,0,G25/B$15)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1" t="s">
        <v>164</v>
      </c>
      <c r="B26" s="44">
        <v>4</v>
      </c>
      <c r="C26" s="131">
        <v>0</v>
      </c>
      <c r="E26" s="59" t="s">
        <v>82</v>
      </c>
      <c r="F26" s="56" t="s">
        <v>37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51" t="s">
        <v>165</v>
      </c>
      <c r="B27" s="44">
        <v>21</v>
      </c>
      <c r="C27" s="131">
        <v>0</v>
      </c>
      <c r="E27" s="59" t="s">
        <v>84</v>
      </c>
      <c r="F27" s="56" t="s">
        <v>39</v>
      </c>
      <c r="G27" s="44">
        <v>0</v>
      </c>
      <c r="H27" s="129">
        <f>IF(B$15=0,0,G27/B$15)</f>
        <v>0</v>
      </c>
      <c r="I27" s="90">
        <v>6</v>
      </c>
      <c r="K27" s="36">
        <v>25</v>
      </c>
      <c r="L27" s="95">
        <v>-185.00000000000003</v>
      </c>
    </row>
    <row r="28" spans="1:17" x14ac:dyDescent="0.4">
      <c r="A28" s="86" t="s">
        <v>138</v>
      </c>
      <c r="B28" s="148">
        <v>8</v>
      </c>
      <c r="C28" s="149"/>
      <c r="E28" s="59" t="s">
        <v>85</v>
      </c>
      <c r="F28" s="56" t="s">
        <v>40</v>
      </c>
      <c r="G28" s="44">
        <v>0</v>
      </c>
      <c r="H28" s="129">
        <f>IF(B$15=0,0,G28/B$15)</f>
        <v>0</v>
      </c>
      <c r="I28" s="90">
        <v>7</v>
      </c>
      <c r="K28" s="36">
        <v>26</v>
      </c>
      <c r="L28" s="95">
        <v>-186.00000000000003</v>
      </c>
    </row>
    <row r="29" spans="1:17" x14ac:dyDescent="0.4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-163.00000000000003</v>
      </c>
    </row>
    <row r="30" spans="1:17" x14ac:dyDescent="0.4">
      <c r="A30" s="53" t="s">
        <v>139</v>
      </c>
      <c r="B30" s="61">
        <v>3</v>
      </c>
      <c r="C30" s="40">
        <f>IF(B$3=0,0,B30/B$3)</f>
        <v>3.6275695284159614E-3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">
      <c r="A32" s="86" t="s">
        <v>183</v>
      </c>
      <c r="B32" s="144">
        <v>16</v>
      </c>
      <c r="C32" s="141">
        <f>IF(B$15=0,0,B32/B$15)</f>
        <v>7.1428571428571425E-2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">
      <c r="A33" s="51" t="s">
        <v>179</v>
      </c>
      <c r="B33" s="44">
        <v>39</v>
      </c>
      <c r="C33" s="37">
        <f t="shared" ref="C33:C44" si="3">IF(B$15=0,0,B33/B$15)</f>
        <v>0.17410714285714285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">
      <c r="A34" s="51" t="s">
        <v>180</v>
      </c>
      <c r="B34" s="145">
        <v>51</v>
      </c>
      <c r="C34" s="37">
        <f>IF(B$15=0,0,B34/B$15)</f>
        <v>0.22767857142857142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">
      <c r="A35" s="51" t="s">
        <v>181</v>
      </c>
      <c r="B35" s="145">
        <v>34</v>
      </c>
      <c r="C35" s="37">
        <f t="shared" si="3"/>
        <v>0.15178571428571427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-261.3</v>
      </c>
    </row>
    <row r="36" spans="1:12" x14ac:dyDescent="0.4">
      <c r="A36" s="51" t="s">
        <v>182</v>
      </c>
      <c r="B36" s="145">
        <v>38</v>
      </c>
      <c r="C36" s="37">
        <f t="shared" si="3"/>
        <v>0.16964285714285715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">
      <c r="A37" s="51" t="s">
        <v>184</v>
      </c>
      <c r="B37" s="145">
        <v>23</v>
      </c>
      <c r="C37" s="37">
        <f t="shared" si="3"/>
        <v>0.10267857142857142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">
      <c r="A38" s="51" t="s">
        <v>185</v>
      </c>
      <c r="B38" s="145">
        <v>13</v>
      </c>
      <c r="C38" s="37">
        <f t="shared" si="3"/>
        <v>5.8035714285714288E-2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">
      <c r="A39" s="51" t="s">
        <v>186</v>
      </c>
      <c r="B39" s="145">
        <v>6</v>
      </c>
      <c r="C39" s="37">
        <f t="shared" si="3"/>
        <v>2.6785714285714284E-2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">
      <c r="A40" s="51" t="s">
        <v>187</v>
      </c>
      <c r="B40" s="145">
        <v>1</v>
      </c>
      <c r="C40" s="37">
        <f t="shared" si="3"/>
        <v>4.464285714285714E-3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">
      <c r="A42" s="51" t="s">
        <v>189</v>
      </c>
      <c r="B42" s="145">
        <v>1</v>
      </c>
      <c r="C42" s="37">
        <f t="shared" si="3"/>
        <v>4.464285714285714E-3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">
      <c r="A43" s="51" t="s">
        <v>190</v>
      </c>
      <c r="B43" s="145">
        <v>2</v>
      </c>
      <c r="C43" s="37">
        <f t="shared" si="3"/>
        <v>8.9285714285714281E-3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  <row r="60" spans="5:12" x14ac:dyDescent="0.4">
      <c r="K60" s="36">
        <v>58</v>
      </c>
      <c r="L60" s="95">
        <v>-373.49999999999994</v>
      </c>
    </row>
    <row r="61" spans="5:12" x14ac:dyDescent="0.4">
      <c r="K61" s="36">
        <v>59</v>
      </c>
      <c r="L61" s="95">
        <v>-399.29999999999995</v>
      </c>
    </row>
    <row r="62" spans="5:12" x14ac:dyDescent="0.4">
      <c r="K62" s="36">
        <v>60</v>
      </c>
      <c r="L62" s="95">
        <v>-448.79999999999995</v>
      </c>
    </row>
    <row r="63" spans="5:12" x14ac:dyDescent="0.4">
      <c r="K63" s="36">
        <v>61</v>
      </c>
      <c r="L63" s="95">
        <v>-453.59999999999997</v>
      </c>
    </row>
    <row r="64" spans="5:12" x14ac:dyDescent="0.4">
      <c r="K64" s="36">
        <v>62</v>
      </c>
      <c r="L64" s="95">
        <v>-501.79999999999995</v>
      </c>
    </row>
    <row r="65" spans="11:12" x14ac:dyDescent="0.4">
      <c r="K65" s="36">
        <v>63</v>
      </c>
      <c r="L65" s="95">
        <v>-457.29999999999995</v>
      </c>
    </row>
    <row r="66" spans="11:12" x14ac:dyDescent="0.4">
      <c r="K66" s="36">
        <v>64</v>
      </c>
      <c r="L66" s="95">
        <v>-421.09999999999997</v>
      </c>
    </row>
    <row r="67" spans="11:12" x14ac:dyDescent="0.4">
      <c r="K67" s="36">
        <v>65</v>
      </c>
      <c r="L67" s="95">
        <v>-465.9</v>
      </c>
    </row>
    <row r="68" spans="11:12" x14ac:dyDescent="0.4">
      <c r="K68" s="36">
        <v>66</v>
      </c>
      <c r="L68" s="95">
        <v>-441.9</v>
      </c>
    </row>
    <row r="69" spans="11:12" x14ac:dyDescent="0.4">
      <c r="K69" s="36">
        <v>67</v>
      </c>
      <c r="L69" s="95">
        <v>-477.59999999999997</v>
      </c>
    </row>
    <row r="70" spans="11:12" x14ac:dyDescent="0.4">
      <c r="K70" s="36">
        <v>68</v>
      </c>
      <c r="L70" s="95">
        <v>-477.29999999999995</v>
      </c>
    </row>
    <row r="71" spans="11:12" x14ac:dyDescent="0.4">
      <c r="K71" s="36">
        <v>69</v>
      </c>
      <c r="L71" s="95">
        <v>-486.9</v>
      </c>
    </row>
    <row r="72" spans="11:12" x14ac:dyDescent="0.4">
      <c r="K72" s="36">
        <v>70</v>
      </c>
      <c r="L72" s="95">
        <v>-458</v>
      </c>
    </row>
    <row r="73" spans="11:12" x14ac:dyDescent="0.4">
      <c r="K73" s="36">
        <v>71</v>
      </c>
      <c r="L73" s="95">
        <v>-484.8</v>
      </c>
    </row>
    <row r="74" spans="11:12" x14ac:dyDescent="0.4">
      <c r="K74" s="36">
        <v>72</v>
      </c>
      <c r="L74" s="95">
        <v>-506.40000000000003</v>
      </c>
    </row>
    <row r="75" spans="11:12" x14ac:dyDescent="0.4">
      <c r="K75" s="36">
        <v>73</v>
      </c>
      <c r="L75" s="95">
        <v>-505.3</v>
      </c>
    </row>
    <row r="76" spans="11:12" x14ac:dyDescent="0.4">
      <c r="K76" s="36">
        <v>74</v>
      </c>
      <c r="L76" s="95">
        <v>-490.40000000000003</v>
      </c>
    </row>
    <row r="77" spans="11:12" x14ac:dyDescent="0.4">
      <c r="K77" s="36">
        <v>75</v>
      </c>
      <c r="L77" s="95">
        <v>-489.8</v>
      </c>
    </row>
    <row r="78" spans="11:12" x14ac:dyDescent="0.4">
      <c r="K78" s="36">
        <v>76</v>
      </c>
      <c r="L78" s="95">
        <v>-493.3</v>
      </c>
    </row>
    <row r="79" spans="11:12" x14ac:dyDescent="0.4">
      <c r="K79" s="36">
        <v>77</v>
      </c>
      <c r="L79" s="95">
        <v>-473.90000000000003</v>
      </c>
    </row>
    <row r="80" spans="11:12" x14ac:dyDescent="0.4">
      <c r="K80" s="36">
        <v>78</v>
      </c>
      <c r="L80" s="95">
        <v>-459.3</v>
      </c>
    </row>
    <row r="81" spans="11:12" x14ac:dyDescent="0.4">
      <c r="K81" s="36">
        <v>79</v>
      </c>
      <c r="L81" s="95">
        <v>-481.6</v>
      </c>
    </row>
    <row r="82" spans="11:12" x14ac:dyDescent="0.4">
      <c r="K82" s="36">
        <v>80</v>
      </c>
      <c r="L82" s="95">
        <v>-486.6</v>
      </c>
    </row>
    <row r="83" spans="11:12" x14ac:dyDescent="0.4">
      <c r="K83" s="36">
        <v>81</v>
      </c>
      <c r="L83" s="95">
        <v>-504.20000000000005</v>
      </c>
    </row>
    <row r="84" spans="11:12" x14ac:dyDescent="0.4">
      <c r="K84" s="36">
        <v>82</v>
      </c>
      <c r="L84" s="95">
        <v>-537.30000000000007</v>
      </c>
    </row>
    <row r="85" spans="11:12" x14ac:dyDescent="0.4">
      <c r="K85" s="36">
        <v>83</v>
      </c>
      <c r="L85" s="95">
        <v>-524.50000000000011</v>
      </c>
    </row>
    <row r="86" spans="11:12" x14ac:dyDescent="0.4">
      <c r="K86" s="36">
        <v>84</v>
      </c>
      <c r="L86" s="95">
        <v>-525.00000000000011</v>
      </c>
    </row>
    <row r="87" spans="11:12" x14ac:dyDescent="0.4">
      <c r="K87" s="36">
        <v>85</v>
      </c>
      <c r="L87" s="95">
        <v>-509.30000000000013</v>
      </c>
    </row>
    <row r="88" spans="11:12" x14ac:dyDescent="0.4">
      <c r="K88" s="36">
        <v>86</v>
      </c>
      <c r="L88" s="95">
        <v>-500.10000000000014</v>
      </c>
    </row>
    <row r="89" spans="11:12" x14ac:dyDescent="0.4">
      <c r="K89" s="36">
        <v>87</v>
      </c>
      <c r="L89" s="95">
        <v>-549.60000000000014</v>
      </c>
    </row>
    <row r="90" spans="11:12" x14ac:dyDescent="0.4">
      <c r="K90" s="36">
        <v>88</v>
      </c>
      <c r="L90" s="95">
        <v>-511.50000000000011</v>
      </c>
    </row>
    <row r="91" spans="11:12" x14ac:dyDescent="0.4">
      <c r="K91" s="36">
        <v>89</v>
      </c>
      <c r="L91" s="95">
        <v>-515.30000000000007</v>
      </c>
    </row>
    <row r="92" spans="11:12" x14ac:dyDescent="0.4">
      <c r="K92" s="36">
        <v>90</v>
      </c>
      <c r="L92" s="95">
        <v>-557.1</v>
      </c>
    </row>
    <row r="93" spans="11:12" x14ac:dyDescent="0.4">
      <c r="K93" s="36">
        <v>91</v>
      </c>
      <c r="L93" s="95">
        <v>-583.4</v>
      </c>
    </row>
    <row r="94" spans="11:12" x14ac:dyDescent="0.4">
      <c r="K94" s="36">
        <v>92</v>
      </c>
      <c r="L94" s="95">
        <v>-588.19999999999993</v>
      </c>
    </row>
    <row r="95" spans="11:12" x14ac:dyDescent="0.4">
      <c r="K95" s="36">
        <v>93</v>
      </c>
      <c r="L95" s="95">
        <v>-627.79999999999995</v>
      </c>
    </row>
    <row r="96" spans="11:12" x14ac:dyDescent="0.4">
      <c r="K96" s="36">
        <v>94</v>
      </c>
      <c r="L96" s="95">
        <v>-618.29999999999995</v>
      </c>
    </row>
    <row r="97" spans="11:12" x14ac:dyDescent="0.4">
      <c r="K97" s="36">
        <v>95</v>
      </c>
      <c r="L97" s="95">
        <v>-599.19999999999993</v>
      </c>
    </row>
    <row r="98" spans="11:12" x14ac:dyDescent="0.4">
      <c r="K98" s="36">
        <v>96</v>
      </c>
      <c r="L98" s="95">
        <v>-631.19999999999993</v>
      </c>
    </row>
    <row r="99" spans="11:12" x14ac:dyDescent="0.4">
      <c r="K99" s="36">
        <v>97</v>
      </c>
      <c r="L99" s="95">
        <v>-673.49999999999989</v>
      </c>
    </row>
  </sheetData>
  <sortState xmlns:xlrd2="http://schemas.microsoft.com/office/spreadsheetml/2017/richdata2" ref="E2:I100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6292B-6599-41BA-9312-320B6B8EE30E}">
  <sheetPr codeName="Sheet15"/>
  <dimension ref="A1:Q12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127</v>
      </c>
      <c r="C2" s="155"/>
      <c r="E2" s="58" t="s">
        <v>66</v>
      </c>
      <c r="F2" s="55" t="s">
        <v>22</v>
      </c>
      <c r="G2" s="43">
        <v>259</v>
      </c>
      <c r="H2" s="128">
        <f>IF(B$15=0,0,G2/B$15)</f>
        <v>0.90243902439024393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1430.7086614173229</v>
      </c>
      <c r="P2" s="114">
        <v>127</v>
      </c>
      <c r="Q2" s="98">
        <v>181700</v>
      </c>
    </row>
    <row r="3" spans="1:17" x14ac:dyDescent="0.4">
      <c r="A3" s="51" t="s">
        <v>8</v>
      </c>
      <c r="B3" s="156">
        <v>1034</v>
      </c>
      <c r="C3" s="157"/>
      <c r="E3" s="59" t="s">
        <v>72</v>
      </c>
      <c r="F3" s="56" t="s">
        <v>27</v>
      </c>
      <c r="G3" s="44">
        <v>163</v>
      </c>
      <c r="H3" s="129">
        <f>IF(B$15=0,0,G3/B$15)</f>
        <v>0.56794425087108014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-2113.6</v>
      </c>
      <c r="P3" s="115">
        <v>125</v>
      </c>
      <c r="Q3" s="99">
        <v>-264200</v>
      </c>
    </row>
    <row r="4" spans="1:17" x14ac:dyDescent="0.4">
      <c r="A4" s="51" t="s">
        <v>6</v>
      </c>
      <c r="B4" s="158">
        <v>531.30000000000041</v>
      </c>
      <c r="C4" s="159"/>
      <c r="E4" s="59" t="s">
        <v>64</v>
      </c>
      <c r="F4" s="56" t="s">
        <v>20</v>
      </c>
      <c r="G4" s="44">
        <v>156</v>
      </c>
      <c r="H4" s="129">
        <f>IF(B$15=0,0,G4/B$15)</f>
        <v>0.54355400696864109</v>
      </c>
      <c r="I4" s="90">
        <v>6</v>
      </c>
      <c r="K4" s="36">
        <v>2</v>
      </c>
      <c r="L4" s="95">
        <v>-67.3</v>
      </c>
      <c r="N4" s="111" t="s">
        <v>132</v>
      </c>
      <c r="O4" s="118">
        <f t="shared" si="0"/>
        <v>-8.8495575221238933</v>
      </c>
      <c r="P4" s="115">
        <v>113</v>
      </c>
      <c r="Q4" s="99">
        <v>-1000</v>
      </c>
    </row>
    <row r="5" spans="1:17" x14ac:dyDescent="0.4">
      <c r="A5" s="51" t="s">
        <v>7</v>
      </c>
      <c r="B5" s="160">
        <f>IF(B$2=0,0,B$4/B$2)</f>
        <v>4.1834645669291373</v>
      </c>
      <c r="C5" s="161"/>
      <c r="E5" s="59" t="s">
        <v>67</v>
      </c>
      <c r="F5" s="56" t="s">
        <v>23</v>
      </c>
      <c r="G5" s="44">
        <v>119</v>
      </c>
      <c r="H5" s="129">
        <f>IF(B$15=0,0,G5/B$15)</f>
        <v>0.41463414634146339</v>
      </c>
      <c r="I5" s="90">
        <v>4</v>
      </c>
      <c r="K5" s="36">
        <v>3</v>
      </c>
      <c r="L5" s="95">
        <v>-113.8</v>
      </c>
      <c r="N5" s="111" t="s">
        <v>133</v>
      </c>
      <c r="O5" s="118">
        <f t="shared" si="0"/>
        <v>2172.8971962616824</v>
      </c>
      <c r="P5" s="115">
        <v>107</v>
      </c>
      <c r="Q5" s="99">
        <v>232500</v>
      </c>
    </row>
    <row r="6" spans="1:17" x14ac:dyDescent="0.4">
      <c r="A6" s="51" t="s">
        <v>1</v>
      </c>
      <c r="B6" s="150">
        <f>IF(B$2=0,0,(B$7*1+B$8*2+B$9*3)/B$2)</f>
        <v>1.9133858267716535</v>
      </c>
      <c r="C6" s="151"/>
      <c r="E6" s="59" t="s">
        <v>68</v>
      </c>
      <c r="F6" s="56" t="s">
        <v>12</v>
      </c>
      <c r="G6" s="44">
        <v>113</v>
      </c>
      <c r="H6" s="129">
        <f>IF(B$15=0,0,G6/B$15)</f>
        <v>0.39372822299651566</v>
      </c>
      <c r="I6" s="90">
        <v>2</v>
      </c>
      <c r="K6" s="36">
        <v>4</v>
      </c>
      <c r="L6" s="95">
        <v>-74.599999999999994</v>
      </c>
      <c r="N6" s="111" t="s">
        <v>134</v>
      </c>
      <c r="O6" s="118">
        <f t="shared" si="0"/>
        <v>1398.9473684210527</v>
      </c>
      <c r="P6" s="115">
        <v>95</v>
      </c>
      <c r="Q6" s="99">
        <v>132900</v>
      </c>
    </row>
    <row r="7" spans="1:17" x14ac:dyDescent="0.4">
      <c r="A7" s="51" t="s">
        <v>2</v>
      </c>
      <c r="B7" s="44">
        <v>51</v>
      </c>
      <c r="C7" s="37">
        <f t="shared" ref="C7:C10" si="1">IF(B$2=0,0,B7/B$2)</f>
        <v>0.40157480314960631</v>
      </c>
      <c r="E7" s="59" t="s">
        <v>166</v>
      </c>
      <c r="F7" s="56" t="s">
        <v>167</v>
      </c>
      <c r="G7" s="44">
        <v>105</v>
      </c>
      <c r="H7" s="129">
        <f>IF(B$15=0,0,G7/B$15)</f>
        <v>0.36585365853658536</v>
      </c>
      <c r="I7" s="90">
        <v>10</v>
      </c>
      <c r="K7" s="36">
        <v>5</v>
      </c>
      <c r="L7" s="95">
        <v>-118.3</v>
      </c>
      <c r="N7" s="112" t="s">
        <v>135</v>
      </c>
      <c r="O7" s="119">
        <f t="shared" si="0"/>
        <v>420.54794520547944</v>
      </c>
      <c r="P7" s="116">
        <v>73</v>
      </c>
      <c r="Q7" s="100">
        <v>30700</v>
      </c>
    </row>
    <row r="8" spans="1:17" x14ac:dyDescent="0.4">
      <c r="A8" s="51" t="s">
        <v>3</v>
      </c>
      <c r="B8" s="44">
        <v>36</v>
      </c>
      <c r="C8" s="37">
        <f t="shared" si="1"/>
        <v>0.28346456692913385</v>
      </c>
      <c r="E8" s="59" t="s">
        <v>89</v>
      </c>
      <c r="F8" s="56" t="s">
        <v>44</v>
      </c>
      <c r="G8" s="44">
        <v>73</v>
      </c>
      <c r="H8" s="129">
        <f>IF(B$15=0,0,G8/B$15)</f>
        <v>0.25435540069686413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40</v>
      </c>
      <c r="C9" s="38">
        <f t="shared" si="1"/>
        <v>0.31496062992125984</v>
      </c>
      <c r="E9" s="59" t="s">
        <v>69</v>
      </c>
      <c r="F9" s="56" t="s">
        <v>24</v>
      </c>
      <c r="G9" s="44">
        <v>61</v>
      </c>
      <c r="H9" s="129">
        <f>IF(B$15=0,0,G9/B$15)</f>
        <v>0.21254355400696864</v>
      </c>
      <c r="I9" s="90">
        <v>2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15</v>
      </c>
      <c r="C10" s="40">
        <f t="shared" si="1"/>
        <v>0.11811023622047244</v>
      </c>
      <c r="E10" s="59" t="s">
        <v>65</v>
      </c>
      <c r="F10" s="56" t="s">
        <v>21</v>
      </c>
      <c r="G10" s="44">
        <v>41</v>
      </c>
      <c r="H10" s="129">
        <f>IF(B$15=0,0,G10/B$15)</f>
        <v>0.14285714285714285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-6.841176470588235</v>
      </c>
      <c r="P10" s="114">
        <v>34</v>
      </c>
      <c r="Q10" s="102">
        <v>-232.6</v>
      </c>
    </row>
    <row r="11" spans="1:17" x14ac:dyDescent="0.4">
      <c r="A11" s="54" t="s">
        <v>121</v>
      </c>
      <c r="B11" s="47">
        <v>314</v>
      </c>
      <c r="C11" s="42">
        <f>IF(B$3=0,0,B11/B$3)</f>
        <v>0.30367504835589942</v>
      </c>
      <c r="E11" s="59" t="s">
        <v>70</v>
      </c>
      <c r="F11" s="56" t="s">
        <v>25</v>
      </c>
      <c r="G11" s="44">
        <v>32</v>
      </c>
      <c r="H11" s="129">
        <f>IF(B$15=0,0,G11/B$15)</f>
        <v>0.11149825783972125</v>
      </c>
      <c r="I11" s="90">
        <v>5</v>
      </c>
      <c r="K11" s="36">
        <v>9</v>
      </c>
      <c r="L11" s="95">
        <v>-120.99999999999999</v>
      </c>
      <c r="N11" s="111" t="s">
        <v>158</v>
      </c>
      <c r="O11" s="121">
        <f>IF(P11=0,0,Q11/P11)</f>
        <v>6.9439999999999991</v>
      </c>
      <c r="P11" s="115">
        <v>50</v>
      </c>
      <c r="Q11" s="103">
        <v>347.19999999999993</v>
      </c>
    </row>
    <row r="12" spans="1:17" x14ac:dyDescent="0.4">
      <c r="A12" s="51" t="s">
        <v>118</v>
      </c>
      <c r="B12" s="44">
        <v>192</v>
      </c>
      <c r="C12" s="37">
        <f>IF(B$3=0,0,B12/B$3)</f>
        <v>0.18568665377176016</v>
      </c>
      <c r="E12" s="59" t="s">
        <v>162</v>
      </c>
      <c r="F12" s="56" t="s">
        <v>163</v>
      </c>
      <c r="G12" s="44">
        <v>17</v>
      </c>
      <c r="H12" s="129">
        <f>IF(B$15=0,0,G12/B$15)</f>
        <v>5.9233449477351915E-2</v>
      </c>
      <c r="I12" s="90">
        <v>1</v>
      </c>
      <c r="K12" s="36">
        <v>10</v>
      </c>
      <c r="L12" s="95">
        <v>-113.29999999999998</v>
      </c>
      <c r="N12" s="112" t="s">
        <v>159</v>
      </c>
      <c r="O12" s="122">
        <f>IF(P12=0,0,Q12/P12)</f>
        <v>9.6906976744186064</v>
      </c>
      <c r="P12" s="116">
        <v>43</v>
      </c>
      <c r="Q12" s="104">
        <v>416.70000000000005</v>
      </c>
    </row>
    <row r="13" spans="1:17" x14ac:dyDescent="0.4">
      <c r="A13" s="50" t="s">
        <v>123</v>
      </c>
      <c r="B13" s="43">
        <f>B19</f>
        <v>173</v>
      </c>
      <c r="C13" s="35">
        <f>IF(B$11=0,0,B13/B$11)</f>
        <v>0.55095541401273884</v>
      </c>
      <c r="E13" s="59" t="s">
        <v>71</v>
      </c>
      <c r="F13" s="56" t="s">
        <v>26</v>
      </c>
      <c r="G13" s="44">
        <v>15</v>
      </c>
      <c r="H13" s="129">
        <f>IF(B$15=0,0,G13/B$15)</f>
        <v>5.2264808362369339E-2</v>
      </c>
      <c r="I13" s="90">
        <v>11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75</v>
      </c>
      <c r="C14" s="35">
        <f>IF(B$12=0,0,B14/B$12)</f>
        <v>0.390625</v>
      </c>
      <c r="E14" s="59" t="s">
        <v>83</v>
      </c>
      <c r="F14" s="56" t="s">
        <v>38</v>
      </c>
      <c r="G14" s="44">
        <v>10</v>
      </c>
      <c r="H14" s="129">
        <f>IF(B$15=0,0,G14/B$15)</f>
        <v>3.484320557491289E-2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287</v>
      </c>
      <c r="C15" s="35">
        <f>IF(B$3=0,0,B15/B$3)</f>
        <v>0.27756286266924562</v>
      </c>
      <c r="E15" s="59" t="s">
        <v>86</v>
      </c>
      <c r="F15" s="56" t="s">
        <v>41</v>
      </c>
      <c r="G15" s="44">
        <v>10</v>
      </c>
      <c r="H15" s="129">
        <f>IF(B$15=0,0,G15/B$15)</f>
        <v>3.484320557491289E-2</v>
      </c>
      <c r="I15" s="90">
        <v>9</v>
      </c>
      <c r="K15" s="36">
        <v>13</v>
      </c>
      <c r="L15" s="95">
        <v>-132.39999999999998</v>
      </c>
      <c r="N15" s="110" t="s">
        <v>228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">
      <c r="A16" s="51" t="s">
        <v>13</v>
      </c>
      <c r="B16" s="44">
        <v>177</v>
      </c>
      <c r="C16" s="37">
        <f>IF(B$3=0,0,B16/B$3)</f>
        <v>0.17117988394584138</v>
      </c>
      <c r="E16" s="59" t="s">
        <v>78</v>
      </c>
      <c r="F16" s="56" t="s">
        <v>33</v>
      </c>
      <c r="G16" s="44">
        <v>4</v>
      </c>
      <c r="H16" s="129">
        <f>IF(B$15=0,0,G16/B$15)</f>
        <v>1.3937282229965157E-2</v>
      </c>
      <c r="I16" s="90">
        <v>8</v>
      </c>
      <c r="K16" s="36">
        <v>14</v>
      </c>
      <c r="L16" s="95">
        <v>-86.499999999999972</v>
      </c>
      <c r="N16" s="111" t="s">
        <v>161</v>
      </c>
      <c r="O16" s="121">
        <f>IF(P16=0,0,Q16/P16)</f>
        <v>31.130434782608695</v>
      </c>
      <c r="P16" s="115">
        <v>23</v>
      </c>
      <c r="Q16" s="103">
        <v>716</v>
      </c>
    </row>
    <row r="17" spans="1:17" x14ac:dyDescent="0.4">
      <c r="A17" s="51" t="s">
        <v>12</v>
      </c>
      <c r="B17" s="44">
        <v>146</v>
      </c>
      <c r="C17" s="37">
        <f>IF(B$15=0,0,B17/B$15)</f>
        <v>0.50871080139372826</v>
      </c>
      <c r="E17" s="59" t="s">
        <v>81</v>
      </c>
      <c r="F17" s="56" t="s">
        <v>36</v>
      </c>
      <c r="G17" s="44">
        <v>4</v>
      </c>
      <c r="H17" s="129">
        <f>IF(B$15=0,0,G17/B$15)</f>
        <v>1.3937282229965157E-2</v>
      </c>
      <c r="I17" s="90">
        <v>10</v>
      </c>
      <c r="K17" s="36">
        <v>15</v>
      </c>
      <c r="L17" s="95">
        <v>-101.79999999999997</v>
      </c>
      <c r="N17" s="111" t="s">
        <v>197</v>
      </c>
      <c r="O17" s="121">
        <f>IF(P17=0,0,Q17/P17)</f>
        <v>11.178571428571431</v>
      </c>
      <c r="P17" s="115">
        <v>28</v>
      </c>
      <c r="Q17" s="103">
        <v>313.00000000000006</v>
      </c>
    </row>
    <row r="18" spans="1:17" x14ac:dyDescent="0.4">
      <c r="A18" s="51" t="s">
        <v>11</v>
      </c>
      <c r="B18" s="44">
        <v>141</v>
      </c>
      <c r="C18" s="37">
        <f>IF(B$15=0,0,B18/B$15)</f>
        <v>0.49128919860627179</v>
      </c>
      <c r="E18" s="59" t="s">
        <v>91</v>
      </c>
      <c r="F18" s="56" t="s">
        <v>46</v>
      </c>
      <c r="G18" s="44">
        <v>4</v>
      </c>
      <c r="H18" s="129">
        <f>IF(B$15=0,0,G18/B$15)</f>
        <v>1.3937282229965157E-2</v>
      </c>
      <c r="I18" s="90">
        <v>6</v>
      </c>
      <c r="K18" s="36">
        <v>16</v>
      </c>
      <c r="L18" s="95">
        <v>-63.099999999999966</v>
      </c>
      <c r="N18" s="111" t="s">
        <v>171</v>
      </c>
      <c r="O18" s="121">
        <f>IF(P18=0,0,Q18/P18)</f>
        <v>10.093650793650792</v>
      </c>
      <c r="P18" s="115">
        <v>63</v>
      </c>
      <c r="Q18" s="103">
        <v>635.89999999999986</v>
      </c>
    </row>
    <row r="19" spans="1:17" x14ac:dyDescent="0.4">
      <c r="A19" s="51" t="s">
        <v>195</v>
      </c>
      <c r="B19" s="44">
        <v>173</v>
      </c>
      <c r="C19" s="37">
        <f>IF(B$15=0,0,B19/B$15)</f>
        <v>0.60278745644599308</v>
      </c>
      <c r="E19" s="59" t="s">
        <v>92</v>
      </c>
      <c r="F19" s="56" t="s">
        <v>47</v>
      </c>
      <c r="G19" s="44">
        <v>4</v>
      </c>
      <c r="H19" s="129">
        <f>IF(B$15=0,0,G19/B$15)</f>
        <v>1.3937282229965157E-2</v>
      </c>
      <c r="I19" s="90">
        <v>1</v>
      </c>
      <c r="K19" s="36">
        <v>17</v>
      </c>
      <c r="L19" s="95">
        <v>-55.799999999999969</v>
      </c>
      <c r="N19" s="111" t="s">
        <v>274</v>
      </c>
      <c r="O19" s="121">
        <f>IF(P19=0,0,Q19/P19)</f>
        <v>5.4749999999999988</v>
      </c>
      <c r="P19" s="115">
        <v>8</v>
      </c>
      <c r="Q19" s="103">
        <v>43.79999999999999</v>
      </c>
    </row>
    <row r="20" spans="1:17" x14ac:dyDescent="0.4">
      <c r="A20" s="51" t="s">
        <v>193</v>
      </c>
      <c r="B20" s="44">
        <v>75</v>
      </c>
      <c r="C20" s="37">
        <f>IF(B$15=0,0,B20/B$15)</f>
        <v>0.26132404181184671</v>
      </c>
      <c r="E20" s="59" t="s">
        <v>79</v>
      </c>
      <c r="F20" s="56" t="s">
        <v>34</v>
      </c>
      <c r="G20" s="44">
        <v>3</v>
      </c>
      <c r="H20" s="129">
        <f>IF(B$15=0,0,G20/B$15)</f>
        <v>1.0452961672473868E-2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3.6119999999999983</v>
      </c>
      <c r="P20" s="115">
        <v>50</v>
      </c>
      <c r="Q20" s="103">
        <v>180.59999999999991</v>
      </c>
    </row>
    <row r="21" spans="1:17" x14ac:dyDescent="0.4">
      <c r="A21" s="51" t="s">
        <v>194</v>
      </c>
      <c r="B21" s="44">
        <v>39</v>
      </c>
      <c r="C21" s="37">
        <f>IF(B$15=0,0,B21/B$15)</f>
        <v>0.13588850174216027</v>
      </c>
      <c r="E21" s="59" t="s">
        <v>85</v>
      </c>
      <c r="F21" s="56" t="s">
        <v>40</v>
      </c>
      <c r="G21" s="44">
        <v>3</v>
      </c>
      <c r="H21" s="129">
        <f>IF(B$15=0,0,G21/B$15)</f>
        <v>1.0452961672473868E-2</v>
      </c>
      <c r="I21" s="90">
        <v>3</v>
      </c>
      <c r="K21" s="36">
        <v>19</v>
      </c>
      <c r="L21" s="95">
        <v>-27.799999999999969</v>
      </c>
      <c r="N21" s="111" t="s">
        <v>126</v>
      </c>
      <c r="O21" s="121">
        <f>IF(P21=0,0,Q21/P21)</f>
        <v>-2.9220000000000028</v>
      </c>
      <c r="P21" s="115">
        <v>50</v>
      </c>
      <c r="Q21" s="103">
        <v>-146.10000000000014</v>
      </c>
    </row>
    <row r="22" spans="1:17" x14ac:dyDescent="0.4">
      <c r="A22" s="51" t="s">
        <v>5</v>
      </c>
      <c r="B22" s="48">
        <f>IF(B$15=0,0,C22/B$15)</f>
        <v>10827.177700348431</v>
      </c>
      <c r="C22" s="39">
        <v>3107400</v>
      </c>
      <c r="E22" s="59" t="s">
        <v>73</v>
      </c>
      <c r="F22" s="56" t="s">
        <v>28</v>
      </c>
      <c r="G22" s="44">
        <v>2</v>
      </c>
      <c r="H22" s="129">
        <f>IF(B$15=0,0,G22/B$15)</f>
        <v>6.9686411149825784E-3</v>
      </c>
      <c r="I22" s="90">
        <v>2</v>
      </c>
      <c r="K22" s="36">
        <v>20</v>
      </c>
      <c r="L22" s="95">
        <v>-50.39999999999997</v>
      </c>
      <c r="N22" s="111" t="s">
        <v>172</v>
      </c>
      <c r="O22" s="121">
        <f>IF(P22=0,0,Q22/P22)</f>
        <v>-7.1727272727272728</v>
      </c>
      <c r="P22" s="115">
        <v>22</v>
      </c>
      <c r="Q22" s="103">
        <v>-157.80000000000001</v>
      </c>
    </row>
    <row r="23" spans="1:17" x14ac:dyDescent="0.4">
      <c r="A23" s="52" t="s">
        <v>177</v>
      </c>
      <c r="B23" s="136">
        <f>IF($B$15-B$14=0,0,C23/($B$15-B$14))</f>
        <v>11439.622641509433</v>
      </c>
      <c r="C23" s="137">
        <v>2425200</v>
      </c>
      <c r="E23" s="59" t="s">
        <v>75</v>
      </c>
      <c r="F23" s="56" t="s">
        <v>30</v>
      </c>
      <c r="G23" s="44">
        <v>2</v>
      </c>
      <c r="H23" s="129">
        <f>IF(B$15=0,0,G23/B$15)</f>
        <v>6.9686411149825784E-3</v>
      </c>
      <c r="I23" s="90">
        <v>6</v>
      </c>
      <c r="K23" s="36">
        <v>21</v>
      </c>
      <c r="L23" s="95">
        <v>-59.89999999999997</v>
      </c>
      <c r="N23" s="111" t="s">
        <v>196</v>
      </c>
      <c r="O23" s="121">
        <f>IF(P23=0,0,Q23/P23)</f>
        <v>-14.099999999999998</v>
      </c>
      <c r="P23" s="115">
        <v>8</v>
      </c>
      <c r="Q23" s="103">
        <v>-112.79999999999998</v>
      </c>
    </row>
    <row r="24" spans="1:17" x14ac:dyDescent="0.4">
      <c r="A24" s="52" t="s">
        <v>178</v>
      </c>
      <c r="B24" s="136">
        <f>IF(B$14=0,0,C24/B$14)</f>
        <v>9096</v>
      </c>
      <c r="C24" s="137">
        <v>682200</v>
      </c>
      <c r="E24" s="59" t="s">
        <v>84</v>
      </c>
      <c r="F24" s="56" t="s">
        <v>39</v>
      </c>
      <c r="G24" s="44">
        <v>2</v>
      </c>
      <c r="H24" s="129">
        <f>IF(B$15=0,0,G24/B$15)</f>
        <v>6.9686411149825784E-3</v>
      </c>
      <c r="I24" s="90">
        <v>1</v>
      </c>
      <c r="K24" s="36">
        <v>22</v>
      </c>
      <c r="L24" s="95">
        <v>-21.799999999999969</v>
      </c>
    </row>
    <row r="25" spans="1:17" x14ac:dyDescent="0.4">
      <c r="A25" s="52" t="s">
        <v>176</v>
      </c>
      <c r="B25" s="136">
        <f>IF(B$16=0,0,C25/B$16)</f>
        <v>-8116.9491525423728</v>
      </c>
      <c r="C25" s="137">
        <v>-1436700</v>
      </c>
      <c r="E25" s="59" t="s">
        <v>90</v>
      </c>
      <c r="F25" s="56" t="s">
        <v>45</v>
      </c>
      <c r="G25" s="44">
        <v>2</v>
      </c>
      <c r="H25" s="129">
        <f>IF(B$15=0,0,G25/B$15)</f>
        <v>6.9686411149825784E-3</v>
      </c>
      <c r="I25" s="90">
        <v>1</v>
      </c>
      <c r="K25" s="36">
        <v>23</v>
      </c>
      <c r="L25" s="95">
        <v>-10.299999999999969</v>
      </c>
    </row>
    <row r="26" spans="1:17" x14ac:dyDescent="0.4">
      <c r="A26" s="51" t="s">
        <v>164</v>
      </c>
      <c r="B26" s="44">
        <v>5</v>
      </c>
      <c r="C26" s="131">
        <v>2</v>
      </c>
      <c r="E26" s="59" t="s">
        <v>77</v>
      </c>
      <c r="F26" s="56" t="s">
        <v>32</v>
      </c>
      <c r="G26" s="44">
        <v>1</v>
      </c>
      <c r="H26" s="129">
        <f>IF(B$15=0,0,G26/B$15)</f>
        <v>3.4843205574912892E-3</v>
      </c>
      <c r="I26" s="90">
        <v>3</v>
      </c>
      <c r="K26" s="36">
        <v>24</v>
      </c>
      <c r="L26" s="95">
        <v>-51.39999999999997</v>
      </c>
    </row>
    <row r="27" spans="1:17" x14ac:dyDescent="0.4">
      <c r="A27" s="51" t="s">
        <v>165</v>
      </c>
      <c r="B27" s="44">
        <v>25</v>
      </c>
      <c r="C27" s="131">
        <v>10</v>
      </c>
      <c r="E27" s="59" t="s">
        <v>93</v>
      </c>
      <c r="F27" s="56" t="s">
        <v>48</v>
      </c>
      <c r="G27" s="44">
        <v>1</v>
      </c>
      <c r="H27" s="129">
        <f>IF(B$15=0,0,G27/B$15)</f>
        <v>3.4843205574912892E-3</v>
      </c>
      <c r="I27" s="90">
        <v>2</v>
      </c>
      <c r="K27" s="36">
        <v>25</v>
      </c>
      <c r="L27" s="95">
        <v>-37.699999999999974</v>
      </c>
    </row>
    <row r="28" spans="1:17" x14ac:dyDescent="0.4">
      <c r="A28" s="86" t="s">
        <v>138</v>
      </c>
      <c r="B28" s="148">
        <v>8</v>
      </c>
      <c r="C28" s="149"/>
      <c r="E28" s="59" t="s">
        <v>97</v>
      </c>
      <c r="F28" s="56" t="s">
        <v>52</v>
      </c>
      <c r="G28" s="44">
        <v>1</v>
      </c>
      <c r="H28" s="129">
        <f>IF(B$15=0,0,G28/B$15)</f>
        <v>3.4843205574912892E-3</v>
      </c>
      <c r="I28" s="90">
        <v>1</v>
      </c>
      <c r="K28" s="36">
        <v>26</v>
      </c>
      <c r="L28" s="95">
        <v>-84.999999999999972</v>
      </c>
    </row>
    <row r="29" spans="1:17" x14ac:dyDescent="0.4">
      <c r="A29" s="54" t="s">
        <v>192</v>
      </c>
      <c r="B29" s="146">
        <v>122100</v>
      </c>
      <c r="C29" s="147"/>
      <c r="E29" s="59" t="s">
        <v>74</v>
      </c>
      <c r="F29" s="56" t="s">
        <v>29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-31.499999999999972</v>
      </c>
    </row>
    <row r="30" spans="1:17" x14ac:dyDescent="0.4">
      <c r="A30" s="53" t="s">
        <v>139</v>
      </c>
      <c r="B30" s="61">
        <v>2</v>
      </c>
      <c r="C30" s="40">
        <f>IF(B$3=0,0,B30/B$3)</f>
        <v>1.9342359767891683E-3</v>
      </c>
      <c r="E30" s="59" t="s">
        <v>76</v>
      </c>
      <c r="F30" s="56" t="s">
        <v>31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-10.999999999999972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-16.499999999999972</v>
      </c>
    </row>
    <row r="32" spans="1:17" x14ac:dyDescent="0.4">
      <c r="A32" s="86" t="s">
        <v>183</v>
      </c>
      <c r="B32" s="144">
        <v>8</v>
      </c>
      <c r="C32" s="141">
        <f>IF(B$15=0,0,B32/B$15)</f>
        <v>2.7874564459930314E-2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30.900000000000027</v>
      </c>
    </row>
    <row r="33" spans="1:12" x14ac:dyDescent="0.4">
      <c r="A33" s="51" t="s">
        <v>179</v>
      </c>
      <c r="B33" s="44">
        <v>22</v>
      </c>
      <c r="C33" s="37">
        <f t="shared" ref="C33:C44" si="2">IF(B$15=0,0,B33/B$15)</f>
        <v>7.6655052264808357E-2</v>
      </c>
      <c r="E33" s="59" t="s">
        <v>87</v>
      </c>
      <c r="F33" s="56" t="s">
        <v>42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73.900000000000034</v>
      </c>
    </row>
    <row r="34" spans="1:12" x14ac:dyDescent="0.4">
      <c r="A34" s="51" t="s">
        <v>180</v>
      </c>
      <c r="B34" s="145">
        <v>39</v>
      </c>
      <c r="C34" s="37">
        <f>IF(B$15=0,0,B34/B$15)</f>
        <v>0.13588850174216027</v>
      </c>
      <c r="E34" s="59" t="s">
        <v>88</v>
      </c>
      <c r="F34" s="56" t="s">
        <v>43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96.100000000000037</v>
      </c>
    </row>
    <row r="35" spans="1:12" x14ac:dyDescent="0.4">
      <c r="A35" s="51" t="s">
        <v>181</v>
      </c>
      <c r="B35" s="145">
        <v>54</v>
      </c>
      <c r="C35" s="37">
        <f t="shared" si="2"/>
        <v>0.18815331010452963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112.00000000000004</v>
      </c>
    </row>
    <row r="36" spans="1:12" x14ac:dyDescent="0.4">
      <c r="A36" s="51" t="s">
        <v>182</v>
      </c>
      <c r="B36" s="145">
        <v>64</v>
      </c>
      <c r="C36" s="37">
        <f t="shared" si="2"/>
        <v>0.22299651567944251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110.00000000000004</v>
      </c>
    </row>
    <row r="37" spans="1:12" x14ac:dyDescent="0.4">
      <c r="A37" s="51" t="s">
        <v>184</v>
      </c>
      <c r="B37" s="145">
        <v>41</v>
      </c>
      <c r="C37" s="37">
        <f t="shared" si="2"/>
        <v>0.14285714285714285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">
      <c r="A38" s="51" t="s">
        <v>185</v>
      </c>
      <c r="B38" s="145">
        <v>22</v>
      </c>
      <c r="C38" s="37">
        <f t="shared" si="2"/>
        <v>7.6655052264808357E-2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">
      <c r="A39" s="51" t="s">
        <v>186</v>
      </c>
      <c r="B39" s="145">
        <v>19</v>
      </c>
      <c r="C39" s="37">
        <f t="shared" si="2"/>
        <v>6.6202090592334492E-2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">
      <c r="A40" s="51" t="s">
        <v>187</v>
      </c>
      <c r="B40" s="145">
        <v>6</v>
      </c>
      <c r="C40" s="37">
        <f t="shared" si="2"/>
        <v>2.0905923344947737E-2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">
      <c r="A41" s="51" t="s">
        <v>188</v>
      </c>
      <c r="B41" s="145">
        <v>2</v>
      </c>
      <c r="C41" s="37">
        <f t="shared" si="2"/>
        <v>6.9686411149825784E-3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">
      <c r="A42" s="51" t="s">
        <v>189</v>
      </c>
      <c r="B42" s="145">
        <v>2</v>
      </c>
      <c r="C42" s="37">
        <f t="shared" si="2"/>
        <v>6.9686411149825784E-3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">
      <c r="A43" s="51" t="s">
        <v>190</v>
      </c>
      <c r="B43" s="145">
        <v>1</v>
      </c>
      <c r="C43" s="37">
        <f t="shared" si="2"/>
        <v>3.4843205574912892E-3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">
      <c r="A44" s="53" t="s">
        <v>191</v>
      </c>
      <c r="B44" s="140">
        <v>7</v>
      </c>
      <c r="C44" s="40">
        <f t="shared" si="2"/>
        <v>2.4390243902439025E-2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">
      <c r="K53" s="36">
        <v>51</v>
      </c>
      <c r="L53" s="95">
        <v>282.10000000000008</v>
      </c>
    </row>
    <row r="54" spans="5:12" x14ac:dyDescent="0.4">
      <c r="K54" s="36">
        <v>52</v>
      </c>
      <c r="L54" s="95">
        <v>325.2000000000001</v>
      </c>
    </row>
    <row r="55" spans="5:12" x14ac:dyDescent="0.4">
      <c r="K55" s="36">
        <v>53</v>
      </c>
      <c r="L55" s="95">
        <v>301.2000000000001</v>
      </c>
    </row>
    <row r="56" spans="5:12" x14ac:dyDescent="0.4">
      <c r="K56" s="36">
        <v>54</v>
      </c>
      <c r="L56" s="95">
        <v>296.2000000000001</v>
      </c>
    </row>
    <row r="57" spans="5:12" x14ac:dyDescent="0.4">
      <c r="K57" s="36">
        <v>55</v>
      </c>
      <c r="L57" s="95">
        <v>259.10000000000008</v>
      </c>
    </row>
    <row r="58" spans="5:12" x14ac:dyDescent="0.4">
      <c r="K58" s="36">
        <v>56</v>
      </c>
      <c r="L58" s="95">
        <v>246.70000000000007</v>
      </c>
    </row>
    <row r="59" spans="5:12" x14ac:dyDescent="0.4">
      <c r="K59" s="36">
        <v>57</v>
      </c>
      <c r="L59" s="95">
        <v>291.80000000000007</v>
      </c>
    </row>
    <row r="60" spans="5:12" x14ac:dyDescent="0.4">
      <c r="K60" s="36">
        <v>58</v>
      </c>
      <c r="L60" s="95">
        <v>308.80000000000007</v>
      </c>
    </row>
    <row r="61" spans="5:12" x14ac:dyDescent="0.4">
      <c r="K61" s="36">
        <v>59</v>
      </c>
      <c r="L61" s="95">
        <v>357.80000000000007</v>
      </c>
    </row>
    <row r="62" spans="5:12" x14ac:dyDescent="0.4">
      <c r="K62" s="36">
        <v>60</v>
      </c>
      <c r="L62" s="95">
        <v>364.90000000000009</v>
      </c>
    </row>
    <row r="63" spans="5:12" x14ac:dyDescent="0.4">
      <c r="K63" s="36">
        <v>61</v>
      </c>
      <c r="L63" s="95">
        <v>351.80000000000007</v>
      </c>
    </row>
    <row r="64" spans="5:12" x14ac:dyDescent="0.4">
      <c r="K64" s="36">
        <v>62</v>
      </c>
      <c r="L64" s="95">
        <v>338.80000000000007</v>
      </c>
    </row>
    <row r="65" spans="11:12" x14ac:dyDescent="0.4">
      <c r="K65" s="36">
        <v>63</v>
      </c>
      <c r="L65" s="95">
        <v>319.30000000000007</v>
      </c>
    </row>
    <row r="66" spans="11:12" x14ac:dyDescent="0.4">
      <c r="K66" s="36">
        <v>64</v>
      </c>
      <c r="L66" s="95">
        <v>273.80000000000007</v>
      </c>
    </row>
    <row r="67" spans="11:12" x14ac:dyDescent="0.4">
      <c r="K67" s="36">
        <v>65</v>
      </c>
      <c r="L67" s="95">
        <v>333.00000000000006</v>
      </c>
    </row>
    <row r="68" spans="11:12" x14ac:dyDescent="0.4">
      <c r="K68" s="36">
        <v>66</v>
      </c>
      <c r="L68" s="95">
        <v>368.80000000000007</v>
      </c>
    </row>
    <row r="69" spans="11:12" x14ac:dyDescent="0.4">
      <c r="K69" s="36">
        <v>67</v>
      </c>
      <c r="L69" s="95">
        <v>360.90000000000009</v>
      </c>
    </row>
    <row r="70" spans="11:12" x14ac:dyDescent="0.4">
      <c r="K70" s="36">
        <v>68</v>
      </c>
      <c r="L70" s="95">
        <v>458.00000000000011</v>
      </c>
    </row>
    <row r="71" spans="11:12" x14ac:dyDescent="0.4">
      <c r="K71" s="36">
        <v>69</v>
      </c>
      <c r="L71" s="95">
        <v>455.2000000000001</v>
      </c>
    </row>
    <row r="72" spans="11:12" x14ac:dyDescent="0.4">
      <c r="K72" s="36">
        <v>70</v>
      </c>
      <c r="L72" s="95">
        <v>422.90000000000009</v>
      </c>
    </row>
    <row r="73" spans="11:12" x14ac:dyDescent="0.4">
      <c r="K73" s="36">
        <v>71</v>
      </c>
      <c r="L73" s="95">
        <v>435.7000000000001</v>
      </c>
    </row>
    <row r="74" spans="11:12" x14ac:dyDescent="0.4">
      <c r="K74" s="36">
        <v>72</v>
      </c>
      <c r="L74" s="95">
        <v>466.40000000000009</v>
      </c>
    </row>
    <row r="75" spans="11:12" x14ac:dyDescent="0.4">
      <c r="K75" s="36">
        <v>73</v>
      </c>
      <c r="L75" s="95">
        <v>406.10000000000008</v>
      </c>
    </row>
    <row r="76" spans="11:12" x14ac:dyDescent="0.4">
      <c r="K76" s="36">
        <v>74</v>
      </c>
      <c r="L76" s="95">
        <v>360.50000000000006</v>
      </c>
    </row>
    <row r="77" spans="11:12" x14ac:dyDescent="0.4">
      <c r="K77" s="36">
        <v>75</v>
      </c>
      <c r="L77" s="95">
        <v>332.60000000000008</v>
      </c>
    </row>
    <row r="78" spans="11:12" x14ac:dyDescent="0.4">
      <c r="K78" s="36">
        <v>76</v>
      </c>
      <c r="L78" s="95">
        <v>325.7000000000001</v>
      </c>
    </row>
    <row r="79" spans="11:12" x14ac:dyDescent="0.4">
      <c r="K79" s="36">
        <v>77</v>
      </c>
      <c r="L79" s="95">
        <v>368.00000000000011</v>
      </c>
    </row>
    <row r="80" spans="11:12" x14ac:dyDescent="0.4">
      <c r="K80" s="36">
        <v>78</v>
      </c>
      <c r="L80" s="95">
        <v>312.50000000000011</v>
      </c>
    </row>
    <row r="81" spans="11:12" x14ac:dyDescent="0.4">
      <c r="K81" s="36">
        <v>79</v>
      </c>
      <c r="L81" s="95">
        <v>263.80000000000013</v>
      </c>
    </row>
    <row r="82" spans="11:12" x14ac:dyDescent="0.4">
      <c r="K82" s="36">
        <v>80</v>
      </c>
      <c r="L82" s="95">
        <v>245.50000000000011</v>
      </c>
    </row>
    <row r="83" spans="11:12" x14ac:dyDescent="0.4">
      <c r="K83" s="36">
        <v>81</v>
      </c>
      <c r="L83" s="95">
        <v>200.30000000000013</v>
      </c>
    </row>
    <row r="84" spans="11:12" x14ac:dyDescent="0.4">
      <c r="K84" s="36">
        <v>82</v>
      </c>
      <c r="L84" s="95">
        <v>229.10000000000014</v>
      </c>
    </row>
    <row r="85" spans="11:12" x14ac:dyDescent="0.4">
      <c r="K85" s="36">
        <v>83</v>
      </c>
      <c r="L85" s="95">
        <v>230.70000000000013</v>
      </c>
    </row>
    <row r="86" spans="11:12" x14ac:dyDescent="0.4">
      <c r="K86" s="36">
        <v>84</v>
      </c>
      <c r="L86" s="95">
        <v>201.10000000000014</v>
      </c>
    </row>
    <row r="87" spans="11:12" x14ac:dyDescent="0.4">
      <c r="K87" s="36">
        <v>85</v>
      </c>
      <c r="L87" s="95">
        <v>200.20000000000013</v>
      </c>
    </row>
    <row r="88" spans="11:12" x14ac:dyDescent="0.4">
      <c r="K88" s="36">
        <v>86</v>
      </c>
      <c r="L88" s="95">
        <v>211.70000000000013</v>
      </c>
    </row>
    <row r="89" spans="11:12" x14ac:dyDescent="0.4">
      <c r="K89" s="36">
        <v>87</v>
      </c>
      <c r="L89" s="95">
        <v>186.30000000000013</v>
      </c>
    </row>
    <row r="90" spans="11:12" x14ac:dyDescent="0.4">
      <c r="K90" s="36">
        <v>88</v>
      </c>
      <c r="L90" s="95">
        <v>163.60000000000014</v>
      </c>
    </row>
    <row r="91" spans="11:12" x14ac:dyDescent="0.4">
      <c r="K91" s="36">
        <v>89</v>
      </c>
      <c r="L91" s="95">
        <v>188.60000000000014</v>
      </c>
    </row>
    <row r="92" spans="11:12" x14ac:dyDescent="0.4">
      <c r="K92" s="36">
        <v>90</v>
      </c>
      <c r="L92" s="95">
        <v>236.10000000000014</v>
      </c>
    </row>
    <row r="93" spans="11:12" x14ac:dyDescent="0.4">
      <c r="K93" s="36">
        <v>91</v>
      </c>
      <c r="L93" s="95">
        <v>240.30000000000013</v>
      </c>
    </row>
    <row r="94" spans="11:12" x14ac:dyDescent="0.4">
      <c r="K94" s="36">
        <v>92</v>
      </c>
      <c r="L94" s="95">
        <v>286.50000000000011</v>
      </c>
    </row>
    <row r="95" spans="11:12" x14ac:dyDescent="0.4">
      <c r="K95" s="36">
        <v>93</v>
      </c>
      <c r="L95" s="95">
        <v>263.30000000000013</v>
      </c>
    </row>
    <row r="96" spans="11:12" x14ac:dyDescent="0.4">
      <c r="K96" s="36">
        <v>94</v>
      </c>
      <c r="L96" s="95">
        <v>299.60000000000014</v>
      </c>
    </row>
    <row r="97" spans="11:12" x14ac:dyDescent="0.4">
      <c r="K97" s="36">
        <v>95</v>
      </c>
      <c r="L97" s="95">
        <v>335.30000000000013</v>
      </c>
    </row>
    <row r="98" spans="11:12" x14ac:dyDescent="0.4">
      <c r="K98" s="36">
        <v>96</v>
      </c>
      <c r="L98" s="95">
        <v>335.40000000000015</v>
      </c>
    </row>
    <row r="99" spans="11:12" x14ac:dyDescent="0.4">
      <c r="K99" s="36">
        <v>97</v>
      </c>
      <c r="L99" s="95">
        <v>334.70000000000016</v>
      </c>
    </row>
    <row r="100" spans="11:12" x14ac:dyDescent="0.4">
      <c r="K100" s="36">
        <v>98</v>
      </c>
      <c r="L100" s="95">
        <v>349.00000000000017</v>
      </c>
    </row>
    <row r="101" spans="11:12" x14ac:dyDescent="0.4">
      <c r="K101" s="36">
        <v>99</v>
      </c>
      <c r="L101" s="95">
        <v>386.70000000000016</v>
      </c>
    </row>
    <row r="102" spans="11:12" x14ac:dyDescent="0.4">
      <c r="K102" s="36">
        <v>100</v>
      </c>
      <c r="L102" s="95">
        <v>350.30000000000018</v>
      </c>
    </row>
    <row r="103" spans="11:12" x14ac:dyDescent="0.4">
      <c r="K103" s="36">
        <v>101</v>
      </c>
      <c r="L103" s="95">
        <v>344.9000000000002</v>
      </c>
    </row>
    <row r="104" spans="11:12" x14ac:dyDescent="0.4">
      <c r="K104" s="36">
        <v>102</v>
      </c>
      <c r="L104" s="95">
        <v>359.50000000000023</v>
      </c>
    </row>
    <row r="105" spans="11:12" x14ac:dyDescent="0.4">
      <c r="K105" s="36">
        <v>103</v>
      </c>
      <c r="L105" s="95">
        <v>402.30000000000024</v>
      </c>
    </row>
    <row r="106" spans="11:12" x14ac:dyDescent="0.4">
      <c r="K106" s="36">
        <v>104</v>
      </c>
      <c r="L106" s="95">
        <v>408.90000000000026</v>
      </c>
    </row>
    <row r="107" spans="11:12" x14ac:dyDescent="0.4">
      <c r="K107" s="36">
        <v>105</v>
      </c>
      <c r="L107" s="95">
        <v>372.30000000000024</v>
      </c>
    </row>
    <row r="108" spans="11:12" x14ac:dyDescent="0.4">
      <c r="K108" s="36">
        <v>106</v>
      </c>
      <c r="L108" s="95">
        <v>395.80000000000024</v>
      </c>
    </row>
    <row r="109" spans="11:12" x14ac:dyDescent="0.4">
      <c r="K109" s="36">
        <v>107</v>
      </c>
      <c r="L109" s="95">
        <v>438.20000000000022</v>
      </c>
    </row>
    <row r="110" spans="11:12" x14ac:dyDescent="0.4">
      <c r="K110" s="36">
        <v>108</v>
      </c>
      <c r="L110" s="95">
        <v>471.10000000000019</v>
      </c>
    </row>
    <row r="111" spans="11:12" x14ac:dyDescent="0.4">
      <c r="K111" s="36">
        <v>109</v>
      </c>
      <c r="L111" s="95">
        <v>509.00000000000017</v>
      </c>
    </row>
    <row r="112" spans="11:12" x14ac:dyDescent="0.4">
      <c r="K112" s="36">
        <v>110</v>
      </c>
      <c r="L112" s="95">
        <v>522.50000000000023</v>
      </c>
    </row>
    <row r="113" spans="11:12" x14ac:dyDescent="0.4">
      <c r="K113" s="36">
        <v>111</v>
      </c>
      <c r="L113" s="95">
        <v>600.80000000000018</v>
      </c>
    </row>
    <row r="114" spans="11:12" x14ac:dyDescent="0.4">
      <c r="K114" s="36">
        <v>112</v>
      </c>
      <c r="L114" s="95">
        <v>616.4000000000002</v>
      </c>
    </row>
    <row r="115" spans="11:12" x14ac:dyDescent="0.4">
      <c r="K115" s="36">
        <v>113</v>
      </c>
      <c r="L115" s="95">
        <v>638.10000000000025</v>
      </c>
    </row>
    <row r="116" spans="11:12" x14ac:dyDescent="0.4">
      <c r="K116" s="36">
        <v>114</v>
      </c>
      <c r="L116" s="95">
        <v>637.10000000000025</v>
      </c>
    </row>
    <row r="117" spans="11:12" x14ac:dyDescent="0.4">
      <c r="K117" s="36">
        <v>115</v>
      </c>
      <c r="L117" s="95">
        <v>581.10000000000025</v>
      </c>
    </row>
    <row r="118" spans="11:12" x14ac:dyDescent="0.4">
      <c r="K118" s="36">
        <v>116</v>
      </c>
      <c r="L118" s="95">
        <v>558.8000000000003</v>
      </c>
    </row>
    <row r="119" spans="11:12" x14ac:dyDescent="0.4">
      <c r="K119" s="36">
        <v>117</v>
      </c>
      <c r="L119" s="95">
        <v>619.00000000000034</v>
      </c>
    </row>
    <row r="120" spans="11:12" x14ac:dyDescent="0.4">
      <c r="K120" s="36">
        <v>118</v>
      </c>
      <c r="L120" s="95">
        <v>706.10000000000036</v>
      </c>
    </row>
    <row r="121" spans="11:12" x14ac:dyDescent="0.4">
      <c r="K121" s="36">
        <v>119</v>
      </c>
      <c r="L121" s="95">
        <v>672.80000000000041</v>
      </c>
    </row>
    <row r="122" spans="11:12" x14ac:dyDescent="0.4">
      <c r="K122" s="36">
        <v>120</v>
      </c>
      <c r="L122" s="95">
        <v>622.40000000000043</v>
      </c>
    </row>
    <row r="123" spans="11:12" x14ac:dyDescent="0.4">
      <c r="K123" s="36">
        <v>121</v>
      </c>
      <c r="L123" s="95">
        <v>623.70000000000039</v>
      </c>
    </row>
    <row r="124" spans="11:12" x14ac:dyDescent="0.4">
      <c r="K124" s="36">
        <v>122</v>
      </c>
      <c r="L124" s="95">
        <v>609.30000000000041</v>
      </c>
    </row>
    <row r="125" spans="11:12" x14ac:dyDescent="0.4">
      <c r="K125" s="36">
        <v>123</v>
      </c>
      <c r="L125" s="95">
        <v>621.50000000000045</v>
      </c>
    </row>
    <row r="126" spans="11:12" x14ac:dyDescent="0.4">
      <c r="K126" s="36">
        <v>124</v>
      </c>
      <c r="L126" s="95">
        <v>571.00000000000045</v>
      </c>
    </row>
    <row r="127" spans="11:12" x14ac:dyDescent="0.4">
      <c r="K127" s="36">
        <v>125</v>
      </c>
      <c r="L127" s="95">
        <v>505.50000000000045</v>
      </c>
    </row>
    <row r="128" spans="11:12" x14ac:dyDescent="0.4">
      <c r="K128" s="36">
        <v>126</v>
      </c>
      <c r="L128" s="95">
        <v>475.00000000000045</v>
      </c>
    </row>
    <row r="129" spans="11:12" x14ac:dyDescent="0.4">
      <c r="K129" s="36">
        <v>127</v>
      </c>
      <c r="L129" s="95">
        <v>531.30000000000041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8D994-61CE-4A39-9561-47860AF532FE}">
  <sheetPr codeName="Sheet17"/>
  <dimension ref="A1:Q14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142</v>
      </c>
      <c r="C2" s="155"/>
      <c r="E2" s="58" t="s">
        <v>66</v>
      </c>
      <c r="F2" s="55" t="s">
        <v>22</v>
      </c>
      <c r="G2" s="43">
        <v>234</v>
      </c>
      <c r="H2" s="128">
        <f>IF(B$15=0,0,G2/B$15)</f>
        <v>0.72670807453416153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-380.28169014084506</v>
      </c>
      <c r="P2" s="114">
        <v>142</v>
      </c>
      <c r="Q2" s="98">
        <v>-54000</v>
      </c>
    </row>
    <row r="3" spans="1:17" x14ac:dyDescent="0.4">
      <c r="A3" s="51" t="s">
        <v>8</v>
      </c>
      <c r="B3" s="156">
        <v>1152</v>
      </c>
      <c r="C3" s="157"/>
      <c r="E3" s="59" t="s">
        <v>72</v>
      </c>
      <c r="F3" s="56" t="s">
        <v>27</v>
      </c>
      <c r="G3" s="44">
        <v>181</v>
      </c>
      <c r="H3" s="129">
        <f>IF(B$15=0,0,G3/B$15)</f>
        <v>0.56211180124223603</v>
      </c>
      <c r="I3" s="90">
        <v>4</v>
      </c>
      <c r="K3" s="36">
        <v>1</v>
      </c>
      <c r="L3" s="95">
        <v>46.9</v>
      </c>
      <c r="N3" s="111" t="s">
        <v>131</v>
      </c>
      <c r="O3" s="118">
        <f t="shared" si="0"/>
        <v>189.92805755395685</v>
      </c>
      <c r="P3" s="115">
        <v>139</v>
      </c>
      <c r="Q3" s="99">
        <v>26400</v>
      </c>
    </row>
    <row r="4" spans="1:17" x14ac:dyDescent="0.4">
      <c r="A4" s="51" t="s">
        <v>6</v>
      </c>
      <c r="B4" s="158">
        <v>-142.29999999999998</v>
      </c>
      <c r="C4" s="159"/>
      <c r="E4" s="59" t="s">
        <v>64</v>
      </c>
      <c r="F4" s="56" t="s">
        <v>20</v>
      </c>
      <c r="G4" s="44">
        <v>160</v>
      </c>
      <c r="H4" s="129">
        <f>IF(B$15=0,0,G4/B$15)</f>
        <v>0.49689440993788819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150.38167938931298</v>
      </c>
      <c r="P4" s="115">
        <v>131</v>
      </c>
      <c r="Q4" s="99">
        <v>19700</v>
      </c>
    </row>
    <row r="5" spans="1:17" x14ac:dyDescent="0.4">
      <c r="A5" s="51" t="s">
        <v>7</v>
      </c>
      <c r="B5" s="160">
        <f>IF(B$2=0,0,B$4/B$2)</f>
        <v>-1.0021126760563379</v>
      </c>
      <c r="C5" s="161"/>
      <c r="E5" s="59" t="s">
        <v>166</v>
      </c>
      <c r="F5" s="56" t="s">
        <v>167</v>
      </c>
      <c r="G5" s="44">
        <v>136</v>
      </c>
      <c r="H5" s="129">
        <f>IF(B$15=0,0,G5/B$15)</f>
        <v>0.42236024844720499</v>
      </c>
      <c r="I5" s="90">
        <v>4</v>
      </c>
      <c r="K5" s="36">
        <v>3</v>
      </c>
      <c r="L5" s="95">
        <v>25.8</v>
      </c>
      <c r="N5" s="111" t="s">
        <v>133</v>
      </c>
      <c r="O5" s="118">
        <f t="shared" si="0"/>
        <v>170.83333333333334</v>
      </c>
      <c r="P5" s="115">
        <v>120</v>
      </c>
      <c r="Q5" s="99">
        <v>20500</v>
      </c>
    </row>
    <row r="6" spans="1:17" x14ac:dyDescent="0.4">
      <c r="A6" s="51" t="s">
        <v>1</v>
      </c>
      <c r="B6" s="150">
        <f>IF(B$2=0,0,(B$7*1+B$8*2+B$9*3)/B$2)</f>
        <v>2.056338028169014</v>
      </c>
      <c r="C6" s="151"/>
      <c r="E6" s="59" t="s">
        <v>67</v>
      </c>
      <c r="F6" s="56" t="s">
        <v>23</v>
      </c>
      <c r="G6" s="44">
        <v>109</v>
      </c>
      <c r="H6" s="129">
        <f>IF(B$15=0,0,G6/B$15)</f>
        <v>0.33850931677018631</v>
      </c>
      <c r="I6" s="90">
        <v>5</v>
      </c>
      <c r="K6" s="36">
        <v>4</v>
      </c>
      <c r="L6" s="95">
        <v>-19.3</v>
      </c>
      <c r="N6" s="111" t="s">
        <v>134</v>
      </c>
      <c r="O6" s="118">
        <f t="shared" si="0"/>
        <v>171.55963302752295</v>
      </c>
      <c r="P6" s="115">
        <v>109</v>
      </c>
      <c r="Q6" s="99">
        <v>18700</v>
      </c>
    </row>
    <row r="7" spans="1:17" x14ac:dyDescent="0.4">
      <c r="A7" s="51" t="s">
        <v>2</v>
      </c>
      <c r="B7" s="44">
        <v>35</v>
      </c>
      <c r="C7" s="37">
        <f t="shared" ref="C7:C10" si="1">IF(B$2=0,0,B7/B$2)</f>
        <v>0.24647887323943662</v>
      </c>
      <c r="E7" s="59" t="s">
        <v>68</v>
      </c>
      <c r="F7" s="56" t="s">
        <v>12</v>
      </c>
      <c r="G7" s="44">
        <v>101</v>
      </c>
      <c r="H7" s="129">
        <f>IF(B$15=0,0,G7/B$15)</f>
        <v>0.31366459627329191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-1058.0645161290322</v>
      </c>
      <c r="P7" s="116">
        <v>93</v>
      </c>
      <c r="Q7" s="100">
        <v>-98400</v>
      </c>
    </row>
    <row r="8" spans="1:17" x14ac:dyDescent="0.4">
      <c r="A8" s="51" t="s">
        <v>3</v>
      </c>
      <c r="B8" s="44">
        <v>64</v>
      </c>
      <c r="C8" s="37">
        <f t="shared" si="1"/>
        <v>0.45070422535211269</v>
      </c>
      <c r="E8" s="59" t="s">
        <v>69</v>
      </c>
      <c r="F8" s="56" t="s">
        <v>24</v>
      </c>
      <c r="G8" s="44">
        <v>44</v>
      </c>
      <c r="H8" s="129">
        <f>IF(B$15=0,0,G8/B$15)</f>
        <v>0.13664596273291926</v>
      </c>
      <c r="I8" s="90">
        <v>8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43</v>
      </c>
      <c r="C9" s="38">
        <f t="shared" si="1"/>
        <v>0.30281690140845069</v>
      </c>
      <c r="E9" s="59" t="s">
        <v>89</v>
      </c>
      <c r="F9" s="56" t="s">
        <v>44</v>
      </c>
      <c r="G9" s="44">
        <v>44</v>
      </c>
      <c r="H9" s="129">
        <f>IF(B$15=0,0,G9/B$15)</f>
        <v>0.13664596273291926</v>
      </c>
      <c r="I9" s="90">
        <v>7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7.0422535211267609E-2</v>
      </c>
      <c r="E10" s="59" t="s">
        <v>71</v>
      </c>
      <c r="F10" s="56" t="s">
        <v>26</v>
      </c>
      <c r="G10" s="44">
        <v>31</v>
      </c>
      <c r="H10" s="129">
        <f>IF(B$15=0,0,G10/B$15)</f>
        <v>9.627329192546584E-2</v>
      </c>
      <c r="I10" s="90">
        <v>5</v>
      </c>
      <c r="K10" s="36">
        <v>8</v>
      </c>
      <c r="L10" s="95">
        <v>-46.7</v>
      </c>
      <c r="N10" s="110" t="s">
        <v>157</v>
      </c>
      <c r="O10" s="120">
        <f>IF(P10=0,0,Q10/P10)</f>
        <v>-2.854237288135594</v>
      </c>
      <c r="P10" s="114">
        <v>59</v>
      </c>
      <c r="Q10" s="102">
        <v>-168.40000000000003</v>
      </c>
    </row>
    <row r="11" spans="1:17" x14ac:dyDescent="0.4">
      <c r="A11" s="54" t="s">
        <v>121</v>
      </c>
      <c r="B11" s="47">
        <v>300</v>
      </c>
      <c r="C11" s="42">
        <f>IF(B$3=0,0,B11/B$3)</f>
        <v>0.26041666666666669</v>
      </c>
      <c r="E11" s="59" t="s">
        <v>65</v>
      </c>
      <c r="F11" s="56" t="s">
        <v>21</v>
      </c>
      <c r="G11" s="44">
        <v>26</v>
      </c>
      <c r="H11" s="129">
        <f>IF(B$15=0,0,G11/B$15)</f>
        <v>8.0745341614906832E-2</v>
      </c>
      <c r="I11" s="90">
        <v>12</v>
      </c>
      <c r="K11" s="36">
        <v>9</v>
      </c>
      <c r="L11" s="95">
        <v>-90.9</v>
      </c>
      <c r="N11" s="111" t="s">
        <v>158</v>
      </c>
      <c r="O11" s="121">
        <f>IF(P11=0,0,Q11/P11)</f>
        <v>0.67954545454545512</v>
      </c>
      <c r="P11" s="115">
        <v>44</v>
      </c>
      <c r="Q11" s="103">
        <v>29.900000000000027</v>
      </c>
    </row>
    <row r="12" spans="1:17" x14ac:dyDescent="0.4">
      <c r="A12" s="51" t="s">
        <v>118</v>
      </c>
      <c r="B12" s="44">
        <v>267</v>
      </c>
      <c r="C12" s="37">
        <f>IF(B$3=0,0,B12/B$3)</f>
        <v>0.23177083333333334</v>
      </c>
      <c r="E12" s="59" t="s">
        <v>70</v>
      </c>
      <c r="F12" s="56" t="s">
        <v>25</v>
      </c>
      <c r="G12" s="44">
        <v>23</v>
      </c>
      <c r="H12" s="129">
        <f>IF(B$15=0,0,G12/B$15)</f>
        <v>7.1428571428571425E-2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-9.7435897435897728E-2</v>
      </c>
      <c r="P12" s="116">
        <v>39</v>
      </c>
      <c r="Q12" s="104">
        <v>-3.8000000000000114</v>
      </c>
    </row>
    <row r="13" spans="1:17" x14ac:dyDescent="0.4">
      <c r="A13" s="50" t="s">
        <v>123</v>
      </c>
      <c r="B13" s="43">
        <f>B19</f>
        <v>166</v>
      </c>
      <c r="C13" s="35">
        <f>IF(B$11=0,0,B13/B$11)</f>
        <v>0.55333333333333334</v>
      </c>
      <c r="E13" s="59" t="s">
        <v>86</v>
      </c>
      <c r="F13" s="56" t="s">
        <v>41</v>
      </c>
      <c r="G13" s="44">
        <v>15</v>
      </c>
      <c r="H13" s="129">
        <f>IF(B$15=0,0,G13/B$15)</f>
        <v>4.6583850931677016E-2</v>
      </c>
      <c r="I13" s="90">
        <v>7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113</v>
      </c>
      <c r="C14" s="35">
        <f>IF(B$12=0,0,B14/B$12)</f>
        <v>0.42322097378277151</v>
      </c>
      <c r="E14" s="59" t="s">
        <v>83</v>
      </c>
      <c r="F14" s="56" t="s">
        <v>38</v>
      </c>
      <c r="G14" s="44">
        <v>13</v>
      </c>
      <c r="H14" s="129">
        <f>IF(B$15=0,0,G14/B$15)</f>
        <v>4.0372670807453416E-2</v>
      </c>
      <c r="I14" s="90">
        <v>10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322</v>
      </c>
      <c r="C15" s="35">
        <f>IF(B$3=0,0,B15/B$3)</f>
        <v>0.2795138888888889</v>
      </c>
      <c r="E15" s="59" t="s">
        <v>79</v>
      </c>
      <c r="F15" s="56" t="s">
        <v>34</v>
      </c>
      <c r="G15" s="44">
        <v>7</v>
      </c>
      <c r="H15" s="129">
        <f>IF(B$15=0,0,G15/B$15)</f>
        <v>2.1739130434782608E-2</v>
      </c>
      <c r="I15" s="90">
        <v>3</v>
      </c>
      <c r="K15" s="36">
        <v>13</v>
      </c>
      <c r="L15" s="95">
        <v>-68.399999999999991</v>
      </c>
      <c r="N15" s="110" t="s">
        <v>228</v>
      </c>
      <c r="O15" s="120">
        <f>IF(P15=0,0,Q15/P15)</f>
        <v>53.179999999999993</v>
      </c>
      <c r="P15" s="114">
        <v>5</v>
      </c>
      <c r="Q15" s="102">
        <v>265.89999999999998</v>
      </c>
    </row>
    <row r="16" spans="1:17" x14ac:dyDescent="0.4">
      <c r="A16" s="51" t="s">
        <v>13</v>
      </c>
      <c r="B16" s="44">
        <v>160</v>
      </c>
      <c r="C16" s="37">
        <f>IF(B$3=0,0,B16/B$3)</f>
        <v>0.1388888888888889</v>
      </c>
      <c r="E16" s="59" t="s">
        <v>162</v>
      </c>
      <c r="F16" s="56" t="s">
        <v>163</v>
      </c>
      <c r="G16" s="44">
        <v>6</v>
      </c>
      <c r="H16" s="129">
        <f>IF(B$15=0,0,G16/B$15)</f>
        <v>1.8633540372670808E-2</v>
      </c>
      <c r="I16" s="90">
        <v>4</v>
      </c>
      <c r="K16" s="36">
        <v>14</v>
      </c>
      <c r="L16" s="95">
        <v>-25.79999999999999</v>
      </c>
      <c r="N16" s="111" t="s">
        <v>203</v>
      </c>
      <c r="O16" s="121">
        <f>IF(P16=0,0,Q16/P16)</f>
        <v>27.200000000000003</v>
      </c>
      <c r="P16" s="115">
        <v>1</v>
      </c>
      <c r="Q16" s="103">
        <v>27.200000000000003</v>
      </c>
    </row>
    <row r="17" spans="1:17" x14ac:dyDescent="0.4">
      <c r="A17" s="51" t="s">
        <v>12</v>
      </c>
      <c r="B17" s="44">
        <v>143</v>
      </c>
      <c r="C17" s="37">
        <f>IF(B$15=0,0,B17/B$15)</f>
        <v>0.44409937888198758</v>
      </c>
      <c r="E17" s="59" t="s">
        <v>73</v>
      </c>
      <c r="F17" s="56" t="s">
        <v>28</v>
      </c>
      <c r="G17" s="44">
        <v>5</v>
      </c>
      <c r="H17" s="129">
        <f>IF(B$15=0,0,G17/B$15)</f>
        <v>1.5527950310559006E-2</v>
      </c>
      <c r="I17" s="90">
        <v>1</v>
      </c>
      <c r="K17" s="36">
        <v>15</v>
      </c>
      <c r="L17" s="95">
        <v>-35.499999999999986</v>
      </c>
      <c r="N17" s="111" t="s">
        <v>197</v>
      </c>
      <c r="O17" s="121">
        <f>IF(P17=0,0,Q17/P17)</f>
        <v>16.860714285714284</v>
      </c>
      <c r="P17" s="115">
        <v>28</v>
      </c>
      <c r="Q17" s="103">
        <v>472.09999999999997</v>
      </c>
    </row>
    <row r="18" spans="1:17" x14ac:dyDescent="0.4">
      <c r="A18" s="51" t="s">
        <v>11</v>
      </c>
      <c r="B18" s="44">
        <v>179</v>
      </c>
      <c r="C18" s="37">
        <f>IF(B$15=0,0,B18/B$15)</f>
        <v>0.55590062111801242</v>
      </c>
      <c r="E18" s="59" t="s">
        <v>78</v>
      </c>
      <c r="F18" s="56" t="s">
        <v>33</v>
      </c>
      <c r="G18" s="44">
        <v>5</v>
      </c>
      <c r="H18" s="129">
        <f>IF(B$15=0,0,G18/B$15)</f>
        <v>1.5527950310559006E-2</v>
      </c>
      <c r="I18" s="90">
        <v>7</v>
      </c>
      <c r="K18" s="36">
        <v>16</v>
      </c>
      <c r="L18" s="95">
        <v>-35.599999999999987</v>
      </c>
      <c r="N18" s="111" t="s">
        <v>172</v>
      </c>
      <c r="O18" s="121">
        <f>IF(P18=0,0,Q18/P18)</f>
        <v>15.66923076923077</v>
      </c>
      <c r="P18" s="115">
        <v>26</v>
      </c>
      <c r="Q18" s="103">
        <v>407.40000000000003</v>
      </c>
    </row>
    <row r="19" spans="1:17" x14ac:dyDescent="0.4">
      <c r="A19" s="51" t="s">
        <v>195</v>
      </c>
      <c r="B19" s="44">
        <v>166</v>
      </c>
      <c r="C19" s="37">
        <f>IF(B$15=0,0,B19/B$15)</f>
        <v>0.51552795031055898</v>
      </c>
      <c r="E19" s="59" t="s">
        <v>81</v>
      </c>
      <c r="F19" s="56" t="s">
        <v>36</v>
      </c>
      <c r="G19" s="44">
        <v>5</v>
      </c>
      <c r="H19" s="129">
        <f>IF(B$15=0,0,G19/B$15)</f>
        <v>1.5527950310559006E-2</v>
      </c>
      <c r="I19" s="90">
        <v>8</v>
      </c>
      <c r="K19" s="36">
        <v>17</v>
      </c>
      <c r="L19" s="95">
        <v>-29.799999999999986</v>
      </c>
      <c r="N19" s="111" t="s">
        <v>196</v>
      </c>
      <c r="O19" s="121">
        <f>IF(P19=0,0,Q19/P19)</f>
        <v>5.6999999999999984</v>
      </c>
      <c r="P19" s="115">
        <v>5</v>
      </c>
      <c r="Q19" s="103">
        <v>28.499999999999993</v>
      </c>
    </row>
    <row r="20" spans="1:17" x14ac:dyDescent="0.4">
      <c r="A20" s="51" t="s">
        <v>193</v>
      </c>
      <c r="B20" s="44">
        <v>113</v>
      </c>
      <c r="C20" s="37">
        <f>IF(B$15=0,0,B20/B$15)</f>
        <v>0.35093167701863354</v>
      </c>
      <c r="E20" s="59" t="s">
        <v>85</v>
      </c>
      <c r="F20" s="56" t="s">
        <v>40</v>
      </c>
      <c r="G20" s="44">
        <v>3</v>
      </c>
      <c r="H20" s="129">
        <f>IF(B$15=0,0,G20/B$15)</f>
        <v>9.316770186335404E-3</v>
      </c>
      <c r="I20" s="90">
        <v>4</v>
      </c>
      <c r="K20" s="36">
        <v>18</v>
      </c>
      <c r="L20" s="95">
        <v>-62.399999999999991</v>
      </c>
      <c r="N20" s="111" t="s">
        <v>280</v>
      </c>
      <c r="O20" s="121">
        <f>IF(P20=0,0,Q20/P20)</f>
        <v>4.7999999999999989</v>
      </c>
      <c r="P20" s="115">
        <v>2</v>
      </c>
      <c r="Q20" s="103">
        <v>9.5999999999999979</v>
      </c>
    </row>
    <row r="21" spans="1:17" x14ac:dyDescent="0.4">
      <c r="A21" s="51" t="s">
        <v>194</v>
      </c>
      <c r="B21" s="44">
        <v>43</v>
      </c>
      <c r="C21" s="37">
        <f>IF(B$15=0,0,B21/B$15)</f>
        <v>0.13354037267080746</v>
      </c>
      <c r="E21" s="59" t="s">
        <v>91</v>
      </c>
      <c r="F21" s="56" t="s">
        <v>46</v>
      </c>
      <c r="G21" s="44">
        <v>3</v>
      </c>
      <c r="H21" s="129">
        <f>IF(B$15=0,0,G21/B$15)</f>
        <v>9.316770186335404E-3</v>
      </c>
      <c r="I21" s="90">
        <v>8</v>
      </c>
      <c r="K21" s="36">
        <v>19</v>
      </c>
      <c r="L21" s="95">
        <v>-56.399999999999991</v>
      </c>
      <c r="N21" s="111" t="s">
        <v>127</v>
      </c>
      <c r="O21" s="121">
        <f>IF(P21=0,0,Q21/P21)</f>
        <v>0.12545454545454529</v>
      </c>
      <c r="P21" s="115">
        <v>55</v>
      </c>
      <c r="Q21" s="103">
        <v>6.8999999999999915</v>
      </c>
    </row>
    <row r="22" spans="1:17" x14ac:dyDescent="0.4">
      <c r="A22" s="51" t="s">
        <v>5</v>
      </c>
      <c r="B22" s="48">
        <f>IF(B$15=0,0,C22/B$15)</f>
        <v>8240.9937888198765</v>
      </c>
      <c r="C22" s="39">
        <v>2653600</v>
      </c>
      <c r="E22" s="59" t="s">
        <v>75</v>
      </c>
      <c r="F22" s="56" t="s">
        <v>30</v>
      </c>
      <c r="G22" s="44">
        <v>2</v>
      </c>
      <c r="H22" s="129">
        <f>IF(B$15=0,0,G22/B$15)</f>
        <v>6.2111801242236021E-3</v>
      </c>
      <c r="I22" s="90">
        <v>7</v>
      </c>
      <c r="K22" s="36">
        <v>20</v>
      </c>
      <c r="L22" s="95">
        <v>-93.199999999999989</v>
      </c>
      <c r="N22" s="111" t="s">
        <v>161</v>
      </c>
      <c r="O22" s="121">
        <f>IF(P22=0,0,Q22/P22)</f>
        <v>-2.876666666666666</v>
      </c>
      <c r="P22" s="115">
        <v>30</v>
      </c>
      <c r="Q22" s="103">
        <v>-86.299999999999983</v>
      </c>
    </row>
    <row r="23" spans="1:17" x14ac:dyDescent="0.4">
      <c r="A23" s="52" t="s">
        <v>177</v>
      </c>
      <c r="B23" s="136">
        <f>IF($B$15-B$14=0,0,C23/($B$15-B$14))</f>
        <v>9184.6889952153106</v>
      </c>
      <c r="C23" s="137">
        <v>1919600</v>
      </c>
      <c r="E23" s="59" t="s">
        <v>74</v>
      </c>
      <c r="F23" s="56" t="s">
        <v>29</v>
      </c>
      <c r="G23" s="44">
        <v>1</v>
      </c>
      <c r="H23" s="129">
        <f>IF(B$15=0,0,G23/B$15)</f>
        <v>3.105590062111801E-3</v>
      </c>
      <c r="I23" s="90">
        <v>6</v>
      </c>
      <c r="K23" s="36">
        <v>21</v>
      </c>
      <c r="L23" s="95">
        <v>-123.69999999999999</v>
      </c>
      <c r="N23" s="111" t="s">
        <v>170</v>
      </c>
      <c r="O23" s="121">
        <f>IF(P23=0,0,Q23/P23)</f>
        <v>-10.093650793650792</v>
      </c>
      <c r="P23" s="115">
        <v>63</v>
      </c>
      <c r="Q23" s="103">
        <v>-635.89999999999986</v>
      </c>
    </row>
    <row r="24" spans="1:17" x14ac:dyDescent="0.4">
      <c r="A24" s="52" t="s">
        <v>178</v>
      </c>
      <c r="B24" s="136">
        <f>IF(B$14=0,0,C24/B$14)</f>
        <v>6495.575221238938</v>
      </c>
      <c r="C24" s="137">
        <v>734000</v>
      </c>
      <c r="E24" s="59" t="s">
        <v>87</v>
      </c>
      <c r="F24" s="56" t="s">
        <v>42</v>
      </c>
      <c r="G24" s="44">
        <v>1</v>
      </c>
      <c r="H24" s="129">
        <f>IF(B$15=0,0,G24/B$15)</f>
        <v>3.105590062111801E-3</v>
      </c>
      <c r="I24" s="90">
        <v>4</v>
      </c>
      <c r="K24" s="36">
        <v>22</v>
      </c>
      <c r="L24" s="95">
        <v>-66.999999999999986</v>
      </c>
      <c r="N24" s="111" t="s">
        <v>126</v>
      </c>
      <c r="O24" s="121">
        <f>IF(P24=0,0,Q24/P24)</f>
        <v>-12.623880597014924</v>
      </c>
      <c r="P24" s="115">
        <v>67</v>
      </c>
      <c r="Q24" s="103">
        <v>-845.8</v>
      </c>
    </row>
    <row r="25" spans="1:17" x14ac:dyDescent="0.4">
      <c r="A25" s="52" t="s">
        <v>176</v>
      </c>
      <c r="B25" s="136">
        <f>IF(B$16=0,0,C25/B$16)</f>
        <v>-7051.875</v>
      </c>
      <c r="C25" s="137">
        <v>-1128300</v>
      </c>
      <c r="E25" s="59" t="s">
        <v>88</v>
      </c>
      <c r="F25" s="56" t="s">
        <v>43</v>
      </c>
      <c r="G25" s="44">
        <v>1</v>
      </c>
      <c r="H25" s="129">
        <f>IF(B$15=0,0,G25/B$15)</f>
        <v>3.105590062111801E-3</v>
      </c>
      <c r="I25" s="90">
        <v>3</v>
      </c>
      <c r="K25" s="36">
        <v>23</v>
      </c>
      <c r="L25" s="95">
        <v>-59.599999999999987</v>
      </c>
      <c r="N25" s="111" t="s">
        <v>274</v>
      </c>
      <c r="O25" s="121">
        <f>IF(P25=0,0,Q25/P25)</f>
        <v>-38.25</v>
      </c>
      <c r="P25" s="115">
        <v>2</v>
      </c>
      <c r="Q25" s="103">
        <v>-76.5</v>
      </c>
    </row>
    <row r="26" spans="1:17" x14ac:dyDescent="0.4">
      <c r="A26" s="51" t="s">
        <v>164</v>
      </c>
      <c r="B26" s="44">
        <v>6</v>
      </c>
      <c r="C26" s="131">
        <v>0</v>
      </c>
      <c r="E26" s="59" t="s">
        <v>92</v>
      </c>
      <c r="F26" s="56" t="s">
        <v>47</v>
      </c>
      <c r="G26" s="44">
        <v>1</v>
      </c>
      <c r="H26" s="129">
        <f>IF(B$15=0,0,G26/B$15)</f>
        <v>3.105590062111801E-3</v>
      </c>
      <c r="I26" s="90">
        <v>6</v>
      </c>
      <c r="K26" s="36">
        <v>24</v>
      </c>
      <c r="L26" s="95">
        <v>-91.399999999999991</v>
      </c>
    </row>
    <row r="27" spans="1:17" x14ac:dyDescent="0.4">
      <c r="A27" s="51" t="s">
        <v>165</v>
      </c>
      <c r="B27" s="44">
        <v>44</v>
      </c>
      <c r="C27" s="131">
        <v>2</v>
      </c>
      <c r="E27" s="59" t="s">
        <v>93</v>
      </c>
      <c r="F27" s="56" t="s">
        <v>48</v>
      </c>
      <c r="G27" s="44">
        <v>1</v>
      </c>
      <c r="H27" s="129">
        <f>IF(B$15=0,0,G27/B$15)</f>
        <v>3.105590062111801E-3</v>
      </c>
      <c r="I27" s="90">
        <v>3</v>
      </c>
      <c r="K27" s="36">
        <v>25</v>
      </c>
      <c r="L27" s="95">
        <v>-41.29999999999999</v>
      </c>
    </row>
    <row r="28" spans="1:17" x14ac:dyDescent="0.4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3.105590062111801E-3</v>
      </c>
      <c r="I28" s="90">
        <v>1</v>
      </c>
      <c r="K28" s="36">
        <v>26</v>
      </c>
      <c r="L28" s="95">
        <v>-54.099999999999994</v>
      </c>
    </row>
    <row r="29" spans="1:17" x14ac:dyDescent="0.4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A30" s="53" t="s">
        <v>139</v>
      </c>
      <c r="B30" s="61">
        <v>2</v>
      </c>
      <c r="C30" s="40">
        <f>IF(B$3=0,0,B30/B$3)</f>
        <v>1.736111111111111E-3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">
      <c r="A32" s="86" t="s">
        <v>183</v>
      </c>
      <c r="B32" s="144">
        <v>19</v>
      </c>
      <c r="C32" s="141">
        <f>IF(B$15=0,0,B32/B$15)</f>
        <v>5.9006211180124224E-2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">
      <c r="A33" s="51" t="s">
        <v>179</v>
      </c>
      <c r="B33" s="44">
        <v>61</v>
      </c>
      <c r="C33" s="37">
        <f t="shared" ref="C33:C44" si="2">IF(B$15=0,0,B33/B$15)</f>
        <v>0.18944099378881987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">
      <c r="A34" s="51" t="s">
        <v>180</v>
      </c>
      <c r="B34" s="145">
        <v>66</v>
      </c>
      <c r="C34" s="37">
        <f>IF(B$15=0,0,B34/B$15)</f>
        <v>0.20496894409937888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">
      <c r="A35" s="51" t="s">
        <v>181</v>
      </c>
      <c r="B35" s="145">
        <v>59</v>
      </c>
      <c r="C35" s="37">
        <f t="shared" si="2"/>
        <v>0.18322981366459629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">
      <c r="A36" s="51" t="s">
        <v>182</v>
      </c>
      <c r="B36" s="145">
        <v>47</v>
      </c>
      <c r="C36" s="37">
        <f t="shared" si="2"/>
        <v>0.14596273291925466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5</v>
      </c>
      <c r="K36" s="36">
        <v>34</v>
      </c>
      <c r="L36" s="95">
        <v>-63.999999999999979</v>
      </c>
    </row>
    <row r="37" spans="1:12" x14ac:dyDescent="0.4">
      <c r="A37" s="51" t="s">
        <v>184</v>
      </c>
      <c r="B37" s="145">
        <v>37</v>
      </c>
      <c r="C37" s="37">
        <f t="shared" si="2"/>
        <v>0.11490683229813664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">
      <c r="A38" s="51" t="s">
        <v>185</v>
      </c>
      <c r="B38" s="145">
        <v>15</v>
      </c>
      <c r="C38" s="37">
        <f t="shared" si="2"/>
        <v>4.6583850931677016E-2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">
      <c r="A39" s="51" t="s">
        <v>186</v>
      </c>
      <c r="B39" s="145">
        <v>7</v>
      </c>
      <c r="C39" s="37">
        <f t="shared" si="2"/>
        <v>2.1739130434782608E-2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">
      <c r="A40" s="51" t="s">
        <v>187</v>
      </c>
      <c r="B40" s="145">
        <v>3</v>
      </c>
      <c r="C40" s="37">
        <f t="shared" si="2"/>
        <v>9.316770186335404E-3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">
      <c r="A41" s="51" t="s">
        <v>188</v>
      </c>
      <c r="B41" s="145">
        <v>2</v>
      </c>
      <c r="C41" s="37">
        <f t="shared" si="2"/>
        <v>6.2111801242236021E-3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">
      <c r="A42" s="51" t="s">
        <v>189</v>
      </c>
      <c r="B42" s="145">
        <v>1</v>
      </c>
      <c r="C42" s="37">
        <f t="shared" si="2"/>
        <v>3.105590062111801E-3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">
      <c r="A43" s="51" t="s">
        <v>190</v>
      </c>
      <c r="B43" s="145">
        <v>2</v>
      </c>
      <c r="C43" s="37">
        <f t="shared" si="2"/>
        <v>6.2111801242236021E-3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">
      <c r="A44" s="53" t="s">
        <v>191</v>
      </c>
      <c r="B44" s="140">
        <v>3</v>
      </c>
      <c r="C44" s="40">
        <f t="shared" si="2"/>
        <v>9.316770186335404E-3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  <row r="69" spans="11:12" x14ac:dyDescent="0.4">
      <c r="K69" s="36">
        <v>67</v>
      </c>
      <c r="L69" s="95">
        <v>-2.7999999999999794</v>
      </c>
    </row>
    <row r="70" spans="11:12" x14ac:dyDescent="0.4">
      <c r="K70" s="36">
        <v>68</v>
      </c>
      <c r="L70" s="95">
        <v>-35.799999999999983</v>
      </c>
    </row>
    <row r="71" spans="11:12" x14ac:dyDescent="0.4">
      <c r="K71" s="36">
        <v>69</v>
      </c>
      <c r="L71" s="95">
        <v>-59.899999999999984</v>
      </c>
    </row>
    <row r="72" spans="11:12" x14ac:dyDescent="0.4">
      <c r="K72" s="36">
        <v>70</v>
      </c>
      <c r="L72" s="95">
        <v>-49.59999999999998</v>
      </c>
    </row>
    <row r="73" spans="11:12" x14ac:dyDescent="0.4">
      <c r="K73" s="36">
        <v>71</v>
      </c>
      <c r="L73" s="95">
        <v>-53.999999999999979</v>
      </c>
    </row>
    <row r="74" spans="11:12" x14ac:dyDescent="0.4">
      <c r="K74" s="36">
        <v>72</v>
      </c>
      <c r="L74" s="95">
        <v>-68.199999999999974</v>
      </c>
    </row>
    <row r="75" spans="11:12" x14ac:dyDescent="0.4">
      <c r="K75" s="36">
        <v>73</v>
      </c>
      <c r="L75" s="95">
        <v>-65.699999999999974</v>
      </c>
    </row>
    <row r="76" spans="11:12" x14ac:dyDescent="0.4">
      <c r="K76" s="36">
        <v>74</v>
      </c>
      <c r="L76" s="95">
        <v>-35.599999999999973</v>
      </c>
    </row>
    <row r="77" spans="11:12" x14ac:dyDescent="0.4">
      <c r="K77" s="36">
        <v>75</v>
      </c>
      <c r="L77" s="95">
        <v>-37.499999999999972</v>
      </c>
    </row>
    <row r="78" spans="11:12" x14ac:dyDescent="0.4">
      <c r="K78" s="36">
        <v>76</v>
      </c>
      <c r="L78" s="95">
        <v>-28.199999999999971</v>
      </c>
    </row>
    <row r="79" spans="11:12" x14ac:dyDescent="0.4">
      <c r="K79" s="36">
        <v>77</v>
      </c>
      <c r="L79" s="95">
        <v>-87.299999999999969</v>
      </c>
    </row>
    <row r="80" spans="11:12" x14ac:dyDescent="0.4">
      <c r="K80" s="36">
        <v>78</v>
      </c>
      <c r="L80" s="95">
        <v>-133.39999999999998</v>
      </c>
    </row>
    <row r="81" spans="11:12" x14ac:dyDescent="0.4">
      <c r="K81" s="36">
        <v>79</v>
      </c>
      <c r="L81" s="95">
        <v>-169.99999999999997</v>
      </c>
    </row>
    <row r="82" spans="11:12" x14ac:dyDescent="0.4">
      <c r="K82" s="36">
        <v>80</v>
      </c>
      <c r="L82" s="95">
        <v>-165.79999999999998</v>
      </c>
    </row>
    <row r="83" spans="11:12" x14ac:dyDescent="0.4">
      <c r="K83" s="36">
        <v>81</v>
      </c>
      <c r="L83" s="95">
        <v>-115.99999999999999</v>
      </c>
    </row>
    <row r="84" spans="11:12" x14ac:dyDescent="0.4">
      <c r="K84" s="36">
        <v>82</v>
      </c>
      <c r="L84" s="95">
        <v>-117.19999999999999</v>
      </c>
    </row>
    <row r="85" spans="11:12" x14ac:dyDescent="0.4">
      <c r="K85" s="36">
        <v>83</v>
      </c>
      <c r="L85" s="95">
        <v>-128.6</v>
      </c>
    </row>
    <row r="86" spans="11:12" x14ac:dyDescent="0.4">
      <c r="K86" s="36">
        <v>84</v>
      </c>
      <c r="L86" s="95">
        <v>-119.8</v>
      </c>
    </row>
    <row r="87" spans="11:12" x14ac:dyDescent="0.4">
      <c r="K87" s="36">
        <v>85</v>
      </c>
      <c r="L87" s="95">
        <v>-97.4</v>
      </c>
    </row>
    <row r="88" spans="11:12" x14ac:dyDescent="0.4">
      <c r="K88" s="36">
        <v>86</v>
      </c>
      <c r="L88" s="95">
        <v>-83.800000000000011</v>
      </c>
    </row>
    <row r="89" spans="11:12" x14ac:dyDescent="0.4">
      <c r="K89" s="36">
        <v>87</v>
      </c>
      <c r="L89" s="95">
        <v>-57.400000000000013</v>
      </c>
    </row>
    <row r="90" spans="11:12" x14ac:dyDescent="0.4">
      <c r="K90" s="36">
        <v>88</v>
      </c>
      <c r="L90" s="95">
        <v>-63.20000000000001</v>
      </c>
    </row>
    <row r="91" spans="11:12" x14ac:dyDescent="0.4">
      <c r="K91" s="36">
        <v>89</v>
      </c>
      <c r="L91" s="95">
        <v>-119.60000000000001</v>
      </c>
    </row>
    <row r="92" spans="11:12" x14ac:dyDescent="0.4">
      <c r="K92" s="36">
        <v>90</v>
      </c>
      <c r="L92" s="95">
        <v>-57.600000000000009</v>
      </c>
    </row>
    <row r="93" spans="11:12" x14ac:dyDescent="0.4">
      <c r="K93" s="36">
        <v>91</v>
      </c>
      <c r="L93" s="95">
        <v>-54.900000000000006</v>
      </c>
    </row>
    <row r="94" spans="11:12" x14ac:dyDescent="0.4">
      <c r="K94" s="36">
        <v>92</v>
      </c>
      <c r="L94" s="95">
        <v>-17.100000000000009</v>
      </c>
    </row>
    <row r="95" spans="11:12" x14ac:dyDescent="0.4">
      <c r="K95" s="36">
        <v>93</v>
      </c>
      <c r="L95" s="95">
        <v>8.7999999999999901</v>
      </c>
    </row>
    <row r="96" spans="11:12" x14ac:dyDescent="0.4">
      <c r="K96" s="36">
        <v>94</v>
      </c>
      <c r="L96" s="95">
        <v>-4.1000000000000103</v>
      </c>
    </row>
    <row r="97" spans="11:12" x14ac:dyDescent="0.4">
      <c r="K97" s="36">
        <v>95</v>
      </c>
      <c r="L97" s="95">
        <v>31.899999999999991</v>
      </c>
    </row>
    <row r="98" spans="11:12" x14ac:dyDescent="0.4">
      <c r="K98" s="36">
        <v>96</v>
      </c>
      <c r="L98" s="95">
        <v>52.29999999999999</v>
      </c>
    </row>
    <row r="99" spans="11:12" x14ac:dyDescent="0.4">
      <c r="K99" s="36">
        <v>97</v>
      </c>
      <c r="L99" s="95">
        <v>13.999999999999993</v>
      </c>
    </row>
    <row r="100" spans="11:12" x14ac:dyDescent="0.4">
      <c r="K100" s="36">
        <v>98</v>
      </c>
      <c r="L100" s="95">
        <v>21.399999999999991</v>
      </c>
    </row>
    <row r="101" spans="11:12" x14ac:dyDescent="0.4">
      <c r="K101" s="36">
        <v>99</v>
      </c>
      <c r="L101" s="95">
        <v>-5.4000000000000092</v>
      </c>
    </row>
    <row r="102" spans="11:12" x14ac:dyDescent="0.4">
      <c r="K102" s="36">
        <v>100</v>
      </c>
      <c r="L102" s="95">
        <v>-25.600000000000009</v>
      </c>
    </row>
    <row r="103" spans="11:12" x14ac:dyDescent="0.4">
      <c r="K103" s="36">
        <v>101</v>
      </c>
      <c r="L103" s="95">
        <v>32.199999999999989</v>
      </c>
    </row>
    <row r="104" spans="11:12" x14ac:dyDescent="0.4">
      <c r="K104" s="36">
        <v>102</v>
      </c>
      <c r="L104" s="95">
        <v>27.699999999999989</v>
      </c>
    </row>
    <row r="105" spans="11:12" x14ac:dyDescent="0.4">
      <c r="K105" s="36">
        <v>103</v>
      </c>
      <c r="L105" s="95">
        <v>45.79999999999999</v>
      </c>
    </row>
    <row r="106" spans="11:12" x14ac:dyDescent="0.4">
      <c r="K106" s="36">
        <v>104</v>
      </c>
      <c r="L106" s="95">
        <v>122.19999999999999</v>
      </c>
    </row>
    <row r="107" spans="11:12" x14ac:dyDescent="0.4">
      <c r="K107" s="36">
        <v>105</v>
      </c>
      <c r="L107" s="95">
        <v>86.299999999999983</v>
      </c>
    </row>
    <row r="108" spans="11:12" x14ac:dyDescent="0.4">
      <c r="K108" s="36">
        <v>106</v>
      </c>
      <c r="L108" s="95">
        <v>84.299999999999983</v>
      </c>
    </row>
    <row r="109" spans="11:12" x14ac:dyDescent="0.4">
      <c r="K109" s="36">
        <v>107</v>
      </c>
      <c r="L109" s="95">
        <v>106.29999999999998</v>
      </c>
    </row>
    <row r="110" spans="11:12" x14ac:dyDescent="0.4">
      <c r="K110" s="36">
        <v>108</v>
      </c>
      <c r="L110" s="95">
        <v>99.199999999999989</v>
      </c>
    </row>
    <row r="111" spans="11:12" x14ac:dyDescent="0.4">
      <c r="K111" s="36">
        <v>109</v>
      </c>
      <c r="L111" s="95">
        <v>132.19999999999999</v>
      </c>
    </row>
    <row r="112" spans="11:12" x14ac:dyDescent="0.4">
      <c r="K112" s="36">
        <v>110</v>
      </c>
      <c r="L112" s="95">
        <v>120.1</v>
      </c>
    </row>
    <row r="113" spans="11:12" x14ac:dyDescent="0.4">
      <c r="K113" s="36">
        <v>111</v>
      </c>
      <c r="L113" s="95">
        <v>106.3</v>
      </c>
    </row>
    <row r="114" spans="11:12" x14ac:dyDescent="0.4">
      <c r="K114" s="36">
        <v>112</v>
      </c>
      <c r="L114" s="95">
        <v>104.5</v>
      </c>
    </row>
    <row r="115" spans="11:12" x14ac:dyDescent="0.4">
      <c r="K115" s="36">
        <v>113</v>
      </c>
      <c r="L115" s="95">
        <v>101.5</v>
      </c>
    </row>
    <row r="116" spans="11:12" x14ac:dyDescent="0.4">
      <c r="K116" s="36">
        <v>114</v>
      </c>
      <c r="L116" s="95">
        <v>116.9</v>
      </c>
    </row>
    <row r="117" spans="11:12" x14ac:dyDescent="0.4">
      <c r="K117" s="36">
        <v>115</v>
      </c>
      <c r="L117" s="95">
        <v>87.800000000000011</v>
      </c>
    </row>
    <row r="118" spans="11:12" x14ac:dyDescent="0.4">
      <c r="K118" s="36">
        <v>116</v>
      </c>
      <c r="L118" s="95">
        <v>70.800000000000011</v>
      </c>
    </row>
    <row r="119" spans="11:12" x14ac:dyDescent="0.4">
      <c r="K119" s="36">
        <v>117</v>
      </c>
      <c r="L119" s="95">
        <v>63.600000000000009</v>
      </c>
    </row>
    <row r="120" spans="11:12" x14ac:dyDescent="0.4">
      <c r="K120" s="36">
        <v>118</v>
      </c>
      <c r="L120" s="95">
        <v>98.4</v>
      </c>
    </row>
    <row r="121" spans="11:12" x14ac:dyDescent="0.4">
      <c r="K121" s="36">
        <v>119</v>
      </c>
      <c r="L121" s="95">
        <v>96.600000000000009</v>
      </c>
    </row>
    <row r="122" spans="11:12" x14ac:dyDescent="0.4">
      <c r="K122" s="36">
        <v>120</v>
      </c>
      <c r="L122" s="95">
        <v>66.700000000000017</v>
      </c>
    </row>
    <row r="123" spans="11:12" x14ac:dyDescent="0.4">
      <c r="K123" s="36">
        <v>121</v>
      </c>
      <c r="L123" s="95">
        <v>34.200000000000017</v>
      </c>
    </row>
    <row r="124" spans="11:12" x14ac:dyDescent="0.4">
      <c r="K124" s="36">
        <v>122</v>
      </c>
      <c r="L124" s="95">
        <v>0.10000000000001563</v>
      </c>
    </row>
    <row r="125" spans="11:12" x14ac:dyDescent="0.4">
      <c r="K125" s="36">
        <v>123</v>
      </c>
      <c r="L125" s="95">
        <v>-36.999999999999986</v>
      </c>
    </row>
    <row r="126" spans="11:12" x14ac:dyDescent="0.4">
      <c r="K126" s="36">
        <v>124</v>
      </c>
      <c r="L126" s="95">
        <v>-66.899999999999977</v>
      </c>
    </row>
    <row r="127" spans="11:12" x14ac:dyDescent="0.4">
      <c r="K127" s="36">
        <v>125</v>
      </c>
      <c r="L127" s="95">
        <v>-84.899999999999977</v>
      </c>
    </row>
    <row r="128" spans="11:12" x14ac:dyDescent="0.4">
      <c r="K128" s="36">
        <v>126</v>
      </c>
      <c r="L128" s="95">
        <v>-132.19999999999999</v>
      </c>
    </row>
    <row r="129" spans="11:12" x14ac:dyDescent="0.4">
      <c r="K129" s="36">
        <v>127</v>
      </c>
      <c r="L129" s="95">
        <v>-132.5</v>
      </c>
    </row>
    <row r="130" spans="11:12" x14ac:dyDescent="0.4">
      <c r="K130" s="36">
        <v>128</v>
      </c>
      <c r="L130" s="95">
        <v>-181.1</v>
      </c>
    </row>
    <row r="131" spans="11:12" x14ac:dyDescent="0.4">
      <c r="K131" s="36">
        <v>129</v>
      </c>
      <c r="L131" s="95">
        <v>-210.29999999999998</v>
      </c>
    </row>
    <row r="132" spans="11:12" x14ac:dyDescent="0.4">
      <c r="K132" s="36">
        <v>130</v>
      </c>
      <c r="L132" s="95">
        <v>-230.89999999999998</v>
      </c>
    </row>
    <row r="133" spans="11:12" x14ac:dyDescent="0.4">
      <c r="K133" s="36">
        <v>131</v>
      </c>
      <c r="L133" s="95">
        <v>-242.39999999999998</v>
      </c>
    </row>
    <row r="134" spans="11:12" x14ac:dyDescent="0.4">
      <c r="K134" s="36">
        <v>132</v>
      </c>
      <c r="L134" s="95">
        <v>-238.2</v>
      </c>
    </row>
    <row r="135" spans="11:12" x14ac:dyDescent="0.4">
      <c r="K135" s="36">
        <v>133</v>
      </c>
      <c r="L135" s="95">
        <v>-227.5</v>
      </c>
    </row>
    <row r="136" spans="11:12" x14ac:dyDescent="0.4">
      <c r="K136" s="36">
        <v>134</v>
      </c>
      <c r="L136" s="95">
        <v>-193.6</v>
      </c>
    </row>
    <row r="137" spans="11:12" x14ac:dyDescent="0.4">
      <c r="K137" s="36">
        <v>135</v>
      </c>
      <c r="L137" s="95">
        <v>-212.1</v>
      </c>
    </row>
    <row r="138" spans="11:12" x14ac:dyDescent="0.4">
      <c r="K138" s="36">
        <v>136</v>
      </c>
      <c r="L138" s="95">
        <v>-179.1</v>
      </c>
    </row>
    <row r="139" spans="11:12" x14ac:dyDescent="0.4">
      <c r="K139" s="36">
        <v>137</v>
      </c>
      <c r="L139" s="95">
        <v>-152.29999999999998</v>
      </c>
    </row>
    <row r="140" spans="11:12" x14ac:dyDescent="0.4">
      <c r="K140" s="36">
        <v>138</v>
      </c>
      <c r="L140" s="95">
        <v>-162.49999999999997</v>
      </c>
    </row>
    <row r="141" spans="11:12" x14ac:dyDescent="0.4">
      <c r="K141" s="36">
        <v>139</v>
      </c>
      <c r="L141" s="95">
        <v>-150.29999999999998</v>
      </c>
    </row>
    <row r="142" spans="11:12" x14ac:dyDescent="0.4">
      <c r="K142" s="36">
        <v>140</v>
      </c>
      <c r="L142" s="95">
        <v>-96.799999999999983</v>
      </c>
    </row>
    <row r="143" spans="11:12" x14ac:dyDescent="0.4">
      <c r="K143" s="36">
        <v>141</v>
      </c>
      <c r="L143" s="95">
        <v>-105.99999999999999</v>
      </c>
    </row>
    <row r="144" spans="11:12" x14ac:dyDescent="0.4">
      <c r="K144" s="36">
        <v>142</v>
      </c>
      <c r="L144" s="95">
        <v>-142.29999999999998</v>
      </c>
    </row>
  </sheetData>
  <sortState xmlns:xlrd2="http://schemas.microsoft.com/office/spreadsheetml/2017/richdata2" ref="N15:Q25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66C1-91BC-4E9F-BD5F-061B3ABF088E}">
  <sheetPr codeName="Sheet19"/>
  <dimension ref="A1:Q64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62</v>
      </c>
      <c r="C2" s="155"/>
      <c r="E2" s="58" t="s">
        <v>66</v>
      </c>
      <c r="F2" s="55" t="s">
        <v>22</v>
      </c>
      <c r="G2" s="43">
        <v>93</v>
      </c>
      <c r="H2" s="128">
        <f>IF(B$15=0,0,G2/B$15)</f>
        <v>0.69402985074626866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-2541.9354838709678</v>
      </c>
      <c r="P2" s="114">
        <v>62</v>
      </c>
      <c r="Q2" s="98">
        <v>-157600</v>
      </c>
    </row>
    <row r="3" spans="1:17" x14ac:dyDescent="0.4">
      <c r="A3" s="51" t="s">
        <v>8</v>
      </c>
      <c r="B3" s="156">
        <v>517</v>
      </c>
      <c r="C3" s="157"/>
      <c r="E3" s="59" t="s">
        <v>72</v>
      </c>
      <c r="F3" s="56" t="s">
        <v>27</v>
      </c>
      <c r="G3" s="44">
        <v>87</v>
      </c>
      <c r="H3" s="129">
        <f>IF(B$15=0,0,G3/B$15)</f>
        <v>0.64925373134328357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738.70967741935488</v>
      </c>
      <c r="P3" s="115">
        <v>62</v>
      </c>
      <c r="Q3" s="99">
        <v>45800</v>
      </c>
    </row>
    <row r="4" spans="1:17" x14ac:dyDescent="0.4">
      <c r="A4" s="51" t="s">
        <v>6</v>
      </c>
      <c r="B4" s="158">
        <v>-665.40000000000009</v>
      </c>
      <c r="C4" s="159"/>
      <c r="E4" s="59" t="s">
        <v>64</v>
      </c>
      <c r="F4" s="56" t="s">
        <v>20</v>
      </c>
      <c r="G4" s="44">
        <v>55</v>
      </c>
      <c r="H4" s="129">
        <f>IF(B$15=0,0,G4/B$15)</f>
        <v>0.41044776119402987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-691.52542372881351</v>
      </c>
      <c r="P4" s="115">
        <v>59</v>
      </c>
      <c r="Q4" s="99">
        <v>-40800</v>
      </c>
    </row>
    <row r="5" spans="1:17" x14ac:dyDescent="0.4">
      <c r="A5" s="51" t="s">
        <v>7</v>
      </c>
      <c r="B5" s="160">
        <f>IF(B$2=0,0,B$4/B$2)</f>
        <v>-10.732258064516131</v>
      </c>
      <c r="C5" s="161"/>
      <c r="E5" s="59" t="s">
        <v>166</v>
      </c>
      <c r="F5" s="56" t="s">
        <v>167</v>
      </c>
      <c r="G5" s="44">
        <v>47</v>
      </c>
      <c r="H5" s="129">
        <f>IF(B$15=0,0,G5/B$15)</f>
        <v>0.35074626865671643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-1784.9056603773586</v>
      </c>
      <c r="P5" s="115">
        <v>53</v>
      </c>
      <c r="Q5" s="99">
        <v>-94600</v>
      </c>
    </row>
    <row r="6" spans="1:17" x14ac:dyDescent="0.4">
      <c r="A6" s="51" t="s">
        <v>1</v>
      </c>
      <c r="B6" s="150">
        <f>IF(B$2=0,0,(B$7*1+B$8*2+B$9*3)/B$2)</f>
        <v>2.274193548387097</v>
      </c>
      <c r="C6" s="151"/>
      <c r="E6" s="59" t="s">
        <v>68</v>
      </c>
      <c r="F6" s="56" t="s">
        <v>12</v>
      </c>
      <c r="G6" s="44">
        <v>36</v>
      </c>
      <c r="H6" s="129">
        <f>IF(B$15=0,0,G6/B$15)</f>
        <v>0.26865671641791045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-1862</v>
      </c>
      <c r="P6" s="115">
        <v>50</v>
      </c>
      <c r="Q6" s="99">
        <v>-93100</v>
      </c>
    </row>
    <row r="7" spans="1:17" x14ac:dyDescent="0.4">
      <c r="A7" s="51" t="s">
        <v>2</v>
      </c>
      <c r="B7" s="44">
        <v>10</v>
      </c>
      <c r="C7" s="37">
        <f t="shared" ref="C7:C10" si="1">IF(B$2=0,0,B7/B$2)</f>
        <v>0.16129032258064516</v>
      </c>
      <c r="E7" s="59" t="s">
        <v>67</v>
      </c>
      <c r="F7" s="56" t="s">
        <v>23</v>
      </c>
      <c r="G7" s="44">
        <v>30</v>
      </c>
      <c r="H7" s="129">
        <f>IF(B$15=0,0,G7/B$15)</f>
        <v>0.22388059701492538</v>
      </c>
      <c r="I7" s="90">
        <v>11</v>
      </c>
      <c r="K7" s="36">
        <v>5</v>
      </c>
      <c r="L7" s="95">
        <v>-124.3</v>
      </c>
      <c r="N7" s="112" t="s">
        <v>135</v>
      </c>
      <c r="O7" s="119">
        <f t="shared" si="0"/>
        <v>-2182.9268292682927</v>
      </c>
      <c r="P7" s="116">
        <v>41</v>
      </c>
      <c r="Q7" s="100">
        <v>-89500</v>
      </c>
    </row>
    <row r="8" spans="1:17" x14ac:dyDescent="0.4">
      <c r="A8" s="51" t="s">
        <v>3</v>
      </c>
      <c r="B8" s="44">
        <v>25</v>
      </c>
      <c r="C8" s="37">
        <f t="shared" si="1"/>
        <v>0.40322580645161288</v>
      </c>
      <c r="E8" s="59" t="s">
        <v>89</v>
      </c>
      <c r="F8" s="56" t="s">
        <v>44</v>
      </c>
      <c r="G8" s="44">
        <v>20</v>
      </c>
      <c r="H8" s="129">
        <f>IF(B$15=0,0,G8/B$15)</f>
        <v>0.14925373134328357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27</v>
      </c>
      <c r="C9" s="38">
        <f t="shared" si="1"/>
        <v>0.43548387096774194</v>
      </c>
      <c r="E9" s="59" t="s">
        <v>65</v>
      </c>
      <c r="F9" s="56" t="s">
        <v>21</v>
      </c>
      <c r="G9" s="44">
        <v>16</v>
      </c>
      <c r="H9" s="129">
        <f>IF(B$15=0,0,G9/B$15)</f>
        <v>0.11940298507462686</v>
      </c>
      <c r="I9" s="90">
        <v>7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10</v>
      </c>
      <c r="C10" s="40">
        <f t="shared" si="1"/>
        <v>0.16129032258064516</v>
      </c>
      <c r="E10" s="59" t="s">
        <v>71</v>
      </c>
      <c r="F10" s="56" t="s">
        <v>26</v>
      </c>
      <c r="G10" s="44">
        <v>13</v>
      </c>
      <c r="H10" s="129">
        <f>IF(B$15=0,0,G10/B$15)</f>
        <v>9.7014925373134331E-2</v>
      </c>
      <c r="I10" s="90">
        <v>4</v>
      </c>
      <c r="K10" s="36">
        <v>8</v>
      </c>
      <c r="L10" s="95">
        <v>-152.6</v>
      </c>
      <c r="N10" s="110" t="s">
        <v>157</v>
      </c>
      <c r="O10" s="120">
        <f>IF(P10=0,0,Q10/P10)</f>
        <v>-18.719230769230769</v>
      </c>
      <c r="P10" s="114">
        <v>26</v>
      </c>
      <c r="Q10" s="102">
        <v>-486.7</v>
      </c>
    </row>
    <row r="11" spans="1:17" x14ac:dyDescent="0.4">
      <c r="A11" s="54" t="s">
        <v>121</v>
      </c>
      <c r="B11" s="47">
        <v>109</v>
      </c>
      <c r="C11" s="42">
        <f>IF(B$3=0,0,B11/B$3)</f>
        <v>0.21083172147001933</v>
      </c>
      <c r="E11" s="59" t="s">
        <v>69</v>
      </c>
      <c r="F11" s="56" t="s">
        <v>24</v>
      </c>
      <c r="G11" s="44">
        <v>12</v>
      </c>
      <c r="H11" s="129">
        <f>IF(B$15=0,0,G11/B$15)</f>
        <v>8.9552238805970144E-2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-2.8555555555555552</v>
      </c>
      <c r="P11" s="115">
        <v>18</v>
      </c>
      <c r="Q11" s="103">
        <v>-51.399999999999991</v>
      </c>
    </row>
    <row r="12" spans="1:17" x14ac:dyDescent="0.4">
      <c r="A12" s="51" t="s">
        <v>118</v>
      </c>
      <c r="B12" s="44">
        <v>118</v>
      </c>
      <c r="C12" s="37">
        <f>IF(B$3=0,0,B12/B$3)</f>
        <v>0.22823984526112184</v>
      </c>
      <c r="E12" s="59" t="s">
        <v>70</v>
      </c>
      <c r="F12" s="56" t="s">
        <v>25</v>
      </c>
      <c r="G12" s="44">
        <v>12</v>
      </c>
      <c r="H12" s="129">
        <f>IF(B$15=0,0,G12/B$15)</f>
        <v>8.9552238805970144E-2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-7.072222222222222</v>
      </c>
      <c r="P12" s="116">
        <v>18</v>
      </c>
      <c r="Q12" s="104">
        <v>-127.3</v>
      </c>
    </row>
    <row r="13" spans="1:17" x14ac:dyDescent="0.4">
      <c r="A13" s="50" t="s">
        <v>123</v>
      </c>
      <c r="B13" s="43">
        <f>B19</f>
        <v>57</v>
      </c>
      <c r="C13" s="35">
        <f>IF(B$11=0,0,B13/B$11)</f>
        <v>0.52293577981651373</v>
      </c>
      <c r="E13" s="59" t="s">
        <v>83</v>
      </c>
      <c r="F13" s="56" t="s">
        <v>38</v>
      </c>
      <c r="G13" s="44">
        <v>8</v>
      </c>
      <c r="H13" s="129">
        <f>IF(B$15=0,0,G13/B$15)</f>
        <v>5.9701492537313432E-2</v>
      </c>
      <c r="I13" s="90">
        <v>4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51</v>
      </c>
      <c r="C14" s="35">
        <f>IF(B$12=0,0,B14/B$12)</f>
        <v>0.43220338983050849</v>
      </c>
      <c r="E14" s="59" t="s">
        <v>86</v>
      </c>
      <c r="F14" s="56" t="s">
        <v>41</v>
      </c>
      <c r="G14" s="44">
        <v>8</v>
      </c>
      <c r="H14" s="129">
        <f>IF(B$15=0,0,G14/B$15)</f>
        <v>5.9701492537313432E-2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134</v>
      </c>
      <c r="C15" s="35">
        <f>IF(B$3=0,0,B15/B$3)</f>
        <v>0.25918762088974856</v>
      </c>
      <c r="E15" s="59" t="s">
        <v>81</v>
      </c>
      <c r="F15" s="56" t="s">
        <v>36</v>
      </c>
      <c r="G15" s="44">
        <v>7</v>
      </c>
      <c r="H15" s="129">
        <f>IF(B$15=0,0,G15/B$15)</f>
        <v>5.2238805970149252E-2</v>
      </c>
      <c r="I15" s="90">
        <v>2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5.5722222222222184</v>
      </c>
      <c r="P15" s="114">
        <v>18</v>
      </c>
      <c r="Q15" s="102">
        <v>100.29999999999993</v>
      </c>
    </row>
    <row r="16" spans="1:17" x14ac:dyDescent="0.4">
      <c r="A16" s="51" t="s">
        <v>13</v>
      </c>
      <c r="B16" s="44">
        <v>92</v>
      </c>
      <c r="C16" s="37">
        <f>IF(B$3=0,0,B16/B$3)</f>
        <v>0.17794970986460348</v>
      </c>
      <c r="E16" s="59" t="s">
        <v>91</v>
      </c>
      <c r="F16" s="56" t="s">
        <v>46</v>
      </c>
      <c r="G16" s="44">
        <v>2</v>
      </c>
      <c r="H16" s="129">
        <f>IF(B$15=0,0,G16/B$15)</f>
        <v>1.4925373134328358E-2</v>
      </c>
      <c r="I16" s="90">
        <v>5</v>
      </c>
      <c r="K16" s="36">
        <v>14</v>
      </c>
      <c r="L16" s="95">
        <v>-266.90000000000003</v>
      </c>
      <c r="N16" s="111" t="s">
        <v>280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">
      <c r="A17" s="51" t="s">
        <v>12</v>
      </c>
      <c r="B17" s="44">
        <v>61</v>
      </c>
      <c r="C17" s="37">
        <f>IF(B$15=0,0,B17/B$15)</f>
        <v>0.45522388059701491</v>
      </c>
      <c r="E17" s="59" t="s">
        <v>74</v>
      </c>
      <c r="F17" s="56" t="s">
        <v>29</v>
      </c>
      <c r="G17" s="44">
        <v>1</v>
      </c>
      <c r="H17" s="129">
        <f>IF(B$15=0,0,G17/B$15)</f>
        <v>7.462686567164179E-3</v>
      </c>
      <c r="I17" s="90">
        <v>2</v>
      </c>
      <c r="K17" s="36">
        <v>15</v>
      </c>
      <c r="L17" s="95">
        <v>-272.50000000000006</v>
      </c>
      <c r="N17" s="111" t="s">
        <v>170</v>
      </c>
      <c r="O17" s="121">
        <f t="shared" si="2"/>
        <v>-11.178571428571429</v>
      </c>
      <c r="P17" s="115">
        <v>28</v>
      </c>
      <c r="Q17" s="103">
        <v>-313</v>
      </c>
    </row>
    <row r="18" spans="1:17" x14ac:dyDescent="0.4">
      <c r="A18" s="51" t="s">
        <v>11</v>
      </c>
      <c r="B18" s="44">
        <v>73</v>
      </c>
      <c r="C18" s="37">
        <f>IF(B$15=0,0,B18/B$15)</f>
        <v>0.54477611940298509</v>
      </c>
      <c r="E18" s="59" t="s">
        <v>78</v>
      </c>
      <c r="F18" s="56" t="s">
        <v>33</v>
      </c>
      <c r="G18" s="44">
        <v>1</v>
      </c>
      <c r="H18" s="129">
        <f>IF(B$15=0,0,G18/B$15)</f>
        <v>7.462686567164179E-3</v>
      </c>
      <c r="I18" s="90">
        <v>10</v>
      </c>
      <c r="K18" s="36">
        <v>16</v>
      </c>
      <c r="L18" s="95">
        <v>-320.30000000000007</v>
      </c>
      <c r="N18" s="111" t="s">
        <v>274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">
      <c r="A19" s="51" t="s">
        <v>195</v>
      </c>
      <c r="B19" s="44">
        <v>57</v>
      </c>
      <c r="C19" s="37">
        <f>IF(B$15=0,0,B19/B$15)</f>
        <v>0.42537313432835822</v>
      </c>
      <c r="E19" s="59" t="s">
        <v>92</v>
      </c>
      <c r="F19" s="56" t="s">
        <v>47</v>
      </c>
      <c r="G19" s="44">
        <v>1</v>
      </c>
      <c r="H19" s="129">
        <f>IF(B$15=0,0,G19/B$15)</f>
        <v>7.462686567164179E-3</v>
      </c>
      <c r="I19" s="90">
        <v>4</v>
      </c>
      <c r="K19" s="36">
        <v>17</v>
      </c>
      <c r="L19" s="95">
        <v>-352.60000000000008</v>
      </c>
      <c r="N19" s="111" t="s">
        <v>127</v>
      </c>
      <c r="O19" s="121">
        <f t="shared" si="2"/>
        <v>-16.62857142857143</v>
      </c>
      <c r="P19" s="115">
        <v>14</v>
      </c>
      <c r="Q19" s="103">
        <v>-232.8</v>
      </c>
    </row>
    <row r="20" spans="1:17" x14ac:dyDescent="0.4">
      <c r="A20" s="51" t="s">
        <v>193</v>
      </c>
      <c r="B20" s="44">
        <v>51</v>
      </c>
      <c r="C20" s="37">
        <f>IF(B$15=0,0,B20/B$15)</f>
        <v>0.38059701492537312</v>
      </c>
      <c r="E20" s="59" t="s">
        <v>95</v>
      </c>
      <c r="F20" s="56" t="s">
        <v>50</v>
      </c>
      <c r="G20" s="44">
        <v>1</v>
      </c>
      <c r="H20" s="129">
        <f>IF(B$15=0,0,G20/B$15)</f>
        <v>7.462686567164179E-3</v>
      </c>
      <c r="I20" s="90">
        <v>1</v>
      </c>
      <c r="K20" s="36">
        <v>18</v>
      </c>
      <c r="L20" s="95">
        <v>-355.50000000000006</v>
      </c>
      <c r="N20" s="111" t="s">
        <v>171</v>
      </c>
      <c r="O20" s="121">
        <f t="shared" si="2"/>
        <v>-16.860714285714284</v>
      </c>
      <c r="P20" s="115">
        <v>28</v>
      </c>
      <c r="Q20" s="103">
        <v>-472.09999999999997</v>
      </c>
    </row>
    <row r="21" spans="1:17" x14ac:dyDescent="0.4">
      <c r="A21" s="51" t="s">
        <v>194</v>
      </c>
      <c r="B21" s="44">
        <v>26</v>
      </c>
      <c r="C21" s="37">
        <f>IF(B$15=0,0,B21/B$15)</f>
        <v>0.19402985074626866</v>
      </c>
      <c r="E21" s="59" t="s">
        <v>162</v>
      </c>
      <c r="F21" s="56" t="s">
        <v>163</v>
      </c>
      <c r="G21" s="44">
        <v>1</v>
      </c>
      <c r="H21" s="129">
        <f>IF(B$15=0,0,G21/B$15)</f>
        <v>7.462686567164179E-3</v>
      </c>
      <c r="I21" s="90">
        <v>8</v>
      </c>
      <c r="K21" s="36">
        <v>19</v>
      </c>
      <c r="L21" s="95">
        <v>-400.60000000000008</v>
      </c>
      <c r="N21" s="111" t="s">
        <v>203</v>
      </c>
      <c r="O21" s="121">
        <f t="shared" si="2"/>
        <v>-17.649999999999999</v>
      </c>
      <c r="P21" s="115">
        <v>2</v>
      </c>
      <c r="Q21" s="103">
        <v>-35.299999999999997</v>
      </c>
    </row>
    <row r="22" spans="1:17" x14ac:dyDescent="0.4">
      <c r="A22" s="51" t="s">
        <v>5</v>
      </c>
      <c r="B22" s="48">
        <f>IF(B$15=0,0,C22/B$15)</f>
        <v>8070.1492537313434</v>
      </c>
      <c r="C22" s="39">
        <v>1081400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5</v>
      </c>
      <c r="K22" s="36">
        <v>20</v>
      </c>
      <c r="L22" s="95">
        <v>-428.10000000000008</v>
      </c>
      <c r="N22" s="111" t="s">
        <v>172</v>
      </c>
      <c r="O22" s="121">
        <f t="shared" si="2"/>
        <v>-24.274999999999999</v>
      </c>
      <c r="P22" s="115">
        <v>4</v>
      </c>
      <c r="Q22" s="103">
        <v>-97.1</v>
      </c>
    </row>
    <row r="23" spans="1:17" x14ac:dyDescent="0.4">
      <c r="A23" s="52" t="s">
        <v>177</v>
      </c>
      <c r="B23" s="136">
        <f>IF($B$15-B$14=0,0,C23/($B$15-B$14))</f>
        <v>8591.5662650602408</v>
      </c>
      <c r="C23" s="137">
        <v>713100</v>
      </c>
      <c r="E23" s="59" t="s">
        <v>75</v>
      </c>
      <c r="F23" s="56" t="s">
        <v>30</v>
      </c>
      <c r="G23" s="44">
        <v>0</v>
      </c>
      <c r="H23" s="129">
        <f>IF(B$15=0,0,G23/B$15)</f>
        <v>0</v>
      </c>
      <c r="I23" s="90">
        <v>10</v>
      </c>
      <c r="K23" s="36">
        <v>21</v>
      </c>
      <c r="L23" s="95">
        <v>-423.7000000000001</v>
      </c>
      <c r="N23" s="111" t="s">
        <v>126</v>
      </c>
      <c r="O23" s="121">
        <f t="shared" si="2"/>
        <v>-26.642105263157902</v>
      </c>
      <c r="P23" s="115">
        <v>19</v>
      </c>
      <c r="Q23" s="103">
        <v>-506.2000000000001</v>
      </c>
    </row>
    <row r="24" spans="1:17" x14ac:dyDescent="0.4">
      <c r="A24" s="52" t="s">
        <v>178</v>
      </c>
      <c r="B24" s="136">
        <f>IF(B$14=0,0,C24/B$14)</f>
        <v>7221.5686274509808</v>
      </c>
      <c r="C24" s="137">
        <v>368300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1</v>
      </c>
      <c r="K24" s="36">
        <v>22</v>
      </c>
      <c r="L24" s="95">
        <v>-465.00000000000011</v>
      </c>
      <c r="N24" s="111" t="s">
        <v>196</v>
      </c>
      <c r="O24" s="121">
        <f t="shared" si="2"/>
        <v>-60.640000000000008</v>
      </c>
      <c r="P24" s="115">
        <v>5</v>
      </c>
      <c r="Q24" s="103">
        <v>-303.20000000000005</v>
      </c>
    </row>
    <row r="25" spans="1:17" x14ac:dyDescent="0.4">
      <c r="A25" s="52" t="s">
        <v>176</v>
      </c>
      <c r="B25" s="136">
        <f>IF(B$16=0,0,C25/B$16)</f>
        <v>-8323.9130434782601</v>
      </c>
      <c r="C25" s="137">
        <v>-765800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-450.10000000000014</v>
      </c>
      <c r="N25" s="111" t="s">
        <v>228</v>
      </c>
      <c r="O25" s="121">
        <f t="shared" si="2"/>
        <v>-65.55</v>
      </c>
      <c r="P25" s="115">
        <v>2</v>
      </c>
      <c r="Q25" s="103">
        <v>-131.1</v>
      </c>
    </row>
    <row r="26" spans="1:17" x14ac:dyDescent="0.4">
      <c r="A26" s="51" t="s">
        <v>164</v>
      </c>
      <c r="B26" s="44">
        <v>5</v>
      </c>
      <c r="C26" s="131">
        <v>0</v>
      </c>
      <c r="E26" s="59" t="s">
        <v>79</v>
      </c>
      <c r="F26" s="56" t="s">
        <v>34</v>
      </c>
      <c r="G26" s="44">
        <v>0</v>
      </c>
      <c r="H26" s="129">
        <f>IF(B$15=0,0,G26/B$15)</f>
        <v>0</v>
      </c>
      <c r="I26" s="90">
        <v>10</v>
      </c>
      <c r="K26" s="36">
        <v>24</v>
      </c>
      <c r="L26" s="95">
        <v>-474.10000000000014</v>
      </c>
    </row>
    <row r="27" spans="1:17" x14ac:dyDescent="0.4">
      <c r="A27" s="51" t="s">
        <v>165</v>
      </c>
      <c r="B27" s="44">
        <v>21</v>
      </c>
      <c r="C27" s="131">
        <v>5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">
      <c r="A30" s="53" t="s">
        <v>139</v>
      </c>
      <c r="B30" s="61">
        <v>3</v>
      </c>
      <c r="C30" s="40">
        <f>IF(B$3=0,0,B30/B$3)</f>
        <v>5.8027079303675051E-3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7</v>
      </c>
      <c r="K30" s="36">
        <v>28</v>
      </c>
      <c r="L30" s="95">
        <v>-447.30000000000013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-442.60000000000014</v>
      </c>
    </row>
    <row r="32" spans="1:17" x14ac:dyDescent="0.4">
      <c r="A32" s="86" t="s">
        <v>183</v>
      </c>
      <c r="B32" s="144">
        <v>12</v>
      </c>
      <c r="C32" s="141">
        <f>IF(B$15=0,0,B32/B$15)</f>
        <v>8.9552238805970144E-2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5</v>
      </c>
      <c r="K32" s="36">
        <v>30</v>
      </c>
      <c r="L32" s="95">
        <v>-472.50000000000011</v>
      </c>
    </row>
    <row r="33" spans="1:12" x14ac:dyDescent="0.4">
      <c r="A33" s="51" t="s">
        <v>179</v>
      </c>
      <c r="B33" s="44">
        <v>26</v>
      </c>
      <c r="C33" s="37">
        <f t="shared" ref="C33:C44" si="3">IF(B$15=0,0,B33/B$15)</f>
        <v>0.19402985074626866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">
      <c r="A34" s="51" t="s">
        <v>180</v>
      </c>
      <c r="B34" s="145">
        <v>27</v>
      </c>
      <c r="C34" s="37">
        <f>IF(B$15=0,0,B34/B$15)</f>
        <v>0.20149253731343283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">
      <c r="A35" s="51" t="s">
        <v>181</v>
      </c>
      <c r="B35" s="145">
        <v>21</v>
      </c>
      <c r="C35" s="37">
        <f t="shared" si="3"/>
        <v>0.15671641791044777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">
      <c r="A36" s="51" t="s">
        <v>182</v>
      </c>
      <c r="B36" s="145">
        <v>19</v>
      </c>
      <c r="C36" s="37">
        <f t="shared" si="3"/>
        <v>0.1417910447761194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">
      <c r="A37" s="51" t="s">
        <v>184</v>
      </c>
      <c r="B37" s="145">
        <v>11</v>
      </c>
      <c r="C37" s="37">
        <f t="shared" si="3"/>
        <v>8.2089552238805971E-2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">
      <c r="A38" s="51" t="s">
        <v>185</v>
      </c>
      <c r="B38" s="145">
        <v>10</v>
      </c>
      <c r="C38" s="37">
        <f t="shared" si="3"/>
        <v>7.4626865671641784E-2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">
      <c r="A39" s="51" t="s">
        <v>186</v>
      </c>
      <c r="B39" s="145">
        <v>5</v>
      </c>
      <c r="C39" s="37">
        <f t="shared" si="3"/>
        <v>3.7313432835820892E-2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">
      <c r="A41" s="51" t="s">
        <v>188</v>
      </c>
      <c r="B41" s="145">
        <v>1</v>
      </c>
      <c r="C41" s="37">
        <f t="shared" si="3"/>
        <v>7.462686567164179E-3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">
      <c r="A44" s="53" t="s">
        <v>191</v>
      </c>
      <c r="B44" s="140">
        <v>2</v>
      </c>
      <c r="C44" s="40">
        <f t="shared" si="3"/>
        <v>1.4925373134328358E-2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">
      <c r="K53" s="36">
        <v>51</v>
      </c>
      <c r="L53" s="95">
        <v>-614.70000000000005</v>
      </c>
    </row>
    <row r="54" spans="5:12" x14ac:dyDescent="0.4">
      <c r="K54" s="36">
        <v>52</v>
      </c>
      <c r="L54" s="95">
        <v>-603.1</v>
      </c>
    </row>
    <row r="55" spans="5:12" x14ac:dyDescent="0.4">
      <c r="K55" s="36">
        <v>53</v>
      </c>
      <c r="L55" s="95">
        <v>-652.6</v>
      </c>
    </row>
    <row r="56" spans="5:12" x14ac:dyDescent="0.4">
      <c r="K56" s="36">
        <v>54</v>
      </c>
      <c r="L56" s="95">
        <v>-626.4</v>
      </c>
    </row>
    <row r="57" spans="5:12" x14ac:dyDescent="0.4">
      <c r="K57" s="36">
        <v>55</v>
      </c>
      <c r="L57" s="95">
        <v>-626.4</v>
      </c>
    </row>
    <row r="58" spans="5:12" x14ac:dyDescent="0.4">
      <c r="K58" s="36">
        <v>56</v>
      </c>
      <c r="L58" s="95">
        <v>-620</v>
      </c>
    </row>
    <row r="59" spans="5:12" x14ac:dyDescent="0.4">
      <c r="K59" s="36">
        <v>57</v>
      </c>
      <c r="L59" s="95">
        <v>-623.6</v>
      </c>
    </row>
    <row r="60" spans="5:12" x14ac:dyDescent="0.4">
      <c r="K60" s="36">
        <v>58</v>
      </c>
      <c r="L60" s="95">
        <v>-614.20000000000005</v>
      </c>
    </row>
    <row r="61" spans="5:12" x14ac:dyDescent="0.4">
      <c r="K61" s="36">
        <v>59</v>
      </c>
      <c r="L61" s="95">
        <v>-627.40000000000009</v>
      </c>
    </row>
    <row r="62" spans="5:12" x14ac:dyDescent="0.4">
      <c r="K62" s="36">
        <v>60</v>
      </c>
      <c r="L62" s="95">
        <v>-656.2</v>
      </c>
    </row>
    <row r="63" spans="5:12" x14ac:dyDescent="0.4">
      <c r="K63" s="36">
        <v>61</v>
      </c>
      <c r="L63" s="95">
        <v>-653.40000000000009</v>
      </c>
    </row>
    <row r="64" spans="5:12" x14ac:dyDescent="0.4">
      <c r="K64" s="36">
        <v>62</v>
      </c>
      <c r="L64" s="95">
        <v>-665.40000000000009</v>
      </c>
    </row>
  </sheetData>
  <sortState xmlns:xlrd2="http://schemas.microsoft.com/office/spreadsheetml/2017/richdata2" ref="E2:I6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5796-D0B7-4FBE-B9A2-87DA0344D12B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25</v>
      </c>
      <c r="C2" s="155"/>
      <c r="E2" s="58" t="s">
        <v>66</v>
      </c>
      <c r="F2" s="55" t="s">
        <v>22</v>
      </c>
      <c r="G2" s="43">
        <v>63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-3136</v>
      </c>
      <c r="P2" s="114">
        <v>25</v>
      </c>
      <c r="Q2" s="98">
        <v>-78400</v>
      </c>
    </row>
    <row r="3" spans="1:17" x14ac:dyDescent="0.4">
      <c r="A3" s="51" t="s">
        <v>8</v>
      </c>
      <c r="B3" s="156">
        <v>240</v>
      </c>
      <c r="C3" s="157"/>
      <c r="E3" s="59" t="s">
        <v>64</v>
      </c>
      <c r="F3" s="56" t="s">
        <v>20</v>
      </c>
      <c r="G3" s="44">
        <v>37</v>
      </c>
      <c r="H3" s="129">
        <f>IF(B$15=0,0,G3/B$15)</f>
        <v>0.58730158730158732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-1216</v>
      </c>
      <c r="P3" s="115">
        <v>25</v>
      </c>
      <c r="Q3" s="99">
        <v>-30400</v>
      </c>
    </row>
    <row r="4" spans="1:17" x14ac:dyDescent="0.4">
      <c r="A4" s="51" t="s">
        <v>6</v>
      </c>
      <c r="B4" s="158">
        <v>-45.7</v>
      </c>
      <c r="C4" s="159"/>
      <c r="E4" s="59" t="s">
        <v>68</v>
      </c>
      <c r="F4" s="56" t="s">
        <v>12</v>
      </c>
      <c r="G4" s="44">
        <v>28</v>
      </c>
      <c r="H4" s="129">
        <f>IF(B$15=0,0,G4/B$15)</f>
        <v>0.44444444444444442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1454.1666666666667</v>
      </c>
      <c r="P4" s="115">
        <v>24</v>
      </c>
      <c r="Q4" s="99">
        <v>34900</v>
      </c>
    </row>
    <row r="5" spans="1:17" x14ac:dyDescent="0.4">
      <c r="A5" s="51" t="s">
        <v>7</v>
      </c>
      <c r="B5" s="160">
        <f>IF(B$2=0,0,B$4/B$2)</f>
        <v>-1.8280000000000001</v>
      </c>
      <c r="C5" s="161"/>
      <c r="E5" s="59" t="s">
        <v>166</v>
      </c>
      <c r="F5" s="56" t="s">
        <v>167</v>
      </c>
      <c r="G5" s="44">
        <v>24</v>
      </c>
      <c r="H5" s="129">
        <f>IF(B$15=0,0,G5/B$15)</f>
        <v>0.38095238095238093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-2866.6666666666665</v>
      </c>
      <c r="P5" s="115">
        <v>24</v>
      </c>
      <c r="Q5" s="99">
        <v>-68800</v>
      </c>
    </row>
    <row r="6" spans="1:17" x14ac:dyDescent="0.4">
      <c r="A6" s="51" t="s">
        <v>1</v>
      </c>
      <c r="B6" s="150">
        <f>IF(B$2=0,0,(B$7*1+B$8*2+B$9*3)/B$2)</f>
        <v>2.04</v>
      </c>
      <c r="C6" s="151"/>
      <c r="E6" s="59" t="s">
        <v>72</v>
      </c>
      <c r="F6" s="56" t="s">
        <v>27</v>
      </c>
      <c r="G6" s="44">
        <v>21</v>
      </c>
      <c r="H6" s="129">
        <f>IF(B$15=0,0,G6/B$15)</f>
        <v>0.33333333333333331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4822.727272727273</v>
      </c>
      <c r="P6" s="115">
        <v>22</v>
      </c>
      <c r="Q6" s="99">
        <v>106100</v>
      </c>
    </row>
    <row r="7" spans="1:17" x14ac:dyDescent="0.4">
      <c r="A7" s="51" t="s">
        <v>2</v>
      </c>
      <c r="B7" s="44">
        <v>9</v>
      </c>
      <c r="C7" s="37">
        <f t="shared" ref="C7:C10" si="1">IF(B$2=0,0,B7/B$2)</f>
        <v>0.36</v>
      </c>
      <c r="E7" s="59" t="s">
        <v>67</v>
      </c>
      <c r="F7" s="56" t="s">
        <v>23</v>
      </c>
      <c r="G7" s="44">
        <v>16</v>
      </c>
      <c r="H7" s="129">
        <f>IF(B$15=0,0,G7/B$15)</f>
        <v>0.25396825396825395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711.11111111111109</v>
      </c>
      <c r="P7" s="116">
        <v>18</v>
      </c>
      <c r="Q7" s="100">
        <v>12800</v>
      </c>
    </row>
    <row r="8" spans="1:17" x14ac:dyDescent="0.4">
      <c r="A8" s="51" t="s">
        <v>3</v>
      </c>
      <c r="B8" s="44">
        <v>6</v>
      </c>
      <c r="C8" s="37">
        <f t="shared" si="1"/>
        <v>0.24</v>
      </c>
      <c r="E8" s="59" t="s">
        <v>69</v>
      </c>
      <c r="F8" s="56" t="s">
        <v>24</v>
      </c>
      <c r="G8" s="44">
        <v>13</v>
      </c>
      <c r="H8" s="129">
        <f>IF(B$15=0,0,G8/B$15)</f>
        <v>0.20634920634920634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10</v>
      </c>
      <c r="C9" s="38">
        <f t="shared" si="1"/>
        <v>0.4</v>
      </c>
      <c r="E9" s="59" t="s">
        <v>65</v>
      </c>
      <c r="F9" s="56" t="s">
        <v>21</v>
      </c>
      <c r="G9" s="44">
        <v>9</v>
      </c>
      <c r="H9" s="129">
        <f>IF(B$15=0,0,G9/B$15)</f>
        <v>0.14285714285714285</v>
      </c>
      <c r="I9" s="90">
        <v>4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0.12</v>
      </c>
      <c r="E10" s="59" t="s">
        <v>70</v>
      </c>
      <c r="F10" s="56" t="s">
        <v>25</v>
      </c>
      <c r="G10" s="44">
        <v>7</v>
      </c>
      <c r="H10" s="129">
        <f>IF(B$15=0,0,G10/B$15)</f>
        <v>0.1111111111111111</v>
      </c>
      <c r="I10" s="90">
        <v>6</v>
      </c>
      <c r="K10" s="36">
        <v>8</v>
      </c>
      <c r="L10" s="95">
        <v>124.6</v>
      </c>
      <c r="N10" s="110" t="s">
        <v>157</v>
      </c>
      <c r="O10" s="120">
        <f>IF(P10=0,0,Q10/P10)</f>
        <v>-9.1181818181818191</v>
      </c>
      <c r="P10" s="114">
        <v>11</v>
      </c>
      <c r="Q10" s="102">
        <v>-100.30000000000001</v>
      </c>
    </row>
    <row r="11" spans="1:17" x14ac:dyDescent="0.4">
      <c r="A11" s="54" t="s">
        <v>121</v>
      </c>
      <c r="B11" s="47">
        <v>62</v>
      </c>
      <c r="C11" s="42">
        <f>IF(B$3=0,0,B11/B$3)</f>
        <v>0.25833333333333336</v>
      </c>
      <c r="E11" s="59" t="s">
        <v>71</v>
      </c>
      <c r="F11" s="56" t="s">
        <v>26</v>
      </c>
      <c r="G11" s="44">
        <v>6</v>
      </c>
      <c r="H11" s="129">
        <f>IF(B$15=0,0,G11/B$15)</f>
        <v>9.5238095238095233E-2</v>
      </c>
      <c r="I11" s="90">
        <v>6</v>
      </c>
      <c r="K11" s="36">
        <v>9</v>
      </c>
      <c r="L11" s="95">
        <v>141.5</v>
      </c>
      <c r="N11" s="111" t="s">
        <v>158</v>
      </c>
      <c r="O11" s="121">
        <f>IF(P11=0,0,Q11/P11)</f>
        <v>-1.150000000000001</v>
      </c>
      <c r="P11" s="115">
        <v>6</v>
      </c>
      <c r="Q11" s="103">
        <v>-6.9000000000000057</v>
      </c>
    </row>
    <row r="12" spans="1:17" x14ac:dyDescent="0.4">
      <c r="A12" s="51" t="s">
        <v>118</v>
      </c>
      <c r="B12" s="44">
        <v>36</v>
      </c>
      <c r="C12" s="37">
        <f>IF(B$3=0,0,B12/B$3)</f>
        <v>0.15</v>
      </c>
      <c r="E12" s="59" t="s">
        <v>89</v>
      </c>
      <c r="F12" s="56" t="s">
        <v>44</v>
      </c>
      <c r="G12" s="44">
        <v>5</v>
      </c>
      <c r="H12" s="129">
        <f>IF(B$15=0,0,G12/B$15)</f>
        <v>7.9365079365079361E-2</v>
      </c>
      <c r="I12" s="90">
        <v>11</v>
      </c>
      <c r="K12" s="36">
        <v>10</v>
      </c>
      <c r="L12" s="95">
        <v>162.80000000000001</v>
      </c>
      <c r="N12" s="112" t="s">
        <v>159</v>
      </c>
      <c r="O12" s="122">
        <f>IF(P12=0,0,Q12/P12)</f>
        <v>7.6874999999999991</v>
      </c>
      <c r="P12" s="116">
        <v>8</v>
      </c>
      <c r="Q12" s="104">
        <v>61.499999999999993</v>
      </c>
    </row>
    <row r="13" spans="1:17" x14ac:dyDescent="0.4">
      <c r="A13" s="50" t="s">
        <v>123</v>
      </c>
      <c r="B13" s="43">
        <f>B19</f>
        <v>37</v>
      </c>
      <c r="C13" s="35">
        <f>IF(B$11=0,0,B13/B$11)</f>
        <v>0.59677419354838712</v>
      </c>
      <c r="E13" s="59" t="s">
        <v>78</v>
      </c>
      <c r="F13" s="56" t="s">
        <v>33</v>
      </c>
      <c r="G13" s="44">
        <v>3</v>
      </c>
      <c r="H13" s="129">
        <f>IF(B$15=0,0,G13/B$15)</f>
        <v>4.7619047619047616E-2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12</v>
      </c>
      <c r="C14" s="35">
        <f>IF(B$12=0,0,B14/B$12)</f>
        <v>0.33333333333333331</v>
      </c>
      <c r="E14" s="59" t="s">
        <v>86</v>
      </c>
      <c r="F14" s="56" t="s">
        <v>41</v>
      </c>
      <c r="G14" s="44">
        <v>3</v>
      </c>
      <c r="H14" s="129">
        <f>IF(B$15=0,0,G14/B$15)</f>
        <v>4.7619047619047616E-2</v>
      </c>
      <c r="I14" s="90">
        <v>6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63</v>
      </c>
      <c r="C15" s="35">
        <f>IF(B$3=0,0,B15/B$3)</f>
        <v>0.26250000000000001</v>
      </c>
      <c r="E15" s="59" t="s">
        <v>83</v>
      </c>
      <c r="F15" s="56" t="s">
        <v>38</v>
      </c>
      <c r="G15" s="44">
        <v>2</v>
      </c>
      <c r="H15" s="129">
        <f>IF(B$15=0,0,G15/B$15)</f>
        <v>3.1746031746031744E-2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60.640000000000008</v>
      </c>
      <c r="P15" s="114">
        <v>5</v>
      </c>
      <c r="Q15" s="102">
        <v>303.20000000000005</v>
      </c>
    </row>
    <row r="16" spans="1:17" x14ac:dyDescent="0.4">
      <c r="A16" s="51" t="s">
        <v>13</v>
      </c>
      <c r="B16" s="44">
        <v>42</v>
      </c>
      <c r="C16" s="37">
        <f>IF(B$3=0,0,B16/B$3)</f>
        <v>0.17499999999999999</v>
      </c>
      <c r="E16" s="59" t="s">
        <v>75</v>
      </c>
      <c r="F16" s="56" t="s">
        <v>30</v>
      </c>
      <c r="G16" s="44">
        <v>1</v>
      </c>
      <c r="H16" s="129">
        <f>IF(B$15=0,0,G16/B$15)</f>
        <v>1.5873015873015872E-2</v>
      </c>
      <c r="I16" s="90">
        <v>2</v>
      </c>
      <c r="K16" s="36">
        <v>14</v>
      </c>
      <c r="L16" s="95">
        <v>49.900000000000006</v>
      </c>
      <c r="N16" s="111" t="s">
        <v>170</v>
      </c>
      <c r="O16" s="121">
        <f t="shared" si="2"/>
        <v>14.1</v>
      </c>
      <c r="P16" s="115">
        <v>8</v>
      </c>
      <c r="Q16" s="103">
        <v>112.8</v>
      </c>
    </row>
    <row r="17" spans="1:17" x14ac:dyDescent="0.4">
      <c r="A17" s="51" t="s">
        <v>12</v>
      </c>
      <c r="B17" s="44">
        <v>36</v>
      </c>
      <c r="C17" s="37">
        <f>IF(B$15=0,0,B17/B$15)</f>
        <v>0.5714285714285714</v>
      </c>
      <c r="E17" s="59" t="s">
        <v>81</v>
      </c>
      <c r="F17" s="56" t="s">
        <v>36</v>
      </c>
      <c r="G17" s="44">
        <v>1</v>
      </c>
      <c r="H17" s="129">
        <f>IF(B$15=0,0,G17/B$15)</f>
        <v>1.5873015873015872E-2</v>
      </c>
      <c r="I17" s="90">
        <v>7</v>
      </c>
      <c r="K17" s="36">
        <v>15</v>
      </c>
      <c r="L17" s="95">
        <v>73.7</v>
      </c>
      <c r="N17" s="111" t="s">
        <v>172</v>
      </c>
      <c r="O17" s="121">
        <f t="shared" si="2"/>
        <v>-0.13999999999999985</v>
      </c>
      <c r="P17" s="115">
        <v>10</v>
      </c>
      <c r="Q17" s="103">
        <v>-1.3999999999999986</v>
      </c>
    </row>
    <row r="18" spans="1:17" x14ac:dyDescent="0.4">
      <c r="A18" s="51" t="s">
        <v>11</v>
      </c>
      <c r="B18" s="44">
        <v>27</v>
      </c>
      <c r="C18" s="37">
        <f>IF(B$15=0,0,B18/B$15)</f>
        <v>0.42857142857142855</v>
      </c>
      <c r="E18" s="59" t="s">
        <v>85</v>
      </c>
      <c r="F18" s="56" t="s">
        <v>40</v>
      </c>
      <c r="G18" s="44">
        <v>1</v>
      </c>
      <c r="H18" s="129">
        <f>IF(B$15=0,0,G18/B$15)</f>
        <v>1.5873015873015872E-2</v>
      </c>
      <c r="I18" s="90">
        <v>2</v>
      </c>
      <c r="K18" s="36">
        <v>16</v>
      </c>
      <c r="L18" s="95">
        <v>28.300000000000004</v>
      </c>
      <c r="N18" s="111" t="s">
        <v>171</v>
      </c>
      <c r="O18" s="121">
        <f t="shared" si="2"/>
        <v>-5.7000000000000011</v>
      </c>
      <c r="P18" s="115">
        <v>5</v>
      </c>
      <c r="Q18" s="103">
        <v>-28.500000000000004</v>
      </c>
    </row>
    <row r="19" spans="1:17" x14ac:dyDescent="0.4">
      <c r="A19" s="51" t="s">
        <v>195</v>
      </c>
      <c r="B19" s="44">
        <v>37</v>
      </c>
      <c r="C19" s="37">
        <f>IF(B$15=0,0,B19/B$15)</f>
        <v>0.58730158730158732</v>
      </c>
      <c r="E19" s="59" t="s">
        <v>87</v>
      </c>
      <c r="F19" s="56" t="s">
        <v>42</v>
      </c>
      <c r="G19" s="44">
        <v>1</v>
      </c>
      <c r="H19" s="129">
        <f>IF(B$15=0,0,G19/B$15)</f>
        <v>1.5873015873015872E-2</v>
      </c>
      <c r="I19" s="90">
        <v>2</v>
      </c>
      <c r="K19" s="36">
        <v>17</v>
      </c>
      <c r="L19" s="95">
        <v>49.800000000000004</v>
      </c>
      <c r="N19" s="111" t="s">
        <v>161</v>
      </c>
      <c r="O19" s="121">
        <f t="shared" si="2"/>
        <v>-7.4333333333333336</v>
      </c>
      <c r="P19" s="115">
        <v>6</v>
      </c>
      <c r="Q19" s="103">
        <v>-44.6</v>
      </c>
    </row>
    <row r="20" spans="1:17" x14ac:dyDescent="0.4">
      <c r="A20" s="51" t="s">
        <v>193</v>
      </c>
      <c r="B20" s="44">
        <v>12</v>
      </c>
      <c r="C20" s="37">
        <f>IF(B$15=0,0,B20/B$15)</f>
        <v>0.19047619047619047</v>
      </c>
      <c r="E20" s="59" t="s">
        <v>162</v>
      </c>
      <c r="F20" s="56" t="s">
        <v>163</v>
      </c>
      <c r="G20" s="44">
        <v>1</v>
      </c>
      <c r="H20" s="129">
        <f>IF(B$15=0,0,G20/B$15)</f>
        <v>1.5873015873015872E-2</v>
      </c>
      <c r="I20" s="90">
        <v>6</v>
      </c>
      <c r="K20" s="36">
        <v>18</v>
      </c>
      <c r="L20" s="95">
        <v>24.700000000000003</v>
      </c>
      <c r="N20" s="111" t="s">
        <v>127</v>
      </c>
      <c r="O20" s="121">
        <f t="shared" si="2"/>
        <v>-13.5</v>
      </c>
      <c r="P20" s="115">
        <v>5</v>
      </c>
      <c r="Q20" s="103">
        <v>-67.5</v>
      </c>
    </row>
    <row r="21" spans="1:17" x14ac:dyDescent="0.4">
      <c r="A21" s="51" t="s">
        <v>194</v>
      </c>
      <c r="B21" s="44">
        <v>14</v>
      </c>
      <c r="C21" s="37">
        <f>IF(B$15=0,0,B21/B$15)</f>
        <v>0.22222222222222221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5</v>
      </c>
      <c r="K21" s="36">
        <v>19</v>
      </c>
      <c r="L21" s="95">
        <v>8.7000000000000028</v>
      </c>
      <c r="N21" s="111" t="s">
        <v>228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">
      <c r="A22" s="51" t="s">
        <v>5</v>
      </c>
      <c r="B22" s="48">
        <f>IF(B$15=0,0,C22/B$15)</f>
        <v>8385.7142857142862</v>
      </c>
      <c r="C22" s="39">
        <v>528300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126</v>
      </c>
      <c r="O22" s="121">
        <f t="shared" si="2"/>
        <v>-39.662500000000009</v>
      </c>
      <c r="P22" s="115">
        <v>8</v>
      </c>
      <c r="Q22" s="103">
        <v>-317.30000000000007</v>
      </c>
    </row>
    <row r="23" spans="1:17" x14ac:dyDescent="0.4">
      <c r="A23" s="52" t="s">
        <v>177</v>
      </c>
      <c r="B23" s="136">
        <f>IF($B$15-B$14=0,0,C23/($B$15-B$14))</f>
        <v>8686.2745098039213</v>
      </c>
      <c r="C23" s="137">
        <v>443000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1</v>
      </c>
      <c r="K23" s="36">
        <v>21</v>
      </c>
      <c r="L23" s="95">
        <v>-35.4</v>
      </c>
      <c r="N23" s="111" t="s">
        <v>274</v>
      </c>
      <c r="O23" s="121">
        <f t="shared" si="2"/>
        <v>-58.099999999999994</v>
      </c>
      <c r="P23" s="115">
        <v>1</v>
      </c>
      <c r="Q23" s="103">
        <v>-58.099999999999994</v>
      </c>
    </row>
    <row r="24" spans="1:17" x14ac:dyDescent="0.4">
      <c r="A24" s="52" t="s">
        <v>178</v>
      </c>
      <c r="B24" s="136">
        <f>IF(B$14=0,0,C24/B$14)</f>
        <v>7108.333333333333</v>
      </c>
      <c r="C24" s="137">
        <v>85300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">
      <c r="A25" s="52" t="s">
        <v>176</v>
      </c>
      <c r="B25" s="136">
        <f>IF(B$16=0,0,C25/B$16)</f>
        <v>-6876.1904761904761</v>
      </c>
      <c r="C25" s="137">
        <v>-288800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10</v>
      </c>
      <c r="K25" s="36">
        <v>23</v>
      </c>
      <c r="L25" s="95">
        <v>27.299999999999997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">
      <c r="A27" s="51" t="s">
        <v>165</v>
      </c>
      <c r="B27" s="44">
        <v>19</v>
      </c>
      <c r="C27" s="131">
        <v>0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4.1666666666666666E-3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</row>
    <row r="32" spans="1:17" x14ac:dyDescent="0.4">
      <c r="A32" s="86" t="s">
        <v>183</v>
      </c>
      <c r="B32" s="144">
        <v>7</v>
      </c>
      <c r="C32" s="141">
        <f>IF(B$15=0,0,B32/B$15)</f>
        <v>0.1111111111111111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</row>
    <row r="33" spans="1:9" x14ac:dyDescent="0.4">
      <c r="A33" s="51" t="s">
        <v>179</v>
      </c>
      <c r="B33" s="44">
        <v>9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</row>
    <row r="34" spans="1:9" x14ac:dyDescent="0.4">
      <c r="A34" s="51" t="s">
        <v>180</v>
      </c>
      <c r="B34" s="145">
        <v>10</v>
      </c>
      <c r="C34" s="37">
        <f>IF(B$15=0,0,B34/B$15)</f>
        <v>0.15873015873015872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</row>
    <row r="35" spans="1:9" x14ac:dyDescent="0.4">
      <c r="A35" s="51" t="s">
        <v>181</v>
      </c>
      <c r="B35" s="145">
        <v>9</v>
      </c>
      <c r="C35" s="37">
        <f t="shared" si="3"/>
        <v>0.14285714285714285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5</v>
      </c>
    </row>
    <row r="36" spans="1:9" x14ac:dyDescent="0.4">
      <c r="A36" s="51" t="s">
        <v>182</v>
      </c>
      <c r="B36" s="145">
        <v>10</v>
      </c>
      <c r="C36" s="37">
        <f t="shared" si="3"/>
        <v>0.15873015873015872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9" x14ac:dyDescent="0.4">
      <c r="A37" s="51" t="s">
        <v>184</v>
      </c>
      <c r="B37" s="145">
        <v>12</v>
      </c>
      <c r="C37" s="37">
        <f t="shared" si="3"/>
        <v>0.19047619047619047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9" x14ac:dyDescent="0.4">
      <c r="A38" s="51" t="s">
        <v>185</v>
      </c>
      <c r="B38" s="145">
        <v>3</v>
      </c>
      <c r="C38" s="37">
        <f t="shared" si="3"/>
        <v>4.7619047619047616E-2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2</v>
      </c>
      <c r="C39" s="37">
        <f t="shared" si="3"/>
        <v>3.1746031746031744E-2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9" x14ac:dyDescent="0.4">
      <c r="A41" s="51" t="s">
        <v>188</v>
      </c>
      <c r="B41" s="145">
        <v>1</v>
      </c>
      <c r="C41" s="37">
        <f t="shared" si="3"/>
        <v>1.5873015873015872E-2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9" x14ac:dyDescent="0.4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9" x14ac:dyDescent="0.4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B315-D6A7-4A15-A119-9F93471CCAC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228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7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2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11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12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5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1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4AC48-0AEB-4A1F-93AF-AB27AEF03EF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203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3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1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7</v>
      </c>
    </row>
    <row r="26" spans="1:17" x14ac:dyDescent="0.4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BF6B-9A9F-492E-96A2-AFE46B113745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274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13</v>
      </c>
      <c r="C2" s="155"/>
      <c r="E2" s="58" t="s">
        <v>64</v>
      </c>
      <c r="F2" s="55" t="s">
        <v>20</v>
      </c>
      <c r="G2" s="43">
        <v>23</v>
      </c>
      <c r="H2" s="128">
        <f>IF(B$15=0,0,G2/B$15)</f>
        <v>0.54761904761904767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-2923.0769230769229</v>
      </c>
      <c r="P2" s="114">
        <v>13</v>
      </c>
      <c r="Q2" s="98">
        <v>-38000</v>
      </c>
    </row>
    <row r="3" spans="1:17" x14ac:dyDescent="0.4">
      <c r="A3" s="51" t="s">
        <v>8</v>
      </c>
      <c r="B3" s="156">
        <v>118</v>
      </c>
      <c r="C3" s="157"/>
      <c r="E3" s="59" t="s">
        <v>66</v>
      </c>
      <c r="F3" s="56" t="s">
        <v>22</v>
      </c>
      <c r="G3" s="44">
        <v>22</v>
      </c>
      <c r="H3" s="129">
        <f>IF(B$15=0,0,G3/B$15)</f>
        <v>0.52380952380952384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-430.76923076923077</v>
      </c>
      <c r="P3" s="115">
        <v>13</v>
      </c>
      <c r="Q3" s="99">
        <v>-5600</v>
      </c>
    </row>
    <row r="4" spans="1:17" x14ac:dyDescent="0.4">
      <c r="A4" s="51" t="s">
        <v>6</v>
      </c>
      <c r="B4" s="158">
        <v>-47.6</v>
      </c>
      <c r="C4" s="159"/>
      <c r="E4" s="59" t="s">
        <v>72</v>
      </c>
      <c r="F4" s="56" t="s">
        <v>27</v>
      </c>
      <c r="G4" s="44">
        <v>20</v>
      </c>
      <c r="H4" s="129">
        <f>IF(B$15=0,0,G4/B$15)</f>
        <v>0.47619047619047616</v>
      </c>
      <c r="I4" s="90">
        <v>10</v>
      </c>
      <c r="K4" s="36">
        <v>2</v>
      </c>
      <c r="L4" s="95">
        <v>27.8</v>
      </c>
      <c r="N4" s="111" t="s">
        <v>132</v>
      </c>
      <c r="O4" s="118">
        <f t="shared" si="0"/>
        <v>-2992.3076923076924</v>
      </c>
      <c r="P4" s="115">
        <v>13</v>
      </c>
      <c r="Q4" s="99">
        <v>-38900</v>
      </c>
    </row>
    <row r="5" spans="1:17" x14ac:dyDescent="0.4">
      <c r="A5" s="51" t="s">
        <v>7</v>
      </c>
      <c r="B5" s="160">
        <f>IF(B$2=0,0,B$4/B$2)</f>
        <v>-3.6615384615384619</v>
      </c>
      <c r="C5" s="161"/>
      <c r="E5" s="59" t="s">
        <v>68</v>
      </c>
      <c r="F5" s="56" t="s">
        <v>12</v>
      </c>
      <c r="G5" s="44">
        <v>16</v>
      </c>
      <c r="H5" s="129">
        <f>IF(B$15=0,0,G5/B$15)</f>
        <v>0.38095238095238093</v>
      </c>
      <c r="I5" s="90">
        <v>3</v>
      </c>
      <c r="K5" s="36">
        <v>3</v>
      </c>
      <c r="L5" s="95">
        <v>20.399999999999999</v>
      </c>
      <c r="N5" s="111" t="s">
        <v>133</v>
      </c>
      <c r="O5" s="118">
        <f t="shared" si="0"/>
        <v>623.07692307692309</v>
      </c>
      <c r="P5" s="115">
        <v>13</v>
      </c>
      <c r="Q5" s="99">
        <v>8100</v>
      </c>
    </row>
    <row r="6" spans="1:17" x14ac:dyDescent="0.4">
      <c r="A6" s="51" t="s">
        <v>1</v>
      </c>
      <c r="B6" s="150">
        <f>IF(B$2=0,0,(B$7*1+B$8*2+B$9*3)/B$2)</f>
        <v>2</v>
      </c>
      <c r="C6" s="151"/>
      <c r="E6" s="59" t="s">
        <v>67</v>
      </c>
      <c r="F6" s="56" t="s">
        <v>23</v>
      </c>
      <c r="G6" s="44">
        <v>13</v>
      </c>
      <c r="H6" s="129">
        <f>IF(B$15=0,0,G6/B$15)</f>
        <v>0.30952380952380953</v>
      </c>
      <c r="I6" s="90">
        <v>6</v>
      </c>
      <c r="K6" s="36">
        <v>4</v>
      </c>
      <c r="L6" s="95">
        <v>53.1</v>
      </c>
      <c r="N6" s="111" t="s">
        <v>134</v>
      </c>
      <c r="O6" s="118">
        <f t="shared" si="0"/>
        <v>-827.27272727272725</v>
      </c>
      <c r="P6" s="115">
        <v>11</v>
      </c>
      <c r="Q6" s="99">
        <v>-9100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0.38461538461538464</v>
      </c>
      <c r="E7" s="59" t="s">
        <v>166</v>
      </c>
      <c r="F7" s="56" t="s">
        <v>167</v>
      </c>
      <c r="G7" s="44">
        <v>11</v>
      </c>
      <c r="H7" s="129">
        <f>IF(B$15=0,0,G7/B$15)</f>
        <v>0.26190476190476192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4244.4444444444443</v>
      </c>
      <c r="P7" s="116">
        <v>9</v>
      </c>
      <c r="Q7" s="100">
        <v>38200</v>
      </c>
    </row>
    <row r="8" spans="1:17" x14ac:dyDescent="0.4">
      <c r="A8" s="51" t="s">
        <v>3</v>
      </c>
      <c r="B8" s="44">
        <v>3</v>
      </c>
      <c r="C8" s="37">
        <f t="shared" si="1"/>
        <v>0.23076923076923078</v>
      </c>
      <c r="E8" s="59" t="s">
        <v>65</v>
      </c>
      <c r="F8" s="56" t="s">
        <v>21</v>
      </c>
      <c r="G8" s="44">
        <v>7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5</v>
      </c>
      <c r="C9" s="38">
        <f t="shared" si="1"/>
        <v>0.38461538461538464</v>
      </c>
      <c r="E9" s="59" t="s">
        <v>69</v>
      </c>
      <c r="F9" s="56" t="s">
        <v>24</v>
      </c>
      <c r="G9" s="44">
        <v>5</v>
      </c>
      <c r="H9" s="129">
        <f>IF(B$15=0,0,G9/B$15)</f>
        <v>0.11904761904761904</v>
      </c>
      <c r="I9" s="90">
        <v>11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3</v>
      </c>
      <c r="C10" s="40">
        <f t="shared" si="1"/>
        <v>0.23076923076923078</v>
      </c>
      <c r="E10" s="59" t="s">
        <v>70</v>
      </c>
      <c r="F10" s="56" t="s">
        <v>25</v>
      </c>
      <c r="G10" s="44">
        <v>4</v>
      </c>
      <c r="H10" s="129">
        <f>IF(B$15=0,0,G10/B$15)</f>
        <v>9.5238095238095233E-2</v>
      </c>
      <c r="I10" s="90">
        <v>8</v>
      </c>
      <c r="K10" s="36">
        <v>8</v>
      </c>
      <c r="L10" s="95">
        <v>41.3</v>
      </c>
      <c r="N10" s="110" t="s">
        <v>157</v>
      </c>
      <c r="O10" s="120">
        <f>IF(P10=0,0,Q10/P10)</f>
        <v>-24.75</v>
      </c>
      <c r="P10" s="114">
        <v>4</v>
      </c>
      <c r="Q10" s="102">
        <v>-99</v>
      </c>
    </row>
    <row r="11" spans="1:17" x14ac:dyDescent="0.4">
      <c r="A11" s="54" t="s">
        <v>121</v>
      </c>
      <c r="B11" s="47">
        <v>36</v>
      </c>
      <c r="C11" s="42">
        <f>IF(B$3=0,0,B11/B$3)</f>
        <v>0.30508474576271188</v>
      </c>
      <c r="E11" s="59" t="s">
        <v>89</v>
      </c>
      <c r="F11" s="56" t="s">
        <v>44</v>
      </c>
      <c r="G11" s="44">
        <v>3</v>
      </c>
      <c r="H11" s="129">
        <f>IF(B$15=0,0,G11/B$15)</f>
        <v>7.1428571428571425E-2</v>
      </c>
      <c r="I11" s="90">
        <v>12</v>
      </c>
      <c r="K11" s="36">
        <v>9</v>
      </c>
      <c r="L11" s="95">
        <v>79.699999999999989</v>
      </c>
      <c r="N11" s="111" t="s">
        <v>158</v>
      </c>
      <c r="O11" s="121">
        <f>IF(P11=0,0,Q11/P11)</f>
        <v>1.6166666666666674</v>
      </c>
      <c r="P11" s="115">
        <v>6</v>
      </c>
      <c r="Q11" s="103">
        <v>9.7000000000000046</v>
      </c>
    </row>
    <row r="12" spans="1:17" x14ac:dyDescent="0.4">
      <c r="A12" s="51" t="s">
        <v>118</v>
      </c>
      <c r="B12" s="44">
        <v>15</v>
      </c>
      <c r="C12" s="37">
        <f>IF(B$3=0,0,B12/B$3)</f>
        <v>0.1271186440677966</v>
      </c>
      <c r="E12" s="59" t="s">
        <v>83</v>
      </c>
      <c r="F12" s="56" t="s">
        <v>38</v>
      </c>
      <c r="G12" s="44">
        <v>2</v>
      </c>
      <c r="H12" s="129">
        <f>IF(B$15=0,0,G12/B$15)</f>
        <v>4.7619047619047616E-2</v>
      </c>
      <c r="I12" s="90">
        <v>9</v>
      </c>
      <c r="K12" s="36">
        <v>10</v>
      </c>
      <c r="L12" s="95">
        <v>86.1</v>
      </c>
      <c r="N12" s="112" t="s">
        <v>159</v>
      </c>
      <c r="O12" s="122">
        <f>IF(P12=0,0,Q12/P12)</f>
        <v>13.899999999999999</v>
      </c>
      <c r="P12" s="116">
        <v>3</v>
      </c>
      <c r="Q12" s="104">
        <v>41.699999999999996</v>
      </c>
    </row>
    <row r="13" spans="1:17" x14ac:dyDescent="0.4">
      <c r="A13" s="50" t="s">
        <v>123</v>
      </c>
      <c r="B13" s="43">
        <f>B19</f>
        <v>22</v>
      </c>
      <c r="C13" s="35">
        <f>IF(B$11=0,0,B13/B$11)</f>
        <v>0.61111111111111116</v>
      </c>
      <c r="E13" s="59" t="s">
        <v>85</v>
      </c>
      <c r="F13" s="56" t="s">
        <v>40</v>
      </c>
      <c r="G13" s="44">
        <v>2</v>
      </c>
      <c r="H13" s="129">
        <f>IF(B$15=0,0,G13/B$15)</f>
        <v>4.7619047619047616E-2</v>
      </c>
      <c r="I13" s="90">
        <v>1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11</v>
      </c>
      <c r="C14" s="35">
        <f>IF(B$12=0,0,B14/B$12)</f>
        <v>0.73333333333333328</v>
      </c>
      <c r="E14" s="59" t="s">
        <v>71</v>
      </c>
      <c r="F14" s="56" t="s">
        <v>26</v>
      </c>
      <c r="G14" s="44">
        <v>1</v>
      </c>
      <c r="H14" s="129">
        <f>IF(B$15=0,0,G14/B$15)</f>
        <v>2.3809523809523808E-2</v>
      </c>
      <c r="I14" s="90">
        <v>13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42</v>
      </c>
      <c r="C15" s="35">
        <f>IF(B$3=0,0,B15/B$3)</f>
        <v>0.3559322033898305</v>
      </c>
      <c r="E15" s="59" t="s">
        <v>75</v>
      </c>
      <c r="F15" s="56" t="s">
        <v>30</v>
      </c>
      <c r="G15" s="44">
        <v>1</v>
      </c>
      <c r="H15" s="129">
        <f>IF(B$15=0,0,G15/B$15)</f>
        <v>2.3809523809523808E-2</v>
      </c>
      <c r="I15" s="90">
        <v>1</v>
      </c>
      <c r="K15" s="36">
        <v>13</v>
      </c>
      <c r="L15" s="95">
        <v>-47.6</v>
      </c>
      <c r="N15" s="110" t="s">
        <v>196</v>
      </c>
      <c r="O15" s="120">
        <f t="shared" ref="O15:O22" si="2">IF(P15=0,0,Q15/P15)</f>
        <v>58.099999999999994</v>
      </c>
      <c r="P15" s="114">
        <v>1</v>
      </c>
      <c r="Q15" s="102">
        <v>58.099999999999994</v>
      </c>
    </row>
    <row r="16" spans="1:17" x14ac:dyDescent="0.4">
      <c r="A16" s="51" t="s">
        <v>13</v>
      </c>
      <c r="B16" s="44">
        <v>20</v>
      </c>
      <c r="C16" s="37">
        <f>IF(B$3=0,0,B16/B$3)</f>
        <v>0.16949152542372881</v>
      </c>
      <c r="E16" s="59" t="s">
        <v>79</v>
      </c>
      <c r="F16" s="56" t="s">
        <v>34</v>
      </c>
      <c r="G16" s="44">
        <v>1</v>
      </c>
      <c r="H16" s="129">
        <f>IF(B$15=0,0,G16/B$15)</f>
        <v>2.3809523809523808E-2</v>
      </c>
      <c r="I16" s="90">
        <v>2</v>
      </c>
      <c r="N16" s="111" t="s">
        <v>171</v>
      </c>
      <c r="O16" s="121">
        <f t="shared" si="2"/>
        <v>38.25</v>
      </c>
      <c r="P16" s="115">
        <v>2</v>
      </c>
      <c r="Q16" s="103">
        <v>76.5</v>
      </c>
    </row>
    <row r="17" spans="1:17" x14ac:dyDescent="0.4">
      <c r="A17" s="51" t="s">
        <v>12</v>
      </c>
      <c r="B17" s="44">
        <v>21</v>
      </c>
      <c r="C17" s="37">
        <f>IF(B$15=0,0,B17/B$15)</f>
        <v>0.5</v>
      </c>
      <c r="E17" s="59" t="s">
        <v>86</v>
      </c>
      <c r="F17" s="56" t="s">
        <v>41</v>
      </c>
      <c r="G17" s="44">
        <v>1</v>
      </c>
      <c r="H17" s="129">
        <f>IF(B$15=0,0,G17/B$15)</f>
        <v>2.3809523809523808E-2</v>
      </c>
      <c r="I17" s="90">
        <v>11</v>
      </c>
      <c r="N17" s="111" t="s">
        <v>172</v>
      </c>
      <c r="O17" s="121">
        <f t="shared" si="2"/>
        <v>19.249999999999996</v>
      </c>
      <c r="P17" s="115">
        <v>4</v>
      </c>
      <c r="Q17" s="103">
        <v>76.999999999999986</v>
      </c>
    </row>
    <row r="18" spans="1:17" x14ac:dyDescent="0.4">
      <c r="A18" s="51" t="s">
        <v>11</v>
      </c>
      <c r="B18" s="44">
        <v>21</v>
      </c>
      <c r="C18" s="37">
        <f>IF(B$15=0,0,B18/B$15)</f>
        <v>0.5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5</v>
      </c>
      <c r="N18" s="111" t="s">
        <v>197</v>
      </c>
      <c r="O18" s="121">
        <f t="shared" si="2"/>
        <v>12.000000000000002</v>
      </c>
      <c r="P18" s="115">
        <v>1</v>
      </c>
      <c r="Q18" s="103">
        <v>12.000000000000002</v>
      </c>
    </row>
    <row r="19" spans="1:17" x14ac:dyDescent="0.4">
      <c r="A19" s="51" t="s">
        <v>195</v>
      </c>
      <c r="B19" s="44">
        <v>22</v>
      </c>
      <c r="C19" s="37">
        <f>IF(B$15=0,0,B19/B$15)</f>
        <v>0.52380952380952384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N19" s="111" t="s">
        <v>127</v>
      </c>
      <c r="O19" s="121">
        <f t="shared" si="2"/>
        <v>-0.39999999999999858</v>
      </c>
      <c r="P19" s="115">
        <v>4</v>
      </c>
      <c r="Q19" s="103">
        <v>-1.5999999999999943</v>
      </c>
    </row>
    <row r="20" spans="1:17" x14ac:dyDescent="0.4">
      <c r="A20" s="51" t="s">
        <v>193</v>
      </c>
      <c r="B20" s="44">
        <v>11</v>
      </c>
      <c r="C20" s="37">
        <f>IF(B$15=0,0,B20/B$15)</f>
        <v>0.26190476190476192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1</v>
      </c>
      <c r="N20" s="111" t="s">
        <v>170</v>
      </c>
      <c r="O20" s="121">
        <f t="shared" si="2"/>
        <v>-5.4749999999999988</v>
      </c>
      <c r="P20" s="115">
        <v>8</v>
      </c>
      <c r="Q20" s="103">
        <v>-43.79999999999999</v>
      </c>
    </row>
    <row r="21" spans="1:17" x14ac:dyDescent="0.4">
      <c r="A21" s="51" t="s">
        <v>194</v>
      </c>
      <c r="B21" s="44">
        <v>9</v>
      </c>
      <c r="C21" s="37">
        <f>IF(B$15=0,0,B21/B$15)</f>
        <v>0.21428571428571427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-49.766666666666659</v>
      </c>
      <c r="P21" s="115">
        <v>3</v>
      </c>
      <c r="Q21" s="103">
        <v>-149.29999999999998</v>
      </c>
    </row>
    <row r="22" spans="1:17" x14ac:dyDescent="0.4">
      <c r="A22" s="51" t="s">
        <v>5</v>
      </c>
      <c r="B22" s="48">
        <f>IF(B$15=0,0,C22/B$15)</f>
        <v>6407.1428571428569</v>
      </c>
      <c r="C22" s="39">
        <v>269100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">
      <c r="A23" s="52" t="s">
        <v>177</v>
      </c>
      <c r="B23" s="136">
        <f>IF($B$15-B$14=0,0,C23/($B$15-B$14))</f>
        <v>6983.8709677419356</v>
      </c>
      <c r="C23" s="137">
        <v>216500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4781.818181818182</v>
      </c>
      <c r="C24" s="137">
        <v>52600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">
      <c r="A25" s="52" t="s">
        <v>176</v>
      </c>
      <c r="B25" s="136">
        <f>IF(B$16=0,0,C25/B$16)</f>
        <v>-8205</v>
      </c>
      <c r="C25" s="137">
        <v>-164100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6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1</v>
      </c>
      <c r="C30" s="40">
        <f>IF(B$3=0,0,B30/B$3)</f>
        <v>8.4745762711864406E-3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5</v>
      </c>
      <c r="C32" s="141">
        <f>IF(B$15=0,0,B32/B$15)</f>
        <v>0.11904761904761904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12</v>
      </c>
      <c r="C33" s="37">
        <f t="shared" ref="C33:C44" si="3">IF(B$15=0,0,B33/B$15)</f>
        <v>0.2857142857142857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0.14285714285714285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9</v>
      </c>
      <c r="C35" s="37">
        <f t="shared" si="3"/>
        <v>0.21428571428571427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6</v>
      </c>
      <c r="C36" s="37">
        <f t="shared" si="3"/>
        <v>0.14285714285714285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3"/>
        <v>2.3809523809523808E-2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2</v>
      </c>
      <c r="C38" s="37">
        <f t="shared" si="3"/>
        <v>4.7619047619047616E-2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1</v>
      </c>
      <c r="C39" s="37">
        <f t="shared" si="3"/>
        <v>2.3809523809523808E-2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5E180-0CA9-47F3-A3A6-E03471DE401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8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1387.5</v>
      </c>
      <c r="P2" s="114">
        <v>8</v>
      </c>
      <c r="Q2" s="98">
        <v>11100</v>
      </c>
    </row>
    <row r="3" spans="1:17" x14ac:dyDescent="0.4">
      <c r="A3" s="51" t="s">
        <v>8</v>
      </c>
      <c r="B3" s="156">
        <v>69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5162.5</v>
      </c>
      <c r="P3" s="115">
        <v>8</v>
      </c>
      <c r="Q3" s="99">
        <v>41300</v>
      </c>
    </row>
    <row r="4" spans="1:17" x14ac:dyDescent="0.4">
      <c r="A4" s="51" t="s">
        <v>6</v>
      </c>
      <c r="B4" s="158">
        <v>106.5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">
      <c r="A5" s="51" t="s">
        <v>7</v>
      </c>
      <c r="B5" s="160">
        <f>IF(B$2=0,0,B$4/B$2)</f>
        <v>13.3125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">
      <c r="A6" s="51" t="s">
        <v>1</v>
      </c>
      <c r="B6" s="150">
        <f>IF(B$2=0,0,(B$7*1+B$8*2+B$9*3)/B$2)</f>
        <v>1.75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">
      <c r="A7" s="51" t="s">
        <v>2</v>
      </c>
      <c r="B7" s="44">
        <v>5</v>
      </c>
      <c r="C7" s="37">
        <f t="shared" ref="C7:C10" si="1">IF(B$2=0,0,B7/B$2)</f>
        <v>0.625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">
      <c r="A9" s="52" t="s">
        <v>4</v>
      </c>
      <c r="B9" s="45">
        <v>3</v>
      </c>
      <c r="C9" s="38">
        <f t="shared" si="1"/>
        <v>0.375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0</v>
      </c>
      <c r="C10" s="40">
        <f t="shared" si="1"/>
        <v>0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-16.600000000000001</v>
      </c>
      <c r="P10" s="114">
        <v>1</v>
      </c>
      <c r="Q10" s="102">
        <v>-16.600000000000001</v>
      </c>
    </row>
    <row r="11" spans="1:17" x14ac:dyDescent="0.4">
      <c r="A11" s="54" t="s">
        <v>121</v>
      </c>
      <c r="B11" s="47">
        <v>28</v>
      </c>
      <c r="C11" s="42">
        <f>IF(B$3=0,0,B11/B$3)</f>
        <v>0.40579710144927539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">
      <c r="A12" s="51" t="s">
        <v>118</v>
      </c>
      <c r="B12" s="44">
        <v>11</v>
      </c>
      <c r="C12" s="37">
        <f>IF(B$3=0,0,B12/B$3)</f>
        <v>0.15942028985507245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">
      <c r="A13" s="50" t="s">
        <v>123</v>
      </c>
      <c r="B13" s="43">
        <f>B19</f>
        <v>19</v>
      </c>
      <c r="C13" s="35">
        <f>IF(B$11=0,0,B13/B$11)</f>
        <v>0.6785714285714286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5</v>
      </c>
      <c r="C14" s="35">
        <f>IF(B$12=0,0,B14/B$12)</f>
        <v>0.45454545454545453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26</v>
      </c>
      <c r="C15" s="35">
        <f>IF(B$3=0,0,B15/B$3)</f>
        <v>0.37681159420289856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280</v>
      </c>
      <c r="O15" s="120">
        <f>IF(P15=0,0,Q15/P15)</f>
        <v>45.3</v>
      </c>
      <c r="P15" s="114">
        <v>5</v>
      </c>
      <c r="Q15" s="102">
        <v>226.5</v>
      </c>
    </row>
    <row r="16" spans="1:17" x14ac:dyDescent="0.4">
      <c r="A16" s="51" t="s">
        <v>13</v>
      </c>
      <c r="B16" s="44">
        <v>16</v>
      </c>
      <c r="C16" s="37">
        <f>IF(B$3=0,0,B16/B$3)</f>
        <v>0.2318840579710145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>IF(P16=0,0,Q16/P16)</f>
        <v>38</v>
      </c>
      <c r="P16" s="115">
        <v>1</v>
      </c>
      <c r="Q16" s="103">
        <v>38</v>
      </c>
    </row>
    <row r="17" spans="1:17" x14ac:dyDescent="0.4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>IF(P17=0,0,Q17/P17)</f>
        <v>19.866666666666667</v>
      </c>
      <c r="P17" s="115">
        <v>6</v>
      </c>
      <c r="Q17" s="103">
        <v>119.2</v>
      </c>
    </row>
    <row r="18" spans="1:17" x14ac:dyDescent="0.4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  <c r="N18" s="111" t="s">
        <v>171</v>
      </c>
      <c r="O18" s="121">
        <f>IF(P18=0,0,Q18/P18)</f>
        <v>-11</v>
      </c>
      <c r="P18" s="115">
        <v>3</v>
      </c>
      <c r="Q18" s="103">
        <v>-33</v>
      </c>
    </row>
    <row r="19" spans="1:17" x14ac:dyDescent="0.4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>IF(P19=0,0,Q19/P19)</f>
        <v>-31.200000000000003</v>
      </c>
      <c r="P19" s="115">
        <v>1</v>
      </c>
      <c r="Q19" s="103">
        <v>-31.200000000000003</v>
      </c>
    </row>
    <row r="20" spans="1:17" x14ac:dyDescent="0.4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</row>
    <row r="21" spans="1:17" x14ac:dyDescent="0.4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10</v>
      </c>
    </row>
    <row r="22" spans="1:17" x14ac:dyDescent="0.4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-8437.5</v>
      </c>
      <c r="C25" s="137">
        <v>-135000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5</v>
      </c>
      <c r="C26" s="131">
        <v>1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11</v>
      </c>
      <c r="C27" s="131">
        <v>5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6</v>
      </c>
    </row>
    <row r="29" spans="1:17" x14ac:dyDescent="0.4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3</v>
      </c>
      <c r="C33" s="37">
        <f t="shared" ref="C33:C44" si="2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1</v>
      </c>
      <c r="C35" s="37">
        <f t="shared" si="2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8</v>
      </c>
      <c r="C36" s="37">
        <f t="shared" si="2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6</v>
      </c>
      <c r="C37" s="37">
        <f t="shared" si="2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0</v>
      </c>
      <c r="C38" s="37">
        <f t="shared" si="2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1</v>
      </c>
      <c r="C40" s="37">
        <f t="shared" si="2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CA7E3-68AF-4EC3-B490-E546EC6E1D02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52" t="s">
        <v>280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6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5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281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1</v>
      </c>
    </row>
    <row r="19" spans="1:17" x14ac:dyDescent="0.4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10</v>
      </c>
    </row>
    <row r="21" spans="1:17" x14ac:dyDescent="0.4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7</v>
      </c>
    </row>
    <row r="27" spans="1:17" x14ac:dyDescent="0.4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5</v>
      </c>
    </row>
    <row r="29" spans="1:17" x14ac:dyDescent="0.4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5</v>
      </c>
    </row>
    <row r="35" spans="1:9" x14ac:dyDescent="0.4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9A1A1-4A5F-479A-AD4E-3A7D1668AD00}">
  <sheetPr codeName="Sheet33"/>
  <dimension ref="A1:Q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280</v>
      </c>
      <c r="B1" s="66" t="s">
        <v>280</v>
      </c>
      <c r="C1" s="66" t="s">
        <v>280</v>
      </c>
      <c r="D1" s="67" t="s">
        <v>280</v>
      </c>
      <c r="E1" s="66" t="s">
        <v>280</v>
      </c>
      <c r="F1" s="66" t="s">
        <v>280</v>
      </c>
      <c r="G1" s="66" t="s">
        <v>280</v>
      </c>
      <c r="H1" s="66" t="s">
        <v>280</v>
      </c>
      <c r="I1" s="66" t="s">
        <v>280</v>
      </c>
      <c r="J1" s="66" t="s">
        <v>280</v>
      </c>
      <c r="K1" s="66" t="s">
        <v>280</v>
      </c>
      <c r="L1" s="66" t="s">
        <v>280</v>
      </c>
      <c r="M1" s="66" t="s">
        <v>280</v>
      </c>
      <c r="N1" s="66" t="s">
        <v>280</v>
      </c>
      <c r="O1" s="66" t="s">
        <v>280</v>
      </c>
      <c r="P1" s="66" t="s">
        <v>280</v>
      </c>
      <c r="Q1" s="66" t="s">
        <v>280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AEA41-FE8D-47BE-BBEC-5C173A2075D3}">
  <sheetPr codeName="Sheet30"/>
  <dimension ref="A1:Q1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281</v>
      </c>
      <c r="B1" s="66" t="s">
        <v>281</v>
      </c>
      <c r="C1" s="66" t="s">
        <v>281</v>
      </c>
      <c r="D1" s="67" t="s">
        <v>281</v>
      </c>
      <c r="E1" s="66" t="s">
        <v>281</v>
      </c>
      <c r="F1" s="66" t="s">
        <v>281</v>
      </c>
      <c r="G1" s="66" t="s">
        <v>281</v>
      </c>
      <c r="H1" s="66" t="s">
        <v>281</v>
      </c>
      <c r="I1" s="66" t="s">
        <v>281</v>
      </c>
      <c r="J1" s="66" t="s">
        <v>281</v>
      </c>
      <c r="K1" s="66" t="s">
        <v>281</v>
      </c>
      <c r="L1" s="66" t="s">
        <v>281</v>
      </c>
      <c r="M1" s="66" t="s">
        <v>281</v>
      </c>
      <c r="N1" s="66" t="s">
        <v>281</v>
      </c>
      <c r="O1" s="66" t="s">
        <v>281</v>
      </c>
      <c r="P1" s="66" t="s">
        <v>281</v>
      </c>
      <c r="Q1" s="66" t="s">
        <v>281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DF556-D4CB-4B53-A16C-46B79761E932}">
  <sheetPr codeName="Sheet28"/>
  <dimension ref="A1:Q1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274</v>
      </c>
      <c r="B1" s="66" t="s">
        <v>274</v>
      </c>
      <c r="C1" s="66" t="s">
        <v>274</v>
      </c>
      <c r="D1" s="67" t="s">
        <v>274</v>
      </c>
      <c r="E1" s="66" t="s">
        <v>274</v>
      </c>
      <c r="F1" s="66" t="s">
        <v>274</v>
      </c>
      <c r="G1" s="66" t="s">
        <v>274</v>
      </c>
      <c r="H1" s="66" t="s">
        <v>274</v>
      </c>
      <c r="I1" s="66" t="s">
        <v>274</v>
      </c>
      <c r="J1" s="66" t="s">
        <v>274</v>
      </c>
      <c r="K1" s="66" t="s">
        <v>274</v>
      </c>
      <c r="L1" s="66" t="s">
        <v>274</v>
      </c>
      <c r="M1" s="66" t="s">
        <v>274</v>
      </c>
      <c r="N1" s="66" t="s">
        <v>274</v>
      </c>
      <c r="O1" s="66" t="s">
        <v>274</v>
      </c>
      <c r="P1" s="66" t="s">
        <v>274</v>
      </c>
      <c r="Q1" s="66" t="s">
        <v>274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51D8-8CEB-41B5-B916-25376B013EF6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203</v>
      </c>
      <c r="B1" s="66" t="s">
        <v>203</v>
      </c>
      <c r="C1" s="66" t="s">
        <v>203</v>
      </c>
      <c r="D1" s="67" t="s">
        <v>203</v>
      </c>
      <c r="E1" s="66" t="s">
        <v>203</v>
      </c>
      <c r="F1" s="66" t="s">
        <v>203</v>
      </c>
      <c r="G1" s="66" t="s">
        <v>203</v>
      </c>
      <c r="H1" s="66" t="s">
        <v>203</v>
      </c>
      <c r="I1" s="66" t="s">
        <v>203</v>
      </c>
      <c r="J1" s="66" t="s">
        <v>203</v>
      </c>
      <c r="K1" s="66" t="s">
        <v>203</v>
      </c>
      <c r="L1" s="66" t="s">
        <v>203</v>
      </c>
      <c r="M1" s="66" t="s">
        <v>203</v>
      </c>
      <c r="N1" s="66" t="s">
        <v>203</v>
      </c>
      <c r="O1" s="66" t="s">
        <v>203</v>
      </c>
      <c r="P1" s="66" t="s">
        <v>203</v>
      </c>
      <c r="Q1" s="66" t="s">
        <v>203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6D736-4E28-4D91-9286-BEB7F3C8DC84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228</v>
      </c>
      <c r="B1" s="66" t="s">
        <v>228</v>
      </c>
      <c r="C1" s="66" t="s">
        <v>228</v>
      </c>
      <c r="D1" s="67" t="s">
        <v>228</v>
      </c>
      <c r="E1" s="66" t="s">
        <v>228</v>
      </c>
      <c r="F1" s="66" t="s">
        <v>228</v>
      </c>
      <c r="G1" s="66" t="s">
        <v>228</v>
      </c>
      <c r="H1" s="66" t="s">
        <v>228</v>
      </c>
      <c r="I1" s="66" t="s">
        <v>228</v>
      </c>
      <c r="J1" s="66" t="s">
        <v>228</v>
      </c>
      <c r="K1" s="66" t="s">
        <v>228</v>
      </c>
      <c r="L1" s="66" t="s">
        <v>228</v>
      </c>
      <c r="M1" s="66" t="s">
        <v>228</v>
      </c>
      <c r="N1" s="66" t="s">
        <v>228</v>
      </c>
      <c r="O1" s="66" t="s">
        <v>228</v>
      </c>
      <c r="P1" s="66" t="s">
        <v>228</v>
      </c>
      <c r="Q1" s="66" t="s">
        <v>228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386F85-B4B4-4B2A-8C37-DA4352DE51C4}">
  <sheetPr codeName="Sheet22"/>
  <dimension ref="A1:Q2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E3000-E78A-4FBC-938D-D24EC2C8F231}">
  <sheetPr codeName="Sheet20"/>
  <dimension ref="A1:Q6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08991-556D-4237-B92E-36DE8FF43333}">
  <sheetPr codeName="Sheet18"/>
  <dimension ref="A1:Q14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D3FF06-40CB-427F-9AEF-BAB1283489B3}">
  <sheetPr codeName="Sheet16"/>
  <dimension ref="A1:Q13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6FB7-C609-4FE7-A9AA-3C32C742438A}">
  <sheetPr codeName="Sheet14"/>
  <dimension ref="A1:Q10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3075A-1E4B-47D6-8F20-D4270AEB21DA}">
  <sheetPr codeName="Sheet12"/>
  <dimension ref="A1:Q15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0D5FA-45FB-4CCB-9247-217E70932B0C}">
  <sheetPr codeName="Sheet10"/>
  <dimension ref="A1:Q17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7430-9502-4421-93A8-64907F8F5247}">
  <sheetPr codeName="Sheet8"/>
  <dimension ref="A1:Q8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3D5E0-2DD0-4180-9DC8-00F75611CD99}">
  <sheetPr codeName="Sheet6"/>
  <dimension ref="A1:Q302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6" width="10.75" style="63"/>
    <col min="17" max="16384" width="10.75" style="66"/>
  </cols>
  <sheetData>
    <row r="1" spans="1:17" x14ac:dyDescent="0.4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2020-01-13T15:34:09Z</dcterms:modified>
</cp:coreProperties>
</file>