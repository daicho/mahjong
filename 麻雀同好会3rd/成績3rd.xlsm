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4989CB35-FA6E-4E16-BF25-17F2E52EEB05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55" r:id="rId6"/>
    <sheet name="たかの" sheetId="5857" r:id="rId7"/>
    <sheet name="だいち" sheetId="5859" r:id="rId8"/>
    <sheet name="ただ" sheetId="5861" r:id="rId9"/>
    <sheet name="りくと" sheetId="5863" r:id="rId10"/>
    <sheet name="れんたろう" sheetId="5865" r:id="rId11"/>
    <sheet name="まっつん" sheetId="5867" r:id="rId12"/>
    <sheet name="のり" sheetId="5869" r:id="rId13"/>
    <sheet name="ぱぱ" sheetId="5871" r:id="rId14"/>
    <sheet name="ほたに" sheetId="5873" r:id="rId15"/>
    <sheet name="いっしー" sheetId="5875" r:id="rId16"/>
    <sheet name="いっしー2" sheetId="5876" state="hidden" r:id="rId17"/>
    <sheet name="ほたに2" sheetId="5874" state="hidden" r:id="rId18"/>
    <sheet name="ぱぱ2" sheetId="5872" state="hidden" r:id="rId19"/>
    <sheet name="のり2" sheetId="5870" state="hidden" r:id="rId20"/>
    <sheet name="まっつん2" sheetId="5868" state="hidden" r:id="rId21"/>
    <sheet name="れんたろう2" sheetId="5866" state="hidden" r:id="rId22"/>
    <sheet name="りくと2" sheetId="5864" state="hidden" r:id="rId23"/>
    <sheet name="ただ2" sheetId="5862" state="hidden" r:id="rId24"/>
    <sheet name="だいち2" sheetId="5860" state="hidden" r:id="rId25"/>
    <sheet name="たかの2" sheetId="5858" state="hidden" r:id="rId26"/>
    <sheet name="全体2" sheetId="585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67" l="1"/>
  <c r="O17" i="5875"/>
  <c r="O22" i="5859"/>
  <c r="O16" i="5875"/>
  <c r="O15" i="5875"/>
  <c r="C29" i="5875"/>
  <c r="B26" i="5875"/>
  <c r="B25" i="5875"/>
  <c r="C20" i="5875"/>
  <c r="B17" i="5875"/>
  <c r="H50" i="5875" s="1"/>
  <c r="C16" i="5875"/>
  <c r="C15" i="5875"/>
  <c r="C14" i="5875"/>
  <c r="C13" i="5875"/>
  <c r="O12" i="5875"/>
  <c r="C12" i="5875"/>
  <c r="O11" i="5875"/>
  <c r="C11" i="5875"/>
  <c r="O10" i="5875"/>
  <c r="C10" i="5875"/>
  <c r="C9" i="5875"/>
  <c r="C8" i="5875"/>
  <c r="O7" i="5875"/>
  <c r="C7" i="5875"/>
  <c r="O6" i="5875"/>
  <c r="B6" i="5875"/>
  <c r="O5" i="5875"/>
  <c r="B5" i="5875"/>
  <c r="O4" i="5875"/>
  <c r="O3" i="5875"/>
  <c r="O2" i="5875"/>
  <c r="O16" i="5869"/>
  <c r="O24" i="5855"/>
  <c r="H2" i="5875" l="1"/>
  <c r="H17" i="5875"/>
  <c r="H19" i="5875"/>
  <c r="H9" i="5875"/>
  <c r="H5" i="5875"/>
  <c r="H6" i="5875"/>
  <c r="H39" i="5875"/>
  <c r="B23" i="5875"/>
  <c r="H43" i="5875"/>
  <c r="H4" i="5875"/>
  <c r="C17" i="5875"/>
  <c r="H31" i="5875"/>
  <c r="H47" i="5875"/>
  <c r="H3" i="5875"/>
  <c r="H14" i="5875"/>
  <c r="C18" i="5875"/>
  <c r="H35" i="5875"/>
  <c r="H51" i="5875"/>
  <c r="H21" i="5875"/>
  <c r="H23" i="5875"/>
  <c r="H25" i="5875"/>
  <c r="H27" i="5875"/>
  <c r="H29" i="5875"/>
  <c r="H32" i="5875"/>
  <c r="H36" i="5875"/>
  <c r="H40" i="5875"/>
  <c r="H44" i="5875"/>
  <c r="H48" i="5875"/>
  <c r="H11" i="5875"/>
  <c r="H13" i="5875"/>
  <c r="H16" i="5875"/>
  <c r="H18" i="5875"/>
  <c r="C19" i="5875"/>
  <c r="H8" i="5875"/>
  <c r="B24" i="5875"/>
  <c r="H33" i="5875"/>
  <c r="H37" i="5875"/>
  <c r="H41" i="5875"/>
  <c r="H45" i="5875"/>
  <c r="H49" i="5875"/>
  <c r="H52" i="5875"/>
  <c r="H12" i="5875"/>
  <c r="H7" i="5875"/>
  <c r="H10" i="5875"/>
  <c r="H15" i="5875"/>
  <c r="H20" i="5875"/>
  <c r="H22" i="5875"/>
  <c r="H24" i="5875"/>
  <c r="H26" i="5875"/>
  <c r="H28" i="5875"/>
  <c r="H30" i="5875"/>
  <c r="H34" i="5875"/>
  <c r="H38" i="5875"/>
  <c r="H42" i="5875"/>
  <c r="H46" i="5875"/>
  <c r="O20" i="5857" l="1"/>
  <c r="O16" i="5865"/>
  <c r="O15" i="5865" l="1"/>
  <c r="O19" i="5873"/>
  <c r="O15" i="5863" l="1"/>
  <c r="O20" i="5869"/>
  <c r="O16" i="5873" l="1"/>
  <c r="O22" i="5863"/>
  <c r="O21" i="5857" l="1"/>
  <c r="O16" i="5859"/>
  <c r="O15" i="5869"/>
  <c r="O19" i="5869"/>
  <c r="O19" i="5867" l="1"/>
  <c r="O18" i="5871"/>
  <c r="O16" i="5861" l="1"/>
  <c r="O17" i="5867"/>
  <c r="O21" i="5869"/>
  <c r="O17" i="5869"/>
  <c r="O15" i="5857" l="1"/>
  <c r="O17" i="5871"/>
  <c r="O19" i="5871"/>
  <c r="O17" i="5863"/>
  <c r="O19" i="5861" l="1"/>
  <c r="O21" i="5865"/>
  <c r="O19" i="5865" l="1"/>
  <c r="O21" i="5859"/>
  <c r="O23" i="5869"/>
  <c r="O17" i="5873"/>
  <c r="O15" i="5873"/>
  <c r="O21" i="5871"/>
  <c r="O15" i="5861" l="1"/>
  <c r="O21" i="5861"/>
  <c r="O18" i="5873"/>
  <c r="O20" i="5873"/>
  <c r="C29" i="5873"/>
  <c r="B26" i="5873"/>
  <c r="B25" i="5873"/>
  <c r="C20" i="5873"/>
  <c r="B17" i="5873"/>
  <c r="H51" i="5873" s="1"/>
  <c r="C16" i="5873"/>
  <c r="C15" i="5873"/>
  <c r="C14" i="5873"/>
  <c r="C13" i="5873"/>
  <c r="O12" i="5873"/>
  <c r="C12" i="5873"/>
  <c r="O11" i="5873"/>
  <c r="C11" i="5873"/>
  <c r="O10" i="5873"/>
  <c r="C10" i="5873"/>
  <c r="C9" i="5873"/>
  <c r="C8" i="5873"/>
  <c r="O7" i="5873"/>
  <c r="C7" i="5873"/>
  <c r="O6" i="5873"/>
  <c r="B6" i="5873"/>
  <c r="O5" i="5873"/>
  <c r="B5" i="5873"/>
  <c r="O4" i="5873"/>
  <c r="O3" i="5873"/>
  <c r="O2" i="5873"/>
  <c r="O20" i="5867"/>
  <c r="O15" i="5867"/>
  <c r="O16" i="5855"/>
  <c r="H5" i="5873" l="1"/>
  <c r="H2" i="5873"/>
  <c r="H3" i="5873"/>
  <c r="H11" i="5873"/>
  <c r="C17" i="5873"/>
  <c r="H24" i="5873"/>
  <c r="H27" i="5873"/>
  <c r="H32" i="5873"/>
  <c r="H36" i="5873"/>
  <c r="H40" i="5873"/>
  <c r="H44" i="5873"/>
  <c r="H6" i="5873"/>
  <c r="H18" i="5873"/>
  <c r="H20" i="5873"/>
  <c r="C19" i="5873"/>
  <c r="H14" i="5873"/>
  <c r="B24" i="5873"/>
  <c r="H33" i="5873"/>
  <c r="H37" i="5873"/>
  <c r="H45" i="5873"/>
  <c r="H49" i="5873"/>
  <c r="H52" i="5873"/>
  <c r="H7" i="5873"/>
  <c r="H8" i="5873"/>
  <c r="H12" i="5873"/>
  <c r="H17" i="5873"/>
  <c r="H13" i="5873"/>
  <c r="H23" i="5873"/>
  <c r="H25" i="5873"/>
  <c r="H15" i="5873"/>
  <c r="H28" i="5873"/>
  <c r="H30" i="5873"/>
  <c r="H34" i="5873"/>
  <c r="H38" i="5873"/>
  <c r="H42" i="5873"/>
  <c r="H46" i="5873"/>
  <c r="H50" i="5873"/>
  <c r="H22" i="5873"/>
  <c r="H26" i="5873"/>
  <c r="H29" i="5873"/>
  <c r="H48" i="5873"/>
  <c r="H10" i="5873"/>
  <c r="H41" i="5873"/>
  <c r="H4" i="5873"/>
  <c r="H16" i="5873"/>
  <c r="H19" i="5873"/>
  <c r="H21" i="5873"/>
  <c r="C18" i="5873"/>
  <c r="B23" i="5873"/>
  <c r="H9" i="5873"/>
  <c r="H31" i="5873"/>
  <c r="H35" i="5873"/>
  <c r="H39" i="5873"/>
  <c r="H43" i="5873"/>
  <c r="H47" i="5873"/>
  <c r="O17" i="5859" l="1"/>
  <c r="O21" i="5863"/>
  <c r="O18" i="5859" l="1"/>
  <c r="O21" i="5867"/>
  <c r="O22" i="5867"/>
  <c r="O18" i="5857"/>
  <c r="O18" i="5861"/>
  <c r="O16" i="5863"/>
  <c r="O19" i="5863"/>
  <c r="O19" i="5857"/>
  <c r="O17" i="5861"/>
  <c r="O15" i="5859"/>
  <c r="O20" i="5871"/>
  <c r="O22" i="5871"/>
  <c r="O22" i="5865" l="1"/>
  <c r="O17" i="5865"/>
  <c r="O15" i="5871"/>
  <c r="O16" i="5871"/>
  <c r="C29" i="5871"/>
  <c r="B26" i="5871"/>
  <c r="B25" i="5871"/>
  <c r="C20" i="5871"/>
  <c r="B17" i="5871"/>
  <c r="H6" i="5871" s="1"/>
  <c r="C16" i="5871"/>
  <c r="C15" i="5871"/>
  <c r="C14" i="5871"/>
  <c r="C13" i="5871"/>
  <c r="O12" i="5871"/>
  <c r="C12" i="5871"/>
  <c r="O11" i="5871"/>
  <c r="C11" i="5871"/>
  <c r="O10" i="5871"/>
  <c r="C10" i="5871"/>
  <c r="C9" i="5871"/>
  <c r="C8" i="5871"/>
  <c r="O7" i="5871"/>
  <c r="C7" i="5871"/>
  <c r="O6" i="5871"/>
  <c r="B6" i="5871"/>
  <c r="O5" i="5871"/>
  <c r="B5" i="5871"/>
  <c r="O4" i="5871"/>
  <c r="O3" i="5871"/>
  <c r="O2" i="5871"/>
  <c r="H3" i="5871"/>
  <c r="O15" i="5855"/>
  <c r="O18" i="5869"/>
  <c r="O22" i="5869"/>
  <c r="C29" i="5869"/>
  <c r="B26" i="5869"/>
  <c r="B25" i="5869"/>
  <c r="C20" i="5869"/>
  <c r="B17" i="5869"/>
  <c r="H50" i="5869" s="1"/>
  <c r="C16" i="5869"/>
  <c r="C15" i="5869"/>
  <c r="C14" i="5869"/>
  <c r="C13" i="5869"/>
  <c r="O12" i="5869"/>
  <c r="C12" i="5869"/>
  <c r="O11" i="5869"/>
  <c r="C11" i="5869"/>
  <c r="O10" i="5869"/>
  <c r="C10" i="5869"/>
  <c r="C9" i="5869"/>
  <c r="C8" i="5869"/>
  <c r="O7" i="5869"/>
  <c r="C7" i="5869"/>
  <c r="O6" i="5869"/>
  <c r="B6" i="5869"/>
  <c r="O5" i="5869"/>
  <c r="B5" i="5869"/>
  <c r="O4" i="5869"/>
  <c r="O3" i="5869"/>
  <c r="O2" i="5869"/>
  <c r="O20" i="5855"/>
  <c r="H4" i="5869" l="1"/>
  <c r="H5" i="5871"/>
  <c r="H10" i="5871"/>
  <c r="H17" i="5869"/>
  <c r="H8" i="5871"/>
  <c r="H2" i="5871"/>
  <c r="H32" i="5871"/>
  <c r="H40" i="5871"/>
  <c r="H48" i="5871"/>
  <c r="C17" i="5871"/>
  <c r="H14" i="5871"/>
  <c r="H34" i="5871"/>
  <c r="H42" i="5871"/>
  <c r="H50" i="5871"/>
  <c r="H16" i="5871"/>
  <c r="H24" i="5871"/>
  <c r="H9" i="5871"/>
  <c r="H4" i="5871"/>
  <c r="H11" i="5871"/>
  <c r="H22" i="5871"/>
  <c r="C18" i="5871"/>
  <c r="B23" i="5871"/>
  <c r="H12" i="5871"/>
  <c r="H36" i="5871"/>
  <c r="H44" i="5871"/>
  <c r="H20" i="5871"/>
  <c r="H7" i="5871"/>
  <c r="H21" i="5871"/>
  <c r="H23" i="5871"/>
  <c r="H13" i="5871"/>
  <c r="C19" i="5871"/>
  <c r="B24" i="5871"/>
  <c r="H38" i="5871"/>
  <c r="H46" i="5871"/>
  <c r="H52" i="5871"/>
  <c r="H25" i="5871"/>
  <c r="H17" i="5871"/>
  <c r="H28" i="5871"/>
  <c r="H15" i="5871"/>
  <c r="H29" i="5871"/>
  <c r="H31" i="5871"/>
  <c r="H35" i="5871"/>
  <c r="H39" i="5871"/>
  <c r="H43" i="5871"/>
  <c r="H47" i="5871"/>
  <c r="H51" i="5871"/>
  <c r="H26" i="5871"/>
  <c r="H27" i="5871"/>
  <c r="H18" i="5871"/>
  <c r="H19" i="5871"/>
  <c r="H30" i="5871"/>
  <c r="H33" i="5871"/>
  <c r="H37" i="5871"/>
  <c r="H41" i="5871"/>
  <c r="H45" i="5871"/>
  <c r="H49" i="5871"/>
  <c r="H3" i="5869"/>
  <c r="H8" i="5869"/>
  <c r="H13" i="5869"/>
  <c r="H39" i="5869"/>
  <c r="B23" i="5869"/>
  <c r="H43" i="5869"/>
  <c r="H47" i="5869"/>
  <c r="H21" i="5869"/>
  <c r="H5" i="5869"/>
  <c r="C17" i="5869"/>
  <c r="H32" i="5869"/>
  <c r="H2" i="5869"/>
  <c r="H19" i="5869"/>
  <c r="C18" i="5869"/>
  <c r="H35" i="5869"/>
  <c r="H51" i="5869"/>
  <c r="H24" i="5869"/>
  <c r="H25" i="5869"/>
  <c r="H27" i="5869"/>
  <c r="H28" i="5869"/>
  <c r="H30" i="5869"/>
  <c r="H33" i="5869"/>
  <c r="H36" i="5869"/>
  <c r="H40" i="5869"/>
  <c r="H44" i="5869"/>
  <c r="H48" i="5869"/>
  <c r="H6" i="5869"/>
  <c r="H12" i="5869"/>
  <c r="H20" i="5869"/>
  <c r="H22" i="5869"/>
  <c r="C19" i="5869"/>
  <c r="H11" i="5869"/>
  <c r="B24" i="5869"/>
  <c r="H34" i="5869"/>
  <c r="H37" i="5869"/>
  <c r="H41" i="5869"/>
  <c r="H45" i="5869"/>
  <c r="H49" i="5869"/>
  <c r="H52" i="5869"/>
  <c r="H9" i="5869"/>
  <c r="H7" i="5869"/>
  <c r="H10" i="5869"/>
  <c r="H16" i="5869"/>
  <c r="H23" i="5869"/>
  <c r="H15" i="5869"/>
  <c r="H26" i="5869"/>
  <c r="H14" i="5869"/>
  <c r="H29" i="5869"/>
  <c r="H31" i="5869"/>
  <c r="H18" i="5869"/>
  <c r="H38" i="5869"/>
  <c r="H42" i="5869"/>
  <c r="H46" i="5869"/>
  <c r="O23" i="5867" l="1"/>
  <c r="O18" i="5867"/>
  <c r="C29" i="5867"/>
  <c r="B26" i="5867"/>
  <c r="B25" i="5867"/>
  <c r="C20" i="5867"/>
  <c r="B17" i="5867"/>
  <c r="H51" i="5867" s="1"/>
  <c r="C16" i="5867"/>
  <c r="C15" i="5867"/>
  <c r="C14" i="5867"/>
  <c r="C13" i="5867"/>
  <c r="O12" i="5867"/>
  <c r="C12" i="5867"/>
  <c r="O11" i="5867"/>
  <c r="C11" i="5867"/>
  <c r="O10" i="5867"/>
  <c r="C10" i="5867"/>
  <c r="C9" i="5867"/>
  <c r="C8" i="5867"/>
  <c r="O7" i="5867"/>
  <c r="C7" i="5867"/>
  <c r="O6" i="5867"/>
  <c r="B6" i="5867"/>
  <c r="O5" i="5867"/>
  <c r="B5" i="5867"/>
  <c r="O4" i="5867"/>
  <c r="O3" i="5867"/>
  <c r="O2" i="5867"/>
  <c r="O20" i="5865"/>
  <c r="O18" i="5865"/>
  <c r="C29" i="5865"/>
  <c r="B26" i="5865"/>
  <c r="B25" i="5865"/>
  <c r="C20" i="5865"/>
  <c r="B17" i="5865"/>
  <c r="H7" i="5865" s="1"/>
  <c r="C16" i="5865"/>
  <c r="C15" i="5865"/>
  <c r="C14" i="5865"/>
  <c r="C13" i="5865"/>
  <c r="O12" i="5865"/>
  <c r="C12" i="5865"/>
  <c r="O11" i="5865"/>
  <c r="C11" i="5865"/>
  <c r="O10" i="5865"/>
  <c r="C10" i="5865"/>
  <c r="C9" i="5865"/>
  <c r="C8" i="5865"/>
  <c r="O7" i="5865"/>
  <c r="C7" i="5865"/>
  <c r="O6" i="5865"/>
  <c r="B6" i="5865"/>
  <c r="O5" i="5865"/>
  <c r="B5" i="5865"/>
  <c r="O4" i="5865"/>
  <c r="O3" i="5865"/>
  <c r="O2" i="5865"/>
  <c r="O17" i="5855"/>
  <c r="O20" i="5863"/>
  <c r="O18" i="5863"/>
  <c r="C29" i="5863"/>
  <c r="B26" i="5863"/>
  <c r="B25" i="5863"/>
  <c r="C20" i="5863"/>
  <c r="B17" i="5863"/>
  <c r="H52" i="5863" s="1"/>
  <c r="C16" i="5863"/>
  <c r="C15" i="5863"/>
  <c r="C14" i="5863"/>
  <c r="C13" i="5863"/>
  <c r="O12" i="5863"/>
  <c r="C12" i="5863"/>
  <c r="O11" i="5863"/>
  <c r="C11" i="5863"/>
  <c r="O10" i="5863"/>
  <c r="C10" i="5863"/>
  <c r="C9" i="5863"/>
  <c r="C8" i="5863"/>
  <c r="O7" i="5863"/>
  <c r="C7" i="5863"/>
  <c r="O6" i="5863"/>
  <c r="B6" i="5863"/>
  <c r="O5" i="5863"/>
  <c r="B5" i="5863"/>
  <c r="O4" i="5863"/>
  <c r="O3" i="5863"/>
  <c r="O2" i="5863"/>
  <c r="O19" i="5855"/>
  <c r="O22" i="5855"/>
  <c r="H12" i="5863" l="1"/>
  <c r="H36" i="5863"/>
  <c r="H14" i="5863"/>
  <c r="H23" i="5863"/>
  <c r="C18" i="5863"/>
  <c r="H2" i="5863"/>
  <c r="H3" i="5863"/>
  <c r="H8" i="5863"/>
  <c r="H7" i="5863"/>
  <c r="H21" i="5863"/>
  <c r="H4" i="5867"/>
  <c r="H3" i="5867"/>
  <c r="H18" i="5867"/>
  <c r="H9" i="5867"/>
  <c r="H41" i="5867"/>
  <c r="H11" i="5867"/>
  <c r="B23" i="5867"/>
  <c r="H44" i="5867"/>
  <c r="H28" i="5867"/>
  <c r="C17" i="5867"/>
  <c r="H34" i="5867"/>
  <c r="H48" i="5867"/>
  <c r="H6" i="5867"/>
  <c r="H2" i="5867"/>
  <c r="H17" i="5867"/>
  <c r="C18" i="5867"/>
  <c r="H37" i="5867"/>
  <c r="H16" i="5867"/>
  <c r="H30" i="5867"/>
  <c r="H31" i="5867"/>
  <c r="H22" i="5867"/>
  <c r="H23" i="5867"/>
  <c r="H33" i="5867"/>
  <c r="H26" i="5867"/>
  <c r="H38" i="5867"/>
  <c r="H27" i="5867"/>
  <c r="H45" i="5867"/>
  <c r="H49" i="5867"/>
  <c r="H5" i="5867"/>
  <c r="H8" i="5867"/>
  <c r="H21" i="5867"/>
  <c r="H29" i="5867"/>
  <c r="C19" i="5867"/>
  <c r="H14" i="5867"/>
  <c r="B24" i="5867"/>
  <c r="H35" i="5867"/>
  <c r="H39" i="5867"/>
  <c r="H42" i="5867"/>
  <c r="H46" i="5867"/>
  <c r="H50" i="5867"/>
  <c r="H52" i="5867"/>
  <c r="H12" i="5867"/>
  <c r="H7" i="5867"/>
  <c r="H10" i="5867"/>
  <c r="H20" i="5867"/>
  <c r="H15" i="5867"/>
  <c r="H19" i="5867"/>
  <c r="H32" i="5867"/>
  <c r="H13" i="5867"/>
  <c r="H24" i="5867"/>
  <c r="H25" i="5867"/>
  <c r="H36" i="5867"/>
  <c r="H40" i="5867"/>
  <c r="H43" i="5867"/>
  <c r="H47" i="5867"/>
  <c r="H2" i="5865"/>
  <c r="H3" i="5865"/>
  <c r="H4" i="5865"/>
  <c r="H11" i="5865"/>
  <c r="H8" i="5865"/>
  <c r="C17" i="5865"/>
  <c r="H14" i="5865"/>
  <c r="H42" i="5865"/>
  <c r="H38" i="5865"/>
  <c r="H20" i="5865"/>
  <c r="H6" i="5865"/>
  <c r="H26" i="5865"/>
  <c r="C18" i="5865"/>
  <c r="B23" i="5865"/>
  <c r="H46" i="5865"/>
  <c r="H52" i="5865"/>
  <c r="H28" i="5865"/>
  <c r="H10" i="5865"/>
  <c r="H13" i="5865"/>
  <c r="H5" i="5865"/>
  <c r="H19" i="5865"/>
  <c r="H27" i="5865"/>
  <c r="H21" i="5865"/>
  <c r="C19" i="5865"/>
  <c r="B24" i="5865"/>
  <c r="H35" i="5865"/>
  <c r="H50" i="5865"/>
  <c r="H29" i="5865"/>
  <c r="H16" i="5865"/>
  <c r="H32" i="5865"/>
  <c r="H15" i="5865"/>
  <c r="H34" i="5865"/>
  <c r="H18" i="5865"/>
  <c r="H36" i="5865"/>
  <c r="H39" i="5865"/>
  <c r="H43" i="5865"/>
  <c r="H47" i="5865"/>
  <c r="H51" i="5865"/>
  <c r="H9" i="5865"/>
  <c r="H17" i="5865"/>
  <c r="H37" i="5865"/>
  <c r="H40" i="5865"/>
  <c r="H44" i="5865"/>
  <c r="H48" i="5865"/>
  <c r="H12" i="5865"/>
  <c r="H30" i="5865"/>
  <c r="H31" i="5865"/>
  <c r="H22" i="5865"/>
  <c r="H33" i="5865"/>
  <c r="H23" i="5865"/>
  <c r="H24" i="5865"/>
  <c r="H25" i="5865"/>
  <c r="H41" i="5865"/>
  <c r="H45" i="5865"/>
  <c r="H49" i="5865"/>
  <c r="H40" i="5863"/>
  <c r="H4" i="5863"/>
  <c r="B23" i="5863"/>
  <c r="H9" i="5863"/>
  <c r="H24" i="5863"/>
  <c r="H16" i="5863"/>
  <c r="H44" i="5863"/>
  <c r="C19" i="5863"/>
  <c r="H11" i="5863"/>
  <c r="H18" i="5863"/>
  <c r="C17" i="5863"/>
  <c r="B24" i="5863"/>
  <c r="H10" i="5863"/>
  <c r="H6" i="5863"/>
  <c r="H13" i="5863"/>
  <c r="H22" i="5863"/>
  <c r="H19" i="5863"/>
  <c r="H32" i="5863"/>
  <c r="H48" i="5863"/>
  <c r="H27" i="5863"/>
  <c r="H15" i="5863"/>
  <c r="H30" i="5863"/>
  <c r="H20" i="5863"/>
  <c r="H35" i="5863"/>
  <c r="H39" i="5863"/>
  <c r="H43" i="5863"/>
  <c r="H47" i="5863"/>
  <c r="H51" i="5863"/>
  <c r="H17" i="5863"/>
  <c r="H25" i="5863"/>
  <c r="H26" i="5863"/>
  <c r="H28" i="5863"/>
  <c r="H29" i="5863"/>
  <c r="H31" i="5863"/>
  <c r="H33" i="5863"/>
  <c r="H37" i="5863"/>
  <c r="H41" i="5863"/>
  <c r="H45" i="5863"/>
  <c r="H49" i="5863"/>
  <c r="H5" i="5863"/>
  <c r="H34" i="5863"/>
  <c r="H38" i="5863"/>
  <c r="H42" i="5863"/>
  <c r="H46" i="5863"/>
  <c r="H50" i="5863"/>
  <c r="O22" i="5861" l="1"/>
  <c r="O20" i="5861"/>
  <c r="C29" i="5861"/>
  <c r="B26" i="5861"/>
  <c r="B25" i="5861"/>
  <c r="C20" i="5861"/>
  <c r="B17" i="5861"/>
  <c r="H19" i="5861" s="1"/>
  <c r="C16" i="5861"/>
  <c r="C15" i="5861"/>
  <c r="C14" i="5861"/>
  <c r="C13" i="5861"/>
  <c r="O12" i="5861"/>
  <c r="C12" i="5861"/>
  <c r="O11" i="5861"/>
  <c r="C11" i="5861"/>
  <c r="O10" i="5861"/>
  <c r="C10" i="5861"/>
  <c r="C9" i="5861"/>
  <c r="C8" i="5861"/>
  <c r="O7" i="5861"/>
  <c r="C7" i="5861"/>
  <c r="O6" i="5861"/>
  <c r="B6" i="5861"/>
  <c r="O5" i="5861"/>
  <c r="B5" i="5861"/>
  <c r="O4" i="5861"/>
  <c r="O3" i="5861"/>
  <c r="O2" i="5861"/>
  <c r="O20" i="5859"/>
  <c r="O19" i="5859"/>
  <c r="C29" i="5859"/>
  <c r="B26" i="5859"/>
  <c r="B25" i="5859"/>
  <c r="C20" i="5859"/>
  <c r="B17" i="5859"/>
  <c r="H52" i="5859" s="1"/>
  <c r="C16" i="5859"/>
  <c r="C15" i="5859"/>
  <c r="C14" i="5859"/>
  <c r="C13" i="5859"/>
  <c r="O12" i="5859"/>
  <c r="C12" i="5859"/>
  <c r="O11" i="5859"/>
  <c r="C11" i="5859"/>
  <c r="O10" i="5859"/>
  <c r="C10" i="5859"/>
  <c r="C9" i="5859"/>
  <c r="C8" i="5859"/>
  <c r="O7" i="5859"/>
  <c r="C7" i="5859"/>
  <c r="O6" i="5859"/>
  <c r="B6" i="5859"/>
  <c r="O5" i="5859"/>
  <c r="B5" i="5859"/>
  <c r="O4" i="5859"/>
  <c r="O3" i="5859"/>
  <c r="O2" i="5859"/>
  <c r="O18" i="5855"/>
  <c r="O16" i="5857"/>
  <c r="O17" i="5857"/>
  <c r="C29" i="5857"/>
  <c r="B26" i="5857"/>
  <c r="B25" i="5857"/>
  <c r="C20" i="5857"/>
  <c r="B17" i="5857"/>
  <c r="H50" i="5857" s="1"/>
  <c r="C16" i="5857"/>
  <c r="C15" i="5857"/>
  <c r="C14" i="5857"/>
  <c r="C13" i="5857"/>
  <c r="O12" i="5857"/>
  <c r="C12" i="5857"/>
  <c r="O11" i="5857"/>
  <c r="C11" i="5857"/>
  <c r="O10" i="5857"/>
  <c r="C10" i="5857"/>
  <c r="C9" i="5857"/>
  <c r="C8" i="5857"/>
  <c r="O7" i="5857"/>
  <c r="C7" i="5857"/>
  <c r="O6" i="5857"/>
  <c r="B6" i="5857"/>
  <c r="O5" i="5857"/>
  <c r="B5" i="5857"/>
  <c r="O4" i="5857"/>
  <c r="O3" i="5857"/>
  <c r="O2" i="5857"/>
  <c r="O21" i="5855"/>
  <c r="O23" i="5855"/>
  <c r="C29" i="5855"/>
  <c r="B26" i="5855"/>
  <c r="B25" i="5855"/>
  <c r="C20" i="5855"/>
  <c r="B17" i="5855"/>
  <c r="H51" i="5855" s="1"/>
  <c r="C16" i="5855"/>
  <c r="C15" i="5855"/>
  <c r="C14" i="5855"/>
  <c r="C13" i="5855"/>
  <c r="O12" i="5855"/>
  <c r="C12" i="5855"/>
  <c r="O11" i="5855"/>
  <c r="C11" i="5855"/>
  <c r="O10" i="5855"/>
  <c r="C10" i="5855"/>
  <c r="C9" i="5855"/>
  <c r="C8" i="5855"/>
  <c r="O7" i="5855"/>
  <c r="C7" i="5855"/>
  <c r="O6" i="5855"/>
  <c r="B6" i="5855"/>
  <c r="O5" i="5855"/>
  <c r="B5" i="5855"/>
  <c r="O4" i="5855"/>
  <c r="O3" i="5855"/>
  <c r="O2" i="5855"/>
  <c r="H4" i="5859" l="1"/>
  <c r="H2" i="5861"/>
  <c r="H5" i="5861"/>
  <c r="H3" i="5861"/>
  <c r="H15" i="5855"/>
  <c r="H24" i="5857"/>
  <c r="H6" i="5857"/>
  <c r="H12" i="5861"/>
  <c r="C17" i="5861"/>
  <c r="H28" i="5861"/>
  <c r="H33" i="5861"/>
  <c r="H49" i="5861"/>
  <c r="B24" i="5861"/>
  <c r="H38" i="5861"/>
  <c r="H46" i="5861"/>
  <c r="H52" i="5861"/>
  <c r="H10" i="5861"/>
  <c r="H6" i="5861"/>
  <c r="H11" i="5861"/>
  <c r="H20" i="5861"/>
  <c r="H18" i="5861"/>
  <c r="H17" i="5861"/>
  <c r="H23" i="5861"/>
  <c r="H13" i="5861"/>
  <c r="H32" i="5861"/>
  <c r="H16" i="5861"/>
  <c r="H25" i="5861"/>
  <c r="H39" i="5861"/>
  <c r="H43" i="5861"/>
  <c r="H47" i="5861"/>
  <c r="H51" i="5861"/>
  <c r="H29" i="5861"/>
  <c r="H30" i="5861"/>
  <c r="H31" i="5861"/>
  <c r="H34" i="5861"/>
  <c r="H37" i="5861"/>
  <c r="H41" i="5861"/>
  <c r="H45" i="5861"/>
  <c r="H4" i="5861"/>
  <c r="H9" i="5861"/>
  <c r="H21" i="5861"/>
  <c r="H22" i="5861"/>
  <c r="C19" i="5861"/>
  <c r="H14" i="5861"/>
  <c r="H35" i="5861"/>
  <c r="H42" i="5861"/>
  <c r="H50" i="5861"/>
  <c r="H7" i="5861"/>
  <c r="H26" i="5861"/>
  <c r="H27" i="5861"/>
  <c r="H15" i="5861"/>
  <c r="C18" i="5861"/>
  <c r="B23" i="5861"/>
  <c r="H8" i="5861"/>
  <c r="H24" i="5861"/>
  <c r="H36" i="5861"/>
  <c r="H40" i="5861"/>
  <c r="H44" i="5861"/>
  <c r="H48" i="5861"/>
  <c r="H4" i="5855"/>
  <c r="H7" i="5859"/>
  <c r="H30" i="5859"/>
  <c r="H31" i="5859"/>
  <c r="H16" i="5859"/>
  <c r="C18" i="5859"/>
  <c r="B23" i="5859"/>
  <c r="H24" i="5859"/>
  <c r="H41" i="5859"/>
  <c r="H2" i="5859"/>
  <c r="H13" i="5859"/>
  <c r="H3" i="5859"/>
  <c r="H26" i="5859"/>
  <c r="H23" i="5859"/>
  <c r="H19" i="5859"/>
  <c r="H20" i="5859"/>
  <c r="C17" i="5859"/>
  <c r="H12" i="5859"/>
  <c r="H9" i="5859"/>
  <c r="H28" i="5859"/>
  <c r="H47" i="5859"/>
  <c r="B24" i="5859"/>
  <c r="H44" i="5859"/>
  <c r="H8" i="5859"/>
  <c r="H17" i="5859"/>
  <c r="H10" i="5859"/>
  <c r="H6" i="5859"/>
  <c r="H11" i="5859"/>
  <c r="H25" i="5859"/>
  <c r="H21" i="5859"/>
  <c r="H14" i="5859"/>
  <c r="H40" i="5859"/>
  <c r="H51" i="5859"/>
  <c r="H48" i="5859"/>
  <c r="C19" i="5859"/>
  <c r="H18" i="5859"/>
  <c r="H37" i="5859"/>
  <c r="H45" i="5859"/>
  <c r="H15" i="5859"/>
  <c r="H32" i="5859"/>
  <c r="H33" i="5859"/>
  <c r="H22" i="5859"/>
  <c r="H34" i="5859"/>
  <c r="H27" i="5859"/>
  <c r="H35" i="5859"/>
  <c r="H38" i="5859"/>
  <c r="H42" i="5859"/>
  <c r="H46" i="5859"/>
  <c r="H49" i="5859"/>
  <c r="H5" i="5859"/>
  <c r="H36" i="5859"/>
  <c r="H39" i="5859"/>
  <c r="H43" i="5859"/>
  <c r="H29" i="5859"/>
  <c r="H50" i="5859"/>
  <c r="H13" i="5857"/>
  <c r="H3" i="5857"/>
  <c r="H39" i="5857"/>
  <c r="H23" i="5857"/>
  <c r="B23" i="5857"/>
  <c r="H43" i="5857"/>
  <c r="H8" i="5857"/>
  <c r="H9" i="5857"/>
  <c r="H32" i="5857"/>
  <c r="H47" i="5857"/>
  <c r="C17" i="5857"/>
  <c r="H2" i="5857"/>
  <c r="H22" i="5857"/>
  <c r="C18" i="5857"/>
  <c r="H35" i="5857"/>
  <c r="H51" i="5857"/>
  <c r="H26" i="5857"/>
  <c r="H27" i="5857"/>
  <c r="H29" i="5857"/>
  <c r="H30" i="5857"/>
  <c r="H31" i="5857"/>
  <c r="H21" i="5857"/>
  <c r="H36" i="5857"/>
  <c r="H40" i="5857"/>
  <c r="H44" i="5857"/>
  <c r="H48" i="5857"/>
  <c r="H4" i="5857"/>
  <c r="H7" i="5857"/>
  <c r="H19" i="5857"/>
  <c r="H20" i="5857"/>
  <c r="C19" i="5857"/>
  <c r="H11" i="5857"/>
  <c r="B24" i="5857"/>
  <c r="H33" i="5857"/>
  <c r="H37" i="5857"/>
  <c r="H41" i="5857"/>
  <c r="H45" i="5857"/>
  <c r="H49" i="5857"/>
  <c r="H52" i="5857"/>
  <c r="H12" i="5857"/>
  <c r="H5" i="5857"/>
  <c r="H10" i="5857"/>
  <c r="H18" i="5857"/>
  <c r="H25" i="5857"/>
  <c r="H14" i="5857"/>
  <c r="H28" i="5857"/>
  <c r="H15" i="5857"/>
  <c r="H17" i="5857"/>
  <c r="H16" i="5857"/>
  <c r="H34" i="5857"/>
  <c r="H38" i="5857"/>
  <c r="H42" i="5857"/>
  <c r="H46" i="5857"/>
  <c r="H9" i="5855"/>
  <c r="H3" i="5855"/>
  <c r="H42" i="5855"/>
  <c r="H45" i="5855"/>
  <c r="H7" i="5855"/>
  <c r="H21" i="5855"/>
  <c r="H48" i="5855"/>
  <c r="H11" i="5855"/>
  <c r="H35" i="5855"/>
  <c r="B23" i="5855"/>
  <c r="C17" i="5855"/>
  <c r="H2" i="5855"/>
  <c r="H26" i="5855"/>
  <c r="C18" i="5855"/>
  <c r="H39" i="5855"/>
  <c r="H16" i="5855"/>
  <c r="H36" i="5855"/>
  <c r="H37" i="5855"/>
  <c r="H24" i="5855"/>
  <c r="H30" i="5855"/>
  <c r="H31" i="5855"/>
  <c r="H28" i="5855"/>
  <c r="H32" i="5855"/>
  <c r="H33" i="5855"/>
  <c r="H46" i="5855"/>
  <c r="H49" i="5855"/>
  <c r="H5" i="5855"/>
  <c r="H8" i="5855"/>
  <c r="H20" i="5855"/>
  <c r="H23" i="5855"/>
  <c r="C19" i="5855"/>
  <c r="H13" i="5855"/>
  <c r="B24" i="5855"/>
  <c r="H38" i="5855"/>
  <c r="H40" i="5855"/>
  <c r="H43" i="5855"/>
  <c r="H34" i="5855"/>
  <c r="H50" i="5855"/>
  <c r="H52" i="5855"/>
  <c r="H10" i="5855"/>
  <c r="H6" i="5855"/>
  <c r="H12" i="5855"/>
  <c r="H22" i="5855"/>
  <c r="H19" i="5855"/>
  <c r="H17" i="5855"/>
  <c r="H27" i="5855"/>
  <c r="H14" i="5855"/>
  <c r="H25" i="5855"/>
  <c r="H18" i="5855"/>
  <c r="H29" i="5855"/>
  <c r="H41" i="5855"/>
  <c r="H44" i="5855"/>
  <c r="H47" i="5855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<sst xmlns="http://schemas.openxmlformats.org/spreadsheetml/2006/main" count="2835" uniqueCount="243">
  <si>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</si>
  <si>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</si>
  <si>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</si>
  <si>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</si>
  <si>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</si>
  <si>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</si>
  <si>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</si>
  <si>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</si>
  <si>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</si>
  <si>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</si>
  <si>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</si>
  <si>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</si>
  <si>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</si>
  <si>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</si>
  <si>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</si>
  <si>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</si>
  <si>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</si>
  <si>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</si>
  <si>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</si>
  <si>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</si>
  <si>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</si>
  <si>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</si>
  <si>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</si>
  <si>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</si>
  <si>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</si>
  <si>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</si>
  <si>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</si>
  <si>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</si>
  <si>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</si>
  <si>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</si>
  <si>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</si>
  <si>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</si>
  <si>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</si>
  <si>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</si>
  <si>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</si>
  <si>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</si>
  <si>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</si>
  <si>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</si>
  <si>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</si>
  <si>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</si>
  <si>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</si>
  <si>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</si>
  <si>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</si>
  <si>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</si>
  <si>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</si>
  <si>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</si>
  <si>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</si>
  <si>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</si>
  <si>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</si>
  <si>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</si>
  <si>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</si>
  <si>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</si>
  <si>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</si>
  <si>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</si>
  <si>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</si>
  <si>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</si>
  <si>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</si>
  <si>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</si>
  <si>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</si>
  <si>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</si>
  <si>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</si>
  <si>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</si>
  <si>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</si>
  <si>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</si>
  <si>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</si>
  <si>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</si>
  <si>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</si>
  <si>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</si>
  <si>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</si>
  <si>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</si>
  <si>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</si>
  <si>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</si>
  <si>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</si>
  <si>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</si>
  <si>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</si>
  <si>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</si>
  <si>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</si>
  <si>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</si>
  <si>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</si>
  <si>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</si>
  <si>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</si>
  <si>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</si>
  <si>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</si>
  <si>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</si>
  <si>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</si>
  <si>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</si>
  <si>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</si>
  <si>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</si>
  <si>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</si>
  <si>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</si>
  <si>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</si>
  <si>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</si>
  <si>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</si>
  <si>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</si>
  <si>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</si>
  <si>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</si>
  <si>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</si>
  <si>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</si>
  <si>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</si>
  <si>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</si>
  <si>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</si>
  <si>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</si>
  <si>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</si>
  <si>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</si>
  <si>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</si>
  <si>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</si>
  <si>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</si>
  <si>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</si>
  <si>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</si>
  <si>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</si>
  <si>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</si>
  <si>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</si>
  <si>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</si>
  <si>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</si>
  <si>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</si>
  <si>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</si>
  <si>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</si>
  <si>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</si>
  <si>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</si>
  <si>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</si>
  <si>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</si>
  <si>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</si>
  <si>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</si>
  <si>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</si>
  <si>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</si>
  <si>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</si>
  <si>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</si>
  <si>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</si>
  <si>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</si>
  <si>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</si>
  <si>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</si>
  <si>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</si>
  <si>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</si>
  <si>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</si>
  <si>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</si>
  <si>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</si>
  <si>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</si>
  <si>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</si>
  <si>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</si>
  <si>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</si>
  <si>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</si>
  <si>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</si>
  <si>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</si>
  <si>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</si>
  <si>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</si>
  <si>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</si>
  <si>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</si>
  <si>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</si>
  <si>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</si>
  <si>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</si>
  <si>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</si>
  <si>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</si>
  <si>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</si>
  <si>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</si>
  <si>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</si>
  <si>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</si>
  <si>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</si>
  <si>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</si>
  <si>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</si>
  <si>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</si>
  <si>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</si>
  <si>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</si>
  <si>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</si>
  <si>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</si>
  <si>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</si>
  <si>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</si>
  <si>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</si>
  <si>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</si>
  <si>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</si>
  <si>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</si>
  <si>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</si>
  <si>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</si>
  <si>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</si>
  <si>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</si>
  <si>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</si>
  <si>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</si>
  <si>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</si>
  <si>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</si>
  <si>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</si>
  <si>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</si>
  <si>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</si>
  <si>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</si>
  <si>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</si>
  <si>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</si>
  <si>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</si>
  <si>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</si>
  <si>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</si>
  <si>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</si>
  <si>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</si>
  <si>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</si>
  <si>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</si>
  <si>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</si>
  <si>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</si>
  <si>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</si>
  <si>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</si>
  <si>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</si>
  <si>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</si>
  <si>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</si>
  <si>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</si>
  <si>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</si>
  <si>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</si>
  <si>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</si>
  <si>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</si>
  <si>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</si>
  <si>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</si>
  <si>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</si>
  <si>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</si>
  <si>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</si>
  <si>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</si>
  <si>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</si>
  <si>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</si>
  <si>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</si>
  <si>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</si>
  <si>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</si>
  <si>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</si>
  <si>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</si>
  <si>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</si>
  <si>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</si>
  <si>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</si>
  <si>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</si>
  <si>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</si>
  <si>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</si>
  <si>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</si>
  <si>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</si>
  <si>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</si>
  <si>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</si>
  <si>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</si>
  <si>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</si>
  <si>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</si>
  <si>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</si>
  <si>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</si>
  <si>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</si>
  <si>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</si>
  <si>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</si>
  <si>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</si>
  <si>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</si>
  <si>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</si>
  <si>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2019-11-01@4.xlsm</t>
  </si>
  <si>
    <t>2019-11-01@2.xlsm</t>
  </si>
  <si>
    <t>2019-11-02@2.xlsm</t>
  </si>
  <si>
    <t>2019-11-03@2.xlsm</t>
  </si>
  <si>
    <t>2019-11-04@2.xlsm</t>
  </si>
  <si>
    <t>2019-11-05@2.xlsm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</si>
</sst>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全体!$K$2:$K$527</c:f>
              <c:numCache>
                <c:formatCode>General</c:formatCode>
                <c:ptCount val="5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</c:numCache>
            </c:numRef>
          </c:xVal>
          <c:yVal>
            <c:numRef>
              <c:f>全体!$L$2:$L$527</c:f>
              <c:numCache>
                <c:formatCode>\+0.0;\-0.0;\±0</c:formatCode>
                <c:ptCount val="526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69-4D36-9099-E403D23B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-21.072796934865899</c:v>
                </c:pt>
                <c:pt idx="1">
                  <c:v>5.882352941176471</c:v>
                </c:pt>
                <c:pt idx="2">
                  <c:v>-14.492753623188406</c:v>
                </c:pt>
                <c:pt idx="3">
                  <c:v>13.071895424836601</c:v>
                </c:pt>
                <c:pt idx="4">
                  <c:v>9.456264775413711</c:v>
                </c:pt>
                <c:pt idx="5">
                  <c:v>14.005602240896359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90-4DCE-A0CC-525D8C6BB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37-4418-B05B-CCC37AE08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1384.7826086956522</c:v>
                </c:pt>
                <c:pt idx="1">
                  <c:v>-1100</c:v>
                </c:pt>
                <c:pt idx="2">
                  <c:v>-1309.3023255813953</c:v>
                </c:pt>
                <c:pt idx="3">
                  <c:v>-1354.7619047619048</c:v>
                </c:pt>
                <c:pt idx="4">
                  <c:v>785.71428571428567</c:v>
                </c:pt>
                <c:pt idx="5">
                  <c:v>-1438.8888888888889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7C-49C4-ABA4-49CB0A757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だいち!$K$2:$K$111</c:f>
              <c:numCache>
                <c:formatCode>General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だいち!$L$2:$L$111</c:f>
              <c:numCache>
                <c:formatCode>\+0.0;\-0.0;\±0</c:formatCode>
                <c:ptCount val="110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4D-4BF6-BE4A-0CAA35406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1138.8888888888889</c:v>
                </c:pt>
                <c:pt idx="1">
                  <c:v>431.42857142857144</c:v>
                </c:pt>
                <c:pt idx="2">
                  <c:v>157.42574257425741</c:v>
                </c:pt>
                <c:pt idx="3">
                  <c:v>510.75268817204301</c:v>
                </c:pt>
                <c:pt idx="4">
                  <c:v>2217.4418604651164</c:v>
                </c:pt>
                <c:pt idx="5">
                  <c:v>3040.8450704225352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C7-4DB9-8BF3-6BC52EAFE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ただ!$L$2:$L$102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D6-4835-A82E-9D7C9EC10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-1921.2121212121212</c:v>
                </c:pt>
                <c:pt idx="1">
                  <c:v>1368.0412371134021</c:v>
                </c:pt>
                <c:pt idx="2">
                  <c:v>593.4065934065934</c:v>
                </c:pt>
                <c:pt idx="3">
                  <c:v>580.23255813953483</c:v>
                </c:pt>
                <c:pt idx="4">
                  <c:v>-1068.3544303797469</c:v>
                </c:pt>
                <c:pt idx="5">
                  <c:v>1189.5522388059701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2-42CE-ACDD-FCC053D2E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14-49FD-8194-A7971624C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-391.93548387096774</c:v>
                </c:pt>
                <c:pt idx="1">
                  <c:v>-941.93548387096769</c:v>
                </c:pt>
                <c:pt idx="2">
                  <c:v>756.89655172413791</c:v>
                </c:pt>
                <c:pt idx="3">
                  <c:v>-1361.4035087719299</c:v>
                </c:pt>
                <c:pt idx="4">
                  <c:v>-3379.6296296296296</c:v>
                </c:pt>
                <c:pt idx="5">
                  <c:v>-1283.3333333333333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81-4A53-935C-B625E9102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れんたろう!$L$2:$L$60</c:f>
              <c:numCache>
                <c:formatCode>\+0.0;\-0.0;\±0</c:formatCode>
                <c:ptCount val="59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9E-41EB-A6B5-6D958486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2300</c:v>
                </c:pt>
                <c:pt idx="1">
                  <c:v>-2180.3571428571427</c:v>
                </c:pt>
                <c:pt idx="2">
                  <c:v>1734.6153846153845</c:v>
                </c:pt>
                <c:pt idx="3">
                  <c:v>3738</c:v>
                </c:pt>
                <c:pt idx="4">
                  <c:v>-810.86956521739125</c:v>
                </c:pt>
                <c:pt idx="5">
                  <c:v>-300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6D-4C37-A15E-1593DF1C5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まっつん!$K$2:$K$89</c:f>
              <c:numCache>
                <c:formatCode>General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まっつん!$L$2:$L$89</c:f>
              <c:numCache>
                <c:formatCode>\+0.0;\-0.0;\±0</c:formatCode>
                <c:ptCount val="88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B2-4496-A1D5-744524F7B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662.06896551724139</c:v>
                </c:pt>
                <c:pt idx="1">
                  <c:v>851.19047619047615</c:v>
                </c:pt>
                <c:pt idx="2">
                  <c:v>-1026.9230769230769</c:v>
                </c:pt>
                <c:pt idx="3">
                  <c:v>-165.27777777777777</c:v>
                </c:pt>
                <c:pt idx="4">
                  <c:v>-96.825396825396822</c:v>
                </c:pt>
                <c:pt idx="5">
                  <c:v>-1254.5454545454545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D7-46D8-8245-64C5EDC05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のり!$L$2:$L$33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D2-4FCE-AAE1-31201BE31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-2700</c:v>
                </c:pt>
                <c:pt idx="1">
                  <c:v>-170.96774193548387</c:v>
                </c:pt>
                <c:pt idx="2">
                  <c:v>-745.16129032258061</c:v>
                </c:pt>
                <c:pt idx="3">
                  <c:v>-2773.3333333333335</c:v>
                </c:pt>
                <c:pt idx="4">
                  <c:v>-1531.0344827586207</c:v>
                </c:pt>
                <c:pt idx="5">
                  <c:v>-3683.3333333333335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77-469A-B478-8598742BA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ぱぱ!$L$2:$L$24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3B-445F-9080-52278071B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-2504.5454545454545</c:v>
                </c:pt>
                <c:pt idx="1">
                  <c:v>-354.54545454545456</c:v>
                </c:pt>
                <c:pt idx="2">
                  <c:v>-385.71428571428572</c:v>
                </c:pt>
                <c:pt idx="3">
                  <c:v>-2123.8095238095239</c:v>
                </c:pt>
                <c:pt idx="4">
                  <c:v>5752.6315789473683</c:v>
                </c:pt>
                <c:pt idx="5">
                  <c:v>112.5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3-4E49-88E1-2811263FF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6B-43B3-86B1-FC4CFD7B4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58-4824-906C-812514C8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0A-422A-9120-C93635261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9E-4E08-8DEE-7214F559A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まっつん2!$A$3:$A$90</c:f>
              <c:numCache>
                <c:formatCode>0\ "回"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まっつん2!$B$3:$B$90</c:f>
              <c:numCache>
                <c:formatCode>\+0.0;\-0.0;\±0</c:formatCode>
                <c:ptCount val="88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039613253960851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まっつん2!$A$3:$A$90</c:f>
              <c:numCache>
                <c:formatCode>0\ "回"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まっつん2!$C$3:$C$90</c:f>
              <c:numCache>
                <c:formatCode>\+0.0;\-0.0;\±0</c:formatCode>
                <c:ptCount val="88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  <c:pt idx="19">
                  <c:v>-2.9684210526315784</c:v>
                </c:pt>
                <c:pt idx="20">
                  <c:v>-4.6599999999999993</c:v>
                </c:pt>
                <c:pt idx="21">
                  <c:v>-5.89047619047619</c:v>
                </c:pt>
                <c:pt idx="22">
                  <c:v>-3.045454545454545</c:v>
                </c:pt>
                <c:pt idx="23">
                  <c:v>-2.5913043478260862</c:v>
                </c:pt>
                <c:pt idx="24">
                  <c:v>-3.8083333333333331</c:v>
                </c:pt>
                <c:pt idx="25">
                  <c:v>-1.6519999999999997</c:v>
                </c:pt>
                <c:pt idx="26">
                  <c:v>-2.0807692307692305</c:v>
                </c:pt>
                <c:pt idx="27">
                  <c:v>-2.5999999999999996</c:v>
                </c:pt>
                <c:pt idx="28">
                  <c:v>-2.1892857142857141</c:v>
                </c:pt>
                <c:pt idx="29">
                  <c:v>-3.7827586206896546</c:v>
                </c:pt>
                <c:pt idx="30">
                  <c:v>-3.5766666666666662</c:v>
                </c:pt>
                <c:pt idx="31">
                  <c:v>-3.1225806451612899</c:v>
                </c:pt>
                <c:pt idx="32">
                  <c:v>-1.6906249999999994</c:v>
                </c:pt>
                <c:pt idx="33">
                  <c:v>-1.481818181818181</c:v>
                </c:pt>
                <c:pt idx="34">
                  <c:v>-1.8823529411764699</c:v>
                </c:pt>
                <c:pt idx="35">
                  <c:v>-2.0685714285714281</c:v>
                </c:pt>
                <c:pt idx="36">
                  <c:v>-1.816666666666666</c:v>
                </c:pt>
                <c:pt idx="37">
                  <c:v>-1.5837837837837832</c:v>
                </c:pt>
                <c:pt idx="38">
                  <c:v>-1.3631578947368417</c:v>
                </c:pt>
                <c:pt idx="39">
                  <c:v>-1.7410256410256404</c:v>
                </c:pt>
                <c:pt idx="40">
                  <c:v>-1.5324999999999993</c:v>
                </c:pt>
                <c:pt idx="41">
                  <c:v>-1.3878048780487799</c:v>
                </c:pt>
                <c:pt idx="42">
                  <c:v>-1.3928571428571423</c:v>
                </c:pt>
                <c:pt idx="43">
                  <c:v>-1.1604651162790693</c:v>
                </c:pt>
                <c:pt idx="44">
                  <c:v>0.26363636363636417</c:v>
                </c:pt>
                <c:pt idx="45">
                  <c:v>-0.51777777777777723</c:v>
                </c:pt>
                <c:pt idx="46">
                  <c:v>-0.24130434782608645</c:v>
                </c:pt>
                <c:pt idx="47">
                  <c:v>-0.66170212765957392</c:v>
                </c:pt>
                <c:pt idx="48">
                  <c:v>-0.38541666666666624</c:v>
                </c:pt>
                <c:pt idx="49">
                  <c:v>0.14489795918367393</c:v>
                </c:pt>
                <c:pt idx="50">
                  <c:v>0.13000000000000045</c:v>
                </c:pt>
                <c:pt idx="51">
                  <c:v>-5.8823529411760143E-3</c:v>
                </c:pt>
                <c:pt idx="52">
                  <c:v>0.16923076923076966</c:v>
                </c:pt>
                <c:pt idx="53">
                  <c:v>0.10943396226415136</c:v>
                </c:pt>
                <c:pt idx="54">
                  <c:v>-0.23148148148148109</c:v>
                </c:pt>
                <c:pt idx="55">
                  <c:v>0.66181818181818219</c:v>
                </c:pt>
                <c:pt idx="56">
                  <c:v>-6.607142857142824E-2</c:v>
                </c:pt>
                <c:pt idx="57">
                  <c:v>0.22631578947368455</c:v>
                </c:pt>
                <c:pt idx="58">
                  <c:v>0.65000000000000024</c:v>
                </c:pt>
                <c:pt idx="59">
                  <c:v>1.3050847457627122</c:v>
                </c:pt>
                <c:pt idx="60">
                  <c:v>0.3516666666666669</c:v>
                </c:pt>
                <c:pt idx="61">
                  <c:v>0.44426229508196746</c:v>
                </c:pt>
                <c:pt idx="62">
                  <c:v>0.19032258064516153</c:v>
                </c:pt>
                <c:pt idx="63">
                  <c:v>0.73650793650793678</c:v>
                </c:pt>
                <c:pt idx="64">
                  <c:v>0.62343750000000031</c:v>
                </c:pt>
                <c:pt idx="65">
                  <c:v>0.22461538461538491</c:v>
                </c:pt>
                <c:pt idx="66">
                  <c:v>-9.5454545454545139E-2</c:v>
                </c:pt>
                <c:pt idx="67">
                  <c:v>-4.1791044776119092E-2</c:v>
                </c:pt>
                <c:pt idx="68">
                  <c:v>-0.52647058823529391</c:v>
                </c:pt>
                <c:pt idx="69">
                  <c:v>-0.86811594202898523</c:v>
                </c:pt>
                <c:pt idx="70">
                  <c:v>-0.7085714285714283</c:v>
                </c:pt>
                <c:pt idx="71">
                  <c:v>-0.76056338028168979</c:v>
                </c:pt>
                <c:pt idx="72">
                  <c:v>-0.94722222222222185</c:v>
                </c:pt>
                <c:pt idx="73">
                  <c:v>-0.89999999999999969</c:v>
                </c:pt>
                <c:pt idx="74">
                  <c:v>-0.48108108108108072</c:v>
                </c:pt>
                <c:pt idx="75">
                  <c:v>-0.49999999999999961</c:v>
                </c:pt>
                <c:pt idx="76">
                  <c:v>-0.37105263157894697</c:v>
                </c:pt>
                <c:pt idx="77">
                  <c:v>-1.1337662337662333</c:v>
                </c:pt>
                <c:pt idx="78">
                  <c:v>-1.71025641025641</c:v>
                </c:pt>
                <c:pt idx="79">
                  <c:v>-2.1518987341772147</c:v>
                </c:pt>
                <c:pt idx="80">
                  <c:v>-2.0724999999999998</c:v>
                </c:pt>
                <c:pt idx="81">
                  <c:v>-1.4320987654320987</c:v>
                </c:pt>
                <c:pt idx="82">
                  <c:v>-1.4292682926829268</c:v>
                </c:pt>
                <c:pt idx="83">
                  <c:v>-1.5493975903614456</c:v>
                </c:pt>
                <c:pt idx="84">
                  <c:v>-1.4261904761904762</c:v>
                </c:pt>
                <c:pt idx="85">
                  <c:v>-1.1458823529411766</c:v>
                </c:pt>
                <c:pt idx="86">
                  <c:v>-0.97441860465116292</c:v>
                </c:pt>
                <c:pt idx="87">
                  <c:v>-0.65977011494252891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1504025245639716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まっつん2!$A$3:$A$90</c:f>
              <c:numCache>
                <c:formatCode>0\ "回"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まっつん2!$D$3:$D$90</c:f>
              <c:numCache>
                <c:formatCode>0.00\ "位"</c:formatCode>
                <c:ptCount val="88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2.1904761904761907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2.12</c:v>
                </c:pt>
                <c:pt idx="26">
                  <c:v>2.1538461538461537</c:v>
                </c:pt>
                <c:pt idx="27">
                  <c:v>2.1481481481481484</c:v>
                </c:pt>
                <c:pt idx="28">
                  <c:v>2.1428571428571428</c:v>
                </c:pt>
                <c:pt idx="29">
                  <c:v>2.1724137931034484</c:v>
                </c:pt>
                <c:pt idx="30">
                  <c:v>2.1666666666666665</c:v>
                </c:pt>
                <c:pt idx="31">
                  <c:v>2.161290322580645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2.1470588235294117</c:v>
                </c:pt>
                <c:pt idx="35">
                  <c:v>2.1428571428571428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2.1315789473684212</c:v>
                </c:pt>
                <c:pt idx="39">
                  <c:v>2.1282051282051282</c:v>
                </c:pt>
                <c:pt idx="40">
                  <c:v>2.125</c:v>
                </c:pt>
                <c:pt idx="41">
                  <c:v>2.1219512195121952</c:v>
                </c:pt>
                <c:pt idx="42">
                  <c:v>2.1190476190476191</c:v>
                </c:pt>
                <c:pt idx="43">
                  <c:v>2.1162790697674421</c:v>
                </c:pt>
                <c:pt idx="44">
                  <c:v>2.0909090909090908</c:v>
                </c:pt>
                <c:pt idx="45">
                  <c:v>2.1111111111111112</c:v>
                </c:pt>
                <c:pt idx="46">
                  <c:v>2.1086956521739131</c:v>
                </c:pt>
                <c:pt idx="47">
                  <c:v>2.1063829787234041</c:v>
                </c:pt>
                <c:pt idx="48">
                  <c:v>2.1041666666666665</c:v>
                </c:pt>
                <c:pt idx="49">
                  <c:v>2.0816326530612246</c:v>
                </c:pt>
                <c:pt idx="50">
                  <c:v>2.08</c:v>
                </c:pt>
                <c:pt idx="51">
                  <c:v>2.0784313725490198</c:v>
                </c:pt>
                <c:pt idx="52">
                  <c:v>2.0769230769230771</c:v>
                </c:pt>
                <c:pt idx="53">
                  <c:v>2.0754716981132075</c:v>
                </c:pt>
                <c:pt idx="54">
                  <c:v>2.0925925925925926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2.0701754385964914</c:v>
                </c:pt>
                <c:pt idx="58">
                  <c:v>2.0517241379310347</c:v>
                </c:pt>
                <c:pt idx="59">
                  <c:v>2.0338983050847457</c:v>
                </c:pt>
                <c:pt idx="60">
                  <c:v>2.0499999999999998</c:v>
                </c:pt>
                <c:pt idx="61">
                  <c:v>2.0491803278688523</c:v>
                </c:pt>
                <c:pt idx="62">
                  <c:v>2.064516129032258</c:v>
                </c:pt>
                <c:pt idx="63">
                  <c:v>2.0476190476190474</c:v>
                </c:pt>
                <c:pt idx="64">
                  <c:v>2.046875</c:v>
                </c:pt>
                <c:pt idx="65">
                  <c:v>2.0615384615384613</c:v>
                </c:pt>
                <c:pt idx="66">
                  <c:v>2.0757575757575757</c:v>
                </c:pt>
                <c:pt idx="67">
                  <c:v>2.0746268656716418</c:v>
                </c:pt>
                <c:pt idx="68">
                  <c:v>2.0735294117647061</c:v>
                </c:pt>
                <c:pt idx="69">
                  <c:v>2.0869565217391304</c:v>
                </c:pt>
                <c:pt idx="70">
                  <c:v>2.0857142857142859</c:v>
                </c:pt>
                <c:pt idx="71">
                  <c:v>2.084507042253521</c:v>
                </c:pt>
                <c:pt idx="72">
                  <c:v>2.0833333333333335</c:v>
                </c:pt>
                <c:pt idx="73">
                  <c:v>2.0821917808219177</c:v>
                </c:pt>
                <c:pt idx="74">
                  <c:v>2.0675675675675675</c:v>
                </c:pt>
                <c:pt idx="75">
                  <c:v>2.0666666666666669</c:v>
                </c:pt>
                <c:pt idx="76">
                  <c:v>2.0657894736842106</c:v>
                </c:pt>
                <c:pt idx="77">
                  <c:v>2.0779220779220777</c:v>
                </c:pt>
                <c:pt idx="78">
                  <c:v>2.0897435897435899</c:v>
                </c:pt>
                <c:pt idx="79">
                  <c:v>2.1012658227848102</c:v>
                </c:pt>
                <c:pt idx="80">
                  <c:v>2.1</c:v>
                </c:pt>
                <c:pt idx="81">
                  <c:v>2.0864197530864197</c:v>
                </c:pt>
                <c:pt idx="82">
                  <c:v>2.0853658536585367</c:v>
                </c:pt>
                <c:pt idx="83">
                  <c:v>2.0843373493975905</c:v>
                </c:pt>
                <c:pt idx="84">
                  <c:v>2.0833333333333335</c:v>
                </c:pt>
                <c:pt idx="85">
                  <c:v>2.0705882352941178</c:v>
                </c:pt>
                <c:pt idx="86">
                  <c:v>2.058139534883721</c:v>
                </c:pt>
                <c:pt idx="87">
                  <c:v>2.0459770114942528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まっつん2!$A$3:$A$90</c:f>
              <c:numCache>
                <c:formatCode>0\ "回"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まっつん2!$E$3:$E$90</c:f>
              <c:numCache>
                <c:formatCode>0.0%</c:formatCode>
                <c:ptCount val="88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0.20408163265306123</c:v>
                </c:pt>
                <c:pt idx="50">
                  <c:v>0.2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0.22413793103448276</c:v>
                </c:pt>
                <c:pt idx="59">
                  <c:v>0.23728813559322035</c:v>
                </c:pt>
                <c:pt idx="60">
                  <c:v>0.23333333333333334</c:v>
                </c:pt>
                <c:pt idx="61">
                  <c:v>0.22950819672131148</c:v>
                </c:pt>
                <c:pt idx="62">
                  <c:v>0.22580645161290322</c:v>
                </c:pt>
                <c:pt idx="63">
                  <c:v>0.23809523809523808</c:v>
                </c:pt>
                <c:pt idx="64">
                  <c:v>0.234375</c:v>
                </c:pt>
                <c:pt idx="65">
                  <c:v>0.23076923076923078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0.22058823529411764</c:v>
                </c:pt>
                <c:pt idx="69">
                  <c:v>0.21739130434782608</c:v>
                </c:pt>
                <c:pt idx="70">
                  <c:v>0.21428571428571427</c:v>
                </c:pt>
                <c:pt idx="71">
                  <c:v>0.21126760563380281</c:v>
                </c:pt>
                <c:pt idx="72">
                  <c:v>0.20833333333333334</c:v>
                </c:pt>
                <c:pt idx="73">
                  <c:v>0.20547945205479451</c:v>
                </c:pt>
                <c:pt idx="74">
                  <c:v>0.21621621621621623</c:v>
                </c:pt>
                <c:pt idx="75">
                  <c:v>0.21333333333333335</c:v>
                </c:pt>
                <c:pt idx="76">
                  <c:v>0.21052631578947367</c:v>
                </c:pt>
                <c:pt idx="77">
                  <c:v>0.20779220779220781</c:v>
                </c:pt>
                <c:pt idx="78">
                  <c:v>0.20512820512820512</c:v>
                </c:pt>
                <c:pt idx="79">
                  <c:v>0.20253164556962025</c:v>
                </c:pt>
                <c:pt idx="80">
                  <c:v>0.2</c:v>
                </c:pt>
                <c:pt idx="81">
                  <c:v>0.20987654320987653</c:v>
                </c:pt>
                <c:pt idx="82">
                  <c:v>0.2073170731707317</c:v>
                </c:pt>
                <c:pt idx="83">
                  <c:v>0.20481927710843373</c:v>
                </c:pt>
                <c:pt idx="84">
                  <c:v>0.20238095238095238</c:v>
                </c:pt>
                <c:pt idx="85">
                  <c:v>0.21176470588235294</c:v>
                </c:pt>
                <c:pt idx="86">
                  <c:v>0.22093023255813954</c:v>
                </c:pt>
                <c:pt idx="87">
                  <c:v>0.22988505747126436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まっつん2!$A$3:$A$90</c:f>
              <c:numCache>
                <c:formatCode>0\ "回"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まっつん2!$F$3:$F$90</c:f>
              <c:numCache>
                <c:formatCode>0.0%</c:formatCode>
                <c:ptCount val="88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0.30232558139534882</c:v>
                </c:pt>
                <c:pt idx="44">
                  <c:v>0.29545454545454547</c:v>
                </c:pt>
                <c:pt idx="45">
                  <c:v>0.31111111111111112</c:v>
                </c:pt>
                <c:pt idx="46">
                  <c:v>0.30434782608695654</c:v>
                </c:pt>
                <c:pt idx="47">
                  <c:v>0.2978723404255319</c:v>
                </c:pt>
                <c:pt idx="48">
                  <c:v>0.29166666666666669</c:v>
                </c:pt>
                <c:pt idx="49">
                  <c:v>0.2857142857142857</c:v>
                </c:pt>
                <c:pt idx="50">
                  <c:v>0.28000000000000003</c:v>
                </c:pt>
                <c:pt idx="51">
                  <c:v>0.27450980392156865</c:v>
                </c:pt>
                <c:pt idx="52">
                  <c:v>0.26923076923076922</c:v>
                </c:pt>
                <c:pt idx="53">
                  <c:v>0.26415094339622641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0.2857142857142857</c:v>
                </c:pt>
                <c:pt idx="57">
                  <c:v>0.2807017543859649</c:v>
                </c:pt>
                <c:pt idx="58">
                  <c:v>0.27586206896551724</c:v>
                </c:pt>
                <c:pt idx="59">
                  <c:v>0.2711864406779661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0.29032258064516131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0.30434782608695654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0.28378378378378377</c:v>
                </c:pt>
                <c:pt idx="75">
                  <c:v>0.28000000000000003</c:v>
                </c:pt>
                <c:pt idx="76">
                  <c:v>0.27631578947368424</c:v>
                </c:pt>
                <c:pt idx="77">
                  <c:v>0.2857142857142857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0.29629629629629628</c:v>
                </c:pt>
                <c:pt idx="82">
                  <c:v>0.29268292682926828</c:v>
                </c:pt>
                <c:pt idx="83">
                  <c:v>0.28915662650602408</c:v>
                </c:pt>
                <c:pt idx="84">
                  <c:v>0.2857142857142857</c:v>
                </c:pt>
                <c:pt idx="85">
                  <c:v>0.28235294117647058</c:v>
                </c:pt>
                <c:pt idx="86">
                  <c:v>0.27906976744186046</c:v>
                </c:pt>
                <c:pt idx="87">
                  <c:v>0.27586206896551724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まっつん2!$A$3:$A$90</c:f>
              <c:numCache>
                <c:formatCode>0\ "回"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まっつん2!$G$3:$G$90</c:f>
              <c:numCache>
                <c:formatCode>0.0%</c:formatCode>
                <c:ptCount val="88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0.27322404371584702</c:v>
                </c:pt>
                <c:pt idx="21">
                  <c:v>0.26178010471204188</c:v>
                </c:pt>
                <c:pt idx="22">
                  <c:v>0.26767676767676768</c:v>
                </c:pt>
                <c:pt idx="23">
                  <c:v>0.26829268292682928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0.26315789473684209</c:v>
                </c:pt>
                <c:pt idx="27">
                  <c:v>0.26406926406926406</c:v>
                </c:pt>
                <c:pt idx="28">
                  <c:v>0.26890756302521007</c:v>
                </c:pt>
                <c:pt idx="29">
                  <c:v>0.26337448559670784</c:v>
                </c:pt>
                <c:pt idx="30">
                  <c:v>0.26315789473684209</c:v>
                </c:pt>
                <c:pt idx="31">
                  <c:v>0.26744186046511625</c:v>
                </c:pt>
                <c:pt idx="32">
                  <c:v>0.27376425855513309</c:v>
                </c:pt>
                <c:pt idx="33">
                  <c:v>0.26568265682656828</c:v>
                </c:pt>
                <c:pt idx="34">
                  <c:v>0.26618705035971224</c:v>
                </c:pt>
                <c:pt idx="35">
                  <c:v>0.26923076923076922</c:v>
                </c:pt>
                <c:pt idx="36">
                  <c:v>0.27397260273972601</c:v>
                </c:pt>
                <c:pt idx="37">
                  <c:v>0.28052805280528054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0.27522935779816515</c:v>
                </c:pt>
                <c:pt idx="41">
                  <c:v>0.27844311377245506</c:v>
                </c:pt>
                <c:pt idx="42">
                  <c:v>0.28279883381924198</c:v>
                </c:pt>
                <c:pt idx="43">
                  <c:v>0.28285714285714286</c:v>
                </c:pt>
                <c:pt idx="44">
                  <c:v>0.28732394366197184</c:v>
                </c:pt>
                <c:pt idx="45">
                  <c:v>0.28415300546448086</c:v>
                </c:pt>
                <c:pt idx="46">
                  <c:v>0.28301886792452829</c:v>
                </c:pt>
                <c:pt idx="47">
                  <c:v>0.28238341968911918</c:v>
                </c:pt>
                <c:pt idx="48">
                  <c:v>0.28498727735368956</c:v>
                </c:pt>
                <c:pt idx="49">
                  <c:v>0.28499999999999998</c:v>
                </c:pt>
                <c:pt idx="50">
                  <c:v>0.28186274509803921</c:v>
                </c:pt>
                <c:pt idx="51">
                  <c:v>0.27751196172248804</c:v>
                </c:pt>
                <c:pt idx="52">
                  <c:v>0.28000000000000003</c:v>
                </c:pt>
                <c:pt idx="53">
                  <c:v>0.28175519630484991</c:v>
                </c:pt>
                <c:pt idx="54">
                  <c:v>0.28018223234624146</c:v>
                </c:pt>
                <c:pt idx="55">
                  <c:v>0.28442437923250563</c:v>
                </c:pt>
                <c:pt idx="56">
                  <c:v>0.2807017543859649</c:v>
                </c:pt>
                <c:pt idx="57">
                  <c:v>0.2832618025751073</c:v>
                </c:pt>
                <c:pt idx="58">
                  <c:v>0.28361344537815125</c:v>
                </c:pt>
                <c:pt idx="59">
                  <c:v>0.28985507246376813</c:v>
                </c:pt>
                <c:pt idx="60">
                  <c:v>0.28888888888888886</c:v>
                </c:pt>
                <c:pt idx="61">
                  <c:v>0.28769841269841268</c:v>
                </c:pt>
                <c:pt idx="62">
                  <c:v>0.287109375</c:v>
                </c:pt>
                <c:pt idx="63">
                  <c:v>0.28875968992248063</c:v>
                </c:pt>
                <c:pt idx="64">
                  <c:v>0.28927203065134099</c:v>
                </c:pt>
                <c:pt idx="65">
                  <c:v>0.28625235404896421</c:v>
                </c:pt>
                <c:pt idx="66">
                  <c:v>0.28491620111731841</c:v>
                </c:pt>
                <c:pt idx="67">
                  <c:v>0.28623853211009176</c:v>
                </c:pt>
                <c:pt idx="68">
                  <c:v>0.28442028985507245</c:v>
                </c:pt>
                <c:pt idx="69">
                  <c:v>0.28264758497316639</c:v>
                </c:pt>
                <c:pt idx="70">
                  <c:v>0.28368794326241137</c:v>
                </c:pt>
                <c:pt idx="71">
                  <c:v>0.28196147110332748</c:v>
                </c:pt>
                <c:pt idx="72">
                  <c:v>0.28151986183074268</c:v>
                </c:pt>
                <c:pt idx="73">
                  <c:v>0.28034188034188035</c:v>
                </c:pt>
                <c:pt idx="74">
                  <c:v>0.28499156829679595</c:v>
                </c:pt>
                <c:pt idx="75">
                  <c:v>0.28499999999999998</c:v>
                </c:pt>
                <c:pt idx="76">
                  <c:v>0.28547854785478549</c:v>
                </c:pt>
                <c:pt idx="77">
                  <c:v>0.28038897893030795</c:v>
                </c:pt>
                <c:pt idx="78">
                  <c:v>0.27768860353130015</c:v>
                </c:pt>
                <c:pt idx="79">
                  <c:v>0.27760252365930599</c:v>
                </c:pt>
                <c:pt idx="80">
                  <c:v>0.27856025039123633</c:v>
                </c:pt>
                <c:pt idx="81">
                  <c:v>0.28328173374613003</c:v>
                </c:pt>
                <c:pt idx="82">
                  <c:v>0.28287461773700306</c:v>
                </c:pt>
                <c:pt idx="83">
                  <c:v>0.27987897125567324</c:v>
                </c:pt>
                <c:pt idx="84">
                  <c:v>0.28035982008995503</c:v>
                </c:pt>
                <c:pt idx="85">
                  <c:v>0.28041543026706234</c:v>
                </c:pt>
                <c:pt idx="86">
                  <c:v>0.28111273792093705</c:v>
                </c:pt>
                <c:pt idx="87">
                  <c:v>0.28260869565217389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267221451687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まっつん2!$A$3:$A$90</c:f>
              <c:numCache>
                <c:formatCode>0\ "回"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まっつん2!$H$3:$H$90</c:f>
              <c:numCache>
                <c:formatCode>0.0%</c:formatCode>
                <c:ptCount val="88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  <c:pt idx="19">
                  <c:v>0.13636363636363635</c:v>
                </c:pt>
                <c:pt idx="20">
                  <c:v>0.13661202185792351</c:v>
                </c:pt>
                <c:pt idx="21">
                  <c:v>0.14659685863874344</c:v>
                </c:pt>
                <c:pt idx="22">
                  <c:v>0.14141414141414141</c:v>
                </c:pt>
                <c:pt idx="23">
                  <c:v>0.14146341463414633</c:v>
                </c:pt>
                <c:pt idx="24">
                  <c:v>0.15023474178403756</c:v>
                </c:pt>
                <c:pt idx="25">
                  <c:v>0.15384615384615385</c:v>
                </c:pt>
                <c:pt idx="26">
                  <c:v>0.15350877192982457</c:v>
                </c:pt>
                <c:pt idx="27">
                  <c:v>0.15151515151515152</c:v>
                </c:pt>
                <c:pt idx="28">
                  <c:v>0.14705882352941177</c:v>
                </c:pt>
                <c:pt idx="29">
                  <c:v>0.15226337448559671</c:v>
                </c:pt>
                <c:pt idx="30">
                  <c:v>0.14979757085020243</c:v>
                </c:pt>
                <c:pt idx="31">
                  <c:v>0.15116279069767441</c:v>
                </c:pt>
                <c:pt idx="32">
                  <c:v>0.14828897338403041</c:v>
                </c:pt>
                <c:pt idx="33">
                  <c:v>0.14391143911439114</c:v>
                </c:pt>
                <c:pt idx="34">
                  <c:v>0.14388489208633093</c:v>
                </c:pt>
                <c:pt idx="35">
                  <c:v>0.13986013986013987</c:v>
                </c:pt>
                <c:pt idx="36">
                  <c:v>0.1404109589041096</c:v>
                </c:pt>
                <c:pt idx="37">
                  <c:v>0.14191419141914191</c:v>
                </c:pt>
                <c:pt idx="38">
                  <c:v>0.14376996805111822</c:v>
                </c:pt>
                <c:pt idx="39">
                  <c:v>0.14374999999999999</c:v>
                </c:pt>
                <c:pt idx="40">
                  <c:v>0.14678899082568808</c:v>
                </c:pt>
                <c:pt idx="41">
                  <c:v>0.1497005988023952</c:v>
                </c:pt>
                <c:pt idx="42">
                  <c:v>0.14868804664723032</c:v>
                </c:pt>
                <c:pt idx="43">
                  <c:v>0.14857142857142858</c:v>
                </c:pt>
                <c:pt idx="44">
                  <c:v>0.14647887323943662</c:v>
                </c:pt>
                <c:pt idx="45">
                  <c:v>0.1448087431693989</c:v>
                </c:pt>
                <c:pt idx="46">
                  <c:v>0.14285714285714285</c:v>
                </c:pt>
                <c:pt idx="47">
                  <c:v>0.14248704663212436</c:v>
                </c:pt>
                <c:pt idx="48">
                  <c:v>0.13994910941475827</c:v>
                </c:pt>
                <c:pt idx="49">
                  <c:v>0.14000000000000001</c:v>
                </c:pt>
                <c:pt idx="50">
                  <c:v>0.13970588235294118</c:v>
                </c:pt>
                <c:pt idx="51">
                  <c:v>0.13636363636363635</c:v>
                </c:pt>
                <c:pt idx="52">
                  <c:v>0.13411764705882354</c:v>
                </c:pt>
                <c:pt idx="53">
                  <c:v>0.13163972286374134</c:v>
                </c:pt>
                <c:pt idx="54">
                  <c:v>0.12984054669703873</c:v>
                </c:pt>
                <c:pt idx="55">
                  <c:v>0.12866817155756208</c:v>
                </c:pt>
                <c:pt idx="56">
                  <c:v>0.1337719298245614</c:v>
                </c:pt>
                <c:pt idx="57">
                  <c:v>0.13304721030042918</c:v>
                </c:pt>
                <c:pt idx="58">
                  <c:v>0.13025210084033614</c:v>
                </c:pt>
                <c:pt idx="59">
                  <c:v>0.13043478260869565</c:v>
                </c:pt>
                <c:pt idx="60">
                  <c:v>0.13333333333333333</c:v>
                </c:pt>
                <c:pt idx="61">
                  <c:v>0.13095238095238096</c:v>
                </c:pt>
                <c:pt idx="62">
                  <c:v>0.130859375</c:v>
                </c:pt>
                <c:pt idx="63">
                  <c:v>0.12984496124031009</c:v>
                </c:pt>
                <c:pt idx="64">
                  <c:v>0.13026819923371646</c:v>
                </c:pt>
                <c:pt idx="65">
                  <c:v>0.128060263653484</c:v>
                </c:pt>
                <c:pt idx="66">
                  <c:v>0.1266294227188082</c:v>
                </c:pt>
                <c:pt idx="67">
                  <c:v>0.12477064220183487</c:v>
                </c:pt>
                <c:pt idx="68">
                  <c:v>0.125</c:v>
                </c:pt>
                <c:pt idx="69">
                  <c:v>0.12701252236135957</c:v>
                </c:pt>
                <c:pt idx="70">
                  <c:v>0.12588652482269502</c:v>
                </c:pt>
                <c:pt idx="71">
                  <c:v>0.12784588441330999</c:v>
                </c:pt>
                <c:pt idx="72">
                  <c:v>0.12780656303972365</c:v>
                </c:pt>
                <c:pt idx="73">
                  <c:v>0.12820512820512819</c:v>
                </c:pt>
                <c:pt idx="74">
                  <c:v>0.12816188870151771</c:v>
                </c:pt>
                <c:pt idx="75">
                  <c:v>0.13</c:v>
                </c:pt>
                <c:pt idx="76">
                  <c:v>0.132013201320132</c:v>
                </c:pt>
                <c:pt idx="77">
                  <c:v>0.13452188006482982</c:v>
                </c:pt>
                <c:pt idx="78">
                  <c:v>0.13643659711075443</c:v>
                </c:pt>
                <c:pt idx="79">
                  <c:v>0.13880126182965299</c:v>
                </c:pt>
                <c:pt idx="80">
                  <c:v>0.13771517996870108</c:v>
                </c:pt>
                <c:pt idx="81">
                  <c:v>0.13777089783281735</c:v>
                </c:pt>
                <c:pt idx="82">
                  <c:v>0.13608562691131498</c:v>
                </c:pt>
                <c:pt idx="83">
                  <c:v>0.13615733736762481</c:v>
                </c:pt>
                <c:pt idx="84">
                  <c:v>0.13493253373313344</c:v>
                </c:pt>
                <c:pt idx="85">
                  <c:v>0.13649851632047477</c:v>
                </c:pt>
                <c:pt idx="86">
                  <c:v>0.13469985358711567</c:v>
                </c:pt>
                <c:pt idx="87">
                  <c:v>0.13333333333333333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66158113730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まっつん2!$A$3:$A$90</c:f>
              <c:numCache>
                <c:formatCode>0\ "回"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まっつん2!$I$3:$I$90</c:f>
              <c:numCache>
                <c:formatCode>0</c:formatCode>
                <c:ptCount val="88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  <c:pt idx="19">
                  <c:v>7540.8163265306121</c:v>
                </c:pt>
                <c:pt idx="20">
                  <c:v>7544</c:v>
                </c:pt>
                <c:pt idx="21">
                  <c:v>7544</c:v>
                </c:pt>
                <c:pt idx="22">
                  <c:v>7658.4905660377362</c:v>
                </c:pt>
                <c:pt idx="23">
                  <c:v>7809.090909090909</c:v>
                </c:pt>
                <c:pt idx="24">
                  <c:v>7807.1428571428569</c:v>
                </c:pt>
                <c:pt idx="25">
                  <c:v>8455.1724137931033</c:v>
                </c:pt>
                <c:pt idx="26">
                  <c:v>8395</c:v>
                </c:pt>
                <c:pt idx="27">
                  <c:v>8362.2950819672133</c:v>
                </c:pt>
                <c:pt idx="28">
                  <c:v>8460.9375</c:v>
                </c:pt>
                <c:pt idx="29">
                  <c:v>8460.9375</c:v>
                </c:pt>
                <c:pt idx="30">
                  <c:v>8429.2307692307695</c:v>
                </c:pt>
                <c:pt idx="31">
                  <c:v>8295.652173913044</c:v>
                </c:pt>
                <c:pt idx="32">
                  <c:v>8494.4444444444453</c:v>
                </c:pt>
                <c:pt idx="33">
                  <c:v>8494.4444444444453</c:v>
                </c:pt>
                <c:pt idx="34">
                  <c:v>8339.1891891891901</c:v>
                </c:pt>
                <c:pt idx="35">
                  <c:v>8112.9870129870133</c:v>
                </c:pt>
                <c:pt idx="36">
                  <c:v>8108.75</c:v>
                </c:pt>
                <c:pt idx="37">
                  <c:v>8100</c:v>
                </c:pt>
                <c:pt idx="38">
                  <c:v>8111.4942528735628</c:v>
                </c:pt>
                <c:pt idx="39">
                  <c:v>8063.636363636364</c:v>
                </c:pt>
                <c:pt idx="40">
                  <c:v>8151.1111111111113</c:v>
                </c:pt>
                <c:pt idx="41">
                  <c:v>8081.7204301075271</c:v>
                </c:pt>
                <c:pt idx="42">
                  <c:v>8176.2886597938141</c:v>
                </c:pt>
                <c:pt idx="43">
                  <c:v>8213.1313131313127</c:v>
                </c:pt>
                <c:pt idx="44">
                  <c:v>8383.3333333333339</c:v>
                </c:pt>
                <c:pt idx="45">
                  <c:v>8318.2692307692305</c:v>
                </c:pt>
                <c:pt idx="46">
                  <c:v>8353.3333333333339</c:v>
                </c:pt>
                <c:pt idx="47">
                  <c:v>8305.5045871559632</c:v>
                </c:pt>
                <c:pt idx="48">
                  <c:v>8366.0714285714294</c:v>
                </c:pt>
                <c:pt idx="49">
                  <c:v>8429.8245614035095</c:v>
                </c:pt>
                <c:pt idx="50">
                  <c:v>8460.8695652173919</c:v>
                </c:pt>
                <c:pt idx="51">
                  <c:v>8543.1034482758623</c:v>
                </c:pt>
                <c:pt idx="52">
                  <c:v>8626.8907563025205</c:v>
                </c:pt>
                <c:pt idx="53">
                  <c:v>8558.1967213114749</c:v>
                </c:pt>
                <c:pt idx="54">
                  <c:v>8553.6585365853662</c:v>
                </c:pt>
                <c:pt idx="55">
                  <c:v>8650.7936507936502</c:v>
                </c:pt>
                <c:pt idx="56">
                  <c:v>8638.28125</c:v>
                </c:pt>
                <c:pt idx="57">
                  <c:v>8578.0303030303039</c:v>
                </c:pt>
                <c:pt idx="58">
                  <c:v>8562.2222222222226</c:v>
                </c:pt>
                <c:pt idx="59">
                  <c:v>8480.7142857142862</c:v>
                </c:pt>
                <c:pt idx="60">
                  <c:v>8379.720279720279</c:v>
                </c:pt>
                <c:pt idx="61">
                  <c:v>8366.8965517241377</c:v>
                </c:pt>
                <c:pt idx="62">
                  <c:v>8375.5102040816328</c:v>
                </c:pt>
                <c:pt idx="63">
                  <c:v>8461.7449664429532</c:v>
                </c:pt>
                <c:pt idx="64">
                  <c:v>8508.6092715231789</c:v>
                </c:pt>
                <c:pt idx="65">
                  <c:v>8490.78947368421</c:v>
                </c:pt>
                <c:pt idx="66">
                  <c:v>8461.4379084967313</c:v>
                </c:pt>
                <c:pt idx="67">
                  <c:v>8463.461538461539</c:v>
                </c:pt>
                <c:pt idx="68">
                  <c:v>8428.6624203821648</c:v>
                </c:pt>
                <c:pt idx="69">
                  <c:v>8400</c:v>
                </c:pt>
                <c:pt idx="70">
                  <c:v>8493.75</c:v>
                </c:pt>
                <c:pt idx="71">
                  <c:v>8490.6832298136651</c:v>
                </c:pt>
                <c:pt idx="72">
                  <c:v>8430.6748466257668</c:v>
                </c:pt>
                <c:pt idx="73">
                  <c:v>8476.8292682926822</c:v>
                </c:pt>
                <c:pt idx="74">
                  <c:v>8431.9526627218929</c:v>
                </c:pt>
                <c:pt idx="75">
                  <c:v>8415.78947368421</c:v>
                </c:pt>
                <c:pt idx="76">
                  <c:v>8409.2485549132944</c:v>
                </c:pt>
                <c:pt idx="77">
                  <c:v>8409.2485549132944</c:v>
                </c:pt>
                <c:pt idx="78">
                  <c:v>8409.2485549132944</c:v>
                </c:pt>
                <c:pt idx="79">
                  <c:v>8336.931818181818</c:v>
                </c:pt>
                <c:pt idx="80">
                  <c:v>8320.2247191011229</c:v>
                </c:pt>
                <c:pt idx="81">
                  <c:v>8359.5628415300544</c:v>
                </c:pt>
                <c:pt idx="82">
                  <c:v>8345.405405405405</c:v>
                </c:pt>
                <c:pt idx="83">
                  <c:v>8345.405405405405</c:v>
                </c:pt>
                <c:pt idx="84">
                  <c:v>8304.8128342245982</c:v>
                </c:pt>
                <c:pt idx="85">
                  <c:v>8407.4074074074069</c:v>
                </c:pt>
                <c:pt idx="86">
                  <c:v>8382.2916666666661</c:v>
                </c:pt>
                <c:pt idx="87">
                  <c:v>8352.8205128205136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10.13354281225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まっつん2!$A$3:$A$90</c:f>
              <c:numCache>
                <c:formatCode>0\ "回"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まっつん2!$J$3:$J$90</c:f>
              <c:numCache>
                <c:formatCode>0</c:formatCode>
                <c:ptCount val="88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  <c:pt idx="19">
                  <c:v>-7095.833333333333</c:v>
                </c:pt>
                <c:pt idx="20">
                  <c:v>-7292</c:v>
                </c:pt>
                <c:pt idx="21">
                  <c:v>-6960.7142857142853</c:v>
                </c:pt>
                <c:pt idx="22">
                  <c:v>-6960.7142857142853</c:v>
                </c:pt>
                <c:pt idx="23">
                  <c:v>-6820.6896551724139</c:v>
                </c:pt>
                <c:pt idx="24">
                  <c:v>-6946.875</c:v>
                </c:pt>
                <c:pt idx="25">
                  <c:v>-6832.3529411764703</c:v>
                </c:pt>
                <c:pt idx="26">
                  <c:v>-6711.4285714285716</c:v>
                </c:pt>
                <c:pt idx="27">
                  <c:v>-6711.4285714285716</c:v>
                </c:pt>
                <c:pt idx="28">
                  <c:v>-6711.4285714285716</c:v>
                </c:pt>
                <c:pt idx="29">
                  <c:v>-7159.4594594594591</c:v>
                </c:pt>
                <c:pt idx="30">
                  <c:v>-7159.4594594594591</c:v>
                </c:pt>
                <c:pt idx="31">
                  <c:v>-7305.1282051282051</c:v>
                </c:pt>
                <c:pt idx="32">
                  <c:v>-7305.1282051282051</c:v>
                </c:pt>
                <c:pt idx="33">
                  <c:v>-7305.1282051282051</c:v>
                </c:pt>
                <c:pt idx="34">
                  <c:v>-7187.5</c:v>
                </c:pt>
                <c:pt idx="35">
                  <c:v>-7187.5</c:v>
                </c:pt>
                <c:pt idx="36">
                  <c:v>-7207.3170731707314</c:v>
                </c:pt>
                <c:pt idx="37">
                  <c:v>-7476.7441860465115</c:v>
                </c:pt>
                <c:pt idx="38">
                  <c:v>-7408.8888888888887</c:v>
                </c:pt>
                <c:pt idx="39">
                  <c:v>-7415.217391304348</c:v>
                </c:pt>
                <c:pt idx="40">
                  <c:v>-7381.25</c:v>
                </c:pt>
                <c:pt idx="41">
                  <c:v>-7318</c:v>
                </c:pt>
                <c:pt idx="42">
                  <c:v>-7801.9607843137255</c:v>
                </c:pt>
                <c:pt idx="43">
                  <c:v>-7682.6923076923076</c:v>
                </c:pt>
                <c:pt idx="44">
                  <c:v>-7682.6923076923076</c:v>
                </c:pt>
                <c:pt idx="45">
                  <c:v>-7688.6792452830186</c:v>
                </c:pt>
                <c:pt idx="46">
                  <c:v>-7688.6792452830186</c:v>
                </c:pt>
                <c:pt idx="47">
                  <c:v>-7827.272727272727</c:v>
                </c:pt>
                <c:pt idx="48">
                  <c:v>-7827.272727272727</c:v>
                </c:pt>
                <c:pt idx="49">
                  <c:v>-7757.1428571428569</c:v>
                </c:pt>
                <c:pt idx="50">
                  <c:v>-7705.2631578947367</c:v>
                </c:pt>
                <c:pt idx="51">
                  <c:v>-7705.2631578947367</c:v>
                </c:pt>
                <c:pt idx="52">
                  <c:v>-7705.2631578947367</c:v>
                </c:pt>
                <c:pt idx="53">
                  <c:v>-7705.2631578947367</c:v>
                </c:pt>
                <c:pt idx="54">
                  <c:v>-7705.2631578947367</c:v>
                </c:pt>
                <c:pt idx="55">
                  <c:v>-7705.2631578947367</c:v>
                </c:pt>
                <c:pt idx="56">
                  <c:v>-7642.622950819672</c:v>
                </c:pt>
                <c:pt idx="57">
                  <c:v>-7777.4193548387093</c:v>
                </c:pt>
                <c:pt idx="58">
                  <c:v>-7777.4193548387093</c:v>
                </c:pt>
                <c:pt idx="59">
                  <c:v>-7695.2380952380954</c:v>
                </c:pt>
                <c:pt idx="60">
                  <c:v>-7790.909090909091</c:v>
                </c:pt>
                <c:pt idx="61">
                  <c:v>-7790.909090909091</c:v>
                </c:pt>
                <c:pt idx="62">
                  <c:v>-7943.2835820895525</c:v>
                </c:pt>
                <c:pt idx="63">
                  <c:v>-7943.2835820895525</c:v>
                </c:pt>
                <c:pt idx="64">
                  <c:v>-8179.411764705882</c:v>
                </c:pt>
                <c:pt idx="65">
                  <c:v>-8179.411764705882</c:v>
                </c:pt>
                <c:pt idx="66">
                  <c:v>-8179.411764705882</c:v>
                </c:pt>
                <c:pt idx="67">
                  <c:v>-8179.411764705882</c:v>
                </c:pt>
                <c:pt idx="68">
                  <c:v>-8321.7391304347821</c:v>
                </c:pt>
                <c:pt idx="69">
                  <c:v>-8270.422535211268</c:v>
                </c:pt>
                <c:pt idx="70">
                  <c:v>-8270.422535211268</c:v>
                </c:pt>
                <c:pt idx="71">
                  <c:v>-8079.4520547945203</c:v>
                </c:pt>
                <c:pt idx="72">
                  <c:v>-8078.3783783783783</c:v>
                </c:pt>
                <c:pt idx="73">
                  <c:v>-7997.333333333333</c:v>
                </c:pt>
                <c:pt idx="74">
                  <c:v>-7993.4210526315792</c:v>
                </c:pt>
                <c:pt idx="75">
                  <c:v>-7903.8461538461543</c:v>
                </c:pt>
                <c:pt idx="76">
                  <c:v>-7811.25</c:v>
                </c:pt>
                <c:pt idx="77">
                  <c:v>-8059.0361445783128</c:v>
                </c:pt>
                <c:pt idx="78">
                  <c:v>-7997.6470588235297</c:v>
                </c:pt>
                <c:pt idx="79">
                  <c:v>-7967.045454545455</c:v>
                </c:pt>
                <c:pt idx="80">
                  <c:v>-7967.045454545455</c:v>
                </c:pt>
                <c:pt idx="81">
                  <c:v>-7967.4157303370785</c:v>
                </c:pt>
                <c:pt idx="82">
                  <c:v>-7967.4157303370785</c:v>
                </c:pt>
                <c:pt idx="83">
                  <c:v>-7911.1111111111113</c:v>
                </c:pt>
                <c:pt idx="84">
                  <c:v>-7911.1111111111113</c:v>
                </c:pt>
                <c:pt idx="85">
                  <c:v>-7886.95652173913</c:v>
                </c:pt>
                <c:pt idx="86">
                  <c:v>-7886.95652173913</c:v>
                </c:pt>
                <c:pt idx="87">
                  <c:v>-7886.95652173913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42.93785310734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まっつん2!$A$3:$A$90</c:f>
              <c:numCache>
                <c:formatCode>0\ "回"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まっつん2!$K$3:$K$90</c:f>
              <c:numCache>
                <c:formatCode>0.0%</c:formatCode>
                <c:ptCount val="8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</c:v>
                </c:pt>
                <c:pt idx="41">
                  <c:v>9.7560975609756101E-2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7.8125E-2</c:v>
                </c:pt>
                <c:pt idx="65">
                  <c:v>7.6923076923076927E-2</c:v>
                </c:pt>
                <c:pt idx="66">
                  <c:v>7.575757575757576E-2</c:v>
                </c:pt>
                <c:pt idx="67">
                  <c:v>7.4626865671641784E-2</c:v>
                </c:pt>
                <c:pt idx="68">
                  <c:v>7.3529411764705885E-2</c:v>
                </c:pt>
                <c:pt idx="69">
                  <c:v>7.2463768115942032E-2</c:v>
                </c:pt>
                <c:pt idx="70">
                  <c:v>7.1428571428571425E-2</c:v>
                </c:pt>
                <c:pt idx="71">
                  <c:v>7.0422535211267609E-2</c:v>
                </c:pt>
                <c:pt idx="72">
                  <c:v>6.9444444444444448E-2</c:v>
                </c:pt>
                <c:pt idx="73">
                  <c:v>6.8493150684931503E-2</c:v>
                </c:pt>
                <c:pt idx="74">
                  <c:v>6.7567567567567571E-2</c:v>
                </c:pt>
                <c:pt idx="75">
                  <c:v>6.6666666666666666E-2</c:v>
                </c:pt>
                <c:pt idx="76">
                  <c:v>6.5789473684210523E-2</c:v>
                </c:pt>
                <c:pt idx="77">
                  <c:v>7.792207792207792E-2</c:v>
                </c:pt>
                <c:pt idx="78">
                  <c:v>8.9743589743589744E-2</c:v>
                </c:pt>
                <c:pt idx="79">
                  <c:v>8.8607594936708861E-2</c:v>
                </c:pt>
                <c:pt idx="80">
                  <c:v>8.7499999999999994E-2</c:v>
                </c:pt>
                <c:pt idx="81">
                  <c:v>8.6419753086419748E-2</c:v>
                </c:pt>
                <c:pt idx="82">
                  <c:v>8.5365853658536592E-2</c:v>
                </c:pt>
                <c:pt idx="83">
                  <c:v>8.4337349397590355E-2</c:v>
                </c:pt>
                <c:pt idx="84">
                  <c:v>8.3333333333333329E-2</c:v>
                </c:pt>
                <c:pt idx="85">
                  <c:v>8.2352941176470587E-2</c:v>
                </c:pt>
                <c:pt idx="86">
                  <c:v>8.1395348837209308E-2</c:v>
                </c:pt>
                <c:pt idx="87">
                  <c:v>8.0459770114942528E-2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333333333333333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まっつん2!$A$3:$A$90</c:f>
              <c:numCache>
                <c:formatCode>0\ "回"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まっつん2!$L$3:$L$90</c:f>
              <c:numCache>
                <c:formatCode>0.0%</c:formatCode>
                <c:ptCount val="8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8.8235294117647065E-2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7.4999999999999997E-2</c:v>
                </c:pt>
                <c:pt idx="41">
                  <c:v>7.3170731707317069E-2</c:v>
                </c:pt>
                <c:pt idx="42">
                  <c:v>7.1428571428571425E-2</c:v>
                </c:pt>
                <c:pt idx="43">
                  <c:v>6.9767441860465115E-2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9.0909090909090912E-2</c:v>
                </c:pt>
                <c:pt idx="56">
                  <c:v>8.9285714285714288E-2</c:v>
                </c:pt>
                <c:pt idx="57">
                  <c:v>8.771929824561403E-2</c:v>
                </c:pt>
                <c:pt idx="58">
                  <c:v>8.6206896551724144E-2</c:v>
                </c:pt>
                <c:pt idx="59">
                  <c:v>8.4745762711864403E-2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9.5238095238095233E-2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8.2191780821917804E-2</c:v>
                </c:pt>
                <c:pt idx="74">
                  <c:v>8.1081081081081086E-2</c:v>
                </c:pt>
                <c:pt idx="75">
                  <c:v>0.08</c:v>
                </c:pt>
                <c:pt idx="76">
                  <c:v>7.8947368421052627E-2</c:v>
                </c:pt>
                <c:pt idx="77">
                  <c:v>7.792207792207792E-2</c:v>
                </c:pt>
                <c:pt idx="78">
                  <c:v>7.6923076923076927E-2</c:v>
                </c:pt>
                <c:pt idx="79">
                  <c:v>7.5949367088607597E-2</c:v>
                </c:pt>
                <c:pt idx="80">
                  <c:v>7.4999999999999997E-2</c:v>
                </c:pt>
                <c:pt idx="81">
                  <c:v>7.407407407407407E-2</c:v>
                </c:pt>
                <c:pt idx="82">
                  <c:v>7.3170731707317069E-2</c:v>
                </c:pt>
                <c:pt idx="83">
                  <c:v>7.2289156626506021E-2</c:v>
                </c:pt>
                <c:pt idx="84">
                  <c:v>7.1428571428571425E-2</c:v>
                </c:pt>
                <c:pt idx="85">
                  <c:v>7.0588235294117646E-2</c:v>
                </c:pt>
                <c:pt idx="86">
                  <c:v>6.9767441860465115E-2</c:v>
                </c:pt>
                <c:pt idx="87">
                  <c:v>6.8965517241379309E-2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333333333333333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まっつん2!$A$3:$A$90</c:f>
              <c:numCache>
                <c:formatCode>0\ "回"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まっつん2!$M$3:$M$90</c:f>
              <c:numCache>
                <c:formatCode>0.0%</c:formatCode>
                <c:ptCount val="88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  <c:pt idx="19">
                  <c:v>0.25568181818181818</c:v>
                </c:pt>
                <c:pt idx="20">
                  <c:v>0.26229508196721313</c:v>
                </c:pt>
                <c:pt idx="21">
                  <c:v>0.25654450261780104</c:v>
                </c:pt>
                <c:pt idx="22">
                  <c:v>0.26262626262626265</c:v>
                </c:pt>
                <c:pt idx="23">
                  <c:v>0.26829268292682928</c:v>
                </c:pt>
                <c:pt idx="24">
                  <c:v>0.25821596244131456</c:v>
                </c:pt>
                <c:pt idx="25">
                  <c:v>0.25339366515837103</c:v>
                </c:pt>
                <c:pt idx="26">
                  <c:v>0.25438596491228072</c:v>
                </c:pt>
                <c:pt idx="27">
                  <c:v>0.25108225108225107</c:v>
                </c:pt>
                <c:pt idx="28">
                  <c:v>0.26050420168067229</c:v>
                </c:pt>
                <c:pt idx="29">
                  <c:v>0.25925925925925924</c:v>
                </c:pt>
                <c:pt idx="30">
                  <c:v>0.25506072874493929</c:v>
                </c:pt>
                <c:pt idx="31">
                  <c:v>0.25193798449612403</c:v>
                </c:pt>
                <c:pt idx="32">
                  <c:v>0.2509505703422053</c:v>
                </c:pt>
                <c:pt idx="33">
                  <c:v>0.24723247232472326</c:v>
                </c:pt>
                <c:pt idx="34">
                  <c:v>0.24100719424460432</c:v>
                </c:pt>
                <c:pt idx="35">
                  <c:v>0.23426573426573427</c:v>
                </c:pt>
                <c:pt idx="36">
                  <c:v>0.2363013698630137</c:v>
                </c:pt>
                <c:pt idx="37">
                  <c:v>0.24092409240924093</c:v>
                </c:pt>
                <c:pt idx="38">
                  <c:v>0.24600638977635783</c:v>
                </c:pt>
                <c:pt idx="39">
                  <c:v>0.24374999999999999</c:v>
                </c:pt>
                <c:pt idx="40">
                  <c:v>0.24464831804281345</c:v>
                </c:pt>
                <c:pt idx="41">
                  <c:v>0.24850299401197604</c:v>
                </c:pt>
                <c:pt idx="42">
                  <c:v>0.25072886297376096</c:v>
                </c:pt>
                <c:pt idx="43">
                  <c:v>0.25714285714285712</c:v>
                </c:pt>
                <c:pt idx="44">
                  <c:v>0.26197183098591548</c:v>
                </c:pt>
                <c:pt idx="45">
                  <c:v>0.25683060109289618</c:v>
                </c:pt>
                <c:pt idx="46">
                  <c:v>0.25336927223719674</c:v>
                </c:pt>
                <c:pt idx="47">
                  <c:v>0.25129533678756477</c:v>
                </c:pt>
                <c:pt idx="48">
                  <c:v>0.25190839694656486</c:v>
                </c:pt>
                <c:pt idx="49">
                  <c:v>0.2525</c:v>
                </c:pt>
                <c:pt idx="50">
                  <c:v>0.25245098039215685</c:v>
                </c:pt>
                <c:pt idx="51">
                  <c:v>0.25358851674641147</c:v>
                </c:pt>
                <c:pt idx="52">
                  <c:v>0.2541176470588235</c:v>
                </c:pt>
                <c:pt idx="53">
                  <c:v>0.25635103926096997</c:v>
                </c:pt>
                <c:pt idx="54">
                  <c:v>0.25740318906605925</c:v>
                </c:pt>
                <c:pt idx="55">
                  <c:v>0.25733634311512416</c:v>
                </c:pt>
                <c:pt idx="56">
                  <c:v>0.26096491228070173</c:v>
                </c:pt>
                <c:pt idx="57">
                  <c:v>0.25751072961373389</c:v>
                </c:pt>
                <c:pt idx="58">
                  <c:v>0.25420168067226889</c:v>
                </c:pt>
                <c:pt idx="59">
                  <c:v>0.25465838509316768</c:v>
                </c:pt>
                <c:pt idx="60">
                  <c:v>0.25454545454545452</c:v>
                </c:pt>
                <c:pt idx="61">
                  <c:v>0.25595238095238093</c:v>
                </c:pt>
                <c:pt idx="62">
                  <c:v>0.255859375</c:v>
                </c:pt>
                <c:pt idx="63">
                  <c:v>0.2558139534883721</c:v>
                </c:pt>
                <c:pt idx="64">
                  <c:v>0.25478927203065133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0.25504587155963304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0.25354609929078015</c:v>
                </c:pt>
                <c:pt idx="71">
                  <c:v>0.25043782837127848</c:v>
                </c:pt>
                <c:pt idx="72">
                  <c:v>0.25043177892918828</c:v>
                </c:pt>
                <c:pt idx="73">
                  <c:v>0.24957264957264957</c:v>
                </c:pt>
                <c:pt idx="74">
                  <c:v>0.25126475548060706</c:v>
                </c:pt>
                <c:pt idx="75">
                  <c:v>0.25666666666666665</c:v>
                </c:pt>
                <c:pt idx="76">
                  <c:v>0.25577557755775576</c:v>
                </c:pt>
                <c:pt idx="77">
                  <c:v>0.25283630470016205</c:v>
                </c:pt>
                <c:pt idx="78">
                  <c:v>0.2504012841091493</c:v>
                </c:pt>
                <c:pt idx="79">
                  <c:v>0.25078864353312302</c:v>
                </c:pt>
                <c:pt idx="80">
                  <c:v>0.25039123630672927</c:v>
                </c:pt>
                <c:pt idx="81">
                  <c:v>0.25386996904024767</c:v>
                </c:pt>
                <c:pt idx="82">
                  <c:v>0.25229357798165136</c:v>
                </c:pt>
                <c:pt idx="83">
                  <c:v>0.25264750378214829</c:v>
                </c:pt>
                <c:pt idx="84">
                  <c:v>0.25337331334332835</c:v>
                </c:pt>
                <c:pt idx="85">
                  <c:v>0.25370919881305637</c:v>
                </c:pt>
                <c:pt idx="86">
                  <c:v>0.25768667642752563</c:v>
                </c:pt>
                <c:pt idx="87">
                  <c:v>0.2608695652173913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582986592695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まっつん2!$A$3:$A$90</c:f>
              <c:numCache>
                <c:formatCode>0\ "回"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まっつん2!$N$3:$N$90</c:f>
              <c:numCache>
                <c:formatCode>0.0%</c:formatCode>
                <c:ptCount val="88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  <c:pt idx="19">
                  <c:v>0.26136363636363635</c:v>
                </c:pt>
                <c:pt idx="20">
                  <c:v>0.25683060109289618</c:v>
                </c:pt>
                <c:pt idx="21">
                  <c:v>0.25654450261780104</c:v>
                </c:pt>
                <c:pt idx="22">
                  <c:v>0.25757575757575757</c:v>
                </c:pt>
                <c:pt idx="23">
                  <c:v>0.25853658536585367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0.25877192982456143</c:v>
                </c:pt>
                <c:pt idx="27">
                  <c:v>0.25974025974025972</c:v>
                </c:pt>
                <c:pt idx="28">
                  <c:v>0.25630252100840334</c:v>
                </c:pt>
                <c:pt idx="29">
                  <c:v>0.25925925925925924</c:v>
                </c:pt>
                <c:pt idx="30">
                  <c:v>0.25910931174089069</c:v>
                </c:pt>
                <c:pt idx="31">
                  <c:v>0.27131782945736432</c:v>
                </c:pt>
                <c:pt idx="32">
                  <c:v>0.28136882129277568</c:v>
                </c:pt>
                <c:pt idx="33">
                  <c:v>0.28413284132841327</c:v>
                </c:pt>
                <c:pt idx="34">
                  <c:v>0.29136690647482016</c:v>
                </c:pt>
                <c:pt idx="35">
                  <c:v>0.2937062937062937</c:v>
                </c:pt>
                <c:pt idx="36">
                  <c:v>0.28767123287671231</c:v>
                </c:pt>
                <c:pt idx="37">
                  <c:v>0.28382838283828382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0.27217125382262997</c:v>
                </c:pt>
                <c:pt idx="41">
                  <c:v>0.26946107784431139</c:v>
                </c:pt>
                <c:pt idx="42">
                  <c:v>0.26822157434402333</c:v>
                </c:pt>
                <c:pt idx="43">
                  <c:v>0.26285714285714284</c:v>
                </c:pt>
                <c:pt idx="44">
                  <c:v>0.25915492957746478</c:v>
                </c:pt>
                <c:pt idx="45">
                  <c:v>0.25683060109289618</c:v>
                </c:pt>
                <c:pt idx="46">
                  <c:v>0.2587601078167116</c:v>
                </c:pt>
                <c:pt idx="47">
                  <c:v>0.25647668393782386</c:v>
                </c:pt>
                <c:pt idx="48">
                  <c:v>0.2544529262086514</c:v>
                </c:pt>
                <c:pt idx="49">
                  <c:v>0.255</c:v>
                </c:pt>
                <c:pt idx="50">
                  <c:v>0.25</c:v>
                </c:pt>
                <c:pt idx="51">
                  <c:v>0.25119617224880381</c:v>
                </c:pt>
                <c:pt idx="52">
                  <c:v>0.25176470588235295</c:v>
                </c:pt>
                <c:pt idx="53">
                  <c:v>0.24942263279445728</c:v>
                </c:pt>
                <c:pt idx="54">
                  <c:v>0.24601366742596811</c:v>
                </c:pt>
                <c:pt idx="55">
                  <c:v>0.24830699774266365</c:v>
                </c:pt>
                <c:pt idx="56">
                  <c:v>0.24561403508771928</c:v>
                </c:pt>
                <c:pt idx="57">
                  <c:v>0.24678111587982832</c:v>
                </c:pt>
                <c:pt idx="58">
                  <c:v>0.24789915966386555</c:v>
                </c:pt>
                <c:pt idx="59">
                  <c:v>0.2484472049689441</c:v>
                </c:pt>
                <c:pt idx="60">
                  <c:v>0.25050505050505051</c:v>
                </c:pt>
                <c:pt idx="61">
                  <c:v>0.25198412698412698</c:v>
                </c:pt>
                <c:pt idx="62">
                  <c:v>0.251953125</c:v>
                </c:pt>
                <c:pt idx="63">
                  <c:v>0.25193798449612403</c:v>
                </c:pt>
                <c:pt idx="64">
                  <c:v>0.25287356321839083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0.25321100917431194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0.25177304964539005</c:v>
                </c:pt>
                <c:pt idx="71">
                  <c:v>0.24868651488616461</c:v>
                </c:pt>
                <c:pt idx="72">
                  <c:v>0.24525043177892919</c:v>
                </c:pt>
                <c:pt idx="73">
                  <c:v>0.24615384615384617</c:v>
                </c:pt>
                <c:pt idx="74">
                  <c:v>0.24283305227655985</c:v>
                </c:pt>
                <c:pt idx="75">
                  <c:v>0.24166666666666667</c:v>
                </c:pt>
                <c:pt idx="76">
                  <c:v>0.24092409240924093</c:v>
                </c:pt>
                <c:pt idx="77">
                  <c:v>0.23824959481361427</c:v>
                </c:pt>
                <c:pt idx="78">
                  <c:v>0.23595505617977527</c:v>
                </c:pt>
                <c:pt idx="79">
                  <c:v>0.23501577287066247</c:v>
                </c:pt>
                <c:pt idx="80">
                  <c:v>0.23630672926447574</c:v>
                </c:pt>
                <c:pt idx="81">
                  <c:v>0.23529411764705882</c:v>
                </c:pt>
                <c:pt idx="82">
                  <c:v>0.23547400611620795</c:v>
                </c:pt>
                <c:pt idx="83">
                  <c:v>0.2329803328290469</c:v>
                </c:pt>
                <c:pt idx="84">
                  <c:v>0.23088455772113944</c:v>
                </c:pt>
                <c:pt idx="85">
                  <c:v>0.2314540059347181</c:v>
                </c:pt>
                <c:pt idx="86">
                  <c:v>0.22986822840409957</c:v>
                </c:pt>
                <c:pt idx="87">
                  <c:v>0.22898550724637681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160425335182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まっつん2!$A$3:$A$90</c:f>
              <c:numCache>
                <c:formatCode>0\ "回"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まっつん2!$O$3:$O$90</c:f>
              <c:numCache>
                <c:formatCode>0.0%</c:formatCode>
                <c:ptCount val="88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  <c:pt idx="19">
                  <c:v>0.48888888888888887</c:v>
                </c:pt>
                <c:pt idx="20">
                  <c:v>0.47916666666666669</c:v>
                </c:pt>
                <c:pt idx="21">
                  <c:v>0.46938775510204084</c:v>
                </c:pt>
                <c:pt idx="22">
                  <c:v>0.46153846153846156</c:v>
                </c:pt>
                <c:pt idx="23">
                  <c:v>0.45454545454545453</c:v>
                </c:pt>
                <c:pt idx="24">
                  <c:v>0.45454545454545453</c:v>
                </c:pt>
                <c:pt idx="25">
                  <c:v>0.4642857142857143</c:v>
                </c:pt>
                <c:pt idx="26">
                  <c:v>0.48275862068965519</c:v>
                </c:pt>
                <c:pt idx="27">
                  <c:v>0.48275862068965519</c:v>
                </c:pt>
                <c:pt idx="28">
                  <c:v>0.5</c:v>
                </c:pt>
                <c:pt idx="29">
                  <c:v>0.49206349206349204</c:v>
                </c:pt>
                <c:pt idx="30">
                  <c:v>0.49206349206349204</c:v>
                </c:pt>
                <c:pt idx="31">
                  <c:v>0.50769230769230766</c:v>
                </c:pt>
                <c:pt idx="32">
                  <c:v>0.51515151515151514</c:v>
                </c:pt>
                <c:pt idx="33">
                  <c:v>0.5074626865671642</c:v>
                </c:pt>
                <c:pt idx="34">
                  <c:v>0.5074626865671642</c:v>
                </c:pt>
                <c:pt idx="35">
                  <c:v>0.5074626865671642</c:v>
                </c:pt>
                <c:pt idx="36">
                  <c:v>0.52173913043478259</c:v>
                </c:pt>
                <c:pt idx="37">
                  <c:v>0.54794520547945202</c:v>
                </c:pt>
                <c:pt idx="38">
                  <c:v>0.53246753246753242</c:v>
                </c:pt>
                <c:pt idx="39">
                  <c:v>0.52564102564102566</c:v>
                </c:pt>
                <c:pt idx="40">
                  <c:v>0.53749999999999998</c:v>
                </c:pt>
                <c:pt idx="41">
                  <c:v>0.54216867469879515</c:v>
                </c:pt>
                <c:pt idx="42">
                  <c:v>0.55813953488372092</c:v>
                </c:pt>
                <c:pt idx="43">
                  <c:v>0.55555555555555558</c:v>
                </c:pt>
                <c:pt idx="44">
                  <c:v>0.56989247311827962</c:v>
                </c:pt>
                <c:pt idx="45">
                  <c:v>0.57446808510638303</c:v>
                </c:pt>
                <c:pt idx="46">
                  <c:v>0.57446808510638303</c:v>
                </c:pt>
                <c:pt idx="47">
                  <c:v>0.57731958762886593</c:v>
                </c:pt>
                <c:pt idx="48">
                  <c:v>0.58585858585858586</c:v>
                </c:pt>
                <c:pt idx="49">
                  <c:v>0.59405940594059403</c:v>
                </c:pt>
                <c:pt idx="50">
                  <c:v>0.59223300970873782</c:v>
                </c:pt>
                <c:pt idx="51">
                  <c:v>0.58490566037735847</c:v>
                </c:pt>
                <c:pt idx="52">
                  <c:v>0.59259259259259256</c:v>
                </c:pt>
                <c:pt idx="53">
                  <c:v>0.5855855855855856</c:v>
                </c:pt>
                <c:pt idx="54">
                  <c:v>0.58407079646017701</c:v>
                </c:pt>
                <c:pt idx="55">
                  <c:v>0.58771929824561409</c:v>
                </c:pt>
                <c:pt idx="56">
                  <c:v>0.5714285714285714</c:v>
                </c:pt>
                <c:pt idx="57">
                  <c:v>0.57499999999999996</c:v>
                </c:pt>
                <c:pt idx="58">
                  <c:v>0.57851239669421484</c:v>
                </c:pt>
                <c:pt idx="59">
                  <c:v>0.58536585365853655</c:v>
                </c:pt>
                <c:pt idx="60">
                  <c:v>0.57936507936507942</c:v>
                </c:pt>
                <c:pt idx="61">
                  <c:v>0.5736434108527132</c:v>
                </c:pt>
                <c:pt idx="62">
                  <c:v>0.58015267175572516</c:v>
                </c:pt>
                <c:pt idx="63">
                  <c:v>0.58333333333333337</c:v>
                </c:pt>
                <c:pt idx="64">
                  <c:v>0.5864661654135338</c:v>
                </c:pt>
                <c:pt idx="65">
                  <c:v>0.58208955223880599</c:v>
                </c:pt>
                <c:pt idx="66">
                  <c:v>0.58518518518518514</c:v>
                </c:pt>
                <c:pt idx="67">
                  <c:v>0.58273381294964033</c:v>
                </c:pt>
                <c:pt idx="68">
                  <c:v>0.57857142857142863</c:v>
                </c:pt>
                <c:pt idx="69">
                  <c:v>0.57446808510638303</c:v>
                </c:pt>
                <c:pt idx="70">
                  <c:v>0.57342657342657344</c:v>
                </c:pt>
                <c:pt idx="71">
                  <c:v>0.57342657342657344</c:v>
                </c:pt>
                <c:pt idx="72">
                  <c:v>0.57241379310344831</c:v>
                </c:pt>
                <c:pt idx="73">
                  <c:v>0.57534246575342463</c:v>
                </c:pt>
                <c:pt idx="74">
                  <c:v>0.57718120805369133</c:v>
                </c:pt>
                <c:pt idx="75">
                  <c:v>0.5714285714285714</c:v>
                </c:pt>
                <c:pt idx="76">
                  <c:v>0.5741935483870968</c:v>
                </c:pt>
                <c:pt idx="77">
                  <c:v>0.57051282051282048</c:v>
                </c:pt>
                <c:pt idx="78">
                  <c:v>0.57051282051282048</c:v>
                </c:pt>
                <c:pt idx="79">
                  <c:v>0.55974842767295596</c:v>
                </c:pt>
                <c:pt idx="80">
                  <c:v>0.5625</c:v>
                </c:pt>
                <c:pt idx="81">
                  <c:v>0.56707317073170727</c:v>
                </c:pt>
                <c:pt idx="82">
                  <c:v>0.5696969696969697</c:v>
                </c:pt>
                <c:pt idx="83">
                  <c:v>0.56287425149700598</c:v>
                </c:pt>
                <c:pt idx="84">
                  <c:v>0.56804733727810652</c:v>
                </c:pt>
                <c:pt idx="85">
                  <c:v>0.56140350877192979</c:v>
                </c:pt>
                <c:pt idx="86">
                  <c:v>0.55681818181818177</c:v>
                </c:pt>
                <c:pt idx="87">
                  <c:v>0.56111111111111112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7885141294439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まっつん2!$A$3:$A$90</c:f>
              <c:numCache>
                <c:formatCode>0\ "回"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まっつん2!$P$3:$P$90</c:f>
              <c:numCache>
                <c:formatCode>0.0%</c:formatCode>
                <c:ptCount val="88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  <c:pt idx="19">
                  <c:v>0.5</c:v>
                </c:pt>
                <c:pt idx="20">
                  <c:v>0.48936170212765956</c:v>
                </c:pt>
                <c:pt idx="21">
                  <c:v>0.46938775510204084</c:v>
                </c:pt>
                <c:pt idx="22">
                  <c:v>0.47058823529411764</c:v>
                </c:pt>
                <c:pt idx="23">
                  <c:v>0.47169811320754718</c:v>
                </c:pt>
                <c:pt idx="24">
                  <c:v>0.4642857142857143</c:v>
                </c:pt>
                <c:pt idx="25">
                  <c:v>0.44827586206896552</c:v>
                </c:pt>
                <c:pt idx="26">
                  <c:v>0.44067796610169491</c:v>
                </c:pt>
                <c:pt idx="27">
                  <c:v>0.43333333333333335</c:v>
                </c:pt>
                <c:pt idx="28">
                  <c:v>0.42622950819672129</c:v>
                </c:pt>
                <c:pt idx="29">
                  <c:v>0.41269841269841268</c:v>
                </c:pt>
                <c:pt idx="30">
                  <c:v>0.40625</c:v>
                </c:pt>
                <c:pt idx="31">
                  <c:v>0.4</c:v>
                </c:pt>
                <c:pt idx="32">
                  <c:v>0.40540540540540543</c:v>
                </c:pt>
                <c:pt idx="33">
                  <c:v>0.38961038961038963</c:v>
                </c:pt>
                <c:pt idx="34">
                  <c:v>0.39506172839506171</c:v>
                </c:pt>
                <c:pt idx="35">
                  <c:v>0.40476190476190477</c:v>
                </c:pt>
                <c:pt idx="36">
                  <c:v>0.40476190476190477</c:v>
                </c:pt>
                <c:pt idx="37">
                  <c:v>0.39534883720930231</c:v>
                </c:pt>
                <c:pt idx="38">
                  <c:v>0.39080459770114945</c:v>
                </c:pt>
                <c:pt idx="39">
                  <c:v>0.38636363636363635</c:v>
                </c:pt>
                <c:pt idx="40">
                  <c:v>0.38202247191011235</c:v>
                </c:pt>
                <c:pt idx="41">
                  <c:v>0.3888888888888889</c:v>
                </c:pt>
                <c:pt idx="42">
                  <c:v>0.39130434782608697</c:v>
                </c:pt>
                <c:pt idx="43">
                  <c:v>0.39130434782608697</c:v>
                </c:pt>
                <c:pt idx="44">
                  <c:v>0.39130434782608697</c:v>
                </c:pt>
                <c:pt idx="45">
                  <c:v>0.39361702127659576</c:v>
                </c:pt>
                <c:pt idx="46">
                  <c:v>0.38541666666666669</c:v>
                </c:pt>
                <c:pt idx="47">
                  <c:v>0.39393939393939392</c:v>
                </c:pt>
                <c:pt idx="48">
                  <c:v>0.4</c:v>
                </c:pt>
                <c:pt idx="49">
                  <c:v>0.39215686274509803</c:v>
                </c:pt>
                <c:pt idx="50">
                  <c:v>0.39215686274509803</c:v>
                </c:pt>
                <c:pt idx="51">
                  <c:v>0.38095238095238093</c:v>
                </c:pt>
                <c:pt idx="52">
                  <c:v>0.38317757009345793</c:v>
                </c:pt>
                <c:pt idx="53">
                  <c:v>0.3888888888888889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0.40869565217391307</c:v>
                </c:pt>
                <c:pt idx="58">
                  <c:v>0.4152542372881356</c:v>
                </c:pt>
                <c:pt idx="59">
                  <c:v>0.42499999999999999</c:v>
                </c:pt>
                <c:pt idx="60">
                  <c:v>0.41935483870967744</c:v>
                </c:pt>
                <c:pt idx="61">
                  <c:v>0.41732283464566927</c:v>
                </c:pt>
                <c:pt idx="62">
                  <c:v>0.41085271317829458</c:v>
                </c:pt>
                <c:pt idx="63">
                  <c:v>0.41538461538461541</c:v>
                </c:pt>
                <c:pt idx="64">
                  <c:v>0.40909090909090912</c:v>
                </c:pt>
                <c:pt idx="65">
                  <c:v>0.41044776119402987</c:v>
                </c:pt>
                <c:pt idx="66">
                  <c:v>0.40740740740740738</c:v>
                </c:pt>
                <c:pt idx="67">
                  <c:v>0.40579710144927539</c:v>
                </c:pt>
                <c:pt idx="68">
                  <c:v>0.4</c:v>
                </c:pt>
                <c:pt idx="69">
                  <c:v>0.40425531914893614</c:v>
                </c:pt>
                <c:pt idx="70">
                  <c:v>0.40845070422535212</c:v>
                </c:pt>
                <c:pt idx="71">
                  <c:v>0.40845070422535212</c:v>
                </c:pt>
                <c:pt idx="72">
                  <c:v>0.40845070422535212</c:v>
                </c:pt>
                <c:pt idx="73">
                  <c:v>0.40277777777777779</c:v>
                </c:pt>
                <c:pt idx="74">
                  <c:v>0.40277777777777779</c:v>
                </c:pt>
                <c:pt idx="75">
                  <c:v>0.4</c:v>
                </c:pt>
                <c:pt idx="76">
                  <c:v>0.4041095890410959</c:v>
                </c:pt>
                <c:pt idx="77">
                  <c:v>0.40136054421768708</c:v>
                </c:pt>
                <c:pt idx="78">
                  <c:v>0.40136054421768708</c:v>
                </c:pt>
                <c:pt idx="79">
                  <c:v>0.40268456375838924</c:v>
                </c:pt>
                <c:pt idx="80">
                  <c:v>0.40397350993377484</c:v>
                </c:pt>
                <c:pt idx="81">
                  <c:v>0.40789473684210525</c:v>
                </c:pt>
                <c:pt idx="82">
                  <c:v>0.40909090909090912</c:v>
                </c:pt>
                <c:pt idx="83">
                  <c:v>0.40909090909090912</c:v>
                </c:pt>
                <c:pt idx="84">
                  <c:v>0.40909090909090912</c:v>
                </c:pt>
                <c:pt idx="85">
                  <c:v>0.41025641025641024</c:v>
                </c:pt>
                <c:pt idx="86">
                  <c:v>0.4140127388535032</c:v>
                </c:pt>
                <c:pt idx="87">
                  <c:v>0.41139240506329117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8999999999999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まっつん2!$A$3:$A$90</c:f>
              <c:numCache>
                <c:formatCode>0\ "回"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まっつん2!$Q$3:$Q$90</c:f>
              <c:numCache>
                <c:formatCode>0.0%</c:formatCode>
                <c:ptCount val="88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  <c:pt idx="19">
                  <c:v>0.38775510204081631</c:v>
                </c:pt>
                <c:pt idx="20">
                  <c:v>0.38</c:v>
                </c:pt>
                <c:pt idx="21">
                  <c:v>0.38</c:v>
                </c:pt>
                <c:pt idx="22">
                  <c:v>0.39622641509433965</c:v>
                </c:pt>
                <c:pt idx="23">
                  <c:v>0.38181818181818183</c:v>
                </c:pt>
                <c:pt idx="24">
                  <c:v>0.375</c:v>
                </c:pt>
                <c:pt idx="25">
                  <c:v>0.37931034482758619</c:v>
                </c:pt>
                <c:pt idx="26">
                  <c:v>0.4</c:v>
                </c:pt>
                <c:pt idx="27">
                  <c:v>0.39344262295081966</c:v>
                </c:pt>
                <c:pt idx="28">
                  <c:v>0.421875</c:v>
                </c:pt>
                <c:pt idx="29">
                  <c:v>0.421875</c:v>
                </c:pt>
                <c:pt idx="30">
                  <c:v>0.41538461538461541</c:v>
                </c:pt>
                <c:pt idx="31">
                  <c:v>0.40579710144927539</c:v>
                </c:pt>
                <c:pt idx="32">
                  <c:v>0.40277777777777779</c:v>
                </c:pt>
                <c:pt idx="33">
                  <c:v>0.40277777777777779</c:v>
                </c:pt>
                <c:pt idx="34">
                  <c:v>0.40540540540540543</c:v>
                </c:pt>
                <c:pt idx="35">
                  <c:v>0.41558441558441561</c:v>
                </c:pt>
                <c:pt idx="36">
                  <c:v>0.42499999999999999</c:v>
                </c:pt>
                <c:pt idx="37">
                  <c:v>0.4</c:v>
                </c:pt>
                <c:pt idx="38">
                  <c:v>0.40229885057471265</c:v>
                </c:pt>
                <c:pt idx="39">
                  <c:v>0.39772727272727271</c:v>
                </c:pt>
                <c:pt idx="40">
                  <c:v>0.3888888888888889</c:v>
                </c:pt>
                <c:pt idx="41">
                  <c:v>0.39784946236559138</c:v>
                </c:pt>
                <c:pt idx="42">
                  <c:v>0.40206185567010311</c:v>
                </c:pt>
                <c:pt idx="43">
                  <c:v>0.41414141414141414</c:v>
                </c:pt>
                <c:pt idx="44">
                  <c:v>0.42156862745098039</c:v>
                </c:pt>
                <c:pt idx="45">
                  <c:v>0.41346153846153844</c:v>
                </c:pt>
                <c:pt idx="46">
                  <c:v>0.41904761904761906</c:v>
                </c:pt>
                <c:pt idx="47">
                  <c:v>0.42201834862385323</c:v>
                </c:pt>
                <c:pt idx="48">
                  <c:v>0.41964285714285715</c:v>
                </c:pt>
                <c:pt idx="49">
                  <c:v>0.42982456140350878</c:v>
                </c:pt>
                <c:pt idx="50">
                  <c:v>0.43478260869565216</c:v>
                </c:pt>
                <c:pt idx="51">
                  <c:v>0.43965517241379309</c:v>
                </c:pt>
                <c:pt idx="52">
                  <c:v>0.43697478991596639</c:v>
                </c:pt>
                <c:pt idx="53">
                  <c:v>0.4344262295081967</c:v>
                </c:pt>
                <c:pt idx="54">
                  <c:v>0.43089430894308944</c:v>
                </c:pt>
                <c:pt idx="55">
                  <c:v>0.42063492063492064</c:v>
                </c:pt>
                <c:pt idx="56">
                  <c:v>0.421875</c:v>
                </c:pt>
                <c:pt idx="57">
                  <c:v>0.41666666666666669</c:v>
                </c:pt>
                <c:pt idx="58">
                  <c:v>0.42222222222222222</c:v>
                </c:pt>
                <c:pt idx="59">
                  <c:v>0.44285714285714284</c:v>
                </c:pt>
                <c:pt idx="60">
                  <c:v>0.44055944055944057</c:v>
                </c:pt>
                <c:pt idx="61">
                  <c:v>0.43448275862068964</c:v>
                </c:pt>
                <c:pt idx="62">
                  <c:v>0.44217687074829931</c:v>
                </c:pt>
                <c:pt idx="63">
                  <c:v>0.44295302013422821</c:v>
                </c:pt>
                <c:pt idx="64">
                  <c:v>0.44370860927152317</c:v>
                </c:pt>
                <c:pt idx="65">
                  <c:v>0.44078947368421051</c:v>
                </c:pt>
                <c:pt idx="66">
                  <c:v>0.44444444444444442</c:v>
                </c:pt>
                <c:pt idx="67">
                  <c:v>0.44871794871794873</c:v>
                </c:pt>
                <c:pt idx="68">
                  <c:v>0.45222929936305734</c:v>
                </c:pt>
                <c:pt idx="69">
                  <c:v>0.44936708860759494</c:v>
                </c:pt>
                <c:pt idx="70">
                  <c:v>0.45624999999999999</c:v>
                </c:pt>
                <c:pt idx="71">
                  <c:v>0.453416149068323</c:v>
                </c:pt>
                <c:pt idx="72">
                  <c:v>0.46012269938650308</c:v>
                </c:pt>
                <c:pt idx="73">
                  <c:v>0.46341463414634149</c:v>
                </c:pt>
                <c:pt idx="74">
                  <c:v>0.44970414201183434</c:v>
                </c:pt>
                <c:pt idx="75">
                  <c:v>0.45029239766081869</c:v>
                </c:pt>
                <c:pt idx="76">
                  <c:v>0.45086705202312138</c:v>
                </c:pt>
                <c:pt idx="77">
                  <c:v>0.45086705202312138</c:v>
                </c:pt>
                <c:pt idx="78">
                  <c:v>0.45086705202312138</c:v>
                </c:pt>
                <c:pt idx="79">
                  <c:v>0.44886363636363635</c:v>
                </c:pt>
                <c:pt idx="80">
                  <c:v>0.449438202247191</c:v>
                </c:pt>
                <c:pt idx="81">
                  <c:v>0.44808743169398907</c:v>
                </c:pt>
                <c:pt idx="82">
                  <c:v>0.44864864864864867</c:v>
                </c:pt>
                <c:pt idx="83">
                  <c:v>0.44864864864864867</c:v>
                </c:pt>
                <c:pt idx="84">
                  <c:v>0.44385026737967914</c:v>
                </c:pt>
                <c:pt idx="85">
                  <c:v>0.44973544973544971</c:v>
                </c:pt>
                <c:pt idx="86">
                  <c:v>0.44791666666666669</c:v>
                </c:pt>
                <c:pt idx="87">
                  <c:v>0.44615384615384618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8334642576590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51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9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9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  <row r="35" spans="1:9" x14ac:dyDescent="0.4">
      <c r="A35" s="28" t="s">
        <v>226</v>
      </c>
      <c r="B35" s="29">
        <v>43761.976099537038</v>
      </c>
      <c r="C35" s="28" t="s">
        <v>128</v>
      </c>
      <c r="D35" s="28" t="s">
        <v>129</v>
      </c>
      <c r="E35" s="28" t="s">
        <v>184</v>
      </c>
    </row>
    <row r="36" spans="1:9" x14ac:dyDescent="0.4">
      <c r="A36" s="28" t="s">
        <v>227</v>
      </c>
      <c r="B36" s="29">
        <v>43763.022106481483</v>
      </c>
      <c r="C36" s="28" t="s">
        <v>128</v>
      </c>
      <c r="D36" s="28" t="s">
        <v>129</v>
      </c>
    </row>
    <row r="37" spans="1:9" x14ac:dyDescent="0.4">
      <c r="A37" s="28" t="s">
        <v>228</v>
      </c>
      <c r="B37" s="29">
        <v>43763.041087962964</v>
      </c>
      <c r="C37" s="28" t="s">
        <v>128</v>
      </c>
      <c r="D37" s="28" t="s">
        <v>129</v>
      </c>
      <c r="E37" s="28" t="s">
        <v>184</v>
      </c>
    </row>
    <row r="38" spans="1:9" x14ac:dyDescent="0.4">
      <c r="A38" s="28" t="s">
        <v>229</v>
      </c>
      <c r="B38" s="29">
        <v>43764.041712962964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9" x14ac:dyDescent="0.4">
      <c r="A39" s="28" t="s">
        <v>230</v>
      </c>
      <c r="B39" s="29">
        <v>43765.540532407409</v>
      </c>
      <c r="C39" s="28" t="s">
        <v>128</v>
      </c>
      <c r="D39" s="28" t="s">
        <v>129</v>
      </c>
      <c r="E39" s="28" t="s">
        <v>184</v>
      </c>
    </row>
    <row r="40" spans="1:9" x14ac:dyDescent="0.4">
      <c r="A40" s="28" t="s">
        <v>231</v>
      </c>
      <c r="B40" s="29">
        <v>43765.654629629629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9" x14ac:dyDescent="0.4">
      <c r="A41" s="28" t="s">
        <v>232</v>
      </c>
      <c r="B41" s="29">
        <v>43766.037835648145</v>
      </c>
      <c r="C41" s="28" t="s">
        <v>128</v>
      </c>
    </row>
    <row r="42" spans="1:9" x14ac:dyDescent="0.4">
      <c r="A42" s="28" t="s">
        <v>233</v>
      </c>
      <c r="B42" s="29">
        <v>43766.89675925926</v>
      </c>
      <c r="C42" s="28" t="s">
        <v>128</v>
      </c>
      <c r="D42" s="28" t="s">
        <v>129</v>
      </c>
      <c r="E42" s="28" t="s">
        <v>184</v>
      </c>
      <c r="F42" s="28" t="s">
        <v>185</v>
      </c>
    </row>
    <row r="43" spans="1:9" x14ac:dyDescent="0.4">
      <c r="A43" s="28" t="s">
        <v>234</v>
      </c>
      <c r="B43" s="29">
        <v>43768.005439814813</v>
      </c>
      <c r="C43" s="28" t="s">
        <v>128</v>
      </c>
      <c r="D43" s="28" t="s">
        <v>129</v>
      </c>
      <c r="E43" s="28" t="s">
        <v>184</v>
      </c>
      <c r="F43" s="28" t="s">
        <v>185</v>
      </c>
      <c r="G43" s="28" t="s">
        <v>186</v>
      </c>
      <c r="H43" s="28" t="s">
        <v>187</v>
      </c>
    </row>
    <row r="44" spans="1:9" x14ac:dyDescent="0.4">
      <c r="A44" s="28" t="s">
        <v>235</v>
      </c>
      <c r="B44" s="29">
        <v>43768.983483796299</v>
      </c>
      <c r="C44" s="28" t="s">
        <v>128</v>
      </c>
      <c r="D44" s="28" t="s">
        <v>129</v>
      </c>
      <c r="E44" s="28" t="s">
        <v>184</v>
      </c>
      <c r="F44" s="28" t="s">
        <v>185</v>
      </c>
    </row>
    <row r="45" spans="1:9" x14ac:dyDescent="0.4">
      <c r="A45" s="28" t="s">
        <v>236</v>
      </c>
      <c r="B45" s="29">
        <v>43770.558391203704</v>
      </c>
      <c r="C45" s="28" t="s">
        <v>128</v>
      </c>
      <c r="D45" s="28" t="s">
        <v>129</v>
      </c>
    </row>
    <row r="46" spans="1:9" x14ac:dyDescent="0.4">
      <c r="A46" s="28" t="s">
        <v>238</v>
      </c>
      <c r="B46" s="29">
        <v>43771.018865740742</v>
      </c>
      <c r="C46" s="28" t="s">
        <v>128</v>
      </c>
      <c r="D46" s="28" t="s">
        <v>129</v>
      </c>
    </row>
    <row r="47" spans="1:9" x14ac:dyDescent="0.4">
      <c r="A47" s="28" t="s">
        <v>237</v>
      </c>
      <c r="B47" s="29">
        <v>43770.815983796296</v>
      </c>
      <c r="C47" s="28" t="s">
        <v>128</v>
      </c>
    </row>
    <row r="48" spans="1:9" x14ac:dyDescent="0.4">
      <c r="A48" s="28" t="s">
        <v>239</v>
      </c>
      <c r="B48" s="29">
        <v>43771.741539351853</v>
      </c>
      <c r="C48" s="28" t="s">
        <v>128</v>
      </c>
      <c r="D48" s="28" t="s">
        <v>129</v>
      </c>
      <c r="E48" s="28" t="s">
        <v>184</v>
      </c>
      <c r="F48" s="28" t="s">
        <v>185</v>
      </c>
      <c r="G48" s="28" t="s">
        <v>186</v>
      </c>
      <c r="H48" s="28" t="s">
        <v>187</v>
      </c>
      <c r="I48" s="28" t="s">
        <v>190</v>
      </c>
    </row>
    <row r="49" spans="1:4" x14ac:dyDescent="0.4">
      <c r="A49" s="28" t="s">
        <v>240</v>
      </c>
      <c r="B49" s="29">
        <v>43772.854699074072</v>
      </c>
      <c r="C49" s="28" t="s">
        <v>128</v>
      </c>
      <c r="D49" s="28" t="s">
        <v>129</v>
      </c>
    </row>
    <row r="50" spans="1:4" x14ac:dyDescent="0.4">
      <c r="A50" s="28" t="s">
        <v>241</v>
      </c>
      <c r="B50" s="29">
        <v>43773.722453703704</v>
      </c>
      <c r="C50" s="28" t="s">
        <v>128</v>
      </c>
    </row>
    <row r="51" spans="1:4" x14ac:dyDescent="0.4">
      <c r="A51" s="28" t="s">
        <v>242</v>
      </c>
      <c r="B51" s="29">
        <v>43774.737233796295</v>
      </c>
      <c r="C51" s="28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525</v>
      </c>
    </row>
    <row r="2" spans="1:2" x14ac:dyDescent="0.4">
      <c r="A2" t="s">
        <v>166</v>
      </c>
      <c r="B2">
        <v>46</v>
      </c>
    </row>
    <row r="3" spans="1:2" x14ac:dyDescent="0.4">
      <c r="A3" t="s">
        <v>126</v>
      </c>
      <c r="B3">
        <v>109</v>
      </c>
    </row>
    <row r="4" spans="1:2" x14ac:dyDescent="0.4">
      <c r="A4" t="s">
        <v>127</v>
      </c>
      <c r="B4">
        <v>100</v>
      </c>
    </row>
    <row r="5" spans="1:2" x14ac:dyDescent="0.4">
      <c r="A5" t="s">
        <v>179</v>
      </c>
      <c r="B5">
        <v>63</v>
      </c>
    </row>
    <row r="6" spans="1:2" x14ac:dyDescent="0.4">
      <c r="A6" t="s">
        <v>177</v>
      </c>
      <c r="B6">
        <v>58</v>
      </c>
    </row>
    <row r="7" spans="1:2" x14ac:dyDescent="0.4">
      <c r="A7" t="s">
        <v>178</v>
      </c>
      <c r="B7">
        <v>87</v>
      </c>
    </row>
    <row r="8" spans="1:2" x14ac:dyDescent="0.4">
      <c r="A8" t="s">
        <v>182</v>
      </c>
      <c r="B8">
        <v>31</v>
      </c>
    </row>
    <row r="9" spans="1:2" x14ac:dyDescent="0.4">
      <c r="A9" t="s">
        <v>181</v>
      </c>
      <c r="B9">
        <v>22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6" t="s">
        <v>6</v>
      </c>
      <c r="C1" s="157"/>
      <c r="D1" s="156" t="s">
        <v>7</v>
      </c>
      <c r="E1" s="157"/>
      <c r="F1" s="156" t="s">
        <v>15</v>
      </c>
      <c r="G1" s="157"/>
      <c r="H1" s="156" t="s">
        <v>14</v>
      </c>
      <c r="I1" s="157"/>
      <c r="J1" s="156" t="s">
        <v>160</v>
      </c>
      <c r="K1" s="157"/>
      <c r="L1" s="156" t="s">
        <v>147</v>
      </c>
      <c r="M1" s="157"/>
      <c r="N1" s="156" t="s">
        <v>148</v>
      </c>
      <c r="O1" s="157"/>
      <c r="P1" s="156" t="s">
        <v>5</v>
      </c>
      <c r="Q1" s="157"/>
      <c r="R1" s="156" t="s">
        <v>16</v>
      </c>
      <c r="S1" s="157"/>
      <c r="T1" s="156" t="s">
        <v>17</v>
      </c>
      <c r="U1" s="157"/>
      <c r="V1" s="156" t="s">
        <v>139</v>
      </c>
      <c r="W1" s="157"/>
      <c r="X1" s="156" t="s">
        <v>122</v>
      </c>
      <c r="Y1" s="157"/>
      <c r="Z1" s="156" t="s">
        <v>119</v>
      </c>
      <c r="AA1" s="157"/>
      <c r="AB1" s="156" t="s">
        <v>125</v>
      </c>
      <c r="AC1" s="157"/>
      <c r="AD1" s="156" t="s">
        <v>149</v>
      </c>
      <c r="AE1" s="157"/>
      <c r="AF1" s="156" t="s">
        <v>142</v>
      </c>
      <c r="AG1" s="157"/>
      <c r="AH1" s="156" t="s">
        <v>151</v>
      </c>
      <c r="AI1" s="157"/>
    </row>
    <row r="2" spans="1:35" x14ac:dyDescent="0.4">
      <c r="A2" s="68" t="s">
        <v>159</v>
      </c>
      <c r="B2" s="158"/>
      <c r="C2" s="159"/>
      <c r="D2" s="158"/>
      <c r="E2" s="159"/>
      <c r="F2" s="160">
        <v>0.99269189356298237</v>
      </c>
      <c r="G2" s="161"/>
      <c r="H2" s="160">
        <v>0.92877275426678629</v>
      </c>
      <c r="I2" s="161"/>
      <c r="J2" s="160">
        <v>0.91513071172323124</v>
      </c>
      <c r="K2" s="161"/>
      <c r="L2" s="160">
        <v>0.90952363794150448</v>
      </c>
      <c r="M2" s="161"/>
      <c r="N2" s="160">
        <v>0.55676699303841515</v>
      </c>
      <c r="O2" s="161"/>
      <c r="P2" s="160">
        <v>0.47548047363658613</v>
      </c>
      <c r="Q2" s="161"/>
      <c r="R2" s="160">
        <v>-6.9007295892891535E-2</v>
      </c>
      <c r="S2" s="161"/>
      <c r="T2" s="160">
        <v>0.55485165696120664</v>
      </c>
      <c r="U2" s="161"/>
      <c r="V2" s="160">
        <v>0.81427732327429247</v>
      </c>
      <c r="W2" s="161"/>
      <c r="X2" s="160">
        <v>0.49994774675047587</v>
      </c>
      <c r="Y2" s="161"/>
      <c r="Z2" s="160">
        <v>6.8582340798455385E-3</v>
      </c>
      <c r="AA2" s="161"/>
      <c r="AB2" s="160">
        <v>0.20066809833693489</v>
      </c>
      <c r="AC2" s="161"/>
      <c r="AD2" s="160">
        <v>0.58245357543238374</v>
      </c>
      <c r="AE2" s="161"/>
      <c r="AF2" s="160">
        <v>-0.1722574228756418</v>
      </c>
      <c r="AG2" s="161"/>
      <c r="AH2" s="160">
        <v>0.72678485444969965</v>
      </c>
      <c r="AI2" s="161"/>
    </row>
    <row r="3" spans="1:35" x14ac:dyDescent="0.4">
      <c r="A3" s="70">
        <v>1</v>
      </c>
      <c r="B3" s="71" t="s">
        <v>126</v>
      </c>
      <c r="C3" s="72">
        <v>903.59999999999991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10410.144927536232</v>
      </c>
      <c r="R3" s="73" t="s">
        <v>166</v>
      </c>
      <c r="S3" s="77">
        <v>-6755.1724137931033</v>
      </c>
      <c r="T3" s="73" t="s">
        <v>222</v>
      </c>
      <c r="U3" s="75">
        <v>0</v>
      </c>
      <c r="V3" s="73" t="s">
        <v>177</v>
      </c>
      <c r="W3" s="75">
        <v>0.18965517241379309</v>
      </c>
      <c r="X3" s="73" t="s">
        <v>177</v>
      </c>
      <c r="Y3" s="76">
        <v>0.32258064516129031</v>
      </c>
      <c r="Z3" s="73" t="s">
        <v>195</v>
      </c>
      <c r="AA3" s="76">
        <v>0.35483870967741937</v>
      </c>
      <c r="AB3" s="73" t="s">
        <v>181</v>
      </c>
      <c r="AC3" s="76">
        <v>0.61111111111111116</v>
      </c>
      <c r="AD3" s="73" t="s">
        <v>222</v>
      </c>
      <c r="AE3" s="76">
        <v>1</v>
      </c>
      <c r="AF3" s="73" t="s">
        <v>181</v>
      </c>
      <c r="AG3" s="76">
        <v>0.54385964912280704</v>
      </c>
      <c r="AH3" s="73" t="s">
        <v>126</v>
      </c>
      <c r="AI3" s="87">
        <v>149100</v>
      </c>
    </row>
    <row r="4" spans="1:35" x14ac:dyDescent="0.4">
      <c r="A4" s="78">
        <v>2</v>
      </c>
      <c r="B4" s="79" t="s">
        <v>177</v>
      </c>
      <c r="C4" s="80">
        <v>308.80000000000007</v>
      </c>
      <c r="D4" s="81" t="s">
        <v>126</v>
      </c>
      <c r="E4" s="93">
        <v>8.2899082568807323</v>
      </c>
      <c r="F4" s="81" t="s">
        <v>126</v>
      </c>
      <c r="G4" s="82">
        <v>1.7889908256880733</v>
      </c>
      <c r="H4" s="81" t="s">
        <v>126</v>
      </c>
      <c r="I4" s="83">
        <v>0.46788990825688076</v>
      </c>
      <c r="J4" s="81" t="s">
        <v>126</v>
      </c>
      <c r="K4" s="83">
        <v>0.25688073394495414</v>
      </c>
      <c r="L4" s="81" t="s">
        <v>126</v>
      </c>
      <c r="M4" s="84">
        <v>0.33831990794016109</v>
      </c>
      <c r="N4" s="81" t="s">
        <v>126</v>
      </c>
      <c r="O4" s="84">
        <v>0.13003452243958574</v>
      </c>
      <c r="P4" s="81" t="s">
        <v>127</v>
      </c>
      <c r="Q4" s="85">
        <v>8584.645669291338</v>
      </c>
      <c r="R4" s="81" t="s">
        <v>181</v>
      </c>
      <c r="S4" s="85">
        <v>-7151.6129032258068</v>
      </c>
      <c r="T4" s="81" t="s">
        <v>166</v>
      </c>
      <c r="U4" s="83">
        <v>2.1739130434782608E-2</v>
      </c>
      <c r="V4" s="81" t="s">
        <v>195</v>
      </c>
      <c r="W4" s="83">
        <v>0.14285714285714285</v>
      </c>
      <c r="X4" s="81" t="s">
        <v>179</v>
      </c>
      <c r="Y4" s="84">
        <v>0.29166666666666669</v>
      </c>
      <c r="Z4" s="81" t="s">
        <v>222</v>
      </c>
      <c r="AA4" s="84">
        <v>0.33333333333333331</v>
      </c>
      <c r="AB4" s="81" t="s">
        <v>126</v>
      </c>
      <c r="AC4" s="84">
        <v>0.59227467811158796</v>
      </c>
      <c r="AD4" s="81" t="s">
        <v>126</v>
      </c>
      <c r="AE4" s="84">
        <v>0.48223350253807107</v>
      </c>
      <c r="AF4" s="81" t="s">
        <v>177</v>
      </c>
      <c r="AG4" s="84">
        <v>0.48550724637681159</v>
      </c>
      <c r="AH4" s="81" t="s">
        <v>143</v>
      </c>
      <c r="AI4" s="88">
        <v>149100</v>
      </c>
    </row>
    <row r="5" spans="1:35" x14ac:dyDescent="0.4">
      <c r="A5" s="78">
        <v>3</v>
      </c>
      <c r="B5" s="79" t="s">
        <v>222</v>
      </c>
      <c r="C5" s="80">
        <v>26.2</v>
      </c>
      <c r="D5" s="81" t="s">
        <v>177</v>
      </c>
      <c r="E5" s="93">
        <v>5.3241379310344836</v>
      </c>
      <c r="F5" s="81" t="s">
        <v>177</v>
      </c>
      <c r="G5" s="82">
        <v>1.8793103448275863</v>
      </c>
      <c r="H5" s="81" t="s">
        <v>177</v>
      </c>
      <c r="I5" s="83">
        <v>0.43103448275862066</v>
      </c>
      <c r="J5" s="81" t="s">
        <v>178</v>
      </c>
      <c r="K5" s="83">
        <v>0.27586206896551724</v>
      </c>
      <c r="L5" s="81" t="s">
        <v>127</v>
      </c>
      <c r="M5" s="84">
        <v>0.30166270783847982</v>
      </c>
      <c r="N5" s="81" t="s">
        <v>178</v>
      </c>
      <c r="O5" s="84">
        <v>0.13333333333333333</v>
      </c>
      <c r="P5" s="81" t="s">
        <v>143</v>
      </c>
      <c r="Q5" s="85">
        <v>8410.1335428122547</v>
      </c>
      <c r="R5" s="81" t="s">
        <v>179</v>
      </c>
      <c r="S5" s="85">
        <v>-7611.818181818182</v>
      </c>
      <c r="T5" s="81" t="s">
        <v>126</v>
      </c>
      <c r="U5" s="83">
        <v>4.5871559633027525E-2</v>
      </c>
      <c r="V5" s="81" t="s">
        <v>126</v>
      </c>
      <c r="W5" s="83">
        <v>0.12844036697247707</v>
      </c>
      <c r="X5" s="81" t="s">
        <v>126</v>
      </c>
      <c r="Y5" s="84">
        <v>0.26812428078250861</v>
      </c>
      <c r="Z5" s="81" t="s">
        <v>127</v>
      </c>
      <c r="AA5" s="84">
        <v>0.30403800475059384</v>
      </c>
      <c r="AB5" s="81" t="s">
        <v>179</v>
      </c>
      <c r="AC5" s="84">
        <v>0.58441558441558439</v>
      </c>
      <c r="AD5" s="81" t="s">
        <v>177</v>
      </c>
      <c r="AE5" s="84">
        <v>0.45121951219512196</v>
      </c>
      <c r="AF5" s="81" t="s">
        <v>182</v>
      </c>
      <c r="AG5" s="84">
        <v>0.48275862068965519</v>
      </c>
      <c r="AH5" s="81" t="s">
        <v>177</v>
      </c>
      <c r="AI5" s="88">
        <v>103600</v>
      </c>
    </row>
    <row r="6" spans="1:35" x14ac:dyDescent="0.4">
      <c r="A6" s="78">
        <v>4</v>
      </c>
      <c r="B6" s="79" t="s">
        <v>127</v>
      </c>
      <c r="C6" s="80">
        <v>13.399999999999785</v>
      </c>
      <c r="D6" s="81" t="s">
        <v>127</v>
      </c>
      <c r="E6" s="93">
        <v>0.13399999999999784</v>
      </c>
      <c r="F6" s="81" t="s">
        <v>127</v>
      </c>
      <c r="G6" s="82">
        <v>1.97</v>
      </c>
      <c r="H6" s="81" t="s">
        <v>195</v>
      </c>
      <c r="I6" s="83">
        <v>0.42857142857142855</v>
      </c>
      <c r="J6" s="81" t="s">
        <v>177</v>
      </c>
      <c r="K6" s="83">
        <v>0.31034482758620691</v>
      </c>
      <c r="L6" s="81" t="s">
        <v>177</v>
      </c>
      <c r="M6" s="84">
        <v>0.29677419354838708</v>
      </c>
      <c r="N6" s="81" t="s">
        <v>166</v>
      </c>
      <c r="O6" s="84">
        <v>0.14463840399002495</v>
      </c>
      <c r="P6" s="81" t="s">
        <v>178</v>
      </c>
      <c r="Q6" s="85">
        <v>8352.8205128205136</v>
      </c>
      <c r="R6" s="81" t="s">
        <v>126</v>
      </c>
      <c r="S6" s="85">
        <v>-7820.353982300885</v>
      </c>
      <c r="T6" s="81" t="s">
        <v>178</v>
      </c>
      <c r="U6" s="83">
        <v>8.0459770114942528E-2</v>
      </c>
      <c r="V6" s="81" t="s">
        <v>127</v>
      </c>
      <c r="W6" s="83">
        <v>0.1</v>
      </c>
      <c r="X6" s="81" t="s">
        <v>222</v>
      </c>
      <c r="Y6" s="84">
        <v>0.26666666666666666</v>
      </c>
      <c r="Z6" s="81" t="s">
        <v>166</v>
      </c>
      <c r="AA6" s="84">
        <v>0.23441396508728179</v>
      </c>
      <c r="AB6" s="81" t="s">
        <v>178</v>
      </c>
      <c r="AC6" s="84">
        <v>0.56111111111111112</v>
      </c>
      <c r="AD6" s="81" t="s">
        <v>178</v>
      </c>
      <c r="AE6" s="84">
        <v>0.41139240506329117</v>
      </c>
      <c r="AF6" s="81" t="s">
        <v>179</v>
      </c>
      <c r="AG6" s="84">
        <v>0.45270270270270269</v>
      </c>
      <c r="AH6" s="81" t="s">
        <v>181</v>
      </c>
      <c r="AI6" s="88">
        <v>95200</v>
      </c>
    </row>
    <row r="7" spans="1:35" x14ac:dyDescent="0.4">
      <c r="A7" s="78">
        <v>5</v>
      </c>
      <c r="B7" s="79" t="s">
        <v>143</v>
      </c>
      <c r="C7" s="80">
        <v>-6.0396132539608516E-14</v>
      </c>
      <c r="D7" s="81" t="s">
        <v>143</v>
      </c>
      <c r="E7" s="93">
        <v>-1.1504025245639716E-16</v>
      </c>
      <c r="F7" s="81" t="s">
        <v>181</v>
      </c>
      <c r="G7" s="82">
        <v>2</v>
      </c>
      <c r="H7" s="81" t="s">
        <v>181</v>
      </c>
      <c r="I7" s="83">
        <v>0.36363636363636365</v>
      </c>
      <c r="J7" s="81" t="s">
        <v>127</v>
      </c>
      <c r="K7" s="83">
        <v>0.32</v>
      </c>
      <c r="L7" s="81" t="s">
        <v>143</v>
      </c>
      <c r="M7" s="84">
        <v>0.29426722145168749</v>
      </c>
      <c r="N7" s="81" t="s">
        <v>181</v>
      </c>
      <c r="O7" s="84">
        <v>0.15196078431372548</v>
      </c>
      <c r="P7" s="81" t="s">
        <v>126</v>
      </c>
      <c r="Q7" s="85">
        <v>8212.925170068027</v>
      </c>
      <c r="R7" s="81" t="s">
        <v>143</v>
      </c>
      <c r="S7" s="85">
        <v>-7842.9378531073444</v>
      </c>
      <c r="T7" s="81" t="s">
        <v>177</v>
      </c>
      <c r="U7" s="83">
        <v>8.6206896551724144E-2</v>
      </c>
      <c r="V7" s="81" t="s">
        <v>143</v>
      </c>
      <c r="W7" s="83">
        <v>9.3333333333333338E-2</v>
      </c>
      <c r="X7" s="81" t="s">
        <v>181</v>
      </c>
      <c r="Y7" s="84">
        <v>0.26470588235294118</v>
      </c>
      <c r="Z7" s="81" t="s">
        <v>143</v>
      </c>
      <c r="AA7" s="84">
        <v>0.23116042533518261</v>
      </c>
      <c r="AB7" s="81" t="s">
        <v>143</v>
      </c>
      <c r="AC7" s="84">
        <v>0.55788514129443934</v>
      </c>
      <c r="AD7" s="81" t="s">
        <v>143</v>
      </c>
      <c r="AE7" s="84">
        <v>0.40899999999999997</v>
      </c>
      <c r="AF7" s="81" t="s">
        <v>178</v>
      </c>
      <c r="AG7" s="84">
        <v>0.44615384615384618</v>
      </c>
      <c r="AH7" s="81" t="s">
        <v>127</v>
      </c>
      <c r="AI7" s="88">
        <v>91800</v>
      </c>
    </row>
    <row r="8" spans="1:35" x14ac:dyDescent="0.4">
      <c r="A8" s="78">
        <v>6</v>
      </c>
      <c r="B8" s="79" t="s">
        <v>181</v>
      </c>
      <c r="C8" s="80">
        <v>-13.5</v>
      </c>
      <c r="D8" s="81" t="s">
        <v>181</v>
      </c>
      <c r="E8" s="93">
        <v>-0.61363636363636365</v>
      </c>
      <c r="F8" s="81" t="s">
        <v>143</v>
      </c>
      <c r="G8" s="82">
        <v>2</v>
      </c>
      <c r="H8" s="81" t="s">
        <v>127</v>
      </c>
      <c r="I8" s="83">
        <v>0.35</v>
      </c>
      <c r="J8" s="81" t="s">
        <v>143</v>
      </c>
      <c r="K8" s="83">
        <v>0.33333333333333331</v>
      </c>
      <c r="L8" s="81" t="s">
        <v>178</v>
      </c>
      <c r="M8" s="84">
        <v>0.28260869565217389</v>
      </c>
      <c r="N8" s="81" t="s">
        <v>143</v>
      </c>
      <c r="O8" s="84">
        <v>0.1636615811373093</v>
      </c>
      <c r="P8" s="81" t="s">
        <v>181</v>
      </c>
      <c r="Q8" s="85">
        <v>8115.7894736842109</v>
      </c>
      <c r="R8" s="81" t="s">
        <v>178</v>
      </c>
      <c r="S8" s="85">
        <v>-7886.95652173913</v>
      </c>
      <c r="T8" s="81" t="s">
        <v>181</v>
      </c>
      <c r="U8" s="83">
        <v>9.0909090909090912E-2</v>
      </c>
      <c r="V8" s="81" t="s">
        <v>181</v>
      </c>
      <c r="W8" s="83">
        <v>9.0909090909090912E-2</v>
      </c>
      <c r="X8" s="81" t="s">
        <v>178</v>
      </c>
      <c r="Y8" s="84">
        <v>0.2608695652173913</v>
      </c>
      <c r="Z8" s="81" t="s">
        <v>178</v>
      </c>
      <c r="AA8" s="84">
        <v>0.22898550724637681</v>
      </c>
      <c r="AB8" s="81" t="s">
        <v>177</v>
      </c>
      <c r="AC8" s="84">
        <v>0.54666666666666663</v>
      </c>
      <c r="AD8" s="81" t="s">
        <v>182</v>
      </c>
      <c r="AE8" s="84">
        <v>0.4</v>
      </c>
      <c r="AF8" s="81" t="s">
        <v>143</v>
      </c>
      <c r="AG8" s="84">
        <v>0.43833464257659072</v>
      </c>
      <c r="AH8" s="81" t="s">
        <v>166</v>
      </c>
      <c r="AI8" s="88">
        <v>86900</v>
      </c>
    </row>
    <row r="9" spans="1:35" x14ac:dyDescent="0.4">
      <c r="A9" s="78">
        <v>7</v>
      </c>
      <c r="B9" s="79" t="s">
        <v>178</v>
      </c>
      <c r="C9" s="80">
        <v>-57.400000000000013</v>
      </c>
      <c r="D9" s="81" t="s">
        <v>178</v>
      </c>
      <c r="E9" s="93">
        <v>-0.65977011494252891</v>
      </c>
      <c r="F9" s="81" t="s">
        <v>178</v>
      </c>
      <c r="G9" s="82">
        <v>2.0459770114942528</v>
      </c>
      <c r="H9" s="81" t="s">
        <v>166</v>
      </c>
      <c r="I9" s="83">
        <v>0.34782608695652173</v>
      </c>
      <c r="J9" s="81" t="s">
        <v>181</v>
      </c>
      <c r="K9" s="83">
        <v>0.36363636363636365</v>
      </c>
      <c r="L9" s="81" t="s">
        <v>179</v>
      </c>
      <c r="M9" s="84">
        <v>0.28030303030303028</v>
      </c>
      <c r="N9" s="81" t="s">
        <v>177</v>
      </c>
      <c r="O9" s="84">
        <v>0.16559139784946236</v>
      </c>
      <c r="P9" s="81" t="s">
        <v>179</v>
      </c>
      <c r="Q9" s="85">
        <v>8081.0810810810808</v>
      </c>
      <c r="R9" s="81" t="s">
        <v>222</v>
      </c>
      <c r="S9" s="85">
        <v>-8000</v>
      </c>
      <c r="T9" s="81" t="s">
        <v>143</v>
      </c>
      <c r="U9" s="83">
        <v>9.3333333333333338E-2</v>
      </c>
      <c r="V9" s="81" t="s">
        <v>178</v>
      </c>
      <c r="W9" s="83">
        <v>6.8965517241379309E-2</v>
      </c>
      <c r="X9" s="81" t="s">
        <v>143</v>
      </c>
      <c r="Y9" s="84">
        <v>0.25358298659269535</v>
      </c>
      <c r="Z9" s="81" t="s">
        <v>126</v>
      </c>
      <c r="AA9" s="84">
        <v>0.22669735327963175</v>
      </c>
      <c r="AB9" s="81" t="s">
        <v>182</v>
      </c>
      <c r="AC9" s="84">
        <v>0.54166666666666663</v>
      </c>
      <c r="AD9" s="81" t="s">
        <v>179</v>
      </c>
      <c r="AE9" s="84">
        <v>0.38383838383838381</v>
      </c>
      <c r="AF9" s="81" t="s">
        <v>166</v>
      </c>
      <c r="AG9" s="84">
        <v>0.42990654205607476</v>
      </c>
      <c r="AH9" s="81" t="s">
        <v>178</v>
      </c>
      <c r="AI9" s="88">
        <v>86500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166</v>
      </c>
      <c r="E10" s="93">
        <v>-3.1717391304347839</v>
      </c>
      <c r="F10" s="81" t="s">
        <v>166</v>
      </c>
      <c r="G10" s="82">
        <v>2.0652173913043477</v>
      </c>
      <c r="H10" s="81" t="s">
        <v>143</v>
      </c>
      <c r="I10" s="83">
        <v>0.33333333333333331</v>
      </c>
      <c r="J10" s="81" t="s">
        <v>179</v>
      </c>
      <c r="K10" s="83">
        <v>0.3968253968253968</v>
      </c>
      <c r="L10" s="81" t="s">
        <v>181</v>
      </c>
      <c r="M10" s="84">
        <v>0.27941176470588236</v>
      </c>
      <c r="N10" s="81" t="s">
        <v>182</v>
      </c>
      <c r="O10" s="84">
        <v>0.188</v>
      </c>
      <c r="P10" s="81" t="s">
        <v>182</v>
      </c>
      <c r="Q10" s="85">
        <v>7901.7241379310344</v>
      </c>
      <c r="R10" s="81" t="s">
        <v>182</v>
      </c>
      <c r="S10" s="85">
        <v>-8059.5744680851067</v>
      </c>
      <c r="T10" s="81" t="s">
        <v>179</v>
      </c>
      <c r="U10" s="83">
        <v>9.5238095238095233E-2</v>
      </c>
      <c r="V10" s="81" t="s">
        <v>166</v>
      </c>
      <c r="W10" s="83">
        <v>4.3478260869565216E-2</v>
      </c>
      <c r="X10" s="81" t="s">
        <v>195</v>
      </c>
      <c r="Y10" s="84">
        <v>0.24193548387096775</v>
      </c>
      <c r="Z10" s="81" t="s">
        <v>182</v>
      </c>
      <c r="AA10" s="84">
        <v>0.22</v>
      </c>
      <c r="AB10" s="81" t="s">
        <v>195</v>
      </c>
      <c r="AC10" s="84">
        <v>0.53333333333333333</v>
      </c>
      <c r="AD10" s="81" t="s">
        <v>181</v>
      </c>
      <c r="AE10" s="84">
        <v>0.375</v>
      </c>
      <c r="AF10" s="81" t="s">
        <v>126</v>
      </c>
      <c r="AG10" s="84">
        <v>0.42857142857142855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-145.90000000000006</v>
      </c>
      <c r="D11" s="81" t="s">
        <v>179</v>
      </c>
      <c r="E11" s="93">
        <v>-7.2587301587301578</v>
      </c>
      <c r="F11" s="81" t="s">
        <v>195</v>
      </c>
      <c r="G11" s="82">
        <v>2.1428571428571428</v>
      </c>
      <c r="H11" s="81" t="s">
        <v>178</v>
      </c>
      <c r="I11" s="83">
        <v>0.22988505747126436</v>
      </c>
      <c r="J11" s="81" t="s">
        <v>166</v>
      </c>
      <c r="K11" s="83">
        <v>0.41304347826086957</v>
      </c>
      <c r="L11" s="81" t="s">
        <v>166</v>
      </c>
      <c r="M11" s="84">
        <v>0.26683291770573564</v>
      </c>
      <c r="N11" s="81" t="s">
        <v>195</v>
      </c>
      <c r="O11" s="84">
        <v>0.19354838709677419</v>
      </c>
      <c r="P11" s="81" t="s">
        <v>195</v>
      </c>
      <c r="Q11" s="85">
        <v>7473.333333333333</v>
      </c>
      <c r="R11" s="81" t="s">
        <v>177</v>
      </c>
      <c r="S11" s="85">
        <v>-8136.363636363636</v>
      </c>
      <c r="T11" s="81" t="s">
        <v>127</v>
      </c>
      <c r="U11" s="83">
        <v>0.14000000000000001</v>
      </c>
      <c r="V11" s="81" t="s">
        <v>182</v>
      </c>
      <c r="W11" s="83">
        <v>3.2258064516129031E-2</v>
      </c>
      <c r="X11" s="81" t="s">
        <v>127</v>
      </c>
      <c r="Y11" s="84">
        <v>0.23515439429928742</v>
      </c>
      <c r="Z11" s="81" t="s">
        <v>179</v>
      </c>
      <c r="AA11" s="84">
        <v>0.1875</v>
      </c>
      <c r="AB11" s="81" t="s">
        <v>127</v>
      </c>
      <c r="AC11" s="84">
        <v>0.51010101010101006</v>
      </c>
      <c r="AD11" s="81" t="s">
        <v>127</v>
      </c>
      <c r="AE11" s="84">
        <v>0.37109375</v>
      </c>
      <c r="AF11" s="81" t="s">
        <v>127</v>
      </c>
      <c r="AG11" s="84">
        <v>0.38976377952755903</v>
      </c>
      <c r="AH11" s="81" t="s">
        <v>179</v>
      </c>
      <c r="AI11" s="88">
        <v>69500</v>
      </c>
    </row>
    <row r="12" spans="1:35" x14ac:dyDescent="0.4">
      <c r="A12" s="78">
        <v>10</v>
      </c>
      <c r="B12" s="79" t="s">
        <v>179</v>
      </c>
      <c r="C12" s="80">
        <v>-457.29999999999995</v>
      </c>
      <c r="D12" s="81" t="s">
        <v>195</v>
      </c>
      <c r="E12" s="93">
        <v>-14.971428571428573</v>
      </c>
      <c r="F12" s="81" t="s">
        <v>179</v>
      </c>
      <c r="G12" s="82">
        <v>2.1904761904761907</v>
      </c>
      <c r="H12" s="81" t="s">
        <v>179</v>
      </c>
      <c r="I12" s="83">
        <v>0.20634920634920634</v>
      </c>
      <c r="J12" s="81" t="s">
        <v>182</v>
      </c>
      <c r="K12" s="83">
        <v>0.54838709677419351</v>
      </c>
      <c r="L12" s="81" t="s">
        <v>195</v>
      </c>
      <c r="M12" s="84">
        <v>0.24193548387096775</v>
      </c>
      <c r="N12" s="81" t="s">
        <v>127</v>
      </c>
      <c r="O12" s="84">
        <v>0.19833729216152018</v>
      </c>
      <c r="P12" s="81" t="s">
        <v>222</v>
      </c>
      <c r="Q12" s="85">
        <v>7385.7142857142853</v>
      </c>
      <c r="R12" s="81" t="s">
        <v>127</v>
      </c>
      <c r="S12" s="85">
        <v>-8206.5868263473058</v>
      </c>
      <c r="T12" s="81" t="s">
        <v>182</v>
      </c>
      <c r="U12" s="83">
        <v>0.16129032258064516</v>
      </c>
      <c r="V12" s="81" t="s">
        <v>179</v>
      </c>
      <c r="W12" s="83">
        <v>3.1746031746031744E-2</v>
      </c>
      <c r="X12" s="81" t="s">
        <v>182</v>
      </c>
      <c r="Y12" s="84">
        <v>0.192</v>
      </c>
      <c r="Z12" s="81" t="s">
        <v>177</v>
      </c>
      <c r="AA12" s="84">
        <v>0.17634408602150536</v>
      </c>
      <c r="AB12" s="81" t="s">
        <v>166</v>
      </c>
      <c r="AC12" s="84">
        <v>0.50819672131147542</v>
      </c>
      <c r="AD12" s="81" t="s">
        <v>166</v>
      </c>
      <c r="AE12" s="84">
        <v>0.36170212765957449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-473.10000000000014</v>
      </c>
      <c r="D13" s="81" t="s">
        <v>182</v>
      </c>
      <c r="E13" s="93">
        <v>-15.261290322580649</v>
      </c>
      <c r="F13" s="81" t="s">
        <v>182</v>
      </c>
      <c r="G13" s="82">
        <v>2.4516129032258065</v>
      </c>
      <c r="H13" s="81" t="s">
        <v>182</v>
      </c>
      <c r="I13" s="83">
        <v>9.6774193548387094E-2</v>
      </c>
      <c r="J13" s="81" t="s">
        <v>195</v>
      </c>
      <c r="K13" s="83">
        <v>0.5714285714285714</v>
      </c>
      <c r="L13" s="81" t="s">
        <v>182</v>
      </c>
      <c r="M13" s="84">
        <v>0.23200000000000001</v>
      </c>
      <c r="N13" s="81" t="s">
        <v>179</v>
      </c>
      <c r="O13" s="84">
        <v>0.20833333333333334</v>
      </c>
      <c r="P13" s="81" t="s">
        <v>166</v>
      </c>
      <c r="Q13" s="85">
        <v>7148.5981308411219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0.15211970074812967</v>
      </c>
      <c r="Z13" s="81" t="s">
        <v>181</v>
      </c>
      <c r="AA13" s="84">
        <v>0.15686274509803921</v>
      </c>
      <c r="AB13" s="81" t="s">
        <v>222</v>
      </c>
      <c r="AC13" s="84">
        <v>0.5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E3EAE-8F74-44DE-A7F3-F8A50A902D80}">
  <sheetPr codeName="Sheet4"/>
  <dimension ref="A1:Q52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525</v>
      </c>
      <c r="C2" s="149"/>
      <c r="E2" s="58" t="s">
        <v>66</v>
      </c>
      <c r="F2" s="55" t="s">
        <v>22</v>
      </c>
      <c r="G2" s="43">
        <v>982</v>
      </c>
      <c r="H2" s="128">
        <f>IF(B$17=0,0,G2/B$17)</f>
        <v>0.7714061272584446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-21.072796934865899</v>
      </c>
      <c r="P2" s="114">
        <v>522</v>
      </c>
      <c r="Q2" s="98">
        <v>-11000</v>
      </c>
    </row>
    <row r="3" spans="1:17" x14ac:dyDescent="0.4">
      <c r="A3" s="51" t="s">
        <v>8</v>
      </c>
      <c r="B3" s="150">
        <v>4326</v>
      </c>
      <c r="C3" s="151"/>
      <c r="E3" s="59" t="s">
        <v>72</v>
      </c>
      <c r="F3" s="56" t="s">
        <v>27</v>
      </c>
      <c r="G3" s="44">
        <v>682</v>
      </c>
      <c r="H3" s="129">
        <f>IF(B$17=0,0,G3/B$17)</f>
        <v>0.53574234092694417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5.882352941176471</v>
      </c>
      <c r="P3" s="115">
        <v>510</v>
      </c>
      <c r="Q3" s="99">
        <v>3000</v>
      </c>
    </row>
    <row r="4" spans="1:17" x14ac:dyDescent="0.4">
      <c r="A4" s="51" t="s">
        <v>6</v>
      </c>
      <c r="B4" s="152">
        <v>-6.0396132539608516E-14</v>
      </c>
      <c r="C4" s="153"/>
      <c r="E4" s="59" t="s">
        <v>64</v>
      </c>
      <c r="F4" s="56" t="s">
        <v>20</v>
      </c>
      <c r="G4" s="44">
        <v>583</v>
      </c>
      <c r="H4" s="129">
        <f>IF(B$17=0,0,G4/B$17)</f>
        <v>0.45797329143754911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-14.492753623188406</v>
      </c>
      <c r="P4" s="115">
        <v>483</v>
      </c>
      <c r="Q4" s="99">
        <v>-7000</v>
      </c>
    </row>
    <row r="5" spans="1:17" x14ac:dyDescent="0.4">
      <c r="A5" s="51" t="s">
        <v>7</v>
      </c>
      <c r="B5" s="154">
        <f>IF(B$2=0,0,B$4/B$2)</f>
        <v>-1.1504025245639716E-16</v>
      </c>
      <c r="C5" s="155"/>
      <c r="E5" s="59" t="s">
        <v>171</v>
      </c>
      <c r="F5" s="56" t="s">
        <v>172</v>
      </c>
      <c r="G5" s="44">
        <v>505</v>
      </c>
      <c r="H5" s="129">
        <f>IF(B$17=0,0,G5/B$17)</f>
        <v>0.39670070699135901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13.071895424836601</v>
      </c>
      <c r="P5" s="115">
        <v>459</v>
      </c>
      <c r="Q5" s="99">
        <v>6000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399</v>
      </c>
      <c r="H6" s="129">
        <f>IF(B$17=0,0,G6/B$17)</f>
        <v>0.31343283582089554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9.456264775413711</v>
      </c>
      <c r="P6" s="115">
        <v>423</v>
      </c>
      <c r="Q6" s="99">
        <v>4000</v>
      </c>
    </row>
    <row r="7" spans="1:17" x14ac:dyDescent="0.4">
      <c r="A7" s="51" t="s">
        <v>2</v>
      </c>
      <c r="B7" s="44">
        <v>175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360</v>
      </c>
      <c r="H7" s="129">
        <f>IF(B$17=0,0,G7/B$17)</f>
        <v>0.28279654359780049</v>
      </c>
      <c r="I7" s="90">
        <v>7</v>
      </c>
      <c r="K7" s="36">
        <v>5</v>
      </c>
      <c r="L7" s="95">
        <v>-11.299999999999997</v>
      </c>
      <c r="N7" s="112" t="s">
        <v>135</v>
      </c>
      <c r="O7" s="119">
        <f t="shared" si="0"/>
        <v>14.005602240896359</v>
      </c>
      <c r="P7" s="116">
        <v>357</v>
      </c>
      <c r="Q7" s="100">
        <v>5000</v>
      </c>
    </row>
    <row r="8" spans="1:17" x14ac:dyDescent="0.4">
      <c r="A8" s="51" t="s">
        <v>3</v>
      </c>
      <c r="B8" s="44">
        <v>175</v>
      </c>
      <c r="C8" s="37">
        <f t="shared" si="1"/>
        <v>0.33333333333333331</v>
      </c>
      <c r="E8" s="59" t="s">
        <v>69</v>
      </c>
      <c r="F8" s="56" t="s">
        <v>24</v>
      </c>
      <c r="G8" s="44">
        <v>193</v>
      </c>
      <c r="H8" s="129">
        <f>IF(B$17=0,0,G8/B$17)</f>
        <v>0.15161036920659859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175</v>
      </c>
      <c r="C9" s="38">
        <f t="shared" si="1"/>
        <v>0.33333333333333331</v>
      </c>
      <c r="E9" s="59" t="s">
        <v>89</v>
      </c>
      <c r="F9" s="56" t="s">
        <v>44</v>
      </c>
      <c r="G9" s="44">
        <v>166</v>
      </c>
      <c r="H9" s="129">
        <f>IF(B$17=0,0,G9/B$17)</f>
        <v>0.13040062843676356</v>
      </c>
      <c r="I9" s="90">
        <v>6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49</v>
      </c>
      <c r="C10" s="38">
        <f t="shared" si="1"/>
        <v>9.3333333333333338E-2</v>
      </c>
      <c r="E10" s="59" t="s">
        <v>65</v>
      </c>
      <c r="F10" s="56" t="s">
        <v>21</v>
      </c>
      <c r="G10" s="44">
        <v>132</v>
      </c>
      <c r="H10" s="129">
        <f>IF(B$17=0,0,G10/B$17)</f>
        <v>0.10369206598586017</v>
      </c>
      <c r="I10" s="90">
        <v>7</v>
      </c>
      <c r="K10" s="36">
        <v>8</v>
      </c>
      <c r="L10" s="95">
        <v>-46.9</v>
      </c>
      <c r="N10" s="110" t="s">
        <v>162</v>
      </c>
      <c r="O10" s="120">
        <f>IF(P10=0,0,Q10/P10)</f>
        <v>-0.4794285714285717</v>
      </c>
      <c r="P10" s="114">
        <v>175</v>
      </c>
      <c r="Q10" s="102">
        <v>-83.900000000000048</v>
      </c>
    </row>
    <row r="11" spans="1:17" x14ac:dyDescent="0.4">
      <c r="A11" s="52" t="s">
        <v>138</v>
      </c>
      <c r="B11" s="45">
        <v>49</v>
      </c>
      <c r="C11" s="38">
        <f t="shared" si="1"/>
        <v>9.3333333333333338E-2</v>
      </c>
      <c r="E11" s="59" t="s">
        <v>70</v>
      </c>
      <c r="F11" s="56" t="s">
        <v>25</v>
      </c>
      <c r="G11" s="44">
        <v>121</v>
      </c>
      <c r="H11" s="129">
        <f>IF(B$17=0,0,G11/B$17)</f>
        <v>9.5051060487038486E-2</v>
      </c>
      <c r="I11" s="90">
        <v>6</v>
      </c>
      <c r="K11" s="36">
        <v>9</v>
      </c>
      <c r="L11" s="95">
        <v>0</v>
      </c>
      <c r="N11" s="111" t="s">
        <v>163</v>
      </c>
      <c r="O11" s="121">
        <f>IF(P11=0,0,Q11/P11)</f>
        <v>1.8759999999999997</v>
      </c>
      <c r="P11" s="115">
        <v>175</v>
      </c>
      <c r="Q11" s="103">
        <v>328.29999999999995</v>
      </c>
    </row>
    <row r="12" spans="1:17" x14ac:dyDescent="0.4">
      <c r="A12" s="53" t="s">
        <v>158</v>
      </c>
      <c r="B12" s="46">
        <v>53</v>
      </c>
      <c r="C12" s="40">
        <f t="shared" si="1"/>
        <v>0.10095238095238095</v>
      </c>
      <c r="E12" s="59" t="s">
        <v>71</v>
      </c>
      <c r="F12" s="56" t="s">
        <v>26</v>
      </c>
      <c r="G12" s="44">
        <v>100</v>
      </c>
      <c r="H12" s="129">
        <f>IF(B$17=0,0,G12/B$17)</f>
        <v>7.8554595443833461E-2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-1.3965714285714292</v>
      </c>
      <c r="P12" s="116">
        <v>175</v>
      </c>
      <c r="Q12" s="104">
        <v>-244.40000000000012</v>
      </c>
    </row>
    <row r="13" spans="1:17" x14ac:dyDescent="0.4">
      <c r="A13" s="54" t="s">
        <v>121</v>
      </c>
      <c r="B13" s="47">
        <v>1097</v>
      </c>
      <c r="C13" s="42">
        <f>IF(B$3=0,0,B13/B$3)</f>
        <v>0.25358298659269535</v>
      </c>
      <c r="E13" s="59" t="s">
        <v>83</v>
      </c>
      <c r="F13" s="56" t="s">
        <v>38</v>
      </c>
      <c r="G13" s="44">
        <v>69</v>
      </c>
      <c r="H13" s="129">
        <f>IF(B$17=0,0,G13/B$17)</f>
        <v>5.420267085624509E-2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1000</v>
      </c>
      <c r="C14" s="37">
        <f>IF(B$3=0,0,B14/B$3)</f>
        <v>0.23116042533518261</v>
      </c>
      <c r="E14" s="59" t="s">
        <v>86</v>
      </c>
      <c r="F14" s="56" t="s">
        <v>41</v>
      </c>
      <c r="G14" s="44">
        <v>63</v>
      </c>
      <c r="H14" s="129">
        <f>IF(B$17=0,0,G14/B$17)</f>
        <v>4.9489395129615081E-2</v>
      </c>
      <c r="I14" s="90">
        <v>6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612</v>
      </c>
      <c r="C15" s="35">
        <f>IF(B$13=0,0,B15/B$13)</f>
        <v>0.55788514129443934</v>
      </c>
      <c r="E15" s="59" t="s">
        <v>78</v>
      </c>
      <c r="F15" s="56" t="s">
        <v>33</v>
      </c>
      <c r="G15" s="44">
        <v>33</v>
      </c>
      <c r="H15" s="129">
        <f>IF(B$17=0,0,G15/B$17)</f>
        <v>2.5923016496465043E-2</v>
      </c>
      <c r="I15" s="90">
        <v>5</v>
      </c>
      <c r="K15" s="36">
        <v>13</v>
      </c>
      <c r="L15" s="95">
        <v>-1.7</v>
      </c>
      <c r="N15" s="110" t="s">
        <v>182</v>
      </c>
      <c r="O15" s="120">
        <f>IF(P15=0,0,Q15/P15)</f>
        <v>22.891935483870952</v>
      </c>
      <c r="P15" s="114">
        <v>62</v>
      </c>
      <c r="Q15" s="102">
        <v>1419.299999999999</v>
      </c>
    </row>
    <row r="16" spans="1:17" x14ac:dyDescent="0.4">
      <c r="A16" s="50" t="s">
        <v>124</v>
      </c>
      <c r="B16" s="43">
        <v>409</v>
      </c>
      <c r="C16" s="35">
        <f>IF(B$14=0,0,B16/B$14)</f>
        <v>0.40899999999999997</v>
      </c>
      <c r="E16" s="59" t="s">
        <v>167</v>
      </c>
      <c r="F16" s="56" t="s">
        <v>168</v>
      </c>
      <c r="G16" s="44">
        <v>32</v>
      </c>
      <c r="H16" s="129">
        <f>IF(B$17=0,0,G16/B$17)</f>
        <v>2.513747054202671E-2</v>
      </c>
      <c r="I16" s="90">
        <v>3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1273</v>
      </c>
      <c r="C17" s="35">
        <f>IF(B$3=0,0,B17/B$3)</f>
        <v>0.29426722145168749</v>
      </c>
      <c r="E17" s="59" t="s">
        <v>81</v>
      </c>
      <c r="F17" s="56" t="s">
        <v>36</v>
      </c>
      <c r="G17" s="44">
        <v>22</v>
      </c>
      <c r="H17" s="129">
        <f>IF(B$17=0,0,G17/B$17)</f>
        <v>1.7282010997643361E-2</v>
      </c>
      <c r="I17" s="90">
        <v>7</v>
      </c>
      <c r="K17" s="36">
        <v>15</v>
      </c>
      <c r="L17" s="95">
        <v>0</v>
      </c>
      <c r="N17" s="111" t="s">
        <v>179</v>
      </c>
      <c r="O17" s="121">
        <f>IF(P17=0,0,Q17/P17)</f>
        <v>10.888095238095239</v>
      </c>
      <c r="P17" s="115">
        <v>126</v>
      </c>
      <c r="Q17" s="103">
        <v>1371.9</v>
      </c>
    </row>
    <row r="18" spans="1:17" x14ac:dyDescent="0.4">
      <c r="A18" s="51" t="s">
        <v>12</v>
      </c>
      <c r="B18" s="44">
        <v>558</v>
      </c>
      <c r="C18" s="37">
        <f>IF(B$17=0,0,B18/B$17)</f>
        <v>0.43833464257659072</v>
      </c>
      <c r="E18" s="59" t="s">
        <v>91</v>
      </c>
      <c r="F18" s="56" t="s">
        <v>46</v>
      </c>
      <c r="G18" s="44">
        <v>17</v>
      </c>
      <c r="H18" s="129">
        <f>IF(B$17=0,0,G18/B$17)</f>
        <v>1.3354281225451689E-2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>IF(P18=0,0,Q18/P18)</f>
        <v>4.7576086956521717</v>
      </c>
      <c r="P18" s="115">
        <v>92</v>
      </c>
      <c r="Q18" s="103">
        <v>437.69999999999976</v>
      </c>
    </row>
    <row r="19" spans="1:17" x14ac:dyDescent="0.4">
      <c r="A19" s="51" t="s">
        <v>11</v>
      </c>
      <c r="B19" s="44">
        <v>715</v>
      </c>
      <c r="C19" s="37">
        <f>IF(B$17=0,0,B19/B$17)</f>
        <v>0.56166535742340928</v>
      </c>
      <c r="E19" s="59" t="s">
        <v>79</v>
      </c>
      <c r="F19" s="56" t="s">
        <v>34</v>
      </c>
      <c r="G19" s="44">
        <v>16</v>
      </c>
      <c r="H19" s="129">
        <f>IF(B$17=0,0,G19/B$17)</f>
        <v>1.2568735271013355E-2</v>
      </c>
      <c r="I19" s="90">
        <v>5</v>
      </c>
      <c r="K19" s="36">
        <v>17</v>
      </c>
      <c r="L19" s="95">
        <v>-20.5</v>
      </c>
      <c r="N19" s="111" t="s">
        <v>178</v>
      </c>
      <c r="O19" s="121">
        <f>IF(P19=0,0,Q19/P19)</f>
        <v>0.98965517241379208</v>
      </c>
      <c r="P19" s="115">
        <v>174</v>
      </c>
      <c r="Q19" s="103">
        <v>172.19999999999982</v>
      </c>
    </row>
    <row r="20" spans="1:17" x14ac:dyDescent="0.4">
      <c r="A20" s="51" t="s">
        <v>13</v>
      </c>
      <c r="B20" s="44">
        <v>708</v>
      </c>
      <c r="C20" s="37">
        <f>IF(B$3=0,0,B20/B$3)</f>
        <v>0.1636615811373093</v>
      </c>
      <c r="E20" s="59" t="s">
        <v>75</v>
      </c>
      <c r="F20" s="56" t="s">
        <v>30</v>
      </c>
      <c r="G20" s="44">
        <v>9</v>
      </c>
      <c r="H20" s="129">
        <f>IF(B$17=0,0,G20/B$17)</f>
        <v>7.0699135899450118E-3</v>
      </c>
      <c r="I20" s="90">
        <v>5</v>
      </c>
      <c r="K20" s="36">
        <v>18</v>
      </c>
      <c r="L20" s="95">
        <v>0</v>
      </c>
      <c r="N20" s="111" t="s">
        <v>181</v>
      </c>
      <c r="O20" s="121">
        <f>IF(P20=0,0,Q20/P20)</f>
        <v>0.9204545454545453</v>
      </c>
      <c r="P20" s="115">
        <v>44</v>
      </c>
      <c r="Q20" s="103">
        <v>40.499999999999993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7</v>
      </c>
      <c r="H21" s="129">
        <f>IF(B$17=0,0,G21/B$17)</f>
        <v>5.4988216810683424E-3</v>
      </c>
      <c r="I21" s="90">
        <v>3</v>
      </c>
      <c r="K21" s="36">
        <v>19</v>
      </c>
      <c r="L21" s="95">
        <v>-22.4</v>
      </c>
      <c r="N21" s="111" t="s">
        <v>127</v>
      </c>
      <c r="O21" s="121">
        <f>IF(P21=0,0,Q21/P21)</f>
        <v>-0.20100000000000617</v>
      </c>
      <c r="P21" s="115">
        <v>200</v>
      </c>
      <c r="Q21" s="103">
        <v>-40.200000000001232</v>
      </c>
    </row>
    <row r="22" spans="1:17" x14ac:dyDescent="0.4">
      <c r="A22" s="51" t="s">
        <v>170</v>
      </c>
      <c r="B22" s="44">
        <v>31</v>
      </c>
      <c r="C22" s="131">
        <v>7</v>
      </c>
      <c r="E22" s="59" t="s">
        <v>74</v>
      </c>
      <c r="F22" s="56" t="s">
        <v>29</v>
      </c>
      <c r="G22" s="44">
        <v>6</v>
      </c>
      <c r="H22" s="129">
        <f>IF(B$17=0,0,G22/B$17)</f>
        <v>4.7132757266300082E-3</v>
      </c>
      <c r="I22" s="90">
        <v>5</v>
      </c>
      <c r="K22" s="36">
        <v>20</v>
      </c>
      <c r="L22" s="95">
        <v>-61.199999999999996</v>
      </c>
      <c r="N22" s="111" t="s">
        <v>177</v>
      </c>
      <c r="O22" s="121">
        <f>IF(P22=0,0,Q22/P22)</f>
        <v>-7.9862068965517237</v>
      </c>
      <c r="P22" s="115">
        <v>116</v>
      </c>
      <c r="Q22" s="103">
        <v>-926.4</v>
      </c>
    </row>
    <row r="23" spans="1:17" x14ac:dyDescent="0.4">
      <c r="A23" s="51" t="s">
        <v>5</v>
      </c>
      <c r="B23" s="48">
        <f>IF(B$17=0,0,C23/B$17)</f>
        <v>8410.1335428122547</v>
      </c>
      <c r="C23" s="39">
        <v>10706100</v>
      </c>
      <c r="E23" s="59" t="s">
        <v>77</v>
      </c>
      <c r="F23" s="56" t="s">
        <v>32</v>
      </c>
      <c r="G23" s="44">
        <v>5</v>
      </c>
      <c r="H23" s="129">
        <f>IF(B$17=0,0,G23/B$17)</f>
        <v>3.927729772191673E-3</v>
      </c>
      <c r="I23" s="90">
        <v>4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-12.434862385321095</v>
      </c>
      <c r="P23" s="115">
        <v>218</v>
      </c>
      <c r="Q23" s="103">
        <v>-2710.7999999999988</v>
      </c>
    </row>
    <row r="24" spans="1:17" x14ac:dyDescent="0.4">
      <c r="A24" s="52" t="s">
        <v>216</v>
      </c>
      <c r="B24" s="136">
        <f>IF($B$17-B$16=0,0,C24/($B$17-B$16))</f>
        <v>8913.4259259259252</v>
      </c>
      <c r="C24" s="137">
        <v>7701200</v>
      </c>
      <c r="E24" s="59" t="s">
        <v>85</v>
      </c>
      <c r="F24" s="56" t="s">
        <v>40</v>
      </c>
      <c r="G24" s="44">
        <v>5</v>
      </c>
      <c r="H24" s="129">
        <f>IF(B$17=0,0,G24/B$17)</f>
        <v>3.927729772191673E-3</v>
      </c>
      <c r="I24" s="90">
        <v>5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7346.9437652811739</v>
      </c>
      <c r="C25" s="137">
        <v>3004900</v>
      </c>
      <c r="E25" s="59" t="s">
        <v>88</v>
      </c>
      <c r="F25" s="56" t="s">
        <v>43</v>
      </c>
      <c r="G25" s="44">
        <v>5</v>
      </c>
      <c r="H25" s="129">
        <f>IF(B$17=0,0,G25/B$17)</f>
        <v>3.927729772191673E-3</v>
      </c>
      <c r="I25" s="90">
        <v>4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-7842.9378531073444</v>
      </c>
      <c r="C26" s="137">
        <v>-5552800</v>
      </c>
      <c r="E26" s="59" t="s">
        <v>73</v>
      </c>
      <c r="F26" s="56" t="s">
        <v>28</v>
      </c>
      <c r="G26" s="44">
        <v>4</v>
      </c>
      <c r="H26" s="129">
        <f>IF(B$17=0,0,G26/B$17)</f>
        <v>3.1421838177533388E-3</v>
      </c>
      <c r="I26" s="90">
        <v>3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4</v>
      </c>
      <c r="H27" s="129">
        <f>IF(B$17=0,0,G27/B$17)</f>
        <v>3.1421838177533388E-3</v>
      </c>
      <c r="I27" s="90">
        <v>3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149100</v>
      </c>
      <c r="C28" s="141"/>
      <c r="E28" s="59" t="s">
        <v>93</v>
      </c>
      <c r="F28" s="56" t="s">
        <v>48</v>
      </c>
      <c r="G28" s="44">
        <v>3</v>
      </c>
      <c r="H28" s="129">
        <f>IF(B$17=0,0,G28/B$17)</f>
        <v>2.3566378633150041E-3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14</v>
      </c>
      <c r="C29" s="40">
        <f>IF(B$3=0,0,B29/B$3)</f>
        <v>3.2362459546925568E-3</v>
      </c>
      <c r="E29" s="59" t="s">
        <v>95</v>
      </c>
      <c r="F29" s="56" t="s">
        <v>50</v>
      </c>
      <c r="G29" s="44">
        <v>3</v>
      </c>
      <c r="H29" s="129">
        <f>IF(B$17=0,0,G29/B$17)</f>
        <v>2.3566378633150041E-3</v>
      </c>
      <c r="I29" s="90">
        <v>4</v>
      </c>
      <c r="K29" s="36">
        <v>27</v>
      </c>
      <c r="L29" s="95">
        <v>6.7723604502134549E-15</v>
      </c>
    </row>
    <row r="30" spans="1:17" x14ac:dyDescent="0.4">
      <c r="E30" s="59" t="s">
        <v>87</v>
      </c>
      <c r="F30" s="56" t="s">
        <v>42</v>
      </c>
      <c r="G30" s="44">
        <v>2</v>
      </c>
      <c r="H30" s="129">
        <f>IF(B$17=0,0,G30/B$17)</f>
        <v>1.5710919088766694E-3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90</v>
      </c>
      <c r="F31" s="56" t="s">
        <v>45</v>
      </c>
      <c r="G31" s="44">
        <v>2</v>
      </c>
      <c r="H31" s="129">
        <f>IF(B$17=0,0,G31/B$17)</f>
        <v>1.5710919088766694E-3</v>
      </c>
      <c r="I31" s="90">
        <v>3</v>
      </c>
      <c r="K31" s="36">
        <v>29</v>
      </c>
      <c r="L31" s="95">
        <v>-2.3999999999999915</v>
      </c>
    </row>
    <row r="32" spans="1:17" x14ac:dyDescent="0.4">
      <c r="E32" s="59" t="s">
        <v>97</v>
      </c>
      <c r="F32" s="56" t="s">
        <v>52</v>
      </c>
      <c r="G32" s="44">
        <v>1</v>
      </c>
      <c r="H32" s="129">
        <f>IF(B$17=0,0,G32/B$17)</f>
        <v>7.855459544383347E-4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101</v>
      </c>
      <c r="F33" s="56" t="s">
        <v>56</v>
      </c>
      <c r="G33" s="44">
        <v>1</v>
      </c>
      <c r="H33" s="129">
        <f>IF(B$17=0,0,G33/B$17)</f>
        <v>7.855459544383347E-4</v>
      </c>
      <c r="I33" s="90">
        <v>2</v>
      </c>
      <c r="K33" s="36">
        <v>31</v>
      </c>
      <c r="L33" s="95">
        <v>12.500000000000009</v>
      </c>
    </row>
    <row r="34" spans="5:12" x14ac:dyDescent="0.4">
      <c r="E34" s="59" t="s">
        <v>106</v>
      </c>
      <c r="F34" s="56" t="s">
        <v>113</v>
      </c>
      <c r="G34" s="44">
        <v>1</v>
      </c>
      <c r="H34" s="129">
        <f>IF(B$17=0,0,G34/B$17)</f>
        <v>7.855459544383347E-4</v>
      </c>
      <c r="I34" s="90">
        <v>2</v>
      </c>
      <c r="K34" s="36">
        <v>32</v>
      </c>
      <c r="L34" s="95">
        <v>47.300000000000004</v>
      </c>
    </row>
    <row r="35" spans="5:12" x14ac:dyDescent="0.4">
      <c r="E35" s="59" t="s">
        <v>76</v>
      </c>
      <c r="F35" s="56" t="s">
        <v>31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80</v>
      </c>
      <c r="F36" s="56" t="s">
        <v>35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82</v>
      </c>
      <c r="F37" s="56" t="s">
        <v>37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94</v>
      </c>
      <c r="F38" s="56" t="s">
        <v>49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96</v>
      </c>
      <c r="F39" s="56" t="s">
        <v>51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98</v>
      </c>
      <c r="F40" s="56" t="s">
        <v>53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99</v>
      </c>
      <c r="F41" s="56" t="s">
        <v>54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100</v>
      </c>
      <c r="F42" s="56" t="s">
        <v>55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16.999999999999943</v>
      </c>
    </row>
    <row r="523" spans="11:12" x14ac:dyDescent="0.4">
      <c r="K523" s="36">
        <v>521</v>
      </c>
      <c r="L523" s="95">
        <v>-6.6000000000000583</v>
      </c>
    </row>
    <row r="524" spans="11:12" x14ac:dyDescent="0.4">
      <c r="K524" s="36">
        <v>522</v>
      </c>
      <c r="L524" s="95">
        <v>-5.8619775700208265E-14</v>
      </c>
    </row>
    <row r="525" spans="11:12" x14ac:dyDescent="0.4">
      <c r="K525" s="36">
        <v>523</v>
      </c>
      <c r="L525" s="95">
        <v>3.1999999999999416</v>
      </c>
    </row>
    <row r="526" spans="11:12" x14ac:dyDescent="0.4">
      <c r="K526" s="36">
        <v>524</v>
      </c>
      <c r="L526" s="95">
        <v>-26.400000000000059</v>
      </c>
    </row>
    <row r="527" spans="11:12" x14ac:dyDescent="0.4">
      <c r="K527" s="36">
        <v>525</v>
      </c>
      <c r="L527" s="95">
        <v>-6.0396132539608516E-14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AC2E2-DE1E-4398-B12E-32C7F5CC7D46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46</v>
      </c>
      <c r="C2" s="149"/>
      <c r="E2" s="58" t="s">
        <v>66</v>
      </c>
      <c r="F2" s="55" t="s">
        <v>22</v>
      </c>
      <c r="G2" s="43">
        <v>71</v>
      </c>
      <c r="H2" s="128">
        <f>IF(B$17=0,0,G2/B$17)</f>
        <v>0.66355140186915884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1384.7826086956522</v>
      </c>
      <c r="P2" s="114">
        <v>46</v>
      </c>
      <c r="Q2" s="98">
        <v>63700</v>
      </c>
    </row>
    <row r="3" spans="1:17" x14ac:dyDescent="0.4">
      <c r="A3" s="51" t="s">
        <v>8</v>
      </c>
      <c r="B3" s="150">
        <v>401</v>
      </c>
      <c r="C3" s="151"/>
      <c r="E3" s="59" t="s">
        <v>72</v>
      </c>
      <c r="F3" s="56" t="s">
        <v>27</v>
      </c>
      <c r="G3" s="44">
        <v>53</v>
      </c>
      <c r="H3" s="129">
        <f>IF(B$17=0,0,G3/B$17)</f>
        <v>0.49532710280373832</v>
      </c>
      <c r="I3" s="90">
        <v>8</v>
      </c>
      <c r="K3" s="36">
        <v>1</v>
      </c>
      <c r="L3" s="95">
        <v>-4.5999999999999996</v>
      </c>
      <c r="N3" s="111" t="s">
        <v>131</v>
      </c>
      <c r="O3" s="118">
        <f t="shared" si="0"/>
        <v>-1100</v>
      </c>
      <c r="P3" s="115">
        <v>45</v>
      </c>
      <c r="Q3" s="99">
        <v>-49500</v>
      </c>
    </row>
    <row r="4" spans="1:17" x14ac:dyDescent="0.4">
      <c r="A4" s="51" t="s">
        <v>6</v>
      </c>
      <c r="B4" s="152">
        <v>-145.90000000000006</v>
      </c>
      <c r="C4" s="153"/>
      <c r="E4" s="59" t="s">
        <v>171</v>
      </c>
      <c r="F4" s="56" t="s">
        <v>172</v>
      </c>
      <c r="G4" s="44">
        <v>41</v>
      </c>
      <c r="H4" s="129">
        <f>IF(B$17=0,0,G4/B$17)</f>
        <v>0.38317757009345793</v>
      </c>
      <c r="I4" s="90">
        <v>5</v>
      </c>
      <c r="K4" s="36">
        <v>2</v>
      </c>
      <c r="L4" s="95">
        <v>19.899999999999999</v>
      </c>
      <c r="N4" s="111" t="s">
        <v>132</v>
      </c>
      <c r="O4" s="118">
        <f t="shared" si="0"/>
        <v>-1309.3023255813953</v>
      </c>
      <c r="P4" s="115">
        <v>43</v>
      </c>
      <c r="Q4" s="99">
        <v>-56300</v>
      </c>
    </row>
    <row r="5" spans="1:17" x14ac:dyDescent="0.4">
      <c r="A5" s="51" t="s">
        <v>7</v>
      </c>
      <c r="B5" s="154">
        <f>IF(B$2=0,0,B$4/B$2)</f>
        <v>-3.1717391304347839</v>
      </c>
      <c r="C5" s="155"/>
      <c r="E5" s="59" t="s">
        <v>68</v>
      </c>
      <c r="F5" s="56" t="s">
        <v>12</v>
      </c>
      <c r="G5" s="44">
        <v>32</v>
      </c>
      <c r="H5" s="129">
        <f>IF(B$17=0,0,G5/B$17)</f>
        <v>0.29906542056074764</v>
      </c>
      <c r="I5" s="90">
        <v>6</v>
      </c>
      <c r="K5" s="36">
        <v>3</v>
      </c>
      <c r="L5" s="95">
        <v>-8.3000000000000007</v>
      </c>
      <c r="N5" s="111" t="s">
        <v>133</v>
      </c>
      <c r="O5" s="118">
        <f t="shared" si="0"/>
        <v>-1354.7619047619048</v>
      </c>
      <c r="P5" s="115">
        <v>42</v>
      </c>
      <c r="Q5" s="99">
        <v>-56900</v>
      </c>
    </row>
    <row r="6" spans="1:17" x14ac:dyDescent="0.4">
      <c r="A6" s="51" t="s">
        <v>1</v>
      </c>
      <c r="B6" s="144">
        <f>IF(B$2=0,0,(B$7*1+B$8*2+B$9*3)/B$2)</f>
        <v>2.0652173913043477</v>
      </c>
      <c r="C6" s="145"/>
      <c r="E6" s="59" t="s">
        <v>64</v>
      </c>
      <c r="F6" s="56" t="s">
        <v>20</v>
      </c>
      <c r="G6" s="44">
        <v>30</v>
      </c>
      <c r="H6" s="129">
        <f>IF(B$17=0,0,G6/B$17)</f>
        <v>0.28037383177570091</v>
      </c>
      <c r="I6" s="90">
        <v>11</v>
      </c>
      <c r="K6" s="36">
        <v>4</v>
      </c>
      <c r="L6" s="95">
        <v>-30.7</v>
      </c>
      <c r="N6" s="111" t="s">
        <v>134</v>
      </c>
      <c r="O6" s="118">
        <f t="shared" si="0"/>
        <v>785.71428571428567</v>
      </c>
      <c r="P6" s="115">
        <v>42</v>
      </c>
      <c r="Q6" s="99">
        <v>33000</v>
      </c>
    </row>
    <row r="7" spans="1:17" x14ac:dyDescent="0.4">
      <c r="A7" s="51" t="s">
        <v>2</v>
      </c>
      <c r="B7" s="44">
        <v>16</v>
      </c>
      <c r="C7" s="37">
        <f t="shared" ref="C7:C12" si="1">IF(B$2=0,0,B7/B$2)</f>
        <v>0.34782608695652173</v>
      </c>
      <c r="E7" s="59" t="s">
        <v>69</v>
      </c>
      <c r="F7" s="56" t="s">
        <v>24</v>
      </c>
      <c r="G7" s="44">
        <v>24</v>
      </c>
      <c r="H7" s="129">
        <f>IF(B$17=0,0,G7/B$17)</f>
        <v>0.22429906542056074</v>
      </c>
      <c r="I7" s="90">
        <v>2</v>
      </c>
      <c r="K7" s="36">
        <v>5</v>
      </c>
      <c r="L7" s="95">
        <v>-55.8</v>
      </c>
      <c r="N7" s="112" t="s">
        <v>135</v>
      </c>
      <c r="O7" s="119">
        <f t="shared" si="0"/>
        <v>-1438.8888888888889</v>
      </c>
      <c r="P7" s="116">
        <v>36</v>
      </c>
      <c r="Q7" s="100">
        <v>-51800</v>
      </c>
    </row>
    <row r="8" spans="1:17" x14ac:dyDescent="0.4">
      <c r="A8" s="51" t="s">
        <v>3</v>
      </c>
      <c r="B8" s="44">
        <v>11</v>
      </c>
      <c r="C8" s="37">
        <f t="shared" si="1"/>
        <v>0.2391304347826087</v>
      </c>
      <c r="E8" s="59" t="s">
        <v>70</v>
      </c>
      <c r="F8" s="56" t="s">
        <v>25</v>
      </c>
      <c r="G8" s="44">
        <v>17</v>
      </c>
      <c r="H8" s="129">
        <f>IF(B$17=0,0,G8/B$17)</f>
        <v>0.15887850467289719</v>
      </c>
      <c r="I8" s="90">
        <v>2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19</v>
      </c>
      <c r="C9" s="38">
        <f t="shared" si="1"/>
        <v>0.41304347826086957</v>
      </c>
      <c r="E9" s="59" t="s">
        <v>67</v>
      </c>
      <c r="F9" s="56" t="s">
        <v>23</v>
      </c>
      <c r="G9" s="44">
        <v>15</v>
      </c>
      <c r="H9" s="129">
        <f>IF(B$17=0,0,G9/B$17)</f>
        <v>0.14018691588785046</v>
      </c>
      <c r="I9" s="90">
        <v>11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</v>
      </c>
      <c r="C10" s="38">
        <f t="shared" si="1"/>
        <v>2.1739130434782608E-2</v>
      </c>
      <c r="E10" s="59" t="s">
        <v>71</v>
      </c>
      <c r="F10" s="56" t="s">
        <v>26</v>
      </c>
      <c r="G10" s="44">
        <v>11</v>
      </c>
      <c r="H10" s="129">
        <f>IF(B$17=0,0,G10/B$17)</f>
        <v>0.10280373831775701</v>
      </c>
      <c r="I10" s="90">
        <v>4</v>
      </c>
      <c r="K10" s="36">
        <v>8</v>
      </c>
      <c r="L10" s="95">
        <v>-76.900000000000006</v>
      </c>
      <c r="N10" s="110" t="s">
        <v>162</v>
      </c>
      <c r="O10" s="120">
        <f>IF(P10=0,0,Q10/P10)</f>
        <v>-4.6466666666666656</v>
      </c>
      <c r="P10" s="114">
        <v>15</v>
      </c>
      <c r="Q10" s="102">
        <v>-69.699999999999989</v>
      </c>
    </row>
    <row r="11" spans="1:17" x14ac:dyDescent="0.4">
      <c r="A11" s="52" t="s">
        <v>138</v>
      </c>
      <c r="B11" s="45">
        <v>2</v>
      </c>
      <c r="C11" s="38">
        <f t="shared" si="1"/>
        <v>4.3478260869565216E-2</v>
      </c>
      <c r="E11" s="59" t="s">
        <v>83</v>
      </c>
      <c r="F11" s="56" t="s">
        <v>38</v>
      </c>
      <c r="G11" s="44">
        <v>10</v>
      </c>
      <c r="H11" s="129">
        <f>IF(B$17=0,0,G11/B$17)</f>
        <v>9.3457943925233641E-2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-1.7142857142857133</v>
      </c>
      <c r="P11" s="115">
        <v>14</v>
      </c>
      <c r="Q11" s="103">
        <v>-23.999999999999986</v>
      </c>
    </row>
    <row r="12" spans="1:17" x14ac:dyDescent="0.4">
      <c r="A12" s="53" t="s">
        <v>158</v>
      </c>
      <c r="B12" s="46">
        <v>7</v>
      </c>
      <c r="C12" s="40">
        <f t="shared" si="1"/>
        <v>0.15217391304347827</v>
      </c>
      <c r="E12" s="59" t="s">
        <v>65</v>
      </c>
      <c r="F12" s="56" t="s">
        <v>21</v>
      </c>
      <c r="G12" s="44">
        <v>8</v>
      </c>
      <c r="H12" s="129">
        <f>IF(B$17=0,0,G12/B$17)</f>
        <v>7.476635514018691E-2</v>
      </c>
      <c r="I12" s="90">
        <v>9</v>
      </c>
      <c r="K12" s="36">
        <v>10</v>
      </c>
      <c r="L12" s="95">
        <v>-32.700000000000003</v>
      </c>
      <c r="N12" s="112" t="s">
        <v>164</v>
      </c>
      <c r="O12" s="122">
        <f>IF(P12=0,0,Q12/P12)</f>
        <v>-3.070588235294117</v>
      </c>
      <c r="P12" s="116">
        <v>17</v>
      </c>
      <c r="Q12" s="104">
        <v>-52.199999999999989</v>
      </c>
    </row>
    <row r="13" spans="1:17" x14ac:dyDescent="0.4">
      <c r="A13" s="54" t="s">
        <v>121</v>
      </c>
      <c r="B13" s="47">
        <v>61</v>
      </c>
      <c r="C13" s="42">
        <f>IF(B$3=0,0,B13/B$3)</f>
        <v>0.15211970074812967</v>
      </c>
      <c r="E13" s="59" t="s">
        <v>89</v>
      </c>
      <c r="F13" s="56" t="s">
        <v>44</v>
      </c>
      <c r="G13" s="44">
        <v>7</v>
      </c>
      <c r="H13" s="129">
        <f>IF(B$17=0,0,G13/B$17)</f>
        <v>6.5420560747663545E-2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94</v>
      </c>
      <c r="C14" s="37">
        <f>IF(B$3=0,0,B14/B$3)</f>
        <v>0.23441396508728179</v>
      </c>
      <c r="E14" s="59" t="s">
        <v>81</v>
      </c>
      <c r="F14" s="56" t="s">
        <v>36</v>
      </c>
      <c r="G14" s="44">
        <v>4</v>
      </c>
      <c r="H14" s="129">
        <f>IF(B$17=0,0,G14/B$17)</f>
        <v>3.7383177570093455E-2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31</v>
      </c>
      <c r="C15" s="35">
        <f>IF(B$13=0,0,B15/B$13)</f>
        <v>0.50819672131147542</v>
      </c>
      <c r="E15" s="59" t="s">
        <v>86</v>
      </c>
      <c r="F15" s="56" t="s">
        <v>41</v>
      </c>
      <c r="G15" s="44">
        <v>3</v>
      </c>
      <c r="H15" s="129">
        <f>IF(B$17=0,0,G15/B$17)</f>
        <v>2.8037383177570093E-2</v>
      </c>
      <c r="I15" s="90">
        <v>9</v>
      </c>
      <c r="K15" s="36">
        <v>13</v>
      </c>
      <c r="L15" s="95">
        <v>-66.2</v>
      </c>
      <c r="N15" s="110" t="s">
        <v>181</v>
      </c>
      <c r="O15" s="120">
        <f t="shared" ref="O15:O21" si="2">IF(P15=0,0,Q15/P15)</f>
        <v>7.4333333333333345</v>
      </c>
      <c r="P15" s="114">
        <v>6</v>
      </c>
      <c r="Q15" s="102">
        <v>44.600000000000009</v>
      </c>
    </row>
    <row r="16" spans="1:17" x14ac:dyDescent="0.4">
      <c r="A16" s="50" t="s">
        <v>124</v>
      </c>
      <c r="B16" s="43">
        <v>34</v>
      </c>
      <c r="C16" s="35">
        <f>IF(B$14=0,0,B16/B$14)</f>
        <v>0.36170212765957449</v>
      </c>
      <c r="E16" s="59" t="s">
        <v>91</v>
      </c>
      <c r="F16" s="56" t="s">
        <v>46</v>
      </c>
      <c r="G16" s="44">
        <v>3</v>
      </c>
      <c r="H16" s="129">
        <f>IF(B$17=0,0,G16/B$17)</f>
        <v>2.8037383177570093E-2</v>
      </c>
      <c r="I16" s="90">
        <v>2</v>
      </c>
      <c r="K16" s="36">
        <v>14</v>
      </c>
      <c r="L16" s="95">
        <v>-51.1</v>
      </c>
      <c r="N16" s="111" t="s">
        <v>127</v>
      </c>
      <c r="O16" s="121">
        <f t="shared" si="2"/>
        <v>-0.24285714285714377</v>
      </c>
      <c r="P16" s="115">
        <v>21</v>
      </c>
      <c r="Q16" s="103">
        <v>-5.1000000000000192</v>
      </c>
    </row>
    <row r="17" spans="1:17" x14ac:dyDescent="0.4">
      <c r="A17" s="50" t="s">
        <v>10</v>
      </c>
      <c r="B17" s="43">
        <f>B19+B18</f>
        <v>107</v>
      </c>
      <c r="C17" s="35">
        <f>IF(B$3=0,0,B17/B$3)</f>
        <v>0.26683291770573564</v>
      </c>
      <c r="E17" s="59" t="s">
        <v>88</v>
      </c>
      <c r="F17" s="56" t="s">
        <v>43</v>
      </c>
      <c r="G17" s="44">
        <v>2</v>
      </c>
      <c r="H17" s="129">
        <f>IF(B$17=0,0,G17/B$17)</f>
        <v>1.8691588785046728E-2</v>
      </c>
      <c r="I17" s="90">
        <v>1</v>
      </c>
      <c r="K17" s="36">
        <v>15</v>
      </c>
      <c r="L17" s="95">
        <v>-65.2</v>
      </c>
      <c r="N17" s="111" t="s">
        <v>126</v>
      </c>
      <c r="O17" s="121">
        <f t="shared" si="2"/>
        <v>-2.2160000000000002</v>
      </c>
      <c r="P17" s="115">
        <v>25</v>
      </c>
      <c r="Q17" s="103">
        <v>-55.400000000000006</v>
      </c>
    </row>
    <row r="18" spans="1:17" x14ac:dyDescent="0.4">
      <c r="A18" s="51" t="s">
        <v>12</v>
      </c>
      <c r="B18" s="44">
        <v>46</v>
      </c>
      <c r="C18" s="37">
        <f>IF(B$17=0,0,B18/B$17)</f>
        <v>0.42990654205607476</v>
      </c>
      <c r="E18" s="59" t="s">
        <v>74</v>
      </c>
      <c r="F18" s="56" t="s">
        <v>29</v>
      </c>
      <c r="G18" s="44">
        <v>1</v>
      </c>
      <c r="H18" s="129">
        <f>IF(B$17=0,0,G18/B$17)</f>
        <v>9.3457943925233638E-3</v>
      </c>
      <c r="I18" s="90">
        <v>2</v>
      </c>
      <c r="K18" s="36">
        <v>16</v>
      </c>
      <c r="L18" s="95">
        <v>-70.600000000000009</v>
      </c>
      <c r="N18" s="111" t="s">
        <v>178</v>
      </c>
      <c r="O18" s="121">
        <f t="shared" si="2"/>
        <v>-2.8312499999999998</v>
      </c>
      <c r="P18" s="115">
        <v>16</v>
      </c>
      <c r="Q18" s="103">
        <v>-45.3</v>
      </c>
    </row>
    <row r="19" spans="1:17" x14ac:dyDescent="0.4">
      <c r="A19" s="51" t="s">
        <v>11</v>
      </c>
      <c r="B19" s="44">
        <v>61</v>
      </c>
      <c r="C19" s="37">
        <f>IF(B$17=0,0,B19/B$17)</f>
        <v>0.57009345794392519</v>
      </c>
      <c r="E19" s="59" t="s">
        <v>75</v>
      </c>
      <c r="F19" s="56" t="s">
        <v>30</v>
      </c>
      <c r="G19" s="44">
        <v>1</v>
      </c>
      <c r="H19" s="129">
        <f>IF(B$17=0,0,G19/B$17)</f>
        <v>9.3457943925233638E-3</v>
      </c>
      <c r="I19" s="90">
        <v>3</v>
      </c>
      <c r="K19" s="36">
        <v>17</v>
      </c>
      <c r="L19" s="95">
        <v>-65.2</v>
      </c>
      <c r="N19" s="111" t="s">
        <v>179</v>
      </c>
      <c r="O19" s="121">
        <f t="shared" si="2"/>
        <v>-7.0692307692307708</v>
      </c>
      <c r="P19" s="115">
        <v>13</v>
      </c>
      <c r="Q19" s="103">
        <v>-91.90000000000002</v>
      </c>
    </row>
    <row r="20" spans="1:17" x14ac:dyDescent="0.4">
      <c r="A20" s="51" t="s">
        <v>13</v>
      </c>
      <c r="B20" s="44">
        <v>58</v>
      </c>
      <c r="C20" s="37">
        <f>IF(B$3=0,0,B20/B$3)</f>
        <v>0.14463840399002495</v>
      </c>
      <c r="E20" s="59" t="s">
        <v>77</v>
      </c>
      <c r="F20" s="56" t="s">
        <v>32</v>
      </c>
      <c r="G20" s="44">
        <v>1</v>
      </c>
      <c r="H20" s="129">
        <f>IF(B$17=0,0,G20/B$17)</f>
        <v>9.3457943925233638E-3</v>
      </c>
      <c r="I20" s="90">
        <v>2</v>
      </c>
      <c r="K20" s="36">
        <v>18</v>
      </c>
      <c r="L20" s="95">
        <v>-80.2</v>
      </c>
      <c r="N20" s="111" t="s">
        <v>177</v>
      </c>
      <c r="O20" s="121">
        <f t="shared" si="2"/>
        <v>-24.4</v>
      </c>
      <c r="P20" s="115">
        <v>7</v>
      </c>
      <c r="Q20" s="103">
        <v>-170.79999999999998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93</v>
      </c>
      <c r="F21" s="56" t="s">
        <v>48</v>
      </c>
      <c r="G21" s="44">
        <v>1</v>
      </c>
      <c r="H21" s="129">
        <f>IF(B$17=0,0,G21/B$17)</f>
        <v>9.3457943925233638E-3</v>
      </c>
      <c r="I21" s="90">
        <v>1</v>
      </c>
      <c r="K21" s="36">
        <v>19</v>
      </c>
      <c r="L21" s="95">
        <v>-115.1</v>
      </c>
      <c r="N21" s="111" t="s">
        <v>182</v>
      </c>
      <c r="O21" s="121">
        <f t="shared" si="2"/>
        <v>-28.449999999999996</v>
      </c>
      <c r="P21" s="115">
        <v>4</v>
      </c>
      <c r="Q21" s="103">
        <v>-113.79999999999998</v>
      </c>
    </row>
    <row r="22" spans="1:17" x14ac:dyDescent="0.4">
      <c r="A22" s="51" t="s">
        <v>170</v>
      </c>
      <c r="B22" s="44">
        <v>32</v>
      </c>
      <c r="C22" s="131">
        <v>1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7148.5981308411219</v>
      </c>
      <c r="C23" s="39">
        <v>764900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7486.3013698630139</v>
      </c>
      <c r="C24" s="137">
        <v>546500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6423.5294117647063</v>
      </c>
      <c r="C25" s="137">
        <v>218400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-6755.1724137931033</v>
      </c>
      <c r="C26" s="137">
        <v>-391800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4.9875311720698253E-3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-143.30000000000004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  <c r="K45" s="36">
        <v>43</v>
      </c>
      <c r="L45" s="95">
        <v>-172.20000000000005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-144.10000000000005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-97.300000000000054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-145.90000000000006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2BD46-768B-490A-B4D6-E4F4CCC91374}">
  <sheetPr codeName="Sheet9"/>
  <dimension ref="A1:Q111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109</v>
      </c>
      <c r="C2" s="149"/>
      <c r="E2" s="58" t="s">
        <v>66</v>
      </c>
      <c r="F2" s="55" t="s">
        <v>22</v>
      </c>
      <c r="G2" s="43">
        <v>198</v>
      </c>
      <c r="H2" s="128">
        <f>IF(B$17=0,0,G2/B$17)</f>
        <v>0.67346938775510201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1138.8888888888889</v>
      </c>
      <c r="P2" s="114">
        <v>108</v>
      </c>
      <c r="Q2" s="98">
        <v>123000</v>
      </c>
    </row>
    <row r="3" spans="1:17" x14ac:dyDescent="0.4">
      <c r="A3" s="51" t="s">
        <v>8</v>
      </c>
      <c r="B3" s="150">
        <v>869</v>
      </c>
      <c r="C3" s="151"/>
      <c r="E3" s="59" t="s">
        <v>72</v>
      </c>
      <c r="F3" s="56" t="s">
        <v>27</v>
      </c>
      <c r="G3" s="44">
        <v>144</v>
      </c>
      <c r="H3" s="129">
        <f>IF(B$17=0,0,G3/B$17)</f>
        <v>0.48979591836734693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431.42857142857144</v>
      </c>
      <c r="P3" s="115">
        <v>105</v>
      </c>
      <c r="Q3" s="99">
        <v>45300</v>
      </c>
    </row>
    <row r="4" spans="1:17" x14ac:dyDescent="0.4">
      <c r="A4" s="51" t="s">
        <v>6</v>
      </c>
      <c r="B4" s="152">
        <v>903.59999999999991</v>
      </c>
      <c r="C4" s="153"/>
      <c r="E4" s="59" t="s">
        <v>64</v>
      </c>
      <c r="F4" s="56" t="s">
        <v>20</v>
      </c>
      <c r="G4" s="44">
        <v>129</v>
      </c>
      <c r="H4" s="129">
        <f>IF(B$17=0,0,G4/B$17)</f>
        <v>0.43877551020408162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157.42574257425741</v>
      </c>
      <c r="P4" s="115">
        <v>101</v>
      </c>
      <c r="Q4" s="99">
        <v>15900</v>
      </c>
    </row>
    <row r="5" spans="1:17" x14ac:dyDescent="0.4">
      <c r="A5" s="51" t="s">
        <v>7</v>
      </c>
      <c r="B5" s="154">
        <f>IF(B$2=0,0,B$4/B$2)</f>
        <v>8.2899082568807323</v>
      </c>
      <c r="C5" s="155"/>
      <c r="E5" s="59" t="s">
        <v>171</v>
      </c>
      <c r="F5" s="56" t="s">
        <v>172</v>
      </c>
      <c r="G5" s="44">
        <v>112</v>
      </c>
      <c r="H5" s="129">
        <f>IF(B$17=0,0,G5/B$17)</f>
        <v>0.38095238095238093</v>
      </c>
      <c r="I5" s="90">
        <v>6</v>
      </c>
      <c r="K5" s="36">
        <v>3</v>
      </c>
      <c r="L5" s="95">
        <v>40.400000000000006</v>
      </c>
      <c r="N5" s="111" t="s">
        <v>133</v>
      </c>
      <c r="O5" s="118">
        <f t="shared" si="0"/>
        <v>510.75268817204301</v>
      </c>
      <c r="P5" s="115">
        <v>93</v>
      </c>
      <c r="Q5" s="99">
        <v>47500</v>
      </c>
    </row>
    <row r="6" spans="1:17" x14ac:dyDescent="0.4">
      <c r="A6" s="51" t="s">
        <v>1</v>
      </c>
      <c r="B6" s="144">
        <f>IF(B$2=0,0,(B$7*1+B$8*2+B$9*3)/B$2)</f>
        <v>1.7889908256880733</v>
      </c>
      <c r="C6" s="145"/>
      <c r="E6" s="59" t="s">
        <v>68</v>
      </c>
      <c r="F6" s="56" t="s">
        <v>12</v>
      </c>
      <c r="G6" s="44">
        <v>86</v>
      </c>
      <c r="H6" s="129">
        <f>IF(B$17=0,0,G6/B$17)</f>
        <v>0.29251700680272108</v>
      </c>
      <c r="I6" s="90">
        <v>8</v>
      </c>
      <c r="K6" s="36">
        <v>4</v>
      </c>
      <c r="L6" s="95">
        <v>101.60000000000001</v>
      </c>
      <c r="N6" s="111" t="s">
        <v>134</v>
      </c>
      <c r="O6" s="118">
        <f t="shared" si="0"/>
        <v>2217.4418604651164</v>
      </c>
      <c r="P6" s="115">
        <v>86</v>
      </c>
      <c r="Q6" s="99">
        <v>190700</v>
      </c>
    </row>
    <row r="7" spans="1:17" x14ac:dyDescent="0.4">
      <c r="A7" s="51" t="s">
        <v>2</v>
      </c>
      <c r="B7" s="44">
        <v>51</v>
      </c>
      <c r="C7" s="37">
        <f t="shared" ref="C7:C12" si="1">IF(B$2=0,0,B7/B$2)</f>
        <v>0.46788990825688076</v>
      </c>
      <c r="E7" s="59" t="s">
        <v>67</v>
      </c>
      <c r="F7" s="56" t="s">
        <v>23</v>
      </c>
      <c r="G7" s="44">
        <v>71</v>
      </c>
      <c r="H7" s="129">
        <f>IF(B$17=0,0,G7/B$17)</f>
        <v>0.24149659863945577</v>
      </c>
      <c r="I7" s="90">
        <v>9</v>
      </c>
      <c r="K7" s="36">
        <v>5</v>
      </c>
      <c r="L7" s="95">
        <v>99.9</v>
      </c>
      <c r="N7" s="112" t="s">
        <v>135</v>
      </c>
      <c r="O7" s="119">
        <f t="shared" si="0"/>
        <v>3040.8450704225352</v>
      </c>
      <c r="P7" s="116">
        <v>71</v>
      </c>
      <c r="Q7" s="100">
        <v>215900</v>
      </c>
    </row>
    <row r="8" spans="1:17" x14ac:dyDescent="0.4">
      <c r="A8" s="51" t="s">
        <v>3</v>
      </c>
      <c r="B8" s="44">
        <v>30</v>
      </c>
      <c r="C8" s="37">
        <f t="shared" si="1"/>
        <v>0.27522935779816515</v>
      </c>
      <c r="E8" s="59" t="s">
        <v>69</v>
      </c>
      <c r="F8" s="56" t="s">
        <v>24</v>
      </c>
      <c r="G8" s="44">
        <v>45</v>
      </c>
      <c r="H8" s="129">
        <f>IF(B$17=0,0,G8/B$17)</f>
        <v>0.15306122448979592</v>
      </c>
      <c r="I8" s="90">
        <v>4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1"/>
        <v>0.25688073394495414</v>
      </c>
      <c r="E9" s="59" t="s">
        <v>89</v>
      </c>
      <c r="F9" s="56" t="s">
        <v>44</v>
      </c>
      <c r="G9" s="44">
        <v>45</v>
      </c>
      <c r="H9" s="129">
        <f>IF(B$17=0,0,G9/B$17)</f>
        <v>0.15306122448979592</v>
      </c>
      <c r="I9" s="90">
        <v>3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4.5871559633027525E-2</v>
      </c>
      <c r="E10" s="59" t="s">
        <v>65</v>
      </c>
      <c r="F10" s="56" t="s">
        <v>21</v>
      </c>
      <c r="G10" s="44">
        <v>33</v>
      </c>
      <c r="H10" s="129">
        <f>IF(B$17=0,0,G10/B$17)</f>
        <v>0.11224489795918367</v>
      </c>
      <c r="I10" s="90">
        <v>6</v>
      </c>
      <c r="K10" s="36">
        <v>8</v>
      </c>
      <c r="L10" s="95">
        <v>148.1</v>
      </c>
      <c r="N10" s="110" t="s">
        <v>162</v>
      </c>
      <c r="O10" s="120">
        <f>IF(P10=0,0,Q10/P10)</f>
        <v>11.728124999999997</v>
      </c>
      <c r="P10" s="114">
        <v>32</v>
      </c>
      <c r="Q10" s="102">
        <v>375.2999999999999</v>
      </c>
    </row>
    <row r="11" spans="1:17" x14ac:dyDescent="0.4">
      <c r="A11" s="52" t="s">
        <v>138</v>
      </c>
      <c r="B11" s="45">
        <v>14</v>
      </c>
      <c r="C11" s="38">
        <f t="shared" si="1"/>
        <v>0.12844036697247707</v>
      </c>
      <c r="E11" s="59" t="s">
        <v>71</v>
      </c>
      <c r="F11" s="56" t="s">
        <v>26</v>
      </c>
      <c r="G11" s="44">
        <v>21</v>
      </c>
      <c r="H11" s="129">
        <f>IF(B$17=0,0,G11/B$17)</f>
        <v>7.1428571428571425E-2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4.3950000000000005</v>
      </c>
      <c r="P11" s="115">
        <v>40</v>
      </c>
      <c r="Q11" s="103">
        <v>175.8</v>
      </c>
    </row>
    <row r="12" spans="1:17" x14ac:dyDescent="0.4">
      <c r="A12" s="53" t="s">
        <v>158</v>
      </c>
      <c r="B12" s="46">
        <v>12</v>
      </c>
      <c r="C12" s="40">
        <f t="shared" si="1"/>
        <v>0.11009174311926606</v>
      </c>
      <c r="E12" s="59" t="s">
        <v>86</v>
      </c>
      <c r="F12" s="56" t="s">
        <v>41</v>
      </c>
      <c r="G12" s="44">
        <v>17</v>
      </c>
      <c r="H12" s="129">
        <f>IF(B$17=0,0,G12/B$17)</f>
        <v>5.7823129251700682E-2</v>
      </c>
      <c r="I12" s="90">
        <v>4</v>
      </c>
      <c r="K12" s="36">
        <v>10</v>
      </c>
      <c r="L12" s="95">
        <v>158.19999999999999</v>
      </c>
      <c r="N12" s="112" t="s">
        <v>164</v>
      </c>
      <c r="O12" s="122">
        <f>IF(P12=0,0,Q12/P12)</f>
        <v>9.5270270270270263</v>
      </c>
      <c r="P12" s="116">
        <v>37</v>
      </c>
      <c r="Q12" s="104">
        <v>352.49999999999994</v>
      </c>
    </row>
    <row r="13" spans="1:17" x14ac:dyDescent="0.4">
      <c r="A13" s="54" t="s">
        <v>121</v>
      </c>
      <c r="B13" s="47">
        <v>233</v>
      </c>
      <c r="C13" s="42">
        <f>IF(B$3=0,0,B13/B$3)</f>
        <v>0.26812428078250861</v>
      </c>
      <c r="E13" s="59" t="s">
        <v>70</v>
      </c>
      <c r="F13" s="56" t="s">
        <v>25</v>
      </c>
      <c r="G13" s="44">
        <v>16</v>
      </c>
      <c r="H13" s="129">
        <f>IF(B$17=0,0,G13/B$17)</f>
        <v>5.4421768707482991E-2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197</v>
      </c>
      <c r="C14" s="37">
        <f>IF(B$3=0,0,B14/B$3)</f>
        <v>0.22669735327963175</v>
      </c>
      <c r="E14" s="59" t="s">
        <v>83</v>
      </c>
      <c r="F14" s="56" t="s">
        <v>38</v>
      </c>
      <c r="G14" s="44">
        <v>13</v>
      </c>
      <c r="H14" s="129">
        <f>IF(B$17=0,0,G14/B$17)</f>
        <v>4.4217687074829932E-2</v>
      </c>
      <c r="I14" s="90">
        <v>8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138</v>
      </c>
      <c r="C15" s="35">
        <f>IF(B$13=0,0,B15/B$13)</f>
        <v>0.59227467811158796</v>
      </c>
      <c r="E15" s="59" t="s">
        <v>167</v>
      </c>
      <c r="F15" s="56" t="s">
        <v>168</v>
      </c>
      <c r="G15" s="44">
        <v>12</v>
      </c>
      <c r="H15" s="129">
        <f>IF(B$17=0,0,G15/B$17)</f>
        <v>4.0816326530612242E-2</v>
      </c>
      <c r="I15" s="90">
        <v>2</v>
      </c>
      <c r="K15" s="36">
        <v>13</v>
      </c>
      <c r="L15" s="95">
        <v>206.39999999999998</v>
      </c>
      <c r="N15" s="110" t="s">
        <v>181</v>
      </c>
      <c r="O15" s="120">
        <f>IF(P15=0,0,Q15/P15)</f>
        <v>53.400000000000006</v>
      </c>
      <c r="P15" s="114">
        <v>6</v>
      </c>
      <c r="Q15" s="102">
        <v>320.40000000000003</v>
      </c>
    </row>
    <row r="16" spans="1:17" x14ac:dyDescent="0.4">
      <c r="A16" s="50" t="s">
        <v>124</v>
      </c>
      <c r="B16" s="43">
        <v>95</v>
      </c>
      <c r="C16" s="35">
        <f>IF(B$14=0,0,B16/B$14)</f>
        <v>0.48223350253807107</v>
      </c>
      <c r="E16" s="59" t="s">
        <v>78</v>
      </c>
      <c r="F16" s="56" t="s">
        <v>33</v>
      </c>
      <c r="G16" s="44">
        <v>11</v>
      </c>
      <c r="H16" s="129">
        <f>IF(B$17=0,0,G16/B$17)</f>
        <v>3.7414965986394558E-2</v>
      </c>
      <c r="I16" s="90">
        <v>3</v>
      </c>
      <c r="K16" s="36">
        <v>14</v>
      </c>
      <c r="L16" s="95">
        <v>240.09999999999997</v>
      </c>
      <c r="N16" s="111" t="s">
        <v>182</v>
      </c>
      <c r="O16" s="121">
        <f>IF(P16=0,0,Q16/P16)</f>
        <v>21.422222222222214</v>
      </c>
      <c r="P16" s="115">
        <v>9</v>
      </c>
      <c r="Q16" s="103">
        <v>192.79999999999993</v>
      </c>
    </row>
    <row r="17" spans="1:17" x14ac:dyDescent="0.4">
      <c r="A17" s="50" t="s">
        <v>10</v>
      </c>
      <c r="B17" s="43">
        <f>B19+B18</f>
        <v>294</v>
      </c>
      <c r="C17" s="35">
        <f>IF(B$3=0,0,B17/B$3)</f>
        <v>0.33831990794016109</v>
      </c>
      <c r="E17" s="59" t="s">
        <v>77</v>
      </c>
      <c r="F17" s="56" t="s">
        <v>32</v>
      </c>
      <c r="G17" s="44">
        <v>3</v>
      </c>
      <c r="H17" s="129">
        <f>IF(B$17=0,0,G17/B$17)</f>
        <v>1.020408163265306E-2</v>
      </c>
      <c r="I17" s="90">
        <v>1</v>
      </c>
      <c r="K17" s="36">
        <v>15</v>
      </c>
      <c r="L17" s="95">
        <v>269.49999999999994</v>
      </c>
      <c r="N17" s="111" t="s">
        <v>179</v>
      </c>
      <c r="O17" s="121">
        <f>IF(P17=0,0,Q17/P17)</f>
        <v>16.932558139534887</v>
      </c>
      <c r="P17" s="115">
        <v>43</v>
      </c>
      <c r="Q17" s="103">
        <v>728.10000000000014</v>
      </c>
    </row>
    <row r="18" spans="1:17" x14ac:dyDescent="0.4">
      <c r="A18" s="51" t="s">
        <v>12</v>
      </c>
      <c r="B18" s="44">
        <v>126</v>
      </c>
      <c r="C18" s="37">
        <f>IF(B$17=0,0,B18/B$17)</f>
        <v>0.42857142857142855</v>
      </c>
      <c r="E18" s="59" t="s">
        <v>84</v>
      </c>
      <c r="F18" s="56" t="s">
        <v>39</v>
      </c>
      <c r="G18" s="44">
        <v>3</v>
      </c>
      <c r="H18" s="129">
        <f>IF(B$17=0,0,G18/B$17)</f>
        <v>1.020408163265306E-2</v>
      </c>
      <c r="I18" s="90">
        <v>1</v>
      </c>
      <c r="K18" s="36">
        <v>16</v>
      </c>
      <c r="L18" s="95">
        <v>323.69999999999993</v>
      </c>
      <c r="N18" s="111" t="s">
        <v>178</v>
      </c>
      <c r="O18" s="121">
        <f>IF(P18=0,0,Q18/P18)</f>
        <v>15.723809523809528</v>
      </c>
      <c r="P18" s="115">
        <v>42</v>
      </c>
      <c r="Q18" s="103">
        <v>660.4000000000002</v>
      </c>
    </row>
    <row r="19" spans="1:17" x14ac:dyDescent="0.4">
      <c r="A19" s="51" t="s">
        <v>11</v>
      </c>
      <c r="B19" s="44">
        <v>168</v>
      </c>
      <c r="C19" s="37">
        <f>IF(B$17=0,0,B19/B$17)</f>
        <v>0.5714285714285714</v>
      </c>
      <c r="E19" s="59" t="s">
        <v>92</v>
      </c>
      <c r="F19" s="56" t="s">
        <v>47</v>
      </c>
      <c r="G19" s="44">
        <v>3</v>
      </c>
      <c r="H19" s="129">
        <f>IF(B$17=0,0,G19/B$17)</f>
        <v>1.020408163265306E-2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>IF(P19=0,0,Q19/P19)</f>
        <v>14.352173913043476</v>
      </c>
      <c r="P19" s="115">
        <v>69</v>
      </c>
      <c r="Q19" s="103">
        <v>990.29999999999984</v>
      </c>
    </row>
    <row r="20" spans="1:17" x14ac:dyDescent="0.4">
      <c r="A20" s="51" t="s">
        <v>13</v>
      </c>
      <c r="B20" s="44">
        <v>113</v>
      </c>
      <c r="C20" s="37">
        <f>IF(B$3=0,0,B20/B$3)</f>
        <v>0.13003452243958574</v>
      </c>
      <c r="E20" s="59" t="s">
        <v>75</v>
      </c>
      <c r="F20" s="56" t="s">
        <v>30</v>
      </c>
      <c r="G20" s="44">
        <v>2</v>
      </c>
      <c r="H20" s="129">
        <f>IF(B$17=0,0,G20/B$17)</f>
        <v>6.8027210884353739E-3</v>
      </c>
      <c r="I20" s="90">
        <v>6</v>
      </c>
      <c r="K20" s="36">
        <v>18</v>
      </c>
      <c r="L20" s="95">
        <v>352.39999999999992</v>
      </c>
      <c r="N20" s="111" t="s">
        <v>166</v>
      </c>
      <c r="O20" s="121">
        <f>IF(P20=0,0,Q20/P20)</f>
        <v>2.2159999999999993</v>
      </c>
      <c r="P20" s="115">
        <v>25</v>
      </c>
      <c r="Q20" s="103">
        <v>55.399999999999977</v>
      </c>
    </row>
    <row r="21" spans="1:17" x14ac:dyDescent="0.4">
      <c r="A21" s="51" t="s">
        <v>169</v>
      </c>
      <c r="B21" s="44">
        <v>5</v>
      </c>
      <c r="C21" s="131">
        <v>1</v>
      </c>
      <c r="E21" s="59" t="s">
        <v>79</v>
      </c>
      <c r="F21" s="56" t="s">
        <v>34</v>
      </c>
      <c r="G21" s="44">
        <v>2</v>
      </c>
      <c r="H21" s="129">
        <f>IF(B$17=0,0,G21/B$17)</f>
        <v>6.8027210884353739E-3</v>
      </c>
      <c r="I21" s="90">
        <v>6</v>
      </c>
      <c r="K21" s="36">
        <v>19</v>
      </c>
      <c r="L21" s="95">
        <v>383.19999999999993</v>
      </c>
      <c r="N21" s="111" t="s">
        <v>177</v>
      </c>
      <c r="O21" s="121">
        <f>IF(P21=0,0,Q21/P21)</f>
        <v>-7.2217391304347833</v>
      </c>
      <c r="P21" s="115">
        <v>23</v>
      </c>
      <c r="Q21" s="103">
        <v>-166.10000000000002</v>
      </c>
    </row>
    <row r="22" spans="1:17" x14ac:dyDescent="0.4">
      <c r="A22" s="51" t="s">
        <v>170</v>
      </c>
      <c r="B22" s="44">
        <v>43</v>
      </c>
      <c r="C22" s="131">
        <v>2</v>
      </c>
      <c r="E22" s="59" t="s">
        <v>85</v>
      </c>
      <c r="F22" s="56" t="s">
        <v>40</v>
      </c>
      <c r="G22" s="44">
        <v>2</v>
      </c>
      <c r="H22" s="129">
        <f>IF(B$17=0,0,G22/B$17)</f>
        <v>6.8027210884353739E-3</v>
      </c>
      <c r="I22" s="90">
        <v>3</v>
      </c>
      <c r="K22" s="36">
        <v>20</v>
      </c>
      <c r="L22" s="95">
        <v>365.49999999999994</v>
      </c>
      <c r="N22" s="111" t="s">
        <v>222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8212.925170068027</v>
      </c>
      <c r="C23" s="39">
        <v>2414600</v>
      </c>
      <c r="E23" s="59" t="s">
        <v>88</v>
      </c>
      <c r="F23" s="56" t="s">
        <v>43</v>
      </c>
      <c r="G23" s="44">
        <v>2</v>
      </c>
      <c r="H23" s="129">
        <f>IF(B$17=0,0,G23/B$17)</f>
        <v>6.8027210884353739E-3</v>
      </c>
      <c r="I23" s="90">
        <v>2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8387.437185929648</v>
      </c>
      <c r="C24" s="137">
        <v>1669100</v>
      </c>
      <c r="E24" s="59" t="s">
        <v>91</v>
      </c>
      <c r="F24" s="56" t="s">
        <v>46</v>
      </c>
      <c r="G24" s="44">
        <v>2</v>
      </c>
      <c r="H24" s="129">
        <f>IF(B$17=0,0,G24/B$17)</f>
        <v>6.8027210884353739E-3</v>
      </c>
      <c r="I24" s="90">
        <v>5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7847.3684210526317</v>
      </c>
      <c r="C25" s="137">
        <v>745500</v>
      </c>
      <c r="E25" s="59" t="s">
        <v>74</v>
      </c>
      <c r="F25" s="56" t="s">
        <v>29</v>
      </c>
      <c r="G25" s="44">
        <v>1</v>
      </c>
      <c r="H25" s="129">
        <f>IF(B$17=0,0,G25/B$17)</f>
        <v>3.4013605442176869E-3</v>
      </c>
      <c r="I25" s="90">
        <v>6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-7820.353982300885</v>
      </c>
      <c r="C26" s="137">
        <v>-883700</v>
      </c>
      <c r="E26" s="59" t="s">
        <v>81</v>
      </c>
      <c r="F26" s="56" t="s">
        <v>36</v>
      </c>
      <c r="G26" s="44">
        <v>1</v>
      </c>
      <c r="H26" s="129">
        <f>IF(B$17=0,0,G26/B$17)</f>
        <v>3.4013605442176869E-3</v>
      </c>
      <c r="I26" s="90">
        <v>9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90</v>
      </c>
      <c r="F27" s="56" t="s">
        <v>45</v>
      </c>
      <c r="G27" s="44">
        <v>1</v>
      </c>
      <c r="H27" s="129">
        <f>IF(B$17=0,0,G27/B$17)</f>
        <v>3.4013605442176869E-3</v>
      </c>
      <c r="I27" s="90">
        <v>2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149100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3.4013605442176869E-3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1.1507479861910242E-3</v>
      </c>
      <c r="E29" s="59" t="s">
        <v>106</v>
      </c>
      <c r="F29" s="56" t="s">
        <v>113</v>
      </c>
      <c r="G29" s="44">
        <v>1</v>
      </c>
      <c r="H29" s="129">
        <f>IF(B$17=0,0,G29/B$17)</f>
        <v>3.4013605442176869E-3</v>
      </c>
      <c r="I29" s="90">
        <v>1</v>
      </c>
      <c r="K29" s="36">
        <v>27</v>
      </c>
      <c r="L29" s="95">
        <v>362.4</v>
      </c>
    </row>
    <row r="30" spans="1:17" x14ac:dyDescent="0.4">
      <c r="E30" s="59" t="s">
        <v>73</v>
      </c>
      <c r="F30" s="56" t="s">
        <v>28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80</v>
      </c>
      <c r="F32" s="56" t="s">
        <v>35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82</v>
      </c>
      <c r="F33" s="56" t="s">
        <v>37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319.49999999999994</v>
      </c>
    </row>
    <row r="34" spans="5:12" x14ac:dyDescent="0.4">
      <c r="E34" s="59" t="s">
        <v>87</v>
      </c>
      <c r="F34" s="56" t="s">
        <v>42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349.39999999999992</v>
      </c>
    </row>
    <row r="35" spans="5:12" x14ac:dyDescent="0.4">
      <c r="E35" s="59" t="s">
        <v>93</v>
      </c>
      <c r="F35" s="56" t="s">
        <v>48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349.19999999999993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312.09999999999991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365.39999999999986</v>
      </c>
    </row>
    <row r="42" spans="5:12" x14ac:dyDescent="0.4">
      <c r="E42" s="59" t="s">
        <v>101</v>
      </c>
      <c r="F42" s="56" t="s">
        <v>56</v>
      </c>
      <c r="G42" s="44">
        <v>0</v>
      </c>
      <c r="H42" s="129">
        <f>IF(B$17=0,0,G42/B$17)</f>
        <v>0</v>
      </c>
      <c r="I42" s="90">
        <v>3</v>
      </c>
      <c r="K42" s="36">
        <v>40</v>
      </c>
      <c r="L42" s="95">
        <v>398.79999999999984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  <row r="110" spans="11:12" x14ac:dyDescent="0.4">
      <c r="K110" s="36">
        <v>108</v>
      </c>
      <c r="L110" s="95">
        <v>900.39999999999986</v>
      </c>
    </row>
    <row r="111" spans="11:12" x14ac:dyDescent="0.4">
      <c r="K111" s="36">
        <v>109</v>
      </c>
      <c r="L111" s="95">
        <v>903.59999999999991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899B0-06A3-40C1-A7F5-6018324DBA32}">
  <sheetPr codeName="Sheet11"/>
  <dimension ref="A1:Q10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100</v>
      </c>
      <c r="C2" s="149"/>
      <c r="E2" s="58" t="s">
        <v>66</v>
      </c>
      <c r="F2" s="55" t="s">
        <v>22</v>
      </c>
      <c r="G2" s="43">
        <v>230</v>
      </c>
      <c r="H2" s="128">
        <f>IF(B$17=0,0,G2/B$17)</f>
        <v>0.90551181102362199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-1921.2121212121212</v>
      </c>
      <c r="P2" s="114">
        <v>99</v>
      </c>
      <c r="Q2" s="98">
        <v>-190200</v>
      </c>
    </row>
    <row r="3" spans="1:17" x14ac:dyDescent="0.4">
      <c r="A3" s="51" t="s">
        <v>8</v>
      </c>
      <c r="B3" s="150">
        <v>842</v>
      </c>
      <c r="C3" s="151"/>
      <c r="E3" s="59" t="s">
        <v>72</v>
      </c>
      <c r="F3" s="56" t="s">
        <v>27</v>
      </c>
      <c r="G3" s="44">
        <v>148</v>
      </c>
      <c r="H3" s="129">
        <f>IF(B$17=0,0,G3/B$17)</f>
        <v>0.58267716535433067</v>
      </c>
      <c r="I3" s="90">
        <v>4</v>
      </c>
      <c r="K3" s="36">
        <v>1</v>
      </c>
      <c r="L3" s="95">
        <v>-45.6</v>
      </c>
      <c r="N3" s="111" t="s">
        <v>131</v>
      </c>
      <c r="O3" s="118">
        <f t="shared" si="0"/>
        <v>1368.0412371134021</v>
      </c>
      <c r="P3" s="115">
        <v>97</v>
      </c>
      <c r="Q3" s="99">
        <v>132700</v>
      </c>
    </row>
    <row r="4" spans="1:17" x14ac:dyDescent="0.4">
      <c r="A4" s="51" t="s">
        <v>6</v>
      </c>
      <c r="B4" s="152">
        <v>13.399999999999785</v>
      </c>
      <c r="C4" s="153"/>
      <c r="E4" s="59" t="s">
        <v>171</v>
      </c>
      <c r="F4" s="56" t="s">
        <v>172</v>
      </c>
      <c r="G4" s="44">
        <v>107</v>
      </c>
      <c r="H4" s="129">
        <f>IF(B$17=0,0,G4/B$17)</f>
        <v>0.42125984251968501</v>
      </c>
      <c r="I4" s="90">
        <v>2</v>
      </c>
      <c r="K4" s="36">
        <v>2</v>
      </c>
      <c r="L4" s="95">
        <v>-34.299999999999997</v>
      </c>
      <c r="N4" s="111" t="s">
        <v>132</v>
      </c>
      <c r="O4" s="118">
        <f t="shared" si="0"/>
        <v>593.4065934065934</v>
      </c>
      <c r="P4" s="115">
        <v>91</v>
      </c>
      <c r="Q4" s="99">
        <v>54000</v>
      </c>
    </row>
    <row r="5" spans="1:17" x14ac:dyDescent="0.4">
      <c r="A5" s="51" t="s">
        <v>7</v>
      </c>
      <c r="B5" s="154">
        <f>IF(B$2=0,0,B$4/B$2)</f>
        <v>0.13399999999999784</v>
      </c>
      <c r="C5" s="155"/>
      <c r="E5" s="59" t="s">
        <v>64</v>
      </c>
      <c r="F5" s="56" t="s">
        <v>20</v>
      </c>
      <c r="G5" s="44">
        <v>100</v>
      </c>
      <c r="H5" s="129">
        <f>IF(B$17=0,0,G5/B$17)</f>
        <v>0.39370078740157483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580.23255813953483</v>
      </c>
      <c r="P5" s="115">
        <v>86</v>
      </c>
      <c r="Q5" s="99">
        <v>49900</v>
      </c>
    </row>
    <row r="6" spans="1:17" x14ac:dyDescent="0.4">
      <c r="A6" s="51" t="s">
        <v>1</v>
      </c>
      <c r="B6" s="144">
        <f>IF(B$2=0,0,(B$7*1+B$8*2+B$9*3)/B$2)</f>
        <v>1.97</v>
      </c>
      <c r="C6" s="145"/>
      <c r="E6" s="59" t="s">
        <v>68</v>
      </c>
      <c r="F6" s="56" t="s">
        <v>12</v>
      </c>
      <c r="G6" s="44">
        <v>69</v>
      </c>
      <c r="H6" s="129">
        <f>IF(B$17=0,0,G6/B$17)</f>
        <v>0.27165354330708663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-1068.3544303797469</v>
      </c>
      <c r="P6" s="115">
        <v>79</v>
      </c>
      <c r="Q6" s="99">
        <v>-84400</v>
      </c>
    </row>
    <row r="7" spans="1:17" x14ac:dyDescent="0.4">
      <c r="A7" s="51" t="s">
        <v>2</v>
      </c>
      <c r="B7" s="44">
        <v>35</v>
      </c>
      <c r="C7" s="37">
        <f t="shared" ref="C7:C12" si="1">IF(B$2=0,0,B7/B$2)</f>
        <v>0.35</v>
      </c>
      <c r="E7" s="59" t="s">
        <v>67</v>
      </c>
      <c r="F7" s="56" t="s">
        <v>23</v>
      </c>
      <c r="G7" s="44">
        <v>52</v>
      </c>
      <c r="H7" s="129">
        <f>IF(B$17=0,0,G7/B$17)</f>
        <v>0.20472440944881889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1189.5522388059701</v>
      </c>
      <c r="P7" s="116">
        <v>67</v>
      </c>
      <c r="Q7" s="100">
        <v>79700</v>
      </c>
    </row>
    <row r="8" spans="1:17" x14ac:dyDescent="0.4">
      <c r="A8" s="51" t="s">
        <v>3</v>
      </c>
      <c r="B8" s="44">
        <v>33</v>
      </c>
      <c r="C8" s="37">
        <f t="shared" si="1"/>
        <v>0.33</v>
      </c>
      <c r="E8" s="59" t="s">
        <v>89</v>
      </c>
      <c r="F8" s="56" t="s">
        <v>44</v>
      </c>
      <c r="G8" s="44">
        <v>32</v>
      </c>
      <c r="H8" s="129">
        <f>IF(B$17=0,0,G8/B$17)</f>
        <v>0.12598425196850394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32</v>
      </c>
      <c r="C9" s="38">
        <f t="shared" si="1"/>
        <v>0.32</v>
      </c>
      <c r="E9" s="59" t="s">
        <v>69</v>
      </c>
      <c r="F9" s="56" t="s">
        <v>24</v>
      </c>
      <c r="G9" s="44">
        <v>29</v>
      </c>
      <c r="H9" s="129">
        <f>IF(B$17=0,0,G9/B$17)</f>
        <v>0.1141732283464567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14</v>
      </c>
      <c r="C10" s="38">
        <f t="shared" si="1"/>
        <v>0.14000000000000001</v>
      </c>
      <c r="E10" s="59" t="s">
        <v>65</v>
      </c>
      <c r="F10" s="56" t="s">
        <v>21</v>
      </c>
      <c r="G10" s="44">
        <v>25</v>
      </c>
      <c r="H10" s="129">
        <f>IF(B$17=0,0,G10/B$17)</f>
        <v>9.8425196850393706E-2</v>
      </c>
      <c r="I10" s="90">
        <v>8</v>
      </c>
      <c r="K10" s="36">
        <v>8</v>
      </c>
      <c r="L10" s="95">
        <v>-56.79999999999999</v>
      </c>
      <c r="N10" s="110" t="s">
        <v>162</v>
      </c>
      <c r="O10" s="120">
        <f>IF(P10=0,0,Q10/P10)</f>
        <v>1.2375000000000009</v>
      </c>
      <c r="P10" s="114">
        <v>24</v>
      </c>
      <c r="Q10" s="102">
        <v>29.700000000000024</v>
      </c>
    </row>
    <row r="11" spans="1:17" x14ac:dyDescent="0.4">
      <c r="A11" s="52" t="s">
        <v>138</v>
      </c>
      <c r="B11" s="45">
        <v>10</v>
      </c>
      <c r="C11" s="38">
        <f t="shared" si="1"/>
        <v>0.1</v>
      </c>
      <c r="E11" s="59" t="s">
        <v>71</v>
      </c>
      <c r="F11" s="56" t="s">
        <v>26</v>
      </c>
      <c r="G11" s="44">
        <v>22</v>
      </c>
      <c r="H11" s="129">
        <f>IF(B$17=0,0,G11/B$17)</f>
        <v>8.6614173228346455E-2</v>
      </c>
      <c r="I11" s="90">
        <v>6</v>
      </c>
      <c r="K11" s="36">
        <v>9</v>
      </c>
      <c r="L11" s="95">
        <v>-83.699999999999989</v>
      </c>
      <c r="N11" s="111" t="s">
        <v>163</v>
      </c>
      <c r="O11" s="121">
        <f>IF(P11=0,0,Q11/P11)</f>
        <v>6.5413793103448281</v>
      </c>
      <c r="P11" s="115">
        <v>29</v>
      </c>
      <c r="Q11" s="103">
        <v>189.70000000000002</v>
      </c>
    </row>
    <row r="12" spans="1:17" x14ac:dyDescent="0.4">
      <c r="A12" s="53" t="s">
        <v>158</v>
      </c>
      <c r="B12" s="46">
        <v>17</v>
      </c>
      <c r="C12" s="40">
        <f t="shared" si="1"/>
        <v>0.17</v>
      </c>
      <c r="E12" s="59" t="s">
        <v>70</v>
      </c>
      <c r="F12" s="56" t="s">
        <v>25</v>
      </c>
      <c r="G12" s="44">
        <v>21</v>
      </c>
      <c r="H12" s="129">
        <f>IF(B$17=0,0,G12/B$17)</f>
        <v>8.2677165354330714E-2</v>
      </c>
      <c r="I12" s="90">
        <v>7</v>
      </c>
      <c r="K12" s="36">
        <v>10</v>
      </c>
      <c r="L12" s="95">
        <v>-78.399999999999991</v>
      </c>
      <c r="N12" s="112" t="s">
        <v>164</v>
      </c>
      <c r="O12" s="122">
        <f>IF(P12=0,0,Q12/P12)</f>
        <v>-4.3829787234042561</v>
      </c>
      <c r="P12" s="116">
        <v>47</v>
      </c>
      <c r="Q12" s="104">
        <v>-206.00000000000006</v>
      </c>
    </row>
    <row r="13" spans="1:17" x14ac:dyDescent="0.4">
      <c r="A13" s="54" t="s">
        <v>121</v>
      </c>
      <c r="B13" s="47">
        <v>198</v>
      </c>
      <c r="C13" s="42">
        <f>IF(B$3=0,0,B13/B$3)</f>
        <v>0.23515439429928742</v>
      </c>
      <c r="E13" s="59" t="s">
        <v>86</v>
      </c>
      <c r="F13" s="56" t="s">
        <v>41</v>
      </c>
      <c r="G13" s="44">
        <v>18</v>
      </c>
      <c r="H13" s="129">
        <f>IF(B$17=0,0,G13/B$17)</f>
        <v>7.0866141732283464E-2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256</v>
      </c>
      <c r="C14" s="37">
        <f>IF(B$3=0,0,B14/B$3)</f>
        <v>0.30403800475059384</v>
      </c>
      <c r="E14" s="59" t="s">
        <v>83</v>
      </c>
      <c r="F14" s="56" t="s">
        <v>38</v>
      </c>
      <c r="G14" s="44">
        <v>14</v>
      </c>
      <c r="H14" s="129">
        <f>IF(B$17=0,0,G14/B$17)</f>
        <v>5.5118110236220472E-2</v>
      </c>
      <c r="I14" s="90">
        <v>6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101</v>
      </c>
      <c r="C15" s="35">
        <f>IF(B$13=0,0,B15/B$13)</f>
        <v>0.51010101010101006</v>
      </c>
      <c r="E15" s="59" t="s">
        <v>78</v>
      </c>
      <c r="F15" s="56" t="s">
        <v>33</v>
      </c>
      <c r="G15" s="44">
        <v>8</v>
      </c>
      <c r="H15" s="129">
        <f>IF(B$17=0,0,G15/B$17)</f>
        <v>3.1496062992125984E-2</v>
      </c>
      <c r="I15" s="90">
        <v>4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95</v>
      </c>
      <c r="C16" s="35">
        <f>IF(B$14=0,0,B16/B$14)</f>
        <v>0.37109375</v>
      </c>
      <c r="E16" s="59" t="s">
        <v>91</v>
      </c>
      <c r="F16" s="56" t="s">
        <v>46</v>
      </c>
      <c r="G16" s="44">
        <v>8</v>
      </c>
      <c r="H16" s="129">
        <f>IF(B$17=0,0,G16/B$17)</f>
        <v>3.1496062992125984E-2</v>
      </c>
      <c r="I16" s="90">
        <v>1</v>
      </c>
      <c r="K16" s="36">
        <v>14</v>
      </c>
      <c r="L16" s="95">
        <v>-138.4</v>
      </c>
      <c r="N16" s="111" t="s">
        <v>182</v>
      </c>
      <c r="O16" s="121">
        <f>IF(P16=0,0,Q16/P16)</f>
        <v>37.040000000000006</v>
      </c>
      <c r="P16" s="115">
        <v>10</v>
      </c>
      <c r="Q16" s="103">
        <v>370.40000000000003</v>
      </c>
    </row>
    <row r="17" spans="1:17" x14ac:dyDescent="0.4">
      <c r="A17" s="50" t="s">
        <v>10</v>
      </c>
      <c r="B17" s="43">
        <f>B19+B18</f>
        <v>254</v>
      </c>
      <c r="C17" s="35">
        <f>IF(B$3=0,0,B17/B$3)</f>
        <v>0.30166270783847982</v>
      </c>
      <c r="E17" s="59" t="s">
        <v>81</v>
      </c>
      <c r="F17" s="56" t="s">
        <v>36</v>
      </c>
      <c r="G17" s="44">
        <v>6</v>
      </c>
      <c r="H17" s="129">
        <f>IF(B$17=0,0,G17/B$17)</f>
        <v>2.3622047244094488E-2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>IF(P17=0,0,Q17/P17)</f>
        <v>13.5</v>
      </c>
      <c r="P17" s="115">
        <v>5</v>
      </c>
      <c r="Q17" s="103">
        <v>67.5</v>
      </c>
    </row>
    <row r="18" spans="1:17" x14ac:dyDescent="0.4">
      <c r="A18" s="51" t="s">
        <v>12</v>
      </c>
      <c r="B18" s="44">
        <v>99</v>
      </c>
      <c r="C18" s="37">
        <f>IF(B$17=0,0,B18/B$17)</f>
        <v>0.38976377952755903</v>
      </c>
      <c r="E18" s="59" t="s">
        <v>79</v>
      </c>
      <c r="F18" s="56" t="s">
        <v>34</v>
      </c>
      <c r="G18" s="44">
        <v>5</v>
      </c>
      <c r="H18" s="129">
        <f>IF(B$17=0,0,G18/B$17)</f>
        <v>1.968503937007874E-2</v>
      </c>
      <c r="I18" s="90">
        <v>3</v>
      </c>
      <c r="K18" s="36">
        <v>16</v>
      </c>
      <c r="L18" s="95">
        <v>-187.3</v>
      </c>
      <c r="N18" s="111" t="s">
        <v>179</v>
      </c>
      <c r="O18" s="121">
        <f>IF(P18=0,0,Q18/P18)</f>
        <v>11.37096774193548</v>
      </c>
      <c r="P18" s="115">
        <v>31</v>
      </c>
      <c r="Q18" s="103">
        <v>352.49999999999989</v>
      </c>
    </row>
    <row r="19" spans="1:17" x14ac:dyDescent="0.4">
      <c r="A19" s="51" t="s">
        <v>11</v>
      </c>
      <c r="B19" s="44">
        <v>155</v>
      </c>
      <c r="C19" s="37">
        <f>IF(B$17=0,0,B19/B$17)</f>
        <v>0.61023622047244097</v>
      </c>
      <c r="E19" s="59" t="s">
        <v>167</v>
      </c>
      <c r="F19" s="56" t="s">
        <v>168</v>
      </c>
      <c r="G19" s="44">
        <v>3</v>
      </c>
      <c r="H19" s="129">
        <f>IF(B$17=0,0,G19/B$17)</f>
        <v>1.1811023622047244E-2</v>
      </c>
      <c r="I19" s="90">
        <v>7</v>
      </c>
      <c r="K19" s="36">
        <v>17</v>
      </c>
      <c r="L19" s="95">
        <v>-179.70000000000002</v>
      </c>
      <c r="N19" s="111" t="s">
        <v>177</v>
      </c>
      <c r="O19" s="121">
        <f>IF(P19=0,0,Q19/P19)</f>
        <v>7.6400000000000068</v>
      </c>
      <c r="P19" s="115">
        <v>25</v>
      </c>
      <c r="Q19" s="103">
        <v>191.00000000000017</v>
      </c>
    </row>
    <row r="20" spans="1:17" x14ac:dyDescent="0.4">
      <c r="A20" s="51" t="s">
        <v>13</v>
      </c>
      <c r="B20" s="44">
        <v>167</v>
      </c>
      <c r="C20" s="37">
        <f>IF(B$3=0,0,B20/B$3)</f>
        <v>0.19833729216152018</v>
      </c>
      <c r="E20" s="59" t="s">
        <v>74</v>
      </c>
      <c r="F20" s="56" t="s">
        <v>29</v>
      </c>
      <c r="G20" s="44">
        <v>2</v>
      </c>
      <c r="H20" s="129">
        <f>IF(B$17=0,0,G20/B$17)</f>
        <v>7.874015748031496E-3</v>
      </c>
      <c r="I20" s="90">
        <v>3</v>
      </c>
      <c r="K20" s="36">
        <v>18</v>
      </c>
      <c r="L20" s="95">
        <v>-112.90000000000002</v>
      </c>
      <c r="N20" s="111" t="s">
        <v>166</v>
      </c>
      <c r="O20" s="121">
        <f>IF(P20=0,0,Q20/P20)</f>
        <v>0.24285714285714124</v>
      </c>
      <c r="P20" s="115">
        <v>21</v>
      </c>
      <c r="Q20" s="103">
        <v>5.0999999999999659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75</v>
      </c>
      <c r="F21" s="56" t="s">
        <v>30</v>
      </c>
      <c r="G21" s="44">
        <v>1</v>
      </c>
      <c r="H21" s="129">
        <f>IF(B$17=0,0,G21/B$17)</f>
        <v>3.937007874015748E-3</v>
      </c>
      <c r="I21" s="90">
        <v>8</v>
      </c>
      <c r="K21" s="36">
        <v>19</v>
      </c>
      <c r="L21" s="95">
        <v>-162.40000000000003</v>
      </c>
      <c r="N21" s="111" t="s">
        <v>178</v>
      </c>
      <c r="O21" s="121">
        <f>IF(P21=0,0,Q21/P21)</f>
        <v>-2.8810810810810787</v>
      </c>
      <c r="P21" s="115">
        <v>37</v>
      </c>
      <c r="Q21" s="103">
        <v>-106.59999999999991</v>
      </c>
    </row>
    <row r="22" spans="1:17" x14ac:dyDescent="0.4">
      <c r="A22" s="51" t="s">
        <v>170</v>
      </c>
      <c r="B22" s="44">
        <v>30</v>
      </c>
      <c r="C22" s="131">
        <v>0</v>
      </c>
      <c r="E22" s="59" t="s">
        <v>77</v>
      </c>
      <c r="F22" s="56" t="s">
        <v>32</v>
      </c>
      <c r="G22" s="44">
        <v>1</v>
      </c>
      <c r="H22" s="129">
        <f>IF(B$17=0,0,G22/B$17)</f>
        <v>3.937007874015748E-3</v>
      </c>
      <c r="I22" s="90">
        <v>3</v>
      </c>
      <c r="K22" s="36">
        <v>20</v>
      </c>
      <c r="L22" s="95">
        <v>-96.000000000000028</v>
      </c>
      <c r="N22" s="111" t="s">
        <v>126</v>
      </c>
      <c r="O22" s="121">
        <f>IF(P22=0,0,Q22/P22)</f>
        <v>-14.352173913043478</v>
      </c>
      <c r="P22" s="115">
        <v>69</v>
      </c>
      <c r="Q22" s="103">
        <v>-990.3</v>
      </c>
    </row>
    <row r="23" spans="1:17" x14ac:dyDescent="0.4">
      <c r="A23" s="51" t="s">
        <v>5</v>
      </c>
      <c r="B23" s="48">
        <f>IF(B$17=0,0,C23/B$17)</f>
        <v>8584.645669291338</v>
      </c>
      <c r="C23" s="39">
        <v>2180500</v>
      </c>
      <c r="E23" s="59" t="s">
        <v>84</v>
      </c>
      <c r="F23" s="56" t="s">
        <v>39</v>
      </c>
      <c r="G23" s="44">
        <v>1</v>
      </c>
      <c r="H23" s="129">
        <f>IF(B$17=0,0,G23/B$17)</f>
        <v>3.937007874015748E-3</v>
      </c>
      <c r="I23" s="90">
        <v>2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8979.2452830188686</v>
      </c>
      <c r="C24" s="137">
        <v>1427700</v>
      </c>
      <c r="E24" s="59" t="s">
        <v>92</v>
      </c>
      <c r="F24" s="56" t="s">
        <v>47</v>
      </c>
      <c r="G24" s="44">
        <v>1</v>
      </c>
      <c r="H24" s="129">
        <f>IF(B$17=0,0,G24/B$17)</f>
        <v>3.937007874015748E-3</v>
      </c>
      <c r="I24" s="90">
        <v>4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7924.2105263157891</v>
      </c>
      <c r="C25" s="137">
        <v>752800</v>
      </c>
      <c r="E25" s="59" t="s">
        <v>95</v>
      </c>
      <c r="F25" s="56" t="s">
        <v>50</v>
      </c>
      <c r="G25" s="44">
        <v>1</v>
      </c>
      <c r="H25" s="129">
        <f>IF(B$17=0,0,G25/B$17)</f>
        <v>3.937007874015748E-3</v>
      </c>
      <c r="I25" s="90">
        <v>2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-8206.5868263473058</v>
      </c>
      <c r="C26" s="137">
        <v>-1370500</v>
      </c>
      <c r="E26" s="59" t="s">
        <v>73</v>
      </c>
      <c r="F26" s="56" t="s">
        <v>28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3.5629453681710215E-3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9F3F6-5687-4280-9BCF-F6A38CE73CB0}">
  <sheetPr codeName="Sheet13"/>
  <dimension ref="A1:Q6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63</v>
      </c>
      <c r="C2" s="149"/>
      <c r="E2" s="58" t="s">
        <v>66</v>
      </c>
      <c r="F2" s="55" t="s">
        <v>22</v>
      </c>
      <c r="G2" s="43">
        <v>114</v>
      </c>
      <c r="H2" s="128">
        <f>IF(B$17=0,0,G2/B$17)</f>
        <v>0.77027027027027029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-391.93548387096774</v>
      </c>
      <c r="P2" s="114">
        <v>62</v>
      </c>
      <c r="Q2" s="98">
        <v>-24300</v>
      </c>
    </row>
    <row r="3" spans="1:17" x14ac:dyDescent="0.4">
      <c r="A3" s="51" t="s">
        <v>8</v>
      </c>
      <c r="B3" s="150">
        <v>528</v>
      </c>
      <c r="C3" s="151"/>
      <c r="E3" s="59" t="s">
        <v>64</v>
      </c>
      <c r="F3" s="56" t="s">
        <v>20</v>
      </c>
      <c r="G3" s="44">
        <v>88</v>
      </c>
      <c r="H3" s="129">
        <f>IF(B$17=0,0,G3/B$17)</f>
        <v>0.59459459459459463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0"/>
        <v>-941.93548387096769</v>
      </c>
      <c r="P3" s="115">
        <v>62</v>
      </c>
      <c r="Q3" s="99">
        <v>-58400</v>
      </c>
    </row>
    <row r="4" spans="1:17" x14ac:dyDescent="0.4">
      <c r="A4" s="51" t="s">
        <v>6</v>
      </c>
      <c r="B4" s="152">
        <v>-457.29999999999995</v>
      </c>
      <c r="C4" s="153"/>
      <c r="E4" s="59" t="s">
        <v>72</v>
      </c>
      <c r="F4" s="56" t="s">
        <v>27</v>
      </c>
      <c r="G4" s="44">
        <v>74</v>
      </c>
      <c r="H4" s="129">
        <f>IF(B$17=0,0,G4/B$17)</f>
        <v>0.5</v>
      </c>
      <c r="I4" s="90">
        <v>7</v>
      </c>
      <c r="K4" s="36">
        <v>2</v>
      </c>
      <c r="L4" s="95">
        <v>-30.099999999999998</v>
      </c>
      <c r="N4" s="111" t="s">
        <v>132</v>
      </c>
      <c r="O4" s="118">
        <f t="shared" si="0"/>
        <v>756.89655172413791</v>
      </c>
      <c r="P4" s="115">
        <v>58</v>
      </c>
      <c r="Q4" s="99">
        <v>43900</v>
      </c>
    </row>
    <row r="5" spans="1:17" x14ac:dyDescent="0.4">
      <c r="A5" s="51" t="s">
        <v>7</v>
      </c>
      <c r="B5" s="154">
        <f>IF(B$2=0,0,B$4/B$2)</f>
        <v>-7.2587301587301578</v>
      </c>
      <c r="C5" s="155"/>
      <c r="E5" s="59" t="s">
        <v>171</v>
      </c>
      <c r="F5" s="56" t="s">
        <v>172</v>
      </c>
      <c r="G5" s="44">
        <v>60</v>
      </c>
      <c r="H5" s="129">
        <f>IF(B$17=0,0,G5/B$17)</f>
        <v>0.40540540540540543</v>
      </c>
      <c r="I5" s="90">
        <v>3</v>
      </c>
      <c r="K5" s="36">
        <v>3</v>
      </c>
      <c r="L5" s="95">
        <v>-17.599999999999998</v>
      </c>
      <c r="N5" s="111" t="s">
        <v>133</v>
      </c>
      <c r="O5" s="118">
        <f t="shared" si="0"/>
        <v>-1361.4035087719299</v>
      </c>
      <c r="P5" s="115">
        <v>57</v>
      </c>
      <c r="Q5" s="99">
        <v>-77600</v>
      </c>
    </row>
    <row r="6" spans="1:17" x14ac:dyDescent="0.4">
      <c r="A6" s="51" t="s">
        <v>1</v>
      </c>
      <c r="B6" s="144">
        <f>IF(B$2=0,0,(B$7*1+B$8*2+B$9*3)/B$2)</f>
        <v>2.1904761904761907</v>
      </c>
      <c r="C6" s="145"/>
      <c r="E6" s="59" t="s">
        <v>68</v>
      </c>
      <c r="F6" s="56" t="s">
        <v>12</v>
      </c>
      <c r="G6" s="44">
        <v>52</v>
      </c>
      <c r="H6" s="129">
        <f>IF(B$17=0,0,G6/B$17)</f>
        <v>0.35135135135135137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-3379.6296296296296</v>
      </c>
      <c r="P6" s="115">
        <v>54</v>
      </c>
      <c r="Q6" s="99">
        <v>-182500</v>
      </c>
    </row>
    <row r="7" spans="1:17" x14ac:dyDescent="0.4">
      <c r="A7" s="51" t="s">
        <v>2</v>
      </c>
      <c r="B7" s="44">
        <v>13</v>
      </c>
      <c r="C7" s="37">
        <f t="shared" ref="C7:C12" si="1">IF(B$2=0,0,B7/B$2)</f>
        <v>0.20634920634920634</v>
      </c>
      <c r="E7" s="59" t="s">
        <v>67</v>
      </c>
      <c r="F7" s="56" t="s">
        <v>23</v>
      </c>
      <c r="G7" s="44">
        <v>46</v>
      </c>
      <c r="H7" s="129">
        <f>IF(B$17=0,0,G7/B$17)</f>
        <v>0.3108108108108108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-1283.3333333333333</v>
      </c>
      <c r="P7" s="116">
        <v>48</v>
      </c>
      <c r="Q7" s="100">
        <v>-61600</v>
      </c>
    </row>
    <row r="8" spans="1:17" x14ac:dyDescent="0.4">
      <c r="A8" s="51" t="s">
        <v>3</v>
      </c>
      <c r="B8" s="44">
        <v>25</v>
      </c>
      <c r="C8" s="37">
        <f t="shared" si="1"/>
        <v>0.3968253968253968</v>
      </c>
      <c r="E8" s="59" t="s">
        <v>70</v>
      </c>
      <c r="F8" s="56" t="s">
        <v>25</v>
      </c>
      <c r="G8" s="44">
        <v>24</v>
      </c>
      <c r="H8" s="129">
        <f>IF(B$17=0,0,G8/B$17)</f>
        <v>0.16216216216216217</v>
      </c>
      <c r="I8" s="90">
        <v>1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25</v>
      </c>
      <c r="C9" s="38">
        <f t="shared" si="1"/>
        <v>0.3968253968253968</v>
      </c>
      <c r="E9" s="59" t="s">
        <v>69</v>
      </c>
      <c r="F9" s="56" t="s">
        <v>24</v>
      </c>
      <c r="G9" s="44">
        <v>22</v>
      </c>
      <c r="H9" s="129">
        <f>IF(B$17=0,0,G9/B$17)</f>
        <v>0.14864864864864866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9.5238095238095233E-2</v>
      </c>
      <c r="E10" s="59" t="s">
        <v>65</v>
      </c>
      <c r="F10" s="56" t="s">
        <v>21</v>
      </c>
      <c r="G10" s="44">
        <v>17</v>
      </c>
      <c r="H10" s="129">
        <f>IF(B$17=0,0,G10/B$17)</f>
        <v>0.11486486486486487</v>
      </c>
      <c r="I10" s="90">
        <v>5</v>
      </c>
      <c r="K10" s="36">
        <v>8</v>
      </c>
      <c r="L10" s="95">
        <v>-62.999999999999993</v>
      </c>
      <c r="N10" s="110" t="s">
        <v>162</v>
      </c>
      <c r="O10" s="120">
        <f>IF(P10=0,0,Q10/P10)</f>
        <v>-2.7916666666666679</v>
      </c>
      <c r="P10" s="114">
        <v>24</v>
      </c>
      <c r="Q10" s="102">
        <v>-67.000000000000028</v>
      </c>
    </row>
    <row r="11" spans="1:17" x14ac:dyDescent="0.4">
      <c r="A11" s="52" t="s">
        <v>138</v>
      </c>
      <c r="B11" s="45">
        <v>2</v>
      </c>
      <c r="C11" s="38">
        <f t="shared" si="1"/>
        <v>3.1746031746031744E-2</v>
      </c>
      <c r="E11" s="59" t="s">
        <v>89</v>
      </c>
      <c r="F11" s="56" t="s">
        <v>44</v>
      </c>
      <c r="G11" s="44">
        <v>14</v>
      </c>
      <c r="H11" s="129">
        <f>IF(B$17=0,0,G11/B$17)</f>
        <v>9.45945945945946E-2</v>
      </c>
      <c r="I11" s="90">
        <v>9</v>
      </c>
      <c r="K11" s="36">
        <v>9</v>
      </c>
      <c r="L11" s="95">
        <v>-74.199999999999989</v>
      </c>
      <c r="N11" s="111" t="s">
        <v>163</v>
      </c>
      <c r="O11" s="121">
        <f>IF(P11=0,0,Q11/P11)</f>
        <v>-7.2949999999999999</v>
      </c>
      <c r="P11" s="115">
        <v>20</v>
      </c>
      <c r="Q11" s="103">
        <v>-145.9</v>
      </c>
    </row>
    <row r="12" spans="1:17" x14ac:dyDescent="0.4">
      <c r="A12" s="53" t="s">
        <v>158</v>
      </c>
      <c r="B12" s="46">
        <v>5</v>
      </c>
      <c r="C12" s="40">
        <f t="shared" si="1"/>
        <v>7.9365079365079361E-2</v>
      </c>
      <c r="E12" s="59" t="s">
        <v>83</v>
      </c>
      <c r="F12" s="56" t="s">
        <v>38</v>
      </c>
      <c r="G12" s="44">
        <v>9</v>
      </c>
      <c r="H12" s="129">
        <f>IF(B$17=0,0,G12/B$17)</f>
        <v>6.0810810810810814E-2</v>
      </c>
      <c r="I12" s="90">
        <v>5</v>
      </c>
      <c r="K12" s="36">
        <v>10</v>
      </c>
      <c r="L12" s="95">
        <v>-117.19999999999999</v>
      </c>
      <c r="N12" s="112" t="s">
        <v>164</v>
      </c>
      <c r="O12" s="122">
        <f>IF(P12=0,0,Q12/P12)</f>
        <v>-12.86315789473684</v>
      </c>
      <c r="P12" s="116">
        <v>19</v>
      </c>
      <c r="Q12" s="104">
        <v>-244.39999999999998</v>
      </c>
    </row>
    <row r="13" spans="1:17" x14ac:dyDescent="0.4">
      <c r="A13" s="54" t="s">
        <v>121</v>
      </c>
      <c r="B13" s="47">
        <v>154</v>
      </c>
      <c r="C13" s="42">
        <f>IF(B$3=0,0,B13/B$3)</f>
        <v>0.29166666666666669</v>
      </c>
      <c r="E13" s="59" t="s">
        <v>71</v>
      </c>
      <c r="F13" s="56" t="s">
        <v>26</v>
      </c>
      <c r="G13" s="44">
        <v>7</v>
      </c>
      <c r="H13" s="129">
        <f>IF(B$17=0,0,G13/B$17)</f>
        <v>4.72972972972973E-2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99</v>
      </c>
      <c r="C14" s="37">
        <f>IF(B$3=0,0,B14/B$3)</f>
        <v>0.1875</v>
      </c>
      <c r="E14" s="59" t="s">
        <v>78</v>
      </c>
      <c r="F14" s="56" t="s">
        <v>33</v>
      </c>
      <c r="G14" s="44">
        <v>6</v>
      </c>
      <c r="H14" s="129">
        <f>IF(B$17=0,0,G14/B$17)</f>
        <v>4.0540540540540543E-2</v>
      </c>
      <c r="I14" s="90">
        <v>2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90</v>
      </c>
      <c r="C15" s="35">
        <f>IF(B$13=0,0,B15/B$13)</f>
        <v>0.58441558441558439</v>
      </c>
      <c r="E15" s="59" t="s">
        <v>86</v>
      </c>
      <c r="F15" s="56" t="s">
        <v>41</v>
      </c>
      <c r="G15" s="44">
        <v>4</v>
      </c>
      <c r="H15" s="129">
        <f>IF(B$17=0,0,G15/B$17)</f>
        <v>2.7027027027027029E-2</v>
      </c>
      <c r="I15" s="90">
        <v>10</v>
      </c>
      <c r="K15" s="36">
        <v>13</v>
      </c>
      <c r="L15" s="95">
        <v>-207.3</v>
      </c>
      <c r="N15" s="110" t="s">
        <v>182</v>
      </c>
      <c r="O15" s="120">
        <f t="shared" ref="O15:O22" si="2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38</v>
      </c>
      <c r="C16" s="35">
        <f>IF(B$14=0,0,B16/B$14)</f>
        <v>0.38383838383838381</v>
      </c>
      <c r="E16" s="59" t="s">
        <v>81</v>
      </c>
      <c r="F16" s="56" t="s">
        <v>36</v>
      </c>
      <c r="G16" s="44">
        <v>3</v>
      </c>
      <c r="H16" s="129">
        <f>IF(B$17=0,0,G16/B$17)</f>
        <v>2.0270270270270271E-2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 t="shared" si="2"/>
        <v>7.0692307692307699</v>
      </c>
      <c r="P16" s="115">
        <v>13</v>
      </c>
      <c r="Q16" s="103">
        <v>91.9</v>
      </c>
    </row>
    <row r="17" spans="1:17" x14ac:dyDescent="0.4">
      <c r="A17" s="50" t="s">
        <v>10</v>
      </c>
      <c r="B17" s="43">
        <f>B19+B18</f>
        <v>148</v>
      </c>
      <c r="C17" s="35">
        <f>IF(B$3=0,0,B17/B$3)</f>
        <v>0.28030303030303028</v>
      </c>
      <c r="E17" s="59" t="s">
        <v>167</v>
      </c>
      <c r="F17" s="56" t="s">
        <v>168</v>
      </c>
      <c r="G17" s="44">
        <v>3</v>
      </c>
      <c r="H17" s="129">
        <f>IF(B$17=0,0,G17/B$17)</f>
        <v>2.0270270270270271E-2</v>
      </c>
      <c r="I17" s="90">
        <v>5</v>
      </c>
      <c r="K17" s="36">
        <v>15</v>
      </c>
      <c r="L17" s="95">
        <v>-221.5</v>
      </c>
      <c r="N17" s="111" t="s">
        <v>181</v>
      </c>
      <c r="O17" s="121">
        <f t="shared" si="2"/>
        <v>-5.2999999999999989</v>
      </c>
      <c r="P17" s="115">
        <v>9</v>
      </c>
      <c r="Q17" s="103">
        <v>-47.699999999999989</v>
      </c>
    </row>
    <row r="18" spans="1:17" x14ac:dyDescent="0.4">
      <c r="A18" s="51" t="s">
        <v>12</v>
      </c>
      <c r="B18" s="44">
        <v>67</v>
      </c>
      <c r="C18" s="37">
        <f>IF(B$17=0,0,B18/B$17)</f>
        <v>0.45270270270270269</v>
      </c>
      <c r="E18" s="59" t="s">
        <v>75</v>
      </c>
      <c r="F18" s="56" t="s">
        <v>30</v>
      </c>
      <c r="G18" s="44">
        <v>2</v>
      </c>
      <c r="H18" s="129">
        <f>IF(B$17=0,0,G18/B$17)</f>
        <v>1.3513513513513514E-2</v>
      </c>
      <c r="I18" s="90">
        <v>2</v>
      </c>
      <c r="K18" s="36">
        <v>16</v>
      </c>
      <c r="L18" s="95">
        <v>-224.3</v>
      </c>
      <c r="N18" s="111" t="s">
        <v>177</v>
      </c>
      <c r="O18" s="121">
        <f t="shared" si="2"/>
        <v>-6.6222222222222209</v>
      </c>
      <c r="P18" s="115">
        <v>9</v>
      </c>
      <c r="Q18" s="103">
        <v>-59.599999999999987</v>
      </c>
    </row>
    <row r="19" spans="1:17" x14ac:dyDescent="0.4">
      <c r="A19" s="51" t="s">
        <v>11</v>
      </c>
      <c r="B19" s="44">
        <v>81</v>
      </c>
      <c r="C19" s="37">
        <f>IF(B$17=0,0,B19/B$17)</f>
        <v>0.54729729729729726</v>
      </c>
      <c r="E19" s="59" t="s">
        <v>79</v>
      </c>
      <c r="F19" s="56" t="s">
        <v>34</v>
      </c>
      <c r="G19" s="44">
        <v>2</v>
      </c>
      <c r="H19" s="129">
        <f>IF(B$17=0,0,G19/B$17)</f>
        <v>1.3513513513513514E-2</v>
      </c>
      <c r="I19" s="90">
        <v>4</v>
      </c>
      <c r="K19" s="36">
        <v>17</v>
      </c>
      <c r="L19" s="95">
        <v>-251.4</v>
      </c>
      <c r="N19" s="111" t="s">
        <v>127</v>
      </c>
      <c r="O19" s="121">
        <f t="shared" si="2"/>
        <v>-11.37096774193548</v>
      </c>
      <c r="P19" s="115">
        <v>31</v>
      </c>
      <c r="Q19" s="103">
        <v>-352.49999999999989</v>
      </c>
    </row>
    <row r="20" spans="1:17" x14ac:dyDescent="0.4">
      <c r="A20" s="51" t="s">
        <v>13</v>
      </c>
      <c r="B20" s="44">
        <v>110</v>
      </c>
      <c r="C20" s="37">
        <f>IF(B$3=0,0,B20/B$3)</f>
        <v>0.20833333333333334</v>
      </c>
      <c r="E20" s="59" t="s">
        <v>91</v>
      </c>
      <c r="F20" s="56" t="s">
        <v>46</v>
      </c>
      <c r="G20" s="44">
        <v>1</v>
      </c>
      <c r="H20" s="129">
        <f>IF(B$17=0,0,G20/B$17)</f>
        <v>6.7567567567567571E-3</v>
      </c>
      <c r="I20" s="90">
        <v>6</v>
      </c>
      <c r="K20" s="36">
        <v>18</v>
      </c>
      <c r="L20" s="95">
        <v>-240</v>
      </c>
      <c r="N20" s="111" t="s">
        <v>178</v>
      </c>
      <c r="O20" s="121">
        <f t="shared" si="2"/>
        <v>-12.900000000000002</v>
      </c>
      <c r="P20" s="115">
        <v>19</v>
      </c>
      <c r="Q20" s="103">
        <v>-245.10000000000005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-218</v>
      </c>
      <c r="N21" s="111" t="s">
        <v>126</v>
      </c>
      <c r="O21" s="121">
        <f t="shared" si="2"/>
        <v>-16.932558139534891</v>
      </c>
      <c r="P21" s="115">
        <v>43</v>
      </c>
      <c r="Q21" s="103">
        <v>-728.10000000000025</v>
      </c>
    </row>
    <row r="22" spans="1:17" x14ac:dyDescent="0.4">
      <c r="A22" s="51" t="s">
        <v>170</v>
      </c>
      <c r="B22" s="44">
        <v>21</v>
      </c>
      <c r="C22" s="131">
        <v>10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-177.6</v>
      </c>
      <c r="N22" s="111" t="s">
        <v>195</v>
      </c>
      <c r="O22" s="121">
        <f t="shared" si="2"/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8081.0810810810808</v>
      </c>
      <c r="C23" s="39">
        <v>1196000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8590.9090909090901</v>
      </c>
      <c r="C24" s="137">
        <v>945000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6605.2631578947367</v>
      </c>
      <c r="C25" s="137">
        <v>251000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-7611.818181818182</v>
      </c>
      <c r="C26" s="137">
        <v>-837300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69500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3</v>
      </c>
      <c r="C29" s="40">
        <f>IF(B$3=0,0,B29/B$3)</f>
        <v>5.681818181818182E-3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</sheetData>
  <sortState xmlns:xlrd2="http://schemas.microsoft.com/office/spreadsheetml/2017/richdata2" ref="E2:I66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030EB-27DA-49E0-ABB3-D551961A85FA}">
  <sheetPr codeName="Sheet15"/>
  <dimension ref="A1:Q6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58</v>
      </c>
      <c r="C2" s="149"/>
      <c r="E2" s="58" t="s">
        <v>66</v>
      </c>
      <c r="F2" s="55" t="s">
        <v>22</v>
      </c>
      <c r="G2" s="43">
        <v>113</v>
      </c>
      <c r="H2" s="128">
        <f>IF(B$17=0,0,G2/B$17)</f>
        <v>0.8188405797101449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2300</v>
      </c>
      <c r="P2" s="114">
        <v>58</v>
      </c>
      <c r="Q2" s="98">
        <v>133400</v>
      </c>
    </row>
    <row r="3" spans="1:17" x14ac:dyDescent="0.4">
      <c r="A3" s="51" t="s">
        <v>8</v>
      </c>
      <c r="B3" s="150">
        <v>465</v>
      </c>
      <c r="C3" s="151"/>
      <c r="E3" s="59" t="s">
        <v>72</v>
      </c>
      <c r="F3" s="56" t="s">
        <v>27</v>
      </c>
      <c r="G3" s="44">
        <v>77</v>
      </c>
      <c r="H3" s="129">
        <f>IF(B$17=0,0,G3/B$17)</f>
        <v>0.55797101449275366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-2180.3571428571427</v>
      </c>
      <c r="P3" s="115">
        <v>56</v>
      </c>
      <c r="Q3" s="99">
        <v>-122100</v>
      </c>
    </row>
    <row r="4" spans="1:17" x14ac:dyDescent="0.4">
      <c r="A4" s="51" t="s">
        <v>6</v>
      </c>
      <c r="B4" s="152">
        <v>308.80000000000007</v>
      </c>
      <c r="C4" s="153"/>
      <c r="E4" s="59" t="s">
        <v>64</v>
      </c>
      <c r="F4" s="56" t="s">
        <v>20</v>
      </c>
      <c r="G4" s="44">
        <v>72</v>
      </c>
      <c r="H4" s="129">
        <f>IF(B$17=0,0,G4/B$17)</f>
        <v>0.52173913043478259</v>
      </c>
      <c r="I4" s="90">
        <v>4</v>
      </c>
      <c r="K4" s="36">
        <v>2</v>
      </c>
      <c r="L4" s="95">
        <v>-67.3</v>
      </c>
      <c r="N4" s="111" t="s">
        <v>132</v>
      </c>
      <c r="O4" s="118">
        <f t="shared" si="0"/>
        <v>1734.6153846153845</v>
      </c>
      <c r="P4" s="115">
        <v>52</v>
      </c>
      <c r="Q4" s="99">
        <v>90200</v>
      </c>
    </row>
    <row r="5" spans="1:17" x14ac:dyDescent="0.4">
      <c r="A5" s="51" t="s">
        <v>7</v>
      </c>
      <c r="B5" s="154">
        <f>IF(B$2=0,0,B$4/B$2)</f>
        <v>5.3241379310344836</v>
      </c>
      <c r="C5" s="155"/>
      <c r="E5" s="59" t="s">
        <v>67</v>
      </c>
      <c r="F5" s="56" t="s">
        <v>23</v>
      </c>
      <c r="G5" s="44">
        <v>59</v>
      </c>
      <c r="H5" s="129">
        <f>IF(B$17=0,0,G5/B$17)</f>
        <v>0.42753623188405798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3738</v>
      </c>
      <c r="P5" s="115">
        <v>50</v>
      </c>
      <c r="Q5" s="99">
        <v>186900</v>
      </c>
    </row>
    <row r="6" spans="1:17" x14ac:dyDescent="0.4">
      <c r="A6" s="51" t="s">
        <v>1</v>
      </c>
      <c r="B6" s="144">
        <f>IF(B$2=0,0,(B$7*1+B$8*2+B$9*3)/B$2)</f>
        <v>1.8793103448275863</v>
      </c>
      <c r="C6" s="145"/>
      <c r="E6" s="59" t="s">
        <v>68</v>
      </c>
      <c r="F6" s="56" t="s">
        <v>12</v>
      </c>
      <c r="G6" s="44">
        <v>52</v>
      </c>
      <c r="H6" s="129">
        <f>IF(B$17=0,0,G6/B$17)</f>
        <v>0.37681159420289856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-810.86956521739125</v>
      </c>
      <c r="P6" s="115">
        <v>46</v>
      </c>
      <c r="Q6" s="99">
        <v>-37300</v>
      </c>
    </row>
    <row r="7" spans="1:17" x14ac:dyDescent="0.4">
      <c r="A7" s="51" t="s">
        <v>2</v>
      </c>
      <c r="B7" s="44">
        <v>25</v>
      </c>
      <c r="C7" s="37">
        <f t="shared" ref="C7:C12" si="1">IF(B$2=0,0,B7/B$2)</f>
        <v>0.43103448275862066</v>
      </c>
      <c r="E7" s="59" t="s">
        <v>171</v>
      </c>
      <c r="F7" s="56" t="s">
        <v>172</v>
      </c>
      <c r="G7" s="44">
        <v>52</v>
      </c>
      <c r="H7" s="129">
        <f>IF(B$17=0,0,G7/B$17)</f>
        <v>0.37681159420289856</v>
      </c>
      <c r="I7" s="90">
        <v>7</v>
      </c>
      <c r="K7" s="36">
        <v>5</v>
      </c>
      <c r="L7" s="95">
        <v>-118.3</v>
      </c>
      <c r="N7" s="112" t="s">
        <v>135</v>
      </c>
      <c r="O7" s="119">
        <f t="shared" si="0"/>
        <v>-300</v>
      </c>
      <c r="P7" s="116">
        <v>37</v>
      </c>
      <c r="Q7" s="100">
        <v>-11100</v>
      </c>
    </row>
    <row r="8" spans="1:17" x14ac:dyDescent="0.4">
      <c r="A8" s="51" t="s">
        <v>3</v>
      </c>
      <c r="B8" s="44">
        <v>15</v>
      </c>
      <c r="C8" s="37">
        <f t="shared" si="1"/>
        <v>0.25862068965517243</v>
      </c>
      <c r="E8" s="59" t="s">
        <v>69</v>
      </c>
      <c r="F8" s="56" t="s">
        <v>24</v>
      </c>
      <c r="G8" s="44">
        <v>31</v>
      </c>
      <c r="H8" s="129">
        <f>IF(B$17=0,0,G8/B$17)</f>
        <v>0.22463768115942029</v>
      </c>
      <c r="I8" s="90">
        <v>1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18</v>
      </c>
      <c r="C9" s="38">
        <f t="shared" si="1"/>
        <v>0.31034482758620691</v>
      </c>
      <c r="E9" s="59" t="s">
        <v>89</v>
      </c>
      <c r="F9" s="56" t="s">
        <v>44</v>
      </c>
      <c r="G9" s="44">
        <v>30</v>
      </c>
      <c r="H9" s="129">
        <f>IF(B$17=0,0,G9/B$17)</f>
        <v>0.21739130434782608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8.6206896551724144E-2</v>
      </c>
      <c r="E10" s="59" t="s">
        <v>65</v>
      </c>
      <c r="F10" s="56" t="s">
        <v>21</v>
      </c>
      <c r="G10" s="44">
        <v>17</v>
      </c>
      <c r="H10" s="129">
        <f>IF(B$17=0,0,G10/B$17)</f>
        <v>0.12318840579710146</v>
      </c>
      <c r="I10" s="90">
        <v>3</v>
      </c>
      <c r="K10" s="36">
        <v>8</v>
      </c>
      <c r="L10" s="95">
        <v>-110.19999999999999</v>
      </c>
      <c r="N10" s="110" t="s">
        <v>162</v>
      </c>
      <c r="O10" s="120">
        <f>IF(P10=0,0,Q10/P10)</f>
        <v>9.3529411764705905</v>
      </c>
      <c r="P10" s="114">
        <v>17</v>
      </c>
      <c r="Q10" s="102">
        <v>159.00000000000003</v>
      </c>
    </row>
    <row r="11" spans="1:17" x14ac:dyDescent="0.4">
      <c r="A11" s="52" t="s">
        <v>138</v>
      </c>
      <c r="B11" s="45">
        <v>11</v>
      </c>
      <c r="C11" s="38">
        <f t="shared" si="1"/>
        <v>0.18965517241379309</v>
      </c>
      <c r="E11" s="59" t="s">
        <v>70</v>
      </c>
      <c r="F11" s="56" t="s">
        <v>25</v>
      </c>
      <c r="G11" s="44">
        <v>15</v>
      </c>
      <c r="H11" s="129">
        <f>IF(B$17=0,0,G11/B$17)</f>
        <v>0.10869565217391304</v>
      </c>
      <c r="I11" s="90">
        <v>4</v>
      </c>
      <c r="K11" s="36">
        <v>9</v>
      </c>
      <c r="L11" s="95">
        <v>-120.99999999999999</v>
      </c>
      <c r="N11" s="111" t="s">
        <v>163</v>
      </c>
      <c r="O11" s="121">
        <f>IF(P11=0,0,Q11/P11)</f>
        <v>6.5192307692307683</v>
      </c>
      <c r="P11" s="115">
        <v>26</v>
      </c>
      <c r="Q11" s="103">
        <v>169.49999999999997</v>
      </c>
    </row>
    <row r="12" spans="1:17" x14ac:dyDescent="0.4">
      <c r="A12" s="53" t="s">
        <v>158</v>
      </c>
      <c r="B12" s="46">
        <v>6</v>
      </c>
      <c r="C12" s="40">
        <f t="shared" si="1"/>
        <v>0.10344827586206896</v>
      </c>
      <c r="E12" s="59" t="s">
        <v>167</v>
      </c>
      <c r="F12" s="56" t="s">
        <v>168</v>
      </c>
      <c r="G12" s="44">
        <v>9</v>
      </c>
      <c r="H12" s="129">
        <f>IF(B$17=0,0,G12/B$17)</f>
        <v>6.5217391304347824E-2</v>
      </c>
      <c r="I12" s="90">
        <v>1</v>
      </c>
      <c r="K12" s="36">
        <v>10</v>
      </c>
      <c r="L12" s="95">
        <v>-113.29999999999998</v>
      </c>
      <c r="N12" s="112" t="s">
        <v>164</v>
      </c>
      <c r="O12" s="122">
        <f>IF(P12=0,0,Q12/P12)</f>
        <v>-1.313333333333333</v>
      </c>
      <c r="P12" s="116">
        <v>15</v>
      </c>
      <c r="Q12" s="104">
        <v>-19.699999999999996</v>
      </c>
    </row>
    <row r="13" spans="1:17" x14ac:dyDescent="0.4">
      <c r="A13" s="54" t="s">
        <v>121</v>
      </c>
      <c r="B13" s="47">
        <v>150</v>
      </c>
      <c r="C13" s="42">
        <f>IF(B$3=0,0,B13/B$3)</f>
        <v>0.32258064516129031</v>
      </c>
      <c r="E13" s="59" t="s">
        <v>71</v>
      </c>
      <c r="F13" s="56" t="s">
        <v>26</v>
      </c>
      <c r="G13" s="44">
        <v>7</v>
      </c>
      <c r="H13" s="129">
        <f>IF(B$17=0,0,G13/B$17)</f>
        <v>5.0724637681159424E-2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82</v>
      </c>
      <c r="C14" s="37">
        <f>IF(B$3=0,0,B14/B$3)</f>
        <v>0.17634408602150536</v>
      </c>
      <c r="E14" s="59" t="s">
        <v>83</v>
      </c>
      <c r="F14" s="56" t="s">
        <v>38</v>
      </c>
      <c r="G14" s="44">
        <v>6</v>
      </c>
      <c r="H14" s="129">
        <f>IF(B$17=0,0,G14/B$17)</f>
        <v>4.3478260869565216E-2</v>
      </c>
      <c r="I14" s="90">
        <v>9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82</v>
      </c>
      <c r="C15" s="35">
        <f>IF(B$13=0,0,B15/B$13)</f>
        <v>0.54666666666666663</v>
      </c>
      <c r="E15" s="59" t="s">
        <v>86</v>
      </c>
      <c r="F15" s="56" t="s">
        <v>41</v>
      </c>
      <c r="G15" s="44">
        <v>4</v>
      </c>
      <c r="H15" s="129">
        <f>IF(B$17=0,0,G15/B$17)</f>
        <v>2.8985507246376812E-2</v>
      </c>
      <c r="I15" s="90">
        <v>8</v>
      </c>
      <c r="K15" s="36">
        <v>13</v>
      </c>
      <c r="L15" s="95">
        <v>-132.39999999999998</v>
      </c>
      <c r="N15" s="110" t="s">
        <v>195</v>
      </c>
      <c r="O15" s="120">
        <f t="shared" ref="O15:O22" si="2"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37</v>
      </c>
      <c r="C16" s="35">
        <f>IF(B$14=0,0,B16/B$14)</f>
        <v>0.45121951219512196</v>
      </c>
      <c r="E16" s="59" t="s">
        <v>81</v>
      </c>
      <c r="F16" s="56" t="s">
        <v>36</v>
      </c>
      <c r="G16" s="44">
        <v>3</v>
      </c>
      <c r="H16" s="129">
        <f>IF(B$17=0,0,G16/B$17)</f>
        <v>2.1739130434782608E-2</v>
      </c>
      <c r="I16" s="90">
        <v>4</v>
      </c>
      <c r="K16" s="36">
        <v>14</v>
      </c>
      <c r="L16" s="95">
        <v>-86.499999999999972</v>
      </c>
      <c r="N16" s="111" t="s">
        <v>166</v>
      </c>
      <c r="O16" s="121">
        <f t="shared" si="2"/>
        <v>24.400000000000002</v>
      </c>
      <c r="P16" s="115">
        <v>7</v>
      </c>
      <c r="Q16" s="103">
        <v>170.8</v>
      </c>
    </row>
    <row r="17" spans="1:17" x14ac:dyDescent="0.4">
      <c r="A17" s="50" t="s">
        <v>10</v>
      </c>
      <c r="B17" s="43">
        <f>B19+B18</f>
        <v>138</v>
      </c>
      <c r="C17" s="35">
        <f>IF(B$3=0,0,B17/B$3)</f>
        <v>0.29677419354838708</v>
      </c>
      <c r="E17" s="59" t="s">
        <v>92</v>
      </c>
      <c r="F17" s="56" t="s">
        <v>47</v>
      </c>
      <c r="G17" s="44">
        <v>3</v>
      </c>
      <c r="H17" s="129">
        <f>IF(B$17=0,0,G17/B$17)</f>
        <v>2.1739130434782608E-2</v>
      </c>
      <c r="I17" s="90">
        <v>1</v>
      </c>
      <c r="K17" s="36">
        <v>15</v>
      </c>
      <c r="L17" s="95">
        <v>-101.79999999999997</v>
      </c>
      <c r="N17" s="111" t="s">
        <v>182</v>
      </c>
      <c r="O17" s="121">
        <f t="shared" si="2"/>
        <v>20.7</v>
      </c>
      <c r="P17" s="115">
        <v>12</v>
      </c>
      <c r="Q17" s="103">
        <v>248.39999999999998</v>
      </c>
    </row>
    <row r="18" spans="1:17" x14ac:dyDescent="0.4">
      <c r="A18" s="51" t="s">
        <v>12</v>
      </c>
      <c r="B18" s="44">
        <v>67</v>
      </c>
      <c r="C18" s="37">
        <f>IF(B$17=0,0,B18/B$17)</f>
        <v>0.48550724637681159</v>
      </c>
      <c r="E18" s="59" t="s">
        <v>91</v>
      </c>
      <c r="F18" s="56" t="s">
        <v>46</v>
      </c>
      <c r="G18" s="44">
        <v>2</v>
      </c>
      <c r="H18" s="129">
        <f>IF(B$17=0,0,G18/B$17)</f>
        <v>1.4492753623188406E-2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 t="shared" si="2"/>
        <v>17.729032258064517</v>
      </c>
      <c r="P18" s="115">
        <v>31</v>
      </c>
      <c r="Q18" s="103">
        <v>549.6</v>
      </c>
    </row>
    <row r="19" spans="1:17" x14ac:dyDescent="0.4">
      <c r="A19" s="51" t="s">
        <v>11</v>
      </c>
      <c r="B19" s="44">
        <v>71</v>
      </c>
      <c r="C19" s="37">
        <f>IF(B$17=0,0,B19/B$17)</f>
        <v>0.51449275362318836</v>
      </c>
      <c r="E19" s="59" t="s">
        <v>73</v>
      </c>
      <c r="F19" s="56" t="s">
        <v>28</v>
      </c>
      <c r="G19" s="44">
        <v>1</v>
      </c>
      <c r="H19" s="129">
        <f>IF(B$17=0,0,G19/B$17)</f>
        <v>7.246376811594203E-3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 t="shared" si="2"/>
        <v>7.2217391304347816</v>
      </c>
      <c r="P19" s="115">
        <v>23</v>
      </c>
      <c r="Q19" s="103">
        <v>166.09999999999997</v>
      </c>
    </row>
    <row r="20" spans="1:17" x14ac:dyDescent="0.4">
      <c r="A20" s="51" t="s">
        <v>13</v>
      </c>
      <c r="B20" s="44">
        <v>77</v>
      </c>
      <c r="C20" s="37">
        <f>IF(B$3=0,0,B20/B$3)</f>
        <v>0.16559139784946236</v>
      </c>
      <c r="E20" s="59" t="s">
        <v>75</v>
      </c>
      <c r="F20" s="56" t="s">
        <v>30</v>
      </c>
      <c r="G20" s="44">
        <v>1</v>
      </c>
      <c r="H20" s="129">
        <f>IF(B$17=0,0,G20/B$17)</f>
        <v>7.246376811594203E-3</v>
      </c>
      <c r="I20" s="90">
        <v>4</v>
      </c>
      <c r="K20" s="36">
        <v>18</v>
      </c>
      <c r="L20" s="95">
        <v>-24.999999999999968</v>
      </c>
      <c r="N20" s="111" t="s">
        <v>179</v>
      </c>
      <c r="O20" s="121">
        <f t="shared" si="2"/>
        <v>6.6222222222222209</v>
      </c>
      <c r="P20" s="115">
        <v>9</v>
      </c>
      <c r="Q20" s="103">
        <v>59.599999999999987</v>
      </c>
    </row>
    <row r="21" spans="1:17" x14ac:dyDescent="0.4">
      <c r="A21" s="51" t="s">
        <v>169</v>
      </c>
      <c r="B21" s="44">
        <v>3</v>
      </c>
      <c r="C21" s="131">
        <v>1</v>
      </c>
      <c r="E21" s="59" t="s">
        <v>78</v>
      </c>
      <c r="F21" s="56" t="s">
        <v>33</v>
      </c>
      <c r="G21" s="44">
        <v>1</v>
      </c>
      <c r="H21" s="129">
        <f>IF(B$17=0,0,G21/B$17)</f>
        <v>7.246376811594203E-3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 t="shared" si="2"/>
        <v>-7.6400000000000032</v>
      </c>
      <c r="P21" s="115">
        <v>25</v>
      </c>
      <c r="Q21" s="103">
        <v>-191.00000000000009</v>
      </c>
    </row>
    <row r="22" spans="1:17" x14ac:dyDescent="0.4">
      <c r="A22" s="51" t="s">
        <v>170</v>
      </c>
      <c r="B22" s="44">
        <v>25</v>
      </c>
      <c r="C22" s="131">
        <v>3</v>
      </c>
      <c r="E22" s="59" t="s">
        <v>85</v>
      </c>
      <c r="F22" s="56" t="s">
        <v>40</v>
      </c>
      <c r="G22" s="44">
        <v>1</v>
      </c>
      <c r="H22" s="129">
        <f>IF(B$17=0,0,G22/B$17)</f>
        <v>7.246376811594203E-3</v>
      </c>
      <c r="I22" s="90">
        <v>2</v>
      </c>
      <c r="K22" s="36">
        <v>20</v>
      </c>
      <c r="L22" s="95">
        <v>-50.39999999999997</v>
      </c>
      <c r="N22" s="111" t="s">
        <v>181</v>
      </c>
      <c r="O22" s="121">
        <f t="shared" si="2"/>
        <v>-28.342857142857145</v>
      </c>
      <c r="P22" s="115">
        <v>7</v>
      </c>
      <c r="Q22" s="103">
        <v>-198.4</v>
      </c>
    </row>
    <row r="23" spans="1:17" x14ac:dyDescent="0.4">
      <c r="A23" s="51" t="s">
        <v>5</v>
      </c>
      <c r="B23" s="48">
        <f>IF(B$17=0,0,C23/B$17)</f>
        <v>10410.144927536232</v>
      </c>
      <c r="C23" s="39">
        <v>1436600</v>
      </c>
      <c r="E23" s="59" t="s">
        <v>90</v>
      </c>
      <c r="F23" s="56" t="s">
        <v>45</v>
      </c>
      <c r="G23" s="44">
        <v>1</v>
      </c>
      <c r="H23" s="129">
        <f>IF(B$17=0,0,G23/B$17)</f>
        <v>7.246376811594203E-3</v>
      </c>
      <c r="I23" s="90">
        <v>1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11301.980198019803</v>
      </c>
      <c r="C24" s="137">
        <v>1141500</v>
      </c>
      <c r="E24" s="59" t="s">
        <v>93</v>
      </c>
      <c r="F24" s="56" t="s">
        <v>48</v>
      </c>
      <c r="G24" s="44">
        <v>1</v>
      </c>
      <c r="H24" s="129">
        <f>IF(B$17=0,0,G24/B$17)</f>
        <v>7.246376811594203E-3</v>
      </c>
      <c r="I24" s="90">
        <v>2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7975.6756756756758</v>
      </c>
      <c r="C25" s="137">
        <v>295100</v>
      </c>
      <c r="E25" s="59" t="s">
        <v>97</v>
      </c>
      <c r="F25" s="56" t="s">
        <v>52</v>
      </c>
      <c r="G25" s="44">
        <v>1</v>
      </c>
      <c r="H25" s="129">
        <f>IF(B$17=0,0,G25/B$17)</f>
        <v>7.246376811594203E-3</v>
      </c>
      <c r="I25" s="90">
        <v>1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-8136.363636363636</v>
      </c>
      <c r="C26" s="137">
        <v>-626500</v>
      </c>
      <c r="E26" s="59" t="s">
        <v>74</v>
      </c>
      <c r="F26" s="56" t="s">
        <v>29</v>
      </c>
      <c r="G26" s="44">
        <v>0</v>
      </c>
      <c r="H26" s="129">
        <f>IF(B$17=0,0,G26/B$17)</f>
        <v>0</v>
      </c>
      <c r="I26" s="90">
        <v>7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103600</v>
      </c>
      <c r="C28" s="141"/>
      <c r="E28" s="59" t="s">
        <v>77</v>
      </c>
      <c r="F28" s="56" t="s">
        <v>32</v>
      </c>
      <c r="G28" s="44">
        <v>0</v>
      </c>
      <c r="H28" s="129">
        <f>IF(B$17=0,0,G28/B$17)</f>
        <v>0</v>
      </c>
      <c r="I28" s="90">
        <v>5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79</v>
      </c>
      <c r="F29" s="56" t="s">
        <v>34</v>
      </c>
      <c r="G29" s="44">
        <v>0</v>
      </c>
      <c r="H29" s="129">
        <f>IF(B$17=0,0,G29/B$17)</f>
        <v>0</v>
      </c>
      <c r="I29" s="90">
        <v>7</v>
      </c>
      <c r="K29" s="36">
        <v>27</v>
      </c>
      <c r="L29" s="95">
        <v>-31.499999999999972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73.900000000000034</v>
      </c>
    </row>
    <row r="34" spans="5:12" x14ac:dyDescent="0.4">
      <c r="E34" s="59" t="s">
        <v>88</v>
      </c>
      <c r="F34" s="56" t="s">
        <v>43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96.100000000000037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112.00000000000004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110.00000000000004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</sheetData>
  <sortState xmlns:xlrd2="http://schemas.microsoft.com/office/spreadsheetml/2017/richdata2" ref="E2:I61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300ED-C805-4DCD-B869-84D750FE114A}">
  <sheetPr codeName="Sheet17"/>
  <dimension ref="A1:Q8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87</v>
      </c>
      <c r="C2" s="149"/>
      <c r="E2" s="58" t="s">
        <v>66</v>
      </c>
      <c r="F2" s="55" t="s">
        <v>22</v>
      </c>
      <c r="G2" s="43">
        <v>146</v>
      </c>
      <c r="H2" s="128">
        <f>IF(B$17=0,0,G2/B$17)</f>
        <v>0.74871794871794872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662.06896551724139</v>
      </c>
      <c r="P2" s="114">
        <v>87</v>
      </c>
      <c r="Q2" s="98">
        <v>57600</v>
      </c>
    </row>
    <row r="3" spans="1:17" x14ac:dyDescent="0.4">
      <c r="A3" s="51" t="s">
        <v>8</v>
      </c>
      <c r="B3" s="150">
        <v>690</v>
      </c>
      <c r="C3" s="151"/>
      <c r="E3" s="59" t="s">
        <v>72</v>
      </c>
      <c r="F3" s="56" t="s">
        <v>27</v>
      </c>
      <c r="G3" s="44">
        <v>117</v>
      </c>
      <c r="H3" s="129">
        <f>IF(B$17=0,0,G3/B$17)</f>
        <v>0.6</v>
      </c>
      <c r="I3" s="90">
        <v>2</v>
      </c>
      <c r="K3" s="36">
        <v>1</v>
      </c>
      <c r="L3" s="95">
        <v>46.9</v>
      </c>
      <c r="N3" s="111" t="s">
        <v>131</v>
      </c>
      <c r="O3" s="118">
        <f t="shared" si="0"/>
        <v>851.19047619047615</v>
      </c>
      <c r="P3" s="115">
        <v>84</v>
      </c>
      <c r="Q3" s="99">
        <v>71500</v>
      </c>
    </row>
    <row r="4" spans="1:17" x14ac:dyDescent="0.4">
      <c r="A4" s="51" t="s">
        <v>6</v>
      </c>
      <c r="B4" s="152">
        <v>-57.400000000000013</v>
      </c>
      <c r="C4" s="153"/>
      <c r="E4" s="59" t="s">
        <v>64</v>
      </c>
      <c r="F4" s="56" t="s">
        <v>20</v>
      </c>
      <c r="G4" s="44">
        <v>96</v>
      </c>
      <c r="H4" s="129">
        <f>IF(B$17=0,0,G4/B$17)</f>
        <v>0.49230769230769234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-1026.9230769230769</v>
      </c>
      <c r="P4" s="115">
        <v>78</v>
      </c>
      <c r="Q4" s="99">
        <v>-80100</v>
      </c>
    </row>
    <row r="5" spans="1:17" x14ac:dyDescent="0.4">
      <c r="A5" s="51" t="s">
        <v>7</v>
      </c>
      <c r="B5" s="154">
        <f>IF(B$2=0,0,B$4/B$2)</f>
        <v>-0.65977011494252891</v>
      </c>
      <c r="C5" s="155"/>
      <c r="E5" s="59" t="s">
        <v>171</v>
      </c>
      <c r="F5" s="56" t="s">
        <v>172</v>
      </c>
      <c r="G5" s="44">
        <v>90</v>
      </c>
      <c r="H5" s="129">
        <f>IF(B$17=0,0,G5/B$17)</f>
        <v>0.46153846153846156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-165.27777777777777</v>
      </c>
      <c r="P5" s="115">
        <v>72</v>
      </c>
      <c r="Q5" s="99">
        <v>-11900</v>
      </c>
    </row>
    <row r="6" spans="1:17" x14ac:dyDescent="0.4">
      <c r="A6" s="51" t="s">
        <v>1</v>
      </c>
      <c r="B6" s="144">
        <f>IF(B$2=0,0,(B$7*1+B$8*2+B$9*3)/B$2)</f>
        <v>2.0459770114942528</v>
      </c>
      <c r="C6" s="145"/>
      <c r="E6" s="59" t="s">
        <v>67</v>
      </c>
      <c r="F6" s="56" t="s">
        <v>23</v>
      </c>
      <c r="G6" s="44">
        <v>75</v>
      </c>
      <c r="H6" s="129">
        <f>IF(B$17=0,0,G6/B$17)</f>
        <v>0.38461538461538464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-96.825396825396822</v>
      </c>
      <c r="P6" s="115">
        <v>63</v>
      </c>
      <c r="Q6" s="99">
        <v>-6100</v>
      </c>
    </row>
    <row r="7" spans="1:17" x14ac:dyDescent="0.4">
      <c r="A7" s="51" t="s">
        <v>2</v>
      </c>
      <c r="B7" s="44">
        <v>20</v>
      </c>
      <c r="C7" s="37">
        <f t="shared" ref="C7:C12" si="1">IF(B$2=0,0,B7/B$2)</f>
        <v>0.22988505747126436</v>
      </c>
      <c r="E7" s="59" t="s">
        <v>68</v>
      </c>
      <c r="F7" s="56" t="s">
        <v>12</v>
      </c>
      <c r="G7" s="44">
        <v>63</v>
      </c>
      <c r="H7" s="129">
        <f>IF(B$17=0,0,G7/B$17)</f>
        <v>0.32307692307692309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-1254.5454545454545</v>
      </c>
      <c r="P7" s="116">
        <v>55</v>
      </c>
      <c r="Q7" s="100">
        <v>-69000</v>
      </c>
    </row>
    <row r="8" spans="1:17" x14ac:dyDescent="0.4">
      <c r="A8" s="51" t="s">
        <v>3</v>
      </c>
      <c r="B8" s="44">
        <v>43</v>
      </c>
      <c r="C8" s="37">
        <f t="shared" si="1"/>
        <v>0.4942528735632184</v>
      </c>
      <c r="E8" s="59" t="s">
        <v>69</v>
      </c>
      <c r="F8" s="56" t="s">
        <v>24</v>
      </c>
      <c r="G8" s="44">
        <v>25</v>
      </c>
      <c r="H8" s="129">
        <f>IF(B$17=0,0,G8/B$17)</f>
        <v>0.12820512820512819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0.27586206896551724</v>
      </c>
      <c r="E9" s="59" t="s">
        <v>89</v>
      </c>
      <c r="F9" s="56" t="s">
        <v>44</v>
      </c>
      <c r="G9" s="44">
        <v>20</v>
      </c>
      <c r="H9" s="129">
        <f>IF(B$17=0,0,G9/B$17)</f>
        <v>0.10256410256410256</v>
      </c>
      <c r="I9" s="90">
        <v>8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7</v>
      </c>
      <c r="C10" s="38">
        <f t="shared" si="1"/>
        <v>8.0459770114942528E-2</v>
      </c>
      <c r="E10" s="59" t="s">
        <v>71</v>
      </c>
      <c r="F10" s="56" t="s">
        <v>26</v>
      </c>
      <c r="G10" s="44">
        <v>18</v>
      </c>
      <c r="H10" s="129">
        <f>IF(B$17=0,0,G10/B$17)</f>
        <v>9.2307692307692313E-2</v>
      </c>
      <c r="I10" s="90">
        <v>5</v>
      </c>
      <c r="K10" s="36">
        <v>8</v>
      </c>
      <c r="L10" s="95">
        <v>-46.7</v>
      </c>
      <c r="N10" s="110" t="s">
        <v>162</v>
      </c>
      <c r="O10" s="120">
        <f>IF(P10=0,0,Q10/P10)</f>
        <v>-1.0000000000000004</v>
      </c>
      <c r="P10" s="114">
        <v>36</v>
      </c>
      <c r="Q10" s="102">
        <v>-36.000000000000014</v>
      </c>
    </row>
    <row r="11" spans="1:17" x14ac:dyDescent="0.4">
      <c r="A11" s="52" t="s">
        <v>138</v>
      </c>
      <c r="B11" s="45">
        <v>6</v>
      </c>
      <c r="C11" s="38">
        <f t="shared" si="1"/>
        <v>6.8965517241379309E-2</v>
      </c>
      <c r="E11" s="59" t="s">
        <v>70</v>
      </c>
      <c r="F11" s="56" t="s">
        <v>25</v>
      </c>
      <c r="G11" s="44">
        <v>16</v>
      </c>
      <c r="H11" s="129">
        <f>IF(B$17=0,0,G11/B$17)</f>
        <v>8.2051282051282051E-2</v>
      </c>
      <c r="I11" s="90">
        <v>8</v>
      </c>
      <c r="K11" s="36">
        <v>9</v>
      </c>
      <c r="L11" s="95">
        <v>-90.9</v>
      </c>
      <c r="N11" s="111" t="s">
        <v>163</v>
      </c>
      <c r="O11" s="121">
        <f>IF(P11=0,0,Q11/P11)</f>
        <v>1.592307692307692</v>
      </c>
      <c r="P11" s="115">
        <v>26</v>
      </c>
      <c r="Q11" s="103">
        <v>41.399999999999991</v>
      </c>
    </row>
    <row r="12" spans="1:17" x14ac:dyDescent="0.4">
      <c r="A12" s="53" t="s">
        <v>158</v>
      </c>
      <c r="B12" s="46">
        <v>5</v>
      </c>
      <c r="C12" s="40">
        <f t="shared" si="1"/>
        <v>5.7471264367816091E-2</v>
      </c>
      <c r="E12" s="59" t="s">
        <v>65</v>
      </c>
      <c r="F12" s="56" t="s">
        <v>21</v>
      </c>
      <c r="G12" s="44">
        <v>14</v>
      </c>
      <c r="H12" s="129">
        <f>IF(B$17=0,0,G12/B$17)</f>
        <v>7.179487179487179E-2</v>
      </c>
      <c r="I12" s="90">
        <v>10</v>
      </c>
      <c r="K12" s="36">
        <v>10</v>
      </c>
      <c r="L12" s="95">
        <v>-146.69999999999999</v>
      </c>
      <c r="N12" s="112" t="s">
        <v>164</v>
      </c>
      <c r="O12" s="122">
        <f>IF(P12=0,0,Q12/P12)</f>
        <v>-2.512</v>
      </c>
      <c r="P12" s="116">
        <v>25</v>
      </c>
      <c r="Q12" s="104">
        <v>-62.800000000000004</v>
      </c>
    </row>
    <row r="13" spans="1:17" x14ac:dyDescent="0.4">
      <c r="A13" s="54" t="s">
        <v>121</v>
      </c>
      <c r="B13" s="47">
        <v>180</v>
      </c>
      <c r="C13" s="42">
        <f>IF(B$3=0,0,B13/B$3)</f>
        <v>0.2608695652173913</v>
      </c>
      <c r="E13" s="59" t="s">
        <v>86</v>
      </c>
      <c r="F13" s="56" t="s">
        <v>41</v>
      </c>
      <c r="G13" s="44">
        <v>10</v>
      </c>
      <c r="H13" s="129">
        <f>IF(B$17=0,0,G13/B$17)</f>
        <v>5.128205128205128E-2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158</v>
      </c>
      <c r="C14" s="37">
        <f>IF(B$3=0,0,B14/B$3)</f>
        <v>0.22898550724637681</v>
      </c>
      <c r="E14" s="59" t="s">
        <v>83</v>
      </c>
      <c r="F14" s="56" t="s">
        <v>38</v>
      </c>
      <c r="G14" s="44">
        <v>7</v>
      </c>
      <c r="H14" s="129">
        <f>IF(B$17=0,0,G14/B$17)</f>
        <v>3.5897435897435895E-2</v>
      </c>
      <c r="I14" s="90">
        <v>10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101</v>
      </c>
      <c r="C15" s="35">
        <f>IF(B$13=0,0,B15/B$13)</f>
        <v>0.56111111111111112</v>
      </c>
      <c r="E15" s="59" t="s">
        <v>79</v>
      </c>
      <c r="F15" s="56" t="s">
        <v>34</v>
      </c>
      <c r="G15" s="44">
        <v>6</v>
      </c>
      <c r="H15" s="129">
        <f>IF(B$17=0,0,G15/B$17)</f>
        <v>3.0769230769230771E-2</v>
      </c>
      <c r="I15" s="90">
        <v>2</v>
      </c>
      <c r="K15" s="36">
        <v>13</v>
      </c>
      <c r="L15" s="95">
        <v>-68.399999999999991</v>
      </c>
      <c r="N15" s="110" t="s">
        <v>195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65</v>
      </c>
      <c r="C16" s="35">
        <f>IF(B$14=0,0,B16/B$14)</f>
        <v>0.41139240506329117</v>
      </c>
      <c r="E16" s="59" t="s">
        <v>167</v>
      </c>
      <c r="F16" s="56" t="s">
        <v>168</v>
      </c>
      <c r="G16" s="44">
        <v>4</v>
      </c>
      <c r="H16" s="129">
        <f>IF(B$17=0,0,G16/B$17)</f>
        <v>2.0512820512820513E-2</v>
      </c>
      <c r="I16" s="90">
        <v>4</v>
      </c>
      <c r="K16" s="36">
        <v>14</v>
      </c>
      <c r="L16" s="95">
        <v>-25.79999999999999</v>
      </c>
      <c r="N16" s="111" t="s">
        <v>222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195</v>
      </c>
      <c r="C17" s="35">
        <f>IF(B$3=0,0,B17/B$3)</f>
        <v>0.28260869565217389</v>
      </c>
      <c r="E17" s="59" t="s">
        <v>73</v>
      </c>
      <c r="F17" s="56" t="s">
        <v>28</v>
      </c>
      <c r="G17" s="44">
        <v>3</v>
      </c>
      <c r="H17" s="129">
        <f>IF(B$17=0,0,G17/B$17)</f>
        <v>1.5384615384615385E-2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>IF(P17=0,0,Q17/P17)</f>
        <v>17.733333333333331</v>
      </c>
      <c r="P17" s="115">
        <v>18</v>
      </c>
      <c r="Q17" s="103">
        <v>319.19999999999993</v>
      </c>
    </row>
    <row r="18" spans="1:17" x14ac:dyDescent="0.4">
      <c r="A18" s="51" t="s">
        <v>12</v>
      </c>
      <c r="B18" s="44">
        <v>87</v>
      </c>
      <c r="C18" s="37">
        <f>IF(B$17=0,0,B18/B$17)</f>
        <v>0.44615384615384618</v>
      </c>
      <c r="E18" s="59" t="s">
        <v>78</v>
      </c>
      <c r="F18" s="56" t="s">
        <v>33</v>
      </c>
      <c r="G18" s="44">
        <v>3</v>
      </c>
      <c r="H18" s="129">
        <f>IF(B$17=0,0,G18/B$17)</f>
        <v>1.5384615384615385E-2</v>
      </c>
      <c r="I18" s="90">
        <v>7</v>
      </c>
      <c r="K18" s="36">
        <v>16</v>
      </c>
      <c r="L18" s="95">
        <v>-35.599999999999987</v>
      </c>
      <c r="N18" s="111" t="s">
        <v>179</v>
      </c>
      <c r="O18" s="121">
        <f>IF(P18=0,0,Q18/P18)</f>
        <v>12.900000000000002</v>
      </c>
      <c r="P18" s="115">
        <v>19</v>
      </c>
      <c r="Q18" s="103">
        <v>245.10000000000005</v>
      </c>
    </row>
    <row r="19" spans="1:17" x14ac:dyDescent="0.4">
      <c r="A19" s="51" t="s">
        <v>11</v>
      </c>
      <c r="B19" s="44">
        <v>108</v>
      </c>
      <c r="C19" s="37">
        <f>IF(B$17=0,0,B19/B$17)</f>
        <v>0.55384615384615388</v>
      </c>
      <c r="E19" s="59" t="s">
        <v>81</v>
      </c>
      <c r="F19" s="56" t="s">
        <v>36</v>
      </c>
      <c r="G19" s="44">
        <v>2</v>
      </c>
      <c r="H19" s="129">
        <f>IF(B$17=0,0,G19/B$17)</f>
        <v>1.0256410256410256E-2</v>
      </c>
      <c r="I19" s="90">
        <v>8</v>
      </c>
      <c r="K19" s="36">
        <v>17</v>
      </c>
      <c r="L19" s="95">
        <v>-29.799999999999986</v>
      </c>
      <c r="N19" s="111" t="s">
        <v>181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">
      <c r="A20" s="51" t="s">
        <v>13</v>
      </c>
      <c r="B20" s="44">
        <v>92</v>
      </c>
      <c r="C20" s="37">
        <f>IF(B$3=0,0,B20/B$3)</f>
        <v>0.13333333333333333</v>
      </c>
      <c r="E20" s="59" t="s">
        <v>74</v>
      </c>
      <c r="F20" s="56" t="s">
        <v>29</v>
      </c>
      <c r="G20" s="44">
        <v>1</v>
      </c>
      <c r="H20" s="129">
        <f>IF(B$17=0,0,G20/B$17)</f>
        <v>5.1282051282051282E-3</v>
      </c>
      <c r="I20" s="90">
        <v>4</v>
      </c>
      <c r="K20" s="36">
        <v>18</v>
      </c>
      <c r="L20" s="95">
        <v>-62.399999999999991</v>
      </c>
      <c r="N20" s="111" t="s">
        <v>127</v>
      </c>
      <c r="O20" s="121">
        <f>IF(P20=0,0,Q20/P20)</f>
        <v>2.8810810810810819</v>
      </c>
      <c r="P20" s="115">
        <v>37</v>
      </c>
      <c r="Q20" s="103">
        <v>106.60000000000002</v>
      </c>
    </row>
    <row r="21" spans="1:17" x14ac:dyDescent="0.4">
      <c r="A21" s="51" t="s">
        <v>169</v>
      </c>
      <c r="B21" s="44">
        <v>6</v>
      </c>
      <c r="C21" s="131">
        <v>0</v>
      </c>
      <c r="E21" s="59" t="s">
        <v>75</v>
      </c>
      <c r="F21" s="56" t="s">
        <v>30</v>
      </c>
      <c r="G21" s="44">
        <v>1</v>
      </c>
      <c r="H21" s="129">
        <f>IF(B$17=0,0,G21/B$17)</f>
        <v>5.1282051282051282E-3</v>
      </c>
      <c r="I21" s="90">
        <v>7</v>
      </c>
      <c r="K21" s="36">
        <v>19</v>
      </c>
      <c r="L21" s="95">
        <v>-56.399999999999991</v>
      </c>
      <c r="N21" s="111" t="s">
        <v>166</v>
      </c>
      <c r="O21" s="121">
        <f>IF(P21=0,0,Q21/P21)</f>
        <v>2.8312499999999998</v>
      </c>
      <c r="P21" s="115">
        <v>16</v>
      </c>
      <c r="Q21" s="103">
        <v>45.3</v>
      </c>
    </row>
    <row r="22" spans="1:17" x14ac:dyDescent="0.4">
      <c r="A22" s="51" t="s">
        <v>170</v>
      </c>
      <c r="B22" s="44">
        <v>44</v>
      </c>
      <c r="C22" s="131">
        <v>19</v>
      </c>
      <c r="E22" s="59" t="s">
        <v>85</v>
      </c>
      <c r="F22" s="56" t="s">
        <v>40</v>
      </c>
      <c r="G22" s="44">
        <v>1</v>
      </c>
      <c r="H22" s="129">
        <f>IF(B$17=0,0,G22/B$17)</f>
        <v>5.1282051282051282E-3</v>
      </c>
      <c r="I22" s="90">
        <v>4</v>
      </c>
      <c r="K22" s="36">
        <v>20</v>
      </c>
      <c r="L22" s="95">
        <v>-93.199999999999989</v>
      </c>
      <c r="N22" s="111" t="s">
        <v>126</v>
      </c>
      <c r="O22" s="121">
        <f>IF(P22=0,0,Q22/P22)</f>
        <v>-15.723809523809528</v>
      </c>
      <c r="P22" s="115">
        <v>42</v>
      </c>
      <c r="Q22" s="103">
        <v>-660.4000000000002</v>
      </c>
    </row>
    <row r="23" spans="1:17" x14ac:dyDescent="0.4">
      <c r="A23" s="51" t="s">
        <v>5</v>
      </c>
      <c r="B23" s="48">
        <f>IF(B$17=0,0,C23/B$17)</f>
        <v>8352.8205128205136</v>
      </c>
      <c r="C23" s="39">
        <v>1628800</v>
      </c>
      <c r="E23" s="59" t="s">
        <v>87</v>
      </c>
      <c r="F23" s="56" t="s">
        <v>42</v>
      </c>
      <c r="G23" s="44">
        <v>1</v>
      </c>
      <c r="H23" s="129">
        <f>IF(B$17=0,0,G23/B$17)</f>
        <v>5.1282051282051282E-3</v>
      </c>
      <c r="I23" s="90">
        <v>2</v>
      </c>
      <c r="K23" s="36">
        <v>21</v>
      </c>
      <c r="L23" s="95">
        <v>-123.69999999999999</v>
      </c>
      <c r="N23" s="111" t="s">
        <v>177</v>
      </c>
      <c r="O23" s="121">
        <f>IF(P23=0,0,Q23/P23)</f>
        <v>-17.729032258064517</v>
      </c>
      <c r="P23" s="115">
        <v>31</v>
      </c>
      <c r="Q23" s="103">
        <v>-549.6</v>
      </c>
    </row>
    <row r="24" spans="1:17" x14ac:dyDescent="0.4">
      <c r="A24" s="52" t="s">
        <v>216</v>
      </c>
      <c r="B24" s="136">
        <f>IF($B$17-B$16=0,0,C24/($B$17-B$16))</f>
        <v>9336.1538461538457</v>
      </c>
      <c r="C24" s="137">
        <v>1213700</v>
      </c>
      <c r="E24" s="59" t="s">
        <v>88</v>
      </c>
      <c r="F24" s="56" t="s">
        <v>43</v>
      </c>
      <c r="G24" s="44">
        <v>1</v>
      </c>
      <c r="H24" s="129">
        <f>IF(B$17=0,0,G24/B$17)</f>
        <v>5.1282051282051282E-3</v>
      </c>
      <c r="I24" s="90">
        <v>3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6386.1538461538457</v>
      </c>
      <c r="C25" s="137">
        <v>415100</v>
      </c>
      <c r="E25" s="59" t="s">
        <v>91</v>
      </c>
      <c r="F25" s="56" t="s">
        <v>46</v>
      </c>
      <c r="G25" s="44">
        <v>1</v>
      </c>
      <c r="H25" s="129">
        <f>IF(B$17=0,0,G25/B$17)</f>
        <v>5.1282051282051282E-3</v>
      </c>
      <c r="I25" s="90">
        <v>7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-7886.95652173913</v>
      </c>
      <c r="C26" s="137">
        <v>-725600</v>
      </c>
      <c r="E26" s="59" t="s">
        <v>93</v>
      </c>
      <c r="F26" s="56" t="s">
        <v>48</v>
      </c>
      <c r="G26" s="44">
        <v>1</v>
      </c>
      <c r="H26" s="129">
        <f>IF(B$17=0,0,G26/B$17)</f>
        <v>5.1282051282051282E-3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8</v>
      </c>
      <c r="C27" s="143"/>
      <c r="E27" s="59" t="s">
        <v>101</v>
      </c>
      <c r="F27" s="56" t="s">
        <v>56</v>
      </c>
      <c r="G27" s="44">
        <v>1</v>
      </c>
      <c r="H27" s="129">
        <f>IF(B$17=0,0,G27/B$17)</f>
        <v>5.1282051282051282E-3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86500</v>
      </c>
      <c r="C28" s="141"/>
      <c r="E28" s="59" t="s">
        <v>76</v>
      </c>
      <c r="F28" s="56" t="s">
        <v>31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2.8985507246376812E-3</v>
      </c>
      <c r="E29" s="59" t="s">
        <v>77</v>
      </c>
      <c r="F29" s="56" t="s">
        <v>32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-70.199999999999989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-96.799999999999983</v>
      </c>
    </row>
    <row r="34" spans="5:12" x14ac:dyDescent="0.4">
      <c r="E34" s="59" t="s">
        <v>92</v>
      </c>
      <c r="F34" s="56" t="s">
        <v>47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  <row r="89" spans="11:12" x14ac:dyDescent="0.4">
      <c r="K89" s="36">
        <v>87</v>
      </c>
      <c r="L89" s="95">
        <v>-57.400000000000013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6730-E777-4663-90C5-448C65CAE978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31</v>
      </c>
      <c r="C2" s="149"/>
      <c r="E2" s="58" t="s">
        <v>66</v>
      </c>
      <c r="F2" s="55" t="s">
        <v>22</v>
      </c>
      <c r="G2" s="43">
        <v>40</v>
      </c>
      <c r="H2" s="128">
        <f>IF(B$17=0,0,G2/B$17)</f>
        <v>0.68965517241379315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-2700</v>
      </c>
      <c r="P2" s="114">
        <v>31</v>
      </c>
      <c r="Q2" s="98">
        <v>-83700</v>
      </c>
    </row>
    <row r="3" spans="1:17" x14ac:dyDescent="0.4">
      <c r="A3" s="51" t="s">
        <v>8</v>
      </c>
      <c r="B3" s="150">
        <v>250</v>
      </c>
      <c r="C3" s="151"/>
      <c r="E3" s="59" t="s">
        <v>72</v>
      </c>
      <c r="F3" s="56" t="s">
        <v>27</v>
      </c>
      <c r="G3" s="44">
        <v>34</v>
      </c>
      <c r="H3" s="129">
        <f>IF(B$17=0,0,G3/B$17)</f>
        <v>0.58620689655172409</v>
      </c>
      <c r="I3" s="90">
        <v>3</v>
      </c>
      <c r="K3" s="36">
        <v>1</v>
      </c>
      <c r="L3" s="95">
        <v>-12</v>
      </c>
      <c r="N3" s="111" t="s">
        <v>131</v>
      </c>
      <c r="O3" s="118">
        <f t="shared" si="0"/>
        <v>-170.96774193548387</v>
      </c>
      <c r="P3" s="115">
        <v>31</v>
      </c>
      <c r="Q3" s="99">
        <v>-5300</v>
      </c>
    </row>
    <row r="4" spans="1:17" x14ac:dyDescent="0.4">
      <c r="A4" s="51" t="s">
        <v>6</v>
      </c>
      <c r="B4" s="152">
        <v>-473.10000000000014</v>
      </c>
      <c r="C4" s="153"/>
      <c r="E4" s="59" t="s">
        <v>64</v>
      </c>
      <c r="F4" s="56" t="s">
        <v>20</v>
      </c>
      <c r="G4" s="44">
        <v>25</v>
      </c>
      <c r="H4" s="129">
        <f>IF(B$17=0,0,G4/B$17)</f>
        <v>0.43103448275862066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-745.16129032258061</v>
      </c>
      <c r="P4" s="115">
        <v>31</v>
      </c>
      <c r="Q4" s="99">
        <v>-23100</v>
      </c>
    </row>
    <row r="5" spans="1:17" x14ac:dyDescent="0.4">
      <c r="A5" s="51" t="s">
        <v>7</v>
      </c>
      <c r="B5" s="154">
        <f>IF(B$2=0,0,B$4/B$2)</f>
        <v>-15.261290322580649</v>
      </c>
      <c r="C5" s="155"/>
      <c r="E5" s="59" t="s">
        <v>67</v>
      </c>
      <c r="F5" s="56" t="s">
        <v>23</v>
      </c>
      <c r="G5" s="44">
        <v>18</v>
      </c>
      <c r="H5" s="129">
        <f>IF(B$17=0,0,G5/B$17)</f>
        <v>0.31034482758620691</v>
      </c>
      <c r="I5" s="90">
        <v>6</v>
      </c>
      <c r="K5" s="36">
        <v>3</v>
      </c>
      <c r="L5" s="95">
        <v>-33.6</v>
      </c>
      <c r="N5" s="111" t="s">
        <v>133</v>
      </c>
      <c r="O5" s="118">
        <f t="shared" si="0"/>
        <v>-2773.3333333333335</v>
      </c>
      <c r="P5" s="115">
        <v>30</v>
      </c>
      <c r="Q5" s="99">
        <v>-83200</v>
      </c>
    </row>
    <row r="6" spans="1:17" x14ac:dyDescent="0.4">
      <c r="A6" s="51" t="s">
        <v>1</v>
      </c>
      <c r="B6" s="144">
        <f>IF(B$2=0,0,(B$7*1+B$8*2+B$9*3)/B$2)</f>
        <v>2.4516129032258065</v>
      </c>
      <c r="C6" s="145"/>
      <c r="E6" s="59" t="s">
        <v>171</v>
      </c>
      <c r="F6" s="56" t="s">
        <v>172</v>
      </c>
      <c r="G6" s="44">
        <v>18</v>
      </c>
      <c r="H6" s="129">
        <f>IF(B$17=0,0,G6/B$17)</f>
        <v>0.31034482758620691</v>
      </c>
      <c r="I6" s="90">
        <v>10</v>
      </c>
      <c r="K6" s="36">
        <v>4</v>
      </c>
      <c r="L6" s="95">
        <v>-80.5</v>
      </c>
      <c r="N6" s="111" t="s">
        <v>134</v>
      </c>
      <c r="O6" s="118">
        <f t="shared" si="0"/>
        <v>-1531.0344827586207</v>
      </c>
      <c r="P6" s="115">
        <v>29</v>
      </c>
      <c r="Q6" s="99">
        <v>-44400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9.6774193548387094E-2</v>
      </c>
      <c r="E7" s="59" t="s">
        <v>68</v>
      </c>
      <c r="F7" s="56" t="s">
        <v>12</v>
      </c>
      <c r="G7" s="44">
        <v>17</v>
      </c>
      <c r="H7" s="129">
        <f>IF(B$17=0,0,G7/B$17)</f>
        <v>0.29310344827586204</v>
      </c>
      <c r="I7" s="90">
        <v>7</v>
      </c>
      <c r="K7" s="36">
        <v>5</v>
      </c>
      <c r="L7" s="95">
        <v>-124.3</v>
      </c>
      <c r="N7" s="112" t="s">
        <v>135</v>
      </c>
      <c r="O7" s="119">
        <f t="shared" si="0"/>
        <v>-3683.3333333333335</v>
      </c>
      <c r="P7" s="116">
        <v>24</v>
      </c>
      <c r="Q7" s="100">
        <v>-88400</v>
      </c>
    </row>
    <row r="8" spans="1:17" x14ac:dyDescent="0.4">
      <c r="A8" s="51" t="s">
        <v>3</v>
      </c>
      <c r="B8" s="44">
        <v>11</v>
      </c>
      <c r="C8" s="37">
        <f t="shared" si="1"/>
        <v>0.35483870967741937</v>
      </c>
      <c r="E8" s="59" t="s">
        <v>89</v>
      </c>
      <c r="F8" s="56" t="s">
        <v>44</v>
      </c>
      <c r="G8" s="44">
        <v>8</v>
      </c>
      <c r="H8" s="129">
        <f>IF(B$17=0,0,G8/B$17)</f>
        <v>0.13793103448275862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17</v>
      </c>
      <c r="C9" s="38">
        <f t="shared" si="1"/>
        <v>0.54838709677419351</v>
      </c>
      <c r="E9" s="59" t="s">
        <v>65</v>
      </c>
      <c r="F9" s="56" t="s">
        <v>21</v>
      </c>
      <c r="G9" s="44">
        <v>7</v>
      </c>
      <c r="H9" s="129">
        <f>IF(B$17=0,0,G9/B$17)</f>
        <v>0.1206896551724138</v>
      </c>
      <c r="I9" s="90">
        <v>4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0.16129032258064516</v>
      </c>
      <c r="E10" s="59" t="s">
        <v>71</v>
      </c>
      <c r="F10" s="56" t="s">
        <v>26</v>
      </c>
      <c r="G10" s="44">
        <v>6</v>
      </c>
      <c r="H10" s="129">
        <f>IF(B$17=0,0,G10/B$17)</f>
        <v>0.10344827586206896</v>
      </c>
      <c r="I10" s="90">
        <v>3</v>
      </c>
      <c r="K10" s="36">
        <v>8</v>
      </c>
      <c r="L10" s="95">
        <v>-152.6</v>
      </c>
      <c r="N10" s="110" t="s">
        <v>162</v>
      </c>
      <c r="O10" s="120">
        <f>IF(P10=0,0,Q10/P10)</f>
        <v>-23.529411764705884</v>
      </c>
      <c r="P10" s="114">
        <v>17</v>
      </c>
      <c r="Q10" s="102">
        <v>-400</v>
      </c>
    </row>
    <row r="11" spans="1:17" x14ac:dyDescent="0.4">
      <c r="A11" s="52" t="s">
        <v>138</v>
      </c>
      <c r="B11" s="45">
        <v>1</v>
      </c>
      <c r="C11" s="38">
        <f t="shared" si="1"/>
        <v>3.2258064516129031E-2</v>
      </c>
      <c r="E11" s="59" t="s">
        <v>83</v>
      </c>
      <c r="F11" s="56" t="s">
        <v>38</v>
      </c>
      <c r="G11" s="44">
        <v>5</v>
      </c>
      <c r="H11" s="129">
        <f>IF(B$17=0,0,G11/B$17)</f>
        <v>8.6206896551724144E-2</v>
      </c>
      <c r="I11" s="90">
        <v>3</v>
      </c>
      <c r="K11" s="36">
        <v>9</v>
      </c>
      <c r="L11" s="95">
        <v>-150.6</v>
      </c>
      <c r="N11" s="111" t="s">
        <v>163</v>
      </c>
      <c r="O11" s="121">
        <f>IF(P11=0,0,Q11/P11)</f>
        <v>-7.2874999999999988</v>
      </c>
      <c r="P11" s="115">
        <v>8</v>
      </c>
      <c r="Q11" s="103">
        <v>-58.29999999999999</v>
      </c>
    </row>
    <row r="12" spans="1:17" x14ac:dyDescent="0.4">
      <c r="A12" s="53" t="s">
        <v>158</v>
      </c>
      <c r="B12" s="46">
        <v>1</v>
      </c>
      <c r="C12" s="40">
        <f t="shared" si="1"/>
        <v>3.2258064516129031E-2</v>
      </c>
      <c r="E12" s="59" t="s">
        <v>69</v>
      </c>
      <c r="F12" s="56" t="s">
        <v>24</v>
      </c>
      <c r="G12" s="44">
        <v>4</v>
      </c>
      <c r="H12" s="129">
        <f>IF(B$17=0,0,G12/B$17)</f>
        <v>6.8965517241379309E-2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-2.4666666666666663</v>
      </c>
      <c r="P12" s="116">
        <v>6</v>
      </c>
      <c r="Q12" s="104">
        <v>-14.799999999999999</v>
      </c>
    </row>
    <row r="13" spans="1:17" x14ac:dyDescent="0.4">
      <c r="A13" s="54" t="s">
        <v>121</v>
      </c>
      <c r="B13" s="47">
        <v>48</v>
      </c>
      <c r="C13" s="42">
        <f>IF(B$3=0,0,B13/B$3)</f>
        <v>0.192</v>
      </c>
      <c r="E13" s="59" t="s">
        <v>70</v>
      </c>
      <c r="F13" s="56" t="s">
        <v>25</v>
      </c>
      <c r="G13" s="44">
        <v>4</v>
      </c>
      <c r="H13" s="129">
        <f>IF(B$17=0,0,G13/B$17)</f>
        <v>6.8965517241379309E-2</v>
      </c>
      <c r="I13" s="90">
        <v>9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55</v>
      </c>
      <c r="C14" s="37">
        <f>IF(B$3=0,0,B14/B$3)</f>
        <v>0.22</v>
      </c>
      <c r="E14" s="59" t="s">
        <v>86</v>
      </c>
      <c r="F14" s="56" t="s">
        <v>41</v>
      </c>
      <c r="G14" s="44">
        <v>4</v>
      </c>
      <c r="H14" s="129">
        <f>IF(B$17=0,0,G14/B$17)</f>
        <v>6.8965517241379309E-2</v>
      </c>
      <c r="I14" s="90">
        <v>2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26</v>
      </c>
      <c r="C15" s="35">
        <f>IF(B$13=0,0,B15/B$13)</f>
        <v>0.54166666666666663</v>
      </c>
      <c r="E15" s="59" t="s">
        <v>81</v>
      </c>
      <c r="F15" s="56" t="s">
        <v>36</v>
      </c>
      <c r="G15" s="44">
        <v>2</v>
      </c>
      <c r="H15" s="129">
        <f>IF(B$17=0,0,G15/B$17)</f>
        <v>3.4482758620689655E-2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 t="shared" ref="O15:O23" si="2">IF(P15=0,0,Q15/P15)</f>
        <v>28.45</v>
      </c>
      <c r="P15" s="114">
        <v>4</v>
      </c>
      <c r="Q15" s="102">
        <v>113.8</v>
      </c>
    </row>
    <row r="16" spans="1:17" x14ac:dyDescent="0.4">
      <c r="A16" s="50" t="s">
        <v>124</v>
      </c>
      <c r="B16" s="43">
        <v>22</v>
      </c>
      <c r="C16" s="35">
        <f>IF(B$14=0,0,B16/B$14)</f>
        <v>0.4</v>
      </c>
      <c r="E16" s="59" t="s">
        <v>74</v>
      </c>
      <c r="F16" s="56" t="s">
        <v>29</v>
      </c>
      <c r="G16" s="44">
        <v>1</v>
      </c>
      <c r="H16" s="129">
        <f>IF(B$17=0,0,G16/B$17)</f>
        <v>1.7241379310344827E-2</v>
      </c>
      <c r="I16" s="90">
        <v>1</v>
      </c>
      <c r="K16" s="36">
        <v>14</v>
      </c>
      <c r="L16" s="95">
        <v>-266.90000000000003</v>
      </c>
      <c r="N16" s="111" t="s">
        <v>222</v>
      </c>
      <c r="O16" s="121">
        <f t="shared" si="2"/>
        <v>-17.649999999999999</v>
      </c>
      <c r="P16" s="115">
        <v>2</v>
      </c>
      <c r="Q16" s="103">
        <v>-35.299999999999997</v>
      </c>
    </row>
    <row r="17" spans="1:17" x14ac:dyDescent="0.4">
      <c r="A17" s="50" t="s">
        <v>10</v>
      </c>
      <c r="B17" s="43">
        <f>B19+B18</f>
        <v>58</v>
      </c>
      <c r="C17" s="35">
        <f>IF(B$3=0,0,B17/B$3)</f>
        <v>0.23200000000000001</v>
      </c>
      <c r="E17" s="59" t="s">
        <v>78</v>
      </c>
      <c r="F17" s="56" t="s">
        <v>33</v>
      </c>
      <c r="G17" s="44">
        <v>1</v>
      </c>
      <c r="H17" s="129">
        <f>IF(B$17=0,0,G17/B$17)</f>
        <v>1.7241379310344827E-2</v>
      </c>
      <c r="I17" s="90">
        <v>6</v>
      </c>
      <c r="K17" s="36">
        <v>15</v>
      </c>
      <c r="L17" s="95">
        <v>-272.50000000000006</v>
      </c>
      <c r="N17" s="111" t="s">
        <v>178</v>
      </c>
      <c r="O17" s="121">
        <f t="shared" si="2"/>
        <v>-17.733333333333331</v>
      </c>
      <c r="P17" s="115">
        <v>18</v>
      </c>
      <c r="Q17" s="103">
        <v>-319.19999999999993</v>
      </c>
    </row>
    <row r="18" spans="1:17" x14ac:dyDescent="0.4">
      <c r="A18" s="51" t="s">
        <v>12</v>
      </c>
      <c r="B18" s="44">
        <v>28</v>
      </c>
      <c r="C18" s="37">
        <f>IF(B$17=0,0,B18/B$17)</f>
        <v>0.48275862068965519</v>
      </c>
      <c r="E18" s="59" t="s">
        <v>95</v>
      </c>
      <c r="F18" s="56" t="s">
        <v>50</v>
      </c>
      <c r="G18" s="44">
        <v>1</v>
      </c>
      <c r="H18" s="129">
        <f>IF(B$17=0,0,G18/B$17)</f>
        <v>1.7241379310344827E-2</v>
      </c>
      <c r="I18" s="90">
        <v>1</v>
      </c>
      <c r="K18" s="36">
        <v>16</v>
      </c>
      <c r="L18" s="95">
        <v>-320.30000000000007</v>
      </c>
      <c r="N18" s="111" t="s">
        <v>177</v>
      </c>
      <c r="O18" s="121">
        <f t="shared" si="2"/>
        <v>-20.7</v>
      </c>
      <c r="P18" s="115">
        <v>12</v>
      </c>
      <c r="Q18" s="103">
        <v>-248.39999999999998</v>
      </c>
    </row>
    <row r="19" spans="1:17" x14ac:dyDescent="0.4">
      <c r="A19" s="51" t="s">
        <v>11</v>
      </c>
      <c r="B19" s="44">
        <v>30</v>
      </c>
      <c r="C19" s="37">
        <f>IF(B$17=0,0,B19/B$17)</f>
        <v>0.51724137931034486</v>
      </c>
      <c r="E19" s="59" t="s">
        <v>73</v>
      </c>
      <c r="F19" s="56" t="s">
        <v>28</v>
      </c>
      <c r="G19" s="44">
        <v>0</v>
      </c>
      <c r="H19" s="129">
        <f>IF(B$17=0,0,G19/B$17)</f>
        <v>0</v>
      </c>
      <c r="I19" s="90">
        <v>4</v>
      </c>
      <c r="K19" s="36">
        <v>17</v>
      </c>
      <c r="L19" s="95">
        <v>-352.60000000000008</v>
      </c>
      <c r="N19" s="111" t="s">
        <v>126</v>
      </c>
      <c r="O19" s="121">
        <f t="shared" si="2"/>
        <v>-21.422222222222224</v>
      </c>
      <c r="P19" s="115">
        <v>9</v>
      </c>
      <c r="Q19" s="103">
        <v>-192.8</v>
      </c>
    </row>
    <row r="20" spans="1:17" x14ac:dyDescent="0.4">
      <c r="A20" s="51" t="s">
        <v>13</v>
      </c>
      <c r="B20" s="44">
        <v>47</v>
      </c>
      <c r="C20" s="37">
        <f>IF(B$3=0,0,B20/B$3)</f>
        <v>0.188</v>
      </c>
      <c r="E20" s="59" t="s">
        <v>75</v>
      </c>
      <c r="F20" s="56" t="s">
        <v>30</v>
      </c>
      <c r="G20" s="44">
        <v>0</v>
      </c>
      <c r="H20" s="129">
        <f>IF(B$17=0,0,G20/B$17)</f>
        <v>0</v>
      </c>
      <c r="I20" s="90">
        <v>9</v>
      </c>
      <c r="K20" s="36">
        <v>18</v>
      </c>
      <c r="L20" s="95">
        <v>-355.50000000000006</v>
      </c>
      <c r="N20" s="111" t="s">
        <v>179</v>
      </c>
      <c r="O20" s="121">
        <f t="shared" si="2"/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76</v>
      </c>
      <c r="F21" s="56" t="s">
        <v>31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-400.60000000000008</v>
      </c>
      <c r="N21" s="111" t="s">
        <v>127</v>
      </c>
      <c r="O21" s="121">
        <f t="shared" si="2"/>
        <v>-37.040000000000006</v>
      </c>
      <c r="P21" s="115">
        <v>10</v>
      </c>
      <c r="Q21" s="103">
        <v>-370.40000000000003</v>
      </c>
    </row>
    <row r="22" spans="1:17" x14ac:dyDescent="0.4">
      <c r="A22" s="51" t="s">
        <v>170</v>
      </c>
      <c r="B22" s="44">
        <v>16</v>
      </c>
      <c r="C22" s="131">
        <v>6</v>
      </c>
      <c r="E22" s="59" t="s">
        <v>77</v>
      </c>
      <c r="F22" s="56" t="s">
        <v>32</v>
      </c>
      <c r="G22" s="44">
        <v>0</v>
      </c>
      <c r="H22" s="129">
        <f>IF(B$17=0,0,G22/B$17)</f>
        <v>0</v>
      </c>
      <c r="I22" s="90">
        <v>5</v>
      </c>
      <c r="K22" s="36">
        <v>20</v>
      </c>
      <c r="L22" s="95">
        <v>-428.10000000000008</v>
      </c>
      <c r="N22" s="111" t="s">
        <v>181</v>
      </c>
      <c r="O22" s="121">
        <f t="shared" si="2"/>
        <v>-52.525000000000006</v>
      </c>
      <c r="P22" s="115">
        <v>4</v>
      </c>
      <c r="Q22" s="103">
        <v>-210.10000000000002</v>
      </c>
    </row>
    <row r="23" spans="1:17" x14ac:dyDescent="0.4">
      <c r="A23" s="51" t="s">
        <v>5</v>
      </c>
      <c r="B23" s="48">
        <f>IF(B$17=0,0,C23/B$17)</f>
        <v>7901.7241379310344</v>
      </c>
      <c r="C23" s="39">
        <v>458300</v>
      </c>
      <c r="E23" s="59" t="s">
        <v>79</v>
      </c>
      <c r="F23" s="56" t="s">
        <v>34</v>
      </c>
      <c r="G23" s="44">
        <v>0</v>
      </c>
      <c r="H23" s="129">
        <f>IF(B$17=0,0,G23/B$17)</f>
        <v>0</v>
      </c>
      <c r="I23" s="90">
        <v>7</v>
      </c>
      <c r="K23" s="36">
        <v>21</v>
      </c>
      <c r="L23" s="95">
        <v>-423.7000000000001</v>
      </c>
      <c r="N23" s="111" t="s">
        <v>195</v>
      </c>
      <c r="O23" s="121">
        <f t="shared" si="2"/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8158.333333333333</v>
      </c>
      <c r="C24" s="137">
        <v>293700</v>
      </c>
      <c r="E24" s="59" t="s">
        <v>80</v>
      </c>
      <c r="F24" s="56" t="s">
        <v>35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7481.818181818182</v>
      </c>
      <c r="C25" s="137">
        <v>164600</v>
      </c>
      <c r="E25" s="59" t="s">
        <v>82</v>
      </c>
      <c r="F25" s="56" t="s">
        <v>37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-8059.5744680851067</v>
      </c>
      <c r="C26" s="137">
        <v>-378800</v>
      </c>
      <c r="E26" s="59" t="s">
        <v>84</v>
      </c>
      <c r="F26" s="56" t="s">
        <v>39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85</v>
      </c>
      <c r="F27" s="56" t="s">
        <v>40</v>
      </c>
      <c r="G27" s="44">
        <v>0</v>
      </c>
      <c r="H27" s="129">
        <f>IF(B$17=0,0,G27/B$17)</f>
        <v>0</v>
      </c>
      <c r="I27" s="90">
        <v>6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87</v>
      </c>
      <c r="F28" s="56" t="s">
        <v>42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4.0000000000000001E-3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-418.80000000000013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-447.30000000000013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  <c r="K31" s="36">
        <v>29</v>
      </c>
      <c r="L31" s="95">
        <v>-442.60000000000014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-473.10000000000014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AD713-13C1-41E6-B5E5-3886DC9D03F0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22</v>
      </c>
      <c r="C2" s="149"/>
      <c r="E2" s="58" t="s">
        <v>66</v>
      </c>
      <c r="F2" s="55" t="s">
        <v>22</v>
      </c>
      <c r="G2" s="43">
        <v>56</v>
      </c>
      <c r="H2" s="128">
        <f>IF(B$17=0,0,G2/B$17)</f>
        <v>0.98245614035087714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-2504.5454545454545</v>
      </c>
      <c r="P2" s="114">
        <v>22</v>
      </c>
      <c r="Q2" s="98">
        <v>-55100</v>
      </c>
    </row>
    <row r="3" spans="1:17" x14ac:dyDescent="0.4">
      <c r="A3" s="51" t="s">
        <v>8</v>
      </c>
      <c r="B3" s="150">
        <v>204</v>
      </c>
      <c r="C3" s="151"/>
      <c r="E3" s="59" t="s">
        <v>64</v>
      </c>
      <c r="F3" s="56" t="s">
        <v>20</v>
      </c>
      <c r="G3" s="44">
        <v>33</v>
      </c>
      <c r="H3" s="129">
        <f>IF(B$17=0,0,G3/B$17)</f>
        <v>0.57894736842105265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-354.54545454545456</v>
      </c>
      <c r="P3" s="115">
        <v>22</v>
      </c>
      <c r="Q3" s="99">
        <v>-7800</v>
      </c>
    </row>
    <row r="4" spans="1:17" x14ac:dyDescent="0.4">
      <c r="A4" s="51" t="s">
        <v>6</v>
      </c>
      <c r="B4" s="152">
        <v>-13.5</v>
      </c>
      <c r="C4" s="153"/>
      <c r="E4" s="59" t="s">
        <v>68</v>
      </c>
      <c r="F4" s="56" t="s">
        <v>12</v>
      </c>
      <c r="G4" s="44">
        <v>23</v>
      </c>
      <c r="H4" s="129">
        <f>IF(B$17=0,0,G4/B$17)</f>
        <v>0.40350877192982454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-385.71428571428572</v>
      </c>
      <c r="P4" s="115">
        <v>21</v>
      </c>
      <c r="Q4" s="99">
        <v>-8100</v>
      </c>
    </row>
    <row r="5" spans="1:17" x14ac:dyDescent="0.4">
      <c r="A5" s="51" t="s">
        <v>7</v>
      </c>
      <c r="B5" s="154">
        <f>IF(B$2=0,0,B$4/B$2)</f>
        <v>-0.61363636363636365</v>
      </c>
      <c r="C5" s="155"/>
      <c r="E5" s="59" t="s">
        <v>72</v>
      </c>
      <c r="F5" s="56" t="s">
        <v>27</v>
      </c>
      <c r="G5" s="44">
        <v>21</v>
      </c>
      <c r="H5" s="129">
        <f>IF(B$17=0,0,G5/B$17)</f>
        <v>0.36842105263157893</v>
      </c>
      <c r="I5" s="90">
        <v>11</v>
      </c>
      <c r="K5" s="36">
        <v>3</v>
      </c>
      <c r="L5" s="95">
        <v>76</v>
      </c>
      <c r="N5" s="111" t="s">
        <v>133</v>
      </c>
      <c r="O5" s="118">
        <f t="shared" si="0"/>
        <v>-2123.8095238095239</v>
      </c>
      <c r="P5" s="115">
        <v>21</v>
      </c>
      <c r="Q5" s="99">
        <v>-44600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171</v>
      </c>
      <c r="F6" s="56" t="s">
        <v>172</v>
      </c>
      <c r="G6" s="44">
        <v>19</v>
      </c>
      <c r="H6" s="129">
        <f>IF(B$17=0,0,G6/B$17)</f>
        <v>0.33333333333333331</v>
      </c>
      <c r="I6" s="90">
        <v>8</v>
      </c>
      <c r="K6" s="36">
        <v>4</v>
      </c>
      <c r="L6" s="95">
        <v>115.5</v>
      </c>
      <c r="N6" s="111" t="s">
        <v>134</v>
      </c>
      <c r="O6" s="118">
        <f t="shared" si="0"/>
        <v>5752.6315789473683</v>
      </c>
      <c r="P6" s="115">
        <v>19</v>
      </c>
      <c r="Q6" s="99">
        <v>109300</v>
      </c>
    </row>
    <row r="7" spans="1:17" x14ac:dyDescent="0.4">
      <c r="A7" s="51" t="s">
        <v>2</v>
      </c>
      <c r="B7" s="44">
        <v>8</v>
      </c>
      <c r="C7" s="37">
        <f t="shared" ref="C7:C12" si="1">IF(B$2=0,0,B7/B$2)</f>
        <v>0.36363636363636365</v>
      </c>
      <c r="E7" s="59" t="s">
        <v>67</v>
      </c>
      <c r="F7" s="56" t="s">
        <v>23</v>
      </c>
      <c r="G7" s="44">
        <v>14</v>
      </c>
      <c r="H7" s="129">
        <f>IF(B$17=0,0,G7/B$17)</f>
        <v>0.24561403508771928</v>
      </c>
      <c r="I7" s="90">
        <v>8</v>
      </c>
      <c r="K7" s="36">
        <v>5</v>
      </c>
      <c r="L7" s="95">
        <v>127.9</v>
      </c>
      <c r="N7" s="112" t="s">
        <v>135</v>
      </c>
      <c r="O7" s="119">
        <f t="shared" si="0"/>
        <v>112.5</v>
      </c>
      <c r="P7" s="116">
        <v>16</v>
      </c>
      <c r="Q7" s="100">
        <v>1800</v>
      </c>
    </row>
    <row r="8" spans="1:17" x14ac:dyDescent="0.4">
      <c r="A8" s="51" t="s">
        <v>3</v>
      </c>
      <c r="B8" s="44">
        <v>6</v>
      </c>
      <c r="C8" s="37">
        <f t="shared" si="1"/>
        <v>0.27272727272727271</v>
      </c>
      <c r="E8" s="59" t="s">
        <v>69</v>
      </c>
      <c r="F8" s="56" t="s">
        <v>24</v>
      </c>
      <c r="G8" s="44">
        <v>12</v>
      </c>
      <c r="H8" s="129">
        <f>IF(B$17=0,0,G8/B$17)</f>
        <v>0.21052631578947367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8</v>
      </c>
      <c r="C9" s="38">
        <f t="shared" si="1"/>
        <v>0.36363636363636365</v>
      </c>
      <c r="E9" s="59" t="s">
        <v>65</v>
      </c>
      <c r="F9" s="56" t="s">
        <v>21</v>
      </c>
      <c r="G9" s="44">
        <v>8</v>
      </c>
      <c r="H9" s="129">
        <f>IF(B$17=0,0,G9/B$17)</f>
        <v>0.14035087719298245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9.0909090909090912E-2</v>
      </c>
      <c r="E10" s="59" t="s">
        <v>70</v>
      </c>
      <c r="F10" s="56" t="s">
        <v>25</v>
      </c>
      <c r="G10" s="44">
        <v>6</v>
      </c>
      <c r="H10" s="129">
        <f>IF(B$17=0,0,G10/B$17)</f>
        <v>0.10526315789473684</v>
      </c>
      <c r="I10" s="90">
        <v>5</v>
      </c>
      <c r="K10" s="36">
        <v>8</v>
      </c>
      <c r="L10" s="95">
        <v>124.6</v>
      </c>
      <c r="N10" s="110" t="s">
        <v>162</v>
      </c>
      <c r="O10" s="120">
        <f>IF(P10=0,0,Q10/P10)</f>
        <v>-7.5200000000000005</v>
      </c>
      <c r="P10" s="114">
        <v>10</v>
      </c>
      <c r="Q10" s="102">
        <v>-75.2</v>
      </c>
    </row>
    <row r="11" spans="1:17" x14ac:dyDescent="0.4">
      <c r="A11" s="52" t="s">
        <v>138</v>
      </c>
      <c r="B11" s="45">
        <v>2</v>
      </c>
      <c r="C11" s="38">
        <f t="shared" si="1"/>
        <v>9.0909090909090912E-2</v>
      </c>
      <c r="E11" s="59" t="s">
        <v>71</v>
      </c>
      <c r="F11" s="56" t="s">
        <v>26</v>
      </c>
      <c r="G11" s="44">
        <v>6</v>
      </c>
      <c r="H11" s="129">
        <f>IF(B$17=0,0,G11/B$17)</f>
        <v>0.10526315789473684</v>
      </c>
      <c r="I11" s="90">
        <v>2</v>
      </c>
      <c r="K11" s="36">
        <v>9</v>
      </c>
      <c r="L11" s="95">
        <v>141.5</v>
      </c>
      <c r="N11" s="111" t="s">
        <v>163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89</v>
      </c>
      <c r="F12" s="56" t="s">
        <v>44</v>
      </c>
      <c r="G12" s="44">
        <v>5</v>
      </c>
      <c r="H12" s="129">
        <f>IF(B$17=0,0,G12/B$17)</f>
        <v>8.771929824561403E-2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2.9571428571428564</v>
      </c>
      <c r="P12" s="116">
        <v>7</v>
      </c>
      <c r="Q12" s="104">
        <v>20.699999999999996</v>
      </c>
    </row>
    <row r="13" spans="1:17" x14ac:dyDescent="0.4">
      <c r="A13" s="54" t="s">
        <v>121</v>
      </c>
      <c r="B13" s="47">
        <v>54</v>
      </c>
      <c r="C13" s="42">
        <f>IF(B$3=0,0,B13/B$3)</f>
        <v>0.26470588235294118</v>
      </c>
      <c r="E13" s="59" t="s">
        <v>78</v>
      </c>
      <c r="F13" s="56" t="s">
        <v>33</v>
      </c>
      <c r="G13" s="44">
        <v>3</v>
      </c>
      <c r="H13" s="129">
        <f>IF(B$17=0,0,G13/B$17)</f>
        <v>5.2631578947368418E-2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32</v>
      </c>
      <c r="C14" s="37">
        <f>IF(B$3=0,0,B14/B$3)</f>
        <v>0.15686274509803921</v>
      </c>
      <c r="E14" s="59" t="s">
        <v>83</v>
      </c>
      <c r="F14" s="56" t="s">
        <v>38</v>
      </c>
      <c r="G14" s="44">
        <v>2</v>
      </c>
      <c r="H14" s="129">
        <f>IF(B$17=0,0,G14/B$17)</f>
        <v>3.5087719298245612E-2</v>
      </c>
      <c r="I14" s="90">
        <v>11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33</v>
      </c>
      <c r="C15" s="35">
        <f>IF(B$13=0,0,B15/B$13)</f>
        <v>0.61111111111111116</v>
      </c>
      <c r="E15" s="59" t="s">
        <v>86</v>
      </c>
      <c r="F15" s="56" t="s">
        <v>41</v>
      </c>
      <c r="G15" s="44">
        <v>2</v>
      </c>
      <c r="H15" s="129">
        <f>IF(B$17=0,0,G15/B$17)</f>
        <v>3.5087719298245612E-2</v>
      </c>
      <c r="I15" s="90">
        <v>7</v>
      </c>
      <c r="K15" s="36">
        <v>13</v>
      </c>
      <c r="L15" s="95">
        <v>76.7</v>
      </c>
      <c r="N15" s="110" t="s">
        <v>182</v>
      </c>
      <c r="O15" s="120">
        <f t="shared" ref="O15:O22" si="2">IF(P15=0,0,Q15/P15)</f>
        <v>52.525000000000006</v>
      </c>
      <c r="P15" s="114">
        <v>4</v>
      </c>
      <c r="Q15" s="102">
        <v>210.10000000000002</v>
      </c>
    </row>
    <row r="16" spans="1:17" x14ac:dyDescent="0.4">
      <c r="A16" s="50" t="s">
        <v>124</v>
      </c>
      <c r="B16" s="43">
        <v>12</v>
      </c>
      <c r="C16" s="35">
        <f>IF(B$14=0,0,B16/B$14)</f>
        <v>0.375</v>
      </c>
      <c r="E16" s="59" t="s">
        <v>75</v>
      </c>
      <c r="F16" s="56" t="s">
        <v>30</v>
      </c>
      <c r="G16" s="44">
        <v>1</v>
      </c>
      <c r="H16" s="129">
        <f>IF(B$17=0,0,G16/B$17)</f>
        <v>1.7543859649122806E-2</v>
      </c>
      <c r="I16" s="90">
        <v>1</v>
      </c>
      <c r="K16" s="36">
        <v>14</v>
      </c>
      <c r="L16" s="95">
        <v>49.900000000000006</v>
      </c>
      <c r="N16" s="111" t="s">
        <v>177</v>
      </c>
      <c r="O16" s="121">
        <f t="shared" si="2"/>
        <v>28.342857142857145</v>
      </c>
      <c r="P16" s="115">
        <v>7</v>
      </c>
      <c r="Q16" s="103">
        <v>198.4</v>
      </c>
    </row>
    <row r="17" spans="1:17" x14ac:dyDescent="0.4">
      <c r="A17" s="50" t="s">
        <v>10</v>
      </c>
      <c r="B17" s="43">
        <f>B19+B18</f>
        <v>57</v>
      </c>
      <c r="C17" s="35">
        <f>IF(B$3=0,0,B17/B$3)</f>
        <v>0.27941176470588236</v>
      </c>
      <c r="E17" s="59" t="s">
        <v>81</v>
      </c>
      <c r="F17" s="56" t="s">
        <v>36</v>
      </c>
      <c r="G17" s="44">
        <v>1</v>
      </c>
      <c r="H17" s="129">
        <f>IF(B$17=0,0,G17/B$17)</f>
        <v>1.7543859649122806E-2</v>
      </c>
      <c r="I17" s="90">
        <v>6</v>
      </c>
      <c r="K17" s="36">
        <v>15</v>
      </c>
      <c r="L17" s="95">
        <v>73.7</v>
      </c>
      <c r="N17" s="111" t="s">
        <v>179</v>
      </c>
      <c r="O17" s="121">
        <f t="shared" si="2"/>
        <v>5.3000000000000007</v>
      </c>
      <c r="P17" s="115">
        <v>9</v>
      </c>
      <c r="Q17" s="103">
        <v>47.7</v>
      </c>
    </row>
    <row r="18" spans="1:17" x14ac:dyDescent="0.4">
      <c r="A18" s="51" t="s">
        <v>12</v>
      </c>
      <c r="B18" s="44">
        <v>31</v>
      </c>
      <c r="C18" s="37">
        <f>IF(B$17=0,0,B18/B$17)</f>
        <v>0.54385964912280704</v>
      </c>
      <c r="E18" s="59" t="s">
        <v>85</v>
      </c>
      <c r="F18" s="56" t="s">
        <v>40</v>
      </c>
      <c r="G18" s="44">
        <v>1</v>
      </c>
      <c r="H18" s="129">
        <f>IF(B$17=0,0,G18/B$17)</f>
        <v>1.7543859649122806E-2</v>
      </c>
      <c r="I18" s="90">
        <v>1</v>
      </c>
      <c r="K18" s="36">
        <v>16</v>
      </c>
      <c r="L18" s="95">
        <v>28.300000000000004</v>
      </c>
      <c r="N18" s="111" t="s">
        <v>178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11</v>
      </c>
      <c r="B19" s="44">
        <v>26</v>
      </c>
      <c r="C19" s="37">
        <f>IF(B$17=0,0,B19/B$17)</f>
        <v>0.45614035087719296</v>
      </c>
      <c r="E19" s="59" t="s">
        <v>87</v>
      </c>
      <c r="F19" s="56" t="s">
        <v>42</v>
      </c>
      <c r="G19" s="44">
        <v>1</v>
      </c>
      <c r="H19" s="129">
        <f>IF(B$17=0,0,G19/B$17)</f>
        <v>1.7543859649122806E-2</v>
      </c>
      <c r="I19" s="90">
        <v>1</v>
      </c>
      <c r="K19" s="36">
        <v>17</v>
      </c>
      <c r="L19" s="95">
        <v>49.800000000000004</v>
      </c>
      <c r="N19" s="111" t="s">
        <v>166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">
      <c r="A20" s="51" t="s">
        <v>13</v>
      </c>
      <c r="B20" s="44">
        <v>31</v>
      </c>
      <c r="C20" s="37">
        <f>IF(B$3=0,0,B20/B$3)</f>
        <v>0.15196078431372548</v>
      </c>
      <c r="E20" s="59" t="s">
        <v>167</v>
      </c>
      <c r="F20" s="56" t="s">
        <v>168</v>
      </c>
      <c r="G20" s="44">
        <v>1</v>
      </c>
      <c r="H20" s="129">
        <f>IF(B$17=0,0,G20/B$17)</f>
        <v>1.7543859649122806E-2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">
      <c r="A21" s="51" t="s">
        <v>169</v>
      </c>
      <c r="B21" s="44">
        <v>3</v>
      </c>
      <c r="C21" s="131">
        <v>1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8.7000000000000028</v>
      </c>
      <c r="N21" s="111" t="s">
        <v>195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5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-53.400000000000006</v>
      </c>
      <c r="P22" s="115">
        <v>6</v>
      </c>
      <c r="Q22" s="103">
        <v>-320.40000000000003</v>
      </c>
    </row>
    <row r="23" spans="1:17" x14ac:dyDescent="0.4">
      <c r="A23" s="51" t="s">
        <v>5</v>
      </c>
      <c r="B23" s="48">
        <f>IF(B$17=0,0,C23/B$17)</f>
        <v>8115.7894736842109</v>
      </c>
      <c r="C23" s="39">
        <v>462600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216</v>
      </c>
      <c r="B24" s="136">
        <f>IF($B$17-B$16=0,0,C24/($B$17-B$16))</f>
        <v>8384.4444444444453</v>
      </c>
      <c r="C24" s="137">
        <v>377300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217</v>
      </c>
      <c r="B25" s="136">
        <f>IF(B$16=0,0,C25/B$16)</f>
        <v>7108.333333333333</v>
      </c>
      <c r="C25" s="137">
        <v>85300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</row>
    <row r="26" spans="1:17" x14ac:dyDescent="0.4">
      <c r="A26" s="52" t="s">
        <v>215</v>
      </c>
      <c r="B26" s="136">
        <f>IF(B$20=0,0,C26/B$20)</f>
        <v>-7151.6129032258068</v>
      </c>
      <c r="C26" s="137">
        <v>-221700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</row>
    <row r="27" spans="1:17" x14ac:dyDescent="0.4">
      <c r="A27" s="86" t="s">
        <v>140</v>
      </c>
      <c r="B27" s="142">
        <v>7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4.9019607843137254E-3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B709C-D98B-46DE-961D-CCD6ADFBC57D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8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5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3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4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7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9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353E7-64E6-4F76-9AE4-D26E133AC16F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9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9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5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113F-A490-429F-AF48-30D21A9CC8F6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06F0-3AF1-45A1-A637-A1DFF216F41D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1400B-C680-4ED2-B7D7-230F405CF1D9}">
  <sheetPr codeName="Sheet22"/>
  <dimension ref="A1:Q2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  <row r="18" spans="1:17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0.13333333333333333</v>
      </c>
      <c r="M18" s="63">
        <v>0.28187919463087246</v>
      </c>
      <c r="N18" s="63">
        <v>0.1476510067114094</v>
      </c>
      <c r="O18" s="63">
        <v>0.6428571428571429</v>
      </c>
      <c r="P18" s="63">
        <v>0.31818181818181818</v>
      </c>
      <c r="Q18" s="63">
        <v>0.52272727272727271</v>
      </c>
    </row>
    <row r="19" spans="1:17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0.125</v>
      </c>
      <c r="M19" s="63">
        <v>0.29220779220779219</v>
      </c>
      <c r="N19" s="63">
        <v>0.14285714285714285</v>
      </c>
      <c r="O19" s="63">
        <v>0.62222222222222223</v>
      </c>
      <c r="P19" s="63">
        <v>0.31818181818181818</v>
      </c>
      <c r="Q19" s="63">
        <v>0.53333333333333333</v>
      </c>
    </row>
    <row r="20" spans="1:17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0.11764705882352941</v>
      </c>
      <c r="M20" s="63">
        <v>0.28749999999999998</v>
      </c>
      <c r="N20" s="63">
        <v>0.14374999999999999</v>
      </c>
      <c r="O20" s="63">
        <v>0.63043478260869568</v>
      </c>
      <c r="P20" s="63">
        <v>0.34782608695652173</v>
      </c>
      <c r="Q20" s="63">
        <v>0.55102040816326525</v>
      </c>
    </row>
    <row r="21" spans="1:17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0.1111111111111111</v>
      </c>
      <c r="M21" s="63">
        <v>0.27380952380952384</v>
      </c>
      <c r="N21" s="63">
        <v>0.13690476190476192</v>
      </c>
      <c r="O21" s="63">
        <v>0.63043478260869568</v>
      </c>
      <c r="P21" s="63">
        <v>0.34782608695652173</v>
      </c>
      <c r="Q21" s="63">
        <v>0.55102040816326525</v>
      </c>
    </row>
    <row r="22" spans="1:17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0.10526315789473684</v>
      </c>
      <c r="M22" s="63">
        <v>0.27840909090909088</v>
      </c>
      <c r="N22" s="63">
        <v>0.13068181818181818</v>
      </c>
      <c r="O22" s="63">
        <v>0.61224489795918369</v>
      </c>
      <c r="P22" s="63">
        <v>0.34782608695652173</v>
      </c>
      <c r="Q22" s="63">
        <v>0.56000000000000005</v>
      </c>
    </row>
    <row r="23" spans="1:17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0.1</v>
      </c>
      <c r="M23" s="63">
        <v>0.27717391304347827</v>
      </c>
      <c r="N23" s="63">
        <v>0.14130434782608695</v>
      </c>
      <c r="O23" s="63">
        <v>0.58823529411764708</v>
      </c>
      <c r="P23" s="63">
        <v>0.30769230769230771</v>
      </c>
      <c r="Q23" s="63">
        <v>0.56000000000000005</v>
      </c>
    </row>
    <row r="24" spans="1:17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9.5238095238095233E-2</v>
      </c>
      <c r="M24" s="63">
        <v>0.27368421052631581</v>
      </c>
      <c r="N24" s="63">
        <v>0.14210526315789473</v>
      </c>
      <c r="O24" s="63">
        <v>0.59615384615384615</v>
      </c>
      <c r="P24" s="63">
        <v>0.33333333333333331</v>
      </c>
      <c r="Q24" s="63">
        <v>0.53846153846153844</v>
      </c>
    </row>
    <row r="25" spans="1:17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9.0909090909090912E-2</v>
      </c>
      <c r="M25" s="63">
        <v>0.26470588235294118</v>
      </c>
      <c r="N25" s="63">
        <v>0.15686274509803921</v>
      </c>
      <c r="O25" s="63">
        <v>0.61111111111111116</v>
      </c>
      <c r="P25" s="63">
        <v>0.375</v>
      </c>
      <c r="Q25" s="63">
        <v>0.54385964912280704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95F22-2C45-49FE-A30C-9A02C21C393E}">
  <sheetPr codeName="Sheet20"/>
  <dimension ref="A1:Q3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0C5CB-FF10-4F86-B946-F640B4129512}">
  <sheetPr codeName="Sheet18"/>
  <dimension ref="A1:Q9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  <row r="70" spans="1:17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8.9552238805970144E-2</v>
      </c>
      <c r="M70" s="63">
        <v>0.25504587155963304</v>
      </c>
      <c r="N70" s="63">
        <v>0.25321100917431194</v>
      </c>
      <c r="O70" s="63">
        <v>0.58273381294964033</v>
      </c>
      <c r="P70" s="63">
        <v>0.40579710144927539</v>
      </c>
      <c r="Q70" s="63">
        <v>0.44871794871794873</v>
      </c>
    </row>
    <row r="71" spans="1:17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8.8235294117647065E-2</v>
      </c>
      <c r="M71" s="63">
        <v>0.25362318840579712</v>
      </c>
      <c r="N71" s="63">
        <v>0.25362318840579712</v>
      </c>
      <c r="O71" s="63">
        <v>0.57857142857142863</v>
      </c>
      <c r="P71" s="63">
        <v>0.4</v>
      </c>
      <c r="Q71" s="63">
        <v>0.45222929936305734</v>
      </c>
    </row>
    <row r="72" spans="1:17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8.6956521739130432E-2</v>
      </c>
      <c r="M72" s="63">
        <v>0.25223613595706618</v>
      </c>
      <c r="N72" s="63">
        <v>0.25223613595706618</v>
      </c>
      <c r="O72" s="63">
        <v>0.57446808510638303</v>
      </c>
      <c r="P72" s="63">
        <v>0.40425531914893614</v>
      </c>
      <c r="Q72" s="63">
        <v>0.44936708860759494</v>
      </c>
    </row>
    <row r="73" spans="1:17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8.5714285714285715E-2</v>
      </c>
      <c r="M73" s="63">
        <v>0.25354609929078015</v>
      </c>
      <c r="N73" s="63">
        <v>0.25177304964539005</v>
      </c>
      <c r="O73" s="63">
        <v>0.57342657342657344</v>
      </c>
      <c r="P73" s="63">
        <v>0.40845070422535212</v>
      </c>
      <c r="Q73" s="63">
        <v>0.45624999999999999</v>
      </c>
    </row>
    <row r="74" spans="1:17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8.4507042253521125E-2</v>
      </c>
      <c r="M74" s="63">
        <v>0.25043782837127848</v>
      </c>
      <c r="N74" s="63">
        <v>0.24868651488616461</v>
      </c>
      <c r="O74" s="63">
        <v>0.57342657342657344</v>
      </c>
      <c r="P74" s="63">
        <v>0.40845070422535212</v>
      </c>
      <c r="Q74" s="63">
        <v>0.453416149068323</v>
      </c>
    </row>
    <row r="75" spans="1:17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8.3333333333333329E-2</v>
      </c>
      <c r="M75" s="63">
        <v>0.25043177892918828</v>
      </c>
      <c r="N75" s="63">
        <v>0.24525043177892919</v>
      </c>
      <c r="O75" s="63">
        <v>0.57241379310344831</v>
      </c>
      <c r="P75" s="63">
        <v>0.40845070422535212</v>
      </c>
      <c r="Q75" s="63">
        <v>0.46012269938650308</v>
      </c>
    </row>
    <row r="76" spans="1:17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8.2191780821917804E-2</v>
      </c>
      <c r="M76" s="63">
        <v>0.24957264957264957</v>
      </c>
      <c r="N76" s="63">
        <v>0.24615384615384617</v>
      </c>
      <c r="O76" s="63">
        <v>0.57534246575342463</v>
      </c>
      <c r="P76" s="63">
        <v>0.40277777777777779</v>
      </c>
      <c r="Q76" s="63">
        <v>0.46341463414634149</v>
      </c>
    </row>
    <row r="77" spans="1:17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8.1081081081081086E-2</v>
      </c>
      <c r="M77" s="63">
        <v>0.25126475548060706</v>
      </c>
      <c r="N77" s="63">
        <v>0.24283305227655985</v>
      </c>
      <c r="O77" s="63">
        <v>0.57718120805369133</v>
      </c>
      <c r="P77" s="63">
        <v>0.40277777777777779</v>
      </c>
      <c r="Q77" s="63">
        <v>0.44970414201183434</v>
      </c>
    </row>
    <row r="78" spans="1:17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0.08</v>
      </c>
      <c r="M78" s="63">
        <v>0.25666666666666665</v>
      </c>
      <c r="N78" s="63">
        <v>0.24166666666666667</v>
      </c>
      <c r="O78" s="63">
        <v>0.5714285714285714</v>
      </c>
      <c r="P78" s="63">
        <v>0.4</v>
      </c>
      <c r="Q78" s="63">
        <v>0.45029239766081869</v>
      </c>
    </row>
    <row r="79" spans="1:17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7.8947368421052627E-2</v>
      </c>
      <c r="M79" s="63">
        <v>0.25577557755775576</v>
      </c>
      <c r="N79" s="63">
        <v>0.24092409240924093</v>
      </c>
      <c r="O79" s="63">
        <v>0.5741935483870968</v>
      </c>
      <c r="P79" s="63">
        <v>0.4041095890410959</v>
      </c>
      <c r="Q79" s="63">
        <v>0.45086705202312138</v>
      </c>
    </row>
    <row r="80" spans="1:17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7.792207792207792E-2</v>
      </c>
      <c r="M80" s="63">
        <v>0.25283630470016205</v>
      </c>
      <c r="N80" s="63">
        <v>0.23824959481361427</v>
      </c>
      <c r="O80" s="63">
        <v>0.57051282051282048</v>
      </c>
      <c r="P80" s="63">
        <v>0.40136054421768708</v>
      </c>
      <c r="Q80" s="63">
        <v>0.45086705202312138</v>
      </c>
    </row>
    <row r="81" spans="1:17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7.6923076923076927E-2</v>
      </c>
      <c r="M81" s="63">
        <v>0.2504012841091493</v>
      </c>
      <c r="N81" s="63">
        <v>0.23595505617977527</v>
      </c>
      <c r="O81" s="63">
        <v>0.57051282051282048</v>
      </c>
      <c r="P81" s="63">
        <v>0.40136054421768708</v>
      </c>
      <c r="Q81" s="63">
        <v>0.45086705202312138</v>
      </c>
    </row>
    <row r="82" spans="1:17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7.5949367088607597E-2</v>
      </c>
      <c r="M82" s="63">
        <v>0.25078864353312302</v>
      </c>
      <c r="N82" s="63">
        <v>0.23501577287066247</v>
      </c>
      <c r="O82" s="63">
        <v>0.55974842767295596</v>
      </c>
      <c r="P82" s="63">
        <v>0.40268456375838924</v>
      </c>
      <c r="Q82" s="63">
        <v>0.44886363636363635</v>
      </c>
    </row>
    <row r="83" spans="1:17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7.4999999999999997E-2</v>
      </c>
      <c r="M83" s="63">
        <v>0.25039123630672927</v>
      </c>
      <c r="N83" s="63">
        <v>0.23630672926447574</v>
      </c>
      <c r="O83" s="63">
        <v>0.5625</v>
      </c>
      <c r="P83" s="63">
        <v>0.40397350993377484</v>
      </c>
      <c r="Q83" s="63">
        <v>0.449438202247191</v>
      </c>
    </row>
    <row r="84" spans="1:17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7.407407407407407E-2</v>
      </c>
      <c r="M84" s="63">
        <v>0.25386996904024767</v>
      </c>
      <c r="N84" s="63">
        <v>0.23529411764705882</v>
      </c>
      <c r="O84" s="63">
        <v>0.56707317073170727</v>
      </c>
      <c r="P84" s="63">
        <v>0.40789473684210525</v>
      </c>
      <c r="Q84" s="63">
        <v>0.44808743169398907</v>
      </c>
    </row>
    <row r="85" spans="1:17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7.3170731707317069E-2</v>
      </c>
      <c r="M85" s="63">
        <v>0.25229357798165136</v>
      </c>
      <c r="N85" s="63">
        <v>0.23547400611620795</v>
      </c>
      <c r="O85" s="63">
        <v>0.5696969696969697</v>
      </c>
      <c r="P85" s="63">
        <v>0.40909090909090912</v>
      </c>
      <c r="Q85" s="63">
        <v>0.44864864864864867</v>
      </c>
    </row>
    <row r="86" spans="1:17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7.2289156626506021E-2</v>
      </c>
      <c r="M86" s="63">
        <v>0.25264750378214829</v>
      </c>
      <c r="N86" s="63">
        <v>0.2329803328290469</v>
      </c>
      <c r="O86" s="63">
        <v>0.56287425149700598</v>
      </c>
      <c r="P86" s="63">
        <v>0.40909090909090912</v>
      </c>
      <c r="Q86" s="63">
        <v>0.44864864864864867</v>
      </c>
    </row>
    <row r="87" spans="1:17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7.1428571428571425E-2</v>
      </c>
      <c r="M87" s="63">
        <v>0.25337331334332835</v>
      </c>
      <c r="N87" s="63">
        <v>0.23088455772113944</v>
      </c>
      <c r="O87" s="63">
        <v>0.56804733727810652</v>
      </c>
      <c r="P87" s="63">
        <v>0.40909090909090912</v>
      </c>
      <c r="Q87" s="63">
        <v>0.44385026737967914</v>
      </c>
    </row>
    <row r="88" spans="1:17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7.0588235294117646E-2</v>
      </c>
      <c r="M88" s="63">
        <v>0.25370919881305637</v>
      </c>
      <c r="N88" s="63">
        <v>0.2314540059347181</v>
      </c>
      <c r="O88" s="63">
        <v>0.56140350877192979</v>
      </c>
      <c r="P88" s="63">
        <v>0.41025641025641024</v>
      </c>
      <c r="Q88" s="63">
        <v>0.44973544973544971</v>
      </c>
    </row>
    <row r="89" spans="1:17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6.9767441860465115E-2</v>
      </c>
      <c r="M89" s="63">
        <v>0.25768667642752563</v>
      </c>
      <c r="N89" s="63">
        <v>0.22986822840409957</v>
      </c>
      <c r="O89" s="63">
        <v>0.55681818181818177</v>
      </c>
      <c r="P89" s="63">
        <v>0.4140127388535032</v>
      </c>
      <c r="Q89" s="63">
        <v>0.44791666666666669</v>
      </c>
    </row>
    <row r="90" spans="1:17" x14ac:dyDescent="0.4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6.8965517241379309E-2</v>
      </c>
      <c r="M90" s="63">
        <v>0.2608695652173913</v>
      </c>
      <c r="N90" s="63">
        <v>0.22898550724637681</v>
      </c>
      <c r="O90" s="63">
        <v>0.56111111111111112</v>
      </c>
      <c r="P90" s="63">
        <v>0.41139240506329117</v>
      </c>
      <c r="Q90" s="63">
        <v>0.44615384615384618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3AC30-7107-4E5C-AAD4-07F911C35F0B}">
  <sheetPr codeName="Sheet16"/>
  <dimension ref="A1:Q6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  <row r="50" spans="1:17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0.19148936170212766</v>
      </c>
      <c r="M50" s="63">
        <v>0.31675392670157065</v>
      </c>
      <c r="N50" s="63">
        <v>0.19633507853403143</v>
      </c>
      <c r="O50" s="63">
        <v>0.51239669421487599</v>
      </c>
      <c r="P50" s="63">
        <v>0.45333333333333331</v>
      </c>
      <c r="Q50" s="63">
        <v>0.47272727272727272</v>
      </c>
    </row>
    <row r="51" spans="1:17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0.20833333333333334</v>
      </c>
      <c r="M51" s="63">
        <v>0.32133676092544988</v>
      </c>
      <c r="N51" s="63">
        <v>0.19537275064267351</v>
      </c>
      <c r="O51" s="63">
        <v>0.52800000000000002</v>
      </c>
      <c r="P51" s="63">
        <v>0.46052631578947367</v>
      </c>
      <c r="Q51" s="63">
        <v>0.46956521739130436</v>
      </c>
    </row>
    <row r="52" spans="1:17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0.20408163265306123</v>
      </c>
      <c r="M52" s="63">
        <v>0.32070707070707072</v>
      </c>
      <c r="N52" s="63">
        <v>0.19696969696969696</v>
      </c>
      <c r="O52" s="63">
        <v>0.52755905511811019</v>
      </c>
      <c r="P52" s="63">
        <v>0.46153846153846156</v>
      </c>
      <c r="Q52" s="63">
        <v>0.46153846153846156</v>
      </c>
    </row>
    <row r="53" spans="1:17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0.22</v>
      </c>
      <c r="M53" s="63">
        <v>0.31920199501246882</v>
      </c>
      <c r="N53" s="63">
        <v>0.19451371571072318</v>
      </c>
      <c r="O53" s="63">
        <v>0.53125</v>
      </c>
      <c r="P53" s="63">
        <v>0.46153846153846156</v>
      </c>
      <c r="Q53" s="63">
        <v>0.46610169491525422</v>
      </c>
    </row>
    <row r="54" spans="1:17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0.21568627450980393</v>
      </c>
      <c r="M54" s="63">
        <v>0.32107843137254904</v>
      </c>
      <c r="N54" s="63">
        <v>0.19117647058823528</v>
      </c>
      <c r="O54" s="63">
        <v>0.52671755725190839</v>
      </c>
      <c r="P54" s="63">
        <v>0.46153846153846156</v>
      </c>
      <c r="Q54" s="63">
        <v>0.47499999999999998</v>
      </c>
    </row>
    <row r="55" spans="1:17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0.21153846153846154</v>
      </c>
      <c r="M55" s="63">
        <v>0.32692307692307693</v>
      </c>
      <c r="N55" s="63">
        <v>0.18990384615384615</v>
      </c>
      <c r="O55" s="63">
        <v>0.53676470588235292</v>
      </c>
      <c r="P55" s="63">
        <v>0.46835443037974683</v>
      </c>
      <c r="Q55" s="63">
        <v>0.48799999999999999</v>
      </c>
    </row>
    <row r="56" spans="1:17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0.20754716981132076</v>
      </c>
      <c r="M56" s="63">
        <v>0.32938388625592419</v>
      </c>
      <c r="N56" s="63">
        <v>0.1872037914691943</v>
      </c>
      <c r="O56" s="63">
        <v>0.53237410071942448</v>
      </c>
      <c r="P56" s="63">
        <v>0.46835443037974683</v>
      </c>
      <c r="Q56" s="63">
        <v>0.49206349206349204</v>
      </c>
    </row>
    <row r="57" spans="1:17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0.20370370370370369</v>
      </c>
      <c r="M57" s="63">
        <v>0.32558139534883723</v>
      </c>
      <c r="N57" s="63">
        <v>0.18604651162790697</v>
      </c>
      <c r="O57" s="63">
        <v>0.5357142857142857</v>
      </c>
      <c r="P57" s="63">
        <v>0.46250000000000002</v>
      </c>
      <c r="Q57" s="63">
        <v>0.49612403100775193</v>
      </c>
    </row>
    <row r="58" spans="1:17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0.2</v>
      </c>
      <c r="M58" s="63">
        <v>0.32118451025056949</v>
      </c>
      <c r="N58" s="63">
        <v>0.18223234624145787</v>
      </c>
      <c r="O58" s="63">
        <v>0.53191489361702127</v>
      </c>
      <c r="P58" s="63">
        <v>0.46250000000000002</v>
      </c>
      <c r="Q58" s="63">
        <v>0.49612403100775193</v>
      </c>
    </row>
    <row r="59" spans="1:17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0.19642857142857142</v>
      </c>
      <c r="M59" s="63">
        <v>0.32</v>
      </c>
      <c r="N59" s="63">
        <v>0.18222222222222223</v>
      </c>
      <c r="O59" s="63">
        <v>0.53472222222222221</v>
      </c>
      <c r="P59" s="63">
        <v>0.45121951219512196</v>
      </c>
      <c r="Q59" s="63">
        <v>0.49618320610687022</v>
      </c>
    </row>
    <row r="60" spans="1:17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0.19298245614035087</v>
      </c>
      <c r="M60" s="63">
        <v>0.32385120350109409</v>
      </c>
      <c r="N60" s="63">
        <v>0.17943107221006566</v>
      </c>
      <c r="O60" s="63">
        <v>0.54729729729729726</v>
      </c>
      <c r="P60" s="63">
        <v>0.45121951219512196</v>
      </c>
      <c r="Q60" s="63">
        <v>0.48529411764705882</v>
      </c>
    </row>
    <row r="61" spans="1:17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0.18965517241379309</v>
      </c>
      <c r="M61" s="63">
        <v>0.32258064516129031</v>
      </c>
      <c r="N61" s="63">
        <v>0.17634408602150536</v>
      </c>
      <c r="O61" s="63">
        <v>0.54666666666666663</v>
      </c>
      <c r="P61" s="63">
        <v>0.45121951219512196</v>
      </c>
      <c r="Q61" s="63">
        <v>0.48550724637681159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3F0A0-967D-4C91-AF21-E24D6E2A0C30}">
  <sheetPr codeName="Sheet14"/>
  <dimension ref="A1:Q6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  <row r="61" spans="1:17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3.4482758620689655E-2</v>
      </c>
      <c r="M61" s="63">
        <v>0.28834355828220859</v>
      </c>
      <c r="N61" s="63">
        <v>0.18404907975460122</v>
      </c>
      <c r="O61" s="63">
        <v>0.6028368794326241</v>
      </c>
      <c r="P61" s="63">
        <v>0.3888888888888889</v>
      </c>
      <c r="Q61" s="63">
        <v>0.46376811594202899</v>
      </c>
    </row>
    <row r="62" spans="1:17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3.3898305084745763E-2</v>
      </c>
      <c r="M62" s="63">
        <v>0.28629032258064518</v>
      </c>
      <c r="N62" s="63">
        <v>0.1875</v>
      </c>
      <c r="O62" s="63">
        <v>0.59859154929577463</v>
      </c>
      <c r="P62" s="63">
        <v>0.38709677419354838</v>
      </c>
      <c r="Q62" s="63">
        <v>0.45714285714285713</v>
      </c>
    </row>
    <row r="63" spans="1:17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3.3333333333333333E-2</v>
      </c>
      <c r="M63" s="63">
        <v>0.28286852589641437</v>
      </c>
      <c r="N63" s="63">
        <v>0.18725099601593626</v>
      </c>
      <c r="O63" s="63">
        <v>0.59859154929577463</v>
      </c>
      <c r="P63" s="63">
        <v>0.38297872340425532</v>
      </c>
      <c r="Q63" s="63">
        <v>0.45714285714285713</v>
      </c>
    </row>
    <row r="64" spans="1:17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3.2786885245901641E-2</v>
      </c>
      <c r="M64" s="63">
        <v>0.28488372093023256</v>
      </c>
      <c r="N64" s="63">
        <v>0.18992248062015504</v>
      </c>
      <c r="O64" s="63">
        <v>0.59183673469387754</v>
      </c>
      <c r="P64" s="63">
        <v>0.38775510204081631</v>
      </c>
      <c r="Q64" s="63">
        <v>0.4513888888888889</v>
      </c>
    </row>
    <row r="65" spans="1:17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3.2258064516129031E-2</v>
      </c>
      <c r="M65" s="63">
        <v>0.28516377649325625</v>
      </c>
      <c r="N65" s="63">
        <v>0.18882466281310212</v>
      </c>
      <c r="O65" s="63">
        <v>0.58783783783783783</v>
      </c>
      <c r="P65" s="63">
        <v>0.38775510204081631</v>
      </c>
      <c r="Q65" s="63">
        <v>0.4513888888888889</v>
      </c>
    </row>
    <row r="66" spans="1:17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3.1746031746031744E-2</v>
      </c>
      <c r="M66" s="63">
        <v>0.29166666666666669</v>
      </c>
      <c r="N66" s="63">
        <v>0.1875</v>
      </c>
      <c r="O66" s="63">
        <v>0.58441558441558439</v>
      </c>
      <c r="P66" s="63">
        <v>0.38383838383838381</v>
      </c>
      <c r="Q66" s="63">
        <v>0.45270270270270269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E04CE-6D5F-4791-A615-DDFD21B8A421}">
  <sheetPr codeName="Sheet12"/>
  <dimension ref="A1:Q10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  <row r="87" spans="1:17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9.5238095238095233E-2</v>
      </c>
      <c r="M87" s="63">
        <v>0.23001402524544179</v>
      </c>
      <c r="N87" s="63">
        <v>0.30575035063113604</v>
      </c>
      <c r="O87" s="63">
        <v>0.53048780487804881</v>
      </c>
      <c r="P87" s="63">
        <v>0.37155963302752293</v>
      </c>
      <c r="Q87" s="63">
        <v>0.39189189189189189</v>
      </c>
    </row>
    <row r="88" spans="1:17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0.10588235294117647</v>
      </c>
      <c r="M88" s="63">
        <v>0.23204419889502761</v>
      </c>
      <c r="N88" s="63">
        <v>0.30524861878453041</v>
      </c>
      <c r="O88" s="63">
        <v>0.5357142857142857</v>
      </c>
      <c r="P88" s="63">
        <v>0.37104072398190047</v>
      </c>
      <c r="Q88" s="63">
        <v>0.38495575221238937</v>
      </c>
    </row>
    <row r="89" spans="1:17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0.10465116279069768</v>
      </c>
      <c r="M89" s="63">
        <v>0.23087431693989072</v>
      </c>
      <c r="N89" s="63">
        <v>0.3046448087431694</v>
      </c>
      <c r="O89" s="63">
        <v>0.53846153846153844</v>
      </c>
      <c r="P89" s="63">
        <v>0.37219730941704038</v>
      </c>
      <c r="Q89" s="63">
        <v>0.37991266375545851</v>
      </c>
    </row>
    <row r="90" spans="1:17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0.11494252873563218</v>
      </c>
      <c r="M90" s="63">
        <v>0.22899728997289973</v>
      </c>
      <c r="N90" s="63">
        <v>0.30623306233062331</v>
      </c>
      <c r="O90" s="63">
        <v>0.53846153846153844</v>
      </c>
      <c r="P90" s="63">
        <v>0.38053097345132741</v>
      </c>
      <c r="Q90" s="63">
        <v>0.38197424892703863</v>
      </c>
    </row>
    <row r="91" spans="1:17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0.11363636363636363</v>
      </c>
      <c r="M91" s="63">
        <v>0.22739361702127658</v>
      </c>
      <c r="N91" s="63">
        <v>0.30718085106382981</v>
      </c>
      <c r="O91" s="63">
        <v>0.53216374269005851</v>
      </c>
      <c r="P91" s="63">
        <v>0.38528138528138528</v>
      </c>
      <c r="Q91" s="63">
        <v>0.38396624472573837</v>
      </c>
    </row>
    <row r="92" spans="1:17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0.11235955056179775</v>
      </c>
      <c r="M92" s="63">
        <v>0.22823218997361477</v>
      </c>
      <c r="N92" s="63">
        <v>0.30606860158311344</v>
      </c>
      <c r="O92" s="63">
        <v>0.53179190751445082</v>
      </c>
      <c r="P92" s="63">
        <v>0.38362068965517243</v>
      </c>
      <c r="Q92" s="63">
        <v>0.38493723849372385</v>
      </c>
    </row>
    <row r="93" spans="1:17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0.1111111111111111</v>
      </c>
      <c r="M93" s="63">
        <v>0.23216601815823606</v>
      </c>
      <c r="N93" s="63">
        <v>0.30998702983138782</v>
      </c>
      <c r="O93" s="63">
        <v>0.51955307262569828</v>
      </c>
      <c r="P93" s="63">
        <v>0.38493723849372385</v>
      </c>
      <c r="Q93" s="63">
        <v>0.38683127572016462</v>
      </c>
    </row>
    <row r="94" spans="1:17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0.10989010989010989</v>
      </c>
      <c r="M94" s="63">
        <v>0.2326478149100257</v>
      </c>
      <c r="N94" s="63">
        <v>0.30976863753213368</v>
      </c>
      <c r="O94" s="63">
        <v>0.51933701657458564</v>
      </c>
      <c r="P94" s="63">
        <v>0.38174273858921159</v>
      </c>
      <c r="Q94" s="63">
        <v>0.38524590163934425</v>
      </c>
    </row>
    <row r="95" spans="1:17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0.10869565217391304</v>
      </c>
      <c r="M95" s="63">
        <v>0.2340966921119593</v>
      </c>
      <c r="N95" s="63">
        <v>0.30916030534351147</v>
      </c>
      <c r="O95" s="63">
        <v>0.51630434782608692</v>
      </c>
      <c r="P95" s="63">
        <v>0.37860082304526749</v>
      </c>
      <c r="Q95" s="63">
        <v>0.38775510204081631</v>
      </c>
    </row>
    <row r="96" spans="1:17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0.10752688172043011</v>
      </c>
      <c r="M96" s="63">
        <v>0.23707440100882723</v>
      </c>
      <c r="N96" s="63">
        <v>0.30643127364438838</v>
      </c>
      <c r="O96" s="63">
        <v>0.51063829787234039</v>
      </c>
      <c r="P96" s="63">
        <v>0.37860082304526749</v>
      </c>
      <c r="Q96" s="63">
        <v>0.38617886178861788</v>
      </c>
    </row>
    <row r="97" spans="1:17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0.10638297872340426</v>
      </c>
      <c r="M97" s="63">
        <v>0.23654568210262827</v>
      </c>
      <c r="N97" s="63">
        <v>0.30663329161451813</v>
      </c>
      <c r="O97" s="63">
        <v>0.50793650793650791</v>
      </c>
      <c r="P97" s="63">
        <v>0.37551020408163266</v>
      </c>
      <c r="Q97" s="63">
        <v>0.38617886178861788</v>
      </c>
    </row>
    <row r="98" spans="1:17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0.10526315789473684</v>
      </c>
      <c r="M98" s="63">
        <v>0.23449131513647642</v>
      </c>
      <c r="N98" s="63">
        <v>0.30645161290322581</v>
      </c>
      <c r="O98" s="63">
        <v>0.50793650793650791</v>
      </c>
      <c r="P98" s="63">
        <v>0.37651821862348178</v>
      </c>
      <c r="Q98" s="63">
        <v>0.38461538461538464</v>
      </c>
    </row>
    <row r="99" spans="1:17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0.10416666666666667</v>
      </c>
      <c r="M99" s="63">
        <v>0.2343558282208589</v>
      </c>
      <c r="N99" s="63">
        <v>0.30674846625766872</v>
      </c>
      <c r="O99" s="63">
        <v>0.50785340314136129</v>
      </c>
      <c r="P99" s="63">
        <v>0.376</v>
      </c>
      <c r="Q99" s="63">
        <v>0.38554216867469882</v>
      </c>
    </row>
    <row r="100" spans="1:17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0.10309278350515463</v>
      </c>
      <c r="M100" s="63">
        <v>0.2334963325183374</v>
      </c>
      <c r="N100" s="63">
        <v>0.30562347188264061</v>
      </c>
      <c r="O100" s="63">
        <v>0.50785340314136129</v>
      </c>
      <c r="P100" s="63">
        <v>0.376</v>
      </c>
      <c r="Q100" s="63">
        <v>0.38554216867469882</v>
      </c>
    </row>
    <row r="101" spans="1:17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0.10204081632653061</v>
      </c>
      <c r="M101" s="63">
        <v>0.23458282950423218</v>
      </c>
      <c r="N101" s="63">
        <v>0.30350665054413545</v>
      </c>
      <c r="O101" s="63">
        <v>0.51030927835051543</v>
      </c>
      <c r="P101" s="63">
        <v>0.37450199203187251</v>
      </c>
      <c r="Q101" s="63">
        <v>0.38645418326693226</v>
      </c>
    </row>
    <row r="102" spans="1:17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0.10101010101010101</v>
      </c>
      <c r="M102" s="63">
        <v>0.2347305389221557</v>
      </c>
      <c r="N102" s="63">
        <v>0.30419161676646705</v>
      </c>
      <c r="O102" s="63">
        <v>0.51020408163265307</v>
      </c>
      <c r="P102" s="63">
        <v>0.37401574803149606</v>
      </c>
      <c r="Q102" s="63">
        <v>0.38735177865612647</v>
      </c>
    </row>
    <row r="103" spans="1:17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0.1</v>
      </c>
      <c r="M103" s="63">
        <v>0.23515439429928742</v>
      </c>
      <c r="N103" s="63">
        <v>0.30403800475059384</v>
      </c>
      <c r="O103" s="63">
        <v>0.51010101010101006</v>
      </c>
      <c r="P103" s="63">
        <v>0.37109375</v>
      </c>
      <c r="Q103" s="63">
        <v>0.38976377952755903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B146A-B0BB-42B1-BF16-5CE984828BE6}">
  <sheetPr codeName="Sheet10"/>
  <dimension ref="A1:Q11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  <row r="92" spans="1:17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8.98876404494382E-2</v>
      </c>
      <c r="M92" s="63">
        <v>0.26470588235294118</v>
      </c>
      <c r="N92" s="63">
        <v>0.22969187675070027</v>
      </c>
      <c r="O92" s="63">
        <v>0.59259259259259256</v>
      </c>
      <c r="P92" s="63">
        <v>0.47560975609756095</v>
      </c>
      <c r="Q92" s="63">
        <v>0.43220338983050849</v>
      </c>
    </row>
    <row r="93" spans="1:17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8.8888888888888892E-2</v>
      </c>
      <c r="M93" s="63">
        <v>0.26490984743411927</v>
      </c>
      <c r="N93" s="63">
        <v>0.2288488210818308</v>
      </c>
      <c r="O93" s="63">
        <v>0.58638743455497377</v>
      </c>
      <c r="P93" s="63">
        <v>0.47272727272727272</v>
      </c>
      <c r="Q93" s="63">
        <v>0.43459915611814348</v>
      </c>
    </row>
    <row r="94" spans="1:17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8.7912087912087919E-2</v>
      </c>
      <c r="M94" s="63">
        <v>0.26438356164383564</v>
      </c>
      <c r="N94" s="63">
        <v>0.23013698630136986</v>
      </c>
      <c r="O94" s="63">
        <v>0.59067357512953367</v>
      </c>
      <c r="P94" s="63">
        <v>0.47023809523809523</v>
      </c>
      <c r="Q94" s="63">
        <v>0.43388429752066116</v>
      </c>
    </row>
    <row r="95" spans="1:17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8.6956521739130432E-2</v>
      </c>
      <c r="M95" s="63">
        <v>0.26458616010854819</v>
      </c>
      <c r="N95" s="63">
        <v>0.22930800542740842</v>
      </c>
      <c r="O95" s="63">
        <v>0.59487179487179487</v>
      </c>
      <c r="P95" s="63">
        <v>0.46745562130177515</v>
      </c>
      <c r="Q95" s="63">
        <v>0.43265306122448982</v>
      </c>
    </row>
    <row r="96" spans="1:17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9.6774193548387094E-2</v>
      </c>
      <c r="M96" s="63">
        <v>0.26648721399730824</v>
      </c>
      <c r="N96" s="63">
        <v>0.22880215343203231</v>
      </c>
      <c r="O96" s="63">
        <v>0.59595959595959591</v>
      </c>
      <c r="P96" s="63">
        <v>0.47058823529411764</v>
      </c>
      <c r="Q96" s="63">
        <v>0.42741935483870969</v>
      </c>
    </row>
    <row r="97" spans="1:17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9.5744680851063829E-2</v>
      </c>
      <c r="M97" s="63">
        <v>0.26790450928381965</v>
      </c>
      <c r="N97" s="63">
        <v>0.22944297082228116</v>
      </c>
      <c r="O97" s="63">
        <v>0.59405940594059403</v>
      </c>
      <c r="P97" s="63">
        <v>0.47976878612716761</v>
      </c>
      <c r="Q97" s="63">
        <v>0.42292490118577075</v>
      </c>
    </row>
    <row r="98" spans="1:17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9.4736842105263161E-2</v>
      </c>
      <c r="M98" s="63">
        <v>0.26902887139107612</v>
      </c>
      <c r="N98" s="63">
        <v>0.22703412073490814</v>
      </c>
      <c r="O98" s="63">
        <v>0.59512195121951217</v>
      </c>
      <c r="P98" s="63">
        <v>0.47976878612716761</v>
      </c>
      <c r="Q98" s="63">
        <v>0.42578125</v>
      </c>
    </row>
    <row r="99" spans="1:17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9.375E-2</v>
      </c>
      <c r="M99" s="63">
        <v>0.27142857142857141</v>
      </c>
      <c r="N99" s="63">
        <v>0.22467532467532467</v>
      </c>
      <c r="O99" s="63">
        <v>0.59330143540669855</v>
      </c>
      <c r="P99" s="63">
        <v>0.47976878612716761</v>
      </c>
      <c r="Q99" s="63">
        <v>0.4263565891472868</v>
      </c>
    </row>
    <row r="100" spans="1:17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0.10309278350515463</v>
      </c>
      <c r="M100" s="63">
        <v>0.27319587628865977</v>
      </c>
      <c r="N100" s="63">
        <v>0.22551546391752578</v>
      </c>
      <c r="O100" s="63">
        <v>0.59433962264150941</v>
      </c>
      <c r="P100" s="63">
        <v>0.48571428571428571</v>
      </c>
      <c r="Q100" s="63">
        <v>0.43129770992366412</v>
      </c>
    </row>
    <row r="101" spans="1:17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0.10204081632653061</v>
      </c>
      <c r="M101" s="63">
        <v>0.27376425855513309</v>
      </c>
      <c r="N101" s="63">
        <v>0.2256020278833967</v>
      </c>
      <c r="O101" s="63">
        <v>0.59259259259259256</v>
      </c>
      <c r="P101" s="63">
        <v>0.47752808988764045</v>
      </c>
      <c r="Q101" s="63">
        <v>0.42803030303030304</v>
      </c>
    </row>
    <row r="102" spans="1:17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0.10101010101010101</v>
      </c>
      <c r="M102" s="63">
        <v>0.27124999999999999</v>
      </c>
      <c r="N102" s="63">
        <v>0.22750000000000001</v>
      </c>
      <c r="O102" s="63">
        <v>0.59447004608294929</v>
      </c>
      <c r="P102" s="63">
        <v>0.47802197802197804</v>
      </c>
      <c r="Q102" s="63">
        <v>0.43122676579925651</v>
      </c>
    </row>
    <row r="103" spans="1:17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0.11</v>
      </c>
      <c r="M103" s="63">
        <v>0.27204968944099378</v>
      </c>
      <c r="N103" s="63">
        <v>0.22608695652173913</v>
      </c>
      <c r="O103" s="63">
        <v>0.59817351598173518</v>
      </c>
      <c r="P103" s="63">
        <v>0.47802197802197804</v>
      </c>
      <c r="Q103" s="63">
        <v>0.43014705882352944</v>
      </c>
    </row>
    <row r="104" spans="1:17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0.10891089108910891</v>
      </c>
      <c r="M104" s="63">
        <v>0.27093596059113301</v>
      </c>
      <c r="N104" s="63">
        <v>0.22536945812807882</v>
      </c>
      <c r="O104" s="63">
        <v>0.6</v>
      </c>
      <c r="P104" s="63">
        <v>0.47540983606557374</v>
      </c>
      <c r="Q104" s="63">
        <v>0.42857142857142855</v>
      </c>
    </row>
    <row r="105" spans="1:17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0.11764705882352941</v>
      </c>
      <c r="M105" s="63">
        <v>0.27317073170731709</v>
      </c>
      <c r="N105" s="63">
        <v>0.22560975609756098</v>
      </c>
      <c r="O105" s="63">
        <v>0.5982142857142857</v>
      </c>
      <c r="P105" s="63">
        <v>0.48108108108108111</v>
      </c>
      <c r="Q105" s="63">
        <v>0.4296028880866426</v>
      </c>
    </row>
    <row r="106" spans="1:17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0.12621359223300971</v>
      </c>
      <c r="M106" s="63">
        <v>0.27360774818401939</v>
      </c>
      <c r="N106" s="63">
        <v>0.22397094430992737</v>
      </c>
      <c r="O106" s="63">
        <v>0.59734513274336287</v>
      </c>
      <c r="P106" s="63">
        <v>0.48108108108108111</v>
      </c>
      <c r="Q106" s="63">
        <v>0.42857142857142855</v>
      </c>
    </row>
    <row r="107" spans="1:17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0.125</v>
      </c>
      <c r="M107" s="63">
        <v>0.27370948379351739</v>
      </c>
      <c r="N107" s="63">
        <v>0.22208883553421369</v>
      </c>
      <c r="O107" s="63">
        <v>0.60087719298245612</v>
      </c>
      <c r="P107" s="63">
        <v>0.48108108108108111</v>
      </c>
      <c r="Q107" s="63">
        <v>0.43109540636042404</v>
      </c>
    </row>
    <row r="108" spans="1:17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0.12380952380952381</v>
      </c>
      <c r="M108" s="63">
        <v>0.27197149643705465</v>
      </c>
      <c r="N108" s="63">
        <v>0.22446555819477435</v>
      </c>
      <c r="O108" s="63">
        <v>0.6026200873362445</v>
      </c>
      <c r="P108" s="63">
        <v>0.47619047619047616</v>
      </c>
      <c r="Q108" s="63">
        <v>0.43508771929824563</v>
      </c>
    </row>
    <row r="109" spans="1:17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0.13207547169811321</v>
      </c>
      <c r="M109" s="63">
        <v>0.2710059171597633</v>
      </c>
      <c r="N109" s="63">
        <v>0.22603550295857988</v>
      </c>
      <c r="O109" s="63">
        <v>0.6026200873362445</v>
      </c>
      <c r="P109" s="63">
        <v>0.48167539267015708</v>
      </c>
      <c r="Q109" s="63">
        <v>0.4375</v>
      </c>
    </row>
    <row r="110" spans="1:17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0.13084112149532709</v>
      </c>
      <c r="M110" s="63">
        <v>0.27166276346604218</v>
      </c>
      <c r="N110" s="63">
        <v>0.22599531615925059</v>
      </c>
      <c r="O110" s="63">
        <v>0.59482758620689657</v>
      </c>
      <c r="P110" s="63">
        <v>0.47668393782383417</v>
      </c>
      <c r="Q110" s="63">
        <v>0.43598615916955019</v>
      </c>
    </row>
    <row r="111" spans="1:17" x14ac:dyDescent="0.4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0.12962962962962962</v>
      </c>
      <c r="M111" s="63">
        <v>0.27030162412993042</v>
      </c>
      <c r="N111" s="63">
        <v>0.22737819025522041</v>
      </c>
      <c r="O111" s="63">
        <v>0.59227467811158796</v>
      </c>
      <c r="P111" s="63">
        <v>0.47959183673469385</v>
      </c>
      <c r="Q111" s="63">
        <v>0.4315068493150685</v>
      </c>
    </row>
    <row r="112" spans="1:17" x14ac:dyDescent="0.4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0.12844036697247707</v>
      </c>
      <c r="M112" s="63">
        <v>0.26812428078250861</v>
      </c>
      <c r="N112" s="63">
        <v>0.22669735327963175</v>
      </c>
      <c r="O112" s="63">
        <v>0.59227467811158796</v>
      </c>
      <c r="P112" s="63">
        <v>0.48223350253807107</v>
      </c>
      <c r="Q112" s="63">
        <v>0.42857142857142855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80268-1D4D-45D2-BB64-9EA72EED5712}">
  <sheetPr codeName="Sheet8"/>
  <dimension ref="A1:Q4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  <row r="45" spans="1:17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4.7619047619047616E-2</v>
      </c>
      <c r="M45" s="63">
        <v>0.15258855585831063</v>
      </c>
      <c r="N45" s="63">
        <v>0.23160762942779292</v>
      </c>
      <c r="O45" s="63">
        <v>0.5178571428571429</v>
      </c>
      <c r="P45" s="63">
        <v>0.35294117647058826</v>
      </c>
      <c r="Q45" s="63">
        <v>0.40625</v>
      </c>
    </row>
    <row r="46" spans="1:17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4.6511627906976744E-2</v>
      </c>
      <c r="M46" s="63">
        <v>0.152</v>
      </c>
      <c r="N46" s="63">
        <v>0.22666666666666666</v>
      </c>
      <c r="O46" s="63">
        <v>0.50877192982456143</v>
      </c>
      <c r="P46" s="63">
        <v>0.35294117647058826</v>
      </c>
      <c r="Q46" s="63">
        <v>0.41237113402061853</v>
      </c>
    </row>
    <row r="47" spans="1:17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4.5454545454545456E-2</v>
      </c>
      <c r="M47" s="63">
        <v>0.15404699738903394</v>
      </c>
      <c r="N47" s="63">
        <v>0.22715404699738903</v>
      </c>
      <c r="O47" s="63">
        <v>0.50847457627118642</v>
      </c>
      <c r="P47" s="63">
        <v>0.36781609195402298</v>
      </c>
      <c r="Q47" s="63">
        <v>0.41176470588235292</v>
      </c>
    </row>
    <row r="48" spans="1:17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4.4444444444444446E-2</v>
      </c>
      <c r="M48" s="63">
        <v>0.15404040404040403</v>
      </c>
      <c r="N48" s="63">
        <v>0.23484848484848486</v>
      </c>
      <c r="O48" s="63">
        <v>0.50819672131147542</v>
      </c>
      <c r="P48" s="63">
        <v>0.36559139784946237</v>
      </c>
      <c r="Q48" s="63">
        <v>0.42990654205607476</v>
      </c>
    </row>
    <row r="49" spans="1:17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4.3478260869565216E-2</v>
      </c>
      <c r="M49" s="63">
        <v>0.15211970074812967</v>
      </c>
      <c r="N49" s="63">
        <v>0.23441396508728179</v>
      </c>
      <c r="O49" s="63">
        <v>0.50819672131147542</v>
      </c>
      <c r="P49" s="63">
        <v>0.36170212765957449</v>
      </c>
      <c r="Q49" s="63">
        <v>0.42990654205607476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188D3-402F-4988-9232-20C012E418A8}">
  <sheetPr codeName="Sheet6"/>
  <dimension ref="A1:Q17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  <row r="149" spans="1:17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8.9041095890410954E-2</v>
      </c>
      <c r="M149" s="63">
        <v>0.24883784522832922</v>
      </c>
      <c r="N149" s="63">
        <v>0.23735302160240634</v>
      </c>
      <c r="O149" s="63">
        <v>0.56593406593406592</v>
      </c>
      <c r="P149" s="63">
        <v>0.40552995391705071</v>
      </c>
      <c r="Q149" s="63">
        <v>0.43802423112767941</v>
      </c>
    </row>
    <row r="150" spans="1:17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9.0702947845804988E-2</v>
      </c>
      <c r="M150" s="63">
        <v>0.24932028276237087</v>
      </c>
      <c r="N150" s="63">
        <v>0.23708537248504621</v>
      </c>
      <c r="O150" s="63">
        <v>0.56597600872410037</v>
      </c>
      <c r="P150" s="63">
        <v>0.40481651376146788</v>
      </c>
      <c r="Q150" s="63">
        <v>0.43888888888888888</v>
      </c>
    </row>
    <row r="151" spans="1:17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9.0090090090090086E-2</v>
      </c>
      <c r="M151" s="63">
        <v>0.2492565558258989</v>
      </c>
      <c r="N151" s="63">
        <v>0.23655041903217086</v>
      </c>
      <c r="O151" s="63">
        <v>0.56616052060737532</v>
      </c>
      <c r="P151" s="63">
        <v>0.40571428571428569</v>
      </c>
      <c r="Q151" s="63">
        <v>0.43738489871086556</v>
      </c>
    </row>
    <row r="152" spans="1:17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9.1722595078299773E-2</v>
      </c>
      <c r="M152" s="63">
        <v>0.24986537425955843</v>
      </c>
      <c r="N152" s="63">
        <v>0.23586429725363489</v>
      </c>
      <c r="O152" s="63">
        <v>0.56573275862068961</v>
      </c>
      <c r="P152" s="63">
        <v>0.40639269406392692</v>
      </c>
      <c r="Q152" s="63">
        <v>0.43944954128440367</v>
      </c>
    </row>
    <row r="153" spans="1:17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9.1111111111111115E-2</v>
      </c>
      <c r="M153" s="63">
        <v>0.24953145917001338</v>
      </c>
      <c r="N153" s="63">
        <v>0.23480589022757697</v>
      </c>
      <c r="O153" s="63">
        <v>0.56545064377682408</v>
      </c>
      <c r="P153" s="63">
        <v>0.40706955530216649</v>
      </c>
      <c r="Q153" s="63">
        <v>0.43938012762078393</v>
      </c>
    </row>
    <row r="154" spans="1:17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9.0507726269315678E-2</v>
      </c>
      <c r="M154" s="63">
        <v>0.25006650704974726</v>
      </c>
      <c r="N154" s="63">
        <v>0.23357275871242353</v>
      </c>
      <c r="O154" s="63">
        <v>0.56595744680851068</v>
      </c>
      <c r="P154" s="63">
        <v>0.40774487471526194</v>
      </c>
      <c r="Q154" s="63">
        <v>0.44253393665158369</v>
      </c>
    </row>
    <row r="155" spans="1:17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8.9912280701754388E-2</v>
      </c>
      <c r="M155" s="63">
        <v>0.25019857029388404</v>
      </c>
      <c r="N155" s="63">
        <v>0.23325390521577971</v>
      </c>
      <c r="O155" s="63">
        <v>0.56613756613756616</v>
      </c>
      <c r="P155" s="63">
        <v>0.40749148694665155</v>
      </c>
      <c r="Q155" s="63">
        <v>0.44464446444644462</v>
      </c>
    </row>
    <row r="156" spans="1:17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8.9324618736383449E-2</v>
      </c>
      <c r="M156" s="63">
        <v>0.2496711391739016</v>
      </c>
      <c r="N156" s="63">
        <v>0.23204419889502761</v>
      </c>
      <c r="O156" s="63">
        <v>0.5669125395152792</v>
      </c>
      <c r="P156" s="63">
        <v>0.40702947845804988</v>
      </c>
      <c r="Q156" s="63">
        <v>0.44325290437890974</v>
      </c>
    </row>
    <row r="157" spans="1:17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8.8744588744588751E-2</v>
      </c>
      <c r="M157" s="63">
        <v>0.2497387669801463</v>
      </c>
      <c r="N157" s="63">
        <v>0.23171368861024033</v>
      </c>
      <c r="O157" s="63">
        <v>0.56589958158995812</v>
      </c>
      <c r="P157" s="63">
        <v>0.40698985343855693</v>
      </c>
      <c r="Q157" s="63">
        <v>0.44227353463587921</v>
      </c>
    </row>
    <row r="158" spans="1:17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8.8172043010752682E-2</v>
      </c>
      <c r="M158" s="63">
        <v>0.25045466354897378</v>
      </c>
      <c r="N158" s="63">
        <v>0.23174850610548195</v>
      </c>
      <c r="O158" s="63">
        <v>0.56535269709543567</v>
      </c>
      <c r="P158" s="63">
        <v>0.40582959641255606</v>
      </c>
      <c r="Q158" s="63">
        <v>0.44130626654898497</v>
      </c>
    </row>
    <row r="159" spans="1:17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8.9743589743589744E-2</v>
      </c>
      <c r="M159" s="63">
        <v>0.25084044478924233</v>
      </c>
      <c r="N159" s="63">
        <v>0.23196276183087663</v>
      </c>
      <c r="O159" s="63">
        <v>0.56494845360824741</v>
      </c>
      <c r="P159" s="63">
        <v>0.40579710144927539</v>
      </c>
      <c r="Q159" s="63">
        <v>0.44024604569420034</v>
      </c>
    </row>
    <row r="160" spans="1:17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9.1295116772823773E-2</v>
      </c>
      <c r="M160" s="63">
        <v>0.25102564102564101</v>
      </c>
      <c r="N160" s="63">
        <v>0.23179487179487179</v>
      </c>
      <c r="O160" s="63">
        <v>0.56486210418794691</v>
      </c>
      <c r="P160" s="63">
        <v>0.40707964601769914</v>
      </c>
      <c r="Q160" s="63">
        <v>0.43766346992153443</v>
      </c>
    </row>
    <row r="161" spans="1:17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9.0717299578059074E-2</v>
      </c>
      <c r="M161" s="63">
        <v>0.25127420998980632</v>
      </c>
      <c r="N161" s="63">
        <v>0.23088685015290519</v>
      </c>
      <c r="O161" s="63">
        <v>0.56490872210953347</v>
      </c>
      <c r="P161" s="63">
        <v>0.40728476821192056</v>
      </c>
      <c r="Q161" s="63">
        <v>0.43760831889081458</v>
      </c>
    </row>
    <row r="162" spans="1:17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9.0146750524109018E-2</v>
      </c>
      <c r="M162" s="63">
        <v>0.25177304964539005</v>
      </c>
      <c r="N162" s="63">
        <v>0.2307497467071935</v>
      </c>
      <c r="O162" s="63">
        <v>0.56338028169014087</v>
      </c>
      <c r="P162" s="63">
        <v>0.40724478594950603</v>
      </c>
      <c r="Q162" s="63">
        <v>0.43755383290267014</v>
      </c>
    </row>
    <row r="163" spans="1:17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9.166666666666666E-2</v>
      </c>
      <c r="M163" s="63">
        <v>0.2508825012607161</v>
      </c>
      <c r="N163" s="63">
        <v>0.23096318709026728</v>
      </c>
      <c r="O163" s="63">
        <v>0.56381909547738696</v>
      </c>
      <c r="P163" s="63">
        <v>0.40938864628820959</v>
      </c>
      <c r="Q163" s="63">
        <v>0.43701799485861181</v>
      </c>
    </row>
    <row r="164" spans="1:17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9.1097308488612833E-2</v>
      </c>
      <c r="M164" s="63">
        <v>0.250499001996008</v>
      </c>
      <c r="N164" s="63">
        <v>0.23203592814371257</v>
      </c>
      <c r="O164" s="63">
        <v>0.5627490039840638</v>
      </c>
      <c r="P164" s="63">
        <v>0.41182795698924729</v>
      </c>
      <c r="Q164" s="63">
        <v>0.43728813559322033</v>
      </c>
    </row>
    <row r="165" spans="1:17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9.2592592592592587E-2</v>
      </c>
      <c r="M165" s="63">
        <v>0.25062096373571785</v>
      </c>
      <c r="N165" s="63">
        <v>0.23174366616989567</v>
      </c>
      <c r="O165" s="63">
        <v>0.56293359762140738</v>
      </c>
      <c r="P165" s="63">
        <v>0.41264737406216506</v>
      </c>
      <c r="Q165" s="63">
        <v>0.43844856661045534</v>
      </c>
    </row>
    <row r="166" spans="1:17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9.202453987730061E-2</v>
      </c>
      <c r="M166" s="63">
        <v>0.25116851168511684</v>
      </c>
      <c r="N166" s="63">
        <v>0.23345633456334564</v>
      </c>
      <c r="O166" s="63">
        <v>0.56023506366307541</v>
      </c>
      <c r="P166" s="63">
        <v>0.41095890410958902</v>
      </c>
      <c r="Q166" s="63">
        <v>0.43943191311612362</v>
      </c>
    </row>
    <row r="167" spans="1:17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9.1463414634146339E-2</v>
      </c>
      <c r="M167" s="63">
        <v>0.25085407515861396</v>
      </c>
      <c r="N167" s="63">
        <v>0.23352855051244509</v>
      </c>
      <c r="O167" s="63">
        <v>0.55933852140077822</v>
      </c>
      <c r="P167" s="63">
        <v>0.41065830721003133</v>
      </c>
      <c r="Q167" s="63">
        <v>0.43993371996685998</v>
      </c>
    </row>
    <row r="168" spans="1:17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9.2929292929292931E-2</v>
      </c>
      <c r="M168" s="63">
        <v>0.25066861171893995</v>
      </c>
      <c r="N168" s="63">
        <v>0.23340627279358134</v>
      </c>
      <c r="O168" s="63">
        <v>0.56062075654704169</v>
      </c>
      <c r="P168" s="63">
        <v>0.41041666666666665</v>
      </c>
      <c r="Q168" s="63">
        <v>0.43976897689768979</v>
      </c>
    </row>
    <row r="169" spans="1:17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9.2369477911646583E-2</v>
      </c>
      <c r="M169" s="63">
        <v>0.25108853410740201</v>
      </c>
      <c r="N169" s="63">
        <v>0.2331881954523464</v>
      </c>
      <c r="O169" s="63">
        <v>0.56165703275529866</v>
      </c>
      <c r="P169" s="63">
        <v>0.40975103734439833</v>
      </c>
      <c r="Q169" s="63">
        <v>0.43888433141919608</v>
      </c>
    </row>
    <row r="170" spans="1:17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9.3812375249500993E-2</v>
      </c>
      <c r="M170" s="63">
        <v>0.25156325156325154</v>
      </c>
      <c r="N170" s="63">
        <v>0.23328523328523329</v>
      </c>
      <c r="O170" s="63">
        <v>0.56118546845124284</v>
      </c>
      <c r="P170" s="63">
        <v>0.41030927835051545</v>
      </c>
      <c r="Q170" s="63">
        <v>0.43964110929853178</v>
      </c>
    </row>
    <row r="171" spans="1:17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9.3253968253968256E-2</v>
      </c>
      <c r="M171" s="63">
        <v>0.25269203158650394</v>
      </c>
      <c r="N171" s="63">
        <v>0.23211294568078489</v>
      </c>
      <c r="O171" s="63">
        <v>0.56060606060606055</v>
      </c>
      <c r="P171" s="63">
        <v>0.41030927835051545</v>
      </c>
      <c r="Q171" s="63">
        <v>0.43831168831168832</v>
      </c>
    </row>
    <row r="172" spans="1:17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9.4674556213017749E-2</v>
      </c>
      <c r="M172" s="63">
        <v>0.2527996187753157</v>
      </c>
      <c r="N172" s="63">
        <v>0.2315939957112223</v>
      </c>
      <c r="O172" s="63">
        <v>0.56079170593779448</v>
      </c>
      <c r="P172" s="63">
        <v>0.40946502057613171</v>
      </c>
      <c r="Q172" s="63">
        <v>0.43734842360549719</v>
      </c>
    </row>
    <row r="173" spans="1:17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9.4117647058823528E-2</v>
      </c>
      <c r="M173" s="63">
        <v>0.25248933143669988</v>
      </c>
      <c r="N173" s="63">
        <v>0.23138928402086298</v>
      </c>
      <c r="O173" s="63">
        <v>0.56056338028169017</v>
      </c>
      <c r="P173" s="63">
        <v>0.4098360655737705</v>
      </c>
      <c r="Q173" s="63">
        <v>0.43845534995977475</v>
      </c>
    </row>
    <row r="174" spans="1:17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9.3567251461988299E-2</v>
      </c>
      <c r="M174" s="63">
        <v>0.25276796230859833</v>
      </c>
      <c r="N174" s="63">
        <v>0.23180212014134274</v>
      </c>
      <c r="O174" s="63">
        <v>0.5601118359739049</v>
      </c>
      <c r="P174" s="63">
        <v>0.40955284552845528</v>
      </c>
      <c r="Q174" s="63">
        <v>0.43919999999999998</v>
      </c>
    </row>
    <row r="175" spans="1:17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9.4961240310077522E-2</v>
      </c>
      <c r="M175" s="63">
        <v>0.25246826516220028</v>
      </c>
      <c r="N175" s="63">
        <v>0.23178185237423601</v>
      </c>
      <c r="O175" s="63">
        <v>0.55959031657355685</v>
      </c>
      <c r="P175" s="63">
        <v>0.41075050709939148</v>
      </c>
      <c r="Q175" s="63">
        <v>0.43974461292897049</v>
      </c>
    </row>
    <row r="176" spans="1:17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9.4412331406551059E-2</v>
      </c>
      <c r="M176" s="63">
        <v>0.25367904695164684</v>
      </c>
      <c r="N176" s="63">
        <v>0.23125437981779959</v>
      </c>
      <c r="O176" s="63">
        <v>0.55801104972375692</v>
      </c>
      <c r="P176" s="63">
        <v>0.40909090909090912</v>
      </c>
      <c r="Q176" s="63">
        <v>0.43968253968253967</v>
      </c>
    </row>
    <row r="177" spans="1:17" x14ac:dyDescent="0.4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9.3869731800766285E-2</v>
      </c>
      <c r="M177" s="63">
        <v>0.25342624854819978</v>
      </c>
      <c r="N177" s="63">
        <v>0.23135888501742161</v>
      </c>
      <c r="O177" s="63">
        <v>0.55728689275893672</v>
      </c>
      <c r="P177" s="63">
        <v>0.40963855421686746</v>
      </c>
      <c r="Q177" s="63">
        <v>0.43883188634569847</v>
      </c>
    </row>
    <row r="178" spans="1:17" x14ac:dyDescent="0.4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9.3333333333333338E-2</v>
      </c>
      <c r="M178" s="63">
        <v>0.25358298659269535</v>
      </c>
      <c r="N178" s="63">
        <v>0.23116042533518261</v>
      </c>
      <c r="O178" s="63">
        <v>0.55788514129443934</v>
      </c>
      <c r="P178" s="63">
        <v>0.40899999999999997</v>
      </c>
      <c r="Q178" s="63">
        <v>0.43833464257659072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2019-11-05T08:42:21Z</dcterms:modified>
</cp:coreProperties>
</file>