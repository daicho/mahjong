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12A0B0A-6F13-4137-A844-66977A18B091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6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0" i="5835" l="1"/>
  <c r="O16" i="5843"/>
  <c r="O15" i="5843" l="1"/>
  <c r="O19" i="5851"/>
  <c r="O15" i="5841" l="1"/>
  <c r="O20" i="5847"/>
  <c r="O16" i="5851" l="1"/>
  <c r="O22" i="5841"/>
  <c r="O21" i="5835" l="1"/>
  <c r="O16" i="5837"/>
  <c r="O15" i="5847"/>
  <c r="O19" i="5847"/>
  <c r="O19" i="5845" l="1"/>
  <c r="O19" i="5849"/>
  <c r="O16" i="5839" l="1"/>
  <c r="O17" i="5845"/>
  <c r="O21" i="5847"/>
  <c r="O17" i="5847"/>
  <c r="O18" i="5835" l="1"/>
  <c r="O18" i="5849"/>
  <c r="O17" i="5849"/>
  <c r="O17" i="5841"/>
  <c r="O18" i="5839" l="1"/>
  <c r="O21" i="5843"/>
  <c r="O19" i="5843" l="1"/>
  <c r="O21" i="5837"/>
  <c r="O23" i="5847"/>
  <c r="O17" i="5851"/>
  <c r="O15" i="5851"/>
  <c r="O20" i="5849"/>
  <c r="O15" i="5839" l="1"/>
  <c r="O20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1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1" i="5841"/>
  <c r="O18" i="5837" l="1"/>
  <c r="O20" i="5845"/>
  <c r="O22" i="5845"/>
  <c r="O15" i="5835"/>
  <c r="O19" i="5839"/>
  <c r="O16" i="5841"/>
  <c r="O19" i="5841"/>
  <c r="O19" i="5835"/>
  <c r="O17" i="5839"/>
  <c r="O15" i="5837"/>
  <c r="O21" i="5849"/>
  <c r="O22" i="5849"/>
  <c r="O22" i="5843" l="1"/>
  <c r="O17" i="5843"/>
  <c r="O15" i="5849"/>
  <c r="O16" i="5849"/>
  <c r="C29" i="5849"/>
  <c r="B26" i="5849"/>
  <c r="B25" i="5849"/>
  <c r="C20" i="5849"/>
  <c r="B17" i="5849"/>
  <c r="H6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2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0" i="5833"/>
  <c r="H4" i="5849" l="1"/>
  <c r="H15" i="5849"/>
  <c r="H39" i="5849"/>
  <c r="H21" i="5849"/>
  <c r="H9" i="5849"/>
  <c r="H13" i="5849"/>
  <c r="H40" i="5849"/>
  <c r="H10" i="5849"/>
  <c r="C17" i="5849"/>
  <c r="H42" i="5849"/>
  <c r="C19" i="5849"/>
  <c r="H46" i="5849"/>
  <c r="H31" i="5849"/>
  <c r="H47" i="5849"/>
  <c r="H14" i="5849"/>
  <c r="H32" i="5849"/>
  <c r="H48" i="5849"/>
  <c r="H5" i="5849"/>
  <c r="H8" i="5849"/>
  <c r="H27" i="5849"/>
  <c r="H50" i="5849"/>
  <c r="H2" i="5849"/>
  <c r="H16" i="5849"/>
  <c r="H7" i="5849"/>
  <c r="H23" i="5849"/>
  <c r="H34" i="5849"/>
  <c r="H3" i="5849"/>
  <c r="H11" i="5849"/>
  <c r="B24" i="5849"/>
  <c r="H38" i="5849"/>
  <c r="H52" i="5849"/>
  <c r="H26" i="5849"/>
  <c r="H18" i="5849"/>
  <c r="H33" i="5849"/>
  <c r="H41" i="5849"/>
  <c r="H49" i="5849"/>
  <c r="H24" i="5849"/>
  <c r="H28" i="5849"/>
  <c r="H29" i="5849"/>
  <c r="H35" i="5849"/>
  <c r="H43" i="5849"/>
  <c r="H51" i="5849"/>
  <c r="H20" i="5849"/>
  <c r="H22" i="5849"/>
  <c r="C18" i="5849"/>
  <c r="B23" i="5849"/>
  <c r="H12" i="5849"/>
  <c r="H36" i="5849"/>
  <c r="H44" i="5849"/>
  <c r="H19" i="5849"/>
  <c r="H25" i="5849"/>
  <c r="H17" i="5849"/>
  <c r="H30" i="5849"/>
  <c r="H37" i="5849"/>
  <c r="H45" i="5849"/>
  <c r="B23" i="5847"/>
  <c r="H21" i="5847"/>
  <c r="H13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6" i="5847"/>
  <c r="H22" i="5847"/>
  <c r="C19" i="5847"/>
  <c r="B24" i="5847"/>
  <c r="H37" i="5847"/>
  <c r="H45" i="5847"/>
  <c r="H52" i="5847"/>
  <c r="H9" i="5847"/>
  <c r="H7" i="5847"/>
  <c r="H10" i="5847"/>
  <c r="H16" i="5847"/>
  <c r="H15" i="5847"/>
  <c r="H14" i="5847"/>
  <c r="H31" i="5847"/>
  <c r="H38" i="5847"/>
  <c r="H46" i="5847"/>
  <c r="H25" i="5847"/>
  <c r="H28" i="5847"/>
  <c r="H33" i="5847"/>
  <c r="H40" i="5847"/>
  <c r="H48" i="5847"/>
  <c r="H12" i="5847"/>
  <c r="H20" i="5847"/>
  <c r="H11" i="5847"/>
  <c r="H34" i="5847"/>
  <c r="H41" i="5847"/>
  <c r="H49" i="5847"/>
  <c r="H23" i="5847"/>
  <c r="H26" i="5847"/>
  <c r="H29" i="5847"/>
  <c r="H18" i="5847"/>
  <c r="H42" i="5847"/>
  <c r="O23" i="5845" l="1"/>
  <c r="O18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20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20" i="5841"/>
  <c r="O18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2" i="5833"/>
  <c r="H44" i="5841" l="1"/>
  <c r="H21" i="5843"/>
  <c r="H33" i="5845"/>
  <c r="H18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0" i="5845"/>
  <c r="H15" i="5845"/>
  <c r="H31" i="5845"/>
  <c r="H7" i="5845"/>
  <c r="C17" i="5845"/>
  <c r="H41" i="5845"/>
  <c r="H43" i="5845"/>
  <c r="C19" i="5845"/>
  <c r="H46" i="5845"/>
  <c r="H10" i="5845"/>
  <c r="H13" i="5845"/>
  <c r="H26" i="5845"/>
  <c r="H48" i="5845"/>
  <c r="H40" i="5845"/>
  <c r="H12" i="5845"/>
  <c r="H3" i="5845"/>
  <c r="H14" i="5845"/>
  <c r="H23" i="5845"/>
  <c r="H2" i="5845"/>
  <c r="H8" i="5845"/>
  <c r="H19" i="5845"/>
  <c r="H28" i="5845"/>
  <c r="H24" i="5845"/>
  <c r="H51" i="5845"/>
  <c r="B24" i="5845"/>
  <c r="H36" i="5845"/>
  <c r="H52" i="5845"/>
  <c r="H47" i="5845"/>
  <c r="H30" i="5845"/>
  <c r="H22" i="5845"/>
  <c r="H34" i="5845"/>
  <c r="H25" i="5845"/>
  <c r="H49" i="5845"/>
  <c r="H35" i="5845"/>
  <c r="H42" i="5845"/>
  <c r="H50" i="5845"/>
  <c r="H6" i="5845"/>
  <c r="H17" i="5845"/>
  <c r="H27" i="5845"/>
  <c r="C18" i="5845"/>
  <c r="B23" i="5845"/>
  <c r="H9" i="5845"/>
  <c r="H37" i="5845"/>
  <c r="H44" i="5845"/>
  <c r="H16" i="5845"/>
  <c r="H4" i="5845"/>
  <c r="H11" i="5845"/>
  <c r="H29" i="5845"/>
  <c r="H21" i="5845"/>
  <c r="H32" i="5845"/>
  <c r="H38" i="5845"/>
  <c r="H45" i="5845"/>
  <c r="H19" i="5843"/>
  <c r="B23" i="5843"/>
  <c r="H2" i="5843"/>
  <c r="H44" i="5843"/>
  <c r="H17" i="5843"/>
  <c r="H11" i="5843"/>
  <c r="C18" i="5843"/>
  <c r="H48" i="5843"/>
  <c r="C17" i="5843"/>
  <c r="H5" i="5843"/>
  <c r="H12" i="5843"/>
  <c r="H8" i="5843"/>
  <c r="H4" i="5843"/>
  <c r="H3" i="5843"/>
  <c r="H29" i="5843"/>
  <c r="H36" i="5843"/>
  <c r="H26" i="5843"/>
  <c r="H40" i="5843"/>
  <c r="H22" i="5843"/>
  <c r="H23" i="5843"/>
  <c r="H37" i="5843"/>
  <c r="H45" i="5843"/>
  <c r="H6" i="5843"/>
  <c r="H27" i="5843"/>
  <c r="C19" i="5843"/>
  <c r="B24" i="5843"/>
  <c r="H38" i="5843"/>
  <c r="H46" i="5843"/>
  <c r="H52" i="5843"/>
  <c r="H10" i="5843"/>
  <c r="H7" i="5843"/>
  <c r="H13" i="5843"/>
  <c r="H25" i="5843"/>
  <c r="H15" i="5843"/>
  <c r="H16" i="5843"/>
  <c r="H18" i="5843"/>
  <c r="H39" i="5843"/>
  <c r="H47" i="5843"/>
  <c r="H30" i="5843"/>
  <c r="H32" i="5843"/>
  <c r="H24" i="5843"/>
  <c r="H41" i="5843"/>
  <c r="H49" i="5843"/>
  <c r="H9" i="5843"/>
  <c r="H20" i="5843"/>
  <c r="H14" i="5843"/>
  <c r="H34" i="5843"/>
  <c r="H42" i="5843"/>
  <c r="H50" i="5843"/>
  <c r="H28" i="5843"/>
  <c r="H31" i="5843"/>
  <c r="H33" i="5843"/>
  <c r="H35" i="5843"/>
  <c r="H43" i="5843"/>
  <c r="H45" i="5841"/>
  <c r="H17" i="5841"/>
  <c r="H24" i="5841"/>
  <c r="C19" i="5841"/>
  <c r="B24" i="5841"/>
  <c r="H38" i="5841"/>
  <c r="H46" i="5841"/>
  <c r="H52" i="5841"/>
  <c r="H10" i="5841"/>
  <c r="H6" i="5841"/>
  <c r="H13" i="5841"/>
  <c r="H22" i="5841"/>
  <c r="H16" i="5841"/>
  <c r="H15" i="5841"/>
  <c r="H20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8" i="5841"/>
  <c r="H12" i="5841"/>
  <c r="H19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3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5" i="5837" s="1"/>
  <c r="C16" i="5837"/>
  <c r="C15" i="5837"/>
  <c r="C14" i="5837"/>
  <c r="C13" i="5837"/>
  <c r="O12" i="5837"/>
  <c r="C12" i="5837"/>
  <c r="O11" i="5837"/>
  <c r="C11" i="5837"/>
  <c r="O10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7" i="5835"/>
  <c r="O16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1" i="5833"/>
  <c r="O23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7" l="1"/>
  <c r="H3" i="5839"/>
  <c r="H5" i="5839"/>
  <c r="C17" i="5839"/>
  <c r="H2" i="5839"/>
  <c r="H12" i="5839"/>
  <c r="H28" i="5839"/>
  <c r="H33" i="5839"/>
  <c r="H4" i="5839"/>
  <c r="H27" i="5839"/>
  <c r="B24" i="5839"/>
  <c r="H52" i="5839"/>
  <c r="H10" i="5839"/>
  <c r="H6" i="5839"/>
  <c r="H11" i="5839"/>
  <c r="H19" i="5839"/>
  <c r="H18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1" i="5839"/>
  <c r="H40" i="5839"/>
  <c r="H48" i="5839"/>
  <c r="H31" i="5839"/>
  <c r="H41" i="5839"/>
  <c r="H8" i="5839"/>
  <c r="H25" i="5839"/>
  <c r="H50" i="5839"/>
  <c r="H17" i="5839"/>
  <c r="H20" i="5839"/>
  <c r="H32" i="5839"/>
  <c r="H22" i="5839"/>
  <c r="H43" i="5839"/>
  <c r="H51" i="5839"/>
  <c r="H29" i="5839"/>
  <c r="H34" i="5839"/>
  <c r="H49" i="5839"/>
  <c r="H14" i="5839"/>
  <c r="H35" i="5839"/>
  <c r="H42" i="5839"/>
  <c r="H7" i="5839"/>
  <c r="H24" i="5839"/>
  <c r="H26" i="5839"/>
  <c r="C18" i="5839"/>
  <c r="B23" i="5839"/>
  <c r="H9" i="5839"/>
  <c r="H36" i="5839"/>
  <c r="H44" i="5839"/>
  <c r="H25" i="5837"/>
  <c r="H4" i="5837"/>
  <c r="H26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2" i="5837"/>
  <c r="H24" i="5837"/>
  <c r="H14" i="5837"/>
  <c r="H27" i="5837"/>
  <c r="H39" i="5837"/>
  <c r="H47" i="5837"/>
  <c r="H16" i="5837"/>
  <c r="H21" i="5837"/>
  <c r="H40" i="5837"/>
  <c r="H48" i="5837"/>
  <c r="H33" i="5837"/>
  <c r="H34" i="5837"/>
  <c r="H49" i="5837"/>
  <c r="H9" i="5837"/>
  <c r="H19" i="5837"/>
  <c r="H13" i="5837"/>
  <c r="H35" i="5837"/>
  <c r="H23" i="5837"/>
  <c r="H18" i="5837"/>
  <c r="H20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8" i="5837"/>
  <c r="H36" i="5837"/>
  <c r="H44" i="5837"/>
  <c r="B24" i="5835"/>
  <c r="H20" i="5835"/>
  <c r="H12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0" i="5835"/>
  <c r="H26" i="5835"/>
  <c r="H4" i="5835"/>
  <c r="C17" i="5835"/>
  <c r="H6" i="5835"/>
  <c r="H5" i="5835"/>
  <c r="C19" i="5835"/>
  <c r="H32" i="5835"/>
  <c r="H52" i="5835"/>
  <c r="H18" i="5835"/>
  <c r="H14" i="5835"/>
  <c r="H15" i="5835"/>
  <c r="H16" i="5835"/>
  <c r="H38" i="5835"/>
  <c r="H46" i="5835"/>
  <c r="H33" i="5835"/>
  <c r="H41" i="5835"/>
  <c r="H49" i="5835"/>
  <c r="H30" i="5835"/>
  <c r="H48" i="5835"/>
  <c r="H19" i="5835"/>
  <c r="H11" i="5835"/>
  <c r="H25" i="5835"/>
  <c r="H28" i="5835"/>
  <c r="H17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6" i="5833"/>
  <c r="H13" i="5833"/>
  <c r="H3" i="5833"/>
  <c r="H8" i="5833"/>
  <c r="H15" i="5833"/>
  <c r="H2" i="5833"/>
  <c r="C17" i="5833"/>
  <c r="H22" i="5833"/>
  <c r="H19" i="5833"/>
  <c r="H41" i="5833"/>
  <c r="H20" i="5833"/>
  <c r="H48" i="5833"/>
  <c r="H23" i="5833"/>
  <c r="H28" i="5833"/>
  <c r="H43" i="5833"/>
  <c r="H51" i="5833"/>
  <c r="H7" i="5833"/>
  <c r="H24" i="5833"/>
  <c r="H33" i="5833"/>
  <c r="C18" i="5833"/>
  <c r="B23" i="5833"/>
  <c r="H9" i="5833"/>
  <c r="H37" i="5833"/>
  <c r="H44" i="5833"/>
  <c r="H16" i="5833"/>
  <c r="H4" i="5833"/>
  <c r="H11" i="5833"/>
  <c r="H34" i="5833"/>
  <c r="H27" i="5833"/>
  <c r="H30" i="5833"/>
  <c r="H38" i="5833"/>
  <c r="H45" i="5833"/>
  <c r="H5" i="5833"/>
  <c r="H25" i="5833"/>
  <c r="C19" i="5833"/>
  <c r="B24" i="5833"/>
  <c r="H39" i="5833"/>
  <c r="H46" i="5833"/>
  <c r="H52" i="5833"/>
  <c r="H10" i="5833"/>
  <c r="H6" i="5833"/>
  <c r="H12" i="5833"/>
  <c r="H21" i="5833"/>
  <c r="H17" i="5833"/>
  <c r="H14" i="5833"/>
  <c r="H18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<sst xmlns="http://schemas.openxmlformats.org/spreadsheetml/2006/main" count="2807" uniqueCount="235">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</sst>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全体!$K$2:$K$467</c:f>
              <c:numCache>
                <c:formatCode>General</c:formatCode>
                <c:ptCount val="4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</c:numCache>
            </c:numRef>
          </c:xVal>
          <c:yVal>
            <c:numRef>
              <c:f>全体!$L$2:$L$467</c:f>
              <c:numCache>
                <c:formatCode>\+0.0;\-0.0;\±0</c:formatCode>
                <c:ptCount val="46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-21.645021645021647</c:v>
                </c:pt>
                <c:pt idx="1">
                  <c:v>8.8888888888888893</c:v>
                </c:pt>
                <c:pt idx="2">
                  <c:v>-20.97902097902098</c:v>
                </c:pt>
                <c:pt idx="3">
                  <c:v>14.705882352941176</c:v>
                </c:pt>
                <c:pt idx="4">
                  <c:v>15.625</c:v>
                </c:pt>
                <c:pt idx="5">
                  <c:v>9.1743119266055047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1372.0930232558139</c:v>
                </c:pt>
                <c:pt idx="1">
                  <c:v>-661.90476190476193</c:v>
                </c:pt>
                <c:pt idx="2">
                  <c:v>-732.5</c:v>
                </c:pt>
                <c:pt idx="3">
                  <c:v>-1797.5</c:v>
                </c:pt>
                <c:pt idx="4">
                  <c:v>-62.5</c:v>
                </c:pt>
                <c:pt idx="5">
                  <c:v>-1811.7647058823529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だいち!$L$2:$L$94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541.75824175824175</c:v>
                </c:pt>
                <c:pt idx="1">
                  <c:v>-256.81818181818181</c:v>
                </c:pt>
                <c:pt idx="2">
                  <c:v>-493.02325581395348</c:v>
                </c:pt>
                <c:pt idx="3">
                  <c:v>-349.36708860759495</c:v>
                </c:pt>
                <c:pt idx="4">
                  <c:v>2620</c:v>
                </c:pt>
                <c:pt idx="5">
                  <c:v>3160.3174603174602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-1897.560975609756</c:v>
                </c:pt>
                <c:pt idx="1">
                  <c:v>1463.75</c:v>
                </c:pt>
                <c:pt idx="2">
                  <c:v>640.78947368421052</c:v>
                </c:pt>
                <c:pt idx="3">
                  <c:v>2302.7777777777778</c:v>
                </c:pt>
                <c:pt idx="4">
                  <c:v>-35.294117647058826</c:v>
                </c:pt>
                <c:pt idx="5">
                  <c:v>1667.2413793103449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りくと!$L$2:$L$61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-727.58620689655174</c:v>
                </c:pt>
                <c:pt idx="1">
                  <c:v>-43.103448275862071</c:v>
                </c:pt>
                <c:pt idx="2">
                  <c:v>870.90909090909088</c:v>
                </c:pt>
                <c:pt idx="3">
                  <c:v>-1514.8148148148148</c:v>
                </c:pt>
                <c:pt idx="4">
                  <c:v>-3455.7692307692309</c:v>
                </c:pt>
                <c:pt idx="5">
                  <c:v>-1178.2608695652175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れんたろう!$L$2:$L$57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2305.4545454545455</c:v>
                </c:pt>
                <c:pt idx="1">
                  <c:v>-2184.9056603773583</c:v>
                </c:pt>
                <c:pt idx="2">
                  <c:v>2293.8775510204082</c:v>
                </c:pt>
                <c:pt idx="3">
                  <c:v>2506.521739130435</c:v>
                </c:pt>
                <c:pt idx="4">
                  <c:v>-934.88372093023258</c:v>
                </c:pt>
                <c:pt idx="5">
                  <c:v>-388.88888888888891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まっつん!$L$2:$L$77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1173.3333333333333</c:v>
                </c:pt>
                <c:pt idx="1">
                  <c:v>869.44444444444446</c:v>
                </c:pt>
                <c:pt idx="2">
                  <c:v>-995.52238805970148</c:v>
                </c:pt>
                <c:pt idx="3">
                  <c:v>329.03225806451616</c:v>
                </c:pt>
                <c:pt idx="4">
                  <c:v>-521.42857142857144</c:v>
                </c:pt>
                <c:pt idx="5">
                  <c:v>-1202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94.444444444444443</c:v>
                </c:pt>
                <c:pt idx="2">
                  <c:v>-770.58823529411768</c:v>
                </c:pt>
                <c:pt idx="3">
                  <c:v>-1582.3529411764705</c:v>
                </c:pt>
                <c:pt idx="4">
                  <c:v>5137.5</c:v>
                </c:pt>
                <c:pt idx="5">
                  <c:v>-307.69230769230768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ぱぱ2!$B$3:$B$21</c:f>
              <c:numCache>
                <c:formatCode>\+0.0;\-0.0;\±0</c:formatCode>
                <c:ptCount val="19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ぱぱ2!$C$3:$C$21</c:f>
              <c:numCache>
                <c:formatCode>\+0.0;\-0.0;\±0</c:formatCode>
                <c:ptCount val="19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  <c:pt idx="10">
                  <c:v>16.28</c:v>
                </c:pt>
                <c:pt idx="11">
                  <c:v>11.463636363636365</c:v>
                </c:pt>
                <c:pt idx="12">
                  <c:v>6.5083333333333337</c:v>
                </c:pt>
                <c:pt idx="13">
                  <c:v>5.9</c:v>
                </c:pt>
                <c:pt idx="14">
                  <c:v>3.5642857142857145</c:v>
                </c:pt>
                <c:pt idx="15">
                  <c:v>4.9133333333333331</c:v>
                </c:pt>
                <c:pt idx="16">
                  <c:v>1.7687500000000003</c:v>
                </c:pt>
                <c:pt idx="17">
                  <c:v>2.9294117647058826</c:v>
                </c:pt>
                <c:pt idx="18">
                  <c:v>1.3722222222222225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58414668232322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ぱぱ2!$D$3:$D$21</c:f>
              <c:numCache>
                <c:formatCode>0.00\ "位"</c:formatCode>
                <c:ptCount val="19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1.6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1.8461538461538463</c:v>
                </c:pt>
                <c:pt idx="14">
                  <c:v>1.9285714285714286</c:v>
                </c:pt>
                <c:pt idx="15">
                  <c:v>1.8666666666666667</c:v>
                </c:pt>
                <c:pt idx="16">
                  <c:v>1.9375</c:v>
                </c:pt>
                <c:pt idx="17">
                  <c:v>1.8823529411764706</c:v>
                </c:pt>
                <c:pt idx="18">
                  <c:v>1.9444444444444444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ぱぱ2!$E$3:$E$21</c:f>
              <c:numCache>
                <c:formatCode>0.0%</c:formatCode>
                <c:ptCount val="1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ぱぱ2!$F$3:$F$21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ぱぱ2!$G$3:$G$21</c:f>
              <c:numCache>
                <c:formatCode>0.0%</c:formatCode>
                <c:ptCount val="19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  <c:pt idx="10">
                  <c:v>0.33333333333333331</c:v>
                </c:pt>
                <c:pt idx="11">
                  <c:v>0.3300970873786408</c:v>
                </c:pt>
                <c:pt idx="12">
                  <c:v>0.30172413793103448</c:v>
                </c:pt>
                <c:pt idx="13">
                  <c:v>0.30158730158730157</c:v>
                </c:pt>
                <c:pt idx="14">
                  <c:v>0.28873239436619719</c:v>
                </c:pt>
                <c:pt idx="15">
                  <c:v>0.29530201342281881</c:v>
                </c:pt>
                <c:pt idx="16">
                  <c:v>0.29220779220779219</c:v>
                </c:pt>
                <c:pt idx="17">
                  <c:v>0.30625000000000002</c:v>
                </c:pt>
                <c:pt idx="18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362171992725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ぱぱ2!$H$3:$H$21</c:f>
              <c:numCache>
                <c:formatCode>0.0%</c:formatCode>
                <c:ptCount val="19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  <c:pt idx="10">
                  <c:v>9.6774193548387094E-2</c:v>
                </c:pt>
                <c:pt idx="11">
                  <c:v>0.11650485436893204</c:v>
                </c:pt>
                <c:pt idx="12">
                  <c:v>0.1206896551724138</c:v>
                </c:pt>
                <c:pt idx="13">
                  <c:v>0.12698412698412698</c:v>
                </c:pt>
                <c:pt idx="14">
                  <c:v>0.13380281690140844</c:v>
                </c:pt>
                <c:pt idx="15">
                  <c:v>0.13422818791946309</c:v>
                </c:pt>
                <c:pt idx="16">
                  <c:v>0.12987012987012986</c:v>
                </c:pt>
                <c:pt idx="17">
                  <c:v>0.125</c:v>
                </c:pt>
                <c:pt idx="18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639646661470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ぱぱ2!$I$3:$I$21</c:f>
              <c:numCache>
                <c:formatCode>0</c:formatCode>
                <c:ptCount val="19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  <c:pt idx="10">
                  <c:v>7790.322580645161</c:v>
                </c:pt>
                <c:pt idx="11">
                  <c:v>7779.411764705882</c:v>
                </c:pt>
                <c:pt idx="12">
                  <c:v>7777.1428571428569</c:v>
                </c:pt>
                <c:pt idx="13">
                  <c:v>7607.894736842105</c:v>
                </c:pt>
                <c:pt idx="14">
                  <c:v>7782.9268292682927</c:v>
                </c:pt>
                <c:pt idx="15">
                  <c:v>7729.545454545455</c:v>
                </c:pt>
                <c:pt idx="16">
                  <c:v>7646.666666666667</c:v>
                </c:pt>
                <c:pt idx="17">
                  <c:v>7440.8163265306121</c:v>
                </c:pt>
                <c:pt idx="18">
                  <c:v>7440.8163265306121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06.44307149161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ぱぱ2!$J$3:$J$21</c:f>
              <c:numCache>
                <c:formatCode>0</c:formatCode>
                <c:ptCount val="19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  <c:pt idx="10">
                  <c:v>-4433.333333333333</c:v>
                </c:pt>
                <c:pt idx="11">
                  <c:v>-6041.666666666667</c:v>
                </c:pt>
                <c:pt idx="12">
                  <c:v>-6007.1428571428569</c:v>
                </c:pt>
                <c:pt idx="13">
                  <c:v>-6118.75</c:v>
                </c:pt>
                <c:pt idx="14">
                  <c:v>-6800</c:v>
                </c:pt>
                <c:pt idx="15">
                  <c:v>-6845</c:v>
                </c:pt>
                <c:pt idx="16">
                  <c:v>-6845</c:v>
                </c:pt>
                <c:pt idx="17">
                  <c:v>-6845</c:v>
                </c:pt>
                <c:pt idx="18">
                  <c:v>-6885.7142857142853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45.2076677316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ぱぱ2!$K$3:$K$21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817204301075268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ぱぱ2!$L$3:$L$21</c:f>
              <c:numCache>
                <c:formatCode>0.0%</c:formatCode>
                <c:ptCount val="1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817204301075268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ぱぱ2!$M$3:$M$21</c:f>
              <c:numCache>
                <c:formatCode>0.0%</c:formatCode>
                <c:ptCount val="19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  <c:pt idx="10">
                  <c:v>0.31182795698924731</c:v>
                </c:pt>
                <c:pt idx="11">
                  <c:v>0.29126213592233008</c:v>
                </c:pt>
                <c:pt idx="12">
                  <c:v>0.26724137931034481</c:v>
                </c:pt>
                <c:pt idx="13">
                  <c:v>0.26984126984126983</c:v>
                </c:pt>
                <c:pt idx="14">
                  <c:v>0.28169014084507044</c:v>
                </c:pt>
                <c:pt idx="15">
                  <c:v>0.28187919463087246</c:v>
                </c:pt>
                <c:pt idx="16">
                  <c:v>0.29220779220779219</c:v>
                </c:pt>
                <c:pt idx="17">
                  <c:v>0.28749999999999998</c:v>
                </c:pt>
                <c:pt idx="18">
                  <c:v>0.27380952380952384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454663548973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ぱぱ2!$N$3:$N$21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  <c:pt idx="10">
                  <c:v>0.15053763440860216</c:v>
                </c:pt>
                <c:pt idx="11">
                  <c:v>0.14563106796116504</c:v>
                </c:pt>
                <c:pt idx="12">
                  <c:v>0.13793103448275862</c:v>
                </c:pt>
                <c:pt idx="13">
                  <c:v>0.15079365079365079</c:v>
                </c:pt>
                <c:pt idx="14">
                  <c:v>0.15492957746478872</c:v>
                </c:pt>
                <c:pt idx="15">
                  <c:v>0.1476510067114094</c:v>
                </c:pt>
                <c:pt idx="16">
                  <c:v>0.14285714285714285</c:v>
                </c:pt>
                <c:pt idx="17">
                  <c:v>0.14374999999999999</c:v>
                </c:pt>
                <c:pt idx="18">
                  <c:v>0.13690476190476192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748506105481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ぱぱ2!$O$3:$O$21</c:f>
              <c:numCache>
                <c:formatCode>0.0%</c:formatCode>
                <c:ptCount val="19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  <c:pt idx="10">
                  <c:v>0.65517241379310343</c:v>
                </c:pt>
                <c:pt idx="11">
                  <c:v>0.66666666666666663</c:v>
                </c:pt>
                <c:pt idx="12">
                  <c:v>0.67741935483870963</c:v>
                </c:pt>
                <c:pt idx="13">
                  <c:v>0.67647058823529416</c:v>
                </c:pt>
                <c:pt idx="14">
                  <c:v>0.625</c:v>
                </c:pt>
                <c:pt idx="15">
                  <c:v>0.6428571428571429</c:v>
                </c:pt>
                <c:pt idx="16">
                  <c:v>0.62222222222222223</c:v>
                </c:pt>
                <c:pt idx="17">
                  <c:v>0.63043478260869568</c:v>
                </c:pt>
                <c:pt idx="18">
                  <c:v>0.63043478260869568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5352697095435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ぱぱ2!$P$3:$P$21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  <c:pt idx="10">
                  <c:v>0.35714285714285715</c:v>
                </c:pt>
                <c:pt idx="11">
                  <c:v>0.33333333333333331</c:v>
                </c:pt>
                <c:pt idx="12">
                  <c:v>0.3125</c:v>
                </c:pt>
                <c:pt idx="13">
                  <c:v>0.31578947368421051</c:v>
                </c:pt>
                <c:pt idx="14">
                  <c:v>0.31818181818181818</c:v>
                </c:pt>
                <c:pt idx="15">
                  <c:v>0.31818181818181818</c:v>
                </c:pt>
                <c:pt idx="16">
                  <c:v>0.31818181818181818</c:v>
                </c:pt>
                <c:pt idx="17">
                  <c:v>0.34782608695652173</c:v>
                </c:pt>
                <c:pt idx="18">
                  <c:v>0.34782608695652173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582959641255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ぱぱ2!$Q$3:$Q$21</c:f>
              <c:numCache>
                <c:formatCode>0.0%</c:formatCode>
                <c:ptCount val="19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  <c:pt idx="10">
                  <c:v>0.4838709677419355</c:v>
                </c:pt>
                <c:pt idx="11">
                  <c:v>0.52941176470588236</c:v>
                </c:pt>
                <c:pt idx="12">
                  <c:v>0.51428571428571423</c:v>
                </c:pt>
                <c:pt idx="13">
                  <c:v>0.5</c:v>
                </c:pt>
                <c:pt idx="14">
                  <c:v>0.53658536585365857</c:v>
                </c:pt>
                <c:pt idx="15">
                  <c:v>0.52272727272727271</c:v>
                </c:pt>
                <c:pt idx="16">
                  <c:v>0.53333333333333333</c:v>
                </c:pt>
                <c:pt idx="17">
                  <c:v>0.55102040816326525</c:v>
                </c:pt>
                <c:pt idx="18">
                  <c:v>0.55102040816326525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306266548984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3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8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8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8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8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8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8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8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8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8" x14ac:dyDescent="0.4">
      <c r="A41" s="28" t="s">
        <v>232</v>
      </c>
      <c r="B41" s="29">
        <v>43766.037835648145</v>
      </c>
      <c r="C41" s="28" t="s">
        <v>128</v>
      </c>
    </row>
    <row r="42" spans="1:8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8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465</v>
      </c>
    </row>
    <row r="2" spans="1:2" x14ac:dyDescent="0.4">
      <c r="A2" t="s">
        <v>166</v>
      </c>
      <c r="B2">
        <v>43</v>
      </c>
    </row>
    <row r="3" spans="1:2" x14ac:dyDescent="0.4">
      <c r="A3" t="s">
        <v>126</v>
      </c>
      <c r="B3">
        <v>92</v>
      </c>
    </row>
    <row r="4" spans="1:2" x14ac:dyDescent="0.4">
      <c r="A4" t="s">
        <v>127</v>
      </c>
      <c r="B4">
        <v>83</v>
      </c>
    </row>
    <row r="5" spans="1:2" x14ac:dyDescent="0.4">
      <c r="A5" t="s">
        <v>179</v>
      </c>
      <c r="B5">
        <v>59</v>
      </c>
    </row>
    <row r="6" spans="1:2" x14ac:dyDescent="0.4">
      <c r="A6" t="s">
        <v>177</v>
      </c>
      <c r="B6">
        <v>55</v>
      </c>
    </row>
    <row r="7" spans="1:2" x14ac:dyDescent="0.4">
      <c r="A7" t="s">
        <v>178</v>
      </c>
      <c r="B7">
        <v>75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18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0.98869074075348518</v>
      </c>
      <c r="G2" s="161"/>
      <c r="H2" s="160">
        <v>0.91576602993940404</v>
      </c>
      <c r="I2" s="161"/>
      <c r="J2" s="160">
        <v>0.92573981317198806</v>
      </c>
      <c r="K2" s="161"/>
      <c r="L2" s="160">
        <v>0.90145547780172319</v>
      </c>
      <c r="M2" s="161"/>
      <c r="N2" s="160">
        <v>0.42338896623044803</v>
      </c>
      <c r="O2" s="161"/>
      <c r="P2" s="160">
        <v>0.36414804620214986</v>
      </c>
      <c r="Q2" s="161"/>
      <c r="R2" s="160">
        <v>1.633243778303475E-4</v>
      </c>
      <c r="S2" s="161"/>
      <c r="T2" s="160">
        <v>0.24875565792581938</v>
      </c>
      <c r="U2" s="161"/>
      <c r="V2" s="160">
        <v>0.71432512135292714</v>
      </c>
      <c r="W2" s="161"/>
      <c r="X2" s="160">
        <v>0.50598326259934412</v>
      </c>
      <c r="Y2" s="161"/>
      <c r="Z2" s="160">
        <v>9.6657569755615347E-2</v>
      </c>
      <c r="AA2" s="161"/>
      <c r="AB2" s="160">
        <v>0.16730713902969099</v>
      </c>
      <c r="AC2" s="161"/>
      <c r="AD2" s="160">
        <v>0.35745395669596008</v>
      </c>
      <c r="AE2" s="161"/>
      <c r="AF2" s="160">
        <v>-0.1100330468831678</v>
      </c>
      <c r="AG2" s="161"/>
      <c r="AH2" s="160">
        <v>0.5394334923171521</v>
      </c>
      <c r="AI2" s="161"/>
    </row>
    <row r="3" spans="1:35" x14ac:dyDescent="0.4">
      <c r="A3" s="70">
        <v>1</v>
      </c>
      <c r="B3" s="71" t="s">
        <v>126</v>
      </c>
      <c r="C3" s="72">
        <v>548.09999999999991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10435.658914728681</v>
      </c>
      <c r="R3" s="73" t="s">
        <v>166</v>
      </c>
      <c r="S3" s="77">
        <v>-6775.4716981132078</v>
      </c>
      <c r="T3" s="73" t="s">
        <v>166</v>
      </c>
      <c r="U3" s="75">
        <v>0</v>
      </c>
      <c r="V3" s="73" t="s">
        <v>177</v>
      </c>
      <c r="W3" s="75">
        <v>0.2</v>
      </c>
      <c r="X3" s="73" t="s">
        <v>177</v>
      </c>
      <c r="Y3" s="76">
        <v>0.32118451025056949</v>
      </c>
      <c r="Z3" s="73" t="s">
        <v>195</v>
      </c>
      <c r="AA3" s="76">
        <v>0.35483870967741937</v>
      </c>
      <c r="AB3" s="73" t="s">
        <v>181</v>
      </c>
      <c r="AC3" s="76">
        <v>0.63043478260869568</v>
      </c>
      <c r="AD3" s="73" t="s">
        <v>222</v>
      </c>
      <c r="AE3" s="76">
        <v>1</v>
      </c>
      <c r="AF3" s="73" t="s">
        <v>181</v>
      </c>
      <c r="AG3" s="76">
        <v>0.55102040816326525</v>
      </c>
      <c r="AH3" s="73" t="s">
        <v>177</v>
      </c>
      <c r="AI3" s="87">
        <v>103600</v>
      </c>
    </row>
    <row r="4" spans="1:35" x14ac:dyDescent="0.4">
      <c r="A4" s="78">
        <v>2</v>
      </c>
      <c r="B4" s="79" t="s">
        <v>127</v>
      </c>
      <c r="C4" s="80">
        <v>328.7999999999999</v>
      </c>
      <c r="D4" s="81" t="s">
        <v>126</v>
      </c>
      <c r="E4" s="93">
        <v>5.9576086956521728</v>
      </c>
      <c r="F4" s="81" t="s">
        <v>126</v>
      </c>
      <c r="G4" s="82">
        <v>1.7934782608695652</v>
      </c>
      <c r="H4" s="81" t="s">
        <v>126</v>
      </c>
      <c r="I4" s="83">
        <v>0.46739130434782611</v>
      </c>
      <c r="J4" s="81" t="s">
        <v>126</v>
      </c>
      <c r="K4" s="83">
        <v>0.2608695652173913</v>
      </c>
      <c r="L4" s="81" t="s">
        <v>126</v>
      </c>
      <c r="M4" s="84">
        <v>0.33242876526458615</v>
      </c>
      <c r="N4" s="81" t="s">
        <v>181</v>
      </c>
      <c r="O4" s="84">
        <v>0.125</v>
      </c>
      <c r="P4" s="81" t="s">
        <v>127</v>
      </c>
      <c r="Q4" s="85">
        <v>8703.6036036036039</v>
      </c>
      <c r="R4" s="81" t="s">
        <v>181</v>
      </c>
      <c r="S4" s="85">
        <v>-6885.7142857142853</v>
      </c>
      <c r="T4" s="81" t="s">
        <v>222</v>
      </c>
      <c r="U4" s="83">
        <v>0</v>
      </c>
      <c r="V4" s="81" t="s">
        <v>195</v>
      </c>
      <c r="W4" s="83">
        <v>0.14285714285714285</v>
      </c>
      <c r="X4" s="81" t="s">
        <v>179</v>
      </c>
      <c r="Y4" s="84">
        <v>0.28629032258064518</v>
      </c>
      <c r="Z4" s="81" t="s">
        <v>222</v>
      </c>
      <c r="AA4" s="84">
        <v>0.33333333333333331</v>
      </c>
      <c r="AB4" s="81" t="s">
        <v>179</v>
      </c>
      <c r="AC4" s="84">
        <v>0.59859154929577463</v>
      </c>
      <c r="AD4" s="81" t="s">
        <v>126</v>
      </c>
      <c r="AE4" s="84">
        <v>0.46745562130177515</v>
      </c>
      <c r="AF4" s="81" t="s">
        <v>177</v>
      </c>
      <c r="AG4" s="84">
        <v>0.49612403100775193</v>
      </c>
      <c r="AH4" s="81" t="s">
        <v>143</v>
      </c>
      <c r="AI4" s="88">
        <v>103600</v>
      </c>
    </row>
    <row r="5" spans="1:35" x14ac:dyDescent="0.4">
      <c r="A5" s="78">
        <v>3</v>
      </c>
      <c r="B5" s="79" t="s">
        <v>177</v>
      </c>
      <c r="C5" s="80">
        <v>259.10000000000008</v>
      </c>
      <c r="D5" s="81" t="s">
        <v>177</v>
      </c>
      <c r="E5" s="93">
        <v>4.7109090909090927</v>
      </c>
      <c r="F5" s="81" t="s">
        <v>127</v>
      </c>
      <c r="G5" s="82">
        <v>1.8915662650602409</v>
      </c>
      <c r="H5" s="81" t="s">
        <v>195</v>
      </c>
      <c r="I5" s="83">
        <v>0.42857142857142855</v>
      </c>
      <c r="J5" s="81" t="s">
        <v>178</v>
      </c>
      <c r="K5" s="83">
        <v>0.28000000000000003</v>
      </c>
      <c r="L5" s="81" t="s">
        <v>127</v>
      </c>
      <c r="M5" s="84">
        <v>0.31400282885431402</v>
      </c>
      <c r="N5" s="81" t="s">
        <v>178</v>
      </c>
      <c r="O5" s="84">
        <v>0.13</v>
      </c>
      <c r="P5" s="81" t="s">
        <v>178</v>
      </c>
      <c r="Q5" s="85">
        <v>8415.78947368421</v>
      </c>
      <c r="R5" s="81" t="s">
        <v>179</v>
      </c>
      <c r="S5" s="85">
        <v>-7638.8349514563106</v>
      </c>
      <c r="T5" s="81" t="s">
        <v>126</v>
      </c>
      <c r="U5" s="83">
        <v>5.434782608695652E-2</v>
      </c>
      <c r="V5" s="81" t="s">
        <v>181</v>
      </c>
      <c r="W5" s="83">
        <v>0.1111111111111111</v>
      </c>
      <c r="X5" s="81" t="s">
        <v>181</v>
      </c>
      <c r="Y5" s="84">
        <v>0.27380952380952384</v>
      </c>
      <c r="Z5" s="81" t="s">
        <v>127</v>
      </c>
      <c r="AA5" s="84">
        <v>0.30410183875530411</v>
      </c>
      <c r="AB5" s="81" t="s">
        <v>126</v>
      </c>
      <c r="AC5" s="84">
        <v>0.59487179487179487</v>
      </c>
      <c r="AD5" s="81" t="s">
        <v>177</v>
      </c>
      <c r="AE5" s="84">
        <v>0.46250000000000002</v>
      </c>
      <c r="AF5" s="81" t="s">
        <v>182</v>
      </c>
      <c r="AG5" s="84">
        <v>0.48275862068965519</v>
      </c>
      <c r="AH5" s="81" t="s">
        <v>181</v>
      </c>
      <c r="AI5" s="88">
        <v>95200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3.9614457831325289</v>
      </c>
      <c r="F6" s="81" t="s">
        <v>177</v>
      </c>
      <c r="G6" s="82">
        <v>1.9090909090909092</v>
      </c>
      <c r="H6" s="81" t="s">
        <v>177</v>
      </c>
      <c r="I6" s="83">
        <v>0.41818181818181815</v>
      </c>
      <c r="J6" s="81" t="s">
        <v>127</v>
      </c>
      <c r="K6" s="83">
        <v>0.28915662650602408</v>
      </c>
      <c r="L6" s="81" t="s">
        <v>143</v>
      </c>
      <c r="M6" s="84">
        <v>0.29436217199272541</v>
      </c>
      <c r="N6" s="81" t="s">
        <v>126</v>
      </c>
      <c r="O6" s="84">
        <v>0.13839891451831751</v>
      </c>
      <c r="P6" s="81" t="s">
        <v>143</v>
      </c>
      <c r="Q6" s="85">
        <v>8306.4430714916143</v>
      </c>
      <c r="R6" s="81" t="s">
        <v>127</v>
      </c>
      <c r="S6" s="85">
        <v>-7707.246376811594</v>
      </c>
      <c r="T6" s="81" t="s">
        <v>178</v>
      </c>
      <c r="U6" s="83">
        <v>6.6666666666666666E-2</v>
      </c>
      <c r="V6" s="81" t="s">
        <v>127</v>
      </c>
      <c r="W6" s="83">
        <v>9.6385542168674704E-2</v>
      </c>
      <c r="X6" s="81" t="s">
        <v>222</v>
      </c>
      <c r="Y6" s="84">
        <v>0.26666666666666666</v>
      </c>
      <c r="Z6" s="81" t="s">
        <v>178</v>
      </c>
      <c r="AA6" s="84">
        <v>0.24166666666666667</v>
      </c>
      <c r="AB6" s="81" t="s">
        <v>178</v>
      </c>
      <c r="AC6" s="84">
        <v>0.5714285714285714</v>
      </c>
      <c r="AD6" s="81" t="s">
        <v>143</v>
      </c>
      <c r="AE6" s="84">
        <v>0.40582959641255606</v>
      </c>
      <c r="AF6" s="81" t="s">
        <v>179</v>
      </c>
      <c r="AG6" s="84">
        <v>0.45714285714285713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181</v>
      </c>
      <c r="C7" s="80">
        <v>24.700000000000003</v>
      </c>
      <c r="D7" s="81" t="s">
        <v>181</v>
      </c>
      <c r="E7" s="93">
        <v>1.3722222222222225</v>
      </c>
      <c r="F7" s="81" t="s">
        <v>181</v>
      </c>
      <c r="G7" s="82">
        <v>1.9444444444444444</v>
      </c>
      <c r="H7" s="81" t="s">
        <v>127</v>
      </c>
      <c r="I7" s="83">
        <v>0.39759036144578314</v>
      </c>
      <c r="J7" s="81" t="s">
        <v>177</v>
      </c>
      <c r="K7" s="83">
        <v>0.32727272727272727</v>
      </c>
      <c r="L7" s="81" t="s">
        <v>177</v>
      </c>
      <c r="M7" s="84">
        <v>0.29384965831435078</v>
      </c>
      <c r="N7" s="81" t="s">
        <v>166</v>
      </c>
      <c r="O7" s="84">
        <v>0.14133333333333334</v>
      </c>
      <c r="P7" s="81" t="s">
        <v>179</v>
      </c>
      <c r="Q7" s="85">
        <v>7988.5714285714284</v>
      </c>
      <c r="R7" s="81" t="s">
        <v>143</v>
      </c>
      <c r="S7" s="85">
        <v>-7745.207667731629</v>
      </c>
      <c r="T7" s="81" t="s">
        <v>179</v>
      </c>
      <c r="U7" s="83">
        <v>6.7796610169491525E-2</v>
      </c>
      <c r="V7" s="81" t="s">
        <v>143</v>
      </c>
      <c r="W7" s="83">
        <v>8.8172043010752682E-2</v>
      </c>
      <c r="X7" s="81" t="s">
        <v>126</v>
      </c>
      <c r="Y7" s="84">
        <v>0.26458616010854819</v>
      </c>
      <c r="Z7" s="81" t="s">
        <v>143</v>
      </c>
      <c r="AA7" s="84">
        <v>0.23174850610548195</v>
      </c>
      <c r="AB7" s="81" t="s">
        <v>143</v>
      </c>
      <c r="AC7" s="84">
        <v>0.56535269709543567</v>
      </c>
      <c r="AD7" s="81" t="s">
        <v>178</v>
      </c>
      <c r="AE7" s="84">
        <v>0.4</v>
      </c>
      <c r="AF7" s="81" t="s">
        <v>178</v>
      </c>
      <c r="AG7" s="84">
        <v>0.45029239766081869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143</v>
      </c>
      <c r="C8" s="80">
        <v>-2.1316282072803006E-14</v>
      </c>
      <c r="D8" s="81" t="s">
        <v>143</v>
      </c>
      <c r="E8" s="93">
        <v>-4.584146682323227E-17</v>
      </c>
      <c r="F8" s="81" t="s">
        <v>143</v>
      </c>
      <c r="G8" s="82">
        <v>2</v>
      </c>
      <c r="H8" s="81" t="s">
        <v>181</v>
      </c>
      <c r="I8" s="83">
        <v>0.3888888888888889</v>
      </c>
      <c r="J8" s="81" t="s">
        <v>181</v>
      </c>
      <c r="K8" s="83">
        <v>0.33333333333333331</v>
      </c>
      <c r="L8" s="81" t="s">
        <v>181</v>
      </c>
      <c r="M8" s="84">
        <v>0.29166666666666669</v>
      </c>
      <c r="N8" s="81" t="s">
        <v>177</v>
      </c>
      <c r="O8" s="84">
        <v>0.16173120728929385</v>
      </c>
      <c r="P8" s="81" t="s">
        <v>182</v>
      </c>
      <c r="Q8" s="85">
        <v>7901.7241379310344</v>
      </c>
      <c r="R8" s="81" t="s">
        <v>126</v>
      </c>
      <c r="S8" s="85">
        <v>-7755.8823529411766</v>
      </c>
      <c r="T8" s="81" t="s">
        <v>143</v>
      </c>
      <c r="U8" s="83">
        <v>8.8172043010752682E-2</v>
      </c>
      <c r="V8" s="81" t="s">
        <v>126</v>
      </c>
      <c r="W8" s="83">
        <v>8.6956521739130432E-2</v>
      </c>
      <c r="X8" s="81" t="s">
        <v>178</v>
      </c>
      <c r="Y8" s="84">
        <v>0.25666666666666665</v>
      </c>
      <c r="Z8" s="81" t="s">
        <v>126</v>
      </c>
      <c r="AA8" s="84">
        <v>0.22930800542740842</v>
      </c>
      <c r="AB8" s="81" t="s">
        <v>182</v>
      </c>
      <c r="AC8" s="84">
        <v>0.54166666666666663</v>
      </c>
      <c r="AD8" s="81" t="s">
        <v>182</v>
      </c>
      <c r="AE8" s="84">
        <v>0.4</v>
      </c>
      <c r="AF8" s="81" t="s">
        <v>143</v>
      </c>
      <c r="AG8" s="84">
        <v>0.44130626654898497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178</v>
      </c>
      <c r="C9" s="80">
        <v>-37.499999999999972</v>
      </c>
      <c r="D9" s="81" t="s">
        <v>178</v>
      </c>
      <c r="E9" s="93">
        <v>-0.49999999999999961</v>
      </c>
      <c r="F9" s="81" t="s">
        <v>178</v>
      </c>
      <c r="G9" s="82">
        <v>2.0666666666666669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178</v>
      </c>
      <c r="M9" s="84">
        <v>0.28499999999999998</v>
      </c>
      <c r="N9" s="81" t="s">
        <v>143</v>
      </c>
      <c r="O9" s="84">
        <v>0.16263964666147052</v>
      </c>
      <c r="P9" s="81" t="s">
        <v>126</v>
      </c>
      <c r="Q9" s="85">
        <v>7687.7551020408164</v>
      </c>
      <c r="R9" s="81" t="s">
        <v>178</v>
      </c>
      <c r="S9" s="85">
        <v>-7903.8461538461543</v>
      </c>
      <c r="T9" s="81" t="s">
        <v>177</v>
      </c>
      <c r="U9" s="83">
        <v>9.0909090909090912E-2</v>
      </c>
      <c r="V9" s="81" t="s">
        <v>178</v>
      </c>
      <c r="W9" s="83">
        <v>0.08</v>
      </c>
      <c r="X9" s="81" t="s">
        <v>143</v>
      </c>
      <c r="Y9" s="84">
        <v>0.25045466354897378</v>
      </c>
      <c r="Z9" s="81" t="s">
        <v>166</v>
      </c>
      <c r="AA9" s="84">
        <v>0.22666666666666666</v>
      </c>
      <c r="AB9" s="81" t="s">
        <v>127</v>
      </c>
      <c r="AC9" s="84">
        <v>0.53703703703703709</v>
      </c>
      <c r="AD9" s="81" t="s">
        <v>179</v>
      </c>
      <c r="AE9" s="84">
        <v>0.38709677419354838</v>
      </c>
      <c r="AF9" s="81" t="s">
        <v>126</v>
      </c>
      <c r="AG9" s="84">
        <v>0.43265306122448982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-4.0046511627906991</v>
      </c>
      <c r="F10" s="81" t="s">
        <v>166</v>
      </c>
      <c r="G10" s="82">
        <v>2.0930232558139537</v>
      </c>
      <c r="H10" s="81" t="s">
        <v>166</v>
      </c>
      <c r="I10" s="83">
        <v>0.32558139534883723</v>
      </c>
      <c r="J10" s="81" t="s">
        <v>179</v>
      </c>
      <c r="K10" s="83">
        <v>0.38983050847457629</v>
      </c>
      <c r="L10" s="81" t="s">
        <v>179</v>
      </c>
      <c r="M10" s="84">
        <v>0.28225806451612906</v>
      </c>
      <c r="N10" s="81" t="s">
        <v>182</v>
      </c>
      <c r="O10" s="84">
        <v>0.188</v>
      </c>
      <c r="P10" s="81" t="s">
        <v>195</v>
      </c>
      <c r="Q10" s="85">
        <v>7473.333333333333</v>
      </c>
      <c r="R10" s="81" t="s">
        <v>222</v>
      </c>
      <c r="S10" s="85">
        <v>-8000</v>
      </c>
      <c r="T10" s="81" t="s">
        <v>181</v>
      </c>
      <c r="U10" s="83">
        <v>0.1111111111111111</v>
      </c>
      <c r="V10" s="81" t="s">
        <v>166</v>
      </c>
      <c r="W10" s="83">
        <v>4.6511627906976744E-2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127</v>
      </c>
      <c r="AE10" s="84">
        <v>0.37674418604651161</v>
      </c>
      <c r="AF10" s="81" t="s">
        <v>166</v>
      </c>
      <c r="AG10" s="84">
        <v>0.41237113402061853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-172.20000000000005</v>
      </c>
      <c r="D11" s="81" t="s">
        <v>179</v>
      </c>
      <c r="E11" s="93">
        <v>-6.7677966101694906</v>
      </c>
      <c r="F11" s="81" t="s">
        <v>195</v>
      </c>
      <c r="G11" s="82">
        <v>2.1428571428571428</v>
      </c>
      <c r="H11" s="81" t="s">
        <v>178</v>
      </c>
      <c r="I11" s="83">
        <v>0.21333333333333335</v>
      </c>
      <c r="J11" s="81" t="s">
        <v>166</v>
      </c>
      <c r="K11" s="83">
        <v>0.41860465116279072</v>
      </c>
      <c r="L11" s="81" t="s">
        <v>166</v>
      </c>
      <c r="M11" s="84">
        <v>0.25866666666666666</v>
      </c>
      <c r="N11" s="81" t="s">
        <v>195</v>
      </c>
      <c r="O11" s="84">
        <v>0.19354838709677419</v>
      </c>
      <c r="P11" s="81" t="s">
        <v>181</v>
      </c>
      <c r="Q11" s="85">
        <v>7440.8163265306121</v>
      </c>
      <c r="R11" s="81" t="s">
        <v>182</v>
      </c>
      <c r="S11" s="85">
        <v>-8059.5744680851067</v>
      </c>
      <c r="T11" s="81" t="s">
        <v>127</v>
      </c>
      <c r="U11" s="83">
        <v>0.13253012048192772</v>
      </c>
      <c r="V11" s="81" t="s">
        <v>179</v>
      </c>
      <c r="W11" s="83">
        <v>3.3898305084745763E-2</v>
      </c>
      <c r="X11" s="81" t="s">
        <v>127</v>
      </c>
      <c r="Y11" s="84">
        <v>0.22913719943422914</v>
      </c>
      <c r="Z11" s="81" t="s">
        <v>179</v>
      </c>
      <c r="AA11" s="84">
        <v>0.1875</v>
      </c>
      <c r="AB11" s="81" t="s">
        <v>177</v>
      </c>
      <c r="AC11" s="84">
        <v>0.53191489361702127</v>
      </c>
      <c r="AD11" s="81" t="s">
        <v>166</v>
      </c>
      <c r="AE11" s="84">
        <v>0.35294117647058826</v>
      </c>
      <c r="AF11" s="81" t="s">
        <v>127</v>
      </c>
      <c r="AG11" s="84">
        <v>0.39189189189189189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-399.29999999999995</v>
      </c>
      <c r="D12" s="81" t="s">
        <v>195</v>
      </c>
      <c r="E12" s="93">
        <v>-14.971428571428573</v>
      </c>
      <c r="F12" s="81" t="s">
        <v>179</v>
      </c>
      <c r="G12" s="82">
        <v>2.1864406779661016</v>
      </c>
      <c r="H12" s="81" t="s">
        <v>179</v>
      </c>
      <c r="I12" s="83">
        <v>0.20338983050847459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127</v>
      </c>
      <c r="O12" s="84">
        <v>0.19519094766619519</v>
      </c>
      <c r="P12" s="81" t="s">
        <v>222</v>
      </c>
      <c r="Q12" s="85">
        <v>7385.7142857142853</v>
      </c>
      <c r="R12" s="81" t="s">
        <v>177</v>
      </c>
      <c r="S12" s="85">
        <v>-8325.352112676057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177</v>
      </c>
      <c r="AA12" s="84">
        <v>0.18223234624145787</v>
      </c>
      <c r="AB12" s="81" t="s">
        <v>166</v>
      </c>
      <c r="AC12" s="84">
        <v>0.50877192982456143</v>
      </c>
      <c r="AD12" s="81" t="s">
        <v>181</v>
      </c>
      <c r="AE12" s="84">
        <v>0.34782608695652173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0.20766129032258066</v>
      </c>
      <c r="P13" s="81" t="s">
        <v>166</v>
      </c>
      <c r="Q13" s="85">
        <v>7269.072164948454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</v>
      </c>
      <c r="Z13" s="81" t="s">
        <v>181</v>
      </c>
      <c r="AA13" s="84">
        <v>0.13690476190476192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46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465</v>
      </c>
      <c r="C2" s="149"/>
      <c r="E2" s="58" t="s">
        <v>66</v>
      </c>
      <c r="F2" s="55" t="s">
        <v>22</v>
      </c>
      <c r="G2" s="43">
        <v>877</v>
      </c>
      <c r="H2" s="128">
        <f>IF(B$17=0,0,G2/B$17)</f>
        <v>0.7740511915269197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-21.645021645021647</v>
      </c>
      <c r="P2" s="114">
        <v>462</v>
      </c>
      <c r="Q2" s="98">
        <v>-10000</v>
      </c>
    </row>
    <row r="3" spans="1:17" x14ac:dyDescent="0.4">
      <c r="A3" s="51" t="s">
        <v>8</v>
      </c>
      <c r="B3" s="150">
        <v>3849</v>
      </c>
      <c r="C3" s="151"/>
      <c r="E3" s="59" t="s">
        <v>72</v>
      </c>
      <c r="F3" s="56" t="s">
        <v>27</v>
      </c>
      <c r="G3" s="44">
        <v>606</v>
      </c>
      <c r="H3" s="129">
        <f>IF(B$17=0,0,G3/B$17)</f>
        <v>0.53486319505736979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8.8888888888888893</v>
      </c>
      <c r="P3" s="115">
        <v>450</v>
      </c>
      <c r="Q3" s="99">
        <v>4000</v>
      </c>
    </row>
    <row r="4" spans="1:17" x14ac:dyDescent="0.4">
      <c r="A4" s="51" t="s">
        <v>6</v>
      </c>
      <c r="B4" s="152">
        <v>-2.1316282072803006E-14</v>
      </c>
      <c r="C4" s="153"/>
      <c r="E4" s="59" t="s">
        <v>64</v>
      </c>
      <c r="F4" s="56" t="s">
        <v>20</v>
      </c>
      <c r="G4" s="44">
        <v>522</v>
      </c>
      <c r="H4" s="129">
        <f>IF(B$17=0,0,G4/B$17)</f>
        <v>0.46072374227714036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-20.97902097902098</v>
      </c>
      <c r="P4" s="115">
        <v>429</v>
      </c>
      <c r="Q4" s="99">
        <v>-9000</v>
      </c>
    </row>
    <row r="5" spans="1:17" x14ac:dyDescent="0.4">
      <c r="A5" s="51" t="s">
        <v>7</v>
      </c>
      <c r="B5" s="154">
        <f>IF(B$2=0,0,B$4/B$2)</f>
        <v>-4.584146682323227E-17</v>
      </c>
      <c r="C5" s="155"/>
      <c r="E5" s="59" t="s">
        <v>171</v>
      </c>
      <c r="F5" s="56" t="s">
        <v>172</v>
      </c>
      <c r="G5" s="44">
        <v>446</v>
      </c>
      <c r="H5" s="129">
        <f>IF(B$17=0,0,G5/B$17)</f>
        <v>0.3936451897616946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14.705882352941176</v>
      </c>
      <c r="P5" s="115">
        <v>408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362</v>
      </c>
      <c r="H6" s="129">
        <f>IF(B$17=0,0,G6/B$17)</f>
        <v>0.31950573698146512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15.625</v>
      </c>
      <c r="P6" s="115">
        <v>384</v>
      </c>
      <c r="Q6" s="99">
        <v>6000</v>
      </c>
    </row>
    <row r="7" spans="1:17" x14ac:dyDescent="0.4">
      <c r="A7" s="51" t="s">
        <v>2</v>
      </c>
      <c r="B7" s="44">
        <v>155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336</v>
      </c>
      <c r="H7" s="129">
        <f>IF(B$17=0,0,G7/B$17)</f>
        <v>0.29655781112091789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9.1743119266055047</v>
      </c>
      <c r="P7" s="116">
        <v>327</v>
      </c>
      <c r="Q7" s="100">
        <v>3000</v>
      </c>
    </row>
    <row r="8" spans="1:17" x14ac:dyDescent="0.4">
      <c r="A8" s="51" t="s">
        <v>3</v>
      </c>
      <c r="B8" s="44">
        <v>155</v>
      </c>
      <c r="C8" s="37">
        <f t="shared" si="1"/>
        <v>0.33333333333333331</v>
      </c>
      <c r="E8" s="59" t="s">
        <v>69</v>
      </c>
      <c r="F8" s="56" t="s">
        <v>24</v>
      </c>
      <c r="G8" s="44">
        <v>176</v>
      </c>
      <c r="H8" s="129">
        <f>IF(B$17=0,0,G8/B$17)</f>
        <v>0.1553398058252427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155</v>
      </c>
      <c r="C9" s="38">
        <f t="shared" si="1"/>
        <v>0.33333333333333331</v>
      </c>
      <c r="E9" s="59" t="s">
        <v>89</v>
      </c>
      <c r="F9" s="56" t="s">
        <v>44</v>
      </c>
      <c r="G9" s="44">
        <v>150</v>
      </c>
      <c r="H9" s="129">
        <f>IF(B$17=0,0,G9/B$17)</f>
        <v>0.13239187996469551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41</v>
      </c>
      <c r="C10" s="38">
        <f t="shared" si="1"/>
        <v>8.8172043010752682E-2</v>
      </c>
      <c r="E10" s="59" t="s">
        <v>65</v>
      </c>
      <c r="F10" s="56" t="s">
        <v>21</v>
      </c>
      <c r="G10" s="44">
        <v>115</v>
      </c>
      <c r="H10" s="129">
        <f>IF(B$17=0,0,G10/B$17)</f>
        <v>0.10150044130626655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8.7741935483870589E-2</v>
      </c>
      <c r="P10" s="114">
        <v>155</v>
      </c>
      <c r="Q10" s="102">
        <v>13.599999999999941</v>
      </c>
    </row>
    <row r="11" spans="1:17" x14ac:dyDescent="0.4">
      <c r="A11" s="52" t="s">
        <v>138</v>
      </c>
      <c r="B11" s="45">
        <v>41</v>
      </c>
      <c r="C11" s="38">
        <f t="shared" si="1"/>
        <v>8.8172043010752682E-2</v>
      </c>
      <c r="E11" s="59" t="s">
        <v>70</v>
      </c>
      <c r="F11" s="56" t="s">
        <v>25</v>
      </c>
      <c r="G11" s="44">
        <v>107</v>
      </c>
      <c r="H11" s="129">
        <f>IF(B$17=0,0,G11/B$17)</f>
        <v>9.4439541041482791E-2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1.0058064516129028</v>
      </c>
      <c r="P11" s="115">
        <v>155</v>
      </c>
      <c r="Q11" s="103">
        <v>155.89999999999995</v>
      </c>
    </row>
    <row r="12" spans="1:17" x14ac:dyDescent="0.4">
      <c r="A12" s="53" t="s">
        <v>158</v>
      </c>
      <c r="B12" s="46">
        <v>48</v>
      </c>
      <c r="C12" s="40">
        <f t="shared" si="1"/>
        <v>0.1032258064516129</v>
      </c>
      <c r="E12" s="59" t="s">
        <v>71</v>
      </c>
      <c r="F12" s="56" t="s">
        <v>26</v>
      </c>
      <c r="G12" s="44">
        <v>90</v>
      </c>
      <c r="H12" s="129">
        <f>IF(B$17=0,0,G12/B$17)</f>
        <v>7.9435127978817299E-2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-1.0935483870967748</v>
      </c>
      <c r="P12" s="116">
        <v>155</v>
      </c>
      <c r="Q12" s="104">
        <v>-169.50000000000011</v>
      </c>
    </row>
    <row r="13" spans="1:17" x14ac:dyDescent="0.4">
      <c r="A13" s="54" t="s">
        <v>121</v>
      </c>
      <c r="B13" s="47">
        <v>964</v>
      </c>
      <c r="C13" s="42">
        <f>IF(B$3=0,0,B13/B$3)</f>
        <v>0.25045466354897378</v>
      </c>
      <c r="E13" s="59" t="s">
        <v>83</v>
      </c>
      <c r="F13" s="56" t="s">
        <v>38</v>
      </c>
      <c r="G13" s="44">
        <v>59</v>
      </c>
      <c r="H13" s="129">
        <f>IF(B$17=0,0,G13/B$17)</f>
        <v>5.2074139452780228E-2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892</v>
      </c>
      <c r="C14" s="37">
        <f>IF(B$3=0,0,B14/B$3)</f>
        <v>0.23174850610548195</v>
      </c>
      <c r="E14" s="59" t="s">
        <v>86</v>
      </c>
      <c r="F14" s="56" t="s">
        <v>41</v>
      </c>
      <c r="G14" s="44">
        <v>52</v>
      </c>
      <c r="H14" s="129">
        <f>IF(B$17=0,0,G14/B$17)</f>
        <v>4.5895851721094442E-2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545</v>
      </c>
      <c r="C15" s="35">
        <f>IF(B$13=0,0,B15/B$13)</f>
        <v>0.56535269709543567</v>
      </c>
      <c r="E15" s="59" t="s">
        <v>78</v>
      </c>
      <c r="F15" s="56" t="s">
        <v>33</v>
      </c>
      <c r="G15" s="44">
        <v>28</v>
      </c>
      <c r="H15" s="129">
        <f>IF(B$17=0,0,G15/B$17)</f>
        <v>2.4713150926743161E-2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362</v>
      </c>
      <c r="C16" s="35">
        <f>IF(B$14=0,0,B16/B$14)</f>
        <v>0.40582959641255606</v>
      </c>
      <c r="E16" s="59" t="s">
        <v>167</v>
      </c>
      <c r="F16" s="56" t="s">
        <v>168</v>
      </c>
      <c r="G16" s="44">
        <v>28</v>
      </c>
      <c r="H16" s="129">
        <f>IF(B$17=0,0,G16/B$17)</f>
        <v>2.4713150926743161E-2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1133</v>
      </c>
      <c r="C17" s="35">
        <f>IF(B$3=0,0,B17/B$3)</f>
        <v>0.29436217199272541</v>
      </c>
      <c r="E17" s="59" t="s">
        <v>81</v>
      </c>
      <c r="F17" s="56" t="s">
        <v>36</v>
      </c>
      <c r="G17" s="44">
        <v>21</v>
      </c>
      <c r="H17" s="129">
        <f>IF(B$17=0,0,G17/B$17)</f>
        <v>1.8534863195057368E-2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10.151694915254238</v>
      </c>
      <c r="P17" s="115">
        <v>118</v>
      </c>
      <c r="Q17" s="103">
        <v>1197.9000000000001</v>
      </c>
    </row>
    <row r="18" spans="1:17" x14ac:dyDescent="0.4">
      <c r="A18" s="51" t="s">
        <v>12</v>
      </c>
      <c r="B18" s="44">
        <v>500</v>
      </c>
      <c r="C18" s="37">
        <f>IF(B$17=0,0,B18/B$17)</f>
        <v>0.44130626654898497</v>
      </c>
      <c r="E18" s="59" t="s">
        <v>91</v>
      </c>
      <c r="F18" s="56" t="s">
        <v>46</v>
      </c>
      <c r="G18" s="44">
        <v>16</v>
      </c>
      <c r="H18" s="129">
        <f>IF(B$17=0,0,G18/B$17)</f>
        <v>1.412180052956752E-2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6.0069767441860442</v>
      </c>
      <c r="P18" s="115">
        <v>86</v>
      </c>
      <c r="Q18" s="103">
        <v>516.5999999999998</v>
      </c>
    </row>
    <row r="19" spans="1:17" x14ac:dyDescent="0.4">
      <c r="A19" s="51" t="s">
        <v>11</v>
      </c>
      <c r="B19" s="44">
        <v>633</v>
      </c>
      <c r="C19" s="37">
        <f>IF(B$17=0,0,B19/B$17)</f>
        <v>0.55869373345101503</v>
      </c>
      <c r="E19" s="59" t="s">
        <v>79</v>
      </c>
      <c r="F19" s="56" t="s">
        <v>34</v>
      </c>
      <c r="G19" s="44">
        <v>15</v>
      </c>
      <c r="H19" s="129">
        <f>IF(B$17=0,0,G19/B$17)</f>
        <v>1.323918799646955E-2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0.74999999999999944</v>
      </c>
      <c r="P19" s="115">
        <v>150</v>
      </c>
      <c r="Q19" s="103">
        <v>112.49999999999991</v>
      </c>
    </row>
    <row r="20" spans="1:17" x14ac:dyDescent="0.4">
      <c r="A20" s="51" t="s">
        <v>13</v>
      </c>
      <c r="B20" s="44">
        <v>626</v>
      </c>
      <c r="C20" s="37">
        <f>IF(B$3=0,0,B20/B$3)</f>
        <v>0.16263964666147052</v>
      </c>
      <c r="E20" s="59" t="s">
        <v>75</v>
      </c>
      <c r="F20" s="56" t="s">
        <v>30</v>
      </c>
      <c r="G20" s="44">
        <v>7</v>
      </c>
      <c r="H20" s="129">
        <f>IF(B$17=0,0,G20/B$17)</f>
        <v>6.1782877316857903E-3</v>
      </c>
      <c r="I20" s="90">
        <v>6</v>
      </c>
      <c r="K20" s="36">
        <v>18</v>
      </c>
      <c r="L20" s="95">
        <v>0</v>
      </c>
      <c r="N20" s="111" t="s">
        <v>181</v>
      </c>
      <c r="O20" s="121">
        <f>IF(P20=0,0,Q20/P20)</f>
        <v>-2.058333333333334</v>
      </c>
      <c r="P20" s="115">
        <v>36</v>
      </c>
      <c r="Q20" s="103">
        <v>-74.100000000000023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74</v>
      </c>
      <c r="F21" s="56" t="s">
        <v>29</v>
      </c>
      <c r="G21" s="44">
        <v>6</v>
      </c>
      <c r="H21" s="129">
        <f>IF(B$17=0,0,G21/B$17)</f>
        <v>5.2956751985878204E-3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-5.9421686746988023</v>
      </c>
      <c r="P21" s="115">
        <v>166</v>
      </c>
      <c r="Q21" s="103">
        <v>-986.40000000000111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92</v>
      </c>
      <c r="F22" s="56" t="s">
        <v>47</v>
      </c>
      <c r="G22" s="44">
        <v>6</v>
      </c>
      <c r="H22" s="129">
        <f>IF(B$17=0,0,G22/B$17)</f>
        <v>5.2956751985878204E-3</v>
      </c>
      <c r="I22" s="90">
        <v>3</v>
      </c>
      <c r="K22" s="36">
        <v>20</v>
      </c>
      <c r="L22" s="95">
        <v>-61.199999999999996</v>
      </c>
      <c r="N22" s="111" t="s">
        <v>177</v>
      </c>
      <c r="O22" s="121">
        <f>IF(P22=0,0,Q22/P22)</f>
        <v>-7.0663636363636346</v>
      </c>
      <c r="P22" s="115">
        <v>110</v>
      </c>
      <c r="Q22" s="103">
        <v>-777.29999999999984</v>
      </c>
    </row>
    <row r="23" spans="1:17" x14ac:dyDescent="0.4">
      <c r="A23" s="51" t="s">
        <v>5</v>
      </c>
      <c r="B23" s="48">
        <f>IF(B$17=0,0,C23/B$17)</f>
        <v>8306.4430714916143</v>
      </c>
      <c r="C23" s="39">
        <v>9411200</v>
      </c>
      <c r="E23" s="59" t="s">
        <v>88</v>
      </c>
      <c r="F23" s="56" t="s">
        <v>43</v>
      </c>
      <c r="G23" s="44">
        <v>5</v>
      </c>
      <c r="H23" s="129">
        <f>IF(B$17=0,0,G23/B$17)</f>
        <v>4.4130626654898496E-3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-8.9364130434782538</v>
      </c>
      <c r="P23" s="115">
        <v>184</v>
      </c>
      <c r="Q23" s="103">
        <v>-1644.2999999999986</v>
      </c>
    </row>
    <row r="24" spans="1:17" x14ac:dyDescent="0.4">
      <c r="A24" s="52" t="s">
        <v>216</v>
      </c>
      <c r="B24" s="136">
        <f>IF($B$17-B$16=0,0,C24/($B$17-B$16))</f>
        <v>8784.0466926070039</v>
      </c>
      <c r="C24" s="137">
        <v>6772500</v>
      </c>
      <c r="E24" s="59" t="s">
        <v>73</v>
      </c>
      <c r="F24" s="56" t="s">
        <v>28</v>
      </c>
      <c r="G24" s="44">
        <v>4</v>
      </c>
      <c r="H24" s="129">
        <f>IF(B$17=0,0,G24/B$17)</f>
        <v>3.5304501323918801E-3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7289.2265193370167</v>
      </c>
      <c r="C25" s="137">
        <v>2638700</v>
      </c>
      <c r="E25" s="59" t="s">
        <v>77</v>
      </c>
      <c r="F25" s="56" t="s">
        <v>32</v>
      </c>
      <c r="G25" s="44">
        <v>4</v>
      </c>
      <c r="H25" s="129">
        <f>IF(B$17=0,0,G25/B$17)</f>
        <v>3.5304501323918801E-3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-7745.207667731629</v>
      </c>
      <c r="C26" s="137">
        <v>-4848500</v>
      </c>
      <c r="E26" s="59" t="s">
        <v>84</v>
      </c>
      <c r="F26" s="56" t="s">
        <v>39</v>
      </c>
      <c r="G26" s="44">
        <v>4</v>
      </c>
      <c r="H26" s="129">
        <f>IF(B$17=0,0,G26/B$17)</f>
        <v>3.5304501323918801E-3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85</v>
      </c>
      <c r="F27" s="56" t="s">
        <v>40</v>
      </c>
      <c r="G27" s="44">
        <v>4</v>
      </c>
      <c r="H27" s="129">
        <f>IF(B$17=0,0,G27/B$17)</f>
        <v>3.5304501323918801E-3</v>
      </c>
      <c r="I27" s="90">
        <v>5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103600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2.6478375992939102E-3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3.1176929072486361E-3</v>
      </c>
      <c r="E29" s="59" t="s">
        <v>87</v>
      </c>
      <c r="F29" s="56" t="s">
        <v>42</v>
      </c>
      <c r="G29" s="44">
        <v>2</v>
      </c>
      <c r="H29" s="129">
        <f>IF(B$17=0,0,G29/B$17)</f>
        <v>1.76522506619594E-3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1.76522506619594E-3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2</v>
      </c>
      <c r="H31" s="129">
        <f>IF(B$17=0,0,G31/B$17)</f>
        <v>1.76522506619594E-3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8.8261253309797002E-4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43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0.64948453608247425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1372.0930232558139</v>
      </c>
      <c r="P2" s="114">
        <v>43</v>
      </c>
      <c r="Q2" s="98">
        <v>59000</v>
      </c>
    </row>
    <row r="3" spans="1:17" x14ac:dyDescent="0.4">
      <c r="A3" s="51" t="s">
        <v>8</v>
      </c>
      <c r="B3" s="150">
        <v>375</v>
      </c>
      <c r="C3" s="151"/>
      <c r="E3" s="59" t="s">
        <v>72</v>
      </c>
      <c r="F3" s="56" t="s">
        <v>27</v>
      </c>
      <c r="G3" s="44">
        <v>48</v>
      </c>
      <c r="H3" s="129">
        <f>IF(B$17=0,0,G3/B$17)</f>
        <v>0.49484536082474229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-661.90476190476193</v>
      </c>
      <c r="P3" s="115">
        <v>42</v>
      </c>
      <c r="Q3" s="99">
        <v>-27800</v>
      </c>
    </row>
    <row r="4" spans="1:17" x14ac:dyDescent="0.4">
      <c r="A4" s="51" t="s">
        <v>6</v>
      </c>
      <c r="B4" s="152">
        <v>-172.20000000000005</v>
      </c>
      <c r="C4" s="153"/>
      <c r="E4" s="59" t="s">
        <v>171</v>
      </c>
      <c r="F4" s="56" t="s">
        <v>172</v>
      </c>
      <c r="G4" s="44">
        <v>38</v>
      </c>
      <c r="H4" s="129">
        <f>IF(B$17=0,0,G4/B$17)</f>
        <v>0.39175257731958762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-732.5</v>
      </c>
      <c r="P4" s="115">
        <v>40</v>
      </c>
      <c r="Q4" s="99">
        <v>-29300</v>
      </c>
    </row>
    <row r="5" spans="1:17" x14ac:dyDescent="0.4">
      <c r="A5" s="51" t="s">
        <v>7</v>
      </c>
      <c r="B5" s="154">
        <f>IF(B$2=0,0,B$4/B$2)</f>
        <v>-4.0046511627906991</v>
      </c>
      <c r="C5" s="155"/>
      <c r="E5" s="59" t="s">
        <v>68</v>
      </c>
      <c r="F5" s="56" t="s">
        <v>12</v>
      </c>
      <c r="G5" s="44">
        <v>29</v>
      </c>
      <c r="H5" s="129">
        <f>IF(B$17=0,0,G5/B$17)</f>
        <v>0.29896907216494845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-1797.5</v>
      </c>
      <c r="P5" s="115">
        <v>40</v>
      </c>
      <c r="Q5" s="99">
        <v>-71900</v>
      </c>
    </row>
    <row r="6" spans="1:17" x14ac:dyDescent="0.4">
      <c r="A6" s="51" t="s">
        <v>1</v>
      </c>
      <c r="B6" s="144">
        <f>IF(B$2=0,0,(B$7*1+B$8*2+B$9*3)/B$2)</f>
        <v>2.0930232558139537</v>
      </c>
      <c r="C6" s="145"/>
      <c r="E6" s="59" t="s">
        <v>64</v>
      </c>
      <c r="F6" s="56" t="s">
        <v>20</v>
      </c>
      <c r="G6" s="44">
        <v>27</v>
      </c>
      <c r="H6" s="129">
        <f>IF(B$17=0,0,G6/B$17)</f>
        <v>0.27835051546391754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-62.5</v>
      </c>
      <c r="P6" s="115">
        <v>40</v>
      </c>
      <c r="Q6" s="99">
        <v>-2500</v>
      </c>
    </row>
    <row r="7" spans="1:17" x14ac:dyDescent="0.4">
      <c r="A7" s="51" t="s">
        <v>2</v>
      </c>
      <c r="B7" s="44">
        <v>14</v>
      </c>
      <c r="C7" s="37">
        <f t="shared" ref="C7:C12" si="1">IF(B$2=0,0,B7/B$2)</f>
        <v>0.32558139534883723</v>
      </c>
      <c r="E7" s="59" t="s">
        <v>69</v>
      </c>
      <c r="F7" s="56" t="s">
        <v>24</v>
      </c>
      <c r="G7" s="44">
        <v>22</v>
      </c>
      <c r="H7" s="129">
        <f>IF(B$17=0,0,G7/B$17)</f>
        <v>0.22680412371134021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-1811.7647058823529</v>
      </c>
      <c r="P7" s="116">
        <v>34</v>
      </c>
      <c r="Q7" s="100">
        <v>-61600</v>
      </c>
    </row>
    <row r="8" spans="1:17" x14ac:dyDescent="0.4">
      <c r="A8" s="51" t="s">
        <v>3</v>
      </c>
      <c r="B8" s="44">
        <v>11</v>
      </c>
      <c r="C8" s="37">
        <f t="shared" si="1"/>
        <v>0.2558139534883721</v>
      </c>
      <c r="E8" s="59" t="s">
        <v>70</v>
      </c>
      <c r="F8" s="56" t="s">
        <v>25</v>
      </c>
      <c r="G8" s="44">
        <v>17</v>
      </c>
      <c r="H8" s="129">
        <f>IF(B$17=0,0,G8/B$17)</f>
        <v>0.17525773195876287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0.41860465116279072</v>
      </c>
      <c r="E9" s="59" t="s">
        <v>67</v>
      </c>
      <c r="F9" s="56" t="s">
        <v>23</v>
      </c>
      <c r="G9" s="44">
        <v>12</v>
      </c>
      <c r="H9" s="129">
        <f>IF(B$17=0,0,G9/B$17)</f>
        <v>0.12371134020618557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9</v>
      </c>
      <c r="H10" s="129">
        <f>IF(B$17=0,0,G10/B$17)</f>
        <v>9.2783505154639179E-2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-1.5071428571428567</v>
      </c>
      <c r="P10" s="114">
        <v>14</v>
      </c>
      <c r="Q10" s="102">
        <v>-21.099999999999994</v>
      </c>
    </row>
    <row r="11" spans="1:17" x14ac:dyDescent="0.4">
      <c r="A11" s="52" t="s">
        <v>138</v>
      </c>
      <c r="B11" s="45">
        <v>2</v>
      </c>
      <c r="C11" s="38">
        <f t="shared" si="1"/>
        <v>4.6511627906976744E-2</v>
      </c>
      <c r="E11" s="59" t="s">
        <v>83</v>
      </c>
      <c r="F11" s="56" t="s">
        <v>38</v>
      </c>
      <c r="G11" s="44">
        <v>9</v>
      </c>
      <c r="H11" s="129">
        <f>IF(B$17=0,0,G11/B$17)</f>
        <v>9.2783505154639179E-2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-8.2416666666666654</v>
      </c>
      <c r="P11" s="115">
        <v>12</v>
      </c>
      <c r="Q11" s="103">
        <v>-98.899999999999977</v>
      </c>
    </row>
    <row r="12" spans="1:17" x14ac:dyDescent="0.4">
      <c r="A12" s="53" t="s">
        <v>158</v>
      </c>
      <c r="B12" s="46">
        <v>6</v>
      </c>
      <c r="C12" s="40">
        <f t="shared" si="1"/>
        <v>0.13953488372093023</v>
      </c>
      <c r="E12" s="59" t="s">
        <v>65</v>
      </c>
      <c r="F12" s="56" t="s">
        <v>21</v>
      </c>
      <c r="G12" s="44">
        <v>8</v>
      </c>
      <c r="H12" s="129">
        <f>IF(B$17=0,0,G12/B$17)</f>
        <v>8.247422680412371E-2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57</v>
      </c>
      <c r="C13" s="42">
        <f>IF(B$3=0,0,B13/B$3)</f>
        <v>0.152</v>
      </c>
      <c r="E13" s="59" t="s">
        <v>89</v>
      </c>
      <c r="F13" s="56" t="s">
        <v>44</v>
      </c>
      <c r="G13" s="44">
        <v>7</v>
      </c>
      <c r="H13" s="129">
        <f>IF(B$17=0,0,G13/B$17)</f>
        <v>7.2164948453608241E-2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85</v>
      </c>
      <c r="C14" s="37">
        <f>IF(B$3=0,0,B14/B$3)</f>
        <v>0.22666666666666666</v>
      </c>
      <c r="E14" s="59" t="s">
        <v>81</v>
      </c>
      <c r="F14" s="56" t="s">
        <v>36</v>
      </c>
      <c r="G14" s="44">
        <v>4</v>
      </c>
      <c r="H14" s="129">
        <f>IF(B$17=0,0,G14/B$17)</f>
        <v>4.1237113402061855E-2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29</v>
      </c>
      <c r="C15" s="35">
        <f>IF(B$13=0,0,B15/B$13)</f>
        <v>0.50877192982456143</v>
      </c>
      <c r="E15" s="59" t="s">
        <v>86</v>
      </c>
      <c r="F15" s="56" t="s">
        <v>41</v>
      </c>
      <c r="G15" s="44">
        <v>3</v>
      </c>
      <c r="H15" s="129">
        <f>IF(B$17=0,0,G15/B$17)</f>
        <v>3.0927835051546393E-2</v>
      </c>
      <c r="I15" s="90">
        <v>8</v>
      </c>
      <c r="K15" s="36">
        <v>13</v>
      </c>
      <c r="L15" s="95">
        <v>-66.2</v>
      </c>
      <c r="N15" s="110" t="s">
        <v>178</v>
      </c>
      <c r="O15" s="120">
        <f t="shared" ref="O15:O21" si="2">IF(P15=0,0,Q15/P15)</f>
        <v>0.50000000000000067</v>
      </c>
      <c r="P15" s="114">
        <v>15</v>
      </c>
      <c r="Q15" s="102">
        <v>7.5000000000000107</v>
      </c>
    </row>
    <row r="16" spans="1:17" x14ac:dyDescent="0.4">
      <c r="A16" s="50" t="s">
        <v>124</v>
      </c>
      <c r="B16" s="43">
        <v>30</v>
      </c>
      <c r="C16" s="35">
        <f>IF(B$14=0,0,B16/B$14)</f>
        <v>0.35294117647058826</v>
      </c>
      <c r="E16" s="59" t="s">
        <v>91</v>
      </c>
      <c r="F16" s="56" t="s">
        <v>46</v>
      </c>
      <c r="G16" s="44">
        <v>3</v>
      </c>
      <c r="H16" s="129">
        <f>IF(B$17=0,0,G16/B$17)</f>
        <v>3.0927835051546393E-2</v>
      </c>
      <c r="I16" s="90">
        <v>2</v>
      </c>
      <c r="K16" s="36">
        <v>14</v>
      </c>
      <c r="L16" s="95">
        <v>-51.1</v>
      </c>
      <c r="N16" s="111" t="s">
        <v>126</v>
      </c>
      <c r="O16" s="121">
        <f t="shared" si="2"/>
        <v>-1.8272727272727274</v>
      </c>
      <c r="P16" s="115">
        <v>22</v>
      </c>
      <c r="Q16" s="103">
        <v>-40.200000000000003</v>
      </c>
    </row>
    <row r="17" spans="1:17" x14ac:dyDescent="0.4">
      <c r="A17" s="50" t="s">
        <v>10</v>
      </c>
      <c r="B17" s="43">
        <f>B19+B18</f>
        <v>97</v>
      </c>
      <c r="C17" s="35">
        <f>IF(B$3=0,0,B17/B$3)</f>
        <v>0.25866666666666666</v>
      </c>
      <c r="E17" s="59" t="s">
        <v>88</v>
      </c>
      <c r="F17" s="56" t="s">
        <v>43</v>
      </c>
      <c r="G17" s="44">
        <v>2</v>
      </c>
      <c r="H17" s="129">
        <f>IF(B$17=0,0,G17/B$17)</f>
        <v>2.0618556701030927E-2</v>
      </c>
      <c r="I17" s="90">
        <v>1</v>
      </c>
      <c r="K17" s="36">
        <v>15</v>
      </c>
      <c r="L17" s="95">
        <v>-65.2</v>
      </c>
      <c r="N17" s="111" t="s">
        <v>127</v>
      </c>
      <c r="O17" s="121">
        <f t="shared" si="2"/>
        <v>-4.1100000000000012</v>
      </c>
      <c r="P17" s="115">
        <v>20</v>
      </c>
      <c r="Q17" s="103">
        <v>-82.200000000000017</v>
      </c>
    </row>
    <row r="18" spans="1:17" x14ac:dyDescent="0.4">
      <c r="A18" s="51" t="s">
        <v>12</v>
      </c>
      <c r="B18" s="44">
        <v>40</v>
      </c>
      <c r="C18" s="37">
        <f>IF(B$17=0,0,B18/B$17)</f>
        <v>0.41237113402061853</v>
      </c>
      <c r="E18" s="59" t="s">
        <v>74</v>
      </c>
      <c r="F18" s="56" t="s">
        <v>29</v>
      </c>
      <c r="G18" s="44">
        <v>1</v>
      </c>
      <c r="H18" s="129">
        <f>IF(B$17=0,0,G18/B$17)</f>
        <v>1.0309278350515464E-2</v>
      </c>
      <c r="I18" s="90">
        <v>2</v>
      </c>
      <c r="K18" s="36">
        <v>16</v>
      </c>
      <c r="L18" s="95">
        <v>-70.600000000000009</v>
      </c>
      <c r="N18" s="111" t="s">
        <v>181</v>
      </c>
      <c r="O18" s="121">
        <f t="shared" si="2"/>
        <v>-5.04</v>
      </c>
      <c r="P18" s="115">
        <v>5</v>
      </c>
      <c r="Q18" s="103">
        <v>-25.2</v>
      </c>
    </row>
    <row r="19" spans="1:17" x14ac:dyDescent="0.4">
      <c r="A19" s="51" t="s">
        <v>11</v>
      </c>
      <c r="B19" s="44">
        <v>57</v>
      </c>
      <c r="C19" s="37">
        <f>IF(B$17=0,0,B19/B$17)</f>
        <v>0.58762886597938147</v>
      </c>
      <c r="E19" s="59" t="s">
        <v>75</v>
      </c>
      <c r="F19" s="56" t="s">
        <v>30</v>
      </c>
      <c r="G19" s="44">
        <v>1</v>
      </c>
      <c r="H19" s="129">
        <f>IF(B$17=0,0,G19/B$17)</f>
        <v>1.0309278350515464E-2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53</v>
      </c>
      <c r="C20" s="37">
        <f>IF(B$3=0,0,B20/B$3)</f>
        <v>0.14133333333333334</v>
      </c>
      <c r="E20" s="59" t="s">
        <v>77</v>
      </c>
      <c r="F20" s="56" t="s">
        <v>32</v>
      </c>
      <c r="G20" s="44">
        <v>1</v>
      </c>
      <c r="H20" s="129">
        <f>IF(B$17=0,0,G20/B$17)</f>
        <v>1.0309278350515464E-2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1.0309278350515464E-2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23</v>
      </c>
      <c r="C22" s="131">
        <v>22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7269.072164948454</v>
      </c>
      <c r="C23" s="39">
        <v>705100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7795.5223880597014</v>
      </c>
      <c r="C24" s="137">
        <v>522300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6093.333333333333</v>
      </c>
      <c r="C25" s="137">
        <v>182800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-6775.4716981132078</v>
      </c>
      <c r="C26" s="137">
        <v>-359100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5.3333333333333332E-3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9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92</v>
      </c>
      <c r="C2" s="149"/>
      <c r="E2" s="58" t="s">
        <v>66</v>
      </c>
      <c r="F2" s="55" t="s">
        <v>22</v>
      </c>
      <c r="G2" s="43">
        <v>165</v>
      </c>
      <c r="H2" s="128">
        <f>IF(B$17=0,0,G2/B$17)</f>
        <v>0.67346938775510201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541.75824175824175</v>
      </c>
      <c r="P2" s="114">
        <v>91</v>
      </c>
      <c r="Q2" s="98">
        <v>49300</v>
      </c>
    </row>
    <row r="3" spans="1:17" x14ac:dyDescent="0.4">
      <c r="A3" s="51" t="s">
        <v>8</v>
      </c>
      <c r="B3" s="150">
        <v>737</v>
      </c>
      <c r="C3" s="151"/>
      <c r="E3" s="59" t="s">
        <v>72</v>
      </c>
      <c r="F3" s="56" t="s">
        <v>27</v>
      </c>
      <c r="G3" s="44">
        <v>121</v>
      </c>
      <c r="H3" s="129">
        <f>IF(B$17=0,0,G3/B$17)</f>
        <v>0.49387755102040815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-256.81818181818181</v>
      </c>
      <c r="P3" s="115">
        <v>88</v>
      </c>
      <c r="Q3" s="99">
        <v>-22600</v>
      </c>
    </row>
    <row r="4" spans="1:17" x14ac:dyDescent="0.4">
      <c r="A4" s="51" t="s">
        <v>6</v>
      </c>
      <c r="B4" s="152">
        <v>548.09999999999991</v>
      </c>
      <c r="C4" s="153"/>
      <c r="E4" s="59" t="s">
        <v>64</v>
      </c>
      <c r="F4" s="56" t="s">
        <v>20</v>
      </c>
      <c r="G4" s="44">
        <v>108</v>
      </c>
      <c r="H4" s="129">
        <f>IF(B$17=0,0,G4/B$17)</f>
        <v>0.44081632653061226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-493.02325581395348</v>
      </c>
      <c r="P4" s="115">
        <v>86</v>
      </c>
      <c r="Q4" s="99">
        <v>-42400</v>
      </c>
    </row>
    <row r="5" spans="1:17" x14ac:dyDescent="0.4">
      <c r="A5" s="51" t="s">
        <v>7</v>
      </c>
      <c r="B5" s="154">
        <f>IF(B$2=0,0,B$4/B$2)</f>
        <v>5.9576086956521728</v>
      </c>
      <c r="C5" s="155"/>
      <c r="E5" s="59" t="s">
        <v>171</v>
      </c>
      <c r="F5" s="56" t="s">
        <v>172</v>
      </c>
      <c r="G5" s="44">
        <v>86</v>
      </c>
      <c r="H5" s="129">
        <f>IF(B$17=0,0,G5/B$17)</f>
        <v>0.3510204081632653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-349.36708860759495</v>
      </c>
      <c r="P5" s="115">
        <v>79</v>
      </c>
      <c r="Q5" s="99">
        <v>-27600</v>
      </c>
    </row>
    <row r="6" spans="1:17" x14ac:dyDescent="0.4">
      <c r="A6" s="51" t="s">
        <v>1</v>
      </c>
      <c r="B6" s="144">
        <f>IF(B$2=0,0,(B$7*1+B$8*2+B$9*3)/B$2)</f>
        <v>1.7934782608695652</v>
      </c>
      <c r="C6" s="145"/>
      <c r="E6" s="59" t="s">
        <v>68</v>
      </c>
      <c r="F6" s="56" t="s">
        <v>12</v>
      </c>
      <c r="G6" s="44">
        <v>73</v>
      </c>
      <c r="H6" s="129">
        <f>IF(B$17=0,0,G6/B$17)</f>
        <v>0.29795918367346941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2620</v>
      </c>
      <c r="P6" s="115">
        <v>75</v>
      </c>
      <c r="Q6" s="99">
        <v>196500</v>
      </c>
    </row>
    <row r="7" spans="1:17" x14ac:dyDescent="0.4">
      <c r="A7" s="51" t="s">
        <v>2</v>
      </c>
      <c r="B7" s="44">
        <v>43</v>
      </c>
      <c r="C7" s="37">
        <f t="shared" ref="C7:C12" si="1">IF(B$2=0,0,B7/B$2)</f>
        <v>0.46739130434782611</v>
      </c>
      <c r="E7" s="59" t="s">
        <v>67</v>
      </c>
      <c r="F7" s="56" t="s">
        <v>23</v>
      </c>
      <c r="G7" s="44">
        <v>64</v>
      </c>
      <c r="H7" s="129">
        <f>IF(B$17=0,0,G7/B$17)</f>
        <v>0.26122448979591839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3160.3174603174602</v>
      </c>
      <c r="P7" s="116">
        <v>63</v>
      </c>
      <c r="Q7" s="100">
        <v>199100</v>
      </c>
    </row>
    <row r="8" spans="1:17" x14ac:dyDescent="0.4">
      <c r="A8" s="51" t="s">
        <v>3</v>
      </c>
      <c r="B8" s="44">
        <v>25</v>
      </c>
      <c r="C8" s="37">
        <f t="shared" si="1"/>
        <v>0.27173913043478259</v>
      </c>
      <c r="E8" s="59" t="s">
        <v>89</v>
      </c>
      <c r="F8" s="56" t="s">
        <v>44</v>
      </c>
      <c r="G8" s="44">
        <v>41</v>
      </c>
      <c r="H8" s="129">
        <f>IF(B$17=0,0,G8/B$17)</f>
        <v>0.16734693877551021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0.2608695652173913</v>
      </c>
      <c r="E9" s="59" t="s">
        <v>69</v>
      </c>
      <c r="F9" s="56" t="s">
        <v>24</v>
      </c>
      <c r="G9" s="44">
        <v>40</v>
      </c>
      <c r="H9" s="129">
        <f>IF(B$17=0,0,G9/B$17)</f>
        <v>0.16326530612244897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5.434782608695652E-2</v>
      </c>
      <c r="E10" s="59" t="s">
        <v>65</v>
      </c>
      <c r="F10" s="56" t="s">
        <v>21</v>
      </c>
      <c r="G10" s="44">
        <v>28</v>
      </c>
      <c r="H10" s="129">
        <f>IF(B$17=0,0,G10/B$17)</f>
        <v>0.11428571428571428</v>
      </c>
      <c r="I10" s="90">
        <v>5</v>
      </c>
      <c r="K10" s="36">
        <v>8</v>
      </c>
      <c r="L10" s="95">
        <v>148.1</v>
      </c>
      <c r="N10" s="110" t="s">
        <v>162</v>
      </c>
      <c r="O10" s="120">
        <f>IF(P10=0,0,Q10/P10)</f>
        <v>8.58</v>
      </c>
      <c r="P10" s="114">
        <v>25</v>
      </c>
      <c r="Q10" s="102">
        <v>214.5</v>
      </c>
    </row>
    <row r="11" spans="1:17" x14ac:dyDescent="0.4">
      <c r="A11" s="52" t="s">
        <v>138</v>
      </c>
      <c r="B11" s="45">
        <v>8</v>
      </c>
      <c r="C11" s="38">
        <f t="shared" si="1"/>
        <v>8.6956521739130432E-2</v>
      </c>
      <c r="E11" s="59" t="s">
        <v>71</v>
      </c>
      <c r="F11" s="56" t="s">
        <v>26</v>
      </c>
      <c r="G11" s="44">
        <v>18</v>
      </c>
      <c r="H11" s="129">
        <f>IF(B$17=0,0,G11/B$17)</f>
        <v>7.3469387755102047E-2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2.6657142857142864</v>
      </c>
      <c r="P11" s="115">
        <v>35</v>
      </c>
      <c r="Q11" s="103">
        <v>93.300000000000026</v>
      </c>
    </row>
    <row r="12" spans="1:17" x14ac:dyDescent="0.4">
      <c r="A12" s="53" t="s">
        <v>158</v>
      </c>
      <c r="B12" s="46">
        <v>11</v>
      </c>
      <c r="C12" s="40">
        <f t="shared" si="1"/>
        <v>0.11956521739130435</v>
      </c>
      <c r="E12" s="59" t="s">
        <v>70</v>
      </c>
      <c r="F12" s="56" t="s">
        <v>25</v>
      </c>
      <c r="G12" s="44">
        <v>12</v>
      </c>
      <c r="H12" s="129">
        <f>IF(B$17=0,0,G12/B$17)</f>
        <v>4.8979591836734691E-2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7.5093749999999977</v>
      </c>
      <c r="P12" s="116">
        <v>32</v>
      </c>
      <c r="Q12" s="104">
        <v>240.29999999999993</v>
      </c>
    </row>
    <row r="13" spans="1:17" x14ac:dyDescent="0.4">
      <c r="A13" s="54" t="s">
        <v>121</v>
      </c>
      <c r="B13" s="47">
        <v>195</v>
      </c>
      <c r="C13" s="42">
        <f>IF(B$3=0,0,B13/B$3)</f>
        <v>0.26458616010854819</v>
      </c>
      <c r="E13" s="59" t="s">
        <v>83</v>
      </c>
      <c r="F13" s="56" t="s">
        <v>38</v>
      </c>
      <c r="G13" s="44">
        <v>11</v>
      </c>
      <c r="H13" s="129">
        <f>IF(B$17=0,0,G13/B$17)</f>
        <v>4.4897959183673466E-2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169</v>
      </c>
      <c r="C14" s="37">
        <f>IF(B$3=0,0,B14/B$3)</f>
        <v>0.22930800542740842</v>
      </c>
      <c r="E14" s="59" t="s">
        <v>86</v>
      </c>
      <c r="F14" s="56" t="s">
        <v>41</v>
      </c>
      <c r="G14" s="44">
        <v>11</v>
      </c>
      <c r="H14" s="129">
        <f>IF(B$17=0,0,G14/B$17)</f>
        <v>4.4897959183673466E-2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116</v>
      </c>
      <c r="C15" s="35">
        <f>IF(B$13=0,0,B15/B$13)</f>
        <v>0.59487179487179487</v>
      </c>
      <c r="E15" s="59" t="s">
        <v>167</v>
      </c>
      <c r="F15" s="56" t="s">
        <v>168</v>
      </c>
      <c r="G15" s="44">
        <v>11</v>
      </c>
      <c r="H15" s="129">
        <f>IF(B$17=0,0,G15/B$17)</f>
        <v>4.4897959183673466E-2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79</v>
      </c>
      <c r="C16" s="35">
        <f>IF(B$14=0,0,B16/B$14)</f>
        <v>0.46745562130177515</v>
      </c>
      <c r="E16" s="59" t="s">
        <v>78</v>
      </c>
      <c r="F16" s="56" t="s">
        <v>33</v>
      </c>
      <c r="G16" s="44">
        <v>9</v>
      </c>
      <c r="H16" s="129">
        <f>IF(B$17=0,0,G16/B$17)</f>
        <v>3.6734693877551024E-2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245</v>
      </c>
      <c r="C17" s="35">
        <f>IF(B$3=0,0,B17/B$3)</f>
        <v>0.33242876526458615</v>
      </c>
      <c r="E17" s="59" t="s">
        <v>77</v>
      </c>
      <c r="F17" s="56" t="s">
        <v>32</v>
      </c>
      <c r="G17" s="44">
        <v>3</v>
      </c>
      <c r="H17" s="129">
        <f>IF(B$17=0,0,G17/B$17)</f>
        <v>1.2244897959183673E-2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16.702439024390245</v>
      </c>
      <c r="P17" s="115">
        <v>41</v>
      </c>
      <c r="Q17" s="103">
        <v>684.80000000000007</v>
      </c>
    </row>
    <row r="18" spans="1:17" x14ac:dyDescent="0.4">
      <c r="A18" s="51" t="s">
        <v>12</v>
      </c>
      <c r="B18" s="44">
        <v>106</v>
      </c>
      <c r="C18" s="37">
        <f>IF(B$17=0,0,B18/B$17)</f>
        <v>0.43265306122448982</v>
      </c>
      <c r="E18" s="59" t="s">
        <v>84</v>
      </c>
      <c r="F18" s="56" t="s">
        <v>39</v>
      </c>
      <c r="G18" s="44">
        <v>3</v>
      </c>
      <c r="H18" s="129">
        <f>IF(B$17=0,0,G18/B$17)</f>
        <v>1.2244897959183673E-2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10.612903225806456</v>
      </c>
      <c r="P18" s="115">
        <v>31</v>
      </c>
      <c r="Q18" s="103">
        <v>329.00000000000011</v>
      </c>
    </row>
    <row r="19" spans="1:17" x14ac:dyDescent="0.4">
      <c r="A19" s="51" t="s">
        <v>11</v>
      </c>
      <c r="B19" s="44">
        <v>139</v>
      </c>
      <c r="C19" s="37">
        <f>IF(B$17=0,0,B19/B$17)</f>
        <v>0.56734693877551023</v>
      </c>
      <c r="E19" s="59" t="s">
        <v>75</v>
      </c>
      <c r="F19" s="56" t="s">
        <v>30</v>
      </c>
      <c r="G19" s="44">
        <v>2</v>
      </c>
      <c r="H19" s="129">
        <f>IF(B$17=0,0,G19/B$17)</f>
        <v>8.1632653061224497E-3</v>
      </c>
      <c r="I19" s="90">
        <v>4</v>
      </c>
      <c r="K19" s="36">
        <v>17</v>
      </c>
      <c r="L19" s="95">
        <v>359.09999999999991</v>
      </c>
      <c r="N19" s="111" t="s">
        <v>127</v>
      </c>
      <c r="O19" s="121">
        <f>IF(P19=0,0,Q19/P19)</f>
        <v>7.7327272727272742</v>
      </c>
      <c r="P19" s="115">
        <v>55</v>
      </c>
      <c r="Q19" s="103">
        <v>425.30000000000007</v>
      </c>
    </row>
    <row r="20" spans="1:17" x14ac:dyDescent="0.4">
      <c r="A20" s="51" t="s">
        <v>13</v>
      </c>
      <c r="B20" s="44">
        <v>102</v>
      </c>
      <c r="C20" s="37">
        <f>IF(B$3=0,0,B20/B$3)</f>
        <v>0.13839891451831751</v>
      </c>
      <c r="E20" s="59" t="s">
        <v>88</v>
      </c>
      <c r="F20" s="56" t="s">
        <v>43</v>
      </c>
      <c r="G20" s="44">
        <v>2</v>
      </c>
      <c r="H20" s="129">
        <f>IF(B$17=0,0,G20/B$17)</f>
        <v>8.1632653061224497E-3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92</v>
      </c>
      <c r="F21" s="56" t="s">
        <v>47</v>
      </c>
      <c r="G21" s="44">
        <v>2</v>
      </c>
      <c r="H21" s="129">
        <f>IF(B$17=0,0,G21/B$17)</f>
        <v>8.1632653061224497E-3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>IF(P21=0,0,Q21/P21)</f>
        <v>-8.9000000000000021</v>
      </c>
      <c r="P21" s="115">
        <v>21</v>
      </c>
      <c r="Q21" s="103">
        <v>-186.90000000000003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74</v>
      </c>
      <c r="F22" s="56" t="s">
        <v>29</v>
      </c>
      <c r="G22" s="44">
        <v>1</v>
      </c>
      <c r="H22" s="129">
        <f>IF(B$17=0,0,G22/B$17)</f>
        <v>4.0816326530612249E-3</v>
      </c>
      <c r="I22" s="90">
        <v>6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7687.7551020408164</v>
      </c>
      <c r="C23" s="39">
        <v>1883500</v>
      </c>
      <c r="E23" s="59" t="s">
        <v>79</v>
      </c>
      <c r="F23" s="56" t="s">
        <v>34</v>
      </c>
      <c r="G23" s="44">
        <v>1</v>
      </c>
      <c r="H23" s="129">
        <f>IF(B$17=0,0,G23/B$17)</f>
        <v>4.0816326530612249E-3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7651.2048192771081</v>
      </c>
      <c r="C24" s="137">
        <v>1270100</v>
      </c>
      <c r="E24" s="59" t="s">
        <v>81</v>
      </c>
      <c r="F24" s="56" t="s">
        <v>36</v>
      </c>
      <c r="G24" s="44">
        <v>1</v>
      </c>
      <c r="H24" s="129">
        <f>IF(B$17=0,0,G24/B$17)</f>
        <v>4.0816326530612249E-3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7764.5569620253164</v>
      </c>
      <c r="C25" s="137">
        <v>613400</v>
      </c>
      <c r="E25" s="59" t="s">
        <v>85</v>
      </c>
      <c r="F25" s="56" t="s">
        <v>40</v>
      </c>
      <c r="G25" s="44">
        <v>1</v>
      </c>
      <c r="H25" s="129">
        <f>IF(B$17=0,0,G25/B$17)</f>
        <v>4.0816326530612249E-3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-7755.8823529411766</v>
      </c>
      <c r="C26" s="137">
        <v>-791100</v>
      </c>
      <c r="E26" s="59" t="s">
        <v>90</v>
      </c>
      <c r="F26" s="56" t="s">
        <v>45</v>
      </c>
      <c r="G26" s="44">
        <v>1</v>
      </c>
      <c r="H26" s="129">
        <f>IF(B$17=0,0,G26/B$17)</f>
        <v>4.0816326530612249E-3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4.0816326530612249E-3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4.0816326530612249E-3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1.3568521031207597E-3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8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83</v>
      </c>
      <c r="C2" s="149"/>
      <c r="E2" s="58" t="s">
        <v>66</v>
      </c>
      <c r="F2" s="55" t="s">
        <v>22</v>
      </c>
      <c r="G2" s="43">
        <v>203</v>
      </c>
      <c r="H2" s="128">
        <f>IF(B$17=0,0,G2/B$17)</f>
        <v>0.9144144144144144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-1897.560975609756</v>
      </c>
      <c r="P2" s="114">
        <v>82</v>
      </c>
      <c r="Q2" s="98">
        <v>-155600</v>
      </c>
    </row>
    <row r="3" spans="1:17" x14ac:dyDescent="0.4">
      <c r="A3" s="51" t="s">
        <v>8</v>
      </c>
      <c r="B3" s="150">
        <v>707</v>
      </c>
      <c r="C3" s="151"/>
      <c r="E3" s="59" t="s">
        <v>72</v>
      </c>
      <c r="F3" s="56" t="s">
        <v>27</v>
      </c>
      <c r="G3" s="44">
        <v>119</v>
      </c>
      <c r="H3" s="129">
        <f>IF(B$17=0,0,G3/B$17)</f>
        <v>0.536036036036036</v>
      </c>
      <c r="I3" s="90">
        <v>5</v>
      </c>
      <c r="K3" s="36">
        <v>1</v>
      </c>
      <c r="L3" s="95">
        <v>-45.6</v>
      </c>
      <c r="N3" s="111" t="s">
        <v>131</v>
      </c>
      <c r="O3" s="118">
        <f t="shared" si="0"/>
        <v>1463.75</v>
      </c>
      <c r="P3" s="115">
        <v>80</v>
      </c>
      <c r="Q3" s="99">
        <v>117100</v>
      </c>
    </row>
    <row r="4" spans="1:17" x14ac:dyDescent="0.4">
      <c r="A4" s="51" t="s">
        <v>6</v>
      </c>
      <c r="B4" s="152">
        <v>328.7999999999999</v>
      </c>
      <c r="C4" s="153"/>
      <c r="E4" s="59" t="s">
        <v>171</v>
      </c>
      <c r="F4" s="56" t="s">
        <v>172</v>
      </c>
      <c r="G4" s="44">
        <v>96</v>
      </c>
      <c r="H4" s="129">
        <f>IF(B$17=0,0,G4/B$17)</f>
        <v>0.43243243243243246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640.78947368421052</v>
      </c>
      <c r="P4" s="115">
        <v>76</v>
      </c>
      <c r="Q4" s="99">
        <v>48700</v>
      </c>
    </row>
    <row r="5" spans="1:17" x14ac:dyDescent="0.4">
      <c r="A5" s="51" t="s">
        <v>7</v>
      </c>
      <c r="B5" s="154">
        <f>IF(B$2=0,0,B$4/B$2)</f>
        <v>3.9614457831325289</v>
      </c>
      <c r="C5" s="155"/>
      <c r="E5" s="59" t="s">
        <v>64</v>
      </c>
      <c r="F5" s="56" t="s">
        <v>20</v>
      </c>
      <c r="G5" s="44">
        <v>90</v>
      </c>
      <c r="H5" s="129">
        <f>IF(B$17=0,0,G5/B$17)</f>
        <v>0.40540540540540543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2302.7777777777778</v>
      </c>
      <c r="P5" s="115">
        <v>72</v>
      </c>
      <c r="Q5" s="99">
        <v>165800</v>
      </c>
    </row>
    <row r="6" spans="1:17" x14ac:dyDescent="0.4">
      <c r="A6" s="51" t="s">
        <v>1</v>
      </c>
      <c r="B6" s="144">
        <f>IF(B$2=0,0,(B$7*1+B$8*2+B$9*3)/B$2)</f>
        <v>1.8915662650602409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0.27927927927927926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-35.294117647058826</v>
      </c>
      <c r="P6" s="115">
        <v>68</v>
      </c>
      <c r="Q6" s="99">
        <v>-2400</v>
      </c>
    </row>
    <row r="7" spans="1:17" x14ac:dyDescent="0.4">
      <c r="A7" s="51" t="s">
        <v>2</v>
      </c>
      <c r="B7" s="44">
        <v>33</v>
      </c>
      <c r="C7" s="37">
        <f t="shared" ref="C7:C12" si="1">IF(B$2=0,0,B7/B$2)</f>
        <v>0.39759036144578314</v>
      </c>
      <c r="E7" s="59" t="s">
        <v>67</v>
      </c>
      <c r="F7" s="56" t="s">
        <v>23</v>
      </c>
      <c r="G7" s="44">
        <v>52</v>
      </c>
      <c r="H7" s="129">
        <f>IF(B$17=0,0,G7/B$17)</f>
        <v>0.23423423423423423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1667.2413793103449</v>
      </c>
      <c r="P7" s="116">
        <v>58</v>
      </c>
      <c r="Q7" s="100">
        <v>96700</v>
      </c>
    </row>
    <row r="8" spans="1:17" x14ac:dyDescent="0.4">
      <c r="A8" s="51" t="s">
        <v>3</v>
      </c>
      <c r="B8" s="44">
        <v>26</v>
      </c>
      <c r="C8" s="37">
        <f t="shared" si="1"/>
        <v>0.31325301204819278</v>
      </c>
      <c r="E8" s="59" t="s">
        <v>69</v>
      </c>
      <c r="F8" s="56" t="s">
        <v>24</v>
      </c>
      <c r="G8" s="44">
        <v>28</v>
      </c>
      <c r="H8" s="129">
        <f>IF(B$17=0,0,G8/B$17)</f>
        <v>0.12612612612612611</v>
      </c>
      <c r="I8" s="90">
        <v>8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0.28915662650602408</v>
      </c>
      <c r="E9" s="59" t="s">
        <v>89</v>
      </c>
      <c r="F9" s="56" t="s">
        <v>44</v>
      </c>
      <c r="G9" s="44">
        <v>26</v>
      </c>
      <c r="H9" s="129">
        <f>IF(B$17=0,0,G9/B$17)</f>
        <v>0.11711711711711711</v>
      </c>
      <c r="I9" s="90">
        <v>7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11</v>
      </c>
      <c r="C10" s="38">
        <f t="shared" si="1"/>
        <v>0.13253012048192772</v>
      </c>
      <c r="E10" s="59" t="s">
        <v>65</v>
      </c>
      <c r="F10" s="56" t="s">
        <v>21</v>
      </c>
      <c r="G10" s="44">
        <v>21</v>
      </c>
      <c r="H10" s="129">
        <f>IF(B$17=0,0,G10/B$17)</f>
        <v>9.45945945945946E-2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6.4800000000000013</v>
      </c>
      <c r="P10" s="114">
        <v>20</v>
      </c>
      <c r="Q10" s="102">
        <v>129.60000000000002</v>
      </c>
    </row>
    <row r="11" spans="1:17" x14ac:dyDescent="0.4">
      <c r="A11" s="52" t="s">
        <v>138</v>
      </c>
      <c r="B11" s="45">
        <v>8</v>
      </c>
      <c r="C11" s="38">
        <f t="shared" si="1"/>
        <v>9.6385542168674704E-2</v>
      </c>
      <c r="E11" s="59" t="s">
        <v>71</v>
      </c>
      <c r="F11" s="56" t="s">
        <v>26</v>
      </c>
      <c r="G11" s="44">
        <v>20</v>
      </c>
      <c r="H11" s="129">
        <f>IF(B$17=0,0,G11/B$17)</f>
        <v>9.0090090090090086E-2</v>
      </c>
      <c r="I11" s="90">
        <v>5</v>
      </c>
      <c r="K11" s="36">
        <v>9</v>
      </c>
      <c r="L11" s="95">
        <v>-83.699999999999989</v>
      </c>
      <c r="N11" s="111" t="s">
        <v>163</v>
      </c>
      <c r="O11" s="121">
        <f>IF(P11=0,0,Q11/P11)</f>
        <v>5.541666666666667</v>
      </c>
      <c r="P11" s="115">
        <v>24</v>
      </c>
      <c r="Q11" s="103">
        <v>133</v>
      </c>
    </row>
    <row r="12" spans="1:17" x14ac:dyDescent="0.4">
      <c r="A12" s="53" t="s">
        <v>158</v>
      </c>
      <c r="B12" s="46">
        <v>17</v>
      </c>
      <c r="C12" s="40">
        <f t="shared" si="1"/>
        <v>0.20481927710843373</v>
      </c>
      <c r="E12" s="59" t="s">
        <v>70</v>
      </c>
      <c r="F12" s="56" t="s">
        <v>25</v>
      </c>
      <c r="G12" s="44">
        <v>18</v>
      </c>
      <c r="H12" s="129">
        <f>IF(B$17=0,0,G12/B$17)</f>
        <v>8.1081081081081086E-2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1.6974358974358965</v>
      </c>
      <c r="P12" s="116">
        <v>39</v>
      </c>
      <c r="Q12" s="104">
        <v>66.19999999999996</v>
      </c>
    </row>
    <row r="13" spans="1:17" x14ac:dyDescent="0.4">
      <c r="A13" s="54" t="s">
        <v>121</v>
      </c>
      <c r="B13" s="47">
        <v>162</v>
      </c>
      <c r="C13" s="42">
        <f>IF(B$3=0,0,B13/B$3)</f>
        <v>0.22913719943422914</v>
      </c>
      <c r="E13" s="59" t="s">
        <v>86</v>
      </c>
      <c r="F13" s="56" t="s">
        <v>41</v>
      </c>
      <c r="G13" s="44">
        <v>16</v>
      </c>
      <c r="H13" s="129">
        <f>IF(B$17=0,0,G13/B$17)</f>
        <v>7.2072072072072071E-2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215</v>
      </c>
      <c r="C14" s="37">
        <f>IF(B$3=0,0,B14/B$3)</f>
        <v>0.30410183875530411</v>
      </c>
      <c r="E14" s="59" t="s">
        <v>83</v>
      </c>
      <c r="F14" s="56" t="s">
        <v>38</v>
      </c>
      <c r="G14" s="44">
        <v>11</v>
      </c>
      <c r="H14" s="129">
        <f>IF(B$17=0,0,G14/B$17)</f>
        <v>4.954954954954955E-2</v>
      </c>
      <c r="I14" s="90">
        <v>7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87</v>
      </c>
      <c r="C15" s="35">
        <f>IF(B$13=0,0,B15/B$13)</f>
        <v>0.53703703703703709</v>
      </c>
      <c r="E15" s="59" t="s">
        <v>91</v>
      </c>
      <c r="F15" s="56" t="s">
        <v>46</v>
      </c>
      <c r="G15" s="44">
        <v>8</v>
      </c>
      <c r="H15" s="129">
        <f>IF(B$17=0,0,G15/B$17)</f>
        <v>3.6036036036036036E-2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81</v>
      </c>
      <c r="C16" s="35">
        <f>IF(B$14=0,0,B16/B$14)</f>
        <v>0.37674418604651161</v>
      </c>
      <c r="E16" s="59" t="s">
        <v>78</v>
      </c>
      <c r="F16" s="56" t="s">
        <v>33</v>
      </c>
      <c r="G16" s="44">
        <v>7</v>
      </c>
      <c r="H16" s="129">
        <f>IF(B$17=0,0,G16/B$17)</f>
        <v>3.1531531531531529E-2</v>
      </c>
      <c r="I16" s="90">
        <v>3</v>
      </c>
      <c r="K16" s="36">
        <v>14</v>
      </c>
      <c r="L16" s="95">
        <v>-138.4</v>
      </c>
      <c r="N16" s="111" t="s">
        <v>182</v>
      </c>
      <c r="O16" s="121">
        <f t="shared" si="2"/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222</v>
      </c>
      <c r="C17" s="35">
        <f>IF(B$3=0,0,B17/B$3)</f>
        <v>0.31400282885431402</v>
      </c>
      <c r="E17" s="59" t="s">
        <v>79</v>
      </c>
      <c r="F17" s="56" t="s">
        <v>34</v>
      </c>
      <c r="G17" s="44">
        <v>5</v>
      </c>
      <c r="H17" s="129">
        <f>IF(B$17=0,0,G17/B$17)</f>
        <v>2.2522522522522521E-2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 t="shared" si="2"/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87</v>
      </c>
      <c r="C18" s="37">
        <f>IF(B$17=0,0,B18/B$17)</f>
        <v>0.39189189189189189</v>
      </c>
      <c r="E18" s="59" t="s">
        <v>81</v>
      </c>
      <c r="F18" s="56" t="s">
        <v>36</v>
      </c>
      <c r="G18" s="44">
        <v>5</v>
      </c>
      <c r="H18" s="129">
        <f>IF(B$17=0,0,G18/B$17)</f>
        <v>2.2522522522522521E-2</v>
      </c>
      <c r="I18" s="90">
        <v>4</v>
      </c>
      <c r="K18" s="36">
        <v>16</v>
      </c>
      <c r="L18" s="95">
        <v>-187.3</v>
      </c>
      <c r="N18" s="111" t="s">
        <v>177</v>
      </c>
      <c r="O18" s="121">
        <f t="shared" si="2"/>
        <v>12.182608695652181</v>
      </c>
      <c r="P18" s="115">
        <v>23</v>
      </c>
      <c r="Q18" s="103">
        <v>280.20000000000016</v>
      </c>
    </row>
    <row r="19" spans="1:17" x14ac:dyDescent="0.4">
      <c r="A19" s="51" t="s">
        <v>11</v>
      </c>
      <c r="B19" s="44">
        <v>135</v>
      </c>
      <c r="C19" s="37">
        <f>IF(B$17=0,0,B19/B$17)</f>
        <v>0.60810810810810811</v>
      </c>
      <c r="E19" s="59" t="s">
        <v>74</v>
      </c>
      <c r="F19" s="56" t="s">
        <v>29</v>
      </c>
      <c r="G19" s="44">
        <v>2</v>
      </c>
      <c r="H19" s="129">
        <f>IF(B$17=0,0,G19/B$17)</f>
        <v>9.0090090090090089E-3</v>
      </c>
      <c r="I19" s="90">
        <v>3</v>
      </c>
      <c r="K19" s="36">
        <v>17</v>
      </c>
      <c r="L19" s="95">
        <v>-179.70000000000002</v>
      </c>
      <c r="N19" s="111" t="s">
        <v>179</v>
      </c>
      <c r="O19" s="121">
        <f t="shared" si="2"/>
        <v>10.948148148148144</v>
      </c>
      <c r="P19" s="115">
        <v>27</v>
      </c>
      <c r="Q19" s="103">
        <v>295.59999999999991</v>
      </c>
    </row>
    <row r="20" spans="1:17" x14ac:dyDescent="0.4">
      <c r="A20" s="51" t="s">
        <v>13</v>
      </c>
      <c r="B20" s="44">
        <v>138</v>
      </c>
      <c r="C20" s="37">
        <f>IF(B$3=0,0,B20/B$3)</f>
        <v>0.19519094766619519</v>
      </c>
      <c r="E20" s="59" t="s">
        <v>84</v>
      </c>
      <c r="F20" s="56" t="s">
        <v>39</v>
      </c>
      <c r="G20" s="44">
        <v>1</v>
      </c>
      <c r="H20" s="129">
        <f>IF(B$17=0,0,G20/B$17)</f>
        <v>4.5045045045045045E-3</v>
      </c>
      <c r="I20" s="90">
        <v>2</v>
      </c>
      <c r="K20" s="36">
        <v>18</v>
      </c>
      <c r="L20" s="95">
        <v>-112.90000000000002</v>
      </c>
      <c r="N20" s="111" t="s">
        <v>178</v>
      </c>
      <c r="O20" s="121">
        <f t="shared" si="2"/>
        <v>7.1481481481481532</v>
      </c>
      <c r="P20" s="115">
        <v>27</v>
      </c>
      <c r="Q20" s="103">
        <v>193.00000000000014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</v>
      </c>
      <c r="H21" s="129">
        <f>IF(B$17=0,0,G21/B$17)</f>
        <v>4.5045045045045045E-3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 t="shared" si="2"/>
        <v>4.1099999999999977</v>
      </c>
      <c r="P21" s="115">
        <v>20</v>
      </c>
      <c r="Q21" s="103">
        <v>82.19999999999996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95</v>
      </c>
      <c r="F22" s="56" t="s">
        <v>50</v>
      </c>
      <c r="G22" s="44">
        <v>1</v>
      </c>
      <c r="H22" s="129">
        <f>IF(B$17=0,0,G22/B$17)</f>
        <v>4.5045045045045045E-3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 t="shared" si="2"/>
        <v>-7.7327272727272733</v>
      </c>
      <c r="P22" s="115">
        <v>55</v>
      </c>
      <c r="Q22" s="103">
        <v>-425.3</v>
      </c>
    </row>
    <row r="23" spans="1:17" x14ac:dyDescent="0.4">
      <c r="A23" s="51" t="s">
        <v>5</v>
      </c>
      <c r="B23" s="48">
        <f>IF(B$17=0,0,C23/B$17)</f>
        <v>8703.6036036036039</v>
      </c>
      <c r="C23" s="39">
        <v>1932200</v>
      </c>
      <c r="E23" s="59" t="s">
        <v>167</v>
      </c>
      <c r="F23" s="56" t="s">
        <v>168</v>
      </c>
      <c r="G23" s="44">
        <v>1</v>
      </c>
      <c r="H23" s="129">
        <f>IF(B$17=0,0,G23/B$17)</f>
        <v>4.5045045045045045E-3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9032.6241134751781</v>
      </c>
      <c r="C24" s="137">
        <v>1273600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8130.8641975308637</v>
      </c>
      <c r="C25" s="137">
        <v>658600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-7707.246376811594</v>
      </c>
      <c r="C26" s="137">
        <v>-1063600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4.2432814710042432E-3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</sheetData>
  <sortState xmlns:xlrd2="http://schemas.microsoft.com/office/spreadsheetml/2017/richdata2" ref="E2:I8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6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59</v>
      </c>
      <c r="C2" s="149"/>
      <c r="E2" s="58" t="s">
        <v>66</v>
      </c>
      <c r="F2" s="55" t="s">
        <v>22</v>
      </c>
      <c r="G2" s="43">
        <v>103</v>
      </c>
      <c r="H2" s="128">
        <f>IF(B$17=0,0,G2/B$17)</f>
        <v>0.73571428571428577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-727.58620689655174</v>
      </c>
      <c r="P2" s="114">
        <v>58</v>
      </c>
      <c r="Q2" s="98">
        <v>-42200</v>
      </c>
    </row>
    <row r="3" spans="1:17" x14ac:dyDescent="0.4">
      <c r="A3" s="51" t="s">
        <v>8</v>
      </c>
      <c r="B3" s="150">
        <v>496</v>
      </c>
      <c r="C3" s="151"/>
      <c r="E3" s="59" t="s">
        <v>64</v>
      </c>
      <c r="F3" s="56" t="s">
        <v>20</v>
      </c>
      <c r="G3" s="44">
        <v>83</v>
      </c>
      <c r="H3" s="129">
        <f>IF(B$17=0,0,G3/B$17)</f>
        <v>0.59285714285714286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-43.103448275862071</v>
      </c>
      <c r="P3" s="115">
        <v>58</v>
      </c>
      <c r="Q3" s="99">
        <v>-2500</v>
      </c>
    </row>
    <row r="4" spans="1:17" x14ac:dyDescent="0.4">
      <c r="A4" s="51" t="s">
        <v>6</v>
      </c>
      <c r="B4" s="152">
        <v>-399.29999999999995</v>
      </c>
      <c r="C4" s="153"/>
      <c r="E4" s="59" t="s">
        <v>72</v>
      </c>
      <c r="F4" s="56" t="s">
        <v>27</v>
      </c>
      <c r="G4" s="44">
        <v>71</v>
      </c>
      <c r="H4" s="129">
        <f>IF(B$17=0,0,G4/B$17)</f>
        <v>0.50714285714285712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870.90909090909088</v>
      </c>
      <c r="P4" s="115">
        <v>55</v>
      </c>
      <c r="Q4" s="99">
        <v>47900</v>
      </c>
    </row>
    <row r="5" spans="1:17" x14ac:dyDescent="0.4">
      <c r="A5" s="51" t="s">
        <v>7</v>
      </c>
      <c r="B5" s="154">
        <f>IF(B$2=0,0,B$4/B$2)</f>
        <v>-6.7677966101694906</v>
      </c>
      <c r="C5" s="155"/>
      <c r="E5" s="59" t="s">
        <v>171</v>
      </c>
      <c r="F5" s="56" t="s">
        <v>172</v>
      </c>
      <c r="G5" s="44">
        <v>57</v>
      </c>
      <c r="H5" s="129">
        <f>IF(B$17=0,0,G5/B$17)</f>
        <v>0.40714285714285714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-1514.8148148148148</v>
      </c>
      <c r="P5" s="115">
        <v>54</v>
      </c>
      <c r="Q5" s="99">
        <v>-81800</v>
      </c>
    </row>
    <row r="6" spans="1:17" x14ac:dyDescent="0.4">
      <c r="A6" s="51" t="s">
        <v>1</v>
      </c>
      <c r="B6" s="144">
        <f>IF(B$2=0,0,(B$7*1+B$8*2+B$9*3)/B$2)</f>
        <v>2.1864406779661016</v>
      </c>
      <c r="C6" s="145"/>
      <c r="E6" s="59" t="s">
        <v>68</v>
      </c>
      <c r="F6" s="56" t="s">
        <v>12</v>
      </c>
      <c r="G6" s="44">
        <v>49</v>
      </c>
      <c r="H6" s="129">
        <f>IF(B$17=0,0,G6/B$17)</f>
        <v>0.35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-3455.7692307692309</v>
      </c>
      <c r="P6" s="115">
        <v>52</v>
      </c>
      <c r="Q6" s="99">
        <v>-179700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0.20338983050847459</v>
      </c>
      <c r="E7" s="59" t="s">
        <v>67</v>
      </c>
      <c r="F7" s="56" t="s">
        <v>23</v>
      </c>
      <c r="G7" s="44">
        <v>45</v>
      </c>
      <c r="H7" s="129">
        <f>IF(B$17=0,0,G7/B$17)</f>
        <v>0.32142857142857145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-1178.2608695652175</v>
      </c>
      <c r="P7" s="116">
        <v>46</v>
      </c>
      <c r="Q7" s="100">
        <v>-54200</v>
      </c>
    </row>
    <row r="8" spans="1:17" x14ac:dyDescent="0.4">
      <c r="A8" s="51" t="s">
        <v>3</v>
      </c>
      <c r="B8" s="44">
        <v>24</v>
      </c>
      <c r="C8" s="37">
        <f t="shared" si="1"/>
        <v>0.40677966101694918</v>
      </c>
      <c r="E8" s="59" t="s">
        <v>70</v>
      </c>
      <c r="F8" s="56" t="s">
        <v>25</v>
      </c>
      <c r="G8" s="44">
        <v>22</v>
      </c>
      <c r="H8" s="129">
        <f>IF(B$17=0,0,G8/B$17)</f>
        <v>0.15714285714285714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0.38983050847457629</v>
      </c>
      <c r="E9" s="59" t="s">
        <v>69</v>
      </c>
      <c r="F9" s="56" t="s">
        <v>24</v>
      </c>
      <c r="G9" s="44">
        <v>21</v>
      </c>
      <c r="H9" s="129">
        <f>IF(B$17=0,0,G9/B$17)</f>
        <v>0.15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6.7796610169491525E-2</v>
      </c>
      <c r="E10" s="59" t="s">
        <v>65</v>
      </c>
      <c r="F10" s="56" t="s">
        <v>21</v>
      </c>
      <c r="G10" s="44">
        <v>15</v>
      </c>
      <c r="H10" s="129">
        <f>IF(B$17=0,0,G10/B$17)</f>
        <v>0.10714285714285714</v>
      </c>
      <c r="I10" s="90">
        <v>6</v>
      </c>
      <c r="K10" s="36">
        <v>8</v>
      </c>
      <c r="L10" s="95">
        <v>-62.999999999999993</v>
      </c>
      <c r="N10" s="110" t="s">
        <v>162</v>
      </c>
      <c r="O10" s="120">
        <f>IF(P10=0,0,Q10/P10)</f>
        <v>-2.7043478260869578</v>
      </c>
      <c r="P10" s="114">
        <v>23</v>
      </c>
      <c r="Q10" s="102">
        <v>-62.200000000000031</v>
      </c>
    </row>
    <row r="11" spans="1:17" x14ac:dyDescent="0.4">
      <c r="A11" s="52" t="s">
        <v>138</v>
      </c>
      <c r="B11" s="45">
        <v>2</v>
      </c>
      <c r="C11" s="38">
        <f t="shared" si="1"/>
        <v>3.3898305084745763E-2</v>
      </c>
      <c r="E11" s="59" t="s">
        <v>89</v>
      </c>
      <c r="F11" s="56" t="s">
        <v>44</v>
      </c>
      <c r="G11" s="44">
        <v>13</v>
      </c>
      <c r="H11" s="129">
        <f>IF(B$17=0,0,G11/B$17)</f>
        <v>9.285714285714286E-2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8.4745762711864403E-2</v>
      </c>
      <c r="E12" s="59" t="s">
        <v>83</v>
      </c>
      <c r="F12" s="56" t="s">
        <v>38</v>
      </c>
      <c r="G12" s="44">
        <v>8</v>
      </c>
      <c r="H12" s="129">
        <f>IF(B$17=0,0,G12/B$17)</f>
        <v>5.7142857142857141E-2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-11.95</v>
      </c>
      <c r="P12" s="116">
        <v>16</v>
      </c>
      <c r="Q12" s="104">
        <v>-191.2</v>
      </c>
    </row>
    <row r="13" spans="1:17" x14ac:dyDescent="0.4">
      <c r="A13" s="54" t="s">
        <v>121</v>
      </c>
      <c r="B13" s="47">
        <v>142</v>
      </c>
      <c r="C13" s="42">
        <f>IF(B$3=0,0,B13/B$3)</f>
        <v>0.28629032258064518</v>
      </c>
      <c r="E13" s="59" t="s">
        <v>71</v>
      </c>
      <c r="F13" s="56" t="s">
        <v>26</v>
      </c>
      <c r="G13" s="44">
        <v>7</v>
      </c>
      <c r="H13" s="129">
        <f>IF(B$17=0,0,G13/B$17)</f>
        <v>0.05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93</v>
      </c>
      <c r="C14" s="37">
        <f>IF(B$3=0,0,B14/B$3)</f>
        <v>0.1875</v>
      </c>
      <c r="E14" s="59" t="s">
        <v>78</v>
      </c>
      <c r="F14" s="56" t="s">
        <v>33</v>
      </c>
      <c r="G14" s="44">
        <v>6</v>
      </c>
      <c r="H14" s="129">
        <f>IF(B$17=0,0,G14/B$17)</f>
        <v>4.2857142857142858E-2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85</v>
      </c>
      <c r="C15" s="35">
        <f>IF(B$13=0,0,B15/B$13)</f>
        <v>0.59859154929577463</v>
      </c>
      <c r="E15" s="59" t="s">
        <v>86</v>
      </c>
      <c r="F15" s="56" t="s">
        <v>41</v>
      </c>
      <c r="G15" s="44">
        <v>4</v>
      </c>
      <c r="H15" s="129">
        <f>IF(B$17=0,0,G15/B$17)</f>
        <v>2.8571428571428571E-2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36</v>
      </c>
      <c r="C16" s="35">
        <f>IF(B$14=0,0,B16/B$14)</f>
        <v>0.38709677419354838</v>
      </c>
      <c r="E16" s="59" t="s">
        <v>81</v>
      </c>
      <c r="F16" s="56" t="s">
        <v>36</v>
      </c>
      <c r="G16" s="44">
        <v>3</v>
      </c>
      <c r="H16" s="129">
        <f>IF(B$17=0,0,G16/B$17)</f>
        <v>2.1428571428571429E-2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140</v>
      </c>
      <c r="C17" s="35">
        <f>IF(B$3=0,0,B17/B$3)</f>
        <v>0.28225806451612906</v>
      </c>
      <c r="E17" s="59" t="s">
        <v>167</v>
      </c>
      <c r="F17" s="56" t="s">
        <v>168</v>
      </c>
      <c r="G17" s="44">
        <v>3</v>
      </c>
      <c r="H17" s="129">
        <f>IF(B$17=0,0,G17/B$17)</f>
        <v>2.1428571428571429E-2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>IF(P17=0,0,Q17/P17)</f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64</v>
      </c>
      <c r="C18" s="37">
        <f>IF(B$17=0,0,B18/B$17)</f>
        <v>0.45714285714285713</v>
      </c>
      <c r="E18" s="59" t="s">
        <v>75</v>
      </c>
      <c r="F18" s="56" t="s">
        <v>30</v>
      </c>
      <c r="G18" s="44">
        <v>2</v>
      </c>
      <c r="H18" s="129">
        <f>IF(B$17=0,0,G18/B$17)</f>
        <v>1.4285714285714285E-2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>IF(P18=0,0,Q18/P18)</f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76</v>
      </c>
      <c r="C19" s="37">
        <f>IF(B$17=0,0,B19/B$17)</f>
        <v>0.54285714285714282</v>
      </c>
      <c r="E19" s="59" t="s">
        <v>79</v>
      </c>
      <c r="F19" s="56" t="s">
        <v>34</v>
      </c>
      <c r="G19" s="44">
        <v>2</v>
      </c>
      <c r="H19" s="129">
        <f>IF(B$17=0,0,G19/B$17)</f>
        <v>1.4285714285714285E-2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>IF(P19=0,0,Q19/P19)</f>
        <v>-10.948148148148144</v>
      </c>
      <c r="P19" s="115">
        <v>27</v>
      </c>
      <c r="Q19" s="103">
        <v>-295.59999999999991</v>
      </c>
    </row>
    <row r="20" spans="1:17" x14ac:dyDescent="0.4">
      <c r="A20" s="51" t="s">
        <v>13</v>
      </c>
      <c r="B20" s="44">
        <v>103</v>
      </c>
      <c r="C20" s="37">
        <f>IF(B$3=0,0,B20/B$3)</f>
        <v>0.20766129032258066</v>
      </c>
      <c r="E20" s="59" t="s">
        <v>91</v>
      </c>
      <c r="F20" s="56" t="s">
        <v>46</v>
      </c>
      <c r="G20" s="44">
        <v>1</v>
      </c>
      <c r="H20" s="129">
        <f>IF(B$17=0,0,G20/B$17)</f>
        <v>7.1428571428571426E-3</v>
      </c>
      <c r="I20" s="90">
        <v>5</v>
      </c>
      <c r="K20" s="36">
        <v>18</v>
      </c>
      <c r="L20" s="95">
        <v>-240</v>
      </c>
      <c r="N20" s="111" t="s">
        <v>178</v>
      </c>
      <c r="O20" s="121">
        <f>IF(P20=0,0,Q20/P20)</f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>IF(P21=0,0,Q21/P21)</f>
        <v>-16.702439024390248</v>
      </c>
      <c r="P21" s="115">
        <v>41</v>
      </c>
      <c r="Q21" s="103">
        <v>-684.80000000000018</v>
      </c>
    </row>
    <row r="22" spans="1:17" x14ac:dyDescent="0.4">
      <c r="A22" s="51" t="s">
        <v>170</v>
      </c>
      <c r="B22" s="44">
        <v>21</v>
      </c>
      <c r="C22" s="131">
        <v>2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7988.5714285714284</v>
      </c>
      <c r="C23" s="39">
        <v>1118400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8608.6538461538457</v>
      </c>
      <c r="C24" s="137">
        <v>895300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6197.2222222222226</v>
      </c>
      <c r="C25" s="137">
        <v>223100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-7638.8349514563106</v>
      </c>
      <c r="C26" s="137">
        <v>-786800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4.0322580645161289E-3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55</v>
      </c>
      <c r="C2" s="149"/>
      <c r="E2" s="58" t="s">
        <v>66</v>
      </c>
      <c r="F2" s="55" t="s">
        <v>22</v>
      </c>
      <c r="G2" s="43">
        <v>108</v>
      </c>
      <c r="H2" s="128">
        <f>IF(B$17=0,0,G2/B$17)</f>
        <v>0.83720930232558144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2305.4545454545455</v>
      </c>
      <c r="P2" s="114">
        <v>55</v>
      </c>
      <c r="Q2" s="98">
        <v>126800</v>
      </c>
    </row>
    <row r="3" spans="1:17" x14ac:dyDescent="0.4">
      <c r="A3" s="51" t="s">
        <v>8</v>
      </c>
      <c r="B3" s="150">
        <v>439</v>
      </c>
      <c r="C3" s="151"/>
      <c r="E3" s="59" t="s">
        <v>72</v>
      </c>
      <c r="F3" s="56" t="s">
        <v>27</v>
      </c>
      <c r="G3" s="44">
        <v>75</v>
      </c>
      <c r="H3" s="129">
        <f>IF(B$17=0,0,G3/B$17)</f>
        <v>0.58139534883720934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-2184.9056603773583</v>
      </c>
      <c r="P3" s="115">
        <v>53</v>
      </c>
      <c r="Q3" s="99">
        <v>-115800</v>
      </c>
    </row>
    <row r="4" spans="1:17" x14ac:dyDescent="0.4">
      <c r="A4" s="51" t="s">
        <v>6</v>
      </c>
      <c r="B4" s="152">
        <v>259.10000000000008</v>
      </c>
      <c r="C4" s="153"/>
      <c r="E4" s="59" t="s">
        <v>64</v>
      </c>
      <c r="F4" s="56" t="s">
        <v>20</v>
      </c>
      <c r="G4" s="44">
        <v>66</v>
      </c>
      <c r="H4" s="129">
        <f>IF(B$17=0,0,G4/B$17)</f>
        <v>0.51162790697674421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2293.8775510204082</v>
      </c>
      <c r="P4" s="115">
        <v>49</v>
      </c>
      <c r="Q4" s="99">
        <v>112400</v>
      </c>
    </row>
    <row r="5" spans="1:17" x14ac:dyDescent="0.4">
      <c r="A5" s="51" t="s">
        <v>7</v>
      </c>
      <c r="B5" s="154">
        <f>IF(B$2=0,0,B$4/B$2)</f>
        <v>4.7109090909090927</v>
      </c>
      <c r="C5" s="155"/>
      <c r="E5" s="59" t="s">
        <v>67</v>
      </c>
      <c r="F5" s="56" t="s">
        <v>23</v>
      </c>
      <c r="G5" s="44">
        <v>54</v>
      </c>
      <c r="H5" s="129">
        <f>IF(B$17=0,0,G5/B$17)</f>
        <v>0.41860465116279072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2506.521739130435</v>
      </c>
      <c r="P5" s="115">
        <v>46</v>
      </c>
      <c r="Q5" s="99">
        <v>115300</v>
      </c>
    </row>
    <row r="6" spans="1:17" x14ac:dyDescent="0.4">
      <c r="A6" s="51" t="s">
        <v>1</v>
      </c>
      <c r="B6" s="144">
        <f>IF(B$2=0,0,(B$7*1+B$8*2+B$9*3)/B$2)</f>
        <v>1.9090909090909092</v>
      </c>
      <c r="C6" s="145"/>
      <c r="E6" s="59" t="s">
        <v>171</v>
      </c>
      <c r="F6" s="56" t="s">
        <v>172</v>
      </c>
      <c r="G6" s="44">
        <v>51</v>
      </c>
      <c r="H6" s="129">
        <f>IF(B$17=0,0,G6/B$17)</f>
        <v>0.39534883720930231</v>
      </c>
      <c r="I6" s="90">
        <v>4</v>
      </c>
      <c r="K6" s="36">
        <v>4</v>
      </c>
      <c r="L6" s="95">
        <v>-74.599999999999994</v>
      </c>
      <c r="N6" s="111" t="s">
        <v>134</v>
      </c>
      <c r="O6" s="118">
        <f t="shared" si="0"/>
        <v>-934.88372093023258</v>
      </c>
      <c r="P6" s="115">
        <v>43</v>
      </c>
      <c r="Q6" s="99">
        <v>-40200</v>
      </c>
    </row>
    <row r="7" spans="1:17" x14ac:dyDescent="0.4">
      <c r="A7" s="51" t="s">
        <v>2</v>
      </c>
      <c r="B7" s="44">
        <v>23</v>
      </c>
      <c r="C7" s="37">
        <f t="shared" ref="C7:C12" si="1">IF(B$2=0,0,B7/B$2)</f>
        <v>0.41818181818181815</v>
      </c>
      <c r="E7" s="59" t="s">
        <v>68</v>
      </c>
      <c r="F7" s="56" t="s">
        <v>12</v>
      </c>
      <c r="G7" s="44">
        <v>50</v>
      </c>
      <c r="H7" s="129">
        <f>IF(B$17=0,0,G7/B$17)</f>
        <v>0.38759689922480622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-388.88888888888891</v>
      </c>
      <c r="P7" s="116">
        <v>36</v>
      </c>
      <c r="Q7" s="100">
        <v>-14000</v>
      </c>
    </row>
    <row r="8" spans="1:17" x14ac:dyDescent="0.4">
      <c r="A8" s="51" t="s">
        <v>3</v>
      </c>
      <c r="B8" s="44">
        <v>14</v>
      </c>
      <c r="C8" s="37">
        <f t="shared" si="1"/>
        <v>0.25454545454545452</v>
      </c>
      <c r="E8" s="59" t="s">
        <v>89</v>
      </c>
      <c r="F8" s="56" t="s">
        <v>44</v>
      </c>
      <c r="G8" s="44">
        <v>30</v>
      </c>
      <c r="H8" s="129">
        <f>IF(B$17=0,0,G8/B$17)</f>
        <v>0.23255813953488372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0.32727272727272727</v>
      </c>
      <c r="E9" s="59" t="s">
        <v>69</v>
      </c>
      <c r="F9" s="56" t="s">
        <v>24</v>
      </c>
      <c r="G9" s="44">
        <v>28</v>
      </c>
      <c r="H9" s="129">
        <f>IF(B$17=0,0,G9/B$17)</f>
        <v>0.21705426356589147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9.0909090909090912E-2</v>
      </c>
      <c r="E10" s="59" t="s">
        <v>65</v>
      </c>
      <c r="F10" s="56" t="s">
        <v>21</v>
      </c>
      <c r="G10" s="44">
        <v>15</v>
      </c>
      <c r="H10" s="129">
        <f>IF(B$17=0,0,G10/B$17)</f>
        <v>0.11627906976744186</v>
      </c>
      <c r="I10" s="90">
        <v>4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0.2</v>
      </c>
      <c r="E11" s="59" t="s">
        <v>70</v>
      </c>
      <c r="F11" s="56" t="s">
        <v>25</v>
      </c>
      <c r="G11" s="44">
        <v>14</v>
      </c>
      <c r="H11" s="129">
        <f>IF(B$17=0,0,G11/B$17)</f>
        <v>0.10852713178294573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7.2759999999999989</v>
      </c>
      <c r="P11" s="115">
        <v>25</v>
      </c>
      <c r="Q11" s="103">
        <v>181.89999999999998</v>
      </c>
    </row>
    <row r="12" spans="1:17" x14ac:dyDescent="0.4">
      <c r="A12" s="53" t="s">
        <v>158</v>
      </c>
      <c r="B12" s="46">
        <v>5</v>
      </c>
      <c r="C12" s="40">
        <f t="shared" si="1"/>
        <v>9.0909090909090912E-2</v>
      </c>
      <c r="E12" s="59" t="s">
        <v>167</v>
      </c>
      <c r="F12" s="56" t="s">
        <v>168</v>
      </c>
      <c r="G12" s="44">
        <v>8</v>
      </c>
      <c r="H12" s="129">
        <f>IF(B$17=0,0,G12/B$17)</f>
        <v>6.2015503875968991E-2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-6.2923076923076922</v>
      </c>
      <c r="P12" s="116">
        <v>13</v>
      </c>
      <c r="Q12" s="104">
        <v>-81.8</v>
      </c>
    </row>
    <row r="13" spans="1:17" x14ac:dyDescent="0.4">
      <c r="A13" s="54" t="s">
        <v>121</v>
      </c>
      <c r="B13" s="47">
        <v>141</v>
      </c>
      <c r="C13" s="42">
        <f>IF(B$3=0,0,B13/B$3)</f>
        <v>0.32118451025056949</v>
      </c>
      <c r="E13" s="59" t="s">
        <v>71</v>
      </c>
      <c r="F13" s="56" t="s">
        <v>26</v>
      </c>
      <c r="G13" s="44">
        <v>7</v>
      </c>
      <c r="H13" s="129">
        <f>IF(B$17=0,0,G13/B$17)</f>
        <v>5.4263565891472867E-2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80</v>
      </c>
      <c r="C14" s="37">
        <f>IF(B$3=0,0,B14/B$3)</f>
        <v>0.18223234624145787</v>
      </c>
      <c r="E14" s="59" t="s">
        <v>83</v>
      </c>
      <c r="F14" s="56" t="s">
        <v>38</v>
      </c>
      <c r="G14" s="44">
        <v>6</v>
      </c>
      <c r="H14" s="129">
        <f>IF(B$17=0,0,G14/B$17)</f>
        <v>4.6511627906976744E-2</v>
      </c>
      <c r="I14" s="90">
        <v>8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75</v>
      </c>
      <c r="C15" s="35">
        <f>IF(B$13=0,0,B15/B$13)</f>
        <v>0.53191489361702127</v>
      </c>
      <c r="E15" s="59" t="s">
        <v>81</v>
      </c>
      <c r="F15" s="56" t="s">
        <v>36</v>
      </c>
      <c r="G15" s="44">
        <v>3</v>
      </c>
      <c r="H15" s="129">
        <f>IF(B$17=0,0,G15/B$17)</f>
        <v>2.3255813953488372E-2</v>
      </c>
      <c r="I15" s="90">
        <v>3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0.46250000000000002</v>
      </c>
      <c r="E16" s="59" t="s">
        <v>86</v>
      </c>
      <c r="F16" s="56" t="s">
        <v>41</v>
      </c>
      <c r="G16" s="44">
        <v>3</v>
      </c>
      <c r="H16" s="129">
        <f>IF(B$17=0,0,G16/B$17)</f>
        <v>2.3255813953488372E-2</v>
      </c>
      <c r="I16" s="90">
        <v>10</v>
      </c>
      <c r="K16" s="36">
        <v>14</v>
      </c>
      <c r="L16" s="95">
        <v>-86.499999999999972</v>
      </c>
      <c r="N16" s="111" t="s">
        <v>166</v>
      </c>
      <c r="O16" s="121">
        <f>IF(P16=0,0,Q16/P16)</f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129</v>
      </c>
      <c r="C17" s="35">
        <f>IF(B$3=0,0,B17/B$3)</f>
        <v>0.29384965831435078</v>
      </c>
      <c r="E17" s="59" t="s">
        <v>92</v>
      </c>
      <c r="F17" s="56" t="s">
        <v>47</v>
      </c>
      <c r="G17" s="44">
        <v>3</v>
      </c>
      <c r="H17" s="129">
        <f>IF(B$17=0,0,G17/B$17)</f>
        <v>2.3255813953488372E-2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64</v>
      </c>
      <c r="C18" s="37">
        <f>IF(B$17=0,0,B18/B$17)</f>
        <v>0.49612403100775193</v>
      </c>
      <c r="E18" s="59" t="s">
        <v>91</v>
      </c>
      <c r="F18" s="56" t="s">
        <v>46</v>
      </c>
      <c r="G18" s="44">
        <v>2</v>
      </c>
      <c r="H18" s="129">
        <f>IF(B$17=0,0,G18/B$17)</f>
        <v>1.5503875968992248E-2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16.168965517241379</v>
      </c>
      <c r="P18" s="115">
        <v>29</v>
      </c>
      <c r="Q18" s="103">
        <v>468.9</v>
      </c>
    </row>
    <row r="19" spans="1:17" x14ac:dyDescent="0.4">
      <c r="A19" s="51" t="s">
        <v>11</v>
      </c>
      <c r="B19" s="44">
        <v>65</v>
      </c>
      <c r="C19" s="37">
        <f>IF(B$17=0,0,B19/B$17)</f>
        <v>0.50387596899224807</v>
      </c>
      <c r="E19" s="59" t="s">
        <v>73</v>
      </c>
      <c r="F19" s="56" t="s">
        <v>28</v>
      </c>
      <c r="G19" s="44">
        <v>1</v>
      </c>
      <c r="H19" s="129">
        <f>IF(B$17=0,0,G19/B$17)</f>
        <v>7.7519379844961239E-3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8.8999999999999986</v>
      </c>
      <c r="P19" s="115">
        <v>21</v>
      </c>
      <c r="Q19" s="103">
        <v>186.89999999999998</v>
      </c>
    </row>
    <row r="20" spans="1:17" x14ac:dyDescent="0.4">
      <c r="A20" s="51" t="s">
        <v>13</v>
      </c>
      <c r="B20" s="44">
        <v>71</v>
      </c>
      <c r="C20" s="37">
        <f>IF(B$3=0,0,B20/B$3)</f>
        <v>0.16173120728929385</v>
      </c>
      <c r="E20" s="59" t="s">
        <v>75</v>
      </c>
      <c r="F20" s="56" t="s">
        <v>30</v>
      </c>
      <c r="G20" s="44">
        <v>1</v>
      </c>
      <c r="H20" s="129">
        <f>IF(B$17=0,0,G20/B$17)</f>
        <v>7.7519379844961239E-3</v>
      </c>
      <c r="I20" s="90">
        <v>5</v>
      </c>
      <c r="K20" s="36">
        <v>18</v>
      </c>
      <c r="L20" s="95">
        <v>-24.999999999999968</v>
      </c>
      <c r="N20" s="111" t="s">
        <v>179</v>
      </c>
      <c r="O20" s="121">
        <f>IF(P20=0,0,Q20/P20)</f>
        <v>6.6222222222222209</v>
      </c>
      <c r="P20" s="115">
        <v>9</v>
      </c>
      <c r="Q20" s="103">
        <v>59.599999999999987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7.7519379844961239E-3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2</v>
      </c>
      <c r="E22" s="59" t="s">
        <v>85</v>
      </c>
      <c r="F22" s="56" t="s">
        <v>40</v>
      </c>
      <c r="G22" s="44">
        <v>1</v>
      </c>
      <c r="H22" s="129">
        <f>IF(B$17=0,0,G22/B$17)</f>
        <v>7.7519379844961239E-3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10435.658914728681</v>
      </c>
      <c r="C23" s="39">
        <v>1346200</v>
      </c>
      <c r="E23" s="59" t="s">
        <v>90</v>
      </c>
      <c r="F23" s="56" t="s">
        <v>45</v>
      </c>
      <c r="G23" s="44">
        <v>1</v>
      </c>
      <c r="H23" s="129">
        <f>IF(B$17=0,0,G23/B$17)</f>
        <v>7.7519379844961239E-3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11425</v>
      </c>
      <c r="C24" s="137">
        <v>1051100</v>
      </c>
      <c r="E24" s="59" t="s">
        <v>93</v>
      </c>
      <c r="F24" s="56" t="s">
        <v>48</v>
      </c>
      <c r="G24" s="44">
        <v>1</v>
      </c>
      <c r="H24" s="129">
        <f>IF(B$17=0,0,G24/B$17)</f>
        <v>7.7519379844961239E-3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-8325.352112676057</v>
      </c>
      <c r="C26" s="137">
        <v>-591100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79</v>
      </c>
      <c r="F28" s="56" t="s">
        <v>34</v>
      </c>
      <c r="G28" s="44">
        <v>0</v>
      </c>
      <c r="H28" s="129">
        <f>IF(B$17=0,0,G28/B$17)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87</v>
      </c>
      <c r="F32" s="56" t="s">
        <v>42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7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75</v>
      </c>
      <c r="C2" s="149"/>
      <c r="E2" s="58" t="s">
        <v>66</v>
      </c>
      <c r="F2" s="55" t="s">
        <v>22</v>
      </c>
      <c r="G2" s="43">
        <v>135</v>
      </c>
      <c r="H2" s="128">
        <f>IF(B$17=0,0,G2/B$17)</f>
        <v>0.78947368421052633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1173.3333333333333</v>
      </c>
      <c r="P2" s="114">
        <v>75</v>
      </c>
      <c r="Q2" s="98">
        <v>88000</v>
      </c>
    </row>
    <row r="3" spans="1:17" x14ac:dyDescent="0.4">
      <c r="A3" s="51" t="s">
        <v>8</v>
      </c>
      <c r="B3" s="150">
        <v>600</v>
      </c>
      <c r="C3" s="151"/>
      <c r="E3" s="59" t="s">
        <v>72</v>
      </c>
      <c r="F3" s="56" t="s">
        <v>27</v>
      </c>
      <c r="G3" s="44">
        <v>108</v>
      </c>
      <c r="H3" s="129">
        <f>IF(B$17=0,0,G3/B$17)</f>
        <v>0.63157894736842102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869.44444444444446</v>
      </c>
      <c r="P3" s="115">
        <v>72</v>
      </c>
      <c r="Q3" s="99">
        <v>62600</v>
      </c>
    </row>
    <row r="4" spans="1:17" x14ac:dyDescent="0.4">
      <c r="A4" s="51" t="s">
        <v>6</v>
      </c>
      <c r="B4" s="152">
        <v>-37.499999999999972</v>
      </c>
      <c r="C4" s="153"/>
      <c r="E4" s="59" t="s">
        <v>64</v>
      </c>
      <c r="F4" s="56" t="s">
        <v>20</v>
      </c>
      <c r="G4" s="44">
        <v>84</v>
      </c>
      <c r="H4" s="129">
        <f>IF(B$17=0,0,G4/B$17)</f>
        <v>0.49122807017543857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-995.52238805970148</v>
      </c>
      <c r="P4" s="115">
        <v>67</v>
      </c>
      <c r="Q4" s="99">
        <v>-66700</v>
      </c>
    </row>
    <row r="5" spans="1:17" x14ac:dyDescent="0.4">
      <c r="A5" s="51" t="s">
        <v>7</v>
      </c>
      <c r="B5" s="154">
        <f>IF(B$2=0,0,B$4/B$2)</f>
        <v>-0.49999999999999961</v>
      </c>
      <c r="C5" s="155"/>
      <c r="E5" s="59" t="s">
        <v>171</v>
      </c>
      <c r="F5" s="56" t="s">
        <v>172</v>
      </c>
      <c r="G5" s="44">
        <v>79</v>
      </c>
      <c r="H5" s="129">
        <f>IF(B$17=0,0,G5/B$17)</f>
        <v>0.46198830409356723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329.03225806451616</v>
      </c>
      <c r="P5" s="115">
        <v>62</v>
      </c>
      <c r="Q5" s="99">
        <v>20400</v>
      </c>
    </row>
    <row r="6" spans="1:17" x14ac:dyDescent="0.4">
      <c r="A6" s="51" t="s">
        <v>1</v>
      </c>
      <c r="B6" s="144">
        <f>IF(B$2=0,0,(B$7*1+B$8*2+B$9*3)/B$2)</f>
        <v>2.0666666666666669</v>
      </c>
      <c r="C6" s="145"/>
      <c r="E6" s="59" t="s">
        <v>67</v>
      </c>
      <c r="F6" s="56" t="s">
        <v>23</v>
      </c>
      <c r="G6" s="44">
        <v>69</v>
      </c>
      <c r="H6" s="129">
        <f>IF(B$17=0,0,G6/B$17)</f>
        <v>0.40350877192982454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-521.42857142857144</v>
      </c>
      <c r="P6" s="115">
        <v>56</v>
      </c>
      <c r="Q6" s="99">
        <v>-29200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0.21333333333333335</v>
      </c>
      <c r="E7" s="59" t="s">
        <v>68</v>
      </c>
      <c r="F7" s="56" t="s">
        <v>12</v>
      </c>
      <c r="G7" s="44">
        <v>56</v>
      </c>
      <c r="H7" s="129">
        <f>IF(B$17=0,0,G7/B$17)</f>
        <v>0.32748538011695905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-1202</v>
      </c>
      <c r="P7" s="116">
        <v>50</v>
      </c>
      <c r="Q7" s="100">
        <v>-60100</v>
      </c>
    </row>
    <row r="8" spans="1:17" x14ac:dyDescent="0.4">
      <c r="A8" s="51" t="s">
        <v>3</v>
      </c>
      <c r="B8" s="44">
        <v>38</v>
      </c>
      <c r="C8" s="37">
        <f t="shared" si="1"/>
        <v>0.50666666666666671</v>
      </c>
      <c r="E8" s="59" t="s">
        <v>69</v>
      </c>
      <c r="F8" s="56" t="s">
        <v>24</v>
      </c>
      <c r="G8" s="44">
        <v>22</v>
      </c>
      <c r="H8" s="129">
        <f>IF(B$17=0,0,G8/B$17)</f>
        <v>0.12865497076023391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0.28000000000000003</v>
      </c>
      <c r="E9" s="59" t="s">
        <v>89</v>
      </c>
      <c r="F9" s="56" t="s">
        <v>44</v>
      </c>
      <c r="G9" s="44">
        <v>16</v>
      </c>
      <c r="H9" s="129">
        <f>IF(B$17=0,0,G9/B$17)</f>
        <v>9.3567251461988299E-2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6.6666666666666666E-2</v>
      </c>
      <c r="E10" s="59" t="s">
        <v>71</v>
      </c>
      <c r="F10" s="56" t="s">
        <v>26</v>
      </c>
      <c r="G10" s="44">
        <v>15</v>
      </c>
      <c r="H10" s="129">
        <f>IF(B$17=0,0,G10/B$17)</f>
        <v>8.771929824561403E-2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0.80322580645161301</v>
      </c>
      <c r="P10" s="114">
        <v>31</v>
      </c>
      <c r="Q10" s="102">
        <v>24.900000000000002</v>
      </c>
    </row>
    <row r="11" spans="1:17" x14ac:dyDescent="0.4">
      <c r="A11" s="52" t="s">
        <v>138</v>
      </c>
      <c r="B11" s="45">
        <v>6</v>
      </c>
      <c r="C11" s="38">
        <f t="shared" si="1"/>
        <v>0.08</v>
      </c>
      <c r="E11" s="59" t="s">
        <v>70</v>
      </c>
      <c r="F11" s="56" t="s">
        <v>25</v>
      </c>
      <c r="G11" s="44">
        <v>13</v>
      </c>
      <c r="H11" s="129">
        <f>IF(B$17=0,0,G11/B$17)</f>
        <v>7.6023391812865493E-2</v>
      </c>
      <c r="I11" s="90">
        <v>8</v>
      </c>
      <c r="K11" s="36">
        <v>9</v>
      </c>
      <c r="L11" s="95">
        <v>-90.9</v>
      </c>
      <c r="N11" s="111" t="s">
        <v>163</v>
      </c>
      <c r="O11" s="121">
        <f>IF(P11=0,0,Q11/P11)</f>
        <v>3.6476190476190475</v>
      </c>
      <c r="P11" s="115">
        <v>21</v>
      </c>
      <c r="Q11" s="103">
        <v>76.599999999999994</v>
      </c>
    </row>
    <row r="12" spans="1:17" x14ac:dyDescent="0.4">
      <c r="A12" s="53" t="s">
        <v>158</v>
      </c>
      <c r="B12" s="46">
        <v>3</v>
      </c>
      <c r="C12" s="40">
        <f t="shared" si="1"/>
        <v>0.04</v>
      </c>
      <c r="E12" s="59" t="s">
        <v>65</v>
      </c>
      <c r="F12" s="56" t="s">
        <v>21</v>
      </c>
      <c r="G12" s="44">
        <v>12</v>
      </c>
      <c r="H12" s="129">
        <f>IF(B$17=0,0,G12/B$17)</f>
        <v>7.0175438596491224E-2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-6.0434782608695654</v>
      </c>
      <c r="P12" s="116">
        <v>23</v>
      </c>
      <c r="Q12" s="104">
        <v>-139</v>
      </c>
    </row>
    <row r="13" spans="1:17" x14ac:dyDescent="0.4">
      <c r="A13" s="54" t="s">
        <v>121</v>
      </c>
      <c r="B13" s="47">
        <v>154</v>
      </c>
      <c r="C13" s="42">
        <f>IF(B$3=0,0,B13/B$3)</f>
        <v>0.25666666666666665</v>
      </c>
      <c r="E13" s="59" t="s">
        <v>86</v>
      </c>
      <c r="F13" s="56" t="s">
        <v>41</v>
      </c>
      <c r="G13" s="44">
        <v>8</v>
      </c>
      <c r="H13" s="129">
        <f>IF(B$17=0,0,G13/B$17)</f>
        <v>4.6783625730994149E-2</v>
      </c>
      <c r="I13" s="90">
        <v>4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145</v>
      </c>
      <c r="C14" s="37">
        <f>IF(B$3=0,0,B14/B$3)</f>
        <v>0.24166666666666667</v>
      </c>
      <c r="E14" s="59" t="s">
        <v>79</v>
      </c>
      <c r="F14" s="56" t="s">
        <v>34</v>
      </c>
      <c r="G14" s="44">
        <v>6</v>
      </c>
      <c r="H14" s="129">
        <f>IF(B$17=0,0,G14/B$17)</f>
        <v>3.5087719298245612E-2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88</v>
      </c>
      <c r="C15" s="35">
        <f>IF(B$13=0,0,B15/B$13)</f>
        <v>0.5714285714285714</v>
      </c>
      <c r="E15" s="59" t="s">
        <v>83</v>
      </c>
      <c r="F15" s="56" t="s">
        <v>38</v>
      </c>
      <c r="G15" s="44">
        <v>6</v>
      </c>
      <c r="H15" s="129">
        <f>IF(B$17=0,0,G15/B$17)</f>
        <v>3.5087719298245612E-2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58</v>
      </c>
      <c r="C16" s="35">
        <f>IF(B$14=0,0,B16/B$14)</f>
        <v>0.4</v>
      </c>
      <c r="E16" s="59" t="s">
        <v>167</v>
      </c>
      <c r="F16" s="56" t="s">
        <v>168</v>
      </c>
      <c r="G16" s="44">
        <v>4</v>
      </c>
      <c r="H16" s="129">
        <f>IF(B$17=0,0,G16/B$17)</f>
        <v>2.3391812865497075E-2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171</v>
      </c>
      <c r="C17" s="35">
        <f>IF(B$3=0,0,B17/B$3)</f>
        <v>0.28499999999999998</v>
      </c>
      <c r="E17" s="59" t="s">
        <v>73</v>
      </c>
      <c r="F17" s="56" t="s">
        <v>28</v>
      </c>
      <c r="G17" s="44">
        <v>3</v>
      </c>
      <c r="H17" s="129">
        <f>IF(B$17=0,0,G17/B$17)</f>
        <v>1.7543859649122806E-2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77</v>
      </c>
      <c r="C18" s="37">
        <f>IF(B$17=0,0,B18/B$17)</f>
        <v>0.45029239766081869</v>
      </c>
      <c r="E18" s="59" t="s">
        <v>78</v>
      </c>
      <c r="F18" s="56" t="s">
        <v>33</v>
      </c>
      <c r="G18" s="44">
        <v>3</v>
      </c>
      <c r="H18" s="129">
        <f>IF(B$17=0,0,G18/B$17)</f>
        <v>1.7543859649122806E-2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>IF(P18=0,0,Q18/P18)</f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94</v>
      </c>
      <c r="C19" s="37">
        <f>IF(B$17=0,0,B19/B$17)</f>
        <v>0.54970760233918126</v>
      </c>
      <c r="E19" s="59" t="s">
        <v>81</v>
      </c>
      <c r="F19" s="56" t="s">
        <v>36</v>
      </c>
      <c r="G19" s="44">
        <v>2</v>
      </c>
      <c r="H19" s="129">
        <f>IF(B$17=0,0,G19/B$17)</f>
        <v>1.1695906432748537E-2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78</v>
      </c>
      <c r="C20" s="37">
        <f>IF(B$3=0,0,B20/B$3)</f>
        <v>0.13</v>
      </c>
      <c r="E20" s="59" t="s">
        <v>74</v>
      </c>
      <c r="F20" s="56" t="s">
        <v>29</v>
      </c>
      <c r="G20" s="44">
        <v>1</v>
      </c>
      <c r="H20" s="129">
        <f>IF(B$17=0,0,G20/B$17)</f>
        <v>5.8479532163742687E-3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>IF(P20=0,0,Q20/P20)</f>
        <v>-0.50000000000000044</v>
      </c>
      <c r="P20" s="115">
        <v>15</v>
      </c>
      <c r="Q20" s="103">
        <v>-7.5000000000000071</v>
      </c>
    </row>
    <row r="21" spans="1:17" x14ac:dyDescent="0.4">
      <c r="A21" s="51" t="s">
        <v>169</v>
      </c>
      <c r="B21" s="44">
        <v>6</v>
      </c>
      <c r="C21" s="131">
        <v>0</v>
      </c>
      <c r="E21" s="59" t="s">
        <v>85</v>
      </c>
      <c r="F21" s="56" t="s">
        <v>40</v>
      </c>
      <c r="G21" s="44">
        <v>1</v>
      </c>
      <c r="H21" s="129">
        <f>IF(B$17=0,0,G21/B$17)</f>
        <v>5.8479532163742687E-3</v>
      </c>
      <c r="I21" s="90">
        <v>3</v>
      </c>
      <c r="K21" s="36">
        <v>19</v>
      </c>
      <c r="L21" s="95">
        <v>-56.399999999999991</v>
      </c>
      <c r="N21" s="111" t="s">
        <v>127</v>
      </c>
      <c r="O21" s="121">
        <f>IF(P21=0,0,Q21/P21)</f>
        <v>-7.1481481481481479</v>
      </c>
      <c r="P21" s="115">
        <v>27</v>
      </c>
      <c r="Q21" s="103">
        <v>-193</v>
      </c>
    </row>
    <row r="22" spans="1:17" x14ac:dyDescent="0.4">
      <c r="A22" s="51" t="s">
        <v>170</v>
      </c>
      <c r="B22" s="44">
        <v>44</v>
      </c>
      <c r="C22" s="131">
        <v>3</v>
      </c>
      <c r="E22" s="59" t="s">
        <v>87</v>
      </c>
      <c r="F22" s="56" t="s">
        <v>42</v>
      </c>
      <c r="G22" s="44">
        <v>1</v>
      </c>
      <c r="H22" s="129">
        <f>IF(B$17=0,0,G22/B$17)</f>
        <v>5.8479532163742687E-3</v>
      </c>
      <c r="I22" s="90">
        <v>2</v>
      </c>
      <c r="K22" s="36">
        <v>20</v>
      </c>
      <c r="L22" s="95">
        <v>-93.199999999999989</v>
      </c>
      <c r="N22" s="111" t="s">
        <v>126</v>
      </c>
      <c r="O22" s="121">
        <f>IF(P22=0,0,Q22/P22)</f>
        <v>-10.612903225806454</v>
      </c>
      <c r="P22" s="115">
        <v>31</v>
      </c>
      <c r="Q22" s="103">
        <v>-329.00000000000006</v>
      </c>
    </row>
    <row r="23" spans="1:17" x14ac:dyDescent="0.4">
      <c r="A23" s="51" t="s">
        <v>5</v>
      </c>
      <c r="B23" s="48">
        <f>IF(B$17=0,0,C23/B$17)</f>
        <v>8415.78947368421</v>
      </c>
      <c r="C23" s="39">
        <v>1439100</v>
      </c>
      <c r="E23" s="59" t="s">
        <v>88</v>
      </c>
      <c r="F23" s="56" t="s">
        <v>43</v>
      </c>
      <c r="G23" s="44">
        <v>1</v>
      </c>
      <c r="H23" s="129">
        <f>IF(B$17=0,0,G23/B$17)</f>
        <v>5.8479532163742687E-3</v>
      </c>
      <c r="I23" s="90">
        <v>3</v>
      </c>
      <c r="K23" s="36">
        <v>21</v>
      </c>
      <c r="L23" s="95">
        <v>-123.69999999999999</v>
      </c>
      <c r="N23" s="111" t="s">
        <v>177</v>
      </c>
      <c r="O23" s="121">
        <f>IF(P23=0,0,Q23/P23)</f>
        <v>-16.168965517241379</v>
      </c>
      <c r="P23" s="115">
        <v>29</v>
      </c>
      <c r="Q23" s="103">
        <v>-468.9</v>
      </c>
    </row>
    <row r="24" spans="1:17" x14ac:dyDescent="0.4">
      <c r="A24" s="52" t="s">
        <v>216</v>
      </c>
      <c r="B24" s="136">
        <f>IF($B$17-B$16=0,0,C24/($B$17-B$16))</f>
        <v>9454.8672566371679</v>
      </c>
      <c r="C24" s="137">
        <v>1068400</v>
      </c>
      <c r="E24" s="59" t="s">
        <v>91</v>
      </c>
      <c r="F24" s="56" t="s">
        <v>46</v>
      </c>
      <c r="G24" s="44">
        <v>1</v>
      </c>
      <c r="H24" s="129">
        <f>IF(B$17=0,0,G24/B$17)</f>
        <v>5.8479532163742687E-3</v>
      </c>
      <c r="I24" s="90">
        <v>6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6391.3793103448279</v>
      </c>
      <c r="C25" s="137">
        <v>370700</v>
      </c>
      <c r="E25" s="59" t="s">
        <v>101</v>
      </c>
      <c r="F25" s="56" t="s">
        <v>56</v>
      </c>
      <c r="G25" s="44">
        <v>1</v>
      </c>
      <c r="H25" s="129">
        <f>IF(B$17=0,0,G25/B$17)</f>
        <v>5.8479532163742687E-3</v>
      </c>
      <c r="I25" s="90">
        <v>1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-7903.8461538461543</v>
      </c>
      <c r="C26" s="137">
        <v>-616500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3.3333333333333335E-3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3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7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18</v>
      </c>
      <c r="C2" s="149"/>
      <c r="E2" s="58" t="s">
        <v>66</v>
      </c>
      <c r="F2" s="55" t="s">
        <v>22</v>
      </c>
      <c r="G2" s="43">
        <v>46</v>
      </c>
      <c r="H2" s="128">
        <f>IF(B$17=0,0,G2/B$17)</f>
        <v>0.93877551020408168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-900</v>
      </c>
      <c r="P2" s="114">
        <v>18</v>
      </c>
      <c r="Q2" s="98">
        <v>-16200</v>
      </c>
    </row>
    <row r="3" spans="1:17" x14ac:dyDescent="0.4">
      <c r="A3" s="51" t="s">
        <v>8</v>
      </c>
      <c r="B3" s="150">
        <v>168</v>
      </c>
      <c r="C3" s="151"/>
      <c r="E3" s="59" t="s">
        <v>64</v>
      </c>
      <c r="F3" s="56" t="s">
        <v>20</v>
      </c>
      <c r="G3" s="44">
        <v>29</v>
      </c>
      <c r="H3" s="129">
        <f>IF(B$17=0,0,G3/B$17)</f>
        <v>0.59183673469387754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94.444444444444443</v>
      </c>
      <c r="P3" s="115">
        <v>18</v>
      </c>
      <c r="Q3" s="99">
        <v>1700</v>
      </c>
    </row>
    <row r="4" spans="1:17" x14ac:dyDescent="0.4">
      <c r="A4" s="51" t="s">
        <v>6</v>
      </c>
      <c r="B4" s="152">
        <v>24.700000000000003</v>
      </c>
      <c r="C4" s="153"/>
      <c r="E4" s="59" t="s">
        <v>68</v>
      </c>
      <c r="F4" s="56" t="s">
        <v>12</v>
      </c>
      <c r="G4" s="44">
        <v>21</v>
      </c>
      <c r="H4" s="129">
        <f>IF(B$17=0,0,G4/B$17)</f>
        <v>0.42857142857142855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-770.58823529411768</v>
      </c>
      <c r="P4" s="115">
        <v>17</v>
      </c>
      <c r="Q4" s="99">
        <v>-13100</v>
      </c>
    </row>
    <row r="5" spans="1:17" x14ac:dyDescent="0.4">
      <c r="A5" s="51" t="s">
        <v>7</v>
      </c>
      <c r="B5" s="154">
        <f>IF(B$2=0,0,B$4/B$2)</f>
        <v>1.3722222222222225</v>
      </c>
      <c r="C5" s="155"/>
      <c r="E5" s="59" t="s">
        <v>72</v>
      </c>
      <c r="F5" s="56" t="s">
        <v>27</v>
      </c>
      <c r="G5" s="44">
        <v>16</v>
      </c>
      <c r="H5" s="129">
        <f>IF(B$17=0,0,G5/B$17)</f>
        <v>0.32653061224489793</v>
      </c>
      <c r="I5" s="90">
        <v>11</v>
      </c>
      <c r="K5" s="36">
        <v>3</v>
      </c>
      <c r="L5" s="95">
        <v>76</v>
      </c>
      <c r="N5" s="111" t="s">
        <v>133</v>
      </c>
      <c r="O5" s="118">
        <f t="shared" si="0"/>
        <v>-1582.3529411764705</v>
      </c>
      <c r="P5" s="115">
        <v>17</v>
      </c>
      <c r="Q5" s="99">
        <v>-26900</v>
      </c>
    </row>
    <row r="6" spans="1:17" x14ac:dyDescent="0.4">
      <c r="A6" s="51" t="s">
        <v>1</v>
      </c>
      <c r="B6" s="144">
        <f>IF(B$2=0,0,(B$7*1+B$8*2+B$9*3)/B$2)</f>
        <v>1.9444444444444444</v>
      </c>
      <c r="C6" s="145"/>
      <c r="E6" s="59" t="s">
        <v>171</v>
      </c>
      <c r="F6" s="56" t="s">
        <v>172</v>
      </c>
      <c r="G6" s="44">
        <v>15</v>
      </c>
      <c r="H6" s="129">
        <f>IF(B$17=0,0,G6/B$17)</f>
        <v>0.30612244897959184</v>
      </c>
      <c r="I6" s="90">
        <v>10</v>
      </c>
      <c r="K6" s="36">
        <v>4</v>
      </c>
      <c r="L6" s="95">
        <v>115.5</v>
      </c>
      <c r="N6" s="111" t="s">
        <v>134</v>
      </c>
      <c r="O6" s="118">
        <f t="shared" si="0"/>
        <v>5137.5</v>
      </c>
      <c r="P6" s="115">
        <v>16</v>
      </c>
      <c r="Q6" s="99">
        <v>82200</v>
      </c>
    </row>
    <row r="7" spans="1:17" x14ac:dyDescent="0.4">
      <c r="A7" s="51" t="s">
        <v>2</v>
      </c>
      <c r="B7" s="44">
        <v>7</v>
      </c>
      <c r="C7" s="37">
        <f t="shared" ref="C7:C12" si="1">IF(B$2=0,0,B7/B$2)</f>
        <v>0.3888888888888889</v>
      </c>
      <c r="E7" s="59" t="s">
        <v>67</v>
      </c>
      <c r="F7" s="56" t="s">
        <v>23</v>
      </c>
      <c r="G7" s="44">
        <v>12</v>
      </c>
      <c r="H7" s="129">
        <f>IF(B$17=0,0,G7/B$17)</f>
        <v>0.24489795918367346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-307.69230769230768</v>
      </c>
      <c r="P7" s="116">
        <v>13</v>
      </c>
      <c r="Q7" s="100">
        <v>-4000</v>
      </c>
    </row>
    <row r="8" spans="1:17" x14ac:dyDescent="0.4">
      <c r="A8" s="51" t="s">
        <v>3</v>
      </c>
      <c r="B8" s="44">
        <v>5</v>
      </c>
      <c r="C8" s="37">
        <f t="shared" si="1"/>
        <v>0.27777777777777779</v>
      </c>
      <c r="E8" s="59" t="s">
        <v>69</v>
      </c>
      <c r="F8" s="56" t="s">
        <v>24</v>
      </c>
      <c r="G8" s="44">
        <v>10</v>
      </c>
      <c r="H8" s="129">
        <f>IF(B$17=0,0,G8/B$17)</f>
        <v>0.20408163265306123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6</v>
      </c>
      <c r="C9" s="38">
        <f t="shared" si="1"/>
        <v>0.33333333333333331</v>
      </c>
      <c r="E9" s="59" t="s">
        <v>65</v>
      </c>
      <c r="F9" s="56" t="s">
        <v>21</v>
      </c>
      <c r="G9" s="44">
        <v>6</v>
      </c>
      <c r="H9" s="129">
        <f>IF(B$17=0,0,G9/B$17)</f>
        <v>0.12244897959183673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0.1111111111111111</v>
      </c>
      <c r="E10" s="59" t="s">
        <v>71</v>
      </c>
      <c r="F10" s="56" t="s">
        <v>26</v>
      </c>
      <c r="G10" s="44">
        <v>6</v>
      </c>
      <c r="H10" s="129">
        <f>IF(B$17=0,0,G10/B$17)</f>
        <v>0.12244897959183673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-3.8874999999999997</v>
      </c>
      <c r="P10" s="114">
        <v>8</v>
      </c>
      <c r="Q10" s="102">
        <v>-31.099999999999998</v>
      </c>
    </row>
    <row r="11" spans="1:17" x14ac:dyDescent="0.4">
      <c r="A11" s="52" t="s">
        <v>138</v>
      </c>
      <c r="B11" s="45">
        <v>2</v>
      </c>
      <c r="C11" s="38">
        <f t="shared" si="1"/>
        <v>0.1111111111111111</v>
      </c>
      <c r="E11" s="59" t="s">
        <v>70</v>
      </c>
      <c r="F11" s="56" t="s">
        <v>25</v>
      </c>
      <c r="G11" s="44">
        <v>5</v>
      </c>
      <c r="H11" s="129">
        <f>IF(B$17=0,0,G11/B$17)</f>
        <v>0.10204081632653061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4</v>
      </c>
      <c r="H12" s="129">
        <f>IF(B$17=0,0,G12/B$17)</f>
        <v>8.1632653061224483E-2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2.9571428571428564</v>
      </c>
      <c r="P12" s="116">
        <v>7</v>
      </c>
      <c r="Q12" s="104">
        <v>20.699999999999996</v>
      </c>
    </row>
    <row r="13" spans="1:17" x14ac:dyDescent="0.4">
      <c r="A13" s="54" t="s">
        <v>121</v>
      </c>
      <c r="B13" s="47">
        <v>46</v>
      </c>
      <c r="C13" s="42">
        <f>IF(B$3=0,0,B13/B$3)</f>
        <v>0.27380952380952384</v>
      </c>
      <c r="E13" s="59" t="s">
        <v>86</v>
      </c>
      <c r="F13" s="56" t="s">
        <v>41</v>
      </c>
      <c r="G13" s="44">
        <v>2</v>
      </c>
      <c r="H13" s="129">
        <f>IF(B$17=0,0,G13/B$17)</f>
        <v>4.0816326530612242E-2</v>
      </c>
      <c r="I13" s="90">
        <v>7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23</v>
      </c>
      <c r="C14" s="37">
        <f>IF(B$3=0,0,B14/B$3)</f>
        <v>0.13690476190476192</v>
      </c>
      <c r="E14" s="59" t="s">
        <v>75</v>
      </c>
      <c r="F14" s="56" t="s">
        <v>30</v>
      </c>
      <c r="G14" s="44">
        <v>1</v>
      </c>
      <c r="H14" s="129">
        <f>IF(B$17=0,0,G14/B$17)</f>
        <v>2.0408163265306121E-2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29</v>
      </c>
      <c r="C15" s="35">
        <f>IF(B$13=0,0,B15/B$13)</f>
        <v>0.63043478260869568</v>
      </c>
      <c r="E15" s="59" t="s">
        <v>78</v>
      </c>
      <c r="F15" s="56" t="s">
        <v>33</v>
      </c>
      <c r="G15" s="44">
        <v>1</v>
      </c>
      <c r="H15" s="129">
        <f>IF(B$17=0,0,G15/B$17)</f>
        <v>2.0408163265306121E-2</v>
      </c>
      <c r="I15" s="90">
        <v>5</v>
      </c>
      <c r="K15" s="36">
        <v>13</v>
      </c>
      <c r="L15" s="95">
        <v>76.7</v>
      </c>
      <c r="N15" s="110" t="s">
        <v>182</v>
      </c>
      <c r="O15" s="120">
        <f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8</v>
      </c>
      <c r="C16" s="35">
        <f>IF(B$14=0,0,B16/B$14)</f>
        <v>0.34782608695652173</v>
      </c>
      <c r="E16" s="59" t="s">
        <v>81</v>
      </c>
      <c r="F16" s="56" t="s">
        <v>36</v>
      </c>
      <c r="G16" s="44">
        <v>1</v>
      </c>
      <c r="H16" s="129">
        <f>IF(B$17=0,0,G16/B$17)</f>
        <v>2.0408163265306121E-2</v>
      </c>
      <c r="I16" s="90">
        <v>6</v>
      </c>
      <c r="K16" s="36">
        <v>14</v>
      </c>
      <c r="L16" s="95">
        <v>49.900000000000006</v>
      </c>
      <c r="N16" s="111" t="s">
        <v>177</v>
      </c>
      <c r="O16" s="121">
        <f>IF(P16=0,0,Q16/P16)</f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49</v>
      </c>
      <c r="C17" s="35">
        <f>IF(B$3=0,0,B17/B$3)</f>
        <v>0.29166666666666669</v>
      </c>
      <c r="E17" s="59" t="s">
        <v>85</v>
      </c>
      <c r="F17" s="56" t="s">
        <v>40</v>
      </c>
      <c r="G17" s="44">
        <v>1</v>
      </c>
      <c r="H17" s="129">
        <f>IF(B$17=0,0,G17/B$17)</f>
        <v>2.0408163265306121E-2</v>
      </c>
      <c r="I17" s="90">
        <v>1</v>
      </c>
      <c r="K17" s="36">
        <v>15</v>
      </c>
      <c r="L17" s="95">
        <v>73.7</v>
      </c>
      <c r="N17" s="111" t="s">
        <v>166</v>
      </c>
      <c r="O17" s="121">
        <f>IF(P17=0,0,Q17/P17)</f>
        <v>5.0400000000000009</v>
      </c>
      <c r="P17" s="115">
        <v>5</v>
      </c>
      <c r="Q17" s="103">
        <v>25.200000000000003</v>
      </c>
    </row>
    <row r="18" spans="1:17" x14ac:dyDescent="0.4">
      <c r="A18" s="51" t="s">
        <v>12</v>
      </c>
      <c r="B18" s="44">
        <v>27</v>
      </c>
      <c r="C18" s="37">
        <f>IF(B$17=0,0,B18/B$17)</f>
        <v>0.55102040816326525</v>
      </c>
      <c r="E18" s="59" t="s">
        <v>87</v>
      </c>
      <c r="F18" s="56" t="s">
        <v>42</v>
      </c>
      <c r="G18" s="44">
        <v>1</v>
      </c>
      <c r="H18" s="129">
        <f>IF(B$17=0,0,G18/B$17)</f>
        <v>2.0408163265306121E-2</v>
      </c>
      <c r="I18" s="90">
        <v>1</v>
      </c>
      <c r="K18" s="36">
        <v>16</v>
      </c>
      <c r="L18" s="95">
        <v>28.300000000000004</v>
      </c>
      <c r="N18" s="111" t="s">
        <v>179</v>
      </c>
      <c r="O18" s="121">
        <f>IF(P18=0,0,Q18/P18)</f>
        <v>-3.7285714285714278</v>
      </c>
      <c r="P18" s="115">
        <v>7</v>
      </c>
      <c r="Q18" s="103">
        <v>-26.099999999999994</v>
      </c>
    </row>
    <row r="19" spans="1:17" x14ac:dyDescent="0.4">
      <c r="A19" s="51" t="s">
        <v>11</v>
      </c>
      <c r="B19" s="44">
        <v>22</v>
      </c>
      <c r="C19" s="37">
        <f>IF(B$17=0,0,B19/B$17)</f>
        <v>0.44897959183673469</v>
      </c>
      <c r="E19" s="59" t="s">
        <v>167</v>
      </c>
      <c r="F19" s="56" t="s">
        <v>168</v>
      </c>
      <c r="G19" s="44">
        <v>1</v>
      </c>
      <c r="H19" s="129">
        <f>IF(B$17=0,0,G19/B$17)</f>
        <v>2.0408163265306121E-2</v>
      </c>
      <c r="I19" s="90">
        <v>6</v>
      </c>
      <c r="K19" s="36">
        <v>17</v>
      </c>
      <c r="L19" s="95">
        <v>49.800000000000004</v>
      </c>
      <c r="N19" s="111" t="s">
        <v>178</v>
      </c>
      <c r="O19" s="121">
        <f>IF(P19=0,0,Q19/P19)</f>
        <v>-5.7000000000000011</v>
      </c>
      <c r="P19" s="115">
        <v>5</v>
      </c>
      <c r="Q19" s="103">
        <v>-28.500000000000004</v>
      </c>
    </row>
    <row r="20" spans="1:17" x14ac:dyDescent="0.4">
      <c r="A20" s="51" t="s">
        <v>13</v>
      </c>
      <c r="B20" s="44">
        <v>21</v>
      </c>
      <c r="C20" s="37">
        <f>IF(B$3=0,0,B20/B$3)</f>
        <v>0.125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4</v>
      </c>
      <c r="K20" s="36">
        <v>18</v>
      </c>
      <c r="L20" s="95">
        <v>24.700000000000003</v>
      </c>
      <c r="N20" s="111" t="s">
        <v>195</v>
      </c>
      <c r="O20" s="121">
        <f>IF(P20=0,0,Q20/P20)</f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7</v>
      </c>
      <c r="N21" s="111" t="s">
        <v>127</v>
      </c>
      <c r="O21" s="121">
        <f>IF(P21=0,0,Q21/P21)</f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4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>IF(P22=0,0,Q22/P22)</f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7440.8163265306121</v>
      </c>
      <c r="C23" s="39">
        <v>364600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7592.6829268292686</v>
      </c>
      <c r="C24" s="137">
        <v>311300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6662.5</v>
      </c>
      <c r="C25" s="137">
        <v>53300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-6885.7142857142853</v>
      </c>
      <c r="C26" s="137">
        <v>-144600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4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4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2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7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6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8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9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5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2019-10-29T15:08:21Z</dcterms:modified>
</cp:coreProperties>
</file>